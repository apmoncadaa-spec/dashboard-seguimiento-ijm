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comments+xml" PartName="/xl/comments/commen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comments+xml" PartName="/xl/comments/comment2.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 Target="docProps/custom.xml" Type="http://schemas.openxmlformats.org/officeDocument/2006/relationships/custom-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visibility="visible" minimized="false" showHorizontalScroll="true" showVerticalScroll="true" showSheetTabs="true" xWindow="-110" yWindow="-110" windowWidth="19420" windowHeight="11500" tabRatio="844" firstSheet="0" activeTab="0" autoFilterDateGrouping="true"/>
  </bookViews>
  <sheets>
    <sheet name="Seguimiento entrevistas" sheetId="1" state="visible" r:id="rId1"/>
    <sheet name="Seguimiento grupos focales" sheetId="2" state="visible" r:id="rId2"/>
    <sheet name="Sobrevivientes" sheetId="3" state="visible" r:id="rId3"/>
    <sheet name="Entrevistas" sheetId="4" state="hidden" r:id="rId4"/>
    <sheet name="Reunión de validación" sheetId="5" state="hidden" r:id="rId5"/>
    <sheet name="Listas" sheetId="6" state="hidden" r:id="rId6"/>
    <sheet name="Insumos Dashboard &gt;&gt;" sheetId="7" state="visible" r:id="rId7"/>
    <sheet name="Dashboard - Entrevistas(0)" sheetId="8" state="hidden" r:id="rId8"/>
    <sheet name="Dashboard - Reunión(0)" sheetId="9" state="hidden" r:id="rId9"/>
    <sheet name="Dashboard - Entrevistas" sheetId="10" state="visible" r:id="rId10"/>
    <sheet name="Dashboard - Sobrevivientes" sheetId="11" state="visible" r:id="rId11"/>
    <sheet name="Dashboard - Reunión" sheetId="12" state="visible" r:id="rId12"/>
    <sheet name="Meta" sheetId="13" state="visible" r:id="rId13"/>
    <sheet name="Cuotas MN" sheetId="14" state="visible" r:id="rId14"/>
  </sheets>
  <definedNames>
    <definedName name="_xlnm._FilterDatabase" localSheetId="9" hidden="true">'Dashboard - Entrevistas'!$A$1:$V$995</definedName>
    <definedName name="_xlnm._FilterDatabase" localSheetId="12" hidden="true">'Meta'!$A$1:$E$30</definedName>
  </definedNames>
  <calcPr calcId="191029"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<sst xmlns="http://schemas.openxmlformats.org/spreadsheetml/2006/main" xmlns:r="http://schemas.openxmlformats.org/officeDocument/2006/relationships" xmlns:xdr="http://schemas.openxmlformats.org/drawingml/2006/spreadsheetDrawing" count="676020" uniqueCount="2345">
  <si>
    <t/>
  </si>
  <si>
    <t>Nacional</t>
  </si>
  <si>
    <t>Distrito Judicial: Ucayali</t>
  </si>
  <si>
    <t>Distrito Judicial: Apurímac</t>
  </si>
  <si>
    <t>Distrito Judicial: Loreto</t>
  </si>
  <si>
    <t>Distrito Judicial: Ayacucho</t>
  </si>
  <si>
    <t>Distrito Judicial: Huánuco</t>
  </si>
  <si>
    <t>Distrito Judicial: Cajamarca</t>
  </si>
  <si>
    <t>Distrito Judicial: Lima Norte</t>
  </si>
  <si>
    <t>Distrito Judicial: Puente Piedra-Ventanilla</t>
  </si>
  <si>
    <t>Nota: El contacto deberá iniciarse con al menos 2 semanas de anticipación</t>
  </si>
  <si>
    <t>Leyenda:</t>
  </si>
  <si>
    <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</si>
  <si>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</si>
  <si>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</si>
  <si>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</si>
  <si>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</si>
  <si>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</si>
  <si>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</si>
  <si>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</si>
  <si>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</si>
  <si>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</si>
  <si>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</si>
  <si>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</si>
  <si>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</si>
  <si>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</si>
  <si>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</si>
  <si>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</si>
  <si>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</si>
  <si>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</si>
  <si>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</si>
  <si>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</si>
  <si>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</si>
  <si>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</si>
  <si>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</si>
  <si>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</si>
  <si>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</si>
  <si>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</si>
  <si>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</si>
  <si>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</si>
  <si>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</si>
  <si>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</si>
  <si>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</si>
  <si>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</si>
  <si>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</si>
  <si>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</si>
  <si>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</si>
  <si>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</si>
  <si>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</si>
  <si>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</si>
  <si>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</si>
  <si>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</si>
  <si>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</si>
  <si>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</si>
  <si>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</si>
  <si>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</si>
  <si>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</si>
  <si>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</si>
  <si>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</si>
  <si>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</si>
  <si>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</si>
  <si>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</si>
  <si>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</si>
  <si>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</si>
  <si>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</si>
  <si>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</si>
  <si>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</si>
  <si>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</si>
  <si>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</si>
  <si>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</si>
  <si>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</si>
  <si>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</si>
  <si>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</si>
  <si>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</si>
  <si>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</si>
  <si>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</si>
  <si>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</si>
  <si>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</si>
  <si>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</si>
  <si>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</si>
  <si>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</si>
  <si>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</si>
  <si>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</si>
  <si>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</si>
  <si>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</si>
  <si>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</si>
  <si>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</si>
  <si>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</si>
  <si>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</si>
  <si>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</si>
  <si>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</si>
  <si>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</si>
  <si>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</si>
  <si>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</si>
  <si>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</si>
  <si>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</si>
  <si>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</si>
  <si>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</si>
  <si>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</si>
  <si>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</si>
  <si>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</si>
  <si>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</si>
  <si>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</si>
  <si>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</si>
  <si>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</si>
  <si>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</si>
  <si>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</si>
  <si>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</si>
  <si>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</si>
  <si>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</si>
  <si>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</si>
  <si>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</si>
  <si>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</si>
  <si>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</si>
  <si>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</si>
  <si>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</si>
  <si>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</si>
  <si>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</si>
  <si>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</si>
  <si>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</si>
  <si>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</si>
  <si>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</si>
  <si>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</si>
  <si>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</si>
  <si>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</si>
  <si>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</si>
  <si>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</si>
  <si>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</si>
  <si>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</si>
  <si>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</si>
  <si>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</si>
  <si>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</si>
  <si>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</si>
  <si>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</si>
  <si>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</si>
  <si>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</si>
  <si>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</si>
  <si>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</si>
  <si>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</si>
  <si>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</si>
  <si>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</si>
  <si>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</si>
  <si>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</si>
  <si>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</si>
  <si>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</si>
  <si>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</si>
  <si>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</si>
  <si>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</si>
  <si>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</si>
  <si>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</si>
  <si>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</si>
  <si>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</si>
  <si>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</si>
  <si>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</si>
  <si>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</si>
  <si>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</si>
  <si>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</si>
  <si>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</si>
  <si>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</si>
  <si>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</si>
  <si>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</si>
  <si>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</si>
  <si>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</si>
  <si>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</si>
  <si>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</si>
  <si>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</si>
  <si>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</si>
  <si>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</si>
  <si>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</si>
  <si>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</si>
  <si>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</si>
  <si>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</si>
  <si>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</si>
  <si>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</si>
  <si>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</si>
  <si>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</si>
  <si>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</si>
  <si>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</si>
  <si>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</si>
  <si>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</si>
  <si>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</si>
  <si>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</si>
  <si>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</si>
  <si>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</si>
  <si>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</si>
  <si>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</si>
  <si>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</si>
  <si>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</si>
  <si>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</si>
  <si>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</si>
  <si>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</si>
  <si>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</si>
  <si>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</si>
  <si>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</si>
  <si>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</si>
  <si>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</si>
  <si>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</si>
  <si>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</si>
  <si>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</si>
  <si>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</si>
  <si>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</si>
  <si>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</si>
  <si>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</si>
  <si>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</si>
  <si>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</si>
  <si>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</si>
  <si>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</si>
  <si>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</si>
  <si>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</si>
  <si>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</si>
  <si>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</si>
  <si>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</si>
  <si>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</si>
  <si>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</si>
  <si>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</si>
  <si>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</si>
  <si>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</si>
  <si>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</si>
  <si>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</si>
  <si>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</si>
  <si>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</si>
  <si>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</si>
  <si>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</si>
  <si>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</si>
  <si>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</si>
  <si>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</si>
  <si>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</si>
  <si>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</si>
  <si>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</si>
  <si>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</si>
  <si>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</si>
  <si>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</si>
  <si>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</si>
  <si>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</si>
  <si>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</si>
  <si>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</si>
  <si>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</si>
  <si>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</si>
  <si>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</si>
  <si>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</si>
  <si>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</si>
  <si>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</si>
  <si>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</si>
  <si>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</si>
  <si>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</si>
  <si>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</si>
  <si>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</si>
  <si>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</si>
  <si>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</si>
  <si>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</si>
  <si>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</si>
  <si>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</si>
  <si>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</si>
  <si>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</si>
  <si>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</si>
  <si>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</si>
  <si>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</si>
  <si>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</si>
  <si>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</si>
  <si>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</si>
  <si>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</si>
  <si>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</si>
  <si>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</si>
  <si>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</si>
  <si>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</si>
  <si>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</si>
  <si>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</si>
  <si>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</si>
  <si>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</si>
  <si>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</si>
  <si>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</si>
  <si>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</si>
  <si>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</si>
  <si>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</si>
  <si>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</si>
  <si>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</si>
  <si>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</si>
  <si>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</si>
  <si>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</si>
  <si>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</si>
  <si>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</si>
  <si>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</si>
  <si>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</si>
  <si>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</si>
  <si>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</si>
  <si>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</si>
  <si>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</si>
  <si>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</si>
  <si>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</si>
  <si>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</si>
  <si>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</si>
  <si>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</si>
  <si>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</si>
  <si>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</si>
  <si>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</si>
  <si>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</si>
  <si>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</si>
  <si>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</si>
  <si>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</si>
  <si>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</si>
  <si>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</si>
  <si>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</si>
  <si>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</si>
  <si>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</si>
  <si>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</si>
  <si>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</si>
  <si>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</si>
  <si>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</si>
  <si>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</si>
  <si>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</si>
  <si>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</si>
  <si>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</si>
  <si>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</si>
  <si>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</si>
  <si>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</si>
  <si>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</si>
  <si>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</si>
  <si>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</si>
  <si>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</si>
  <si>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</si>
  <si>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</si>
  <si>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</si>
  <si>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</si>
  <si>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</si>
  <si>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</si>
  <si>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</si>
  <si>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</si>
  <si>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</si>
  <si>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</si>
  <si>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</si>
  <si>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</si>
  <si>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</si>
  <si>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</si>
  <si>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</si>
  <si>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</si>
  <si>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</si>
  <si>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</si>
  <si>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</si>
  <si>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</si>
  <si>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</si>
  <si>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</si>
  <si>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</si>
  <si>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</si>
  <si>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</si>
  <si>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</si>
  <si>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</si>
  <si>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</si>
  <si>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</si>
  <si>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</si>
  <si>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</si>
  <si>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</si>
  <si>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</si>
  <si>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</si>
  <si>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</si>
  <si>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</si>
  <si>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</si>
  <si>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</si>
  <si>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</si>
  <si>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</si>
  <si>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</si>
  <si>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</si>
  <si>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</si>
  <si>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</si>
  <si>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</si>
  <si>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</si>
  <si>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</si>
  <si>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</si>
  <si>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</si>
  <si>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</si>
  <si>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</si>
  <si>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</si>
  <si>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</si>
  <si>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</si>
  <si>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</si>
  <si>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</si>
  <si>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</si>
  <si>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</si>
  <si>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</si>
  <si>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</si>
  <si>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</si>
  <si>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</si>
  <si>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</si>
  <si>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</si>
  <si>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</si>
  <si>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</si>
  <si>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</si>
  <si>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</si>
  <si>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</si>
  <si>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</si>
  <si>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</si>
  <si>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</si>
  <si>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</si>
  <si>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</si>
  <si>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</si>
  <si>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</si>
  <si>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</si>
  <si>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</si>
  <si>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</si>
  <si>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</si>
  <si>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</si>
  <si>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</si>
  <si>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</si>
  <si>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</si>
  <si>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</si>
  <si>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</si>
  <si>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</si>
  <si>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</si>
  <si>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</si>
  <si>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</si>
  <si>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</si>
  <si>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</si>
  <si>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</si>
  <si>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</si>
  <si>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</si>
  <si>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</si>
  <si>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</si>
  <si>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</si>
  <si>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</si>
  <si>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</si>
  <si>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</si>
  <si>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</si>
  <si>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</si>
  <si>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</si>
  <si>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</si>
  <si>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</si>
  <si>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</si>
  <si>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</si>
  <si>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</si>
  <si>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</si>
  <si>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</si>
  <si>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</si>
  <si>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</si>
  <si>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</si>
  <si>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</si>
  <si>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</si>
  <si>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</si>
  <si>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</si>
  <si>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</si>
  <si>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</si>
  <si>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</si>
  <si>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</si>
  <si>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</si>
  <si>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</si>
  <si>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</si>
  <si>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</si>
  <si>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</si>
  <si>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</si>
  <si>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</si>
  <si>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</si>
  <si>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</si>
  <si>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</si>
  <si>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</si>
  <si>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</si>
  <si>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</si>
  <si>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</si>
  <si>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</si>
  <si>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</si>
  <si>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</si>
  <si>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</si>
  <si>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</si>
  <si>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</si>
  <si>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</si>
  <si>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</si>
  <si>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</si>
  <si>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</si>
  <si>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</si>
  <si>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</si>
  <si>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</si>
  <si>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</si>
  <si>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</si>
  <si>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</si>
  <si>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</si>
  <si>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</si>
  <si>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</si>
  <si>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</si>
  <si>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</si>
  <si>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</si>
  <si>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</si>
  <si>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</si>
  <si>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</si>
  <si>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</si>
  <si>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</si>
  <si>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</si>
  <si>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</si>
  <si>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</si>
  <si>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</si>
  <si>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</si>
  <si>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</si>
  <si>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</si>
  <si>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</si>
  <si>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</si>
  <si>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</si>
  <si>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</si>
  <si>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</si>
  <si>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</si>
  <si>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</si>
  <si>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</si>
  <si>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</si>
  <si>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</si>
  <si>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</si>
  <si>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</si>
  <si>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</si>
  <si>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</si>
  <si>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</si>
  <si>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</si>
  <si>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</si>
  <si>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</si>
  <si>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</si>
  <si>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</si>
  <si>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</si>
  <si>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</si>
  <si>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</si>
  <si>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</si>
  <si>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</si>
  <si>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</si>
  <si>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</si>
  <si>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</si>
  <si>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</si>
  <si>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</si>
  <si>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</si>
  <si>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</si>
  <si>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</si>
  <si>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</si>
  <si>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</si>
  <si>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</si>
  <si>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</si>
  <si>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</si>
  <si>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</si>
  <si>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</si>
  <si>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</si>
  <si>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</si>
  <si>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</si>
  <si>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</si>
  <si>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</si>
  <si>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</si>
  <si>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</si>
  <si>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</si>
  <si>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</si>
  <si>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</si>
  <si>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</si>
  <si>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</si>
  <si>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</si>
  <si>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</si>
  <si>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</si>
  <si>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</si>
  <si>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</si>
  <si>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</si>
  <si>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</si>
  <si>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</si>
  <si>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</si>
  <si>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</si>
  <si>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</si>
  <si>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</si>
  <si>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</si>
  <si>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</si>
  <si>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</si>
  <si>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</si>
  <si>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</si>
  <si>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</si>
  <si>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</si>
  <si>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</si>
  <si>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</si>
  <si>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</si>
  <si>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</si>
  <si>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</si>
  <si>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</si>
  <si>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</si>
  <si>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</si>
  <si>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</si>
  <si>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</si>
  <si>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</si>
  <si>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</si>
  <si>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Nombre</t>
  </si>
  <si>
    <t>Guadalupe Hinojosa Valencia</t>
  </si>
  <si>
    <t>Isabel López Meza</t>
  </si>
  <si>
    <t>Víctor García</t>
  </si>
  <si>
    <t>Marlene Molero Suárez</t>
  </si>
  <si>
    <t>Marilú Martens Cortés</t>
  </si>
  <si>
    <t>Rafael Casas</t>
  </si>
  <si>
    <t>Sonia Gleci Frisancho Pacheco</t>
  </si>
  <si>
    <t>Alejandra Saffon</t>
  </si>
  <si>
    <t>Elena Portilla Odlianitskaya</t>
  </si>
  <si>
    <t>Alejandra Alayza</t>
  </si>
  <si>
    <t>Miguel Lévano</t>
  </si>
  <si>
    <t>Esteban Caballero</t>
  </si>
  <si>
    <t>Hugo González Coltrinari</t>
  </si>
  <si>
    <t>Tomás Lopes-Teixeira</t>
  </si>
  <si>
    <t>Issam Abousleiman</t>
  </si>
  <si>
    <t>Carlos Jesús Vilela</t>
  </si>
  <si>
    <t>Mónica Mendez Cabezas</t>
  </si>
  <si>
    <t>Kenny Jorge Perez Diaz</t>
  </si>
  <si>
    <t>Laura Esther Agama Fernández</t>
  </si>
  <si>
    <t>Doris Godoy Cortez</t>
  </si>
  <si>
    <t>Rosa Peña</t>
  </si>
  <si>
    <t>Angie Vargas</t>
  </si>
  <si>
    <t>Jharith Mogollón Villafuerte</t>
  </si>
  <si>
    <t>Rossina Guerrero</t>
  </si>
  <si>
    <t>Augusto Altamirano Vega</t>
  </si>
  <si>
    <t>María Luci Malpartida Galán</t>
  </si>
  <si>
    <t>Rosa Viviana Ciriaco Marcatinco</t>
  </si>
  <si>
    <t>Karen De Los Milagros Ucañan Cachy</t>
  </si>
  <si>
    <t>Israel Mendez Miguel</t>
  </si>
  <si>
    <t>María Barbara Venemans De Wilde</t>
  </si>
  <si>
    <t>Martha Fernandez Albornett</t>
  </si>
  <si>
    <t>Rocío Roncal Rojas</t>
  </si>
  <si>
    <t>Pascual Benjamín Rivera Montoya</t>
  </si>
  <si>
    <t>Coronel Ernesto Peña</t>
  </si>
  <si>
    <t>Fátima Joyo Zaga</t>
  </si>
  <si>
    <t>Epifania Chagua Timoteo</t>
  </si>
  <si>
    <t>Banesa Farfan Saravia</t>
  </si>
  <si>
    <t>Rocío Silva Santiesteban</t>
  </si>
  <si>
    <t>Magali Aguilar</t>
  </si>
  <si>
    <t>Laura Maurtua</t>
  </si>
  <si>
    <t>Flavia Martinez Tarazona</t>
  </si>
  <si>
    <t>Lorena Farroñan</t>
  </si>
  <si>
    <t>Cecilia Ancajima</t>
  </si>
  <si>
    <t>Estrelia Nizama Ruiz</t>
  </si>
  <si>
    <t>Elba Zegarra Vila</t>
  </si>
  <si>
    <t>Flavio Flores Chuquipoma</t>
  </si>
  <si>
    <t>Mendoza Barrantes Mericia</t>
  </si>
  <si>
    <t>Calizaya Cruz Nicanor Efrain</t>
  </si>
  <si>
    <t>Ketty Marcelo López</t>
  </si>
  <si>
    <t>Por definir</t>
  </si>
  <si>
    <t>Kathia Villar</t>
  </si>
  <si>
    <t>Silvia Sandobal Gerrero</t>
  </si>
  <si>
    <t>Alejandra Ballón-Gutiérrez</t>
  </si>
  <si>
    <t>Mercedes Neves Murillo</t>
  </si>
  <si>
    <t>Rosemary Pioc</t>
  </si>
  <si>
    <t>Henry Mercado</t>
  </si>
  <si>
    <t>Lorena Ruiz</t>
  </si>
  <si>
    <t>María Ysabel Cedano</t>
  </si>
  <si>
    <t>Rocío Villanueva Flores</t>
  </si>
  <si>
    <t>Eliana Revollar Añaños</t>
  </si>
  <si>
    <t>Jacqueline Julissa Pérez Castañeda</t>
  </si>
  <si>
    <t>Delia Milagros Espinoza Valenzuela</t>
  </si>
  <si>
    <t>Judith Gisella Caruhapoma Ortega</t>
  </si>
  <si>
    <t>Ingrid Carola Chumbe Rodriguez</t>
  </si>
  <si>
    <t>Juan Carlos Villena Campana</t>
  </si>
  <si>
    <t>Sebastian Ticona Flores</t>
  </si>
  <si>
    <t>Griselda Venero De Monteagudo</t>
  </si>
  <si>
    <t>Sofia Milla Meza</t>
  </si>
  <si>
    <t>Jhonny Ruelas Roque</t>
  </si>
  <si>
    <t>Gilder Zapana Mayta</t>
  </si>
  <si>
    <t>Helem Retamozo Meza</t>
  </si>
  <si>
    <t>Diana Ildaura Suquilanda Zavalaga</t>
  </si>
  <si>
    <t>Pedro Luza Chullo</t>
  </si>
  <si>
    <t>Mirco Coz Berrospi</t>
  </si>
  <si>
    <t>Maria Elena Tores Quispe</t>
  </si>
  <si>
    <t>Claudia Belinda Chirito Cano</t>
  </si>
  <si>
    <t>Marco Antonio Yaipen Zapata</t>
  </si>
  <si>
    <t>Gladys Pendola Arviza</t>
  </si>
  <si>
    <t>Fritz Elias Espinoza</t>
  </si>
  <si>
    <t>Raúl Solórzano Cosar</t>
  </si>
  <si>
    <t>Marco Leopoldo De La Cruz Espejo</t>
  </si>
  <si>
    <t>Cristian Araujo Morales</t>
  </si>
  <si>
    <t>Luis Antonio Tejada Llerena</t>
  </si>
  <si>
    <t>Miguel Angel Villalobos Caballero</t>
  </si>
  <si>
    <t xml:space="preserve">Lilian Rueda Curimanea </t>
  </si>
  <si>
    <t>Jorge Fernandez Mavila</t>
  </si>
  <si>
    <t>Armando Molero Pimienta</t>
  </si>
  <si>
    <t>Rodolfo Huaman Flores</t>
  </si>
  <si>
    <t>John Henrry Martel Trujillo</t>
  </si>
  <si>
    <t>Mariano Rodolfo Valdivia Valdarrago</t>
  </si>
  <si>
    <t>Rodolfo Vega Billan</t>
  </si>
  <si>
    <t>Fanny Elizabeth Suarez Coaguila</t>
  </si>
  <si>
    <t>Cesar Manuel Calderón Moreno</t>
  </si>
  <si>
    <t>Liz Ivone Torres Díaz</t>
  </si>
  <si>
    <t>Abilio Escobar Quispe</t>
  </si>
  <si>
    <t>Diana Suquilanda Zavalaga</t>
  </si>
  <si>
    <t>Luis Alberto Garcia Santos</t>
  </si>
  <si>
    <t>Henry Rómulo Lahud Ordóñez</t>
  </si>
  <si>
    <t>Esperanza Huamán Aguado</t>
  </si>
  <si>
    <t>Lizbeth Benites Chuman</t>
  </si>
  <si>
    <t>German Davila Gabriel</t>
  </si>
  <si>
    <t>Fernando Hoyos Portal</t>
  </si>
  <si>
    <t xml:space="preserve">Victoria  Cuba Sotomayor </t>
  </si>
  <si>
    <t>Ingrid Chumbe Rodriguez</t>
  </si>
  <si>
    <t>Rocio Estacion Casanova</t>
  </si>
  <si>
    <t>Miranda Vidaurre</t>
  </si>
  <si>
    <t>Edgar Alfredo Rebaza Vargas</t>
  </si>
  <si>
    <t>Marco de la Cruz Espejo</t>
  </si>
  <si>
    <t>Luis Humberto Castilla Malca</t>
  </si>
  <si>
    <t>Juan Carlos Santillan Tuesta</t>
  </si>
  <si>
    <t>Carmen Maria Lopez Vasquez</t>
  </si>
  <si>
    <t>Sandra Teresa Sulca Martinez</t>
  </si>
  <si>
    <t>Geronimo De La Cruz Jaime</t>
  </si>
  <si>
    <t>Jim Ramirez Figueroa</t>
  </si>
  <si>
    <t>Rocio Marin Sandoval</t>
  </si>
  <si>
    <t>Hermogenes Lima Chayña</t>
  </si>
  <si>
    <t>Jessenia Tafur Rios</t>
  </si>
  <si>
    <t>Federick Rivera Berrospi</t>
  </si>
  <si>
    <t>Rosario Marlene Dávila Arquiñigo</t>
  </si>
  <si>
    <t>Silvia Salazar Mendoza</t>
  </si>
  <si>
    <t>Jorge Eduardo Ángeles Valiente</t>
  </si>
  <si>
    <t>Raquel Ocampo Alvarado</t>
  </si>
  <si>
    <t>Loaiza Suarez</t>
  </si>
  <si>
    <t>Ana Cecilia Garay Molina</t>
  </si>
  <si>
    <t>Janet Ofelia Lourdes Tello Gilardi</t>
  </si>
  <si>
    <t>Ana Maria Aranda Rodriguez</t>
  </si>
  <si>
    <t>Claudia Cabaillas Quevedo</t>
  </si>
  <si>
    <t>Allen Jonny Neyra Ascencios</t>
  </si>
  <si>
    <t>Yone Pedro Li Córdova</t>
  </si>
  <si>
    <t>Jenny Maribel Bazan Escalante</t>
  </si>
  <si>
    <t>Cabrera Barrantes Norberto</t>
  </si>
  <si>
    <t>Reynaldo Elias Cajamarca Porras</t>
  </si>
  <si>
    <t>Marino Gabriel Cusimayta Barreto</t>
  </si>
  <si>
    <t>Jorge Guillermo Fernández Ceballos</t>
  </si>
  <si>
    <t>Ricardo Samuel Del Pozo Moreno</t>
  </si>
  <si>
    <t>Ana Mirella Vasquez Bustamante</t>
  </si>
  <si>
    <t>Renzo Manuel Medina Chavez</t>
  </si>
  <si>
    <t>Denny Chavez Morales</t>
  </si>
  <si>
    <t>Oscar Manuel Arriola Delgado</t>
  </si>
  <si>
    <t>Eliam Rene Silva García</t>
  </si>
  <si>
    <t>Nerdaly Sareli Cerrón Poma</t>
  </si>
  <si>
    <t>COMISARIA DE LA MUJER  (Independencia)</t>
  </si>
  <si>
    <t>Carlos Alejandro Céspedes Muñoz</t>
  </si>
  <si>
    <t>Luis Miguel Gamarra Chavarry</t>
  </si>
  <si>
    <t>Zenón Santos Loayza Díaz</t>
  </si>
  <si>
    <t>Fredy López Mendoza</t>
  </si>
  <si>
    <t>Región Policial Lambayeque de la PNP</t>
  </si>
  <si>
    <t>Región Policial La Libertad de la PNP</t>
  </si>
  <si>
    <t>Región Policial Loreto de la PNP</t>
  </si>
  <si>
    <t>Región Policial Huánuco de la PNP</t>
  </si>
  <si>
    <t xml:space="preserve">Región Policial Arequipa de la PNP </t>
  </si>
  <si>
    <t xml:space="preserve">Región Policial Puno de la PNP </t>
  </si>
  <si>
    <t xml:space="preserve">Región Policial Ucayali de la PNP </t>
  </si>
  <si>
    <t>Eva Ambicho Mandujano</t>
  </si>
  <si>
    <t xml:space="preserve">Región Policial Junín de la PNP </t>
  </si>
  <si>
    <t xml:space="preserve">Región Policial Cusco de la PNP </t>
  </si>
  <si>
    <t>Región Policial Ayacucho de la PNP</t>
  </si>
  <si>
    <t>Región Policial San Martín de la PNP</t>
  </si>
  <si>
    <t>Región Policial Áncash de la PNP</t>
  </si>
  <si>
    <t xml:space="preserve">Frente Policial Ica de la PNP </t>
  </si>
  <si>
    <t>Rosa Alicia Noriega Portal</t>
  </si>
  <si>
    <t>Frente Policial Apurímac de la PNP</t>
  </si>
  <si>
    <t xml:space="preserve">Región Policial Lima de la PNP </t>
  </si>
  <si>
    <t>Región Policial de Amazonas de la PNP</t>
  </si>
  <si>
    <t>Frente Policial Cajamarca de la PNP</t>
  </si>
  <si>
    <t>DIVPNA Comas</t>
  </si>
  <si>
    <t>Sonia Alvarez Quevedo</t>
  </si>
  <si>
    <t>Maribel Amalia Varias Aguilar</t>
  </si>
  <si>
    <t>Evelin Yauri Aliaga</t>
  </si>
  <si>
    <t>Denisse Jannet Espinoza Mendoza</t>
  </si>
  <si>
    <t>Manuel Tamayo</t>
  </si>
  <si>
    <t>Rosa Hidalgo</t>
  </si>
  <si>
    <t>Luzmelit Oliva Tapia</t>
  </si>
  <si>
    <t>Bethy Norma Hernandez Dominguez</t>
  </si>
  <si>
    <t>Lucy Emilia Chaupis Valverde</t>
  </si>
  <si>
    <t>Freddy Héctor Mallqui Basilio</t>
  </si>
  <si>
    <t>Karin Rosario Crispín Sotelo</t>
  </si>
  <si>
    <t>Yuli Jaime De La Cruz</t>
  </si>
  <si>
    <t>Roxana Rojas Mendoza</t>
  </si>
  <si>
    <t>Felix Dulio Sobrado Chavez</t>
  </si>
  <si>
    <t>Deysi Luz Flores Huamán</t>
  </si>
  <si>
    <t>Carmen Dora Martínez Del Aguila</t>
  </si>
  <si>
    <t>Silvio Mestanza Dominguez</t>
  </si>
  <si>
    <t xml:space="preserve"> Jose Miguel Chavez Montero</t>
  </si>
  <si>
    <t>Yamille Llona Pinillos</t>
  </si>
  <si>
    <t>Felipe Vara Marquez</t>
  </si>
  <si>
    <t>Yrma Eloisa Pezo Diaz</t>
  </si>
  <si>
    <t>Mary Isabel Zavala Julca</t>
  </si>
  <si>
    <t>Elizabeth Malpartida Bonilla</t>
  </si>
  <si>
    <t>Yhina Maribel Coaquira Huarilloclla</t>
  </si>
  <si>
    <t>Rebeca Luna Asencios</t>
  </si>
  <si>
    <t>Frits Acosta Garcia</t>
  </si>
  <si>
    <t>Flor De Milagros Conopuma Lara</t>
  </si>
  <si>
    <t>Doris Elizabeth Rabanal Castañeda</t>
  </si>
  <si>
    <t>Aurora Lucila Castrejon Valdez</t>
  </si>
  <si>
    <t>Milagro Soledad Vallejos Castañeda</t>
  </si>
  <si>
    <t>Martin Ernesto Zambrano Chilon</t>
  </si>
  <si>
    <t>Mariela Gianinna Sebastiani Chavez</t>
  </si>
  <si>
    <t>Janet Martha Gómez Huamán</t>
  </si>
  <si>
    <t>Patricia Milagros Garrido Rengifo</t>
  </si>
  <si>
    <t>Melchora Milagros Ríos García</t>
  </si>
  <si>
    <t>Laura Agama Fernández</t>
  </si>
  <si>
    <t>Gerardo Alfonso Marín Lopez</t>
  </si>
  <si>
    <t>Nelly Herrera Santos</t>
  </si>
  <si>
    <t>Raquel Salcedo</t>
  </si>
  <si>
    <t>Rita Rengifo Melendez</t>
  </si>
  <si>
    <t>Lidia Saavedra</t>
  </si>
  <si>
    <t>Hilda Huayhua Mamani</t>
  </si>
  <si>
    <t>Yessenia Chombo Zeballos</t>
  </si>
  <si>
    <t>Pilar Manrique</t>
  </si>
  <si>
    <t>Mercedes Arce</t>
  </si>
  <si>
    <t>Amire Romina Ortiz Arica</t>
  </si>
  <si>
    <t>Yohanny González</t>
  </si>
  <si>
    <t>Clea Guerra</t>
  </si>
  <si>
    <t>Luz Medina Gonzales</t>
  </si>
  <si>
    <t>Víctor Félix Choquehuanca Vilca</t>
  </si>
  <si>
    <t>Billy Rimari Quinto</t>
  </si>
  <si>
    <t>Yovana Garfias Damiano</t>
  </si>
  <si>
    <t>Nixa Ynes Ahuite Laiche</t>
  </si>
  <si>
    <t>Ania Pastor</t>
  </si>
  <si>
    <t>Elizabeth Estrella Quispe</t>
  </si>
  <si>
    <t>María Juarez Vera</t>
  </si>
  <si>
    <t>Ana Isabo</t>
  </si>
  <si>
    <t>Pilar Rojas Torres</t>
  </si>
  <si>
    <t>Marlenny Cespedes Rio</t>
  </si>
  <si>
    <t>Evelyn Muñoz Oscategui</t>
  </si>
  <si>
    <t>Maria Elena Figueroa</t>
  </si>
  <si>
    <t>Maria Teresa Barreda</t>
  </si>
  <si>
    <t>Virginia Yañez Díaz</t>
  </si>
  <si>
    <t>Maria Arispe</t>
  </si>
  <si>
    <t>Janet Ortega</t>
  </si>
  <si>
    <t>Cynthia Solono Gammarra</t>
  </si>
  <si>
    <t>Margot Nivin Vargas</t>
  </si>
  <si>
    <t>Marlene Vivanco</t>
  </si>
  <si>
    <t>Margarita Juarez Vera</t>
  </si>
  <si>
    <t>Miluska Meza Sanchez</t>
  </si>
  <si>
    <t>Yaqueline Loayza</t>
  </si>
  <si>
    <t>Graciela Satan Reyes</t>
  </si>
  <si>
    <t>Cynthia Tatiana Clavijo Saldorriaga</t>
  </si>
  <si>
    <t>Georgina Gladys</t>
  </si>
  <si>
    <t>Rita Rengifo Garcia</t>
  </si>
  <si>
    <t>Maribel Pacaya</t>
  </si>
  <si>
    <t>Lucy Laos Quintana</t>
  </si>
  <si>
    <t>Maria Vega Riguez</t>
  </si>
  <si>
    <t>Rosa Ofelia Tauma Flores</t>
  </si>
  <si>
    <t>Nina Betty Sanchez</t>
  </si>
  <si>
    <t>Feliza Ponce Ventura</t>
  </si>
  <si>
    <t>Gilda Lopa Sebastian</t>
  </si>
  <si>
    <t>Epifania Valdiviezo</t>
  </si>
  <si>
    <t xml:space="preserve">Delia Marfil </t>
  </si>
  <si>
    <t>María Dolores Gutiérrez</t>
  </si>
  <si>
    <t>Sonia Condori Mitma</t>
  </si>
  <si>
    <t>Leyden María Capa Barrios</t>
  </si>
  <si>
    <t>Nancy Navarro</t>
  </si>
  <si>
    <t>Rosa Rivera</t>
  </si>
  <si>
    <t>Jhinna Pinclu Calaypo</t>
  </si>
  <si>
    <t>Walter Eleodoro Martinez Laura</t>
  </si>
  <si>
    <t>Julio Cesar Zumaeta Hernandez</t>
  </si>
  <si>
    <t>Raul Eduardo Melgarejo Olortegui</t>
  </si>
  <si>
    <t>Silber Sanchez Camacho</t>
  </si>
  <si>
    <t>Elena Zoila Villegas Portilla</t>
  </si>
  <si>
    <t>Wilver Felix Bautista Vallejo</t>
  </si>
  <si>
    <t>Andy William Guevara Acuña</t>
  </si>
  <si>
    <t>Richard Florentino Ponciano Anchante</t>
  </si>
  <si>
    <t>Karla Lisseth Medina Grimaldo</t>
  </si>
  <si>
    <t>Robert Chavez Hurtado</t>
  </si>
  <si>
    <t>Sthevens Alain Cunya Ordoñez</t>
  </si>
  <si>
    <t>Carmen Cecilia Cook Gonzales</t>
  </si>
  <si>
    <t>Rolando Federico Depaz Hizo</t>
  </si>
  <si>
    <t>Gustavo Joe Matta Nuñez</t>
  </si>
  <si>
    <t>María Rosa Marín Villanueva</t>
  </si>
  <si>
    <t>Samuel Diaz Gonzales</t>
  </si>
  <si>
    <t>Jorge Manuel Puicon Uceda</t>
  </si>
  <si>
    <t>Carlos Manuel Gallegos Puma</t>
  </si>
  <si>
    <t>Jose Manuel Guevara Caicedo</t>
  </si>
  <si>
    <t>Julio Raúl Navarro Mendevil</t>
  </si>
  <si>
    <t>Eberth William Mendoza Neira</t>
  </si>
  <si>
    <t>Luis Carlos Paredes Arbildo</t>
  </si>
  <si>
    <t>Cesar Arque Meza</t>
  </si>
  <si>
    <t>Ruth Omaira Valdivia Castillo De Mercado</t>
  </si>
  <si>
    <t>Joseph Pasco Campana Porras</t>
  </si>
  <si>
    <t>Pierr Abisai Adrianzen Roman</t>
  </si>
  <si>
    <t>Victor Landa Farati</t>
  </si>
  <si>
    <t>Juan Manuel Vásquez Carranza</t>
  </si>
  <si>
    <t>Henry Valentín Nureña Castillo</t>
  </si>
  <si>
    <t>Jesus Alfonso Jauregui Torres</t>
  </si>
  <si>
    <t>Gregorio Alexander Purizaca Vignolo</t>
  </si>
  <si>
    <t>Brenda Gabriela Sanga Coarite</t>
  </si>
  <si>
    <t>Carlos David Zuñiga Diaz</t>
  </si>
  <si>
    <t>Jorge Enrique Kaqui Quiñonez</t>
  </si>
  <si>
    <t>Donal Segovia Soto</t>
  </si>
  <si>
    <t>Ferrey De La Cruz Vila</t>
  </si>
  <si>
    <t xml:space="preserve">Dayma Gabriela Navia Canal </t>
  </si>
  <si>
    <t>Olga Huaman Ortiz</t>
  </si>
  <si>
    <t>Jesús Martin Cahua Huamán</t>
  </si>
  <si>
    <t>Josué Manuel Gutérrez Cóndor</t>
  </si>
  <si>
    <t>Luz Isabel Mejía Cunovilla De Yamaguchi</t>
  </si>
  <si>
    <t>Sandra Yessica Ramos Flores</t>
  </si>
  <si>
    <t>Marco Octavio Durand Rocca</t>
  </si>
  <si>
    <t>Soledad Elena Rodríguez Loli</t>
  </si>
  <si>
    <t>Genoveva Gómez Vargas</t>
  </si>
  <si>
    <t>Pamela Huerta</t>
  </si>
  <si>
    <t>Adriana León</t>
  </si>
  <si>
    <t>Fiorella Montaño</t>
  </si>
  <si>
    <t>Gianfranco Huamán</t>
  </si>
  <si>
    <t>Gloria Ziegler</t>
  </si>
  <si>
    <t>Paloma Verano</t>
  </si>
  <si>
    <t>Pedro Luis Ramos Martinez</t>
  </si>
  <si>
    <t>Paola Ugaz</t>
  </si>
  <si>
    <t>Juana Avellaneda</t>
  </si>
  <si>
    <t>Claudia Cisneros</t>
  </si>
  <si>
    <t>Rocío Romero Benites</t>
  </si>
  <si>
    <t>Fabiola Torres Lopez</t>
  </si>
  <si>
    <t>Olivia Chava Sotelo</t>
  </si>
  <si>
    <t>Lorena Álvarez</t>
  </si>
  <si>
    <t>Sofìa Carrillo Zegarra</t>
  </si>
  <si>
    <t>Ariana Lira Delcore</t>
  </si>
  <si>
    <t>Pilar Yasmint Sotelo Tello</t>
  </si>
  <si>
    <t>Juan Manuel Pichihua Torres</t>
  </si>
  <si>
    <t>Rosa Karina Bueno Dueñas</t>
  </si>
  <si>
    <t>Anali Anadrade Pareja</t>
  </si>
  <si>
    <t>Javier Malpartida Urzubiaga</t>
  </si>
  <si>
    <t xml:space="preserve">Carmen Vicente Oscco </t>
  </si>
  <si>
    <t>Daniel Ernesto Cerna Salazar</t>
  </si>
  <si>
    <t>Lincoln Arturo Leon</t>
  </si>
  <si>
    <t>Carla Verano Bullón</t>
  </si>
  <si>
    <t>Keyli Cordero Guillen</t>
  </si>
  <si>
    <t>Rossana Dudziak</t>
  </si>
  <si>
    <t>Cristel Damian</t>
  </si>
  <si>
    <t>Karim Velasco</t>
  </si>
  <si>
    <t>Antonino De Leo</t>
  </si>
  <si>
    <t>José Roberto Piqueras Bouillon</t>
  </si>
  <si>
    <t>Teresina Muñoz Najar</t>
  </si>
  <si>
    <t>Zoila Merino Roque</t>
  </si>
  <si>
    <t>Judith Nunta Guimaraes</t>
  </si>
  <si>
    <t>Wilson Anthony Siancas</t>
  </si>
  <si>
    <t>Estefany Luján Quispe</t>
  </si>
  <si>
    <t>Katherine Subirana Abanto</t>
  </si>
  <si>
    <t>Lourdes Fernández Calvo</t>
  </si>
  <si>
    <t>Graciela Tiburcio Loayza</t>
  </si>
  <si>
    <t>Graciela Reátegui</t>
  </si>
  <si>
    <t>Amalia Añez</t>
  </si>
  <si>
    <t>Jimena Chavez</t>
  </si>
  <si>
    <t>Susana Gonzalez</t>
  </si>
  <si>
    <t>Giannina Castro Gamarra</t>
  </si>
  <si>
    <t>Carmen Arróspide Poblete</t>
  </si>
  <si>
    <t>Carolina Vera Torres</t>
  </si>
  <si>
    <t>Elena Reyes</t>
  </si>
  <si>
    <t>Keyland Allca Chacaliaza</t>
  </si>
  <si>
    <t>Magaly Ávila</t>
  </si>
  <si>
    <t>Adhely Bellido Castro</t>
  </si>
  <si>
    <t>Lourdes Maritza Jesús Soplin Servan</t>
  </si>
  <si>
    <t>Carmen Espinoza</t>
  </si>
  <si>
    <t>Leonor Perez-Durand</t>
  </si>
  <si>
    <t>Beatriz Gamarra</t>
  </si>
  <si>
    <t>Ayesha Dávila Torres</t>
  </si>
  <si>
    <t>Pedro Martín Fuentes Sotelo</t>
  </si>
  <si>
    <t>Eysler Nieto</t>
  </si>
  <si>
    <t>Elga Prado</t>
  </si>
  <si>
    <t>Katherine Flores</t>
  </si>
  <si>
    <t>Giovanna Maria Cavero Mogollon</t>
  </si>
  <si>
    <t>Lina Amelia Maldonado Córdova</t>
  </si>
  <si>
    <t>Ines Mariel Barrón Rodríguez</t>
  </si>
  <si>
    <t>Jonatan Basagoitia Cárdenas</t>
  </si>
  <si>
    <t>Luz Janet Rugel Medina</t>
  </si>
  <si>
    <t>Shely Cabrera</t>
  </si>
  <si>
    <t>Gabriela Ramirez Reategui</t>
  </si>
  <si>
    <t>Paola Zevallos</t>
  </si>
  <si>
    <t>Teofilo Loarte Alvarado</t>
  </si>
  <si>
    <t>Guillerma Mallqui Perez</t>
  </si>
  <si>
    <t>Jorge Augusto Gutierrez Mendoza</t>
  </si>
  <si>
    <t>Nancy Santos Arenas</t>
  </si>
  <si>
    <t>Leonor Consuelo Tello Macavilca</t>
  </si>
  <si>
    <t>Blanca Degregori</t>
  </si>
  <si>
    <t>Carol Ruiz</t>
  </si>
  <si>
    <t>Flor de Jesús Cahuaya Alegre</t>
  </si>
  <si>
    <t>Jorge Rubio Perez</t>
  </si>
  <si>
    <t>Juana Tello Rios</t>
  </si>
  <si>
    <t>Nora Delgado Diaz</t>
  </si>
  <si>
    <t>Martha s. Zegarra Tarqui</t>
  </si>
  <si>
    <t xml:space="preserve">Raquel Ocampo Alvarado </t>
  </si>
  <si>
    <t>Kelvin Jose Corimanya Ortega</t>
  </si>
  <si>
    <t>Ingrid Nima Bereche</t>
  </si>
  <si>
    <t>Paul Pilco</t>
  </si>
  <si>
    <t>Geraldine Santos</t>
  </si>
  <si>
    <t>Alindor Vasquez</t>
  </si>
  <si>
    <t>Adrián Sarria Muñoz</t>
  </si>
  <si>
    <t>Rosario Romani</t>
  </si>
  <si>
    <t>Jorge Martin Carrillo Rojas</t>
  </si>
  <si>
    <t>Fernando Gonzales</t>
  </si>
  <si>
    <t>Italo García</t>
  </si>
  <si>
    <t>JORGE LUIS UPIACHIHUA HIDALGO</t>
  </si>
  <si>
    <t>Edith Ortiz</t>
  </si>
  <si>
    <t>Diana Oropeza</t>
  </si>
  <si>
    <t>Milagros Perez</t>
  </si>
  <si>
    <t>Mildre Silva Fernández</t>
  </si>
  <si>
    <t>Ruth Noemi Ricapa Bernardo</t>
  </si>
  <si>
    <t>Pilar Berna Venturo</t>
  </si>
  <si>
    <t>Senovio Huayanay Fernandez</t>
  </si>
  <si>
    <t>Jaime Percy Villogas</t>
  </si>
  <si>
    <t>Guadalupe Laos</t>
  </si>
  <si>
    <t>Luz Hinostroza</t>
  </si>
  <si>
    <t>Yanet Sanchez</t>
  </si>
  <si>
    <t>John Martel</t>
  </si>
  <si>
    <t>Marco Herrera</t>
  </si>
  <si>
    <t>Mirtha Ramirez</t>
  </si>
  <si>
    <t>Delia Toscano</t>
  </si>
  <si>
    <t>Marco Durand</t>
  </si>
  <si>
    <t>Astritd Vilma</t>
  </si>
  <si>
    <t>Sandra Rivas Medina</t>
  </si>
  <si>
    <t>Luis E. Carrión Herrera</t>
  </si>
  <si>
    <t>Favio Vergara Pinto</t>
  </si>
  <si>
    <t>Edson Hernan Cerrón Lazo</t>
  </si>
  <si>
    <t>José Alberto Tinco Luján</t>
  </si>
  <si>
    <t>Jorge Hermógenes Fernández Mavila</t>
  </si>
  <si>
    <t>Ronald Juarez Hurtado</t>
  </si>
  <si>
    <t>Jorge Artemio Solano Reinoso</t>
  </si>
  <si>
    <t>Charo Carolina Vargas Arango</t>
  </si>
  <si>
    <t>Jannett Anghela Lovera Santana</t>
  </si>
  <si>
    <t>Oster Paredes Fernández</t>
  </si>
  <si>
    <t>Juan Teófilo Ortiz Arévalo</t>
  </si>
  <si>
    <t>Javier Edgar Anaya Cárdenas</t>
  </si>
  <si>
    <t>Wiber Jossef Vega Mendoza</t>
  </si>
  <si>
    <t>Gral. PNP. Jorge Quiroz Grosso</t>
  </si>
  <si>
    <t>Diana Medina</t>
  </si>
  <si>
    <t>Zoila Velásquez</t>
  </si>
  <si>
    <t>Fanny Pomalaza</t>
  </si>
  <si>
    <t>Angélica Agüero</t>
  </si>
  <si>
    <t>Mónica Molina</t>
  </si>
  <si>
    <t>Denisse Alvino</t>
  </si>
  <si>
    <t>Moises Távara</t>
  </si>
  <si>
    <t>Astrid Villanueva</t>
  </si>
  <si>
    <t>Hermogenes Vicente Lima Chayña</t>
  </si>
  <si>
    <t>María Resurección</t>
  </si>
  <si>
    <t>Elías Cabrera Sanchez</t>
  </si>
  <si>
    <t>Patricia Poma López</t>
  </si>
  <si>
    <t>Gregorio Paucar</t>
  </si>
  <si>
    <t>Yuly Hinostroza</t>
  </si>
  <si>
    <t>María Isabel Panduro</t>
  </si>
  <si>
    <t>María Castillo</t>
  </si>
  <si>
    <t>Lidia Hidalgo</t>
  </si>
  <si>
    <t>Rosa Ballardo</t>
  </si>
  <si>
    <t>Moisés De la Cruz</t>
  </si>
  <si>
    <t>CRNL. PNP Christiam D. Chavez Gomez</t>
  </si>
  <si>
    <t>CMDTE.PNP Carlos Bendezu Perez</t>
  </si>
  <si>
    <t>Donato Neira Asencios</t>
  </si>
  <si>
    <t>Milko Ruben Sierra Ascencios</t>
  </si>
  <si>
    <t>Ivo Jesús Zevallos Salazar</t>
  </si>
  <si>
    <t>Katherine Joselin Glvez Riveros</t>
  </si>
  <si>
    <t>Ketty Luz Basilio Atencio</t>
  </si>
  <si>
    <t>Jonathan Marlon García Palomino</t>
  </si>
  <si>
    <t>Wilfredo Caillahua Achallma</t>
  </si>
  <si>
    <t>Fredy Alberto Obregón León</t>
  </si>
  <si>
    <t>Jhony Ruth Palomino Gutierrez</t>
  </si>
  <si>
    <t>Gisela Karina Chavez Espinal</t>
  </si>
  <si>
    <t>Manuel Pedro Vásquez Galan</t>
  </si>
  <si>
    <t>Janet Yvone Castagne Vasquez</t>
  </si>
  <si>
    <t>Iván Ronald Mendoza Jaramillo</t>
  </si>
  <si>
    <t>Marcos Pérez Saldaña</t>
  </si>
  <si>
    <t>Katheryne Mery Ashly Chamoly Urtecho</t>
  </si>
  <si>
    <t>Hermógenes Vicente Lima Chayña</t>
  </si>
  <si>
    <t>Gisella Milagros Godier del Castillo</t>
  </si>
  <si>
    <t>Luis Filother Mendoza Valverde</t>
  </si>
  <si>
    <t xml:space="preserve">Percy José Paredes Villarreal </t>
  </si>
  <si>
    <t>Rita Rodriguez Payma</t>
  </si>
  <si>
    <t>César Guevara Cieza</t>
  </si>
  <si>
    <t>Giovanna Ojeda Campos</t>
  </si>
  <si>
    <t>Korali Cochachi</t>
  </si>
  <si>
    <t>Carlos Najar Rojas</t>
  </si>
  <si>
    <t>Hermes León Toledo</t>
  </si>
  <si>
    <t>Marcela Torrico Aguirre</t>
  </si>
  <si>
    <t>Elva Salazar Poma</t>
  </si>
  <si>
    <t>Carlos Javier Ñaupa</t>
  </si>
  <si>
    <t>Nora Cabrera Luna</t>
  </si>
  <si>
    <t>Reina Quispe Sayas</t>
  </si>
  <si>
    <t>Berysford Cama Godoy</t>
  </si>
  <si>
    <t>Rocio Quispe</t>
  </si>
  <si>
    <t>Saul Fajardo</t>
  </si>
  <si>
    <t>Maribel Cordero</t>
  </si>
  <si>
    <t>Hernry Marcos Valverde</t>
  </si>
  <si>
    <t>Edgar Aquiles Lopez</t>
  </si>
  <si>
    <t>Maritza Chavez</t>
  </si>
  <si>
    <t>Lady Diaz Diquez</t>
  </si>
  <si>
    <t>Gerald Joseph Kholer Palomino</t>
  </si>
  <si>
    <t>Alexandra Corazon Medina Colonia</t>
  </si>
  <si>
    <t xml:space="preserve">
JORGE LUIS UPIACHIHUA HIDALGO</t>
  </si>
  <si>
    <t>Manuel Ventura</t>
  </si>
  <si>
    <t>Analí Andrade</t>
  </si>
  <si>
    <t>Jaime Idrogo</t>
  </si>
  <si>
    <t>Yris Silva</t>
  </si>
  <si>
    <t>Mary Gambini</t>
  </si>
  <si>
    <t>Carolina Arredondo</t>
  </si>
  <si>
    <t>NICANOR EFRAIN CALIZAYA CRUZ</t>
  </si>
  <si>
    <t>ARTEMIO ATAO PAHUARA</t>
  </si>
  <si>
    <t>YULISA DIAZ ALCARRAZ</t>
  </si>
  <si>
    <t>CHARLYE ANDRES GRACIA TAMANI</t>
  </si>
  <si>
    <t>NILDA VANESSA BERROSPI RIMAC</t>
  </si>
  <si>
    <t>FRETEL CAHUAS LUPE MELISSA</t>
  </si>
  <si>
    <t>ELIZABET SIMONA CONGACHE COSINGA</t>
  </si>
  <si>
    <t>MARIA TERESA VELARDE LETURIA</t>
  </si>
  <si>
    <t>OSLER ADEMIR TONQUI TORRES</t>
  </si>
  <si>
    <t>MIRNA ELIZABETH HUARANCA ROMANI</t>
  </si>
  <si>
    <t>RONALD DAVID BAUTISTA QUISPE</t>
  </si>
  <si>
    <t>DAN NIX RAMIREZ SILVA</t>
  </si>
  <si>
    <t>JOHANA AMERICA RODRIGUEZ CARCAUSTO</t>
  </si>
  <si>
    <t>DENIS ALONSO SALAZAR MIO</t>
  </si>
  <si>
    <t>ALBERT WILLIAM IMAN TORRES</t>
  </si>
  <si>
    <t>KARINA JANETH LOZANO TORRES</t>
  </si>
  <si>
    <t>ANALETHY SOTO VASQUEZ</t>
  </si>
  <si>
    <t>MENDOZA BARRANTES MERICIA</t>
  </si>
  <si>
    <t>JULCA CHUGNAS MARINO ASTERIO</t>
  </si>
  <si>
    <t>CHAVEZ SANTA CRUZ YIMI ALEXANDER</t>
  </si>
  <si>
    <t>Lourdes Huanca Atencio</t>
  </si>
  <si>
    <t>Rosa del Carmen Hurtado Chota</t>
  </si>
  <si>
    <t>Abel Chiroque Becerra</t>
  </si>
  <si>
    <t>Virna Quinteros Cavalcanti</t>
  </si>
  <si>
    <t>Eutropía Delgado Castro</t>
  </si>
  <si>
    <t>Ana María Reyes Carranza</t>
  </si>
  <si>
    <t>Lily Tomas</t>
  </si>
  <si>
    <t>Fernando Merino</t>
  </si>
  <si>
    <t>Esther Costa</t>
  </si>
  <si>
    <t>Wilson Hernández Breña</t>
  </si>
  <si>
    <t>Percy Paredes</t>
  </si>
  <si>
    <t>Rosa Elizabeth Gallardo</t>
  </si>
  <si>
    <t>María Eugenia Ulfe</t>
  </si>
  <si>
    <t>Patricia Ruiz Bravo</t>
  </si>
  <si>
    <t>Aranxa Pizarro Quiñones</t>
  </si>
  <si>
    <t>Rocío Franco Valdivia</t>
  </si>
  <si>
    <t>Vanessa Rojas Arangoitia</t>
  </si>
  <si>
    <t>Mercedes Crisóstomo Meza</t>
  </si>
  <si>
    <t>José Ramos López</t>
  </si>
  <si>
    <t>Sharon Gorenstein Rivera</t>
  </si>
  <si>
    <t>Patricia Ames Ramello</t>
  </si>
  <si>
    <t>Andrea Román Alfaro</t>
  </si>
  <si>
    <t>Jose Pio Rodriguez Berrocal</t>
  </si>
  <si>
    <t>Pavel Antonio Alarcon Vila</t>
  </si>
  <si>
    <t>Evelyn Elizabeth Rojas Mayta</t>
  </si>
  <si>
    <t>Jessica Aranda Turpo</t>
  </si>
  <si>
    <t xml:space="preserve">Jose Pio Rodriguez Berrocal </t>
  </si>
  <si>
    <t>Narda Henríquez Ayín</t>
  </si>
  <si>
    <t>Flor María Ayala Albites</t>
  </si>
  <si>
    <t>Ana Maria Francesa Denegri Alvarez Calderón</t>
  </si>
  <si>
    <t>Silvia Romero Borda</t>
  </si>
  <si>
    <t>Silvia Elizabeth Romero Borda</t>
  </si>
  <si>
    <t>Actor que ya participó en algúna actividad</t>
  </si>
  <si>
    <t>Actor que será contactado por parte de APOYO</t>
  </si>
  <si>
    <t>Contacto brindado por otro actor</t>
  </si>
  <si>
    <t>Institución</t>
  </si>
  <si>
    <t xml:space="preserve">Paz y esperanza </t>
  </si>
  <si>
    <t>Plan International</t>
  </si>
  <si>
    <t>Care Perú</t>
  </si>
  <si>
    <t>Aldeas Infantiles SOS</t>
  </si>
  <si>
    <t>Organización para la Cooperación y el Desarrollo Económico</t>
  </si>
  <si>
    <t>Oxfam</t>
  </si>
  <si>
    <t>UNFPA</t>
  </si>
  <si>
    <t>Banco Interamericano de Desarrollo</t>
  </si>
  <si>
    <t>World Bank</t>
  </si>
  <si>
    <t>Jurado Nacional de Elecciones</t>
  </si>
  <si>
    <t xml:space="preserve">Ministerio de la Mujer </t>
  </si>
  <si>
    <t>Psicólogos</t>
  </si>
  <si>
    <t>ONG: Kids Alive</t>
  </si>
  <si>
    <t>ONG: Movimiento Manuela Ramos</t>
  </si>
  <si>
    <t>Asociación Pro Derechos Humanos (APRODEH)</t>
  </si>
  <si>
    <t>Promoción y Defensa de los Derechos Sexuales y Reproductivos (PROMSEX)</t>
  </si>
  <si>
    <t>Centros de Acogida Residencial</t>
  </si>
  <si>
    <t>Asociación Protección Población Vulnerable</t>
  </si>
  <si>
    <t>Asociación Kallpa</t>
  </si>
  <si>
    <t>Centro de Protección del Menor</t>
  </si>
  <si>
    <t>Jueces de Paz</t>
  </si>
  <si>
    <t>Asociación Sin Fines de Lucro Ñañaykuna</t>
  </si>
  <si>
    <t>DEMUS Estudio para la Defensa de los Derechos de la Mujer</t>
  </si>
  <si>
    <t>Asociación Madres Luchando por Justicia</t>
  </si>
  <si>
    <t>Mujeres Uniendo Esfuerzos por Alcanzar sus Sueños</t>
  </si>
  <si>
    <t>Hablemos sin Tabúes</t>
  </si>
  <si>
    <t>Tukuy Sunquywan Yanapsqayki</t>
  </si>
  <si>
    <t>Asociación La Casa de la Mujer</t>
  </si>
  <si>
    <t>Inppares</t>
  </si>
  <si>
    <t>Mama Alice</t>
  </si>
  <si>
    <t>Central Única Nacional de Rondas Campesinas del Perú - CUNARC-P</t>
  </si>
  <si>
    <t xml:space="preserve">Estrategias Rurales </t>
  </si>
  <si>
    <t>Organización Nacional de Mujeres Indígenas Andinas y Amazónicas del Perú (ONAMIAP)</t>
  </si>
  <si>
    <t>Federación de Rondas Campesinas de Cajamarca y Norte del Perú (FEROCAFENOP)</t>
  </si>
  <si>
    <t>Asociación Amar C</t>
  </si>
  <si>
    <t>Asociación Igualdad y Desarrollo</t>
  </si>
  <si>
    <t>Alfombra Roja</t>
  </si>
  <si>
    <t>Foro Regional Por Los Derechos Sexuales Y Reproductivos (FORDES)</t>
  </si>
  <si>
    <t>Consejo de Mujeres Awajún Wampis Umukai Yawi - COMUAWUY</t>
  </si>
  <si>
    <t>Abogados</t>
  </si>
  <si>
    <t>Ministerio Público (Fiscalía)</t>
  </si>
  <si>
    <t>Poder Judicial</t>
  </si>
  <si>
    <t>Policía Nacional del Perú</t>
  </si>
  <si>
    <t>Centros de Emergencia Mujer</t>
  </si>
  <si>
    <t>Aurora</t>
  </si>
  <si>
    <t>Centro Legal Comunitario María Trinidad Enriquez</t>
  </si>
  <si>
    <t>Acompañante Integral de Víctimas</t>
  </si>
  <si>
    <t>Red Nacional de Promoción de la Mujer – RNPM</t>
  </si>
  <si>
    <t>CHS Alternativo</t>
  </si>
  <si>
    <t>Acción por Igualdad</t>
  </si>
  <si>
    <t>Pasos firmes</t>
  </si>
  <si>
    <t>Comité de América Latina y el Caribe para la Defensa de los Derechos de las Mujeres (CLADEM) Perú</t>
  </si>
  <si>
    <t xml:space="preserve">Red Interdistrital de Mujeres de Lima Metropolitana Contra la Violencia </t>
  </si>
  <si>
    <t>FOVIDA</t>
  </si>
  <si>
    <t>Orientadoras Judiciales</t>
  </si>
  <si>
    <t>Defensa Pública</t>
  </si>
  <si>
    <t>Instancias de Concertación</t>
  </si>
  <si>
    <t>Defensoría del Pueblo</t>
  </si>
  <si>
    <t>La República</t>
  </si>
  <si>
    <t>Instituto Prensa y Sociedad</t>
  </si>
  <si>
    <t>Ojo Público</t>
  </si>
  <si>
    <t>RPP</t>
  </si>
  <si>
    <t>Diario ABC</t>
  </si>
  <si>
    <t>América Televisión</t>
  </si>
  <si>
    <t>Wayka</t>
  </si>
  <si>
    <t>Salud con Lupa</t>
  </si>
  <si>
    <t>elmegafono.pe</t>
  </si>
  <si>
    <t>Latina</t>
  </si>
  <si>
    <t>Radio Nacional del Perú</t>
  </si>
  <si>
    <t>El Comercio</t>
  </si>
  <si>
    <t>Wayra Warmikuna</t>
  </si>
  <si>
    <t>Fuera Informativa</t>
  </si>
  <si>
    <t>Tarpurisunchis</t>
  </si>
  <si>
    <t>Federación de Mujeres de Apurímac – FEMURA</t>
  </si>
  <si>
    <t>Micaelas</t>
  </si>
  <si>
    <t>ONU</t>
  </si>
  <si>
    <t>PNUD</t>
  </si>
  <si>
    <t>UNODC - Oficina de las Naciones Unidas contra la Droga y el Delito</t>
  </si>
  <si>
    <t>AECID</t>
  </si>
  <si>
    <t>Independiente</t>
  </si>
  <si>
    <t>Organización Regional de los Pueblos Indígenas del Oriente</t>
  </si>
  <si>
    <t>Organización Regional Aidesep Ucayali</t>
  </si>
  <si>
    <t>Convoca</t>
  </si>
  <si>
    <t>IDEHPUCP</t>
  </si>
  <si>
    <t>Mongabay</t>
  </si>
  <si>
    <t>Contranoticia</t>
  </si>
  <si>
    <t>FECONAU – Federación de Comunidades Nativas de Ucayali y Afluentes</t>
  </si>
  <si>
    <t>FENAMAD – Federación Nativa del Río Madre de Dios y Afluentes</t>
  </si>
  <si>
    <t>DVV International</t>
  </si>
  <si>
    <t>Asociación de mujeres de Gamarra</t>
  </si>
  <si>
    <t>Asociación de mujeres empresarias del Perú (AMEP)</t>
  </si>
  <si>
    <t>Red Nacional de Mujeres Empresarias y Emprendedoras (RENAMEE)</t>
  </si>
  <si>
    <t>PUCP</t>
  </si>
  <si>
    <t>Especialista en Género</t>
  </si>
  <si>
    <t>Lideranda ORG</t>
  </si>
  <si>
    <t>Proetica</t>
  </si>
  <si>
    <t>RED NACIONAL DE JÓVENES PARLAMENTARIOS</t>
  </si>
  <si>
    <t>Taller de Estudios Parlamentarios - TAEP</t>
  </si>
  <si>
    <t>Manuela Ramos</t>
  </si>
  <si>
    <t>Teleoleo</t>
  </si>
  <si>
    <t>UNICEF</t>
  </si>
  <si>
    <t>Cresiendo</t>
  </si>
  <si>
    <t>Familias Unidas Por Justicia</t>
  </si>
  <si>
    <t>Save The Children</t>
  </si>
  <si>
    <t>DEMUNA</t>
  </si>
  <si>
    <t>Instancia Regional de Concertación de Huánuco</t>
  </si>
  <si>
    <t>Instancia Regional de Concertación de Apurímac</t>
  </si>
  <si>
    <t>Instancia Regional de Concertación de Ayacucho</t>
  </si>
  <si>
    <t>Instancia Regional de Concertación de Lima Región</t>
  </si>
  <si>
    <t>Instancia Distrital de Concertación de Comas</t>
  </si>
  <si>
    <t>Región Policial</t>
  </si>
  <si>
    <t>Instancia Provincial de Concertación de Leoncio Prado</t>
  </si>
  <si>
    <t>Instancia Regional de Concertación de Ucayali</t>
  </si>
  <si>
    <t>Instancia Regional de Concertación de Cajamarca</t>
  </si>
  <si>
    <t>Instancia Regional de Concertación de Loreto</t>
  </si>
  <si>
    <t>Instancia Distrital de Concertación de Ventanilla</t>
  </si>
  <si>
    <t>Radio Titanka</t>
  </si>
  <si>
    <t>Mongabai Latam</t>
  </si>
  <si>
    <t>Infopaís</t>
  </si>
  <si>
    <t>Pro y Contra</t>
  </si>
  <si>
    <t>Selvática Televisión</t>
  </si>
  <si>
    <t>Colectivo Feminista Ayacucho</t>
  </si>
  <si>
    <t>Programa Warmi Ñan</t>
  </si>
  <si>
    <t>Juez Superior Titular de la Sala Superior Pucallpa</t>
  </si>
  <si>
    <t>CAR PILLCO MOZO</t>
  </si>
  <si>
    <t>CAR Virgen María</t>
  </si>
  <si>
    <t>Casa de Acogida Maria Luisa de Jesus</t>
  </si>
  <si>
    <t>Warmi Ñan</t>
  </si>
  <si>
    <t>Organización Regional AIDESEP Ucayali (ORAU)</t>
  </si>
  <si>
    <t>Unidad de Protección Especial</t>
  </si>
  <si>
    <t>Amazon Legal Service - Abogado</t>
  </si>
  <si>
    <t>Municipalidad Provincial de Coronel Portillo</t>
  </si>
  <si>
    <t>Servicio de Atención Rural</t>
  </si>
  <si>
    <t>Red de Mujeres Emprendedoras y Empresarias de la Región Huánuco</t>
  </si>
  <si>
    <t>Organización Nacional de Mujeres Indígenas Andinas y Amazónicas del Perú ONAMIAP</t>
  </si>
  <si>
    <t>Federación Nacional de Mujeres Campesinas, Artesanas, Indígenas, Nativas y Asalariadas del Perú</t>
  </si>
  <si>
    <t>Mujer &amp; Sociedad</t>
  </si>
  <si>
    <t xml:space="preserve">Centro de Estudios de Problemas Económicos y sociales de la Juventud </t>
  </si>
  <si>
    <t>Caritas - Proyecto Luchando Contra la Violencia a orillas del río Itaya</t>
  </si>
  <si>
    <t>Instituto de Medicina Legal</t>
  </si>
  <si>
    <t>GRADE</t>
  </si>
  <si>
    <t>MIMP</t>
  </si>
  <si>
    <t>Universidad Nacional de San Cristóbal de Huamanga</t>
  </si>
  <si>
    <t>Universidad del Pacífico</t>
  </si>
  <si>
    <t>IEP</t>
  </si>
  <si>
    <t>Universidad Privada Roosevelt de Huancayo</t>
  </si>
  <si>
    <t>Universidad Peruana Unión</t>
  </si>
  <si>
    <t>Universidad Nacional Hermilio Valdizán</t>
  </si>
  <si>
    <t>ForSNEJ</t>
  </si>
  <si>
    <t>Proyecto ForSNEJ II - GIZ</t>
  </si>
  <si>
    <t>Alcance (nivel nacional o distrito judicial)</t>
  </si>
  <si>
    <t>Distrito Judicial: Cusco</t>
  </si>
  <si>
    <t>Distrito Judicial: Lima</t>
  </si>
  <si>
    <t>Distrito Judicial: Lima Este</t>
  </si>
  <si>
    <t>Distrito Judicial: Arequipa</t>
  </si>
  <si>
    <t>Distrito Judicial: Amazonas</t>
  </si>
  <si>
    <t>Distrito Judicial: Piura</t>
  </si>
  <si>
    <t>Distrito Judicial: Puno</t>
  </si>
  <si>
    <t>Distrito Judicial: Ica</t>
  </si>
  <si>
    <t>Distrito Judicial: Sullana</t>
  </si>
  <si>
    <t>Distrito Judicial: Huaura</t>
  </si>
  <si>
    <t>Distrito Judicial: Áncash</t>
  </si>
  <si>
    <t>Distrito Judicial: Tacna</t>
  </si>
  <si>
    <t>Distrito Judicial: Junín</t>
  </si>
  <si>
    <t>Distrito Judicial: Lambayeque</t>
  </si>
  <si>
    <t>Distrito Judicial: Ancash</t>
  </si>
  <si>
    <t>Distrito Judicial: Huancavelica</t>
  </si>
  <si>
    <t>Distrito Judicial: Selva Central</t>
  </si>
  <si>
    <t>Distrito Judicial: Madre de Dios</t>
  </si>
  <si>
    <t>Distrito Judicial: Moquegua</t>
  </si>
  <si>
    <t>Distrito Judicial: Pasco</t>
  </si>
  <si>
    <t>Distrito Judicial: La Libertad</t>
  </si>
  <si>
    <t>Distrito Judicial: San Martín</t>
  </si>
  <si>
    <t>Distrito Judicial: Callao</t>
  </si>
  <si>
    <t>Distrito Judicial: Casma</t>
  </si>
  <si>
    <t>Distrito Judicial: Huancayo</t>
  </si>
  <si>
    <t>Distrito Judicial: Chimbote</t>
  </si>
  <si>
    <t>Distrito Judicial: Tumbes</t>
  </si>
  <si>
    <t>Distrito Judicial: Lima Sur</t>
  </si>
  <si>
    <t>Distrito Judicial: Santa</t>
  </si>
  <si>
    <t>Actividad piloto</t>
  </si>
  <si>
    <t>N/A</t>
  </si>
  <si>
    <t>Entrevista de actores clave</t>
  </si>
  <si>
    <t>Reunión de reconocimiento</t>
  </si>
  <si>
    <t>¿Asistió?</t>
  </si>
  <si>
    <t>No</t>
  </si>
  <si>
    <t>Sí</t>
  </si>
  <si>
    <t>Categoría</t>
  </si>
  <si>
    <t>Expertos en la temática</t>
  </si>
  <si>
    <t>Funcionarios del Sistema</t>
  </si>
  <si>
    <t>Acompañantes</t>
  </si>
  <si>
    <t>Actores locales</t>
  </si>
  <si>
    <t>Prensa</t>
  </si>
  <si>
    <t>Tipo</t>
  </si>
  <si>
    <t>Fin principal relacionado con temas del estudio</t>
  </si>
  <si>
    <t>Instituciones públicas</t>
  </si>
  <si>
    <t>ONGs</t>
  </si>
  <si>
    <t>Autoridades/Actores rurales</t>
  </si>
  <si>
    <t>Asociaciones legales</t>
  </si>
  <si>
    <t>Ministerio Público</t>
  </si>
  <si>
    <t>Instituciones Públicas</t>
  </si>
  <si>
    <t>Instancias de concertación</t>
  </si>
  <si>
    <t>Medios tradicionales</t>
  </si>
  <si>
    <t>Medios no tradicionales</t>
  </si>
  <si>
    <t>Subtipo</t>
  </si>
  <si>
    <t>No aplica</t>
  </si>
  <si>
    <t xml:space="preserve">Foco en derechos de la niñez </t>
  </si>
  <si>
    <t xml:space="preserve">Foco en derechos sexuales / reproductivos </t>
  </si>
  <si>
    <t xml:space="preserve">Centros de Acogida Residencial </t>
  </si>
  <si>
    <t>Jueces de paz</t>
  </si>
  <si>
    <t xml:space="preserve">Foco en protección de la violencia </t>
  </si>
  <si>
    <t>Direcciones especializadas en violencia</t>
  </si>
  <si>
    <t>Otras direcciones</t>
  </si>
  <si>
    <t>CEM / Aurora / WarmiÑan</t>
  </si>
  <si>
    <t>Actividad campo</t>
  </si>
  <si>
    <t>Contacto personal</t>
  </si>
  <si>
    <t>- Correo: aspazes@pazyesperanza.org
- Tlf: +51 965789056
- Dirección: Jr. Pachacutec 980 Jesús María
Lima 11, Perú</t>
  </si>
  <si>
    <t>- Dirección: Av. Juan de Arona, N° 755, Piso 9, San Isidro
- Correo: informes.peru@plan-international.org</t>
  </si>
  <si>
    <t>- Tlf: +51 (01) 6409393
- Correo: central@care.org.pe/&lt;marlene.molero@elsa.la&gt;
-Dirección: Calle Amador Merino Reyna 267, piso 9, oficina 901, San Isidro. Lima – Perú</t>
  </si>
  <si>
    <t>- Tlf: +51 (01) 6409393
- Correo: central@care.org.pe
-Dirección: Calle Amador Merino Reyna 267, piso 9, oficina 901, San Isidro. Lima – Perú</t>
  </si>
  <si>
    <t>- Tlf. +51 (01) 200-7800
- Dirección:  Calle Ricardo Angulo 744. Urb. Córpac - San Isidro.
-Correo: empresas.amigas@aldeasinfantiles.org.pe</t>
  </si>
  <si>
    <t xml:space="preserve">https://www.linkedin.com/in/alejandra-saffon-26761671/?originalSubdomain=co/ 928974196 </t>
  </si>
  <si>
    <t>https://www.linkedin.com/in/elena-portilla-odlianitskaya/</t>
  </si>
  <si>
    <t xml:space="preserve">alejandra.alayza@oxfam.org
'+51 984753054 </t>
  </si>
  <si>
    <t>miguel.levano@oxfam.org</t>
  </si>
  <si>
    <t>caballero@unfpa.org.pe</t>
  </si>
  <si>
    <t>gonzalez@unfpa.org</t>
  </si>
  <si>
    <t>(51-1) 215-7800
BIDPeru@iadb.orgv</t>
  </si>
  <si>
    <t>+51 1 622-2300</t>
  </si>
  <si>
    <t xml:space="preserve">+51 966662278
</t>
  </si>
  <si>
    <t>+(01) 626 1600 Anexo 7170
mmendez@mimp.gob.pe</t>
  </si>
  <si>
    <t>+51 (01) 6261600
kperez@mimp.gob.pe</t>
  </si>
  <si>
    <t>01- 4197260 / Anexo 3602
lagama@aurora.gob.pe</t>
  </si>
  <si>
    <t>+51 962960076
dgodoy@pazyesperanza.org</t>
  </si>
  <si>
    <t>+51 914777004</t>
  </si>
  <si>
    <t>968 072 723
linkedin.com/in/angie-rosmery-vargas-sacsahuillca-782694225
postmast@manuela.org.pe</t>
  </si>
  <si>
    <t>- Tlf. (01) 424-7057, 431-0482
- Dirección: Jr. Pachacútec 980 – Jesús María
- Correo:postmast@aprodeh.org.pe</t>
  </si>
  <si>
    <t>- Tlf: +51  (01) 4478668
- Dirección: Av. José Pardo 601 Oficina 604, Miraflores, Case Miraflores, Peru postmast@promdsr.org</t>
  </si>
  <si>
    <t>asco</t>
  </si>
  <si>
    <t xml:space="preserve">car.barcoiris@gmail.com  cel 949605237 </t>
  </si>
  <si>
    <t>care.dia@inabif.gob.pe</t>
  </si>
  <si>
    <t>karen.uc7@hotmail.com</t>
  </si>
  <si>
    <t>israel_8699@hotmail.com
israelmemi4@gmail.com</t>
  </si>
  <si>
    <t>alanyasantacruz@loscachorros.nl</t>
  </si>
  <si>
    <t>info@appv.pe</t>
  </si>
  <si>
    <t>51-996-55-083
comunicaciones@kallpa.org.pe</t>
  </si>
  <si>
    <t>cenann.cep@iglesiacatolica.org.pe</t>
  </si>
  <si>
    <t>987856989</t>
  </si>
  <si>
    <t>rjoyo@pj.gob.pe</t>
  </si>
  <si>
    <t>echagua@pj.gob.pe</t>
  </si>
  <si>
    <t>+51 982074717
https://www.linkedin.com/in/banesa-farfan-saravia-b76753115/</t>
  </si>
  <si>
    <t>(01) 4638515
(01) 4631226
(01) 4600879
https://www.linkedin.com/in/rocio-silva-santisteban-manrique-78666079/</t>
  </si>
  <si>
    <t>+51 933 376 762
madresluchandoporjusticia@gmail.com</t>
  </si>
  <si>
    <t>https://www.facebook.com/ongmujeresuniendoesfuerzos</t>
  </si>
  <si>
    <t>https://www.linkedin.com/in/flavia-martinez-tarazona-6b67b714a/</t>
  </si>
  <si>
    <t xml:space="preserve"> +51 960 557 083 Lorena Farroñan coordinadora
tukuysunquywanyanapasqayki@gmail.com</t>
  </si>
  <si>
    <t>nfo@proa.pe</t>
  </si>
  <si>
    <t>Cel 940 920 906 coordinadora de Comunicaciones Lucia castroComunicaciones@inppares.org
https://www.linkedin.com/in/estrelia-nizama-ruiz-b9b05130/?originalSubdomain=pe</t>
  </si>
  <si>
    <t>https://www.linkedin.com/in/elba-sahara-zegarra-vila-79423149?originalSubdomain=pe
'info@mamaalice.org  (0051) (0) 66317963
(0051) 975050260</t>
  </si>
  <si>
    <t>914771267.
cunarc.rondascampesinas@gmail.com</t>
  </si>
  <si>
    <t>914169055</t>
  </si>
  <si>
    <t>914166514</t>
  </si>
  <si>
    <t>51(1) 428-0635
onamiap@onamiap.org / presidenciaonamiap@gmail.com / presidencia@onamiap.org</t>
  </si>
  <si>
    <t>https://www.facebook.com/fero.cafenop?mibextid=ZbWKwL</t>
  </si>
  <si>
    <t>976955754 
asociacionamarc@gmail.com</t>
  </si>
  <si>
    <t>957 367 738</t>
  </si>
  <si>
    <t>alfroja.pe@gmail.com</t>
  </si>
  <si>
    <t>memebun@fordesarequipa.org</t>
  </si>
  <si>
    <t>consejodemujeresawajunwampis@gmail.com</t>
  </si>
  <si>
    <t>+51 966020010</t>
  </si>
  <si>
    <t>+51 982125194
lorena.ruiz@kidsalive.org</t>
  </si>
  <si>
    <t>myc@demus.org.pe</t>
  </si>
  <si>
    <t>mrvillan@pucp.edu.pe</t>
  </si>
  <si>
    <t>https://www.linkedin.com/in/eliana-revollar-a%C3%B1a%C3%B1os-18b46b225/?originalSubdomain=pe</t>
  </si>
  <si>
    <t>+51 999269930
jjperezdc@mpfn.gob.pe</t>
  </si>
  <si>
    <t>6255555 / Anexo 11161
dmespinoza@mpfn.gob.pe</t>
  </si>
  <si>
    <t>999112384 
jcaruhapomadj@mpfn.gob.pe</t>
  </si>
  <si>
    <t>965664009 
ichumbe@mpfn.gob.pe</t>
  </si>
  <si>
    <t>6255555 / Anexo 11951
jvillenadj@mpfn.gob.pe</t>
  </si>
  <si>
    <t>061-639760
Anexo: 60001</t>
  </si>
  <si>
    <t xml:space="preserve"> 084-603991
Anexo: 60001</t>
  </si>
  <si>
    <t>073-603548
Anexo: 73001</t>
  </si>
  <si>
    <t xml:space="preserve"> 073-603548
Anexo: 73001</t>
  </si>
  <si>
    <t>41635375
Anexo: 73001</t>
  </si>
  <si>
    <t>067-630897
Anexo: 67001</t>
  </si>
  <si>
    <t xml:space="preserve">965193302
dsuquilandadj@mpfn.gob.pe </t>
  </si>
  <si>
    <t>82624299
Anexo: 44002</t>
  </si>
  <si>
    <t>62634599
Anexo: 44002</t>
  </si>
  <si>
    <t xml:space="preserve"> 056-639199
Anexo: 44002</t>
  </si>
  <si>
    <t>963311494 
cchirito@mpfn.gob.pe</t>
  </si>
  <si>
    <t>01-6255555
Anexo: 31001</t>
  </si>
  <si>
    <t xml:space="preserve"> 073-603549
Anexo: 70001</t>
  </si>
  <si>
    <t xml:space="preserve"> 066-635555
Anexo:  066-635555</t>
  </si>
  <si>
    <t>01-6255555
Anexo: 18001</t>
  </si>
  <si>
    <t>043-708998
Anexo: 43001</t>
  </si>
  <si>
    <t xml:space="preserve">987589991
 076-601170
Anexo: 76001
caraujo@mpfn.gob.pe </t>
  </si>
  <si>
    <t>052-600801
Anexo: 52001</t>
  </si>
  <si>
    <t xml:space="preserve"> 064-602987
Anexo: 64001</t>
  </si>
  <si>
    <t xml:space="preserve">990 502 145
lruedadj@mpfn.gob.pe </t>
  </si>
  <si>
    <t>987589316 
presidencia_apurimacdf@mpfn.gob.pe</t>
  </si>
  <si>
    <t>01-6255555 Anexo 83635
1rafsp_abancay@mpfn.gob.pe</t>
  </si>
  <si>
    <t>+51 974 795 505 
2fsp-abancay@mpfn.gob.pe</t>
  </si>
  <si>
    <t>62265 
jmartel@mpfn.gob.pe</t>
  </si>
  <si>
    <t>62385 
mvaldiviavdj@mpfn.gob.pe</t>
  </si>
  <si>
    <t>62390 
rvegadj@mpfn.gob.pe</t>
  </si>
  <si>
    <t xml:space="preserve">987589297 
pjfs.ucayali@mpfn.gob.pe </t>
  </si>
  <si>
    <t>944992076
 2fsup.penal.ucayali.mesadepartes@mpfn.gob.pe</t>
  </si>
  <si>
    <t>ltorresd@pj.gob.pe</t>
  </si>
  <si>
    <t>963758699 
aescobardj@mpfn.gob.pe</t>
  </si>
  <si>
    <t>965193302 
dsuquilandadj@mpfn.gob.pe</t>
  </si>
  <si>
    <t>938 429 907 
mpfscivilyfamilia@gmail.com</t>
  </si>
  <si>
    <t xml:space="preserve">949750695
lbenitesdj@mpfn.gob.pe </t>
  </si>
  <si>
    <t>gdaviladj@mpfn.gob.pe</t>
  </si>
  <si>
    <t>fhoyosdj@mpfn.gob.pe</t>
  </si>
  <si>
    <t>916188244 
fpcyf.ramoncastilla@gmail.com</t>
  </si>
  <si>
    <t>965 664 009 
ingridchumbe@gmail.com</t>
  </si>
  <si>
    <t>01-6255555 ANEXO 65221 
4fpcyf.maynas@gmail.com</t>
  </si>
  <si>
    <t>cmirandadj@mpfn.gob.pe</t>
  </si>
  <si>
    <t>987589991
arebaza@mpfn.gob.pe</t>
  </si>
  <si>
    <t>mdelacruzdj@mpfn.gob.pe</t>
  </si>
  <si>
    <t xml:space="preserve">lcastillama@pj.gob.pe </t>
  </si>
  <si>
    <t>4100700
Anexo: 16001</t>
  </si>
  <si>
    <t>4100700
Anexo: 16030</t>
  </si>
  <si>
    <t>4100700
Anexo: 16346</t>
  </si>
  <si>
    <t>jgeronimo@pj.gob.pe</t>
  </si>
  <si>
    <t>jramirezfi@pj.gob.pe</t>
  </si>
  <si>
    <t>rmarin@pj.gob.pe</t>
  </si>
  <si>
    <t>hlima@pj.gob.pe</t>
  </si>
  <si>
    <t>jtafur@pj.gob.pe</t>
  </si>
  <si>
    <t>friverab@pj.gob.pe</t>
  </si>
  <si>
    <t>rdavilaa@pj.gob.pe</t>
  </si>
  <si>
    <t>Ssalazar@pj.gob.pe</t>
  </si>
  <si>
    <t>jangelesv@pj.gob.pe</t>
  </si>
  <si>
    <t>rocampo@pj.gob.pe
'(076)584400</t>
  </si>
  <si>
    <t>jloaiza@pj.gob.pe</t>
  </si>
  <si>
    <t>agaray@pj.gob.pe
062-591030</t>
  </si>
  <si>
    <t>(01) 410 10 10 / Anexo 11002
jtello@pj.gob.pe</t>
  </si>
  <si>
    <t>(01) 410 10 10 / Anexo 11334
aaranda@pj.gob.pe</t>
  </si>
  <si>
    <t>ccabanillas@pj.gob.pe</t>
  </si>
  <si>
    <t>(067) 59 20 30 / Anexo 46113
aneyra@pj.gob.pe</t>
  </si>
  <si>
    <t>(073) 286550 / Anexo 28084
yli@pj.gob.pe</t>
  </si>
  <si>
    <t>(064) 42 05 55 / Anexo 34001
jbazane@pj.gob.pe</t>
  </si>
  <si>
    <t xml:space="preserve">969 003 637  
jangelesv@pj.gob.pe 
jorgeangeles1970@gmail.com </t>
  </si>
  <si>
    <t>(041) 57 95 30 / Anexo 27073
ncabrerab@pj.gob.pe</t>
  </si>
  <si>
    <t>(065) 58 12 12 / Anexo 30002
rcajamarca@pj.gob.pe</t>
  </si>
  <si>
    <t>(01) 410 00 00 / Anexo 32151
mcusimayta@pj.gob.pe</t>
  </si>
  <si>
    <t>(053) 46 35 55 / Anexo 54532
jfernandezcg@pj.gob.pe</t>
  </si>
  <si>
    <t>rdelpozo@pj.gob.pe</t>
  </si>
  <si>
    <t>(01) 586 6643 / Anexo 14270
avasquezbu@pj.gob.pe</t>
  </si>
  <si>
    <t>(052) 58 32 00 / Anexo 52150 o 52001
rmedinach@pj.gob.pe</t>
  </si>
  <si>
    <t>(053) 46 35 55 / Anexo 54000
dchavezm@pj.gob.pe</t>
  </si>
  <si>
    <t>943 916 454
emg.sec.ayu@policia.gob.pe</t>
  </si>
  <si>
    <t xml:space="preserve"> 522-6207 / 980121830
commujindep_divfam@hotmail.com </t>
  </si>
  <si>
    <t>980 121 645
comoppol.sec.ayu@policia.gob.pe</t>
  </si>
  <si>
    <t>943 919 835
dirnos.ceopol@policia.gob.pe</t>
  </si>
  <si>
    <t>980 122 017
dirnic.ceopol@policia.gob.pe</t>
  </si>
  <si>
    <t>957 833 065
seceje.jeforpol@policia.gob.pe</t>
  </si>
  <si>
    <t xml:space="preserve"> 980-121-523
 imacrepolpiura.ceopol@policia.gob.pe  </t>
  </si>
  <si>
    <t>980-122-400 
rpll.ceopol@policia.gob.pe</t>
  </si>
  <si>
    <t xml:space="preserve">980-122-464
ivmacrepolloreto.ceopol@policia.gob.pe  </t>
  </si>
  <si>
    <t xml:space="preserve"> 964-764-905  
rpHuánuco.ceopol@policia.gob.pe </t>
  </si>
  <si>
    <t xml:space="preserve">054-605900 
ixmacrepo.ceopol@policia.gob.pe  </t>
  </si>
  <si>
    <t xml:space="preserve"> 980-122-985 
10macrepolpuno.ceopol@policia.gob.pe </t>
  </si>
  <si>
    <t xml:space="preserve">980-122-468 
rpucayali.ceopol@policia.gob.pe  </t>
  </si>
  <si>
    <t>945-314-315 
regpolmdd.ceopol@policia.gob.pe</t>
  </si>
  <si>
    <t xml:space="preserve"> 980-122-635 
rpJunín.unicop@policia.gob.pe  </t>
  </si>
  <si>
    <t xml:space="preserve">980-122-644 
rpcusco.ceopol@policia.gob.pe  </t>
  </si>
  <si>
    <t xml:space="preserve">980-122-437 
xiiimacrepolayaica.ceopol@policia.gob.pe  </t>
  </si>
  <si>
    <t xml:space="preserve">054-605900 
ixmacrepo.ceopol@policia.gob.pe   </t>
  </si>
  <si>
    <t xml:space="preserve">980-122-419   
rpsanmartin.ceopol@policia.gob.pe  </t>
  </si>
  <si>
    <t xml:space="preserve">980-121-928 
regpolÁncash.ceopol@policia.gob.pe </t>
  </si>
  <si>
    <t xml:space="preserve"> 980-122-955 
rpica.ceopol@policia.gob.pe  </t>
  </si>
  <si>
    <t>980-122-992  
rpcajamarca.ceopol@policia.gob.pe</t>
  </si>
  <si>
    <t xml:space="preserve"> 980-122-442 
rpApurímac  .ceopol@policia.gob.pe  </t>
  </si>
  <si>
    <t xml:space="preserve"> 959-051-311 
rplima.ceopol@policia.gob.pe</t>
  </si>
  <si>
    <t xml:space="preserve">980-122-429 
rpamazonas.jef@policia.gob.pe </t>
  </si>
  <si>
    <t xml:space="preserve">980-122-992
rpcajamarca.ceopol@policia.gob.pe  </t>
  </si>
  <si>
    <t>divpna.ciecomas@policia.gob.pe</t>
  </si>
  <si>
    <t>Correo general de la DIVCVF: 
divpcvf.sec@policia.gob.pe
+51 992732317</t>
  </si>
  <si>
    <t>978 488 809</t>
  </si>
  <si>
    <t>Tlf: 481-1807</t>
  </si>
  <si>
    <t>Tlf: 523-3913</t>
  </si>
  <si>
    <t>Tlf: 5472459</t>
  </si>
  <si>
    <t>Tlf: 5209312
+51 994834118</t>
  </si>
  <si>
    <t>Tlf. (066) 315291
'+51 941524315</t>
  </si>
  <si>
    <t>Tlf. (083) 504690
'+51 994801045</t>
  </si>
  <si>
    <t>+51 9441526985</t>
  </si>
  <si>
    <t>Tlf. (076) 532144
'+51 994834078</t>
  </si>
  <si>
    <t>+51 994833650</t>
  </si>
  <si>
    <t>silvio.mestanza@aurora.gob.pe
994840081</t>
  </si>
  <si>
    <t>jose.chavez@aurora.gob.pe
994800484</t>
  </si>
  <si>
    <t>yamille.llona@aurora.gob.pe
994833705</t>
  </si>
  <si>
    <t>felipe.vara@aurora.gob.pe
932957783</t>
  </si>
  <si>
    <t>yrma.pezo@aurora.gob.pe
932989735</t>
  </si>
  <si>
    <t>mary.zavala@aurora.gob.pe
970209328</t>
  </si>
  <si>
    <t>elizabeth.malpartida@aurora.gob.pe
953704701</t>
  </si>
  <si>
    <t>yhina.coaquira@aurora.gob.pe
994841191</t>
  </si>
  <si>
    <t>rebeca.luna@aurora.gob.pe
941526978</t>
  </si>
  <si>
    <t>frits.acosta@aurora.gob.pe</t>
  </si>
  <si>
    <t>flor.conopuma@aurora.gob.pe</t>
  </si>
  <si>
    <t>doris.rabanal@aurora.gob.pe</t>
  </si>
  <si>
    <t>aurora.castrejon@aurora.gob.pe</t>
  </si>
  <si>
    <t>milagro.vallejos@aurora.gob.pe</t>
  </si>
  <si>
    <t>994834045</t>
  </si>
  <si>
    <t>mariela.sebastiani@aurora.gob.pe
940414730</t>
  </si>
  <si>
    <t>+51 994834037</t>
  </si>
  <si>
    <t>(01) 4197260 Anexo 3501
pgarrido@aurora.gob.pe</t>
  </si>
  <si>
    <t>(01) 4197260 Anexo 3711
mrios@warminan.gob.pe</t>
  </si>
  <si>
    <t>01- 4197260 Anexo 3602
lagama@warminan.gob.pe</t>
  </si>
  <si>
    <t>937415548
gmarin@warminan.gob.pe</t>
  </si>
  <si>
    <t>+51 926 838 140
centrolegalcomunitario@gmail.com</t>
  </si>
  <si>
    <t>+51 910585441</t>
  </si>
  <si>
    <t>+51 999007096
portal@rnpm.org.pe
directoraejecutiva@rnpm.or.pe
+51 945 952 262
https://www.linkedin.com/in/raquelsalcedoa/?originalSubdomain=pe</t>
  </si>
  <si>
    <t>mesaucayali@mesadeconcertacion.org.pe</t>
  </si>
  <si>
    <t>(4) 431-7938
(4) 432-3240</t>
  </si>
  <si>
    <t>910778097 
hhuayhua@unamba.edu.pe</t>
  </si>
  <si>
    <t>976540141 
paolachomba@gmail.com</t>
  </si>
  <si>
    <t>(065) 225 650
 chsalternativo@chsalternativo.org</t>
  </si>
  <si>
    <t>consultoriolegal@accionporigualdad.com</t>
  </si>
  <si>
    <t>https://www.instagram.com/pasosfirmes_peru/  asociacionpasosfirmes@gmail.com</t>
  </si>
  <si>
    <t>cladem.peru@gmail.com</t>
  </si>
  <si>
    <t>redinterdistrital.vdg@gmail.com</t>
  </si>
  <si>
    <t>postmast@fovida.org.pe
comunicaciones@fovida.org.pe</t>
  </si>
  <si>
    <t>billy@fovida.org.pe</t>
  </si>
  <si>
    <t>yovana@fovida.org.pe</t>
  </si>
  <si>
    <t>936270811</t>
  </si>
  <si>
    <t>945425681</t>
  </si>
  <si>
    <t>930783537</t>
  </si>
  <si>
    <t>922705584</t>
  </si>
  <si>
    <t>976121238</t>
  </si>
  <si>
    <t>950741980</t>
  </si>
  <si>
    <t>984350315</t>
  </si>
  <si>
    <t>983929921</t>
  </si>
  <si>
    <t>966116781</t>
  </si>
  <si>
    <t>916199128</t>
  </si>
  <si>
    <t>943443230</t>
  </si>
  <si>
    <t>983935967</t>
  </si>
  <si>
    <t>971434174</t>
  </si>
  <si>
    <t>946568496</t>
  </si>
  <si>
    <t>950335345</t>
  </si>
  <si>
    <t>984994805</t>
  </si>
  <si>
    <t>951058296</t>
  </si>
  <si>
    <t>985306490</t>
  </si>
  <si>
    <t>901233722</t>
  </si>
  <si>
    <t>992949717</t>
  </si>
  <si>
    <t>996014524</t>
  </si>
  <si>
    <t>987208362</t>
  </si>
  <si>
    <t>945054854</t>
  </si>
  <si>
    <t>993376177</t>
  </si>
  <si>
    <t>977917888</t>
  </si>
  <si>
    <t>929298053</t>
  </si>
  <si>
    <t>954450819</t>
  </si>
  <si>
    <t>932787595</t>
  </si>
  <si>
    <t>995 961 432</t>
  </si>
  <si>
    <t>947129006</t>
  </si>
  <si>
    <t>989871865</t>
  </si>
  <si>
    <t>977551307</t>
  </si>
  <si>
    <t>935045398</t>
  </si>
  <si>
    <t>wmartinez@minjus.gob.pe</t>
  </si>
  <si>
    <t>948601741
julio.zumaeta@minjus.gob.pe</t>
  </si>
  <si>
    <t>943801362
raul.melgarejo@minjus.gob.pe</t>
  </si>
  <si>
    <t>945537927
silber.sanchez@minjus.gob.pe</t>
  </si>
  <si>
    <t>957867494
elena.villegas@minjus.gob.pe</t>
  </si>
  <si>
    <t>945487722
wilver.bautista@minjus.gob.pe</t>
  </si>
  <si>
    <t>945070588
andy.guevara@minjus.gob.pe</t>
  </si>
  <si>
    <t>992895757
richard.ponciano@minjus.gob.pe</t>
  </si>
  <si>
    <t>944948839 
karla.medina@minjus.gob.pe</t>
  </si>
  <si>
    <t>974899831 
robert.chavez@minjus.gob.pe</t>
  </si>
  <si>
    <t>944827699 
sthevens.cunya@minjus.gob.pe</t>
  </si>
  <si>
    <t>962971895 
carmen.cook@minjus.gob.pe</t>
  </si>
  <si>
    <t>975402375 
rolando.depaz@minjus.gob.pe</t>
  </si>
  <si>
    <t>942034663 
gustavo.matta@minjus.gob.pe</t>
  </si>
  <si>
    <t xml:space="preserve">957 592 090 
maria.marin@minjus.gob.pe </t>
  </si>
  <si>
    <t>947528353 
samuel.diaz@minjus.gob.pe</t>
  </si>
  <si>
    <t>916098575 
jorge.puicon@minjus.gob.pe</t>
  </si>
  <si>
    <t>999,421,801 
cgallegos@minjus.gob.pe</t>
  </si>
  <si>
    <t>934495864 
manuel.guevara@minjus.gob.pe</t>
  </si>
  <si>
    <t>950872434 
julio.navarro@minjus.gob.pe</t>
  </si>
  <si>
    <t>944813150 
eberth.mendoza@minjus.gob.pe</t>
  </si>
  <si>
    <t>965,703,351 
lparedesa@minjus.gob.pe</t>
  </si>
  <si>
    <t>982607214 
cesar.arque@minjus.gob.pe</t>
  </si>
  <si>
    <t>953651529 
ruth.valdivia@minjus.gob.pe</t>
  </si>
  <si>
    <t>953765906 
joseph.campana@minjus.gob.pe</t>
  </si>
  <si>
    <t>985705695 
pierr.adrianzen@minjus.gob.pe</t>
  </si>
  <si>
    <t>97297835 
victor.landa@minjus.gob.pe</t>
  </si>
  <si>
    <t>948588253 
juan.vasquez@minjus.gob.pe</t>
  </si>
  <si>
    <t>952737606 
henry.nurena@minjus.gob.pe</t>
  </si>
  <si>
    <t>939076062 
jesus.jauregui@minjus.gob.pe</t>
  </si>
  <si>
    <t>942072024 
gregorio.purizaca@minjus.gob.pe</t>
  </si>
  <si>
    <t>952250493 
brenda.sanga@minjus.gob.pe</t>
  </si>
  <si>
    <t>944976228 
carlos.zuniga@minjus.gob.pe</t>
  </si>
  <si>
    <t>949,581,731 
jorge.kaqui@minjus.gob.pe</t>
  </si>
  <si>
    <t>983756743</t>
  </si>
  <si>
    <t>966929800</t>
  </si>
  <si>
    <t>984555100</t>
  </si>
  <si>
    <t>960826045</t>
  </si>
  <si>
    <t>997 949 454 
jesus.cahua@minjus.gob.pe</t>
  </si>
  <si>
    <t>jgutierrez@defensoria.gob.pe</t>
  </si>
  <si>
    <t>01 3110300/ Anexo 2608
lmejia@defensoria.gob.pe</t>
  </si>
  <si>
    <t>(01) 311 0300/ Anexo 2608
sramos@defensoria.gob.pe</t>
  </si>
  <si>
    <t>(062) 518203
mdurand@defensoria.gob.pe</t>
  </si>
  <si>
    <t>(01) 01 3110311
srodriguez@defensoria.gob.pe</t>
  </si>
  <si>
    <t>(076) 343489
ggomez@defensoria.gob.pe</t>
  </si>
  <si>
    <t>https://x.com/Pam_mdf/ pamela.hb2007@gmail.com pamela.huerta@almargen-media.com</t>
  </si>
  <si>
    <t>https://www.instagram.com/adrianaleoncantella/?hl=es
https://x.com/aleonca</t>
  </si>
  <si>
    <t>https://x.com/fiomontano</t>
  </si>
  <si>
    <t>https://www.linkedin.com/in/gianfranco-huaman/</t>
  </si>
  <si>
    <t>https://x.com/gloriaziegler</t>
  </si>
  <si>
    <t>pverano@gruporpp.com.pe</t>
  </si>
  <si>
    <t>pedroluisramos91@gmail.com</t>
  </si>
  <si>
    <t>https://www.linkedin.com/in/paola-ugaz-8b352a52/?originalSubdomain=pe</t>
  </si>
  <si>
    <t>https://www.linkedin.com/in/juana-avellaneda-c-b29b70b5/</t>
  </si>
  <si>
    <t>https://www.linkedin.com/in/cisneros-claudia-92b71b13/
https://x.com/claudiacisneros?lang=es</t>
  </si>
  <si>
    <t>https://www.linkedin.com/in/roc%C3%ADo-romero-benites-457031115/</t>
  </si>
  <si>
    <t>https://x.com/fabiolatorres?lang=es</t>
  </si>
  <si>
    <t>https://www.instagram.com/olivia_chs/</t>
  </si>
  <si>
    <t>https://www.linkedin.com/in/lorena-alvarez-46b9a795/
https://www.instagram.com/lorealvareza/?hl=es</t>
  </si>
  <si>
    <t>https://www.linkedin.com/in/sofiacarrillozegarra/</t>
  </si>
  <si>
    <t>ariana.lira@comercio.com.pe</t>
  </si>
  <si>
    <t>psotelo@mimp.gob.pe</t>
  </si>
  <si>
    <t>976300524</t>
  </si>
  <si>
    <t xml:space="preserve">wayrawarmikuna@gmail.com </t>
  </si>
  <si>
    <t>917632683/941805209/083 422560
contacto@fuerzainformativa.com</t>
  </si>
  <si>
    <t>direccionejecutiva@tarpurisunchis.org</t>
  </si>
  <si>
    <t>964107425/964107425</t>
  </si>
  <si>
    <t>948321234</t>
  </si>
  <si>
    <t>lleoncapj.gob.pe</t>
  </si>
  <si>
    <t xml:space="preserve">995 450 493
cveranobullon@yahoo.com </t>
  </si>
  <si>
    <t xml:space="preserve">redmicaelas.pe@gmail.com/ </t>
  </si>
  <si>
    <t>rcs-peru@un.org / (+51-1) 625 9000</t>
  </si>
  <si>
    <t>kvelasco@pucp.edu.pe</t>
  </si>
  <si>
    <t>tmunoznajar@elcomercio.pe</t>
  </si>
  <si>
    <t>https://www.linkedin.com/in/est%C3%A9fany-luj%C3%A1n-quispe-a874b765/</t>
  </si>
  <si>
    <t>https://www.linkedin.com/in/catasubirana/</t>
  </si>
  <si>
    <t>+51 989 680 665</t>
  </si>
  <si>
    <t>+51 962 701 791</t>
  </si>
  <si>
    <t>+51 954 922 188</t>
  </si>
  <si>
    <t>962616525
Tloarte60@gmail.com</t>
  </si>
  <si>
    <t>922324994
Guille2015edu@gmail.com</t>
  </si>
  <si>
    <t>083-321022</t>
  </si>
  <si>
    <t>metacalidaddevida@hotmail.com
(066) 302683</t>
  </si>
  <si>
    <t>(01) 596-0190
Anexo: 5549</t>
  </si>
  <si>
    <t>970518312</t>
  </si>
  <si>
    <t>996906009</t>
  </si>
  <si>
    <t xml:space="preserve">997545650
fycdonayrecahuaya@hotmail.com  </t>
  </si>
  <si>
    <t xml:space="preserve">962084481  
sdruparupa@mininter.gob.pe  </t>
  </si>
  <si>
    <t>gerencia.desarrollosocial@regionucayali.gob.pe</t>
  </si>
  <si>
    <t>nora.dd73@gmail.com</t>
  </si>
  <si>
    <t>931716252
Marthazegarra02@gmail.com</t>
  </si>
  <si>
    <t>973469360
rocampo@pj.gob.pe</t>
  </si>
  <si>
    <t>kcorimanya@regionloreto.gob.pe</t>
  </si>
  <si>
    <t>inimab@muniventanilla.gob.pe
(01) 9040387</t>
  </si>
  <si>
    <t>983 665 320
paul110762@yahoo.es</t>
  </si>
  <si>
    <t>996 700 705
 santosgerald33@gmail.com</t>
  </si>
  <si>
    <t>932 983 376</t>
  </si>
  <si>
    <t>924 847 384
adriansarria16@gmail.com</t>
  </si>
  <si>
    <t>961 605 573</t>
  </si>
  <si>
    <t>993 993 200
 coquicarrillo@gmail.com</t>
  </si>
  <si>
    <t>961 552 274
Fergpa92@gmail.com</t>
  </si>
  <si>
    <t>947 031 634</t>
  </si>
  <si>
    <t>+51 971 331 295</t>
  </si>
  <si>
    <t>966 625 516</t>
  </si>
  <si>
    <t>993890116
rphco.direccion@policia.gob.pe, rphco.sec@policia.gob.pe,</t>
  </si>
  <si>
    <t>comfam.huanuco@policia.gob.pe, Milymilagros9313@gmail.com, 2001201420@gmail.com</t>
  </si>
  <si>
    <t>962600440
Mildresf@hotmail.com</t>
  </si>
  <si>
    <t>913908455
Ruthlj22@gmail.com</t>
  </si>
  <si>
    <t>916718432
bevepilar@gmail.com</t>
  </si>
  <si>
    <t>990879007
senoviohuayanay@gmail.com</t>
  </si>
  <si>
    <t>920680164
bpercy_villogas@hotmail.com</t>
  </si>
  <si>
    <t>983618198
glaos2126@gmail.com.</t>
  </si>
  <si>
    <t>994483233
luzhinostrozar@pj.gob.pe, presidenciacsjhco@pj.gob.pe</t>
  </si>
  <si>
    <t>981840084
ysanchez@pj.gob.pe</t>
  </si>
  <si>
    <t>962826743
jmartel@mpfn.gob.pe</t>
  </si>
  <si>
    <t>984769245
presidenciahuanuco@mpfn.gob.pe, mherrerabdj@mpfn.gob.pe</t>
  </si>
  <si>
    <t>917842055
mmramirez@aurora.gob.pe</t>
  </si>
  <si>
    <t>917842055
delia.toscano@warmiñan.gob.pe</t>
  </si>
  <si>
    <t>962911124
mdurand@defensoria.gob.pe, odrhuanuco@defensoria.gob.pe</t>
  </si>
  <si>
    <t>954300800
atarazona@defensoria.gob.pe</t>
  </si>
  <si>
    <t>083 - 321066</t>
  </si>
  <si>
    <t>(083)321117</t>
  </si>
  <si>
    <t>083 321191 - 083 322030</t>
  </si>
  <si>
    <t>(083) 321094</t>
  </si>
  <si>
    <t>083 595500</t>
  </si>
  <si>
    <t>083636049 / Anexo 83001</t>
  </si>
  <si>
    <t>083-670012</t>
  </si>
  <si>
    <t>083 323260</t>
  </si>
  <si>
    <t>lagama@aurora.gob.pe
(066) 314963</t>
  </si>
  <si>
    <t>jtinco@saludayacucho.gob.pe
(01) 5192000</t>
  </si>
  <si>
    <t>dreayac@gmail.com
(066) 311395</t>
  </si>
  <si>
    <t>jortiza@pj.gob.pe
(066) 490066</t>
  </si>
  <si>
    <t>pjfs.ayacucho@mpfn.gob.pe
(066)314450</t>
  </si>
  <si>
    <t>wvega@defensoria.gob.pe
(066) 311256</t>
  </si>
  <si>
    <t>066-318739</t>
  </si>
  <si>
    <t>oficodcc.unidcc.ayacucho@policia.gob.pe
066- 316769</t>
  </si>
  <si>
    <t>992675873</t>
  </si>
  <si>
    <t>997508213</t>
  </si>
  <si>
    <t>942043622</t>
  </si>
  <si>
    <t>976317983</t>
  </si>
  <si>
    <t>960116809</t>
  </si>
  <si>
    <t>993345426</t>
  </si>
  <si>
    <t>933353634</t>
  </si>
  <si>
    <t>989980844
Astrid.upg16@gmail.com</t>
  </si>
  <si>
    <t>913 022497</t>
  </si>
  <si>
    <t>999 290 291</t>
  </si>
  <si>
    <t>935 080 927</t>
  </si>
  <si>
    <t>930480207
pomalopezpatricia@hotmail.com</t>
  </si>
  <si>
    <t>957748028
gpaucarsalvador@gmail.com</t>
  </si>
  <si>
    <t xml:space="preserve">952017954
yulihinostroza2022@gmail.com </t>
  </si>
  <si>
    <t xml:space="preserve">975118589
mariapanduro158@gmail.com </t>
  </si>
  <si>
    <t>951432494
omaped@gmail.com</t>
  </si>
  <si>
    <t>952587698
liofhi@gmail.com</t>
  </si>
  <si>
    <t xml:space="preserve">962614953
rosa.ballardo@aurora.gob.pe </t>
  </si>
  <si>
    <t>976269396
moises.delacruz@warminan.gob.pe</t>
  </si>
  <si>
    <t xml:space="preserve">980122383
divpollp.jef@policia.gob.pe </t>
  </si>
  <si>
    <t>900186166</t>
  </si>
  <si>
    <t>997964544
msierra@pj.gob.pe</t>
  </si>
  <si>
    <t xml:space="preserve"> 988063263
izevalloss@pj.gob.pe</t>
  </si>
  <si>
    <t>935357553
galvezriveroskj@hotmail.com</t>
  </si>
  <si>
    <t>984150643
kettyluzba@gmail.com</t>
  </si>
  <si>
    <t>942230170
marlonkg22_09@hotmail.com</t>
  </si>
  <si>
    <t>wilfredocaillahua1984@gmail.com
999 024 608</t>
  </si>
  <si>
    <t>fredy_301@hotmail.com
927292606</t>
  </si>
  <si>
    <t>jruthpalomino@gmail.com, ruthpalomino@ugelcangallo.gob.pe
989445650</t>
  </si>
  <si>
    <t>994 834 086</t>
  </si>
  <si>
    <t>mpvasquez@cultura.gob.pe
(01) 714 0102 / Anexo 7061</t>
  </si>
  <si>
    <t>alcaldia@municportillo.gob.pe
061 575241 / Anexo 102
061 591412</t>
  </si>
  <si>
    <t>alcaldia@munipadreabad.gob.pe</t>
  </si>
  <si>
    <t>061-575958
920111837
marcosperezurus@gmail.com</t>
  </si>
  <si>
    <t>kchamoly@defensoria.gob.pe
061 578633
061 577934</t>
  </si>
  <si>
    <t>https://www.linkedin.com/in/gisella-milagros-godier-del-castillo-ba20b05b/</t>
  </si>
  <si>
    <t>lmendoza@migraciones.gob.pe
(01) 200 1000 / Anexo 1250</t>
  </si>
  <si>
    <t>943983630
pparedes@mimp.gob.pe</t>
  </si>
  <si>
    <t>994 651173</t>
  </si>
  <si>
    <t>972765683
cguevara@aurora.gob.pe</t>
  </si>
  <si>
    <t>972592005
giovanaojedacampos27@hotmail.com</t>
  </si>
  <si>
    <t>kcochachi@pj.gob.pe
914025481</t>
  </si>
  <si>
    <t>cnajarr@pj.gob.pe
914025420</t>
  </si>
  <si>
    <t>hleont@pj.gob.pe
914025408</t>
  </si>
  <si>
    <t>mtorrico@pj.gob.pe
914024867</t>
  </si>
  <si>
    <t>esalazarp@pj.gob.pe
914025484</t>
  </si>
  <si>
    <t>cnaupap@pj.gob.pe
914025235</t>
  </si>
  <si>
    <t>ncabreral@pj.gob.pe
914025168</t>
  </si>
  <si>
    <t>rquispes@pj.gob.pe
914025532</t>
  </si>
  <si>
    <t>bcama@pj.gob.pe
914025498</t>
  </si>
  <si>
    <t>rquispey@pj.gob.pe
914025402</t>
  </si>
  <si>
    <t>sefajardo@pj.gob.pe
914025587</t>
  </si>
  <si>
    <t xml:space="preserve"> mcorderor@pj.gob.pe
914025406 </t>
  </si>
  <si>
    <t>hvalverdee@pj.gob.pe
914025352</t>
  </si>
  <si>
    <t>elopezj@pj.gob.pe
914025306</t>
  </si>
  <si>
    <t xml:space="preserve"> mchavezdu@pj.gob.pe
914024882</t>
  </si>
  <si>
    <t>987799886</t>
  </si>
  <si>
    <t>963 300 318</t>
  </si>
  <si>
    <t>947 446 443</t>
  </si>
  <si>
    <t>971 331 295</t>
  </si>
  <si>
    <t>945 854 416</t>
  </si>
  <si>
    <t>934 039 125</t>
  </si>
  <si>
    <t>957 731 365</t>
  </si>
  <si>
    <t>961 505 990</t>
  </si>
  <si>
    <t>921 043 396
marilindagambini09@gmail.com</t>
  </si>
  <si>
    <t>965 875 868</t>
  </si>
  <si>
    <t>914166514
nicanor.calizaya@warminan.gob.pe</t>
  </si>
  <si>
    <t>983604446
artemio.atao@warminan.gob.pe</t>
  </si>
  <si>
    <t>916724682
yulissa.diaz@warminan.gob.pe</t>
  </si>
  <si>
    <t>914186123
charlye.gracia@warminan.gob.pe</t>
  </si>
  <si>
    <t>914174353
nilda.berrospi@aurora.gob.pe</t>
  </si>
  <si>
    <t>932946917
lupe.fretel@aurora.gob.pe</t>
  </si>
  <si>
    <t>961499196
elizabet.congache@warminan.gob.pe</t>
  </si>
  <si>
    <t>966007580
maria.velarde@warminan.gob.pe</t>
  </si>
  <si>
    <t>922501593
osler.tonqui@warminan.gob.pe</t>
  </si>
  <si>
    <t>914703781
mirna.huaranca@warminan.gob.pe</t>
  </si>
  <si>
    <t>914703785
ronald.bautista@warminan.gob.pe</t>
  </si>
  <si>
    <t>932784111
dan.ramirez@aurora.gob.pe</t>
  </si>
  <si>
    <t>961060750
johana.rodriguez@warminan.gob.pe</t>
  </si>
  <si>
    <t>979015132
denis.salazar@warminan.gob.pe</t>
  </si>
  <si>
    <t>979764254
albert.iman@warminan.gob.pe</t>
  </si>
  <si>
    <t>955923849
karina.lozano@aurora.gob.pe</t>
  </si>
  <si>
    <t>947575078
analethy.soto@aurora.gob.pe</t>
  </si>
  <si>
    <t>920152365
mericia.mendoza@aurora.gob.pe</t>
  </si>
  <si>
    <t>957304291
marino.julca@aurora.gob.pe</t>
  </si>
  <si>
    <t>949806697
yimi.chavez@aurora.gob.pe</t>
  </si>
  <si>
    <t>941897327
https://www.linkedin.com/company/red-de-mujeres-emprendedoras-y-empresarias-huanuco/?originalSubdomain=pe</t>
  </si>
  <si>
    <t>51(1) 428-0635
 onamiap@onamiap.org / presidenciaonamiap@gmail.com / presidencia@onamiap.org</t>
  </si>
  <si>
    <t>lourdeshuanca@yahoo.es
51(1) 424-1611</t>
  </si>
  <si>
    <t>984 496 325
mys@mujerysociedad.org.pe</t>
  </si>
  <si>
    <t>cepesju@cepesju.org
+51 (1) 471 35 87
+51 999 952 504</t>
  </si>
  <si>
    <t>945 316 119</t>
  </si>
  <si>
    <t>965 673 326/Asistente: Helly Medina Cel. +51 947 004 120</t>
  </si>
  <si>
    <t>989 071 371</t>
  </si>
  <si>
    <t>962911124</t>
  </si>
  <si>
    <t>rroncal@kallpa.org.pe
edelgado@kallpa.org.pe
999 880 557</t>
  </si>
  <si>
    <t>975 970 756</t>
  </si>
  <si>
    <t>999 429 442</t>
  </si>
  <si>
    <t>957 451 832</t>
  </si>
  <si>
    <t>974 985 663</t>
  </si>
  <si>
    <t>921 749 627</t>
  </si>
  <si>
    <t>whernandez@grade.org.pe</t>
  </si>
  <si>
    <t>mulfe@pucp.edu.pe</t>
  </si>
  <si>
    <t xml:space="preserve"> pruiz@pucp.edu.pe</t>
  </si>
  <si>
    <t>apizarroq@pucp.edu.pe</t>
  </si>
  <si>
    <t>rocio.franco@pucp.pe</t>
  </si>
  <si>
    <t>vrojas@grade.org.pe</t>
  </si>
  <si>
    <t>crisostomo.m@pucp.edu.pe</t>
  </si>
  <si>
    <t>jose.ramos.10@unsch.edu.pe</t>
  </si>
  <si>
    <t>s.gorensteinr@up.edu.pe
	sharon.gorenstein@pucp.pe</t>
  </si>
  <si>
    <t>pames@iep.org.pe</t>
  </si>
  <si>
    <t>andrea.romanalfaro@mail.utoronto.ca</t>
  </si>
  <si>
    <t>evelyn_contabilidad@hotmail.com</t>
  </si>
  <si>
    <t>https://www.linkedin.com/in/pavel-antonio-alarcon-vila-4552221b2/</t>
  </si>
  <si>
    <t>jessiara305@gmail.com</t>
  </si>
  <si>
    <t>jose.rodriguez@unsch.edu.pe</t>
  </si>
  <si>
    <t>nhenriq@pucp.pe</t>
  </si>
  <si>
    <t>fayala@unheval.edu.pe</t>
  </si>
  <si>
    <t>adenegri@pucp.pe</t>
  </si>
  <si>
    <t>Contacto de institución (mesa de partes)</t>
  </si>
  <si>
    <t>cvilela@jne.gob.pe</t>
  </si>
  <si>
    <t>mesadepartesdigital@mimp.gob.pe.</t>
  </si>
  <si>
    <t>mesa_de_partes_gg@mpfn.gob.pe
mesadepartes1FSuprP@mpfn.gob.pe</t>
  </si>
  <si>
    <t>4100700, anexo: 16030
mesa_de_partes_gg@mpfn.gob.pe
mesadepartes1FSuprP@mpfn.gob.pe</t>
  </si>
  <si>
    <t>servicedesk@pj.gob.pe.</t>
  </si>
  <si>
    <t>https://mpd.policia.gob.pe/mesadepartesdigital/</t>
  </si>
  <si>
    <t>https://sgd.minjus.gob.pe/sgd-virtual/public/ciudadano/ciudadanoMain.xhtml</t>
  </si>
  <si>
    <t>https://sgd.defensoria.gob.pe/TramiteVirtual/</t>
  </si>
  <si>
    <t>dcernas@pj.gob.pe</t>
  </si>
  <si>
    <t>mesadepartes.fpedv.maynas@gmail.com</t>
  </si>
  <si>
    <t>peru.office@unfpa.org / (+511) 226 1026</t>
  </si>
  <si>
    <t>registry.pe@undp.org</t>
  </si>
  <si>
    <t>unodc-peru@un.org</t>
  </si>
  <si>
    <t>oce.peru@aecid.es / (+51-1) 202 7000</t>
  </si>
  <si>
    <t>orpio-baseregional_aidesep@hotmail.com / (065) 227345</t>
  </si>
  <si>
    <t>orauo347@gmail.com</t>
  </si>
  <si>
    <t>convocaperiodismo@convoca.pe</t>
  </si>
  <si>
    <t>prensa@contranoticia.pe</t>
  </si>
  <si>
    <t>feconau1@gmail.com
(061) 625262</t>
  </si>
  <si>
    <t>fenamad@fenamad.com.pe
(082) 572499</t>
  </si>
  <si>
    <t>chavez@dvv-international.edu.pe</t>
  </si>
  <si>
    <t xml:space="preserve">susana.trazamos@hotmail.com
</t>
  </si>
  <si>
    <t>presidencia@amep.org.pe</t>
  </si>
  <si>
    <t>Kanttuperu@yahoo.es</t>
  </si>
  <si>
    <t>cavera@minedu.gob.pe</t>
  </si>
  <si>
    <t>marielenarm@gmail.com</t>
  </si>
  <si>
    <t>k.allca@pucp.edu.pe</t>
  </si>
  <si>
    <t>mavila@proetica.org.pe</t>
  </si>
  <si>
    <t xml:space="preserve">rednacionalpj@gmail.com </t>
  </si>
  <si>
    <t>taepunmsm@gmail.com</t>
  </si>
  <si>
    <t>carmen.espinoza@manuela.org.p</t>
  </si>
  <si>
    <t>Estrategia de acercamiento</t>
  </si>
  <si>
    <t>- Enviar oficio formal
- Confirmar recepción del oficio
- Dar seguimiento telefónico</t>
  </si>
  <si>
    <t>- Enviar oficio formal
- Confirmar recepción del oficio</t>
  </si>
  <si>
    <t>- Convocar mediante llamada</t>
  </si>
  <si>
    <t>- Enviar oficio formal
- Confirmar recepción del oficio
- Dar seguimiento telefónico a través del punto focal identificado
-Confirmar participación</t>
  </si>
  <si>
    <t>- Enviar correos con convocatoria
- Dar seguimiento telefónico</t>
  </si>
  <si>
    <t>- Enviar correos con convocatoria</t>
  </si>
  <si>
    <t>- Enviar oficio formal 
- Confirmar recepción del oficio
- Definir punto focal
- Dar seguimiento telefónico</t>
  </si>
  <si>
    <t>- Enviar oficio dirigido a la Comisión de Acceso a la Justicia
- Confirmar recepción del oficio
- Definir punto focal
- Dar seguimiento telefónico</t>
  </si>
  <si>
    <t>- Enviar oficio formal
- Confirmar recepción del oficio
- Definir punto focal
- Dar seguimiento telefónico</t>
  </si>
  <si>
    <t>- Realizar llamada de presentación y convocatoria al estudio</t>
  </si>
  <si>
    <t>- Enviar oficio formal
- Confirmar recepción del oficio
- Dar seguimiento por correo</t>
  </si>
  <si>
    <t>- Enviar convocatoria por Linkedin
- Dar seguimiento</t>
  </si>
  <si>
    <t>Requiere Oficio</t>
  </si>
  <si>
    <t>si</t>
  </si>
  <si>
    <t>Encargado</t>
  </si>
  <si>
    <t>IJM</t>
  </si>
  <si>
    <t>APOYO</t>
  </si>
  <si>
    <t>¿Envío de oficio?</t>
  </si>
  <si>
    <t>¿Contactado?</t>
  </si>
  <si>
    <t>no</t>
  </si>
  <si>
    <t>Estado</t>
  </si>
  <si>
    <t>Realizada completa</t>
  </si>
  <si>
    <t>No válida</t>
  </si>
  <si>
    <t>Sin respuesta</t>
  </si>
  <si>
    <t>En coordinación</t>
  </si>
  <si>
    <t>Rechazada</t>
  </si>
  <si>
    <t>Aceptada</t>
  </si>
  <si>
    <t>sin respuesta</t>
  </si>
  <si>
    <t>Fecha de primer contacto</t>
  </si>
  <si>
    <t xml:space="preserve">  4/8/2026</t>
  </si>
  <si>
    <t xml:space="preserve">  5/5/2026</t>
  </si>
  <si>
    <t xml:space="preserve"> 3/19/2026</t>
  </si>
  <si>
    <t xml:space="preserve"> 3/23/2026</t>
  </si>
  <si>
    <t xml:space="preserve"> 3/20/2026</t>
  </si>
  <si>
    <t xml:space="preserve"> 4/14/2026</t>
  </si>
  <si>
    <t xml:space="preserve"> 3/24/2026</t>
  </si>
  <si>
    <t xml:space="preserve">  4/6/2026</t>
  </si>
  <si>
    <t xml:space="preserve"> 4/17/2026</t>
  </si>
  <si>
    <t xml:space="preserve"> 3/25/2026</t>
  </si>
  <si>
    <t xml:space="preserve"> 3/26/2026</t>
  </si>
  <si>
    <t xml:space="preserve">  3/6/2026</t>
  </si>
  <si>
    <t xml:space="preserve"> 3/30/2026</t>
  </si>
  <si>
    <t xml:space="preserve"> 6/25/2026</t>
  </si>
  <si>
    <t xml:space="preserve"> 5/29/2026</t>
  </si>
  <si>
    <t xml:space="preserve"> 6/29/2026</t>
  </si>
  <si>
    <t xml:space="preserve"> 5/12/2026</t>
  </si>
  <si>
    <t xml:space="preserve">  6/5/2026</t>
  </si>
  <si>
    <t xml:space="preserve">  6/9/2026</t>
  </si>
  <si>
    <t xml:space="preserve"> 3/29/2026</t>
  </si>
  <si>
    <t xml:space="preserve"> 6/16/2026</t>
  </si>
  <si>
    <t xml:space="preserve"> 6/24/2026</t>
  </si>
  <si>
    <t xml:space="preserve"> 7/13/2026</t>
  </si>
  <si>
    <t xml:space="preserve">  8/3/2026</t>
  </si>
  <si>
    <t xml:space="preserve">  7/8/2026</t>
  </si>
  <si>
    <t xml:space="preserve">  7/7/2026</t>
  </si>
  <si>
    <t xml:space="preserve"> 7/21/2026</t>
  </si>
  <si>
    <t xml:space="preserve"> 7/22/2026</t>
  </si>
  <si>
    <t>Fecha de segundo contacto</t>
  </si>
  <si>
    <t xml:space="preserve"> 6/11/2026</t>
  </si>
  <si>
    <t xml:space="preserve"> 4/10/2026</t>
  </si>
  <si>
    <t xml:space="preserve"> 5/20/2026</t>
  </si>
  <si>
    <t xml:space="preserve">  5/6/2026</t>
  </si>
  <si>
    <t xml:space="preserve"> 5/22/2026</t>
  </si>
  <si>
    <t xml:space="preserve"> 5/19/2026</t>
  </si>
  <si>
    <t xml:space="preserve">  6/6/2026</t>
  </si>
  <si>
    <t xml:space="preserve">  6/3/2026</t>
  </si>
  <si>
    <t xml:space="preserve">  6/4/2026</t>
  </si>
  <si>
    <t>Fecha de tercer contacto</t>
  </si>
  <si>
    <t xml:space="preserve">  4/7/2026</t>
  </si>
  <si>
    <t>Fecha propuesta</t>
  </si>
  <si>
    <t xml:space="preserve"> 6/15/2026</t>
  </si>
  <si>
    <t xml:space="preserve"> 6/30/2026</t>
  </si>
  <si>
    <t xml:space="preserve">  4/9/2026</t>
  </si>
  <si>
    <t xml:space="preserve"> 4/13/2026</t>
  </si>
  <si>
    <t>12-Jun</t>
  </si>
  <si>
    <t xml:space="preserve"> 6/17/2026</t>
  </si>
  <si>
    <t>15-Jul</t>
  </si>
  <si>
    <t>11-Jul</t>
  </si>
  <si>
    <t>16-Jul</t>
  </si>
  <si>
    <t>14-Jul</t>
  </si>
  <si>
    <t>13-Jul</t>
  </si>
  <si>
    <t xml:space="preserve"> 9-Jul</t>
  </si>
  <si>
    <t xml:space="preserve"> 7/10/2026</t>
  </si>
  <si>
    <t>14-Sep</t>
  </si>
  <si>
    <t>27-Jul</t>
  </si>
  <si>
    <t>24-Jul</t>
  </si>
  <si>
    <t>22-Jul</t>
  </si>
  <si>
    <t>21-Aug</t>
  </si>
  <si>
    <t>19-Aug</t>
  </si>
  <si>
    <t>22-Aug</t>
  </si>
  <si>
    <t>Fecha de inicio de actividad</t>
  </si>
  <si>
    <t>15-Jun</t>
  </si>
  <si>
    <t xml:space="preserve"> 8-May</t>
  </si>
  <si>
    <t>31-Mar</t>
  </si>
  <si>
    <t>24-Mar</t>
  </si>
  <si>
    <t>21-Jul</t>
  </si>
  <si>
    <t>25-May</t>
  </si>
  <si>
    <t>21-May</t>
  </si>
  <si>
    <t xml:space="preserve"> 7-Apr</t>
  </si>
  <si>
    <t xml:space="preserve"> 1-Apr</t>
  </si>
  <si>
    <t>24-Apr</t>
  </si>
  <si>
    <t>12-May</t>
  </si>
  <si>
    <t>30-Jun</t>
  </si>
  <si>
    <t xml:space="preserve"> 7-Jul</t>
  </si>
  <si>
    <t xml:space="preserve"> 9-Apr</t>
  </si>
  <si>
    <t>10-Apr</t>
  </si>
  <si>
    <t>14-Apr</t>
  </si>
  <si>
    <t>20-Jul</t>
  </si>
  <si>
    <t>30-Mar</t>
  </si>
  <si>
    <t xml:space="preserve"> 2-Apr</t>
  </si>
  <si>
    <t xml:space="preserve"> 2-Jun</t>
  </si>
  <si>
    <t>26-Jun</t>
  </si>
  <si>
    <t xml:space="preserve"> 8-Jun</t>
  </si>
  <si>
    <t>11-Jun</t>
  </si>
  <si>
    <t>13-Jun</t>
  </si>
  <si>
    <t xml:space="preserve"> 9-Jun</t>
  </si>
  <si>
    <t>23-May</t>
  </si>
  <si>
    <t xml:space="preserve"> 4-Jun</t>
  </si>
  <si>
    <t>17-Jun</t>
  </si>
  <si>
    <t>16-Jun</t>
  </si>
  <si>
    <t>22-Jun</t>
  </si>
  <si>
    <t>25-Jun</t>
  </si>
  <si>
    <t>24-Jun</t>
  </si>
  <si>
    <t>27-Jun</t>
  </si>
  <si>
    <t xml:space="preserve"> 1-Jul</t>
  </si>
  <si>
    <t xml:space="preserve"> 3-Jul</t>
  </si>
  <si>
    <t xml:space="preserve"> 2-Jul</t>
  </si>
  <si>
    <t xml:space="preserve"> 3-Aug</t>
  </si>
  <si>
    <t>17-Jul</t>
  </si>
  <si>
    <t>10-Jul</t>
  </si>
  <si>
    <t xml:space="preserve"> 6-Jul</t>
  </si>
  <si>
    <t>18-Jul</t>
  </si>
  <si>
    <t>Fecha de fin de actividad</t>
  </si>
  <si>
    <t xml:space="preserve"> 8-Apr</t>
  </si>
  <si>
    <t>24-Aug</t>
  </si>
  <si>
    <t>Modalidad</t>
  </si>
  <si>
    <t>A distancia asistido</t>
  </si>
  <si>
    <t>Duración total (min)</t>
  </si>
  <si>
    <t>Comentarios /Observaciones IJM</t>
  </si>
  <si>
    <t>Se encuentra en Italia, y estará revisando al agenda disponible por la diferencia de horas./ Definió la Agenda.</t>
  </si>
  <si>
    <t>No será entrevistada. Será remplazada por Esley Nieto de Paz y Esperanza</t>
  </si>
  <si>
    <t>Reiterar mensaje</t>
  </si>
  <si>
    <t>Volver a llamar</t>
  </si>
  <si>
    <t>928974196 Cel de inter no contestó</t>
  </si>
  <si>
    <t>No contesta y desde el fijo se corta. Enviar correo</t>
  </si>
  <si>
    <t>Contesta la operadora. Enviar correo</t>
  </si>
  <si>
    <t>Mensaje vía whatsApp. Contestó; se le mencionó hora y fecha, esperando respuesta. Se volvio a enviar mensaje el 08/05/26</t>
  </si>
  <si>
    <t>por 06 días en diferentes fechas se ha intentado coordinar pero no se concreta, dice que si y luego no responde.</t>
  </si>
  <si>
    <t>Mensaje vía whatsapp. Aceptó entrevista</t>
  </si>
  <si>
    <t xml:space="preserve">Aceptó entrevista. </t>
  </si>
  <si>
    <t>Me piden enviar invitación formal a nombre de Rocio Gutierrez directora</t>
  </si>
  <si>
    <t>se envio oficio por mesa de partes digital</t>
  </si>
  <si>
    <t>Enviar  oficio; el teléfono fijo se corta.</t>
  </si>
  <si>
    <t>Se le envio nuevamente la carta por whatsapp porque el correo reboto</t>
  </si>
  <si>
    <t>El distrito judicial es Ayacucho y reboto el correo</t>
  </si>
  <si>
    <t>El distrito judicial es Ayacucho</t>
  </si>
  <si>
    <t>se envío  correo de seguimiento</t>
  </si>
  <si>
    <t>correo reboto</t>
  </si>
  <si>
    <t>Mensaje vía whatsapp.</t>
  </si>
  <si>
    <t>Reboto el correo</t>
  </si>
  <si>
    <t>Corregir en la columna de "Alcance" epifania pertenece a la Corte Superior  de Justicia de Huanúco</t>
  </si>
  <si>
    <t>envié whatsapp. Entrevista aceptada</t>
  </si>
  <si>
    <t>reboto correo</t>
  </si>
  <si>
    <t>Aceptó entrevista sin oficio</t>
  </si>
  <si>
    <t>o se puede acceder al facebook</t>
  </si>
  <si>
    <t>sintabues.org@gmail.com</t>
  </si>
  <si>
    <t>se envio whatsApp el 24/03/26 y se envio oficio el 05/05/26</t>
  </si>
  <si>
    <t xml:space="preserve"> en contacto con la comunicadora</t>
  </si>
  <si>
    <t>Confirmó entrevista sin oficio, indico le manden link a  986693411</t>
  </si>
  <si>
    <t>se envio whatsApp el 24/03/26 / Se volvío a escribir el 30/03/2026.</t>
  </si>
  <si>
    <t>se envio whatsApp el 24/03/26</t>
  </si>
  <si>
    <t>se envio whatsApp el 24/03/26, el 26 de marzo dieron un nuevo cel. 976955754 ya se le escribió.</t>
  </si>
  <si>
    <t>Aceptó entrevista</t>
  </si>
  <si>
    <t xml:space="preserve">Acepto entrevista </t>
  </si>
  <si>
    <t>Distrito Judic ial  de ucayali (actualizado) Se debe recategorizar para ONG KAI</t>
  </si>
  <si>
    <t xml:space="preserve"> se envió whatsapp 22/05/26</t>
  </si>
  <si>
    <t>DECANA DEL CAL enviar oficio, se debe volver a enviar oficio al correo del CAL</t>
  </si>
  <si>
    <t xml:space="preserve"> se envió whatsapp 24/03/26</t>
  </si>
  <si>
    <t>correo de seguimiento</t>
  </si>
  <si>
    <t>correo seguimiento</t>
  </si>
  <si>
    <t>se le mando whatsapp 20/03/26</t>
  </si>
  <si>
    <t>se envio whatsapp 25/03/26</t>
  </si>
  <si>
    <t>se envío whatsApp 26/03/26</t>
  </si>
  <si>
    <t>se envío whatsApp 26/03/26, aceptó entrevista 01/04/2026</t>
  </si>
  <si>
    <t>envie whatsApp 26/03/26</t>
  </si>
  <si>
    <t>No tiene activado whatsApp</t>
  </si>
  <si>
    <t>Se envió mensaje por Whatsapp. Aún no contesta</t>
  </si>
  <si>
    <t>envié whatsApp 26/03/26</t>
  </si>
  <si>
    <t>envié whatsApp 26/03/26  mp.1fsevcm.limanorte@mpfn.gob.pe mandar oficio a nombre de  Dany Campana</t>
  </si>
  <si>
    <t>se envio por WhatsApp el 26/03/26 me dieron un nuevo celular de Victor Camarena 961 855671</t>
  </si>
  <si>
    <t>se envio whatsApp 26/03/226/ reboto correo</t>
  </si>
  <si>
    <t>whatsapp 22.05.26</t>
  </si>
  <si>
    <t>whatsapp 22.05.26 me dieron nuevo cel 943095257 AYUDANTIA DIRNOS</t>
  </si>
  <si>
    <t>respondió se está respondiendo vía whatsapp</t>
  </si>
  <si>
    <t>Whatsapp</t>
  </si>
  <si>
    <t>Respondio indicando que no tiene experiencia</t>
  </si>
  <si>
    <t>se envio Whatsapp 26/03/26. Emtrevista aceptada</t>
  </si>
  <si>
    <t>el número es incorrecto</t>
  </si>
  <si>
    <t>se envio whatsapp 30/03/26</t>
  </si>
  <si>
    <t>envio whatsapp 30/03/26</t>
  </si>
  <si>
    <t>La referencia es la Sra Mercedes Arce. Indicó que designaría a un colaborador con experiencia en Loreto. / Mercedes realizará la entrevista: Martes 30/6</t>
  </si>
  <si>
    <t>Entrevista concretada por LLilda Souza</t>
  </si>
  <si>
    <t>Está en búsqueda de -Sobrevivientes</t>
  </si>
  <si>
    <t>Fila agregada.</t>
  </si>
  <si>
    <t>Está en búsqueda de -Sobrevivientes.
Entrevista realizada luego de reprogramación.</t>
  </si>
  <si>
    <t>Se le enviará oficio  a nombre de Pedro Martin Fuentes Sotelo</t>
  </si>
  <si>
    <t>mandar otro oficio, erro se debe enviar a la Defensa Pública de Madre de DIos</t>
  </si>
  <si>
    <t>se envio whatsApp 26/03/26. Entrevista aceptada</t>
  </si>
  <si>
    <t>se envio whatsApp 26/03/26.Entrevista aceptada. Reprogramada por no respuesta de participante, hasta en 3 horarios.</t>
  </si>
  <si>
    <t>se envio whatsApp 26/03/26</t>
  </si>
  <si>
    <t>Requeire saber la persona que se contacta</t>
  </si>
  <si>
    <t>cel. +1 (740) 590 7116</t>
  </si>
  <si>
    <t>Vía correo respondió que no participarán de la entrevista</t>
  </si>
  <si>
    <t>le escribí por IG</t>
  </si>
  <si>
    <t>La Sra. Graciela está ocupada se le ofreció delegar a otra persona</t>
  </si>
  <si>
    <t>Contactado por Lisbeth Souza por perfil más acorde a la entrevista. Suma a la cuota de Huánuco.</t>
  </si>
  <si>
    <t>Contactado por Lisbeth Souza, hacerle referencia. Espera puntual la entrevista , tiene audiencia a las 10am</t>
  </si>
  <si>
    <t>Contacto Llilda</t>
  </si>
  <si>
    <t>Llamar el 15/07 para confirmar hora para el 16/07</t>
  </si>
  <si>
    <t>Llamar o escribir 10:30am para recordarle</t>
  </si>
  <si>
    <t xml:space="preserve">Contactado por Lisbeth Souza, por favor hacerle referencia. Es Abogado en Iquitos, con 15 años de experiencia ejerciendo el derecho en la ciudad, incluyendo casos de defensa a NNAs. </t>
  </si>
  <si>
    <t>Solicitan ingresar documento por Mesa de Partes</t>
  </si>
  <si>
    <t>Ya fue entrevistado, ver fila 376</t>
  </si>
  <si>
    <t>0</t>
  </si>
  <si>
    <t>Sofía Blamey Andrusco</t>
  </si>
  <si>
    <t>Cinthia Navarro</t>
  </si>
  <si>
    <t>Sofia Garcia</t>
  </si>
  <si>
    <t>Sandra Contreras</t>
  </si>
  <si>
    <t>Sandy Martinez</t>
  </si>
  <si>
    <t>Lissette Tobar</t>
  </si>
  <si>
    <t>Jenny Dador</t>
  </si>
  <si>
    <t>Oscar Andrés Alva Arías</t>
  </si>
  <si>
    <t>Gloria Cano</t>
  </si>
  <si>
    <t>Maria Elena Bazan Ponce de Leon</t>
  </si>
  <si>
    <t>Sara Estela Rivera Almerco</t>
  </si>
  <si>
    <t>Soledad Chavez Bedoya</t>
  </si>
  <si>
    <t>Silvia Arteaga</t>
  </si>
  <si>
    <t>Karolina</t>
  </si>
  <si>
    <t>Carol Tremont</t>
  </si>
  <si>
    <t>Intikilla Eutropía Delgado Castro</t>
  </si>
  <si>
    <t>Rosario Cosar</t>
  </si>
  <si>
    <t>Lourdes Febres</t>
  </si>
  <si>
    <t>Magaly Blas</t>
  </si>
  <si>
    <t>Gabriela Osco Chuquizuta</t>
  </si>
  <si>
    <t>Inés Agresott</t>
  </si>
  <si>
    <t>Arlette Contreras</t>
  </si>
  <si>
    <t>Sandy Evangelista</t>
  </si>
  <si>
    <t xml:space="preserve">Victoria Pomalaya Trillo </t>
  </si>
  <si>
    <t>Ulises Requejo</t>
  </si>
  <si>
    <t xml:space="preserve">Norma Rojas </t>
  </si>
  <si>
    <t>Angel Grimaldo Palacios Trujillo</t>
  </si>
  <si>
    <t>Heydy Taype Pérez</t>
  </si>
  <si>
    <t>Alicia Soledad Cusquisibán Sánchez</t>
  </si>
  <si>
    <t>Blanca Marianela Benites Avalos</t>
  </si>
  <si>
    <t>Jose Miguel Chavez Montero</t>
  </si>
  <si>
    <t>Hellen Victoria Ku Yanasupo</t>
  </si>
  <si>
    <t>Zoila Cabanillas</t>
  </si>
  <si>
    <t>Santos Vanessa Díaz Angulo de Loayza</t>
  </si>
  <si>
    <t>Ever Nuñez</t>
  </si>
  <si>
    <t>Tania Pariona Tarqui</t>
  </si>
  <si>
    <t>Sonia Condoria Mitma</t>
  </si>
  <si>
    <t>Carmen Rosa Villela Vargas</t>
  </si>
  <si>
    <t>Eutropia Ayllon León de Lima Norte</t>
  </si>
  <si>
    <t>Irma Milagritos Llontop Vilchez</t>
  </si>
  <si>
    <t>Estela Lozano Reyes</t>
  </si>
  <si>
    <t xml:space="preserve">Fabiana Rodari </t>
  </si>
  <si>
    <t>Víctor Canales</t>
  </si>
  <si>
    <t>Patricia Nieto</t>
  </si>
  <si>
    <t>Liz Meléndez López</t>
  </si>
  <si>
    <t>María Pía Molero</t>
  </si>
  <si>
    <t>Susana Osorio</t>
  </si>
  <si>
    <t>Diana Rodriguez / Antonella Rojas</t>
  </si>
  <si>
    <t>Gianina Marquez Olivera</t>
  </si>
  <si>
    <t>Luisa Martinez</t>
  </si>
  <si>
    <t>Angela Dominguez</t>
  </si>
  <si>
    <t>Beatriz Cordova</t>
  </si>
  <si>
    <t>Virginia Rose Losada</t>
  </si>
  <si>
    <t>Corali Ormeño Michelena</t>
  </si>
  <si>
    <t>Giannina Castro Gamarra</t>
  </si>
  <si>
    <t>María Alejandra Saravia Pinazo</t>
  </si>
  <si>
    <t>Por evaluar</t>
  </si>
  <si>
    <t>Instituto Promoviendo Desarrollo Social-IPRODES</t>
  </si>
  <si>
    <t>World Vision</t>
  </si>
  <si>
    <t>GIZ</t>
  </si>
  <si>
    <t>Fundación Arbol de la Vida</t>
  </si>
  <si>
    <t>Coordinadora de Derechos Humanos</t>
  </si>
  <si>
    <t>Acción por los niños</t>
  </si>
  <si>
    <t>Colegio Médico del Perú</t>
  </si>
  <si>
    <t>Red Interquorum</t>
  </si>
  <si>
    <t>Mujeres Migrantes Maltratadas</t>
  </si>
  <si>
    <t>Ni una menos</t>
  </si>
  <si>
    <t>Familias Unidas Por Justicia: Familiares de Víctimas de Feminicidio</t>
  </si>
  <si>
    <t>Ministerio del Interior</t>
  </si>
  <si>
    <t>Wami Ñan</t>
  </si>
  <si>
    <t>Coordinadora Nacional de Derechos Humanos (CNDDHH)</t>
  </si>
  <si>
    <t>Apurímac ETS</t>
  </si>
  <si>
    <t>Warmi Wasi</t>
  </si>
  <si>
    <t>ONG Buckner</t>
  </si>
  <si>
    <t>Centro de la Mujer Peruana Flora Tristán</t>
  </si>
  <si>
    <t>ONU Mujer</t>
  </si>
  <si>
    <t xml:space="preserve">Save the children </t>
  </si>
  <si>
    <t>Quinta Ola</t>
  </si>
  <si>
    <t>CEM</t>
  </si>
  <si>
    <t>OIT</t>
  </si>
  <si>
    <t>CARE ONG</t>
  </si>
  <si>
    <t>AMEP</t>
  </si>
  <si>
    <t>RENAMEE</t>
  </si>
  <si>
    <t>Docente de la PUCP en temas de Género</t>
  </si>
  <si>
    <t>Reunión de validación</t>
  </si>
  <si>
    <t>Tipo de actor</t>
  </si>
  <si>
    <t>Grupo focal de reconocimiento</t>
  </si>
  <si>
    <t>N° de Grupo Focal</t>
  </si>
  <si>
    <t>Grupo focal 1</t>
  </si>
  <si>
    <t>Grupo focal 2</t>
  </si>
  <si>
    <t>https://www.linkedin.com/in/sofia-blamey-andrusco-7520096b/?locale=fr_FR</t>
  </si>
  <si>
    <t xml:space="preserve">cinthia.navarro@oxfam.org
	cinavarro@pucp.pe   </t>
  </si>
  <si>
    <t>+51 992917139</t>
  </si>
  <si>
    <t>(01) 513-6500</t>
  </si>
  <si>
    <t>silvia.romeroborda@giz.de
giz-peru@giz.de
+51 1 4229067</t>
  </si>
  <si>
    <t>sandy.martinez@giz.de
986742519</t>
  </si>
  <si>
    <t>+51 (01) 2512724 
peru.fondazione@alberodellavita.org</t>
  </si>
  <si>
    <t>953297789</t>
  </si>
  <si>
    <t>+51 981164882
oalva@mimp.gob.pe</t>
  </si>
  <si>
    <t>- Tlf. (01) 424-7057, 431-0482
- Dirección: Jr. Pachacútec 980 – Jesús María
- Correo: postmast@aprodeh.org.pe, gloria@aprodeh.org.pe</t>
  </si>
  <si>
    <t>Tlf: 381-7190, 940228242</t>
  </si>
  <si>
    <t>aisanjuanb@gmail.com</t>
  </si>
  <si>
    <t>(01) 352-1199</t>
  </si>
  <si>
    <t>car.sricardo@inabif.gob.pe</t>
  </si>
  <si>
    <t>https://www.linkedin.com/in/intikilla-eutrop%C3%ADa-delgado-castro-9a585934/</t>
  </si>
  <si>
    <t>https://www.linkedin.com/in/rosario-cosar-5b3538119/
51-996-055-083
comunicaciones@kallpa.org.pe, peru@kallpa.org.pe</t>
  </si>
  <si>
    <t>lourdes.febres@accionporlosninos.org.pe
995579501</t>
  </si>
  <si>
    <t>magaly.blas.b@upch.pe</t>
  </si>
  <si>
    <t>redinterquorum@gmail.com</t>
  </si>
  <si>
    <t>madresmigrantesextranjerasperu@gmail.com</t>
  </si>
  <si>
    <t>arlettecontreras@agendamujer.com</t>
  </si>
  <si>
    <t>familiasunidasporjusticia@gmail.com</t>
  </si>
  <si>
    <t>945 023 096, 061579750 anexo 3019
vpomalaya@mpfn.gob.pe; victoriapomalaya@gmail.com</t>
  </si>
  <si>
    <t>997 918 714</t>
  </si>
  <si>
    <t>993819250</t>
  </si>
  <si>
    <t>Tlf: 542-0552
asistenciaeconomica@waminam.gob.pe</t>
  </si>
  <si>
    <t>+51 994833661</t>
  </si>
  <si>
    <t>Tlf. (066) 364000
'+51 994834045</t>
  </si>
  <si>
    <t>+51 994800484</t>
  </si>
  <si>
    <t>hellen.ku@aurora.gob.pe</t>
  </si>
  <si>
    <t>zoila.cabanillas@warminam.gob.pe
994581446</t>
  </si>
  <si>
    <t>927 698 304
vanessa.diaz@warminan.gob.pe</t>
  </si>
  <si>
    <t>977256832 
rnpmloreto@gmail.com</t>
  </si>
  <si>
    <t>- Tlf: +51 992 555 861
tpariona@derechoshumanos.pe</t>
  </si>
  <si>
    <t>995961432</t>
  </si>
  <si>
    <t>967806708</t>
  </si>
  <si>
    <t>992 275 280</t>
  </si>
  <si>
    <t>illontop@minjus.gob.pe, milagrosllontopv@gmail.com</t>
  </si>
  <si>
    <t>950432577
dheredia@defensoria.gob.pe, odcallao@defensoria.gob.pe</t>
  </si>
  <si>
    <t>951 685 605</t>
  </si>
  <si>
    <t>-</t>
  </si>
  <si>
    <t>993941429</t>
  </si>
  <si>
    <t>947 744 634</t>
  </si>
  <si>
    <t xml:space="preserve">lizmelendez@flora.org.pe
</t>
  </si>
  <si>
    <t>mariapia.molero@unwomen.org</t>
  </si>
  <si>
    <t>susana.osorio@savethechildren.org</t>
  </si>
  <si>
    <t>Antonella.Rojas@savethechildren.org; diana.rodriguez@savethechildren.org</t>
  </si>
  <si>
    <t>+51 993509451
lmartinezcornejo@unicef.org</t>
  </si>
  <si>
    <t>998963602</t>
  </si>
  <si>
    <t>965348332</t>
  </si>
  <si>
    <t>roselosada@ilo.org</t>
  </si>
  <si>
    <t>cormeno@care.org.pe</t>
  </si>
  <si>
    <t>msaravia@proetica.org.pe</t>
  </si>
  <si>
    <t>rednacionalpj@gmail.com </t>
  </si>
  <si>
    <t>carmen.espinoza@manuela.org.pe</t>
  </si>
  <si>
    <t>car.gracia@inabif.gob.pe</t>
  </si>
  <si>
    <t>940 314 251 / 942 261 067 (Directora) / 062-561275
sanjuanboscoaldeainfantil@gmail.com</t>
  </si>
  <si>
    <t xml:space="preserve"> 01-232-1451 (anexo 17) o 960 812 545
sociedaddebeneficenciahuacho@gmail.com</t>
  </si>
  <si>
    <t>980654143 / 940244602</t>
  </si>
  <si>
    <t>933 985 424</t>
  </si>
  <si>
    <t>51-996-55-83
comunicaciones@kallpa.org.pe, peru@kallpa.org.pe</t>
  </si>
  <si>
    <t>(01) 4418494</t>
  </si>
  <si>
    <t>https://sistemas.mininter.gob.pe/mesadepartesdigital/</t>
  </si>
  <si>
    <t>994800484, cemucayaliloreto@gmail.com</t>
  </si>
  <si>
    <t>- Correo: info@derechoshumanos.pe</t>
  </si>
  <si>
    <t>coord.peru@apurimac.it</t>
  </si>
  <si>
    <t>- Tlf: +51 433-1457
- Correo: postmast@flora.org.pe
- Dirección: Parque Hernán Velarde Nº 42 Lima, Perú</t>
  </si>
  <si>
    <t>- Correo: info.peru@savethechildren.org
-Tlf: (511) 422 9292 /</t>
  </si>
  <si>
    <t>gianina@quintaola.org</t>
  </si>
  <si>
    <t>- Tlf: +51 (01) 613-0707
- Correo: lima@unicef.org</t>
  </si>
  <si>
    <t>Respuesta</t>
  </si>
  <si>
    <t xml:space="preserve"> 4/27/2026</t>
  </si>
  <si>
    <t>29-Apr</t>
  </si>
  <si>
    <t>11-May</t>
  </si>
  <si>
    <t xml:space="preserve">  5/7/2026</t>
  </si>
  <si>
    <t xml:space="preserve"> 6-May</t>
  </si>
  <si>
    <t>27-Apr</t>
  </si>
  <si>
    <t xml:space="preserve"> 5-May</t>
  </si>
  <si>
    <t>15-May</t>
  </si>
  <si>
    <t>13-May</t>
  </si>
  <si>
    <t>14-May</t>
  </si>
  <si>
    <t>18-May</t>
  </si>
  <si>
    <t>20-May</t>
  </si>
  <si>
    <t>Resultado</t>
  </si>
  <si>
    <t>Completa</t>
  </si>
  <si>
    <t>Correo ubicado en web rebotó</t>
  </si>
  <si>
    <t>Correo insitucional rebotó</t>
  </si>
  <si>
    <t>Se envió enlace y consentimiento por whatsapp.</t>
  </si>
  <si>
    <t>No responden al número.</t>
  </si>
  <si>
    <t>Aceptó para el 11, pero no se conectó.</t>
  </si>
  <si>
    <t>Se envió enlace y consentimiento por correo.
Designada de Silvia Romero.
Asesora técnica del proyecto ForSNEJ II</t>
  </si>
  <si>
    <t>Correo reenviado</t>
  </si>
  <si>
    <t>Para piloto se le contactó por WhatsApp y no respondió.
6/5: Se insisitó contacto, sin respuesta.</t>
  </si>
  <si>
    <t>Se envió enlace y consentimiento por correo.</t>
  </si>
  <si>
    <t>Solo correo</t>
  </si>
  <si>
    <t>Se envió enlace y consentimiento por whatsapp.
Solicitó cambio de fecha: del 11 al 20.</t>
  </si>
  <si>
    <t>Se envió enlace y consentimiento por whatsapp.
Psicóloga del CAR, referida por Silvia.</t>
  </si>
  <si>
    <t>No responden número ni correo (desde el piloto).</t>
  </si>
  <si>
    <t>Paola Ricci (Comunicaciones) responidó al correo señalando que la Presidenta es Katherine Flores. Ella ya participó del GF piloto.</t>
  </si>
  <si>
    <t>Se envió enlace y consentimiento a correo y/o whatsapp.</t>
  </si>
  <si>
    <t>Se envió enlace y consentimiento por Whatsapp.
Contacto brindado por Victoria Pomalaya Trillo. Ulises es fiscal de Violencia contra la Mujer y Grupo Familiar.</t>
  </si>
  <si>
    <t>Aceptó para el 20 érp camceñp ór salud</t>
  </si>
  <si>
    <t>No responde</t>
  </si>
  <si>
    <t xml:space="preserve">6/5: Blanca no es responsable del CEM hace dos años. </t>
  </si>
  <si>
    <t>Contactado a partir de la llamada a Blanca Marianela Benites Avalos.</t>
  </si>
  <si>
    <t>Se envió enlace y consentimiento por correo.
Asistirá con Vanessa Díaz (ella asistió al GF presencial).</t>
  </si>
  <si>
    <t>Referida de Zoila.
Fue asistente al GF presencial, pero Zoila propuso esta participación.</t>
  </si>
  <si>
    <t>Aceptó para el 11, pero no se conectó. Proponiendo reagenda para el 20.</t>
  </si>
  <si>
    <t>No responde, cuelga.</t>
  </si>
  <si>
    <t>Se envió enlace y consentimiento a correo y/o whatsapp.
Contacto directo IJM</t>
  </si>
  <si>
    <t>Se envió enlace y consentimiento por WhatsApp.
Contacto brindado por IJM.</t>
  </si>
  <si>
    <t>Pendiente enviar enlace cuando Susana Osorio confirmen quién es la participante.</t>
  </si>
  <si>
    <t>Derivada de Magaly Ávila
Especialista.
Se envió enlace y consentimiento por correo.</t>
  </si>
  <si>
    <t>Nombre orientadora judicial</t>
  </si>
  <si>
    <t>Líder</t>
  </si>
  <si>
    <t>Sobreviviente01</t>
  </si>
  <si>
    <t>Sobreviviente02</t>
  </si>
  <si>
    <t>Sobreviviente03</t>
  </si>
  <si>
    <t>Distrito Judicial</t>
  </si>
  <si>
    <t>Nombre de sobreviviente</t>
  </si>
  <si>
    <t xml:space="preserve">Zenobia (Señorita) </t>
  </si>
  <si>
    <t>CRISTINA MENDOZA (Lideresa)</t>
  </si>
  <si>
    <t>Naidolith Peña (Líder)</t>
  </si>
  <si>
    <t>Martha Quispe</t>
  </si>
  <si>
    <t>Federica</t>
  </si>
  <si>
    <t>Tipo de sobreviviente</t>
  </si>
  <si>
    <t>Sobreviviente</t>
  </si>
  <si>
    <t>Líder sobreviviente</t>
  </si>
  <si>
    <t>988 962 782</t>
  </si>
  <si>
    <t>980 934 848</t>
  </si>
  <si>
    <t>944 448 603</t>
  </si>
  <si>
    <t>931455311</t>
  </si>
  <si>
    <t>926142599</t>
  </si>
  <si>
    <t>¿Contactada?</t>
  </si>
  <si>
    <t>Realizada incompleta</t>
  </si>
  <si>
    <t>Presencial</t>
  </si>
  <si>
    <t>Virtual</t>
  </si>
  <si>
    <t>Observaciones</t>
  </si>
  <si>
    <t>No es sobreviviente</t>
  </si>
  <si>
    <t>Caso archivado hace 4 años</t>
  </si>
  <si>
    <t>Hablará con la sobreviviente (tiene 4 meses acompañandola) y me dará una respuesta en la noche. Me pasó el contacto</t>
  </si>
  <si>
    <t>560</t>
  </si>
  <si>
    <t>561</t>
  </si>
  <si>
    <t>562</t>
  </si>
  <si>
    <t>Lady Gabriela Cusquipoma Cardenas</t>
  </si>
  <si>
    <t>Alisson Sheyla Palacios Diaz</t>
  </si>
  <si>
    <t>Gerson Junior Gumez Cardenas</t>
  </si>
  <si>
    <t>COM FAMILIA CAJAMARCA</t>
  </si>
  <si>
    <t>COM FAMILIA PUCALLPA</t>
  </si>
  <si>
    <t>COM FAMILIA IQUITOS</t>
  </si>
  <si>
    <t>947301021</t>
  </si>
  <si>
    <t>931211663</t>
  </si>
  <si>
    <t>987 608 438</t>
  </si>
  <si>
    <t>15-Sep</t>
  </si>
  <si>
    <t>563</t>
  </si>
  <si>
    <t>564</t>
  </si>
  <si>
    <t>Zoila Karen Valderrama</t>
  </si>
  <si>
    <t>Lola Consuelo Chavez Minaya</t>
  </si>
  <si>
    <t>Zulma Medina Alvarez</t>
  </si>
  <si>
    <t>COM FAMILIA</t>
  </si>
  <si>
    <t>565</t>
  </si>
  <si>
    <t>Ana Delgado</t>
  </si>
  <si>
    <t>993900860</t>
  </si>
  <si>
    <t>23-Sep</t>
  </si>
</sst>
</file>

<file path=xl/styles.xml><?xml version="1.0" encoding="utf-8"?>
<styleSheet xmlns="http://schemas.openxmlformats.org/spreadsheetml/2006/main" xmlns:r="http://schemas.openxmlformats.org/officeDocument/2006/relationships" xmlns:xdr="http://schemas.openxmlformats.org/drawingml/2006/spreadsheetDrawing">
  <numFmts count="0"/>
  <fonts count="17">
    <font>
      <name val="Aptos Narrow"/>
      <family val="2"/>
      <color theme="1"/>
      <sz val="11"/>
      <scheme val="minor"/>
    </font>
    <font>
      <name val="Arial"/>
      <family val="2"/>
      <color theme="1"/>
      <sz val="10"/>
    </font>
    <font>
      <name val="Arial"/>
      <family val="2"/>
      <b val="true"/>
      <color theme="0"/>
      <sz val="10"/>
    </font>
    <font>
      <name val="Aptos Narrow"/>
      <family val="2"/>
      <color theme="10"/>
      <sz val="11"/>
      <u val="single"/>
      <scheme val="minor"/>
    </font>
    <font>
      <name val="Arial"/>
      <family val="2"/>
      <color rgb="FF000000"/>
      <sz val="10"/>
    </font>
    <font>
      <name val="Arial"/>
      <family val="2"/>
      <color theme="1"/>
      <sz val="11"/>
    </font>
    <font>
      <name val="Aptos Narrow"/>
      <family val="2"/>
      <sz val="8"/>
      <scheme val="minor"/>
    </font>
    <font>
      <name val="Arial"/>
      <family val="2"/>
      <color rgb="FF000000"/>
      <sz val="11"/>
    </font>
    <font>
      <name val="Arial"/>
      <family val="2"/>
      <b val="true"/>
      <color rgb="FF000000"/>
      <sz val="11"/>
    </font>
    <font>
      <name val="Aptos Narrow"/>
      <family val="2"/>
      <color rgb="FF000000"/>
      <sz val="11"/>
    </font>
    <font>
      <name val="Arial"/>
      <family val="2"/>
      <strike val="true"/>
      <color rgb="FF000000"/>
      <sz val="11"/>
    </font>
    <font>
      <name val="Arial"/>
      <family val="2"/>
      <b val="true"/>
      <color rgb="FFD86DCD"/>
      <sz val="11"/>
    </font>
    <font>
      <name val="Arial"/>
      <family val="2"/>
      <b val="true"/>
      <strike val="true"/>
      <color rgb="FFD86DCD"/>
      <sz val="11"/>
    </font>
    <font>
      <name val="Arial"/>
      <family val="2"/>
      <color theme="0"/>
      <sz val="11"/>
    </font>
    <font>
      <name val="Arial"/>
      <b val="true"/>
      <color rgb="00FFFFFF"/>
    </font>
    <font>
      <name val="Arial"/>
    </font>
    <font>
      <name val="Arial"/>
      <i val="true"/>
      <sz val="9"/>
    </font>
  </fonts>
  <fills count="5">
    <fill>
      <patternFill/>
    </fill>
    <fill>
      <patternFill patternType="gray125"/>
    </fill>
    <fill>
      <patternFill patternType="solid">
        <fgColor theme="0" tint="-0.49995422223579"/>
        <bgColor indexed="64"/>
      </patternFill>
    </fill>
    <fill>
      <patternFill patternType="solid">
        <fgColor theme="4" tint="-0.24994659260842"/>
        <bgColor indexed="64"/>
      </patternFill>
    </fill>
    <fill>
      <patternFill patternType="solid">
        <fgColor rgb="00404040"/>
      </patternFill>
    </fill>
  </fills>
  <borders count="1">
    <border>
      <left/>
      <right/>
      <top/>
      <bottom/>
      <diagonal/>
    </border>
  </borders>
  <cellStyleXfs count="3">
    <xf numFmtId="0" fontId="0" fillId="0" borderId="0"/>
    <xf numFmtId="0" fontId="3" fillId="0" borderId="0"/>
    <xf numFmtId="0" fontId="3" fillId="0" borderId="0"/>
  </cellStyleXfs>
  <cellXfs count="29">
    <xf numFmtId="0" fontId="0" fillId="0" borderId="0" xfId="0" quotePrefix="false" pivotButton="false"/>
    <xf numFmtId="0" fontId="1" fillId="0" borderId="0" xfId="0" quotePrefix="false" pivotButton="false"/>
    <xf numFmtId="14" fontId="1" fillId="0" borderId="0" xfId="0" quotePrefix="false" pivotButton="false"/>
    <xf numFmtId="0" fontId="2" fillId="2" borderId="0" xfId="0" quotePrefix="false" pivotButton="false"/>
    <xf numFmtId="15" fontId="2" fillId="2" borderId="0" xfId="0" quotePrefix="false" pivotButton="false"/>
    <xf numFmtId="0" fontId="1" fillId="0" borderId="0" xfId="0" quotePrefix="false" pivotButton="false" applyAlignment="true">
      <alignment horizontal="left"/>
    </xf>
    <xf numFmtId="0" fontId="3" fillId="0" borderId="0" xfId="1" quotePrefix="false" pivotButton="false"/>
    <xf numFmtId="0" fontId="2" fillId="3" borderId="0" xfId="0" quotePrefix="false" pivotButton="false"/>
    <xf numFmtId="0" fontId="3" fillId="0" borderId="0" xfId="1" quotePrefix="false" pivotButton="false" applyAlignment="true">
      <alignment horizontal="left"/>
    </xf>
    <xf numFmtId="0" fontId="4" fillId="0" borderId="0" xfId="0" quotePrefix="false" pivotButton="false"/>
    <xf numFmtId="0" fontId="1" fillId="0" borderId="0" xfId="0" quotePrefix="false" pivotButton="false" applyAlignment="true">
      <alignment horizontal="right"/>
    </xf>
    <xf numFmtId="0" fontId="5" fillId="0" borderId="0" xfId="0" quotePrefix="false" pivotButton="false" applyAlignment="true">
      <alignment vertical="center"/>
    </xf>
    <xf numFmtId="0" fontId="5" fillId="0" borderId="0" xfId="0" quotePrefix="false" pivotButton="false" applyAlignment="true">
      <alignment horizontal="center" vertical="center"/>
    </xf>
    <xf numFmtId="0" fontId="5" fillId="0" borderId="0" xfId="0" quotePrefix="false" pivotButton="false" applyAlignment="true">
      <alignment horizontal="left" vertical="center"/>
    </xf>
    <xf numFmtId="0" fontId="2" fillId="2" borderId="0" xfId="0" quotePrefix="false" pivotButton="false" applyAlignment="true">
      <alignment horizontal="center"/>
    </xf>
    <xf numFmtId="0" fontId="1" fillId="0" borderId="0" xfId="0" quotePrefix="false" pivotButton="false" applyAlignment="true">
      <alignment horizontal="center"/>
    </xf>
    <xf numFmtId="14" fontId="0" fillId="0" borderId="0" xfId="0" quotePrefix="false" pivotButton="false"/>
    <xf numFmtId="14" fontId="2" fillId="2" borderId="0" xfId="0" quotePrefix="false" pivotButton="false" applyAlignment="true">
      <alignment horizontal="center"/>
    </xf>
    <xf numFmtId="14" fontId="2" fillId="2" borderId="0" xfId="0" quotePrefix="false" pivotButton="false"/>
    <xf numFmtId="0" fontId="0" fillId="0" borderId="0" xfId="0" quotePrefix="false" pivotButton="false" applyAlignment="true">
      <alignment horizontal="center" vertical="center"/>
    </xf>
    <xf numFmtId="0" fontId="0" fillId="0" borderId="0" xfId="0" quotePrefix="true" pivotButton="false" applyAlignment="true">
      <alignment horizontal="center" vertical="center"/>
    </xf>
    <xf numFmtId="0" fontId="0" fillId="0" borderId="0" xfId="0" quotePrefix="false" pivotButton="false" applyAlignment="true">
      <alignment horizontal="center"/>
    </xf>
    <xf numFmtId="0" fontId="2" fillId="2" borderId="0" xfId="0" quotePrefix="false" pivotButton="false" applyAlignment="true">
      <alignment horizontal="left"/>
    </xf>
    <xf numFmtId="0" fontId="0" fillId="0" borderId="0" xfId="0" quotePrefix="false" pivotButton="false" applyAlignment="true">
      <alignment horizontal="left"/>
    </xf>
    <xf numFmtId="0" fontId="13" fillId="0" borderId="0" xfId="0" quotePrefix="false" pivotButton="false" applyAlignment="true">
      <alignment vertical="center"/>
    </xf>
    <xf numFmtId="0" fontId="0" fillId="0" borderId="0" xfId="0" quotePrefix="true" pivotButton="false"/>
    <xf numFmtId="0" fontId="14" fillId="4" borderId="0" xfId="0" quotePrefix="false" pivotButton="false"/>
    <xf numFmtId="0" fontId="15" fillId="0" borderId="0" xfId="0" quotePrefix="false" pivotButton="false"/>
    <xf numFmtId="0" fontId="16" fillId="0" borderId="0" xfId="0" quotePrefix="false" pivotButton="false"/>
  </cellXfs>
  <cellStyles count="3">
    <cellStyle name="Normal" xfId="0" builtinId="0"/>
    <cellStyle name="Hipervínculo" xfId="1" builtinId="8"/>
    <cellStyle name="Hyperlink" xfId="2"/>
  </cellStyles>
  <dxfs count="411">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Relationships xmlns="http://schemas.openxmlformats.org/package/2006/relationships"><Relationship Target="/xl/worksheets/sheet8.xml" Type="http://schemas.openxmlformats.org/officeDocument/2006/relationships/worksheet" Id="rId8"/><Relationship Target="/xl/worksheets/sheet13.xml" Type="http://schemas.openxmlformats.org/officeDocument/2006/relationships/worksheet" Id="rId13"/><Relationship Target="../customXml/item2.xml" Type="http://schemas.openxmlformats.org/officeDocument/2006/relationships/customXml" Id="rId18"/><Relationship Target="/xl/worksheets/sheet3.xml" Type="http://schemas.openxmlformats.org/officeDocument/2006/relationships/worksheet" Id="rId3"/><Relationship Target="/xl/worksheets/sheet7.xml" Type="http://schemas.openxmlformats.org/officeDocument/2006/relationships/worksheet" Id="rId7"/><Relationship Target="/xl/worksheets/sheet12.xml" Type="http://schemas.openxmlformats.org/officeDocument/2006/relationships/worksheet" Id="rId12"/><Relationship Target="../customXml/item1.xml" Type="http://schemas.openxmlformats.org/officeDocument/2006/relationships/customXml" Id="rId17"/><Relationship Target="/xl/worksheets/sheet2.xml" Type="http://schemas.openxmlformats.org/officeDocument/2006/relationships/worksheet" Id="rId2"/><Relationship Target="theme/theme1.xml" Type="http://schemas.openxmlformats.org/officeDocument/2006/relationships/theme" Id="rId16"/><Relationship Target="/xl/worksheets/sheet1.xml" Type="http://schemas.openxmlformats.org/officeDocument/2006/relationships/worksheet" Id="rId1"/><Relationship Target="/xl/worksheets/sheet6.xml" Type="http://schemas.openxmlformats.org/officeDocument/2006/relationships/worksheet" Id="rId6"/><Relationship Target="/xl/worksheets/sheet11.xml" Type="http://schemas.openxmlformats.org/officeDocument/2006/relationships/worksheet" Id="rId11"/><Relationship Target="/xl/worksheets/sheet5.xml" Type="http://schemas.openxmlformats.org/officeDocument/2006/relationships/worksheet" Id="rId5"/><Relationship Target="styles.xml" Type="http://schemas.openxmlformats.org/officeDocument/2006/relationships/styles" Id="rId15"/><Relationship Target="/xl/worksheets/sheet10.xml" Type="http://schemas.openxmlformats.org/officeDocument/2006/relationships/worksheet" Id="rId10"/><Relationship Target="../customXml/item3.xml" Type="http://schemas.openxmlformats.org/officeDocument/2006/relationships/customXml" Id="rId19"/><Relationship Target="/xl/worksheets/sheet4.xml" Type="http://schemas.openxmlformats.org/officeDocument/2006/relationships/worksheet" Id="rId4"/><Relationship Target="/xl/worksheets/sheet9.xml" Type="http://schemas.openxmlformats.org/officeDocument/2006/relationships/worksheet" Id="rId9"/><Relationship Target="/xl/worksheets/sheet14.xml" Type="http://schemas.openxmlformats.org/officeDocument/2006/relationships/worksheet" Id="rId14"/><Relationship Target="sharedStrings.xml" Type="http://schemas.openxmlformats.org/officeDocument/2006/relationships/sharedStrings" Id="rId20"/></Relationships>
</file>

<file path=xl/comments/comment1.xml><?xml version="1.0" encoding="utf-8"?>
<comments xmlns="http://schemas.openxmlformats.org/spreadsheetml/2006/main">
  <authors>
    <author>tc={154957EE-EDB2-4FA5-8785-5C8F90C77E59}</author>
    <author>Usuario invitado</author>
    <author>tc={DBB25C24-010C-4634-A1C8-BDBF9F9F3460}</author>
    <author>tc={D85E1D29-8C8D-41F9-BC54-AABC4F6BFE78}</author>
    <author>tc={04BF6F80-43C9-446A-992C-A0AAE35D257F}</author>
    <author>tc={220541CE-6CA8-4E01-9C24-585F70D2FDD8}</author>
  </authors>
  <commentList>
    <comment ref="E17" author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Gracia SMP</t>
      </text>
    </comment>
    <comment ref="W17" authorId="1">
      <text>
        <t>Usuario desconocido:
15-05</t>
      </text>
    </comment>
    <comment ref="E18" authorId="2">
      <text>
        <t>[Comentario encadenado]
Su versión de Excel le permite leer este comentario encadenado; sin embargo, las ediciones que se apliquen se quitarán si el archivo se abre en una versión más reciente de Excel. Más información: https://go.microsoft.com/fwlink/?linkid=870924
Comentario:
    San Juan Bosco Huánuco</t>
      </text>
    </comment>
    <comment ref="W18" authorId="1">
      <text>
        <t>Usuario desconocido:
15-05</t>
      </text>
    </comment>
    <comment ref="E19" authorId="3">
      <text>
        <t>[Comentario encadenado]
Su versión de Excel le permite leer este comentario encadenado; sin embargo, las ediciones que se apliquen se quitarán si el archivo se abre en una versión más reciente de Excel. Más información: https://go.microsoft.com/fwlink/?linkid=870924
Comentario:
    Virgen del carmen. Lima</t>
      </text>
    </comment>
    <comment ref="E20" authorId="4">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San Ricardo</t>
      </text>
    </comment>
    <comment ref="E21" authorId="5">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San Ricardo</t>
      </text>
    </comment>
    <comment ref="W42" authorId="1">
      <text>
        <t>Usuario desconocido:
14-may</t>
      </text>
    </comment>
  </commentList>
</comments>
</file>

<file path=xl/comments/comment2.xml><?xml version="1.0" encoding="utf-8"?>
<comments xmlns="http://schemas.openxmlformats.org/spreadsheetml/2006/main">
  <authors>
    <author>tc={7E8D7FCC-49A0-4E05-B3D9-A030207166B8}</author>
    <author>tc={D3A0CC08-C2D9-45E4-BCCA-9E8F56518034}</author>
    <author>tc={88973129-DE01-4849-80F6-A05D7CED341B}</author>
  </authors>
  <commentList>
    <comment ref="S10" author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la duración de las entrevistas completas.</t>
      </text>
    </comment>
    <comment ref="D14" authorId="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los contactos pendientes. </t>
      </text>
    </comment>
    <comment ref="L17" authorId="2">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la información pendiente.</t>
      </text>
    </comment>
  </commentList>
</comments>
</file>

<file path=xl/theme/theme1.xml><?xml version="1.0" encoding="utf-8"?>
<a:theme xmlns:r="http://schemas.openxmlformats.org/officeDocument/2006/relationships"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Relationships xmlns="http://schemas.openxmlformats.org/package/2006/relationships"><Relationship TargetMode="External" Target="https://www.linkedin.com/in/alejandra-saffon-26761671/?originalSubdomain=co/%20928974196" Type="http://schemas.openxmlformats.org/officeDocument/2006/relationships/hyperlink" Id="rId1"/><Relationship TargetMode="External" Target="https://www.linkedin.com/in/elena-portilla-odlianitskaya/" Type="http://schemas.openxmlformats.org/officeDocument/2006/relationships/hyperlink" Id="rId2"/><Relationship TargetMode="External" Target="mailto:alejandra.alayza@oxfam.org%0a&apos;+51%20984753054%20" Type="http://schemas.openxmlformats.org/officeDocument/2006/relationships/hyperlink" Id="rId3"/><Relationship TargetMode="External" Target="mailto:miguel.levano@oxfam.org" Type="http://schemas.openxmlformats.org/officeDocument/2006/relationships/hyperlink" Id="rId4"/><Relationship TargetMode="External" Target="mailto:caballero@unfpa.org.pe" Type="http://schemas.openxmlformats.org/officeDocument/2006/relationships/hyperlink" Id="rId5"/><Relationship TargetMode="External" Target="mailto:cvilela@jne.gob.pe" Type="http://schemas.openxmlformats.org/officeDocument/2006/relationships/hyperlink" Id="rId6"/><Relationship TargetMode="External" Target="mailto:mesadepartesdigital@mimp.gob.pe" Type="http://schemas.openxmlformats.org/officeDocument/2006/relationships/hyperlink" Id="rId7"/><Relationship TargetMode="External" Target="mailto:car.barcoiris@gmail.com%20%20cel%20949605237" Type="http://schemas.openxmlformats.org/officeDocument/2006/relationships/hyperlink" Id="rId8"/><Relationship TargetMode="External" Target="mailto:alanyasantacruz@loscachorros.nl" Type="http://schemas.openxmlformats.org/officeDocument/2006/relationships/hyperlink" Id="rId9"/><Relationship TargetMode="External" Target="mailto:info@appv.pe" Type="http://schemas.openxmlformats.org/officeDocument/2006/relationships/hyperlink" Id="rId10"/><Relationship TargetMode="External" Target="mailto:cenann.cep@iglesiacatolica.org.pe" Type="http://schemas.openxmlformats.org/officeDocument/2006/relationships/hyperlink" Id="rId11"/><Relationship TargetMode="External" Target="mailto:rjoyo@pj.gob.pe" Type="http://schemas.openxmlformats.org/officeDocument/2006/relationships/hyperlink" Id="rId12"/><Relationship TargetMode="External" Target="mailto:echagua@pj.gob.pe" Type="http://schemas.openxmlformats.org/officeDocument/2006/relationships/hyperlink" Id="rId13"/><Relationship TargetMode="External" Target="https://www.facebook.com/ongmujeresuniendoesfuerzos" Type="http://schemas.openxmlformats.org/officeDocument/2006/relationships/hyperlink" Id="rId14"/><Relationship TargetMode="External" Target="https://www.linkedin.com/in/flavia-martinez-tarazona-6b67b714a/" Type="http://schemas.openxmlformats.org/officeDocument/2006/relationships/hyperlink" Id="rId15"/><Relationship TargetMode="External" Target="mailto:sintabues.org@gmail.com" Type="http://schemas.openxmlformats.org/officeDocument/2006/relationships/hyperlink" Id="rId16"/><Relationship TargetMode="External" Target="mailto:alfroja.pe@gmail.com" Type="http://schemas.openxmlformats.org/officeDocument/2006/relationships/hyperlink" Id="rId17"/><Relationship TargetMode="External" Target="mailto:memebun@fordesarequipa.org" Type="http://schemas.openxmlformats.org/officeDocument/2006/relationships/hyperlink" Id="rId18"/><Relationship TargetMode="External" Target="mailto:consejodemujeresawajunwampis@gmail.com" Type="http://schemas.openxmlformats.org/officeDocument/2006/relationships/hyperlink" Id="rId19"/><Relationship TargetMode="External" Target="mailto:myc@demus.org.pe" Type="http://schemas.openxmlformats.org/officeDocument/2006/relationships/hyperlink" Id="rId20"/><Relationship TargetMode="External" Target="https://www.linkedin.com/in/eliana-revollar-a%C3%B1a%C3%B1os-18b46b225/?originalSubdomain=pe" Type="http://schemas.openxmlformats.org/officeDocument/2006/relationships/hyperlink" Id="rId21"/><Relationship TargetMode="External" Target="mailto:arebaza@mpfn.gob.pe" Type="http://schemas.openxmlformats.org/officeDocument/2006/relationships/hyperlink" Id="rId22"/><Relationship TargetMode="External" Target="mailto:servicedesk@pj.gob.pe." Type="http://schemas.openxmlformats.org/officeDocument/2006/relationships/hyperlink" Id="rId23"/><Relationship TargetMode="External" Target="mailto:ccabanillas@pj.gob.pe" Type="http://schemas.openxmlformats.org/officeDocument/2006/relationships/hyperlink" Id="rId24"/><Relationship TargetMode="External" Target="mailto:servicedesk@pj.gob.pe." Type="http://schemas.openxmlformats.org/officeDocument/2006/relationships/hyperlink" Id="rId25"/><Relationship TargetMode="External" Target="mailto:servicedesk@pj.gob.pe." Type="http://schemas.openxmlformats.org/officeDocument/2006/relationships/hyperlink" Id="rId26"/><Relationship TargetMode="External" Target="mailto:servicedesk@pj.gob.pe." Type="http://schemas.openxmlformats.org/officeDocument/2006/relationships/hyperlink" Id="rId27"/><Relationship TargetMode="External" Target="mailto:servicedesk@pj.gob.pe." Type="http://schemas.openxmlformats.org/officeDocument/2006/relationships/hyperlink" Id="rId28"/><Relationship TargetMode="External" Target="mailto:servicedesk@pj.gob.pe." Type="http://schemas.openxmlformats.org/officeDocument/2006/relationships/hyperlink" Id="rId29"/><Relationship TargetMode="External" Target="mailto:servicedesk@pj.gob.pe." Type="http://schemas.openxmlformats.org/officeDocument/2006/relationships/hyperlink" Id="rId30"/><Relationship TargetMode="External" Target="mailto:servicedesk@pj.gob.pe." Type="http://schemas.openxmlformats.org/officeDocument/2006/relationships/hyperlink" Id="rId31"/><Relationship TargetMode="External" Target="mailto:servicedesk@pj.gob.pe." Type="http://schemas.openxmlformats.org/officeDocument/2006/relationships/hyperlink" Id="rId32"/><Relationship TargetMode="External" Target="mailto:servicedesk@pj.gob.pe." Type="http://schemas.openxmlformats.org/officeDocument/2006/relationships/hyperlink" Id="rId33"/><Relationship TargetMode="External" Target="mailto:servicedesk@pj.gob.pe." Type="http://schemas.openxmlformats.org/officeDocument/2006/relationships/hyperlink" Id="rId34"/><Relationship TargetMode="External" Target="mailto:servicedesk@pj.gob.pe." Type="http://schemas.openxmlformats.org/officeDocument/2006/relationships/hyperlink" Id="rId35"/><Relationship TargetMode="External" Target="mailto:servicedesk@pj.gob.pe." Type="http://schemas.openxmlformats.org/officeDocument/2006/relationships/hyperlink" Id="rId36"/><Relationship TargetMode="External" Target="mailto:servicedesk@pj.gob.pe." Type="http://schemas.openxmlformats.org/officeDocument/2006/relationships/hyperlink" Id="rId37"/><Relationship TargetMode="External" Target="mailto:servicedesk@pj.gob.pe." Type="http://schemas.openxmlformats.org/officeDocument/2006/relationships/hyperlink" Id="rId38"/><Relationship TargetMode="External" Target="mailto:servicedesk@pj.gob.pe." Type="http://schemas.openxmlformats.org/officeDocument/2006/relationships/hyperlink" Id="rId39"/><Relationship TargetMode="External" Target="mailto:servicedesk@pj.gob.pe." Type="http://schemas.openxmlformats.org/officeDocument/2006/relationships/hyperlink" Id="rId40"/><Relationship TargetMode="External" Target="mailto:servicedesk@pj.gob.pe." Type="http://schemas.openxmlformats.org/officeDocument/2006/relationships/hyperlink" Id="rId41"/><Relationship TargetMode="External" Target="mailto:servicedesk@pj.gob.pe." Type="http://schemas.openxmlformats.org/officeDocument/2006/relationships/hyperlink" Id="rId42"/><Relationship TargetMode="External" Target="mailto:servicedesk@pj.gob.pe." Type="http://schemas.openxmlformats.org/officeDocument/2006/relationships/hyperlink" Id="rId43"/><Relationship TargetMode="External" Target="mailto:servicedesk@pj.gob.pe." Type="http://schemas.openxmlformats.org/officeDocument/2006/relationships/hyperlink" Id="rId44"/><Relationship TargetMode="External" Target="mailto:servicedesk@pj.gob.pe." Type="http://schemas.openxmlformats.org/officeDocument/2006/relationships/hyperlink" Id="rId45"/><Relationship TargetMode="External" Target="mailto:servicedesk@pj.gob.pe." Type="http://schemas.openxmlformats.org/officeDocument/2006/relationships/hyperlink" Id="rId46"/><Relationship TargetMode="External" Target="mailto:servicedesk@pj.gob.pe." Type="http://schemas.openxmlformats.org/officeDocument/2006/relationships/hyperlink" Id="rId47"/><Relationship TargetMode="External" Target="mailto:servicedesk@pj.gob.pe." Type="http://schemas.openxmlformats.org/officeDocument/2006/relationships/hyperlink" Id="rId48"/><Relationship TargetMode="External" Target="mailto:servicedesk@pj.gob.pe." Type="http://schemas.openxmlformats.org/officeDocument/2006/relationships/hyperlink" Id="rId49"/><Relationship TargetMode="External" Target="mailto:servicedesk@pj.gob.pe." Type="http://schemas.openxmlformats.org/officeDocument/2006/relationships/hyperlink" Id="rId50"/><Relationship TargetMode="External" Target="mailto:servicedesk@pj.gob.pe." Type="http://schemas.openxmlformats.org/officeDocument/2006/relationships/hyperlink" Id="rId51"/><Relationship TargetMode="External" Target="mailto:servicedesk@pj.gob.pe." Type="http://schemas.openxmlformats.org/officeDocument/2006/relationships/hyperlink" Id="rId52"/><Relationship TargetMode="External" Target="mailto:servicedesk@pj.gob.pe." Type="http://schemas.openxmlformats.org/officeDocument/2006/relationships/hyperlink" Id="rId53"/><Relationship TargetMode="External" Target="mailto:servicedesk@pj.gob.pe." Type="http://schemas.openxmlformats.org/officeDocument/2006/relationships/hyperlink" Id="rId54"/><Relationship TargetMode="External" Target="mailto:divpna.ciecomas@policia.gob.pe" Type="http://schemas.openxmlformats.org/officeDocument/2006/relationships/hyperlink" Id="rId55"/><Relationship TargetMode="External" Target="mailto:servicedesk@pj.gob.pe." Type="http://schemas.openxmlformats.org/officeDocument/2006/relationships/hyperlink" Id="rId56"/><Relationship TargetMode="External" Target="mailto:mesaucayali@mesadeconcertacion.org.pe" Type="http://schemas.openxmlformats.org/officeDocument/2006/relationships/hyperlink" Id="rId57"/><Relationship TargetMode="External" Target="mailto:consultoriolegal@accionporigualdad.com" Type="http://schemas.openxmlformats.org/officeDocument/2006/relationships/hyperlink" Id="rId58"/><Relationship TargetMode="External" Target="https://www.instagram.com/pasosfirmes_peru/%20%20asociacionpasosfirmes@gmail.com" Type="http://schemas.openxmlformats.org/officeDocument/2006/relationships/hyperlink" Id="rId59"/><Relationship TargetMode="External" Target="https://sgd.minjus.gob.pe/sgd-virtual/public/ciudadano/ciudadanoMain.xhtml" Type="http://schemas.openxmlformats.org/officeDocument/2006/relationships/hyperlink" Id="rId60"/><Relationship TargetMode="External" Target="https://x.com/Pam_mdf/%20pamela.hb2007@gmail.com%20pamela.huerta@almargen-media.com" Type="http://schemas.openxmlformats.org/officeDocument/2006/relationships/hyperlink" Id="rId61"/><Relationship TargetMode="External" Target="https://www.instagram.com/adrianaleoncantella/?hl=es" Type="http://schemas.openxmlformats.org/officeDocument/2006/relationships/hyperlink" Id="rId62"/><Relationship TargetMode="External" Target="https://x.com/fiomontano" Type="http://schemas.openxmlformats.org/officeDocument/2006/relationships/hyperlink" Id="rId63"/><Relationship TargetMode="External" Target="https://www.linkedin.com/in/gianfranco-huaman/" Type="http://schemas.openxmlformats.org/officeDocument/2006/relationships/hyperlink" Id="rId64"/><Relationship TargetMode="External" Target="https://x.com/gloriaziegler" Type="http://schemas.openxmlformats.org/officeDocument/2006/relationships/hyperlink" Id="rId65"/><Relationship TargetMode="External" Target="mailto:pverano@gruporpp.com.pe" Type="http://schemas.openxmlformats.org/officeDocument/2006/relationships/hyperlink" Id="rId66"/><Relationship TargetMode="External" Target="mailto:pedroluisramos91@gmail.com" Type="http://schemas.openxmlformats.org/officeDocument/2006/relationships/hyperlink" Id="rId67"/><Relationship TargetMode="External" Target="https://www.linkedin.com/in/paola-ugaz-8b352a52/?originalSubdomain=pe" Type="http://schemas.openxmlformats.org/officeDocument/2006/relationships/hyperlink" Id="rId68"/><Relationship TargetMode="External" Target="https://www.linkedin.com/in/juana-avellaneda-c-b29b70b5/" Type="http://schemas.openxmlformats.org/officeDocument/2006/relationships/hyperlink" Id="rId69"/><Relationship TargetMode="External" Target="https://www.linkedin.com/in/claudiacisneros/" Type="http://schemas.openxmlformats.org/officeDocument/2006/relationships/hyperlink" Id="rId70"/><Relationship TargetMode="External" Target="https://www.linkedin.com/in/roc%C3%ADo-romero-benites-457031115/" Type="http://schemas.openxmlformats.org/officeDocument/2006/relationships/hyperlink" Id="rId71"/><Relationship TargetMode="External" Target="https://x.com/fabiolatorres?lang=es" Type="http://schemas.openxmlformats.org/officeDocument/2006/relationships/hyperlink" Id="rId72"/><Relationship TargetMode="External" Target="https://www.linkedin.com/in/lorena-alvarez-46b9a795/" Type="http://schemas.openxmlformats.org/officeDocument/2006/relationships/hyperlink" Id="rId73"/><Relationship TargetMode="External" Target="https://www.linkedin.com/in/sofiacarrillozegarra/" Type="http://schemas.openxmlformats.org/officeDocument/2006/relationships/hyperlink" Id="rId74"/><Relationship TargetMode="External" Target="mailto:ariana.lira@comercio.com.pe" Type="http://schemas.openxmlformats.org/officeDocument/2006/relationships/hyperlink" Id="rId75"/><Relationship TargetMode="External" Target="mailto:psotelo@mimp.gob.pe" Type="http://schemas.openxmlformats.org/officeDocument/2006/relationships/hyperlink" Id="rId76"/><Relationship TargetMode="External" Target="mailto:servicedesk@pj.gob.pe." Type="http://schemas.openxmlformats.org/officeDocument/2006/relationships/hyperlink" Id="rId77"/><Relationship TargetMode="External" Target="mailto:wayrawarmikuna@gmail.com%20" Type="http://schemas.openxmlformats.org/officeDocument/2006/relationships/hyperlink" Id="rId78"/><Relationship TargetMode="External" Target="mailto:direccionejecutiva@tarpurisunchis.org" Type="http://schemas.openxmlformats.org/officeDocument/2006/relationships/hyperlink" Id="rId79"/><Relationship TargetMode="External" Target="mailto:servicedesk@pj.gob.pe" Type="http://schemas.openxmlformats.org/officeDocument/2006/relationships/hyperlink" Id="rId80"/><Relationship TargetMode="External" Target="mailto:redmicaelas.pe@gmail.com/" Type="http://schemas.openxmlformats.org/officeDocument/2006/relationships/hyperlink" Id="rId81"/><Relationship TargetMode="External" Target="mailto:mesadepartes.fpedv.maynas@gmail.com" Type="http://schemas.openxmlformats.org/officeDocument/2006/relationships/hyperlink" Id="rId82"/><Relationship TargetMode="External" Target="mailto:rcs-peru@un.org%20/%20(+51-1)%20625%209000" Type="http://schemas.openxmlformats.org/officeDocument/2006/relationships/hyperlink" Id="rId83"/><Relationship TargetMode="External" Target="mailto:mesadepartes.fpedv.maynas@gmail.com" Type="http://schemas.openxmlformats.org/officeDocument/2006/relationships/hyperlink" Id="rId84"/><Relationship TargetMode="External" Target="mailto:peru.office@unfpa.org%20/%20(+511)%20226%201026" Type="http://schemas.openxmlformats.org/officeDocument/2006/relationships/hyperlink" Id="rId85"/><Relationship TargetMode="External" Target="mailto:kvelasco@pucp.edu.pe" Type="http://schemas.openxmlformats.org/officeDocument/2006/relationships/hyperlink" Id="rId86"/><Relationship TargetMode="External" Target="mailto:registry.pe@undp.org" Type="http://schemas.openxmlformats.org/officeDocument/2006/relationships/hyperlink" Id="rId87"/><Relationship TargetMode="External" Target="mailto:unodc-peru@un.org" Type="http://schemas.openxmlformats.org/officeDocument/2006/relationships/hyperlink" Id="rId88"/><Relationship TargetMode="External" Target="mailto:oce.peru@aecid.es%20/%20(+51-1)%20202%207000" Type="http://schemas.openxmlformats.org/officeDocument/2006/relationships/hyperlink" Id="rId89"/><Relationship TargetMode="External" Target="mailto:tmunoznajar@elcomercio.pe" Type="http://schemas.openxmlformats.org/officeDocument/2006/relationships/hyperlink" Id="rId90"/><Relationship TargetMode="External" Target="mailto:orpio-baseregional_aidesep@hotmail.com%20/%20(065)%20227345" Type="http://schemas.openxmlformats.org/officeDocument/2006/relationships/hyperlink" Id="rId91"/><Relationship TargetMode="External" Target="mailto:orauo347@gmail.com" Type="http://schemas.openxmlformats.org/officeDocument/2006/relationships/hyperlink" Id="rId92"/><Relationship TargetMode="External" Target="mailto:convocaperiodismo@convoca.pe" Type="http://schemas.openxmlformats.org/officeDocument/2006/relationships/hyperlink" Id="rId93"/><Relationship TargetMode="External" Target="https://www.linkedin.com/in/est%C3%A9fany-luj%C3%A1n-quispe-a874b765/" Type="http://schemas.openxmlformats.org/officeDocument/2006/relationships/hyperlink" Id="rId94"/><Relationship TargetMode="External" Target="https://www.linkedin.com/in/catasubirana/" Type="http://schemas.openxmlformats.org/officeDocument/2006/relationships/hyperlink" Id="rId95"/><Relationship TargetMode="External" Target="https://www.linkedin.com/in/catasubirana/" Type="http://schemas.openxmlformats.org/officeDocument/2006/relationships/hyperlink" Id="rId96"/><Relationship TargetMode="External" Target="mailto:prensa@contranoticia.pe" Type="http://schemas.openxmlformats.org/officeDocument/2006/relationships/hyperlink" Id="rId97"/><Relationship TargetMode="External" Target="mailto:feconau1@gmail.com%0a(061)%20625262" Type="http://schemas.openxmlformats.org/officeDocument/2006/relationships/hyperlink" Id="rId98"/><Relationship TargetMode="External" Target="mailto:fenamad@fenamad.com.pe%0a%0a(082)%20572499" Type="http://schemas.openxmlformats.org/officeDocument/2006/relationships/hyperlink" Id="rId99"/><Relationship TargetMode="External" Target="mailto:chavez@dvv-international.edu.pe" Type="http://schemas.openxmlformats.org/officeDocument/2006/relationships/hyperlink" Id="rId100"/><Relationship TargetMode="External" Target="mailto:susana.trazamos@hotmail.com%0a" Type="http://schemas.openxmlformats.org/officeDocument/2006/relationships/hyperlink" Id="rId101"/><Relationship TargetMode="External" Target="mailto:presidencia@amep.org.pe" Type="http://schemas.openxmlformats.org/officeDocument/2006/relationships/hyperlink" Id="rId102"/><Relationship TargetMode="External" Target="mailto:Kanttuperu@yahoo.es" Type="http://schemas.openxmlformats.org/officeDocument/2006/relationships/hyperlink" Id="rId103"/><Relationship TargetMode="External" Target="mailto:cavera@minedu.gob.pe" Type="http://schemas.openxmlformats.org/officeDocument/2006/relationships/hyperlink" Id="rId104"/><Relationship TargetMode="External" Target="mailto:marielenarm@gmail.com" Type="http://schemas.openxmlformats.org/officeDocument/2006/relationships/hyperlink" Id="rId105"/><Relationship TargetMode="External" Target="mailto:k.allca@pucp.edu.pe" Type="http://schemas.openxmlformats.org/officeDocument/2006/relationships/hyperlink" Id="rId106"/><Relationship TargetMode="External" Target="mailto:mavila@proetica.org.pe" Type="http://schemas.openxmlformats.org/officeDocument/2006/relationships/hyperlink" Id="rId107"/><Relationship TargetMode="External" Target="mailto:rednacionalpj@gmail.com%20" Type="http://schemas.openxmlformats.org/officeDocument/2006/relationships/hyperlink" Id="rId108"/><Relationship TargetMode="External" Target="mailto:taepunmsm@gmail.com" Type="http://schemas.openxmlformats.org/officeDocument/2006/relationships/hyperlink" Id="rId109"/><Relationship TargetMode="External" Target="mailto:carmen.espinoza@manuela.org.p" Type="http://schemas.openxmlformats.org/officeDocument/2006/relationships/hyperlink" Id="rId110"/><Relationship TargetMode="External" Target="mailto:metacalidaddevida@hotmail.com%0a(066)%20302683" Type="http://schemas.openxmlformats.org/officeDocument/2006/relationships/hyperlink" Id="rId111"/><Relationship TargetMode="External" Target="mailto:metacalidaddevida@hotmail.com%0a(066)%20302683" Type="http://schemas.openxmlformats.org/officeDocument/2006/relationships/hyperlink" Id="rId112"/><Relationship TargetMode="External" Target="mailto:gerencia.desarrollosocial@regionucayali.gob.pe" Type="http://schemas.openxmlformats.org/officeDocument/2006/relationships/hyperlink" Id="rId113"/><Relationship TargetMode="External" Target="mailto:nora.dd73@gmail.com" Type="http://schemas.openxmlformats.org/officeDocument/2006/relationships/hyperlink" Id="rId114"/><Relationship TargetMode="External" Target="mailto:kcorimanya@regionloreto.gob.pe" Type="http://schemas.openxmlformats.org/officeDocument/2006/relationships/hyperlink" Id="rId115"/><Relationship TargetMode="External" Target="mailto:inimab@muniventanilla.gob.pe%0a(01)%209040387" Type="http://schemas.openxmlformats.org/officeDocument/2006/relationships/hyperlink" Id="rId116"/><Relationship TargetMode="External" Target="mailto:lagama@aurora.gob.pe%0a(066)%20314963" Type="http://schemas.openxmlformats.org/officeDocument/2006/relationships/hyperlink" Id="rId117"/><Relationship TargetMode="External" Target="mailto:jtinco@saludayacucho.gob.pe%0a(01)%205192000" Type="http://schemas.openxmlformats.org/officeDocument/2006/relationships/hyperlink" Id="rId118"/><Relationship TargetMode="External" Target="mailto:dreayac@gmail.com%0a(066)%20311395" Type="http://schemas.openxmlformats.org/officeDocument/2006/relationships/hyperlink" Id="rId119"/><Relationship TargetMode="External" Target="mailto:jortiza@pj.gob.pe%0a(066)%20490066" Type="http://schemas.openxmlformats.org/officeDocument/2006/relationships/hyperlink" Id="rId120"/><Relationship TargetMode="External" Target="mailto:pjfs.ayacucho@mpfn.gob.pe%0a(066)314450" Type="http://schemas.openxmlformats.org/officeDocument/2006/relationships/hyperlink" Id="rId121"/><Relationship TargetMode="External" Target="mailto:wvega@defensoria.gob.pe%0a(066)%20311256" Type="http://schemas.openxmlformats.org/officeDocument/2006/relationships/hyperlink" Id="rId122"/><Relationship TargetMode="External" Target="mailto:oficodcc.unidcc.ayacucho@policia.gob.pe%0a066-%20316769" Type="http://schemas.openxmlformats.org/officeDocument/2006/relationships/hyperlink" Id="rId123"/><Relationship TargetMode="External" Target="mailto:930480207pomalopezpatricia@hotmail.com" Type="http://schemas.openxmlformats.org/officeDocument/2006/relationships/hyperlink" Id="rId124"/><Relationship TargetMode="External" Target="mailto:wilfredocaillahua1984@gmail.com%0a999%20024%20608" Type="http://schemas.openxmlformats.org/officeDocument/2006/relationships/hyperlink" Id="rId125"/><Relationship TargetMode="External" Target="mailto:fredy_301@hotmail.com%0a927292606" Type="http://schemas.openxmlformats.org/officeDocument/2006/relationships/hyperlink" Id="rId126"/><Relationship TargetMode="External" Target="mailto:mpvasquez@cultura.gob.pe(01)%20714%200102%20/%20Anexo%207061" Type="http://schemas.openxmlformats.org/officeDocument/2006/relationships/hyperlink" Id="rId127"/><Relationship TargetMode="External" Target="mailto:alcaldia@municportillo.gob.pe061%20575241%20/%20Anexo%20102061%20591412" Type="http://schemas.openxmlformats.org/officeDocument/2006/relationships/hyperlink" Id="rId128"/><Relationship TargetMode="External" Target="mailto:alcaldia@munipadreabad.gob.pe" Type="http://schemas.openxmlformats.org/officeDocument/2006/relationships/hyperlink" Id="rId129"/><Relationship TargetMode="External" Target="mailto:kchamoly@defensoria.gob.pe%0a061%20578633%0a061%20577934" Type="http://schemas.openxmlformats.org/officeDocument/2006/relationships/hyperlink" Id="rId130"/><Relationship TargetMode="External" Target="mailto:hlima@pj.gob.pe" Type="http://schemas.openxmlformats.org/officeDocument/2006/relationships/hyperlink" Id="rId131"/><Relationship TargetMode="External" Target="https://www.linkedin.com/in/gisella-milagros-godier-del-castillo-ba20b05b/" Type="http://schemas.openxmlformats.org/officeDocument/2006/relationships/hyperlink" Id="rId132"/><Relationship TargetMode="External" Target="mailto:lmendoza@migraciones.gob.pe(01)%20200%201000%20/%20Anexo%201250" Type="http://schemas.openxmlformats.org/officeDocument/2006/relationships/hyperlink" Id="rId133"/><Relationship TargetMode="External" Target="mailto:kcochachi@pj.gob.pe%0a914025481" Type="http://schemas.openxmlformats.org/officeDocument/2006/relationships/hyperlink" Id="rId134"/><Relationship TargetMode="External" Target="mailto:cnajarr@pj.gob.pe%0a914025420" Type="http://schemas.openxmlformats.org/officeDocument/2006/relationships/hyperlink" Id="rId135"/><Relationship TargetMode="External" Target="mailto:hleont@pj.gob.pe%0a914025408" Type="http://schemas.openxmlformats.org/officeDocument/2006/relationships/hyperlink" Id="rId136"/><Relationship TargetMode="External" Target="mailto:mtorrico@pj.gob.pe%0a914024867" Type="http://schemas.openxmlformats.org/officeDocument/2006/relationships/hyperlink" Id="rId137"/><Relationship TargetMode="External" Target="mailto:esalazarp@pj.gob.pe%0a914025484" Type="http://schemas.openxmlformats.org/officeDocument/2006/relationships/hyperlink" Id="rId138"/><Relationship TargetMode="External" Target="mailto:cnaupap@pj.gob.pe%0a914025235" Type="http://schemas.openxmlformats.org/officeDocument/2006/relationships/hyperlink" Id="rId139"/><Relationship TargetMode="External" Target="mailto:ncabreral@pj.gob.pe%0a914025168" Type="http://schemas.openxmlformats.org/officeDocument/2006/relationships/hyperlink" Id="rId140"/><Relationship TargetMode="External" Target="mailto:rquispes@pj.gob.pe%0a914025532" Type="http://schemas.openxmlformats.org/officeDocument/2006/relationships/hyperlink" Id="rId141"/><Relationship TargetMode="External" Target="mailto:bcama@pj.gob.pe%0a914025498" Type="http://schemas.openxmlformats.org/officeDocument/2006/relationships/hyperlink" Id="rId142"/><Relationship TargetMode="External" Target="mailto:rquispey@pj.gob.pe%0a914025402" Type="http://schemas.openxmlformats.org/officeDocument/2006/relationships/hyperlink" Id="rId143"/><Relationship TargetMode="External" Target="mailto:sefajardo@pj.gob.pe%0a914025587" Type="http://schemas.openxmlformats.org/officeDocument/2006/relationships/hyperlink" Id="rId144"/><Relationship TargetMode="External" Target="mailto:hvalverdee@pj.gob.pe%0a914025352" Type="http://schemas.openxmlformats.org/officeDocument/2006/relationships/hyperlink" Id="rId145"/><Relationship TargetMode="External" Target="mailto:elopezj@pj.gob.pe%0a914025306" Type="http://schemas.openxmlformats.org/officeDocument/2006/relationships/hyperlink" Id="rId146"/><Relationship TargetMode="External" Target="mailto:lourdeshuanca@yahoo.es%0a51(1)%20424-1611" Type="http://schemas.openxmlformats.org/officeDocument/2006/relationships/hyperlink" Id="rId147"/><Relationship TargetMode="External" Target="mailto:cepesju@cepesju.org%0a+51%20(1)%20471%2035%2087%0a+51%20999%20952%20504" Type="http://schemas.openxmlformats.org/officeDocument/2006/relationships/hyperlink" Id="rId148"/><Relationship TargetMode="External" Target="mailto:cepesju@cepesju.org%0a+51%20(1)%20471%2035%2087%0a+51%20999%20952%20504" Type="http://schemas.openxmlformats.org/officeDocument/2006/relationships/hyperlink" Id="rId149"/></Relationships>
</file>

<file path=xl/worksheets/_rels/sheet2.xml.rels><?xml version="1.0" encoding="UTF-8"?><Relationships xmlns="http://schemas.openxmlformats.org/package/2006/relationships"><Relationship TargetMode="External" Target="https://www.linkedin.com/in/sofia-blamey-andrusco-7520096b/?locale=fr_FR" Type="http://schemas.openxmlformats.org/officeDocument/2006/relationships/hyperlink" Id="rId1"/><Relationship TargetMode="External" Target="mailto:car.gracia@inabif.gob.pe" Type="http://schemas.openxmlformats.org/officeDocument/2006/relationships/hyperlink" Id="rId2"/><Relationship TargetMode="External" Target="mailto:aisanjuanb@gmail.com" Type="http://schemas.openxmlformats.org/officeDocument/2006/relationships/hyperlink" Id="rId3"/><Relationship TargetMode="External" Target="mailto:car.sricardo@inabif.gob.pe" Type="http://schemas.openxmlformats.org/officeDocument/2006/relationships/hyperlink" Id="rId4"/><Relationship TargetMode="External" Target="mailto:car.sricardo@inabif.gob.pe" Type="http://schemas.openxmlformats.org/officeDocument/2006/relationships/hyperlink" Id="rId5"/><Relationship TargetMode="External" Target="mailto:info@appv.pe" Type="http://schemas.openxmlformats.org/officeDocument/2006/relationships/hyperlink" Id="rId6"/><Relationship TargetMode="External" Target="https://www.linkedin.com/in/intikilla-eutrop%C3%ADa-delgado-castro-9a585934/" Type="http://schemas.openxmlformats.org/officeDocument/2006/relationships/hyperlink" Id="rId7"/><Relationship TargetMode="External" Target="https://www.linkedin.com/in/rosario-cosar-5b3538119/" Type="http://schemas.openxmlformats.org/officeDocument/2006/relationships/hyperlink" Id="rId8"/><Relationship TargetMode="External" Target="mailto:lourdes.febres@accionporlosninos.org.pe" Type="http://schemas.openxmlformats.org/officeDocument/2006/relationships/hyperlink" Id="rId9"/><Relationship TargetMode="External" Target="mailto:magaly.blas.b@upch.pe" Type="http://schemas.openxmlformats.org/officeDocument/2006/relationships/hyperlink" Id="rId10"/><Relationship TargetMode="External" Target="mailto:redinterquorum@gmail.com" Type="http://schemas.openxmlformats.org/officeDocument/2006/relationships/hyperlink" Id="rId11"/><Relationship TargetMode="External" Target="mailto:madresmigrantesextranjerasperu@gmail.com" Type="http://schemas.openxmlformats.org/officeDocument/2006/relationships/hyperlink" Id="rId12"/><Relationship TargetMode="External" Target="mailto:arlettecontreras@agendamujer.com" Type="http://schemas.openxmlformats.org/officeDocument/2006/relationships/hyperlink" Id="rId13"/><Relationship TargetMode="External" Target="mailto:familiasunidasporjusticia@gmail.com" Type="http://schemas.openxmlformats.org/officeDocument/2006/relationships/hyperlink" Id="rId14"/><Relationship TargetMode="External" Target="mailto:vpomalaya@mpfn.gob.pe;%20victoriapomalaya@gmail.com" Type="http://schemas.openxmlformats.org/officeDocument/2006/relationships/hyperlink" Id="rId15"/><Relationship TargetMode="External" Target="https://sistemas.mininter.gob.pe/mesadepartesdigital/" Type="http://schemas.openxmlformats.org/officeDocument/2006/relationships/hyperlink" Id="rId16"/><Relationship TargetMode="External" Target="mailto:hellen.ku@aurora.gob.pe" Type="http://schemas.openxmlformats.org/officeDocument/2006/relationships/hyperlink" Id="rId17"/><Relationship TargetMode="External" Target="mailto:zoila.cabanillas@waminam.gob.pe%0a994581446" Type="http://schemas.openxmlformats.org/officeDocument/2006/relationships/hyperlink" Id="rId18"/><Relationship TargetMode="External" Target="mailto:illontop@minjus.gob.pe,%20milagrosllontopv@gmail.com" Type="http://schemas.openxmlformats.org/officeDocument/2006/relationships/hyperlink" Id="rId19"/><Relationship TargetMode="External" Target="mailto:coord.peru@apurimac.it" Type="http://schemas.openxmlformats.org/officeDocument/2006/relationships/hyperlink" Id="rId20"/><Relationship TargetMode="External" Target="mailto:lizmelendez@flora.org.pe%0a" Type="http://schemas.openxmlformats.org/officeDocument/2006/relationships/hyperlink" Id="rId21"/><Relationship TargetMode="External" Target="mailto:mariapia.molero@unwomen.org" Type="http://schemas.openxmlformats.org/officeDocument/2006/relationships/hyperlink" Id="rId22"/><Relationship TargetMode="External" Target="mailto:susana.osorio@savethechildren.org" Type="http://schemas.openxmlformats.org/officeDocument/2006/relationships/hyperlink" Id="rId23"/><Relationship TargetMode="External" Target="mailto:Antonella.Rojas@savethechildren.org;%20diana.rodriguez@savethechildren.org" Type="http://schemas.openxmlformats.org/officeDocument/2006/relationships/hyperlink" Id="rId24"/><Relationship TargetMode="External" Target="mailto:gianina@quintaola.org" Type="http://schemas.openxmlformats.org/officeDocument/2006/relationships/hyperlink" Id="rId25"/><Relationship TargetMode="External" Target="mailto:chavez@dvv-international.edu.pe" Type="http://schemas.openxmlformats.org/officeDocument/2006/relationships/hyperlink" Id="rId26"/><Relationship TargetMode="External" Target="mailto:susana.trazamos@hotmail.com%0a" Type="http://schemas.openxmlformats.org/officeDocument/2006/relationships/hyperlink" Id="rId27"/><Relationship TargetMode="External" Target="mailto:msaravia@proetica.org.pe" Type="http://schemas.openxmlformats.org/officeDocument/2006/relationships/hyperlink" Id="rId28"/><Relationship Target="/xl/comments/comment1.xml" Type="http://schemas.openxmlformats.org/officeDocument/2006/relationships/comments" Id="comments"/><Relationship Target="/xl/drawings/commentsDrawing1.vml" Type="http://schemas.openxmlformats.org/officeDocument/2006/relationships/vmlDrawing" Id="anysvml"/></Relationships>
</file>

<file path=xl/worksheets/_rels/sheet4.xml.rels><?xml version="1.0" encoding="UTF-8"?><Relationships xmlns="http://schemas.openxmlformats.org/package/2006/relationships"><Relationship TargetMode="External" Target="mailto:arebaza@mpfn.gob.pe" Type="http://schemas.openxmlformats.org/officeDocument/2006/relationships/hyperlink" Id="rId1"/><Relationship Target="/xl/comments/comment2.xml" Type="http://schemas.openxmlformats.org/officeDocument/2006/relationships/comments" Id="comments"/><Relationship Target="/xl/drawings/commentsDrawing2.vml" Type="http://schemas.openxmlformats.org/officeDocument/2006/relationships/vmlDrawing" Id="anysvml"/></Relationships>
</file>

<file path=xl/worksheets/_rels/sheet5.xml.rels><?xml version="1.0" encoding="UTF-8"?><Relationships xmlns="http://schemas.openxmlformats.org/package/2006/relationships"><Relationship TargetMode="External" Target="mailto:kolivera@aurora.gob.pe" Type="http://schemas.openxmlformats.org/officeDocument/2006/relationships/hyperlink"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B1:AE572"/>
  <sheetViews>
    <sheetView tabSelected="true" zoomScale="73" zoomScaleNormal="67" workbookViewId="0">
      <selection activeCell="B5" sqref="B5:AD545"/>
    </sheetView>
  </sheetViews>
  <sheetFormatPr baseColWidth="10" defaultColWidth="10.81640625" defaultRowHeight="14"/>
  <cols>
    <col min="1" max="1" width="10.81640625" style="11" customWidth="true"/>
    <col min="2" max="2" width="14.453125" style="24" customWidth="true"/>
    <col min="3" max="3" width="13.453125" style="12" customWidth="true"/>
    <col min="4" max="4" width="27.453125" style="11" customWidth="true"/>
    <col min="5" max="5" width="36.453125" style="11" customWidth="true"/>
    <col min="6" max="6" width="28.453125" style="12" customWidth="true"/>
    <col min="7" max="8" width="27.1796875" style="12" customWidth="true"/>
    <col min="9" max="9" width="20.81640625" style="12" customWidth="true"/>
    <col min="10" max="11" width="36.453125" style="12" customWidth="true"/>
    <col min="12" max="12" width="22.1796875" style="12" customWidth="true"/>
    <col min="13" max="13" width="21.81640625" style="12" customWidth="true"/>
    <col min="14" max="14" width="25.54296875" style="13" customWidth="true"/>
    <col min="15" max="15" width="23.453125" style="11" customWidth="true"/>
    <col min="16" max="16" width="40.54296875" style="11" customWidth="true"/>
    <col min="17" max="17" width="21.1796875" style="11" customWidth="true"/>
    <col min="18" max="18" width="11.453125" style="11" customWidth="true"/>
    <col min="19" max="19" width="10.1796875" style="11" customWidth="true"/>
    <col min="20" max="20" width="13.453125" style="11" customWidth="true"/>
    <col min="21" max="21" width="18" style="11" customWidth="true"/>
    <col min="22" max="24" width="14.453125" style="11" customWidth="true"/>
    <col min="25" max="27" width="15" style="11" customWidth="true"/>
    <col min="28" max="29" width="18.453125" style="11" customWidth="true"/>
    <col min="30" max="30" width="13.81640625" style="11" customWidth="true"/>
    <col min="31" max="16384" width="10.81640625" style="11" customWidth="true"/>
  </cols>
  <sheetData>
    <row r="1">
      <c r="B1" s="24" t="s">
        <v>0</v>
      </c>
      <c r="C1" s="12" t="s">
        <v>10</v>
      </c>
      <c r="D1" s="11" t="s">
        <v>0</v>
      </c>
      <c r="E1" s="11" t="s">
        <v>0</v>
      </c>
      <c r="F1" s="12" t="s">
        <v>0</v>
      </c>
      <c r="G1" s="12" t="s">
        <v>0</v>
      </c>
      <c r="H1" s="12" t="s">
        <v>0</v>
      </c>
      <c r="I1" s="12" t="s">
        <v>0</v>
      </c>
      <c r="J1" s="12" t="s">
        <v>0</v>
      </c>
      <c r="K1" s="12" t="s">
        <v>0</v>
      </c>
      <c r="L1" s="12" t="s">
        <v>0</v>
      </c>
      <c r="M1" s="12" t="s">
        <v>0</v>
      </c>
      <c r="N1" s="13" t="s">
        <v>0</v>
      </c>
      <c r="O1" s="11" t="s">
        <v>0</v>
      </c>
      <c r="P1" s="11" t="s">
        <v>0</v>
      </c>
      <c r="Q1" s="11" t="s">
        <v>0</v>
      </c>
      <c r="R1" s="11" t="s">
        <v>0</v>
      </c>
      <c r="S1" s="11" t="s">
        <v>0</v>
      </c>
      <c r="T1" s="11" t="s">
        <v>0</v>
      </c>
      <c r="U1" s="11" t="s">
        <v>0</v>
      </c>
      <c r="V1" s="11" t="s">
        <v>0</v>
      </c>
      <c r="W1" s="11" t="s">
        <v>0</v>
      </c>
      <c r="X1" s="11" t="s">
        <v>0</v>
      </c>
      <c r="Y1" s="11" t="s">
        <v>0</v>
      </c>
      <c r="Z1" s="11" t="s">
        <v>0</v>
      </c>
      <c r="AA1" s="11" t="s">
        <v>0</v>
      </c>
      <c r="AB1" s="11" t="s">
        <v>0</v>
      </c>
      <c r="AC1" s="11" t="s">
        <v>0</v>
      </c>
      <c r="AD1" s="11" t="s">
        <v>0</v>
      </c>
      <c r="AE1" s="11" t="s">
        <v>0</v>
      </c>
    </row>
    <row r="2">
      <c r="B2" s="24" t="s">
        <v>0</v>
      </c>
      <c r="C2" s="12" t="s">
        <v>11</v>
      </c>
      <c r="D2" s="11" t="s">
        <v>0</v>
      </c>
      <c r="E2" s="11" t="s">
        <v>1117</v>
      </c>
      <c r="F2" s="12" t="s">
        <v>0</v>
      </c>
      <c r="G2" s="12" t="s">
        <v>0</v>
      </c>
      <c r="H2" s="12" t="s">
        <v>0</v>
      </c>
      <c r="I2" s="12" t="s">
        <v>0</v>
      </c>
      <c r="J2" s="12" t="s">
        <v>0</v>
      </c>
      <c r="K2" s="12" t="s">
        <v>0</v>
      </c>
      <c r="L2" s="12" t="s">
        <v>0</v>
      </c>
      <c r="M2" s="12" t="s">
        <v>0</v>
      </c>
      <c r="N2" s="13" t="s">
        <v>0</v>
      </c>
      <c r="O2" s="11" t="s">
        <v>0</v>
      </c>
      <c r="P2" s="11" t="s">
        <v>0</v>
      </c>
      <c r="Q2" s="11" t="s">
        <v>0</v>
      </c>
      <c r="R2" s="11" t="s">
        <v>0</v>
      </c>
      <c r="S2" s="11" t="s">
        <v>0</v>
      </c>
      <c r="T2" s="11" t="s">
        <v>0</v>
      </c>
      <c r="U2" s="11" t="s">
        <v>0</v>
      </c>
      <c r="V2" s="11" t="s">
        <v>0</v>
      </c>
      <c r="W2" s="11" t="s">
        <v>0</v>
      </c>
      <c r="X2" s="11" t="s">
        <v>0</v>
      </c>
      <c r="Y2" s="11" t="s">
        <v>0</v>
      </c>
      <c r="Z2" s="11" t="s">
        <v>0</v>
      </c>
      <c r="AA2" s="11" t="s">
        <v>0</v>
      </c>
      <c r="AB2" s="11" t="s">
        <v>0</v>
      </c>
      <c r="AC2" s="11" t="s">
        <v>0</v>
      </c>
      <c r="AD2" s="11" t="s">
        <v>0</v>
      </c>
      <c r="AE2" s="11" t="s">
        <v>0</v>
      </c>
    </row>
    <row r="3">
      <c r="B3" s="24" t="s">
        <v>0</v>
      </c>
      <c r="C3" s="12" t="s">
        <v>0</v>
      </c>
      <c r="D3" s="11" t="s">
        <v>0</v>
      </c>
      <c r="E3" s="11" t="s">
        <v>1118</v>
      </c>
      <c r="F3" s="12" t="s">
        <v>0</v>
      </c>
      <c r="G3" s="12" t="s">
        <v>0</v>
      </c>
      <c r="H3" s="12" t="s">
        <v>0</v>
      </c>
      <c r="I3" s="12" t="s">
        <v>0</v>
      </c>
      <c r="J3" s="12" t="s">
        <v>0</v>
      </c>
      <c r="K3" s="12" t="s">
        <v>0</v>
      </c>
      <c r="L3" s="12" t="s">
        <v>0</v>
      </c>
      <c r="M3" s="12" t="s">
        <v>0</v>
      </c>
      <c r="N3" s="13" t="s">
        <v>0</v>
      </c>
      <c r="O3" s="11" t="s">
        <v>0</v>
      </c>
      <c r="P3" s="11" t="s">
        <v>0</v>
      </c>
      <c r="Q3" s="11" t="s">
        <v>0</v>
      </c>
      <c r="R3" s="11" t="s">
        <v>0</v>
      </c>
      <c r="S3" s="11" t="s">
        <v>0</v>
      </c>
      <c r="T3" s="11" t="s">
        <v>0</v>
      </c>
      <c r="U3" s="11" t="s">
        <v>0</v>
      </c>
      <c r="V3" s="11" t="s">
        <v>0</v>
      </c>
      <c r="W3" s="11" t="s">
        <v>0</v>
      </c>
      <c r="X3" s="11" t="s">
        <v>0</v>
      </c>
      <c r="Y3" s="11" t="s">
        <v>0</v>
      </c>
      <c r="Z3" s="11" t="s">
        <v>0</v>
      </c>
      <c r="AA3" s="11" t="s">
        <v>0</v>
      </c>
      <c r="AB3" s="11" t="s">
        <v>0</v>
      </c>
      <c r="AC3" s="11" t="s">
        <v>0</v>
      </c>
      <c r="AD3" s="11" t="s">
        <v>0</v>
      </c>
      <c r="AE3" s="11" t="s">
        <v>0</v>
      </c>
    </row>
    <row r="4">
      <c r="B4" s="24" t="s">
        <v>0</v>
      </c>
      <c r="C4" s="12" t="s">
        <v>0</v>
      </c>
      <c r="D4" s="11" t="s">
        <v>0</v>
      </c>
      <c r="E4" s="11" t="s">
        <v>1119</v>
      </c>
      <c r="F4" s="12" t="s">
        <v>0</v>
      </c>
      <c r="G4" s="12" t="s">
        <v>0</v>
      </c>
      <c r="H4" s="12" t="s">
        <v>0</v>
      </c>
      <c r="I4" s="12" t="s">
        <v>0</v>
      </c>
      <c r="J4" s="12" t="s">
        <v>0</v>
      </c>
      <c r="K4" s="12" t="s">
        <v>0</v>
      </c>
      <c r="L4" s="12" t="s">
        <v>0</v>
      </c>
      <c r="M4" s="12" t="s">
        <v>0</v>
      </c>
      <c r="N4" s="13" t="s">
        <v>0</v>
      </c>
      <c r="O4" s="11" t="s">
        <v>0</v>
      </c>
      <c r="P4" s="11" t="s">
        <v>0</v>
      </c>
      <c r="Q4" s="11" t="s">
        <v>0</v>
      </c>
      <c r="R4" s="11" t="s">
        <v>0</v>
      </c>
      <c r="S4" s="11" t="s">
        <v>0</v>
      </c>
      <c r="T4" s="11" t="s">
        <v>0</v>
      </c>
      <c r="U4" s="11" t="s">
        <v>0</v>
      </c>
      <c r="V4" s="11" t="s">
        <v>0</v>
      </c>
      <c r="W4" s="11" t="s">
        <v>0</v>
      </c>
      <c r="X4" s="11" t="s">
        <v>0</v>
      </c>
      <c r="Y4" s="11" t="s">
        <v>0</v>
      </c>
      <c r="Z4" s="11" t="s">
        <v>0</v>
      </c>
      <c r="AA4" s="11" t="s">
        <v>0</v>
      </c>
      <c r="AB4" s="11" t="s">
        <v>0</v>
      </c>
      <c r="AC4" s="11" t="s">
        <v>0</v>
      </c>
      <c r="AD4" s="11" t="s">
        <v>0</v>
      </c>
      <c r="AE4" s="11" t="s">
        <v>0</v>
      </c>
    </row>
    <row r="5">
      <c r="B5" s="24" t="s">
        <v>0</v>
      </c>
      <c r="C5" s="12" t="s">
        <v>12</v>
      </c>
      <c r="D5" s="11" t="s">
        <v>572</v>
      </c>
      <c r="E5" s="11" t="s">
        <v>1120</v>
      </c>
      <c r="F5" s="12" t="s">
        <v>1271</v>
      </c>
      <c r="G5" s="12" t="s">
        <v>1301</v>
      </c>
      <c r="H5" s="12" t="s">
        <v>1305</v>
      </c>
      <c r="I5" s="12" t="s">
        <v>1308</v>
      </c>
      <c r="J5" s="12" t="s">
        <v>1314</v>
      </c>
      <c r="K5" s="12" t="s">
        <v>1325</v>
      </c>
      <c r="L5" s="12" t="s">
        <v>1335</v>
      </c>
      <c r="M5" s="12" t="s">
        <v>1305</v>
      </c>
      <c r="N5" s="13" t="s">
        <v>1336</v>
      </c>
      <c r="O5" s="11" t="s">
        <v>1834</v>
      </c>
      <c r="P5" s="11" t="s">
        <v>1866</v>
      </c>
      <c r="Q5" s="11" t="s">
        <v>1879</v>
      </c>
      <c r="R5" s="11" t="s">
        <v>1881</v>
      </c>
      <c r="S5" s="11" t="s">
        <v>1884</v>
      </c>
      <c r="T5" s="11" t="s">
        <v>1885</v>
      </c>
      <c r="U5" s="11" t="s">
        <v>1887</v>
      </c>
      <c r="V5" s="11" t="s">
        <v>1895</v>
      </c>
      <c r="W5" s="11" t="s">
        <v>1924</v>
      </c>
      <c r="X5" s="11" t="s">
        <v>1934</v>
      </c>
      <c r="Y5" s="11" t="s">
        <v>1936</v>
      </c>
      <c r="Z5" s="11" t="s">
        <v>1957</v>
      </c>
      <c r="AA5" s="11" t="s">
        <v>1999</v>
      </c>
      <c r="AB5" s="11" t="s">
        <v>2002</v>
      </c>
      <c r="AC5" s="11" t="s">
        <v>2004</v>
      </c>
      <c r="AD5" s="11" t="s">
        <v>2005</v>
      </c>
      <c r="AE5" s="11" t="s">
        <v>0</v>
      </c>
    </row>
    <row r="6">
      <c r="B6" s="24" t="s">
        <v>1</v>
      </c>
      <c r="C6" s="12" t="s">
        <v>13</v>
      </c>
      <c r="D6" s="11" t="s">
        <v>573</v>
      </c>
      <c r="E6" s="11" t="s">
        <v>1121</v>
      </c>
      <c r="F6" s="12" t="s">
        <v>1272</v>
      </c>
      <c r="G6" s="12" t="s">
        <v>1302</v>
      </c>
      <c r="H6" s="12" t="s">
        <v>1302</v>
      </c>
      <c r="I6" s="12" t="s">
        <v>1309</v>
      </c>
      <c r="J6" s="12" t="s">
        <v>1315</v>
      </c>
      <c r="K6" s="12" t="s">
        <v>1326</v>
      </c>
      <c r="L6" s="12" t="s">
        <v>1303</v>
      </c>
      <c r="M6" s="12" t="s">
        <v>0</v>
      </c>
      <c r="N6" s="13" t="s">
        <v>1337</v>
      </c>
      <c r="O6" s="11" t="s">
        <v>1326</v>
      </c>
      <c r="P6" s="11" t="s">
        <v>1867</v>
      </c>
      <c r="Q6" s="11" t="s">
        <v>1307</v>
      </c>
      <c r="R6" s="11" t="s">
        <v>1882</v>
      </c>
      <c r="S6" s="11" t="s">
        <v>0</v>
      </c>
      <c r="T6" s="11" t="s">
        <v>1307</v>
      </c>
      <c r="U6" s="11" t="s">
        <v>1888</v>
      </c>
      <c r="V6" s="11" t="s">
        <v>1896</v>
      </c>
      <c r="W6" s="11" t="s">
        <v>1925</v>
      </c>
      <c r="X6" s="11" t="s">
        <v>0</v>
      </c>
      <c r="Y6" s="11" t="s">
        <v>1937</v>
      </c>
      <c r="Z6" s="11" t="s">
        <v>1958</v>
      </c>
      <c r="AA6" s="11" t="s">
        <v>1958</v>
      </c>
      <c r="AB6" s="11" t="s">
        <v>2003</v>
      </c>
      <c r="AC6" s="11" t="s">
        <v>96</v>
      </c>
      <c r="AD6" s="11" t="s">
        <v>2006</v>
      </c>
      <c r="AE6" s="11" t="s">
        <v>13</v>
      </c>
    </row>
    <row r="7">
      <c r="B7" s="24" t="s">
        <v>1</v>
      </c>
      <c r="C7" s="12" t="s">
        <v>14</v>
      </c>
      <c r="D7" s="11" t="s">
        <v>574</v>
      </c>
      <c r="E7" s="11" t="s">
        <v>1121</v>
      </c>
      <c r="F7" s="12" t="s">
        <v>1</v>
      </c>
      <c r="G7" s="12" t="s">
        <v>1302</v>
      </c>
      <c r="H7" s="12" t="s">
        <v>1302</v>
      </c>
      <c r="I7" s="12" t="s">
        <v>1309</v>
      </c>
      <c r="J7" s="12" t="s">
        <v>1315</v>
      </c>
      <c r="K7" s="12" t="s">
        <v>1326</v>
      </c>
      <c r="L7" s="12" t="s">
        <v>1303</v>
      </c>
      <c r="M7" s="12" t="s">
        <v>0</v>
      </c>
      <c r="N7" s="13" t="s">
        <v>1337</v>
      </c>
      <c r="O7" s="11" t="s">
        <v>1326</v>
      </c>
      <c r="P7" s="11" t="s">
        <v>1867</v>
      </c>
      <c r="Q7" s="11" t="s">
        <v>1307</v>
      </c>
      <c r="R7" s="11" t="s">
        <v>1882</v>
      </c>
      <c r="S7" s="11" t="s">
        <v>0</v>
      </c>
      <c r="T7" s="11" t="s">
        <v>1306</v>
      </c>
      <c r="U7" s="11" t="s">
        <v>1889</v>
      </c>
      <c r="V7" s="11" t="s">
        <v>0</v>
      </c>
      <c r="W7" s="11" t="s">
        <v>0</v>
      </c>
      <c r="X7" s="11" t="s">
        <v>0</v>
      </c>
      <c r="Y7" s="11" t="s">
        <v>0</v>
      </c>
      <c r="Z7" s="11" t="s">
        <v>0</v>
      </c>
      <c r="AA7" s="11" t="s">
        <v>0</v>
      </c>
      <c r="AB7" s="11" t="s">
        <v>0</v>
      </c>
      <c r="AC7" s="11" t="s">
        <v>0</v>
      </c>
      <c r="AD7" s="11" t="s">
        <v>2007</v>
      </c>
      <c r="AE7" s="11" t="s">
        <v>13</v>
      </c>
    </row>
    <row r="8">
      <c r="B8" s="24" t="s">
        <v>1</v>
      </c>
      <c r="C8" s="12" t="s">
        <v>15</v>
      </c>
      <c r="D8" s="11" t="s">
        <v>575</v>
      </c>
      <c r="E8" s="11" t="s">
        <v>1122</v>
      </c>
      <c r="F8" s="12" t="s">
        <v>1</v>
      </c>
      <c r="G8" s="12" t="s">
        <v>1302</v>
      </c>
      <c r="H8" s="12" t="s">
        <v>1302</v>
      </c>
      <c r="I8" s="12" t="s">
        <v>1309</v>
      </c>
      <c r="J8" s="12" t="s">
        <v>1315</v>
      </c>
      <c r="K8" s="12" t="s">
        <v>1326</v>
      </c>
      <c r="L8" s="12" t="s">
        <v>1303</v>
      </c>
      <c r="M8" s="12" t="s">
        <v>0</v>
      </c>
      <c r="N8" s="13" t="s">
        <v>1338</v>
      </c>
      <c r="O8" s="11" t="s">
        <v>1326</v>
      </c>
      <c r="P8" s="11" t="s">
        <v>1867</v>
      </c>
      <c r="Q8" s="11" t="s">
        <v>1307</v>
      </c>
      <c r="R8" s="11" t="s">
        <v>1882</v>
      </c>
      <c r="S8" s="11" t="s">
        <v>1307</v>
      </c>
      <c r="T8" s="11" t="s">
        <v>1307</v>
      </c>
      <c r="U8" s="11" t="s">
        <v>1890</v>
      </c>
      <c r="V8" s="11" t="s">
        <v>1897</v>
      </c>
      <c r="W8" s="11" t="s">
        <v>1925</v>
      </c>
      <c r="X8" s="11" t="s">
        <v>0</v>
      </c>
      <c r="Y8" s="11" t="s">
        <v>0</v>
      </c>
      <c r="Z8" s="11" t="s">
        <v>0</v>
      </c>
      <c r="AA8" s="11" t="s">
        <v>0</v>
      </c>
      <c r="AB8" s="11" t="s">
        <v>0</v>
      </c>
      <c r="AC8" s="11" t="s">
        <v>0</v>
      </c>
      <c r="AD8" s="11" t="s">
        <v>2008</v>
      </c>
      <c r="AE8" s="11" t="s">
        <v>13</v>
      </c>
    </row>
    <row r="9">
      <c r="B9" s="24" t="s">
        <v>1</v>
      </c>
      <c r="C9" s="12" t="s">
        <v>16</v>
      </c>
      <c r="D9" s="11" t="s">
        <v>576</v>
      </c>
      <c r="E9" s="11" t="s">
        <v>1123</v>
      </c>
      <c r="F9" s="12" t="s">
        <v>1</v>
      </c>
      <c r="G9" s="12" t="s">
        <v>1302</v>
      </c>
      <c r="H9" s="12" t="s">
        <v>1302</v>
      </c>
      <c r="I9" s="12" t="s">
        <v>1309</v>
      </c>
      <c r="J9" s="12" t="s">
        <v>1315</v>
      </c>
      <c r="K9" s="12" t="s">
        <v>1326</v>
      </c>
      <c r="L9" s="12" t="s">
        <v>1303</v>
      </c>
      <c r="M9" s="12" t="s">
        <v>0</v>
      </c>
      <c r="N9" s="13" t="s">
        <v>1339</v>
      </c>
      <c r="O9" s="11" t="s">
        <v>1326</v>
      </c>
      <c r="P9" s="11" t="s">
        <v>1867</v>
      </c>
      <c r="Q9" s="11" t="s">
        <v>1307</v>
      </c>
      <c r="R9" s="11" t="s">
        <v>1882</v>
      </c>
      <c r="S9" s="11" t="s">
        <v>0</v>
      </c>
      <c r="T9" s="11" t="s">
        <v>1306</v>
      </c>
      <c r="U9" s="11" t="s">
        <v>0</v>
      </c>
      <c r="V9" s="11" t="s">
        <v>1898</v>
      </c>
      <c r="W9" s="11" t="s">
        <v>0</v>
      </c>
      <c r="X9" s="11" t="s">
        <v>0</v>
      </c>
      <c r="Y9" s="11" t="s">
        <v>0</v>
      </c>
      <c r="Z9" s="11" t="s">
        <v>0</v>
      </c>
      <c r="AA9" s="11" t="s">
        <v>0</v>
      </c>
      <c r="AB9" s="11" t="s">
        <v>0</v>
      </c>
      <c r="AC9" s="11" t="s">
        <v>0</v>
      </c>
      <c r="AD9" s="11" t="s">
        <v>2009</v>
      </c>
      <c r="AE9" s="11" t="s">
        <v>2090</v>
      </c>
    </row>
    <row r="10">
      <c r="B10" s="24" t="s">
        <v>1</v>
      </c>
      <c r="C10" s="12" t="s">
        <v>17</v>
      </c>
      <c r="D10" s="11" t="s">
        <v>577</v>
      </c>
      <c r="E10" s="11" t="s">
        <v>1123</v>
      </c>
      <c r="F10" s="12" t="s">
        <v>1</v>
      </c>
      <c r="G10" s="12" t="s">
        <v>1302</v>
      </c>
      <c r="H10" s="12" t="s">
        <v>1302</v>
      </c>
      <c r="I10" s="12" t="s">
        <v>1309</v>
      </c>
      <c r="J10" s="12" t="s">
        <v>1315</v>
      </c>
      <c r="K10" s="12" t="s">
        <v>1326</v>
      </c>
      <c r="L10" s="12" t="s">
        <v>1303</v>
      </c>
      <c r="M10" s="12" t="s">
        <v>0</v>
      </c>
      <c r="N10" s="13" t="s">
        <v>1340</v>
      </c>
      <c r="O10" s="11" t="s">
        <v>1326</v>
      </c>
      <c r="P10" s="11" t="s">
        <v>1867</v>
      </c>
      <c r="Q10" s="11" t="s">
        <v>1307</v>
      </c>
      <c r="R10" s="11" t="s">
        <v>1882</v>
      </c>
      <c r="S10" s="11" t="s">
        <v>0</v>
      </c>
      <c r="T10" s="11" t="s">
        <v>1307</v>
      </c>
      <c r="U10" s="11" t="s">
        <v>1890</v>
      </c>
      <c r="V10" s="11" t="s">
        <v>1898</v>
      </c>
      <c r="W10" s="11" t="s">
        <v>0</v>
      </c>
      <c r="X10" s="11" t="s">
        <v>0</v>
      </c>
      <c r="Y10" s="11" t="s">
        <v>0</v>
      </c>
      <c r="Z10" s="11" t="s">
        <v>0</v>
      </c>
      <c r="AA10" s="11" t="s">
        <v>0</v>
      </c>
      <c r="AB10" s="11" t="s">
        <v>0</v>
      </c>
      <c r="AC10" s="11" t="s">
        <v>0</v>
      </c>
      <c r="AD10" s="11" t="s">
        <v>2009</v>
      </c>
      <c r="AE10" s="11" t="s">
        <v>13</v>
      </c>
    </row>
    <row r="11">
      <c r="B11" s="24" t="s">
        <v>1</v>
      </c>
      <c r="C11" s="12" t="s">
        <v>18</v>
      </c>
      <c r="D11" s="11" t="s">
        <v>578</v>
      </c>
      <c r="E11" s="11" t="s">
        <v>1124</v>
      </c>
      <c r="F11" s="12" t="s">
        <v>1</v>
      </c>
      <c r="G11" s="12" t="s">
        <v>1302</v>
      </c>
      <c r="H11" s="12" t="s">
        <v>1302</v>
      </c>
      <c r="I11" s="12" t="s">
        <v>1309</v>
      </c>
      <c r="J11" s="12" t="s">
        <v>1315</v>
      </c>
      <c r="K11" s="12" t="s">
        <v>1326</v>
      </c>
      <c r="L11" s="12" t="s">
        <v>1303</v>
      </c>
      <c r="M11" s="12" t="s">
        <v>0</v>
      </c>
      <c r="N11" s="13" t="s">
        <v>1341</v>
      </c>
      <c r="O11" s="11" t="s">
        <v>1326</v>
      </c>
      <c r="P11" s="11" t="s">
        <v>1867</v>
      </c>
      <c r="Q11" s="11" t="s">
        <v>1307</v>
      </c>
      <c r="R11" s="11" t="s">
        <v>1882</v>
      </c>
      <c r="S11" s="11" t="s">
        <v>0</v>
      </c>
      <c r="T11" s="11" t="s">
        <v>1307</v>
      </c>
      <c r="U11" s="11" t="s">
        <v>1888</v>
      </c>
      <c r="V11" s="11" t="s">
        <v>1898</v>
      </c>
      <c r="W11" s="11" t="s">
        <v>1899</v>
      </c>
      <c r="X11" s="11" t="s">
        <v>0</v>
      </c>
      <c r="Y11" s="11" t="s">
        <v>0</v>
      </c>
      <c r="Z11" s="11" t="s">
        <v>1959</v>
      </c>
      <c r="AA11" s="11" t="s">
        <v>1959</v>
      </c>
      <c r="AB11" s="11" t="s">
        <v>2003</v>
      </c>
      <c r="AC11" s="11" t="s">
        <v>57</v>
      </c>
      <c r="AD11" s="11" t="s">
        <v>0</v>
      </c>
      <c r="AE11" s="11" t="s">
        <v>13</v>
      </c>
    </row>
    <row r="12">
      <c r="B12" s="24" t="s">
        <v>1</v>
      </c>
      <c r="C12" s="12" t="s">
        <v>19</v>
      </c>
      <c r="D12" s="11" t="s">
        <v>579</v>
      </c>
      <c r="E12" s="11" t="s">
        <v>1124</v>
      </c>
      <c r="F12" s="12" t="s">
        <v>1</v>
      </c>
      <c r="G12" s="12" t="s">
        <v>1302</v>
      </c>
      <c r="H12" s="12" t="s">
        <v>1302</v>
      </c>
      <c r="I12" s="12" t="s">
        <v>1309</v>
      </c>
      <c r="J12" s="12" t="s">
        <v>1315</v>
      </c>
      <c r="K12" s="12" t="s">
        <v>1326</v>
      </c>
      <c r="L12" s="12" t="s">
        <v>1303</v>
      </c>
      <c r="M12" s="12" t="s">
        <v>0</v>
      </c>
      <c r="N12" s="13" t="s">
        <v>1341</v>
      </c>
      <c r="O12" s="11" t="s">
        <v>1326</v>
      </c>
      <c r="P12" s="11" t="s">
        <v>1867</v>
      </c>
      <c r="Q12" s="11" t="s">
        <v>1307</v>
      </c>
      <c r="R12" s="11" t="s">
        <v>1882</v>
      </c>
      <c r="S12" s="11" t="s">
        <v>0</v>
      </c>
      <c r="T12" s="11" t="s">
        <v>1306</v>
      </c>
      <c r="U12" s="11" t="s">
        <v>0</v>
      </c>
      <c r="V12" s="11" t="s">
        <v>1898</v>
      </c>
      <c r="W12" s="11" t="s">
        <v>0</v>
      </c>
      <c r="X12" s="11" t="s">
        <v>0</v>
      </c>
      <c r="Y12" s="11" t="s">
        <v>0</v>
      </c>
      <c r="Z12" s="11" t="s">
        <v>0</v>
      </c>
      <c r="AA12" s="11" t="s">
        <v>0</v>
      </c>
      <c r="AB12" s="11" t="s">
        <v>0</v>
      </c>
      <c r="AC12" s="11" t="s">
        <v>0</v>
      </c>
      <c r="AD12" s="11" t="s">
        <v>2009</v>
      </c>
      <c r="AE12" s="11" t="s">
        <v>2090</v>
      </c>
    </row>
    <row r="13">
      <c r="B13" s="24" t="s">
        <v>1</v>
      </c>
      <c r="C13" s="12" t="s">
        <v>20</v>
      </c>
      <c r="D13" s="11" t="s">
        <v>580</v>
      </c>
      <c r="E13" s="11" t="s">
        <v>1125</v>
      </c>
      <c r="F13" s="12" t="s">
        <v>1</v>
      </c>
      <c r="G13" s="12" t="s">
        <v>1302</v>
      </c>
      <c r="H13" s="12" t="s">
        <v>1302</v>
      </c>
      <c r="I13" s="12" t="s">
        <v>1309</v>
      </c>
      <c r="J13" s="12" t="s">
        <v>1315</v>
      </c>
      <c r="K13" s="12" t="s">
        <v>1326</v>
      </c>
      <c r="L13" s="12" t="s">
        <v>1303</v>
      </c>
      <c r="M13" s="12" t="s">
        <v>0</v>
      </c>
      <c r="N13" s="13" t="s">
        <v>1342</v>
      </c>
      <c r="O13" s="11" t="s">
        <v>1326</v>
      </c>
      <c r="P13" s="11" t="s">
        <v>1868</v>
      </c>
      <c r="Q13" s="11" t="s">
        <v>1307</v>
      </c>
      <c r="R13" s="11" t="s">
        <v>1882</v>
      </c>
      <c r="S13" s="11" t="s">
        <v>0</v>
      </c>
      <c r="T13" s="11" t="s">
        <v>1306</v>
      </c>
      <c r="U13" s="11" t="s">
        <v>0</v>
      </c>
      <c r="V13" s="11" t="s">
        <v>1899</v>
      </c>
      <c r="W13" s="11" t="s">
        <v>0</v>
      </c>
      <c r="X13" s="11" t="s">
        <v>0</v>
      </c>
      <c r="Y13" s="11" t="s">
        <v>0</v>
      </c>
      <c r="Z13" s="11" t="s">
        <v>0</v>
      </c>
      <c r="AA13" s="11" t="s">
        <v>0</v>
      </c>
      <c r="AB13" s="11" t="s">
        <v>0</v>
      </c>
      <c r="AC13" s="11" t="s">
        <v>0</v>
      </c>
      <c r="AD13" s="11" t="s">
        <v>2010</v>
      </c>
      <c r="AE13" s="11" t="s">
        <v>2090</v>
      </c>
    </row>
    <row r="14">
      <c r="B14" s="24" t="s">
        <v>1</v>
      </c>
      <c r="C14" s="12" t="s">
        <v>21</v>
      </c>
      <c r="D14" s="11" t="s">
        <v>581</v>
      </c>
      <c r="E14" s="11" t="s">
        <v>1125</v>
      </c>
      <c r="F14" s="12" t="s">
        <v>1</v>
      </c>
      <c r="G14" s="12" t="s">
        <v>1302</v>
      </c>
      <c r="H14" s="12" t="s">
        <v>1302</v>
      </c>
      <c r="I14" s="12" t="s">
        <v>1309</v>
      </c>
      <c r="J14" s="12" t="s">
        <v>1315</v>
      </c>
      <c r="K14" s="12" t="s">
        <v>1326</v>
      </c>
      <c r="L14" s="12" t="s">
        <v>1303</v>
      </c>
      <c r="M14" s="12" t="s">
        <v>0</v>
      </c>
      <c r="N14" s="13" t="s">
        <v>1343</v>
      </c>
      <c r="O14" s="11" t="s">
        <v>1326</v>
      </c>
      <c r="P14" s="11" t="s">
        <v>1868</v>
      </c>
      <c r="Q14" s="11" t="s">
        <v>1307</v>
      </c>
      <c r="R14" s="11" t="s">
        <v>1882</v>
      </c>
      <c r="S14" s="11" t="s">
        <v>0</v>
      </c>
      <c r="T14" s="11" t="s">
        <v>1306</v>
      </c>
      <c r="U14" s="11" t="s">
        <v>0</v>
      </c>
      <c r="V14" s="11" t="s">
        <v>0</v>
      </c>
      <c r="W14" s="11" t="s">
        <v>0</v>
      </c>
      <c r="X14" s="11" t="s">
        <v>0</v>
      </c>
      <c r="Y14" s="11" t="s">
        <v>0</v>
      </c>
      <c r="Z14" s="11" t="s">
        <v>0</v>
      </c>
      <c r="AA14" s="11" t="s">
        <v>0</v>
      </c>
      <c r="AB14" s="11" t="s">
        <v>0</v>
      </c>
      <c r="AC14" s="11" t="s">
        <v>0</v>
      </c>
      <c r="AD14" s="11" t="s">
        <v>0</v>
      </c>
      <c r="AE14" s="11" t="s">
        <v>2090</v>
      </c>
    </row>
    <row r="15">
      <c r="B15" s="24" t="s">
        <v>1</v>
      </c>
      <c r="C15" s="12" t="s">
        <v>22</v>
      </c>
      <c r="D15" s="11" t="s">
        <v>582</v>
      </c>
      <c r="E15" s="11" t="s">
        <v>1126</v>
      </c>
      <c r="F15" s="12" t="s">
        <v>1</v>
      </c>
      <c r="G15" s="12" t="s">
        <v>1302</v>
      </c>
      <c r="H15" s="12" t="s">
        <v>1302</v>
      </c>
      <c r="I15" s="12" t="s">
        <v>1309</v>
      </c>
      <c r="J15" s="12" t="s">
        <v>1315</v>
      </c>
      <c r="K15" s="12" t="s">
        <v>1326</v>
      </c>
      <c r="L15" s="12" t="s">
        <v>1303</v>
      </c>
      <c r="M15" s="12" t="s">
        <v>0</v>
      </c>
      <c r="N15" s="13" t="s">
        <v>1344</v>
      </c>
      <c r="O15" s="11" t="s">
        <v>1326</v>
      </c>
      <c r="P15" s="11" t="s">
        <v>1868</v>
      </c>
      <c r="Q15" s="11" t="s">
        <v>1307</v>
      </c>
      <c r="R15" s="11" t="s">
        <v>1882</v>
      </c>
      <c r="S15" s="11" t="s">
        <v>0</v>
      </c>
      <c r="T15" s="11" t="s">
        <v>1306</v>
      </c>
      <c r="U15" s="11" t="s">
        <v>0</v>
      </c>
      <c r="V15" s="11" t="s">
        <v>0</v>
      </c>
      <c r="W15" s="11" t="s">
        <v>0</v>
      </c>
      <c r="X15" s="11" t="s">
        <v>0</v>
      </c>
      <c r="Y15" s="11" t="s">
        <v>0</v>
      </c>
      <c r="Z15" s="11" t="s">
        <v>0</v>
      </c>
      <c r="AA15" s="11" t="s">
        <v>0</v>
      </c>
      <c r="AB15" s="11" t="s">
        <v>0</v>
      </c>
      <c r="AC15" s="11" t="s">
        <v>0</v>
      </c>
      <c r="AD15" s="11" t="s">
        <v>0</v>
      </c>
      <c r="AE15" s="11" t="s">
        <v>2090</v>
      </c>
    </row>
    <row r="16">
      <c r="B16" s="24" t="s">
        <v>1</v>
      </c>
      <c r="C16" s="12" t="s">
        <v>23</v>
      </c>
      <c r="D16" s="11" t="s">
        <v>583</v>
      </c>
      <c r="E16" s="11" t="s">
        <v>1126</v>
      </c>
      <c r="F16" s="12" t="s">
        <v>1</v>
      </c>
      <c r="G16" s="12" t="s">
        <v>1302</v>
      </c>
      <c r="H16" s="12" t="s">
        <v>1302</v>
      </c>
      <c r="I16" s="12" t="s">
        <v>1309</v>
      </c>
      <c r="J16" s="12" t="s">
        <v>1315</v>
      </c>
      <c r="K16" s="12" t="s">
        <v>1326</v>
      </c>
      <c r="L16" s="12" t="s">
        <v>1303</v>
      </c>
      <c r="M16" s="12" t="s">
        <v>0</v>
      </c>
      <c r="N16" s="13" t="s">
        <v>1345</v>
      </c>
      <c r="O16" s="11" t="s">
        <v>1326</v>
      </c>
      <c r="P16" s="11" t="s">
        <v>1868</v>
      </c>
      <c r="Q16" s="11" t="s">
        <v>1307</v>
      </c>
      <c r="R16" s="11" t="s">
        <v>1882</v>
      </c>
      <c r="S16" s="11" t="s">
        <v>0</v>
      </c>
      <c r="T16" s="11" t="s">
        <v>1306</v>
      </c>
      <c r="U16" s="11" t="s">
        <v>0</v>
      </c>
      <c r="V16" s="11" t="s">
        <v>0</v>
      </c>
      <c r="W16" s="11" t="s">
        <v>0</v>
      </c>
      <c r="X16" s="11" t="s">
        <v>0</v>
      </c>
      <c r="Y16" s="11" t="s">
        <v>0</v>
      </c>
      <c r="Z16" s="11" t="s">
        <v>0</v>
      </c>
      <c r="AA16" s="11" t="s">
        <v>0</v>
      </c>
      <c r="AB16" s="11" t="s">
        <v>0</v>
      </c>
      <c r="AC16" s="11" t="s">
        <v>0</v>
      </c>
      <c r="AD16" s="11" t="s">
        <v>0</v>
      </c>
      <c r="AE16" s="11" t="s">
        <v>2090</v>
      </c>
    </row>
    <row r="17">
      <c r="B17" s="24" t="s">
        <v>2</v>
      </c>
      <c r="C17" s="12" t="s">
        <v>24</v>
      </c>
      <c r="D17" s="11" t="s">
        <v>584</v>
      </c>
      <c r="E17" s="11" t="s">
        <v>1127</v>
      </c>
      <c r="F17" s="12" t="s">
        <v>2</v>
      </c>
      <c r="G17" s="12" t="s">
        <v>1302</v>
      </c>
      <c r="H17" s="12" t="s">
        <v>1302</v>
      </c>
      <c r="I17" s="12" t="s">
        <v>1309</v>
      </c>
      <c r="J17" s="12" t="s">
        <v>1315</v>
      </c>
      <c r="K17" s="12" t="s">
        <v>1326</v>
      </c>
      <c r="L17" s="12" t="s">
        <v>1303</v>
      </c>
      <c r="M17" s="12" t="s">
        <v>0</v>
      </c>
      <c r="N17" s="13" t="s">
        <v>1346</v>
      </c>
      <c r="O17" s="11" t="s">
        <v>1326</v>
      </c>
      <c r="P17" s="11" t="s">
        <v>1867</v>
      </c>
      <c r="Q17" s="11" t="s">
        <v>1307</v>
      </c>
      <c r="R17" s="11" t="s">
        <v>1882</v>
      </c>
      <c r="S17" s="11" t="s">
        <v>0</v>
      </c>
      <c r="T17" s="11" t="s">
        <v>1306</v>
      </c>
      <c r="U17" s="11" t="s">
        <v>0</v>
      </c>
      <c r="V17" s="11" t="s">
        <v>1899</v>
      </c>
      <c r="W17" s="11" t="s">
        <v>0</v>
      </c>
      <c r="X17" s="11" t="s">
        <v>0</v>
      </c>
      <c r="Y17" s="11" t="s">
        <v>0</v>
      </c>
      <c r="Z17" s="11" t="s">
        <v>0</v>
      </c>
      <c r="AA17" s="11" t="s">
        <v>0</v>
      </c>
      <c r="AB17" s="11" t="s">
        <v>0</v>
      </c>
      <c r="AC17" s="11" t="s">
        <v>0</v>
      </c>
      <c r="AD17" s="11" t="s">
        <v>2011</v>
      </c>
      <c r="AE17" s="11" t="s">
        <v>2090</v>
      </c>
    </row>
    <row r="18">
      <c r="B18" s="24" t="s">
        <v>1</v>
      </c>
      <c r="C18" s="12" t="s">
        <v>25</v>
      </c>
      <c r="D18" s="11" t="s">
        <v>585</v>
      </c>
      <c r="E18" s="11" t="s">
        <v>1127</v>
      </c>
      <c r="F18" s="12" t="s">
        <v>1</v>
      </c>
      <c r="G18" s="12" t="s">
        <v>1302</v>
      </c>
      <c r="H18" s="12" t="s">
        <v>1302</v>
      </c>
      <c r="I18" s="12" t="s">
        <v>1309</v>
      </c>
      <c r="J18" s="12" t="s">
        <v>1315</v>
      </c>
      <c r="K18" s="12" t="s">
        <v>1326</v>
      </c>
      <c r="L18" s="12" t="s">
        <v>1303</v>
      </c>
      <c r="M18" s="12" t="s">
        <v>0</v>
      </c>
      <c r="N18" s="13" t="s">
        <v>1347</v>
      </c>
      <c r="O18" s="11" t="s">
        <v>1326</v>
      </c>
      <c r="P18" s="11" t="s">
        <v>1867</v>
      </c>
      <c r="Q18" s="11" t="s">
        <v>1307</v>
      </c>
      <c r="R18" s="11" t="s">
        <v>1882</v>
      </c>
      <c r="S18" s="11" t="s">
        <v>0</v>
      </c>
      <c r="T18" s="11" t="s">
        <v>1306</v>
      </c>
      <c r="U18" s="11" t="s">
        <v>0</v>
      </c>
      <c r="V18" s="11" t="s">
        <v>0</v>
      </c>
      <c r="W18" s="11" t="s">
        <v>0</v>
      </c>
      <c r="X18" s="11" t="s">
        <v>0</v>
      </c>
      <c r="Y18" s="11" t="s">
        <v>0</v>
      </c>
      <c r="Z18" s="11" t="s">
        <v>0</v>
      </c>
      <c r="AA18" s="11" t="s">
        <v>0</v>
      </c>
      <c r="AB18" s="11" t="s">
        <v>0</v>
      </c>
      <c r="AC18" s="11" t="s">
        <v>0</v>
      </c>
      <c r="AD18" s="11" t="s">
        <v>0</v>
      </c>
      <c r="AE18" s="11" t="s">
        <v>2090</v>
      </c>
    </row>
    <row r="19">
      <c r="B19" s="24" t="s">
        <v>1</v>
      </c>
      <c r="C19" s="12" t="s">
        <v>26</v>
      </c>
      <c r="D19" s="11" t="s">
        <v>586</v>
      </c>
      <c r="E19" s="11" t="s">
        <v>1128</v>
      </c>
      <c r="F19" s="12" t="s">
        <v>1</v>
      </c>
      <c r="G19" s="12" t="s">
        <v>1302</v>
      </c>
      <c r="H19" s="12" t="s">
        <v>1302</v>
      </c>
      <c r="I19" s="12" t="s">
        <v>1309</v>
      </c>
      <c r="J19" s="12" t="s">
        <v>1315</v>
      </c>
      <c r="K19" s="12" t="s">
        <v>1326</v>
      </c>
      <c r="L19" s="12" t="s">
        <v>1303</v>
      </c>
      <c r="M19" s="12" t="s">
        <v>0</v>
      </c>
      <c r="N19" s="13" t="s">
        <v>1348</v>
      </c>
      <c r="O19" s="11" t="s">
        <v>1326</v>
      </c>
      <c r="P19" s="11" t="s">
        <v>1867</v>
      </c>
      <c r="Q19" s="11" t="s">
        <v>1307</v>
      </c>
      <c r="R19" s="11" t="s">
        <v>1882</v>
      </c>
      <c r="S19" s="11" t="s">
        <v>0</v>
      </c>
      <c r="T19" s="11" t="s">
        <v>1306</v>
      </c>
      <c r="U19" s="11" t="s">
        <v>0</v>
      </c>
      <c r="V19" s="11" t="s">
        <v>1899</v>
      </c>
      <c r="W19" s="11" t="s">
        <v>0</v>
      </c>
      <c r="X19" s="11" t="s">
        <v>0</v>
      </c>
      <c r="Y19" s="11" t="s">
        <v>0</v>
      </c>
      <c r="Z19" s="11" t="s">
        <v>0</v>
      </c>
      <c r="AA19" s="11" t="s">
        <v>0</v>
      </c>
      <c r="AB19" s="11" t="s">
        <v>0</v>
      </c>
      <c r="AC19" s="11" t="s">
        <v>0</v>
      </c>
      <c r="AD19" s="11" t="s">
        <v>2012</v>
      </c>
      <c r="AE19" s="11" t="s">
        <v>2090</v>
      </c>
    </row>
    <row r="20">
      <c r="B20" s="24" t="s">
        <v>3</v>
      </c>
      <c r="C20" s="12" t="s">
        <v>27</v>
      </c>
      <c r="D20" s="11" t="s">
        <v>587</v>
      </c>
      <c r="E20" s="11" t="s">
        <v>1129</v>
      </c>
      <c r="F20" s="12" t="s">
        <v>3</v>
      </c>
      <c r="G20" s="12" t="s">
        <v>1302</v>
      </c>
      <c r="H20" s="12" t="s">
        <v>1302</v>
      </c>
      <c r="I20" s="12" t="s">
        <v>1309</v>
      </c>
      <c r="J20" s="12" t="s">
        <v>1315</v>
      </c>
      <c r="K20" s="12" t="s">
        <v>1326</v>
      </c>
      <c r="L20" s="12" t="s">
        <v>1303</v>
      </c>
      <c r="M20" s="12" t="s">
        <v>0</v>
      </c>
      <c r="N20" s="13" t="s">
        <v>1349</v>
      </c>
      <c r="O20" s="11" t="s">
        <v>1326</v>
      </c>
      <c r="P20" s="11" t="s">
        <v>1869</v>
      </c>
      <c r="Q20" s="11" t="s">
        <v>1306</v>
      </c>
      <c r="R20" s="11" t="s">
        <v>1882</v>
      </c>
      <c r="S20" s="11" t="s">
        <v>0</v>
      </c>
      <c r="T20" s="11" t="s">
        <v>1306</v>
      </c>
      <c r="U20" s="11" t="s">
        <v>0</v>
      </c>
      <c r="V20" s="11" t="s">
        <v>0</v>
      </c>
      <c r="W20" s="11" t="s">
        <v>0</v>
      </c>
      <c r="X20" s="11" t="s">
        <v>0</v>
      </c>
      <c r="Y20" s="11" t="s">
        <v>0</v>
      </c>
      <c r="Z20" s="11" t="s">
        <v>0</v>
      </c>
      <c r="AA20" s="11" t="s">
        <v>0</v>
      </c>
      <c r="AB20" s="11" t="s">
        <v>0</v>
      </c>
      <c r="AC20" s="11" t="s">
        <v>0</v>
      </c>
      <c r="AD20" s="11" t="s">
        <v>0</v>
      </c>
      <c r="AE20" s="11" t="s">
        <v>2090</v>
      </c>
    </row>
    <row r="21">
      <c r="B21" s="24" t="s">
        <v>1</v>
      </c>
      <c r="C21" s="12" t="s">
        <v>28</v>
      </c>
      <c r="D21" s="11" t="s">
        <v>588</v>
      </c>
      <c r="E21" s="11" t="s">
        <v>1130</v>
      </c>
      <c r="F21" s="12" t="s">
        <v>1273</v>
      </c>
      <c r="G21" s="12" t="s">
        <v>1302</v>
      </c>
      <c r="H21" s="12" t="s">
        <v>1302</v>
      </c>
      <c r="I21" s="12" t="s">
        <v>1310</v>
      </c>
      <c r="J21" s="12" t="s">
        <v>1316</v>
      </c>
      <c r="K21" s="12" t="s">
        <v>1262</v>
      </c>
      <c r="L21" s="12" t="s">
        <v>1303</v>
      </c>
      <c r="M21" s="12" t="s">
        <v>0</v>
      </c>
      <c r="N21" s="13" t="s">
        <v>1350</v>
      </c>
      <c r="O21" s="11" t="s">
        <v>1835</v>
      </c>
      <c r="P21" s="11" t="s">
        <v>1870</v>
      </c>
      <c r="Q21" s="11" t="s">
        <v>1307</v>
      </c>
      <c r="R21" s="11" t="s">
        <v>1882</v>
      </c>
      <c r="S21" s="11" t="s">
        <v>0</v>
      </c>
      <c r="T21" s="11" t="s">
        <v>1307</v>
      </c>
      <c r="U21" s="11" t="s">
        <v>1890</v>
      </c>
      <c r="V21" s="11" t="s">
        <v>1900</v>
      </c>
      <c r="W21" s="11" t="s">
        <v>1926</v>
      </c>
      <c r="X21" s="11" t="s">
        <v>0</v>
      </c>
      <c r="Y21" s="11" t="s">
        <v>0</v>
      </c>
      <c r="Z21" s="11" t="s">
        <v>0</v>
      </c>
      <c r="AA21" s="11" t="s">
        <v>0</v>
      </c>
      <c r="AB21" s="11" t="s">
        <v>0</v>
      </c>
      <c r="AC21" s="11" t="s">
        <v>0</v>
      </c>
      <c r="AD21" s="11" t="s">
        <v>2013</v>
      </c>
      <c r="AE21" s="11" t="s">
        <v>13</v>
      </c>
    </row>
    <row r="22">
      <c r="B22" s="24" t="s">
        <v>4</v>
      </c>
      <c r="C22" s="12" t="s">
        <v>29</v>
      </c>
      <c r="D22" s="11" t="s">
        <v>589</v>
      </c>
      <c r="E22" s="11" t="s">
        <v>1131</v>
      </c>
      <c r="F22" s="12" t="s">
        <v>4</v>
      </c>
      <c r="G22" s="12" t="s">
        <v>1302</v>
      </c>
      <c r="H22" s="12" t="s">
        <v>1302</v>
      </c>
      <c r="I22" s="12" t="s">
        <v>1310</v>
      </c>
      <c r="J22" s="12" t="s">
        <v>1316</v>
      </c>
      <c r="K22" s="12" t="s">
        <v>1262</v>
      </c>
      <c r="L22" s="12" t="s">
        <v>1303</v>
      </c>
      <c r="M22" s="12" t="s">
        <v>0</v>
      </c>
      <c r="N22" s="13" t="s">
        <v>1351</v>
      </c>
      <c r="O22" s="11" t="s">
        <v>1836</v>
      </c>
      <c r="P22" s="11" t="s">
        <v>1870</v>
      </c>
      <c r="Q22" s="11" t="s">
        <v>1307</v>
      </c>
      <c r="R22" s="11" t="s">
        <v>1882</v>
      </c>
      <c r="S22" s="11" t="s">
        <v>0</v>
      </c>
      <c r="T22" s="11" t="s">
        <v>1307</v>
      </c>
      <c r="U22" s="11" t="s">
        <v>1890</v>
      </c>
      <c r="V22" s="11" t="s">
        <v>1897</v>
      </c>
      <c r="W22" s="11" t="s">
        <v>0</v>
      </c>
      <c r="X22" s="11" t="s">
        <v>0</v>
      </c>
      <c r="Y22" s="11" t="s">
        <v>0</v>
      </c>
      <c r="Z22" s="11" t="s">
        <v>0</v>
      </c>
      <c r="AA22" s="11" t="s">
        <v>0</v>
      </c>
      <c r="AB22" s="11" t="s">
        <v>0</v>
      </c>
      <c r="AC22" s="11" t="s">
        <v>0</v>
      </c>
      <c r="AD22" s="11" t="s">
        <v>0</v>
      </c>
      <c r="AE22" s="11" t="s">
        <v>13</v>
      </c>
    </row>
    <row r="23">
      <c r="B23" s="24" t="s">
        <v>5</v>
      </c>
      <c r="C23" s="12" t="s">
        <v>30</v>
      </c>
      <c r="D23" s="11" t="s">
        <v>590</v>
      </c>
      <c r="E23" s="11" t="s">
        <v>1131</v>
      </c>
      <c r="F23" s="12" t="s">
        <v>5</v>
      </c>
      <c r="G23" s="12" t="s">
        <v>1302</v>
      </c>
      <c r="H23" s="12" t="s">
        <v>1302</v>
      </c>
      <c r="I23" s="12" t="s">
        <v>1310</v>
      </c>
      <c r="J23" s="12" t="s">
        <v>1316</v>
      </c>
      <c r="K23" s="12" t="s">
        <v>1262</v>
      </c>
      <c r="L23" s="12" t="s">
        <v>1303</v>
      </c>
      <c r="M23" s="12" t="s">
        <v>0</v>
      </c>
      <c r="N23" s="13" t="s">
        <v>1352</v>
      </c>
      <c r="O23" s="11" t="s">
        <v>1836</v>
      </c>
      <c r="P23" s="11" t="s">
        <v>1870</v>
      </c>
      <c r="Q23" s="11" t="s">
        <v>1307</v>
      </c>
      <c r="R23" s="11" t="s">
        <v>1882</v>
      </c>
      <c r="S23" s="11" t="s">
        <v>0</v>
      </c>
      <c r="T23" s="11" t="s">
        <v>1307</v>
      </c>
      <c r="U23" s="11" t="s">
        <v>1890</v>
      </c>
      <c r="V23" s="11" t="s">
        <v>1901</v>
      </c>
      <c r="W23" s="11" t="s">
        <v>0</v>
      </c>
      <c r="X23" s="11" t="s">
        <v>0</v>
      </c>
      <c r="Y23" s="11" t="s">
        <v>0</v>
      </c>
      <c r="Z23" s="11" t="s">
        <v>0</v>
      </c>
      <c r="AA23" s="11" t="s">
        <v>0</v>
      </c>
      <c r="AB23" s="11" t="s">
        <v>0</v>
      </c>
      <c r="AC23" s="11" t="s">
        <v>0</v>
      </c>
      <c r="AD23" s="11" t="s">
        <v>2014</v>
      </c>
      <c r="AE23" s="11" t="s">
        <v>13</v>
      </c>
    </row>
    <row r="24">
      <c r="B24" s="24" t="s">
        <v>5</v>
      </c>
      <c r="C24" s="12" t="s">
        <v>31</v>
      </c>
      <c r="D24" s="11" t="s">
        <v>591</v>
      </c>
      <c r="E24" s="11" t="s">
        <v>1131</v>
      </c>
      <c r="F24" s="12" t="s">
        <v>5</v>
      </c>
      <c r="G24" s="12" t="s">
        <v>1302</v>
      </c>
      <c r="H24" s="12" t="s">
        <v>1302</v>
      </c>
      <c r="I24" s="12" t="s">
        <v>1310</v>
      </c>
      <c r="J24" s="12" t="s">
        <v>1316</v>
      </c>
      <c r="K24" s="12" t="s">
        <v>1262</v>
      </c>
      <c r="L24" s="12" t="s">
        <v>1303</v>
      </c>
      <c r="M24" s="12" t="s">
        <v>0</v>
      </c>
      <c r="N24" s="13" t="s">
        <v>1353</v>
      </c>
      <c r="O24" s="11" t="s">
        <v>1836</v>
      </c>
      <c r="P24" s="11" t="s">
        <v>1870</v>
      </c>
      <c r="Q24" s="11" t="s">
        <v>1307</v>
      </c>
      <c r="R24" s="11" t="s">
        <v>1882</v>
      </c>
      <c r="S24" s="11" t="s">
        <v>1307</v>
      </c>
      <c r="T24" s="11" t="s">
        <v>1307</v>
      </c>
      <c r="U24" s="11" t="s">
        <v>1890</v>
      </c>
      <c r="V24" s="11" t="s">
        <v>1897</v>
      </c>
      <c r="W24" s="11" t="s">
        <v>0</v>
      </c>
      <c r="X24" s="11" t="s">
        <v>0</v>
      </c>
      <c r="Y24" s="11" t="s">
        <v>0</v>
      </c>
      <c r="Z24" s="11" t="s">
        <v>0</v>
      </c>
      <c r="AA24" s="11" t="s">
        <v>0</v>
      </c>
      <c r="AB24" s="11" t="s">
        <v>0</v>
      </c>
      <c r="AC24" s="11" t="s">
        <v>0</v>
      </c>
      <c r="AD24" s="11" t="s">
        <v>0</v>
      </c>
      <c r="AE24" s="11" t="s">
        <v>13</v>
      </c>
    </row>
    <row r="25">
      <c r="B25" s="24" t="s">
        <v>6</v>
      </c>
      <c r="C25" s="12" t="s">
        <v>32</v>
      </c>
      <c r="D25" s="11" t="s">
        <v>592</v>
      </c>
      <c r="E25" s="11" t="s">
        <v>1132</v>
      </c>
      <c r="F25" s="12" t="s">
        <v>6</v>
      </c>
      <c r="G25" s="12" t="s">
        <v>1302</v>
      </c>
      <c r="H25" s="12" t="s">
        <v>1302</v>
      </c>
      <c r="I25" s="12" t="s">
        <v>1311</v>
      </c>
      <c r="J25" s="12" t="s">
        <v>1317</v>
      </c>
      <c r="K25" s="12" t="s">
        <v>1326</v>
      </c>
      <c r="L25" s="12" t="s">
        <v>1303</v>
      </c>
      <c r="M25" s="12" t="s">
        <v>0</v>
      </c>
      <c r="N25" s="13" t="s">
        <v>1354</v>
      </c>
      <c r="O25" s="11" t="s">
        <v>1326</v>
      </c>
      <c r="P25" s="11" t="s">
        <v>1871</v>
      </c>
      <c r="Q25" s="11" t="s">
        <v>1306</v>
      </c>
      <c r="R25" s="11" t="s">
        <v>1882</v>
      </c>
      <c r="S25" s="11" t="s">
        <v>0</v>
      </c>
      <c r="T25" s="11" t="s">
        <v>1307</v>
      </c>
      <c r="U25" s="11" t="s">
        <v>1888</v>
      </c>
      <c r="V25" s="11" t="s">
        <v>1900</v>
      </c>
      <c r="W25" s="11" t="s">
        <v>0</v>
      </c>
      <c r="X25" s="11" t="s">
        <v>0</v>
      </c>
      <c r="Y25" s="11" t="s">
        <v>0</v>
      </c>
      <c r="Z25" s="11" t="s">
        <v>1960</v>
      </c>
      <c r="AA25" s="11" t="s">
        <v>1960</v>
      </c>
      <c r="AB25" s="11" t="s">
        <v>2003</v>
      </c>
      <c r="AC25" s="11" t="s">
        <v>72</v>
      </c>
      <c r="AD25" s="11" t="s">
        <v>2015</v>
      </c>
      <c r="AE25" s="11" t="s">
        <v>13</v>
      </c>
    </row>
    <row r="26">
      <c r="B26" s="24" t="s">
        <v>2</v>
      </c>
      <c r="C26" s="12" t="s">
        <v>33</v>
      </c>
      <c r="D26" s="11" t="s">
        <v>593</v>
      </c>
      <c r="E26" s="11" t="s">
        <v>1133</v>
      </c>
      <c r="F26" s="12" t="s">
        <v>2</v>
      </c>
      <c r="G26" s="12" t="s">
        <v>1302</v>
      </c>
      <c r="H26" s="12" t="s">
        <v>1302</v>
      </c>
      <c r="I26" s="12" t="s">
        <v>1312</v>
      </c>
      <c r="J26" s="12" t="s">
        <v>1317</v>
      </c>
      <c r="K26" s="12" t="s">
        <v>1327</v>
      </c>
      <c r="L26" s="12" t="s">
        <v>1303</v>
      </c>
      <c r="M26" s="12" t="s">
        <v>0</v>
      </c>
      <c r="N26" s="13" t="s">
        <v>1355</v>
      </c>
      <c r="O26" s="11" t="s">
        <v>1326</v>
      </c>
      <c r="P26" s="11" t="s">
        <v>1869</v>
      </c>
      <c r="Q26" s="11" t="s">
        <v>1306</v>
      </c>
      <c r="R26" s="11" t="s">
        <v>1882</v>
      </c>
      <c r="S26" s="11" t="s">
        <v>0</v>
      </c>
      <c r="T26" s="11" t="s">
        <v>1307</v>
      </c>
      <c r="U26" s="11" t="s">
        <v>1888</v>
      </c>
      <c r="V26" s="11" t="s">
        <v>1899</v>
      </c>
      <c r="W26" s="11" t="s">
        <v>0</v>
      </c>
      <c r="X26" s="11" t="s">
        <v>0</v>
      </c>
      <c r="Y26" s="11" t="s">
        <v>1902</v>
      </c>
      <c r="Z26" s="11" t="s">
        <v>1961</v>
      </c>
      <c r="AA26" s="11" t="s">
        <v>1961</v>
      </c>
      <c r="AB26" s="11" t="s">
        <v>2003</v>
      </c>
      <c r="AC26" s="11" t="s">
        <v>54</v>
      </c>
      <c r="AD26" s="11" t="s">
        <v>2016</v>
      </c>
      <c r="AE26" s="11" t="s">
        <v>13</v>
      </c>
    </row>
    <row r="27">
      <c r="B27" s="24" t="s">
        <v>1</v>
      </c>
      <c r="C27" s="12" t="s">
        <v>34</v>
      </c>
      <c r="D27" s="11" t="s">
        <v>594</v>
      </c>
      <c r="E27" s="11" t="s">
        <v>1134</v>
      </c>
      <c r="F27" s="12" t="s">
        <v>1274</v>
      </c>
      <c r="G27" s="12" t="s">
        <v>1302</v>
      </c>
      <c r="H27" s="12" t="s">
        <v>1306</v>
      </c>
      <c r="I27" s="12" t="s">
        <v>1312</v>
      </c>
      <c r="J27" s="12" t="s">
        <v>1317</v>
      </c>
      <c r="K27" s="12" t="s">
        <v>1328</v>
      </c>
      <c r="L27" s="12" t="s">
        <v>1303</v>
      </c>
      <c r="M27" s="12" t="s">
        <v>0</v>
      </c>
      <c r="N27" s="13" t="s">
        <v>1356</v>
      </c>
      <c r="O27" s="11" t="s">
        <v>1326</v>
      </c>
      <c r="P27" s="11" t="s">
        <v>1871</v>
      </c>
      <c r="Q27" s="11" t="s">
        <v>1306</v>
      </c>
      <c r="R27" s="11" t="s">
        <v>1882</v>
      </c>
      <c r="S27" s="11" t="s">
        <v>0</v>
      </c>
      <c r="T27" s="11" t="s">
        <v>1307</v>
      </c>
      <c r="U27" s="11" t="s">
        <v>1891</v>
      </c>
      <c r="V27" s="11" t="s">
        <v>1899</v>
      </c>
      <c r="W27" s="11" t="s">
        <v>1902</v>
      </c>
      <c r="X27" s="11" t="s">
        <v>0</v>
      </c>
      <c r="Y27" s="11" t="s">
        <v>0</v>
      </c>
      <c r="Z27" s="11" t="s">
        <v>0</v>
      </c>
      <c r="AA27" s="11" t="s">
        <v>0</v>
      </c>
      <c r="AB27" s="11" t="s">
        <v>0</v>
      </c>
      <c r="AC27" s="11" t="s">
        <v>0</v>
      </c>
      <c r="AD27" s="11" t="s">
        <v>2017</v>
      </c>
      <c r="AE27" s="11" t="s">
        <v>13</v>
      </c>
    </row>
    <row r="28">
      <c r="B28" s="24" t="s">
        <v>3</v>
      </c>
      <c r="C28" s="12" t="s">
        <v>35</v>
      </c>
      <c r="D28" s="11" t="s">
        <v>595</v>
      </c>
      <c r="E28" s="11" t="s">
        <v>1135</v>
      </c>
      <c r="F28" s="12" t="s">
        <v>3</v>
      </c>
      <c r="G28" s="12" t="s">
        <v>1302</v>
      </c>
      <c r="H28" s="12" t="s">
        <v>1302</v>
      </c>
      <c r="I28" s="12" t="s">
        <v>1311</v>
      </c>
      <c r="J28" s="12" t="s">
        <v>1317</v>
      </c>
      <c r="K28" s="12" t="s">
        <v>1326</v>
      </c>
      <c r="L28" s="12" t="s">
        <v>1303</v>
      </c>
      <c r="M28" s="12" t="s">
        <v>0</v>
      </c>
      <c r="N28" s="13" t="s">
        <v>1357</v>
      </c>
      <c r="O28" s="11" t="s">
        <v>1326</v>
      </c>
      <c r="P28" s="11" t="s">
        <v>1871</v>
      </c>
      <c r="Q28" s="11" t="s">
        <v>1307</v>
      </c>
      <c r="R28" s="11" t="s">
        <v>1882</v>
      </c>
      <c r="S28" s="11" t="s">
        <v>0</v>
      </c>
      <c r="T28" s="11" t="s">
        <v>1307</v>
      </c>
      <c r="U28" s="11" t="s">
        <v>1890</v>
      </c>
      <c r="V28" s="11" t="s">
        <v>1899</v>
      </c>
      <c r="W28" s="11" t="s">
        <v>1897</v>
      </c>
      <c r="X28" s="11" t="s">
        <v>0</v>
      </c>
      <c r="Y28" s="11" t="s">
        <v>0</v>
      </c>
      <c r="Z28" s="11" t="s">
        <v>0</v>
      </c>
      <c r="AA28" s="11" t="s">
        <v>0</v>
      </c>
      <c r="AB28" s="11" t="s">
        <v>0</v>
      </c>
      <c r="AC28" s="11" t="s">
        <v>0</v>
      </c>
      <c r="AD28" s="11" t="s">
        <v>2018</v>
      </c>
      <c r="AE28" s="11" t="s">
        <v>13</v>
      </c>
    </row>
    <row r="29">
      <c r="B29" s="24" t="s">
        <v>1</v>
      </c>
      <c r="C29" s="12" t="s">
        <v>36</v>
      </c>
      <c r="D29" s="11" t="s">
        <v>596</v>
      </c>
      <c r="E29" s="11" t="s">
        <v>1136</v>
      </c>
      <c r="F29" s="12" t="s">
        <v>1</v>
      </c>
      <c r="G29" s="12" t="s">
        <v>1302</v>
      </c>
      <c r="H29" s="12" t="s">
        <v>1302</v>
      </c>
      <c r="I29" s="12" t="s">
        <v>1312</v>
      </c>
      <c r="J29" s="12" t="s">
        <v>1317</v>
      </c>
      <c r="K29" s="12" t="s">
        <v>1328</v>
      </c>
      <c r="L29" s="12" t="s">
        <v>1303</v>
      </c>
      <c r="M29" s="12" t="s">
        <v>0</v>
      </c>
      <c r="N29" s="13" t="s">
        <v>1358</v>
      </c>
      <c r="O29" s="11" t="s">
        <v>1326</v>
      </c>
      <c r="P29" s="11" t="s">
        <v>1871</v>
      </c>
      <c r="Q29" s="11" t="s">
        <v>1306</v>
      </c>
      <c r="R29" s="11" t="s">
        <v>1882</v>
      </c>
      <c r="S29" s="11" t="s">
        <v>0</v>
      </c>
      <c r="T29" s="11" t="s">
        <v>1307</v>
      </c>
      <c r="U29" s="11" t="s">
        <v>1890</v>
      </c>
      <c r="V29" s="11" t="s">
        <v>1899</v>
      </c>
      <c r="W29" s="11" t="s">
        <v>0</v>
      </c>
      <c r="X29" s="11" t="s">
        <v>0</v>
      </c>
      <c r="Y29" s="11" t="s">
        <v>0</v>
      </c>
      <c r="Z29" s="11" t="s">
        <v>0</v>
      </c>
      <c r="AA29" s="11" t="s">
        <v>0</v>
      </c>
      <c r="AB29" s="11" t="s">
        <v>0</v>
      </c>
      <c r="AC29" s="11" t="s">
        <v>0</v>
      </c>
      <c r="AD29" s="11" t="s">
        <v>2019</v>
      </c>
      <c r="AE29" s="11" t="s">
        <v>13</v>
      </c>
    </row>
    <row r="30">
      <c r="B30" s="24" t="s">
        <v>3</v>
      </c>
      <c r="C30" s="12" t="s">
        <v>37</v>
      </c>
      <c r="D30" s="11" t="s">
        <v>597</v>
      </c>
      <c r="E30" s="11" t="s">
        <v>1137</v>
      </c>
      <c r="F30" s="12" t="s">
        <v>3</v>
      </c>
      <c r="G30" s="12" t="s">
        <v>1302</v>
      </c>
      <c r="H30" s="12" t="s">
        <v>1302</v>
      </c>
      <c r="I30" s="12" t="s">
        <v>1310</v>
      </c>
      <c r="J30" s="12" t="s">
        <v>1316</v>
      </c>
      <c r="K30" s="12" t="s">
        <v>1329</v>
      </c>
      <c r="L30" s="12" t="s">
        <v>1303</v>
      </c>
      <c r="M30" s="12" t="s">
        <v>0</v>
      </c>
      <c r="N30" s="13" t="s">
        <v>1359</v>
      </c>
      <c r="O30" s="11" t="s">
        <v>1326</v>
      </c>
      <c r="P30" s="11" t="s">
        <v>1871</v>
      </c>
      <c r="Q30" s="11" t="s">
        <v>1307</v>
      </c>
      <c r="R30" s="11" t="s">
        <v>1882</v>
      </c>
      <c r="S30" s="11" t="s">
        <v>1307</v>
      </c>
      <c r="T30" s="11" t="s">
        <v>1307</v>
      </c>
      <c r="U30" s="11" t="s">
        <v>1888</v>
      </c>
      <c r="V30" s="11" t="s">
        <v>1899</v>
      </c>
      <c r="W30" s="11" t="s">
        <v>1897</v>
      </c>
      <c r="X30" s="11" t="s">
        <v>1929</v>
      </c>
      <c r="Y30" s="11" t="s">
        <v>0</v>
      </c>
      <c r="Z30" s="11" t="s">
        <v>1962</v>
      </c>
      <c r="AA30" s="11" t="s">
        <v>1962</v>
      </c>
      <c r="AB30" s="11" t="s">
        <v>2003</v>
      </c>
      <c r="AC30" s="11" t="s">
        <v>41</v>
      </c>
      <c r="AD30" s="11" t="s">
        <v>2020</v>
      </c>
      <c r="AE30" s="11" t="s">
        <v>13</v>
      </c>
    </row>
    <row r="31">
      <c r="B31" s="24" t="s">
        <v>1</v>
      </c>
      <c r="C31" s="12" t="s">
        <v>38</v>
      </c>
      <c r="D31" s="11" t="s">
        <v>598</v>
      </c>
      <c r="E31" s="11" t="s">
        <v>1137</v>
      </c>
      <c r="F31" s="12" t="s">
        <v>1273</v>
      </c>
      <c r="G31" s="12" t="s">
        <v>1302</v>
      </c>
      <c r="H31" s="12" t="s">
        <v>1302</v>
      </c>
      <c r="I31" s="12" t="s">
        <v>1310</v>
      </c>
      <c r="J31" s="12" t="s">
        <v>1316</v>
      </c>
      <c r="K31" s="12" t="s">
        <v>1329</v>
      </c>
      <c r="L31" s="12" t="s">
        <v>1303</v>
      </c>
      <c r="M31" s="12" t="s">
        <v>0</v>
      </c>
      <c r="N31" s="13" t="s">
        <v>1360</v>
      </c>
      <c r="O31" s="11" t="s">
        <v>1326</v>
      </c>
      <c r="P31" s="11" t="s">
        <v>1871</v>
      </c>
      <c r="Q31" s="11" t="s">
        <v>1307</v>
      </c>
      <c r="R31" s="11" t="s">
        <v>1882</v>
      </c>
      <c r="S31" s="11" t="s">
        <v>1307</v>
      </c>
      <c r="T31" s="11" t="s">
        <v>1307</v>
      </c>
      <c r="U31" s="11" t="s">
        <v>1890</v>
      </c>
      <c r="V31" s="11" t="s">
        <v>1897</v>
      </c>
      <c r="W31" s="11" t="s">
        <v>0</v>
      </c>
      <c r="X31" s="11" t="s">
        <v>0</v>
      </c>
      <c r="Y31" s="11" t="s">
        <v>0</v>
      </c>
      <c r="Z31" s="11" t="s">
        <v>0</v>
      </c>
      <c r="AA31" s="11" t="s">
        <v>0</v>
      </c>
      <c r="AB31" s="11" t="s">
        <v>0</v>
      </c>
      <c r="AC31" s="11" t="s">
        <v>0</v>
      </c>
      <c r="AD31" s="11" t="s">
        <v>0</v>
      </c>
      <c r="AE31" s="11" t="s">
        <v>13</v>
      </c>
    </row>
    <row r="32">
      <c r="B32" s="24" t="s">
        <v>5</v>
      </c>
      <c r="C32" s="12" t="s">
        <v>39</v>
      </c>
      <c r="D32" s="11" t="s">
        <v>599</v>
      </c>
      <c r="E32" s="11" t="s">
        <v>1137</v>
      </c>
      <c r="F32" s="12" t="s">
        <v>5</v>
      </c>
      <c r="G32" s="12" t="s">
        <v>1302</v>
      </c>
      <c r="H32" s="12" t="s">
        <v>1302</v>
      </c>
      <c r="I32" s="12" t="s">
        <v>1310</v>
      </c>
      <c r="J32" s="12" t="s">
        <v>1316</v>
      </c>
      <c r="K32" s="12" t="s">
        <v>1329</v>
      </c>
      <c r="L32" s="12" t="s">
        <v>1303</v>
      </c>
      <c r="M32" s="12" t="s">
        <v>0</v>
      </c>
      <c r="N32" s="13" t="s">
        <v>1361</v>
      </c>
      <c r="O32" s="11" t="s">
        <v>1326</v>
      </c>
      <c r="P32" s="11" t="s">
        <v>1871</v>
      </c>
      <c r="Q32" s="11" t="s">
        <v>1307</v>
      </c>
      <c r="R32" s="11" t="s">
        <v>1882</v>
      </c>
      <c r="S32" s="11" t="s">
        <v>1307</v>
      </c>
      <c r="T32" s="11" t="s">
        <v>1307</v>
      </c>
      <c r="U32" s="11" t="s">
        <v>1888</v>
      </c>
      <c r="V32" s="11" t="s">
        <v>1897</v>
      </c>
      <c r="W32" s="11" t="s">
        <v>0</v>
      </c>
      <c r="X32" s="11" t="s">
        <v>0</v>
      </c>
      <c r="Y32" s="11" t="s">
        <v>0</v>
      </c>
      <c r="Z32" s="11" t="s">
        <v>1963</v>
      </c>
      <c r="AA32" s="11" t="s">
        <v>1963</v>
      </c>
      <c r="AB32" s="11" t="s">
        <v>2003</v>
      </c>
      <c r="AC32" s="11" t="s">
        <v>64</v>
      </c>
      <c r="AD32" s="11" t="s">
        <v>0</v>
      </c>
      <c r="AE32" s="11" t="s">
        <v>13</v>
      </c>
    </row>
    <row r="33">
      <c r="B33" s="24" t="s">
        <v>6</v>
      </c>
      <c r="C33" s="12" t="s">
        <v>40</v>
      </c>
      <c r="D33" s="11" t="s">
        <v>600</v>
      </c>
      <c r="E33" s="11" t="s">
        <v>1137</v>
      </c>
      <c r="F33" s="12" t="s">
        <v>6</v>
      </c>
      <c r="G33" s="12" t="s">
        <v>1303</v>
      </c>
      <c r="H33" s="12" t="s">
        <v>1307</v>
      </c>
      <c r="I33" s="12" t="s">
        <v>1310</v>
      </c>
      <c r="J33" s="12" t="s">
        <v>1316</v>
      </c>
      <c r="K33" s="12" t="s">
        <v>1329</v>
      </c>
      <c r="L33" s="12" t="s">
        <v>1303</v>
      </c>
      <c r="M33" s="12" t="s">
        <v>0</v>
      </c>
      <c r="N33" s="13" t="s">
        <v>1362</v>
      </c>
      <c r="O33" s="11" t="s">
        <v>1326</v>
      </c>
      <c r="P33" s="11" t="s">
        <v>1871</v>
      </c>
      <c r="Q33" s="11" t="s">
        <v>1307</v>
      </c>
      <c r="R33" s="11" t="s">
        <v>1882</v>
      </c>
      <c r="S33" s="11" t="s">
        <v>1307</v>
      </c>
      <c r="T33" s="11" t="s">
        <v>1307</v>
      </c>
      <c r="U33" s="11" t="s">
        <v>1890</v>
      </c>
      <c r="V33" s="11" t="s">
        <v>1897</v>
      </c>
      <c r="W33" s="11" t="s">
        <v>0</v>
      </c>
      <c r="X33" s="11" t="s">
        <v>0</v>
      </c>
      <c r="Y33" s="11" t="s">
        <v>0</v>
      </c>
      <c r="Z33" s="11" t="s">
        <v>0</v>
      </c>
      <c r="AA33" s="11" t="s">
        <v>0</v>
      </c>
      <c r="AB33" s="11" t="s">
        <v>0</v>
      </c>
      <c r="AC33" s="11" t="s">
        <v>0</v>
      </c>
      <c r="AD33" s="11" t="s">
        <v>0</v>
      </c>
      <c r="AE33" s="11" t="s">
        <v>13</v>
      </c>
    </row>
    <row r="34">
      <c r="B34" s="24" t="s">
        <v>1</v>
      </c>
      <c r="C34" s="12" t="s">
        <v>41</v>
      </c>
      <c r="D34" s="11" t="s">
        <v>601</v>
      </c>
      <c r="E34" s="11" t="s">
        <v>1137</v>
      </c>
      <c r="F34" s="12" t="s">
        <v>1272</v>
      </c>
      <c r="G34" s="12" t="s">
        <v>1302</v>
      </c>
      <c r="H34" s="12" t="s">
        <v>1302</v>
      </c>
      <c r="I34" s="12" t="s">
        <v>1310</v>
      </c>
      <c r="J34" s="12" t="s">
        <v>1316</v>
      </c>
      <c r="K34" s="12" t="s">
        <v>1329</v>
      </c>
      <c r="L34" s="12" t="s">
        <v>1303</v>
      </c>
      <c r="M34" s="12" t="s">
        <v>0</v>
      </c>
      <c r="N34" s="13" t="s">
        <v>1363</v>
      </c>
      <c r="O34" s="11" t="s">
        <v>1326</v>
      </c>
      <c r="P34" s="11" t="s">
        <v>1871</v>
      </c>
      <c r="Q34" s="11" t="s">
        <v>1307</v>
      </c>
      <c r="R34" s="11" t="s">
        <v>1882</v>
      </c>
      <c r="S34" s="11" t="s">
        <v>0</v>
      </c>
      <c r="T34" s="11" t="s">
        <v>1307</v>
      </c>
      <c r="U34" s="11" t="s">
        <v>1892</v>
      </c>
      <c r="V34" s="11" t="s">
        <v>1897</v>
      </c>
      <c r="W34" s="11" t="s">
        <v>0</v>
      </c>
      <c r="X34" s="11" t="s">
        <v>0</v>
      </c>
      <c r="Y34" s="11" t="s">
        <v>0</v>
      </c>
      <c r="Z34" s="11" t="s">
        <v>0</v>
      </c>
      <c r="AA34" s="11" t="s">
        <v>0</v>
      </c>
      <c r="AB34" s="11" t="s">
        <v>0</v>
      </c>
      <c r="AC34" s="11" t="s">
        <v>0</v>
      </c>
      <c r="AD34" s="11" t="s">
        <v>2021</v>
      </c>
      <c r="AE34" s="11" t="s">
        <v>13</v>
      </c>
    </row>
    <row r="35">
      <c r="B35" s="24" t="s">
        <v>1</v>
      </c>
      <c r="C35" s="12" t="s">
        <v>42</v>
      </c>
      <c r="D35" s="11" t="s">
        <v>602</v>
      </c>
      <c r="E35" s="11" t="s">
        <v>1137</v>
      </c>
      <c r="F35" s="12" t="s">
        <v>1273</v>
      </c>
      <c r="G35" s="12" t="s">
        <v>1303</v>
      </c>
      <c r="H35" s="12" t="s">
        <v>1307</v>
      </c>
      <c r="I35" s="12" t="s">
        <v>1310</v>
      </c>
      <c r="J35" s="12" t="s">
        <v>1316</v>
      </c>
      <c r="K35" s="12" t="s">
        <v>1329</v>
      </c>
      <c r="L35" s="12" t="s">
        <v>1303</v>
      </c>
      <c r="M35" s="12" t="s">
        <v>0</v>
      </c>
      <c r="N35" s="13" t="s">
        <v>1364</v>
      </c>
      <c r="O35" s="11" t="s">
        <v>1326</v>
      </c>
      <c r="P35" s="11" t="s">
        <v>1871</v>
      </c>
      <c r="Q35" s="11" t="s">
        <v>1307</v>
      </c>
      <c r="R35" s="11" t="s">
        <v>1882</v>
      </c>
      <c r="S35" s="11" t="s">
        <v>0</v>
      </c>
      <c r="T35" s="11" t="s">
        <v>1307</v>
      </c>
      <c r="U35" s="11" t="s">
        <v>1890</v>
      </c>
      <c r="V35" s="11" t="s">
        <v>1897</v>
      </c>
      <c r="W35" s="11" t="s">
        <v>0</v>
      </c>
      <c r="X35" s="11" t="s">
        <v>0</v>
      </c>
      <c r="Y35" s="11" t="s">
        <v>0</v>
      </c>
      <c r="Z35" s="11" t="s">
        <v>0</v>
      </c>
      <c r="AA35" s="11" t="s">
        <v>0</v>
      </c>
      <c r="AB35" s="11" t="s">
        <v>0</v>
      </c>
      <c r="AC35" s="11" t="s">
        <v>0</v>
      </c>
      <c r="AD35" s="11" t="s">
        <v>2022</v>
      </c>
      <c r="AE35" s="11" t="s">
        <v>13</v>
      </c>
    </row>
    <row r="36">
      <c r="B36" s="24" t="s">
        <v>1</v>
      </c>
      <c r="C36" s="12" t="s">
        <v>43</v>
      </c>
      <c r="D36" s="11" t="s">
        <v>603</v>
      </c>
      <c r="E36" s="11" t="s">
        <v>1138</v>
      </c>
      <c r="F36" s="12" t="s">
        <v>1</v>
      </c>
      <c r="G36" s="12" t="s">
        <v>1302</v>
      </c>
      <c r="H36" s="12" t="s">
        <v>1302</v>
      </c>
      <c r="I36" s="12" t="s">
        <v>1312</v>
      </c>
      <c r="J36" s="12" t="s">
        <v>1317</v>
      </c>
      <c r="K36" s="12" t="s">
        <v>1327</v>
      </c>
      <c r="L36" s="12" t="s">
        <v>1303</v>
      </c>
      <c r="M36" s="12" t="s">
        <v>0</v>
      </c>
      <c r="N36" s="13" t="s">
        <v>1365</v>
      </c>
      <c r="O36" s="11" t="s">
        <v>1326</v>
      </c>
      <c r="P36" s="11" t="s">
        <v>1871</v>
      </c>
      <c r="Q36" s="11" t="s">
        <v>1307</v>
      </c>
      <c r="R36" s="11" t="s">
        <v>1882</v>
      </c>
      <c r="S36" s="11" t="s">
        <v>1307</v>
      </c>
      <c r="T36" s="11" t="s">
        <v>1307</v>
      </c>
      <c r="U36" s="11" t="s">
        <v>1890</v>
      </c>
      <c r="V36" s="11" t="s">
        <v>1897</v>
      </c>
      <c r="W36" s="11" t="s">
        <v>0</v>
      </c>
      <c r="X36" s="11" t="s">
        <v>0</v>
      </c>
      <c r="Y36" s="11" t="s">
        <v>0</v>
      </c>
      <c r="Z36" s="11" t="s">
        <v>0</v>
      </c>
      <c r="AA36" s="11" t="s">
        <v>0</v>
      </c>
      <c r="AB36" s="11" t="s">
        <v>0</v>
      </c>
      <c r="AC36" s="11" t="s">
        <v>0</v>
      </c>
      <c r="AD36" s="11" t="s">
        <v>0</v>
      </c>
      <c r="AE36" s="11" t="s">
        <v>13</v>
      </c>
    </row>
    <row r="37">
      <c r="B37" s="24" t="s">
        <v>1</v>
      </c>
      <c r="C37" s="12" t="s">
        <v>44</v>
      </c>
      <c r="D37" s="11" t="s">
        <v>604</v>
      </c>
      <c r="E37" s="11" t="s">
        <v>1139</v>
      </c>
      <c r="F37" s="12" t="s">
        <v>1</v>
      </c>
      <c r="G37" s="12" t="s">
        <v>1302</v>
      </c>
      <c r="H37" s="12" t="s">
        <v>1302</v>
      </c>
      <c r="I37" s="12" t="s">
        <v>1312</v>
      </c>
      <c r="J37" s="12" t="s">
        <v>1317</v>
      </c>
      <c r="K37" s="12" t="s">
        <v>1327</v>
      </c>
      <c r="L37" s="12" t="s">
        <v>1303</v>
      </c>
      <c r="M37" s="12" t="s">
        <v>0</v>
      </c>
      <c r="N37" s="13" t="s">
        <v>1366</v>
      </c>
      <c r="O37" s="11" t="s">
        <v>1326</v>
      </c>
      <c r="P37" s="11" t="s">
        <v>1871</v>
      </c>
      <c r="Q37" s="11" t="s">
        <v>1307</v>
      </c>
      <c r="R37" s="11" t="s">
        <v>1882</v>
      </c>
      <c r="S37" s="11" t="s">
        <v>1307</v>
      </c>
      <c r="T37" s="11" t="s">
        <v>1307</v>
      </c>
      <c r="U37" s="11" t="s">
        <v>1890</v>
      </c>
      <c r="V37" s="11" t="s">
        <v>1897</v>
      </c>
      <c r="W37" s="11" t="s">
        <v>1927</v>
      </c>
      <c r="X37" s="11" t="s">
        <v>0</v>
      </c>
      <c r="Y37" s="11" t="s">
        <v>0</v>
      </c>
      <c r="Z37" s="11" t="s">
        <v>0</v>
      </c>
      <c r="AA37" s="11" t="s">
        <v>0</v>
      </c>
      <c r="AB37" s="11" t="s">
        <v>0</v>
      </c>
      <c r="AC37" s="11" t="s">
        <v>0</v>
      </c>
      <c r="AD37" s="11" t="s">
        <v>2023</v>
      </c>
      <c r="AE37" s="11" t="s">
        <v>13</v>
      </c>
    </row>
    <row r="38">
      <c r="B38" s="24" t="s">
        <v>3</v>
      </c>
      <c r="C38" s="12" t="s">
        <v>45</v>
      </c>
      <c r="D38" s="11" t="s">
        <v>605</v>
      </c>
      <c r="E38" s="11" t="s">
        <v>1140</v>
      </c>
      <c r="F38" s="12" t="s">
        <v>3</v>
      </c>
      <c r="G38" s="12" t="s">
        <v>1302</v>
      </c>
      <c r="H38" s="12" t="s">
        <v>1302</v>
      </c>
      <c r="I38" s="12" t="s">
        <v>1311</v>
      </c>
      <c r="J38" s="12" t="s">
        <v>1317</v>
      </c>
      <c r="K38" s="12" t="s">
        <v>1326</v>
      </c>
      <c r="L38" s="12" t="s">
        <v>1303</v>
      </c>
      <c r="M38" s="12" t="s">
        <v>0</v>
      </c>
      <c r="N38" s="13" t="s">
        <v>1367</v>
      </c>
      <c r="O38" s="11" t="s">
        <v>1326</v>
      </c>
      <c r="P38" s="11" t="s">
        <v>1872</v>
      </c>
      <c r="Q38" s="11" t="s">
        <v>1307</v>
      </c>
      <c r="R38" s="11" t="s">
        <v>1882</v>
      </c>
      <c r="S38" s="11" t="s">
        <v>1307</v>
      </c>
      <c r="T38" s="11" t="s">
        <v>1307</v>
      </c>
      <c r="U38" s="11" t="s">
        <v>1890</v>
      </c>
      <c r="V38" s="11" t="s">
        <v>1897</v>
      </c>
      <c r="W38" s="11" t="s">
        <v>0</v>
      </c>
      <c r="X38" s="11" t="s">
        <v>0</v>
      </c>
      <c r="Y38" s="11" t="s">
        <v>0</v>
      </c>
      <c r="Z38" s="11" t="s">
        <v>0</v>
      </c>
      <c r="AA38" s="11" t="s">
        <v>0</v>
      </c>
      <c r="AB38" s="11" t="s">
        <v>0</v>
      </c>
      <c r="AC38" s="11" t="s">
        <v>0</v>
      </c>
      <c r="AD38" s="11" t="s">
        <v>2024</v>
      </c>
      <c r="AE38" s="11" t="s">
        <v>13</v>
      </c>
    </row>
    <row r="39">
      <c r="B39" s="24" t="s">
        <v>1</v>
      </c>
      <c r="C39" s="12" t="s">
        <v>46</v>
      </c>
      <c r="D39" s="11" t="s">
        <v>606</v>
      </c>
      <c r="E39" s="11" t="s">
        <v>1141</v>
      </c>
      <c r="F39" s="12" t="s">
        <v>1</v>
      </c>
      <c r="G39" s="12" t="s">
        <v>1302</v>
      </c>
      <c r="H39" s="12" t="s">
        <v>1302</v>
      </c>
      <c r="I39" s="12" t="s">
        <v>1310</v>
      </c>
      <c r="J39" s="12" t="s">
        <v>1316</v>
      </c>
      <c r="K39" s="12" t="s">
        <v>1330</v>
      </c>
      <c r="L39" s="12" t="s">
        <v>1303</v>
      </c>
      <c r="M39" s="12" t="s">
        <v>0</v>
      </c>
      <c r="N39" s="13" t="s">
        <v>1368</v>
      </c>
      <c r="O39" s="11" t="s">
        <v>1326</v>
      </c>
      <c r="P39" s="11" t="s">
        <v>1869</v>
      </c>
      <c r="Q39" s="11" t="s">
        <v>1307</v>
      </c>
      <c r="R39" s="11" t="s">
        <v>1882</v>
      </c>
      <c r="S39" s="11" t="s">
        <v>1307</v>
      </c>
      <c r="T39" s="11" t="s">
        <v>1307</v>
      </c>
      <c r="U39" s="11" t="s">
        <v>1890</v>
      </c>
      <c r="V39" s="11" t="s">
        <v>1899</v>
      </c>
      <c r="W39" s="11" t="s">
        <v>1897</v>
      </c>
      <c r="X39" s="11" t="s">
        <v>0</v>
      </c>
      <c r="Y39" s="11" t="s">
        <v>0</v>
      </c>
      <c r="Z39" s="11" t="s">
        <v>0</v>
      </c>
      <c r="AA39" s="11" t="s">
        <v>0</v>
      </c>
      <c r="AB39" s="11" t="s">
        <v>0</v>
      </c>
      <c r="AC39" s="11" t="s">
        <v>0</v>
      </c>
      <c r="AD39" s="11" t="s">
        <v>2025</v>
      </c>
      <c r="AE39" s="11" t="s">
        <v>13</v>
      </c>
    </row>
    <row r="40">
      <c r="B40" s="24" t="s">
        <v>7</v>
      </c>
      <c r="C40" s="12" t="s">
        <v>47</v>
      </c>
      <c r="D40" s="11" t="s">
        <v>607</v>
      </c>
      <c r="E40" s="11" t="s">
        <v>1141</v>
      </c>
      <c r="F40" s="12" t="s">
        <v>7</v>
      </c>
      <c r="G40" s="12" t="s">
        <v>1302</v>
      </c>
      <c r="H40" s="12" t="s">
        <v>1302</v>
      </c>
      <c r="I40" s="12" t="s">
        <v>1310</v>
      </c>
      <c r="J40" s="12" t="s">
        <v>1316</v>
      </c>
      <c r="K40" s="12" t="s">
        <v>1330</v>
      </c>
      <c r="L40" s="12" t="s">
        <v>1303</v>
      </c>
      <c r="M40" s="12" t="s">
        <v>0</v>
      </c>
      <c r="N40" s="13" t="s">
        <v>1369</v>
      </c>
      <c r="O40" s="11" t="s">
        <v>1326</v>
      </c>
      <c r="P40" s="11" t="s">
        <v>1867</v>
      </c>
      <c r="Q40" s="11" t="s">
        <v>1307</v>
      </c>
      <c r="R40" s="11" t="s">
        <v>1882</v>
      </c>
      <c r="S40" s="11" t="s">
        <v>1307</v>
      </c>
      <c r="T40" s="11" t="s">
        <v>1307</v>
      </c>
      <c r="U40" s="11" t="s">
        <v>1892</v>
      </c>
      <c r="V40" s="11" t="s">
        <v>1897</v>
      </c>
      <c r="W40" s="11" t="s">
        <v>0</v>
      </c>
      <c r="X40" s="11" t="s">
        <v>0</v>
      </c>
      <c r="Y40" s="11" t="s">
        <v>0</v>
      </c>
      <c r="Z40" s="11" t="s">
        <v>0</v>
      </c>
      <c r="AA40" s="11" t="s">
        <v>0</v>
      </c>
      <c r="AB40" s="11" t="s">
        <v>0</v>
      </c>
      <c r="AC40" s="11" t="s">
        <v>0</v>
      </c>
      <c r="AD40" s="11" t="s">
        <v>2026</v>
      </c>
      <c r="AE40" s="11" t="s">
        <v>13</v>
      </c>
    </row>
    <row r="41">
      <c r="B41" s="24" t="s">
        <v>6</v>
      </c>
      <c r="C41" s="12" t="s">
        <v>48</v>
      </c>
      <c r="D41" s="11" t="s">
        <v>608</v>
      </c>
      <c r="E41" s="11" t="s">
        <v>1141</v>
      </c>
      <c r="F41" s="12" t="s">
        <v>6</v>
      </c>
      <c r="G41" s="12" t="s">
        <v>1302</v>
      </c>
      <c r="H41" s="12" t="s">
        <v>1302</v>
      </c>
      <c r="I41" s="12" t="s">
        <v>1310</v>
      </c>
      <c r="J41" s="12" t="s">
        <v>1316</v>
      </c>
      <c r="K41" s="12" t="s">
        <v>1330</v>
      </c>
      <c r="L41" s="12" t="s">
        <v>1303</v>
      </c>
      <c r="M41" s="12" t="s">
        <v>0</v>
      </c>
      <c r="N41" s="13" t="s">
        <v>1370</v>
      </c>
      <c r="O41" s="11" t="s">
        <v>1326</v>
      </c>
      <c r="P41" s="11" t="s">
        <v>1867</v>
      </c>
      <c r="Q41" s="11" t="s">
        <v>1307</v>
      </c>
      <c r="R41" s="11" t="s">
        <v>1882</v>
      </c>
      <c r="S41" s="11" t="s">
        <v>1307</v>
      </c>
      <c r="T41" s="11" t="s">
        <v>1307</v>
      </c>
      <c r="U41" s="11" t="s">
        <v>1891</v>
      </c>
      <c r="V41" s="11" t="s">
        <v>1897</v>
      </c>
      <c r="W41" s="11" t="s">
        <v>1928</v>
      </c>
      <c r="X41" s="11" t="s">
        <v>0</v>
      </c>
      <c r="Y41" s="11" t="s">
        <v>0</v>
      </c>
      <c r="Z41" s="11" t="s">
        <v>0</v>
      </c>
      <c r="AA41" s="11" t="s">
        <v>0</v>
      </c>
      <c r="AB41" s="11" t="s">
        <v>0</v>
      </c>
      <c r="AC41" s="11" t="s">
        <v>0</v>
      </c>
      <c r="AD41" s="11" t="s">
        <v>2027</v>
      </c>
      <c r="AE41" s="11" t="s">
        <v>13</v>
      </c>
    </row>
    <row r="42">
      <c r="B42" s="24" t="s">
        <v>1</v>
      </c>
      <c r="C42" s="12" t="s">
        <v>49</v>
      </c>
      <c r="D42" s="11" t="s">
        <v>609</v>
      </c>
      <c r="E42" s="11" t="s">
        <v>1142</v>
      </c>
      <c r="F42" s="12" t="s">
        <v>1272</v>
      </c>
      <c r="G42" s="12" t="s">
        <v>1302</v>
      </c>
      <c r="H42" s="12" t="s">
        <v>1302</v>
      </c>
      <c r="I42" s="12" t="s">
        <v>1312</v>
      </c>
      <c r="J42" s="12" t="s">
        <v>1317</v>
      </c>
      <c r="K42" s="12" t="s">
        <v>1331</v>
      </c>
      <c r="L42" s="12" t="s">
        <v>1303</v>
      </c>
      <c r="M42" s="12" t="s">
        <v>0</v>
      </c>
      <c r="N42" s="13" t="s">
        <v>1371</v>
      </c>
      <c r="O42" s="11" t="s">
        <v>1326</v>
      </c>
      <c r="P42" s="11" t="s">
        <v>1869</v>
      </c>
      <c r="Q42" s="11" t="s">
        <v>1306</v>
      </c>
      <c r="R42" s="11" t="s">
        <v>1883</v>
      </c>
      <c r="S42" s="11" t="s">
        <v>0</v>
      </c>
      <c r="T42" s="11" t="s">
        <v>1307</v>
      </c>
      <c r="U42" s="11" t="s">
        <v>1888</v>
      </c>
      <c r="V42" s="11" t="s">
        <v>1902</v>
      </c>
      <c r="W42" s="11" t="s">
        <v>0</v>
      </c>
      <c r="X42" s="11" t="s">
        <v>0</v>
      </c>
      <c r="Y42" s="11" t="s">
        <v>0</v>
      </c>
      <c r="Z42" s="11" t="s">
        <v>1960</v>
      </c>
      <c r="AA42" s="11" t="s">
        <v>1960</v>
      </c>
      <c r="AB42" s="11" t="s">
        <v>2003</v>
      </c>
      <c r="AC42" s="11" t="s">
        <v>67</v>
      </c>
      <c r="AD42" s="11" t="s">
        <v>2028</v>
      </c>
      <c r="AE42" s="11" t="s">
        <v>13</v>
      </c>
    </row>
    <row r="43">
      <c r="B43" s="24" t="s">
        <v>2</v>
      </c>
      <c r="C43" s="12" t="s">
        <v>50</v>
      </c>
      <c r="D43" s="11" t="s">
        <v>610</v>
      </c>
      <c r="E43" s="11" t="s">
        <v>1143</v>
      </c>
      <c r="F43" s="12" t="s">
        <v>2</v>
      </c>
      <c r="G43" s="12" t="s">
        <v>1302</v>
      </c>
      <c r="H43" s="12" t="s">
        <v>1302</v>
      </c>
      <c r="I43" s="12" t="s">
        <v>1312</v>
      </c>
      <c r="J43" s="12" t="s">
        <v>1317</v>
      </c>
      <c r="K43" s="12" t="s">
        <v>1328</v>
      </c>
      <c r="L43" s="12" t="s">
        <v>1303</v>
      </c>
      <c r="M43" s="12" t="s">
        <v>0</v>
      </c>
      <c r="N43" s="13" t="s">
        <v>1372</v>
      </c>
      <c r="O43" s="11" t="s">
        <v>1326</v>
      </c>
      <c r="P43" s="11" t="s">
        <v>1869</v>
      </c>
      <c r="Q43" s="11" t="s">
        <v>1307</v>
      </c>
      <c r="R43" s="11" t="s">
        <v>1882</v>
      </c>
      <c r="S43" s="11" t="s">
        <v>1307</v>
      </c>
      <c r="T43" s="11" t="s">
        <v>1307</v>
      </c>
      <c r="U43" s="11" t="s">
        <v>1892</v>
      </c>
      <c r="V43" s="11" t="s">
        <v>1897</v>
      </c>
      <c r="W43" s="11" t="s">
        <v>0</v>
      </c>
      <c r="X43" s="11" t="s">
        <v>0</v>
      </c>
      <c r="Y43" s="11" t="s">
        <v>0</v>
      </c>
      <c r="Z43" s="11" t="s">
        <v>0</v>
      </c>
      <c r="AA43" s="11" t="s">
        <v>0</v>
      </c>
      <c r="AB43" s="11" t="s">
        <v>0</v>
      </c>
      <c r="AC43" s="11" t="s">
        <v>0</v>
      </c>
      <c r="AD43" s="11" t="s">
        <v>2029</v>
      </c>
      <c r="AE43" s="11" t="s">
        <v>13</v>
      </c>
    </row>
    <row r="44">
      <c r="B44" s="24" t="s">
        <v>1</v>
      </c>
      <c r="C44" s="12" t="s">
        <v>51</v>
      </c>
      <c r="D44" s="11" t="s">
        <v>611</v>
      </c>
      <c r="E44" s="11" t="s">
        <v>1144</v>
      </c>
      <c r="F44" s="12" t="s">
        <v>1</v>
      </c>
      <c r="G44" s="12" t="s">
        <v>1302</v>
      </c>
      <c r="H44" s="12" t="s">
        <v>1302</v>
      </c>
      <c r="I44" s="12" t="s">
        <v>1312</v>
      </c>
      <c r="J44" s="12" t="s">
        <v>1317</v>
      </c>
      <c r="K44" s="12" t="s">
        <v>1331</v>
      </c>
      <c r="L44" s="12" t="s">
        <v>1303</v>
      </c>
      <c r="M44" s="12" t="s">
        <v>0</v>
      </c>
      <c r="N44" s="13" t="s">
        <v>1373</v>
      </c>
      <c r="O44" s="11" t="s">
        <v>1326</v>
      </c>
      <c r="P44" s="11" t="s">
        <v>1871</v>
      </c>
      <c r="Q44" s="11" t="s">
        <v>1306</v>
      </c>
      <c r="R44" s="11" t="s">
        <v>1882</v>
      </c>
      <c r="S44" s="11" t="s">
        <v>1306</v>
      </c>
      <c r="T44" s="11" t="s">
        <v>1307</v>
      </c>
      <c r="U44" s="11" t="s">
        <v>1888</v>
      </c>
      <c r="V44" s="11" t="s">
        <v>1899</v>
      </c>
      <c r="W44" s="11" t="s">
        <v>0</v>
      </c>
      <c r="X44" s="11" t="s">
        <v>0</v>
      </c>
      <c r="Y44" s="11" t="s">
        <v>0</v>
      </c>
      <c r="Z44" s="11" t="s">
        <v>1961</v>
      </c>
      <c r="AA44" s="11" t="s">
        <v>1961</v>
      </c>
      <c r="AB44" s="11" t="s">
        <v>2003</v>
      </c>
      <c r="AC44" s="11" t="s">
        <v>84</v>
      </c>
      <c r="AD44" s="11" t="s">
        <v>2030</v>
      </c>
      <c r="AE44" s="11" t="s">
        <v>13</v>
      </c>
    </row>
    <row r="45">
      <c r="B45" s="24" t="s">
        <v>1</v>
      </c>
      <c r="C45" s="12" t="s">
        <v>52</v>
      </c>
      <c r="D45" s="11" t="s">
        <v>612</v>
      </c>
      <c r="E45" s="11" t="s">
        <v>1145</v>
      </c>
      <c r="F45" s="12" t="s">
        <v>1</v>
      </c>
      <c r="G45" s="12" t="s">
        <v>1302</v>
      </c>
      <c r="H45" s="12" t="s">
        <v>1302</v>
      </c>
      <c r="I45" s="12" t="s">
        <v>1312</v>
      </c>
      <c r="J45" s="12" t="s">
        <v>1317</v>
      </c>
      <c r="K45" s="12" t="s">
        <v>1331</v>
      </c>
      <c r="L45" s="12" t="s">
        <v>1303</v>
      </c>
      <c r="M45" s="12" t="s">
        <v>0</v>
      </c>
      <c r="N45" s="13" t="s">
        <v>1374</v>
      </c>
      <c r="O45" s="11" t="s">
        <v>1326</v>
      </c>
      <c r="P45" s="11" t="s">
        <v>1871</v>
      </c>
      <c r="Q45" s="11" t="s">
        <v>1306</v>
      </c>
      <c r="R45" s="11" t="s">
        <v>1882</v>
      </c>
      <c r="S45" s="11" t="s">
        <v>0</v>
      </c>
      <c r="T45" s="11" t="s">
        <v>1306</v>
      </c>
      <c r="U45" s="11" t="s">
        <v>0</v>
      </c>
      <c r="V45" s="11" t="s">
        <v>0</v>
      </c>
      <c r="W45" s="11" t="s">
        <v>0</v>
      </c>
      <c r="X45" s="11" t="s">
        <v>0</v>
      </c>
      <c r="Y45" s="11" t="s">
        <v>0</v>
      </c>
      <c r="Z45" s="11" t="s">
        <v>0</v>
      </c>
      <c r="AA45" s="11" t="s">
        <v>0</v>
      </c>
      <c r="AB45" s="11" t="s">
        <v>0</v>
      </c>
      <c r="AC45" s="11" t="s">
        <v>0</v>
      </c>
      <c r="AD45" s="11" t="s">
        <v>2031</v>
      </c>
      <c r="AE45" s="11" t="s">
        <v>2090</v>
      </c>
    </row>
    <row r="46">
      <c r="B46" s="24" t="s">
        <v>1</v>
      </c>
      <c r="C46" s="12" t="s">
        <v>53</v>
      </c>
      <c r="D46" s="11" t="s">
        <v>613</v>
      </c>
      <c r="E46" s="11" t="s">
        <v>1146</v>
      </c>
      <c r="F46" s="12" t="s">
        <v>1</v>
      </c>
      <c r="G46" s="12" t="s">
        <v>1302</v>
      </c>
      <c r="H46" s="12" t="s">
        <v>1302</v>
      </c>
      <c r="I46" s="12" t="s">
        <v>1312</v>
      </c>
      <c r="J46" s="12" t="s">
        <v>1317</v>
      </c>
      <c r="K46" s="12" t="s">
        <v>1328</v>
      </c>
      <c r="L46" s="12" t="s">
        <v>1303</v>
      </c>
      <c r="M46" s="12" t="s">
        <v>0</v>
      </c>
      <c r="N46" s="13" t="s">
        <v>1375</v>
      </c>
      <c r="O46" s="11" t="s">
        <v>1326</v>
      </c>
      <c r="P46" s="11" t="s">
        <v>1871</v>
      </c>
      <c r="Q46" s="11" t="s">
        <v>1307</v>
      </c>
      <c r="R46" s="11" t="s">
        <v>1882</v>
      </c>
      <c r="S46" s="11" t="s">
        <v>1307</v>
      </c>
      <c r="T46" s="11" t="s">
        <v>1307</v>
      </c>
      <c r="U46" s="11" t="s">
        <v>1890</v>
      </c>
      <c r="V46" s="11" t="s">
        <v>1903</v>
      </c>
      <c r="W46" s="11" t="s">
        <v>1897</v>
      </c>
      <c r="X46" s="11" t="s">
        <v>0</v>
      </c>
      <c r="Y46" s="11" t="s">
        <v>0</v>
      </c>
      <c r="Z46" s="11" t="s">
        <v>0</v>
      </c>
      <c r="AA46" s="11" t="s">
        <v>0</v>
      </c>
      <c r="AB46" s="11" t="s">
        <v>0</v>
      </c>
      <c r="AC46" s="11" t="s">
        <v>0</v>
      </c>
      <c r="AD46" s="11" t="s">
        <v>2032</v>
      </c>
      <c r="AE46" s="11" t="s">
        <v>13</v>
      </c>
    </row>
    <row r="47">
      <c r="B47" s="24" t="s">
        <v>1</v>
      </c>
      <c r="C47" s="12" t="s">
        <v>54</v>
      </c>
      <c r="D47" s="11" t="s">
        <v>614</v>
      </c>
      <c r="E47" s="11" t="s">
        <v>1147</v>
      </c>
      <c r="F47" s="12" t="s">
        <v>1275</v>
      </c>
      <c r="G47" s="12" t="s">
        <v>1302</v>
      </c>
      <c r="H47" s="12" t="s">
        <v>1302</v>
      </c>
      <c r="I47" s="12" t="s">
        <v>1312</v>
      </c>
      <c r="J47" s="12" t="s">
        <v>1317</v>
      </c>
      <c r="K47" s="12" t="s">
        <v>1331</v>
      </c>
      <c r="L47" s="12" t="s">
        <v>1303</v>
      </c>
      <c r="M47" s="12" t="s">
        <v>0</v>
      </c>
      <c r="N47" s="13" t="s">
        <v>1376</v>
      </c>
      <c r="O47" s="11" t="s">
        <v>1326</v>
      </c>
      <c r="P47" s="11" t="s">
        <v>1871</v>
      </c>
      <c r="Q47" s="11" t="s">
        <v>1307</v>
      </c>
      <c r="R47" s="11" t="s">
        <v>1882</v>
      </c>
      <c r="S47" s="11" t="s">
        <v>1307</v>
      </c>
      <c r="T47" s="11" t="s">
        <v>1307</v>
      </c>
      <c r="U47" s="11" t="s">
        <v>1890</v>
      </c>
      <c r="V47" s="11" t="s">
        <v>1899</v>
      </c>
      <c r="W47" s="11" t="s">
        <v>1904</v>
      </c>
      <c r="X47" s="11" t="s">
        <v>1897</v>
      </c>
      <c r="Y47" s="11" t="s">
        <v>0</v>
      </c>
      <c r="Z47" s="11" t="s">
        <v>0</v>
      </c>
      <c r="AA47" s="11" t="s">
        <v>0</v>
      </c>
      <c r="AB47" s="11" t="s">
        <v>0</v>
      </c>
      <c r="AC47" s="11" t="s">
        <v>0</v>
      </c>
      <c r="AD47" s="11" t="s">
        <v>2033</v>
      </c>
      <c r="AE47" s="11" t="s">
        <v>13</v>
      </c>
    </row>
    <row r="48">
      <c r="B48" s="24" t="s">
        <v>1</v>
      </c>
      <c r="C48" s="12" t="s">
        <v>55</v>
      </c>
      <c r="D48" s="11" t="s">
        <v>615</v>
      </c>
      <c r="E48" s="11" t="s">
        <v>1148</v>
      </c>
      <c r="F48" s="12" t="s">
        <v>1276</v>
      </c>
      <c r="G48" s="12" t="s">
        <v>1302</v>
      </c>
      <c r="H48" s="12" t="s">
        <v>1302</v>
      </c>
      <c r="I48" s="12" t="s">
        <v>1312</v>
      </c>
      <c r="J48" s="12" t="s">
        <v>1317</v>
      </c>
      <c r="K48" s="12" t="s">
        <v>1331</v>
      </c>
      <c r="L48" s="12" t="s">
        <v>1303</v>
      </c>
      <c r="M48" s="12" t="s">
        <v>0</v>
      </c>
      <c r="N48" s="13" t="s">
        <v>1377</v>
      </c>
      <c r="O48" s="11" t="s">
        <v>1326</v>
      </c>
      <c r="P48" s="11" t="s">
        <v>1871</v>
      </c>
      <c r="Q48" s="11" t="s">
        <v>1307</v>
      </c>
      <c r="R48" s="11" t="s">
        <v>1882</v>
      </c>
      <c r="S48" s="11" t="s">
        <v>1307</v>
      </c>
      <c r="T48" s="11" t="s">
        <v>1307</v>
      </c>
      <c r="U48" s="11" t="s">
        <v>1890</v>
      </c>
      <c r="V48" s="11" t="s">
        <v>1897</v>
      </c>
      <c r="W48" s="11" t="s">
        <v>0</v>
      </c>
      <c r="X48" s="11" t="s">
        <v>0</v>
      </c>
      <c r="Y48" s="11" t="s">
        <v>0</v>
      </c>
      <c r="Z48" s="11" t="s">
        <v>0</v>
      </c>
      <c r="AA48" s="11" t="s">
        <v>0</v>
      </c>
      <c r="AB48" s="11" t="s">
        <v>0</v>
      </c>
      <c r="AC48" s="11" t="s">
        <v>0</v>
      </c>
      <c r="AD48" s="11" t="s">
        <v>2024</v>
      </c>
      <c r="AE48" s="11" t="s">
        <v>13</v>
      </c>
    </row>
    <row r="49">
      <c r="B49" s="24" t="s">
        <v>1</v>
      </c>
      <c r="C49" s="12" t="s">
        <v>56</v>
      </c>
      <c r="D49" s="11" t="s">
        <v>616</v>
      </c>
      <c r="E49" s="11" t="s">
        <v>1149</v>
      </c>
      <c r="F49" s="12" t="s">
        <v>1</v>
      </c>
      <c r="G49" s="12" t="s">
        <v>1302</v>
      </c>
      <c r="H49" s="12" t="s">
        <v>1302</v>
      </c>
      <c r="I49" s="12" t="s">
        <v>1312</v>
      </c>
      <c r="J49" s="12" t="s">
        <v>1317</v>
      </c>
      <c r="K49" s="12" t="s">
        <v>1328</v>
      </c>
      <c r="L49" s="12" t="s">
        <v>1303</v>
      </c>
      <c r="M49" s="12" t="s">
        <v>0</v>
      </c>
      <c r="N49" s="13" t="s">
        <v>1378</v>
      </c>
      <c r="O49" s="11" t="s">
        <v>1326</v>
      </c>
      <c r="P49" s="11" t="s">
        <v>1871</v>
      </c>
      <c r="Q49" s="11" t="s">
        <v>1307</v>
      </c>
      <c r="R49" s="11" t="s">
        <v>1882</v>
      </c>
      <c r="S49" s="11" t="s">
        <v>1307</v>
      </c>
      <c r="T49" s="11" t="s">
        <v>1307</v>
      </c>
      <c r="U49" s="11" t="s">
        <v>1888</v>
      </c>
      <c r="V49" s="11" t="s">
        <v>1904</v>
      </c>
      <c r="W49" s="11" t="s">
        <v>1897</v>
      </c>
      <c r="X49" s="11" t="s">
        <v>0</v>
      </c>
      <c r="Y49" s="11" t="s">
        <v>0</v>
      </c>
      <c r="Z49" s="11" t="s">
        <v>1964</v>
      </c>
      <c r="AA49" s="11" t="s">
        <v>1964</v>
      </c>
      <c r="AB49" s="11" t="s">
        <v>2003</v>
      </c>
      <c r="AC49" s="11" t="s">
        <v>55</v>
      </c>
      <c r="AD49" s="11" t="s">
        <v>2034</v>
      </c>
      <c r="AE49" s="11" t="s">
        <v>13</v>
      </c>
    </row>
    <row r="50">
      <c r="B50" s="24" t="s">
        <v>5</v>
      </c>
      <c r="C50" s="12" t="s">
        <v>57</v>
      </c>
      <c r="D50" s="11" t="s">
        <v>617</v>
      </c>
      <c r="E50" s="11" t="s">
        <v>1150</v>
      </c>
      <c r="F50" s="12" t="s">
        <v>5</v>
      </c>
      <c r="G50" s="12" t="s">
        <v>1302</v>
      </c>
      <c r="H50" s="12" t="s">
        <v>1302</v>
      </c>
      <c r="I50" s="12" t="s">
        <v>1312</v>
      </c>
      <c r="J50" s="12" t="s">
        <v>1317</v>
      </c>
      <c r="K50" s="12" t="s">
        <v>1331</v>
      </c>
      <c r="L50" s="12" t="s">
        <v>1303</v>
      </c>
      <c r="M50" s="12" t="s">
        <v>0</v>
      </c>
      <c r="N50" s="13" t="s">
        <v>1379</v>
      </c>
      <c r="O50" s="11" t="s">
        <v>1326</v>
      </c>
      <c r="P50" s="11" t="s">
        <v>1871</v>
      </c>
      <c r="Q50" s="11" t="s">
        <v>1306</v>
      </c>
      <c r="R50" s="11" t="s">
        <v>1882</v>
      </c>
      <c r="S50" s="11" t="s">
        <v>0</v>
      </c>
      <c r="T50" s="11" t="s">
        <v>1306</v>
      </c>
      <c r="U50" s="11" t="s">
        <v>0</v>
      </c>
      <c r="V50" s="11" t="s">
        <v>0</v>
      </c>
      <c r="W50" s="11" t="s">
        <v>0</v>
      </c>
      <c r="X50" s="11" t="s">
        <v>0</v>
      </c>
      <c r="Y50" s="11" t="s">
        <v>0</v>
      </c>
      <c r="Z50" s="11" t="s">
        <v>0</v>
      </c>
      <c r="AA50" s="11" t="s">
        <v>0</v>
      </c>
      <c r="AB50" s="11" t="s">
        <v>0</v>
      </c>
      <c r="AC50" s="11" t="s">
        <v>0</v>
      </c>
      <c r="AD50" s="11" t="s">
        <v>0</v>
      </c>
      <c r="AE50" s="11" t="s">
        <v>2090</v>
      </c>
    </row>
    <row r="51">
      <c r="B51" s="24" t="s">
        <v>1</v>
      </c>
      <c r="C51" s="12" t="s">
        <v>58</v>
      </c>
      <c r="D51" s="11" t="s">
        <v>618</v>
      </c>
      <c r="E51" s="11" t="s">
        <v>1151</v>
      </c>
      <c r="F51" s="12" t="s">
        <v>1</v>
      </c>
      <c r="G51" s="12" t="s">
        <v>1302</v>
      </c>
      <c r="H51" s="12" t="s">
        <v>1302</v>
      </c>
      <c r="I51" s="12" t="s">
        <v>1312</v>
      </c>
      <c r="J51" s="12" t="s">
        <v>1318</v>
      </c>
      <c r="K51" s="12" t="s">
        <v>1326</v>
      </c>
      <c r="L51" s="12" t="s">
        <v>1303</v>
      </c>
      <c r="M51" s="12" t="s">
        <v>0</v>
      </c>
      <c r="N51" s="13" t="s">
        <v>1380</v>
      </c>
      <c r="O51" s="11" t="s">
        <v>1326</v>
      </c>
      <c r="P51" s="11" t="s">
        <v>1871</v>
      </c>
      <c r="Q51" s="11" t="s">
        <v>1306</v>
      </c>
      <c r="R51" s="11" t="s">
        <v>1882</v>
      </c>
      <c r="S51" s="11" t="s">
        <v>0</v>
      </c>
      <c r="T51" s="11" t="s">
        <v>1307</v>
      </c>
      <c r="U51" s="11" t="s">
        <v>1888</v>
      </c>
      <c r="V51" s="11" t="s">
        <v>1902</v>
      </c>
      <c r="W51" s="11" t="s">
        <v>0</v>
      </c>
      <c r="X51" s="11" t="s">
        <v>0</v>
      </c>
      <c r="Y51" s="11" t="s">
        <v>0</v>
      </c>
      <c r="Z51" s="11" t="s">
        <v>1961</v>
      </c>
      <c r="AA51" s="11" t="s">
        <v>1961</v>
      </c>
      <c r="AB51" s="11" t="s">
        <v>2003</v>
      </c>
      <c r="AC51" s="11" t="s">
        <v>55</v>
      </c>
      <c r="AD51" s="11" t="s">
        <v>2035</v>
      </c>
      <c r="AE51" s="11" t="s">
        <v>13</v>
      </c>
    </row>
    <row r="52">
      <c r="B52" s="24" t="s">
        <v>1</v>
      </c>
      <c r="C52" s="12" t="s">
        <v>59</v>
      </c>
      <c r="D52" s="11" t="s">
        <v>619</v>
      </c>
      <c r="E52" s="11" t="s">
        <v>1152</v>
      </c>
      <c r="F52" s="12" t="s">
        <v>1273</v>
      </c>
      <c r="G52" s="12" t="s">
        <v>1302</v>
      </c>
      <c r="H52" s="12" t="s">
        <v>1302</v>
      </c>
      <c r="I52" s="12" t="s">
        <v>1312</v>
      </c>
      <c r="J52" s="12" t="s">
        <v>1318</v>
      </c>
      <c r="K52" s="12" t="s">
        <v>1326</v>
      </c>
      <c r="L52" s="12" t="s">
        <v>1303</v>
      </c>
      <c r="M52" s="12" t="s">
        <v>0</v>
      </c>
      <c r="N52" s="13" t="s">
        <v>1381</v>
      </c>
      <c r="O52" s="11" t="s">
        <v>1326</v>
      </c>
      <c r="P52" s="11" t="s">
        <v>1869</v>
      </c>
      <c r="Q52" s="11" t="s">
        <v>1306</v>
      </c>
      <c r="R52" s="11" t="s">
        <v>1882</v>
      </c>
      <c r="S52" s="11" t="s">
        <v>0</v>
      </c>
      <c r="T52" s="11" t="s">
        <v>1307</v>
      </c>
      <c r="U52" s="11" t="s">
        <v>1890</v>
      </c>
      <c r="V52" s="11" t="s">
        <v>1902</v>
      </c>
      <c r="W52" s="11" t="s">
        <v>1908</v>
      </c>
      <c r="X52" s="11" t="s">
        <v>0</v>
      </c>
      <c r="Y52" s="11" t="s">
        <v>0</v>
      </c>
      <c r="Z52" s="11" t="s">
        <v>0</v>
      </c>
      <c r="AA52" s="11" t="s">
        <v>0</v>
      </c>
      <c r="AB52" s="11" t="s">
        <v>0</v>
      </c>
      <c r="AC52" s="11" t="s">
        <v>0</v>
      </c>
      <c r="AD52" s="11" t="s">
        <v>2036</v>
      </c>
      <c r="AE52" s="11" t="s">
        <v>13</v>
      </c>
    </row>
    <row r="53">
      <c r="B53" s="24" t="s">
        <v>1</v>
      </c>
      <c r="C53" s="12" t="s">
        <v>60</v>
      </c>
      <c r="D53" s="11" t="s">
        <v>620</v>
      </c>
      <c r="E53" s="11" t="s">
        <v>1152</v>
      </c>
      <c r="F53" s="12" t="s">
        <v>1273</v>
      </c>
      <c r="G53" s="12" t="s">
        <v>1302</v>
      </c>
      <c r="H53" s="12" t="s">
        <v>1302</v>
      </c>
      <c r="I53" s="12" t="s">
        <v>1312</v>
      </c>
      <c r="J53" s="12" t="s">
        <v>1318</v>
      </c>
      <c r="K53" s="12" t="s">
        <v>1326</v>
      </c>
      <c r="L53" s="12" t="s">
        <v>1303</v>
      </c>
      <c r="M53" s="12" t="s">
        <v>0</v>
      </c>
      <c r="N53" s="13" t="s">
        <v>1382</v>
      </c>
      <c r="O53" s="11" t="s">
        <v>1326</v>
      </c>
      <c r="P53" s="11" t="s">
        <v>1869</v>
      </c>
      <c r="Q53" s="11" t="s">
        <v>1306</v>
      </c>
      <c r="R53" s="11" t="s">
        <v>1882</v>
      </c>
      <c r="S53" s="11" t="s">
        <v>0</v>
      </c>
      <c r="T53" s="11" t="s">
        <v>1307</v>
      </c>
      <c r="U53" s="11" t="s">
        <v>1890</v>
      </c>
      <c r="V53" s="11" t="s">
        <v>1902</v>
      </c>
      <c r="W53" s="11" t="s">
        <v>1908</v>
      </c>
      <c r="X53" s="11" t="s">
        <v>0</v>
      </c>
      <c r="Y53" s="11" t="s">
        <v>0</v>
      </c>
      <c r="Z53" s="11" t="s">
        <v>0</v>
      </c>
      <c r="AA53" s="11" t="s">
        <v>0</v>
      </c>
      <c r="AB53" s="11" t="s">
        <v>0</v>
      </c>
      <c r="AC53" s="11" t="s">
        <v>0</v>
      </c>
      <c r="AD53" s="11" t="s">
        <v>2037</v>
      </c>
      <c r="AE53" s="11" t="s">
        <v>13</v>
      </c>
    </row>
    <row r="54">
      <c r="B54" s="24" t="s">
        <v>1</v>
      </c>
      <c r="C54" s="12" t="s">
        <v>61</v>
      </c>
      <c r="D54" s="11" t="s">
        <v>621</v>
      </c>
      <c r="E54" s="11" t="s">
        <v>1153</v>
      </c>
      <c r="F54" s="12" t="s">
        <v>1273</v>
      </c>
      <c r="G54" s="12" t="s">
        <v>1302</v>
      </c>
      <c r="H54" s="12" t="s">
        <v>1302</v>
      </c>
      <c r="I54" s="12" t="s">
        <v>1312</v>
      </c>
      <c r="J54" s="12" t="s">
        <v>1317</v>
      </c>
      <c r="K54" s="12" t="s">
        <v>1331</v>
      </c>
      <c r="L54" s="12" t="s">
        <v>1303</v>
      </c>
      <c r="M54" s="12" t="s">
        <v>0</v>
      </c>
      <c r="N54" s="13" t="s">
        <v>1383</v>
      </c>
      <c r="O54" s="11" t="s">
        <v>1326</v>
      </c>
      <c r="P54" s="11" t="s">
        <v>1871</v>
      </c>
      <c r="Q54" s="11" t="s">
        <v>1307</v>
      </c>
      <c r="R54" s="11" t="s">
        <v>1882</v>
      </c>
      <c r="S54" s="11" t="s">
        <v>1307</v>
      </c>
      <c r="T54" s="11" t="s">
        <v>1307</v>
      </c>
      <c r="U54" s="11" t="s">
        <v>1890</v>
      </c>
      <c r="V54" s="11" t="s">
        <v>1897</v>
      </c>
      <c r="W54" s="11" t="s">
        <v>0</v>
      </c>
      <c r="X54" s="11" t="s">
        <v>0</v>
      </c>
      <c r="Y54" s="11" t="s">
        <v>0</v>
      </c>
      <c r="Z54" s="11" t="s">
        <v>0</v>
      </c>
      <c r="AA54" s="11" t="s">
        <v>0</v>
      </c>
      <c r="AB54" s="11" t="s">
        <v>0</v>
      </c>
      <c r="AC54" s="11" t="s">
        <v>0</v>
      </c>
      <c r="AD54" s="11" t="s">
        <v>0</v>
      </c>
      <c r="AE54" s="11" t="s">
        <v>13</v>
      </c>
    </row>
    <row r="55">
      <c r="B55" s="24" t="s">
        <v>1</v>
      </c>
      <c r="C55" s="12" t="s">
        <v>62</v>
      </c>
      <c r="D55" s="11" t="s">
        <v>622</v>
      </c>
      <c r="E55" s="11" t="s">
        <v>1154</v>
      </c>
      <c r="F55" s="12" t="s">
        <v>1273</v>
      </c>
      <c r="G55" s="12" t="s">
        <v>1302</v>
      </c>
      <c r="H55" s="12" t="s">
        <v>1302</v>
      </c>
      <c r="I55" s="12" t="s">
        <v>1312</v>
      </c>
      <c r="J55" s="12" t="s">
        <v>1318</v>
      </c>
      <c r="K55" s="12" t="s">
        <v>1326</v>
      </c>
      <c r="L55" s="12" t="s">
        <v>1303</v>
      </c>
      <c r="M55" s="12" t="s">
        <v>0</v>
      </c>
      <c r="N55" s="13" t="s">
        <v>1384</v>
      </c>
      <c r="O55" s="11" t="s">
        <v>1326</v>
      </c>
      <c r="P55" s="11" t="s">
        <v>1871</v>
      </c>
      <c r="Q55" s="11" t="s">
        <v>1306</v>
      </c>
      <c r="R55" s="11" t="s">
        <v>1882</v>
      </c>
      <c r="S55" s="11" t="s">
        <v>0</v>
      </c>
      <c r="T55" s="11" t="s">
        <v>1306</v>
      </c>
      <c r="U55" s="11" t="s">
        <v>0</v>
      </c>
      <c r="V55" s="11" t="s">
        <v>0</v>
      </c>
      <c r="W55" s="11" t="s">
        <v>0</v>
      </c>
      <c r="X55" s="11" t="s">
        <v>0</v>
      </c>
      <c r="Y55" s="11" t="s">
        <v>0</v>
      </c>
      <c r="Z55" s="11" t="s">
        <v>0</v>
      </c>
      <c r="AA55" s="11" t="s">
        <v>0</v>
      </c>
      <c r="AB55" s="11" t="s">
        <v>0</v>
      </c>
      <c r="AC55" s="11" t="s">
        <v>0</v>
      </c>
      <c r="AD55" s="11" t="s">
        <v>0</v>
      </c>
      <c r="AE55" s="11" t="s">
        <v>2090</v>
      </c>
    </row>
    <row r="56">
      <c r="B56" s="24" t="s">
        <v>8</v>
      </c>
      <c r="C56" s="12" t="s">
        <v>63</v>
      </c>
      <c r="D56" s="11" t="s">
        <v>623</v>
      </c>
      <c r="E56" s="11" t="s">
        <v>1155</v>
      </c>
      <c r="F56" s="12" t="s">
        <v>8</v>
      </c>
      <c r="G56" s="12" t="s">
        <v>1302</v>
      </c>
      <c r="H56" s="12" t="s">
        <v>1302</v>
      </c>
      <c r="I56" s="12" t="s">
        <v>1312</v>
      </c>
      <c r="J56" s="12" t="s">
        <v>1317</v>
      </c>
      <c r="K56" s="12" t="s">
        <v>1328</v>
      </c>
      <c r="L56" s="12" t="s">
        <v>1303</v>
      </c>
      <c r="M56" s="12" t="s">
        <v>0</v>
      </c>
      <c r="N56" s="13" t="s">
        <v>1385</v>
      </c>
      <c r="O56" s="11" t="s">
        <v>1326</v>
      </c>
      <c r="P56" s="11" t="s">
        <v>1871</v>
      </c>
      <c r="Q56" s="11" t="s">
        <v>1307</v>
      </c>
      <c r="R56" s="11" t="s">
        <v>1882</v>
      </c>
      <c r="S56" s="11" t="s">
        <v>1307</v>
      </c>
      <c r="T56" s="11" t="s">
        <v>1307</v>
      </c>
      <c r="U56" s="11" t="s">
        <v>1890</v>
      </c>
      <c r="V56" s="11" t="s">
        <v>1902</v>
      </c>
      <c r="W56" s="11" t="s">
        <v>1906</v>
      </c>
      <c r="X56" s="11" t="s">
        <v>1897</v>
      </c>
      <c r="Y56" s="11" t="s">
        <v>1929</v>
      </c>
      <c r="Z56" s="11" t="s">
        <v>0</v>
      </c>
      <c r="AA56" s="11" t="s">
        <v>0</v>
      </c>
      <c r="AB56" s="11" t="s">
        <v>0</v>
      </c>
      <c r="AC56" s="11" t="s">
        <v>0</v>
      </c>
      <c r="AD56" s="11" t="s">
        <v>2038</v>
      </c>
      <c r="AE56" s="11" t="s">
        <v>13</v>
      </c>
    </row>
    <row r="57">
      <c r="B57" s="24" t="s">
        <v>4</v>
      </c>
      <c r="C57" s="12" t="s">
        <v>64</v>
      </c>
      <c r="D57" s="11" t="s">
        <v>624</v>
      </c>
      <c r="E57" s="11" t="s">
        <v>1156</v>
      </c>
      <c r="F57" s="12" t="s">
        <v>4</v>
      </c>
      <c r="G57" s="12" t="s">
        <v>1302</v>
      </c>
      <c r="H57" s="12" t="s">
        <v>1302</v>
      </c>
      <c r="I57" s="12" t="s">
        <v>1312</v>
      </c>
      <c r="J57" s="12" t="s">
        <v>1317</v>
      </c>
      <c r="K57" s="12" t="s">
        <v>1328</v>
      </c>
      <c r="L57" s="12" t="s">
        <v>1303</v>
      </c>
      <c r="M57" s="12" t="s">
        <v>0</v>
      </c>
      <c r="N57" s="13" t="s">
        <v>1386</v>
      </c>
      <c r="O57" s="11" t="s">
        <v>1326</v>
      </c>
      <c r="P57" s="11" t="s">
        <v>1869</v>
      </c>
      <c r="Q57" s="11" t="s">
        <v>1306</v>
      </c>
      <c r="R57" s="11" t="s">
        <v>1882</v>
      </c>
      <c r="S57" s="11" t="s">
        <v>0</v>
      </c>
      <c r="T57" s="11" t="s">
        <v>1307</v>
      </c>
      <c r="U57" s="11" t="s">
        <v>1888</v>
      </c>
      <c r="V57" s="11" t="s">
        <v>1902</v>
      </c>
      <c r="W57" s="11" t="s">
        <v>1903</v>
      </c>
      <c r="X57" s="11" t="s">
        <v>1935</v>
      </c>
      <c r="Y57" s="11" t="s">
        <v>0</v>
      </c>
      <c r="Z57" s="11" t="s">
        <v>1965</v>
      </c>
      <c r="AA57" s="11" t="s">
        <v>1965</v>
      </c>
      <c r="AB57" s="11" t="s">
        <v>2003</v>
      </c>
      <c r="AC57" s="11" t="s">
        <v>70</v>
      </c>
      <c r="AD57" s="11" t="s">
        <v>2039</v>
      </c>
      <c r="AE57" s="11" t="s">
        <v>13</v>
      </c>
    </row>
    <row r="58">
      <c r="B58" s="24" t="s">
        <v>2</v>
      </c>
      <c r="C58" s="12" t="s">
        <v>65</v>
      </c>
      <c r="D58" s="11" t="s">
        <v>625</v>
      </c>
      <c r="E58" s="11" t="s">
        <v>1157</v>
      </c>
      <c r="F58" s="12" t="s">
        <v>2</v>
      </c>
      <c r="G58" s="12" t="s">
        <v>1302</v>
      </c>
      <c r="H58" s="12" t="s">
        <v>1302</v>
      </c>
      <c r="I58" s="12" t="s">
        <v>1312</v>
      </c>
      <c r="J58" s="12" t="s">
        <v>1317</v>
      </c>
      <c r="K58" s="12" t="s">
        <v>1328</v>
      </c>
      <c r="L58" s="12" t="s">
        <v>1303</v>
      </c>
      <c r="M58" s="12" t="s">
        <v>0</v>
      </c>
      <c r="N58" s="13" t="s">
        <v>1387</v>
      </c>
      <c r="O58" s="11" t="s">
        <v>1326</v>
      </c>
      <c r="P58" s="11" t="s">
        <v>1871</v>
      </c>
      <c r="Q58" s="11" t="s">
        <v>1307</v>
      </c>
      <c r="R58" s="11" t="s">
        <v>1882</v>
      </c>
      <c r="S58" s="11" t="s">
        <v>1307</v>
      </c>
      <c r="T58" s="11" t="s">
        <v>1307</v>
      </c>
      <c r="U58" s="11" t="s">
        <v>1890</v>
      </c>
      <c r="V58" s="11" t="s">
        <v>1897</v>
      </c>
      <c r="W58" s="11" t="s">
        <v>0</v>
      </c>
      <c r="X58" s="11" t="s">
        <v>0</v>
      </c>
      <c r="Y58" s="11" t="s">
        <v>0</v>
      </c>
      <c r="Z58" s="11" t="s">
        <v>0</v>
      </c>
      <c r="AA58" s="11" t="s">
        <v>0</v>
      </c>
      <c r="AB58" s="11" t="s">
        <v>0</v>
      </c>
      <c r="AC58" s="11" t="s">
        <v>0</v>
      </c>
      <c r="AD58" s="11" t="s">
        <v>0</v>
      </c>
      <c r="AE58" s="11" t="s">
        <v>13</v>
      </c>
    </row>
    <row r="59">
      <c r="B59" s="24" t="s">
        <v>1</v>
      </c>
      <c r="C59" s="12" t="s">
        <v>66</v>
      </c>
      <c r="D59" s="11" t="s">
        <v>626</v>
      </c>
      <c r="E59" s="11" t="s">
        <v>1158</v>
      </c>
      <c r="F59" s="12" t="s">
        <v>1277</v>
      </c>
      <c r="G59" s="12" t="s">
        <v>1302</v>
      </c>
      <c r="H59" s="12" t="s">
        <v>1302</v>
      </c>
      <c r="I59" s="12" t="s">
        <v>1312</v>
      </c>
      <c r="J59" s="12" t="s">
        <v>1317</v>
      </c>
      <c r="K59" s="12" t="s">
        <v>1328</v>
      </c>
      <c r="L59" s="12" t="s">
        <v>1303</v>
      </c>
      <c r="M59" s="12" t="s">
        <v>0</v>
      </c>
      <c r="N59" s="13" t="s">
        <v>1388</v>
      </c>
      <c r="O59" s="11" t="s">
        <v>1326</v>
      </c>
      <c r="P59" s="11" t="s">
        <v>1871</v>
      </c>
      <c r="Q59" s="11" t="s">
        <v>1306</v>
      </c>
      <c r="R59" s="11" t="s">
        <v>1882</v>
      </c>
      <c r="S59" s="11" t="s">
        <v>0</v>
      </c>
      <c r="T59" s="11" t="s">
        <v>1306</v>
      </c>
      <c r="U59" s="11" t="s">
        <v>0</v>
      </c>
      <c r="V59" s="11" t="s">
        <v>0</v>
      </c>
      <c r="W59" s="11" t="s">
        <v>0</v>
      </c>
      <c r="X59" s="11" t="s">
        <v>0</v>
      </c>
      <c r="Y59" s="11" t="s">
        <v>0</v>
      </c>
      <c r="Z59" s="11" t="s">
        <v>0</v>
      </c>
      <c r="AA59" s="11" t="s">
        <v>0</v>
      </c>
      <c r="AB59" s="11" t="s">
        <v>0</v>
      </c>
      <c r="AC59" s="11" t="s">
        <v>0</v>
      </c>
      <c r="AD59" s="11" t="s">
        <v>0</v>
      </c>
      <c r="AE59" s="11" t="s">
        <v>2090</v>
      </c>
    </row>
    <row r="60">
      <c r="B60" s="24" t="s">
        <v>1</v>
      </c>
      <c r="C60" s="12" t="s">
        <v>67</v>
      </c>
      <c r="D60" s="11" t="s">
        <v>627</v>
      </c>
      <c r="E60" s="11" t="s">
        <v>1159</v>
      </c>
      <c r="F60" s="12" t="s">
        <v>1278</v>
      </c>
      <c r="G60" s="12" t="s">
        <v>1302</v>
      </c>
      <c r="H60" s="12" t="s">
        <v>1302</v>
      </c>
      <c r="I60" s="12" t="s">
        <v>1312</v>
      </c>
      <c r="J60" s="12" t="s">
        <v>1317</v>
      </c>
      <c r="K60" s="12" t="s">
        <v>1331</v>
      </c>
      <c r="L60" s="12" t="s">
        <v>1303</v>
      </c>
      <c r="M60" s="12" t="s">
        <v>0</v>
      </c>
      <c r="N60" s="13" t="s">
        <v>1389</v>
      </c>
      <c r="O60" s="11" t="s">
        <v>1326</v>
      </c>
      <c r="P60" s="11" t="s">
        <v>1871</v>
      </c>
      <c r="Q60" s="11" t="s">
        <v>1306</v>
      </c>
      <c r="R60" s="11" t="s">
        <v>1882</v>
      </c>
      <c r="S60" s="11" t="s">
        <v>0</v>
      </c>
      <c r="T60" s="11" t="s">
        <v>1306</v>
      </c>
      <c r="U60" s="11" t="s">
        <v>0</v>
      </c>
      <c r="V60" s="11" t="s">
        <v>0</v>
      </c>
      <c r="W60" s="11" t="s">
        <v>0</v>
      </c>
      <c r="X60" s="11" t="s">
        <v>0</v>
      </c>
      <c r="Y60" s="11" t="s">
        <v>0</v>
      </c>
      <c r="Z60" s="11" t="s">
        <v>0</v>
      </c>
      <c r="AA60" s="11" t="s">
        <v>0</v>
      </c>
      <c r="AB60" s="11" t="s">
        <v>0</v>
      </c>
      <c r="AC60" s="11" t="s">
        <v>0</v>
      </c>
      <c r="AD60" s="11" t="s">
        <v>0</v>
      </c>
      <c r="AE60" s="11" t="s">
        <v>2090</v>
      </c>
    </row>
    <row r="61">
      <c r="B61" s="24" t="s">
        <v>5</v>
      </c>
      <c r="C61" s="12" t="s">
        <v>68</v>
      </c>
      <c r="D61" s="11" t="s">
        <v>628</v>
      </c>
      <c r="E61" s="11" t="s">
        <v>1160</v>
      </c>
      <c r="F61" s="12" t="s">
        <v>5</v>
      </c>
      <c r="G61" s="12" t="s">
        <v>1302</v>
      </c>
      <c r="H61" s="12" t="s">
        <v>1302</v>
      </c>
      <c r="I61" s="12" t="s">
        <v>1311</v>
      </c>
      <c r="J61" s="12" t="s">
        <v>1319</v>
      </c>
      <c r="K61" s="12" t="s">
        <v>1326</v>
      </c>
      <c r="L61" s="12" t="s">
        <v>1303</v>
      </c>
      <c r="M61" s="12" t="s">
        <v>0</v>
      </c>
      <c r="N61" s="13" t="s">
        <v>1390</v>
      </c>
      <c r="O61" s="11" t="s">
        <v>1326</v>
      </c>
      <c r="P61" s="11" t="s">
        <v>1871</v>
      </c>
      <c r="Q61" s="11" t="s">
        <v>1306</v>
      </c>
      <c r="R61" s="11" t="s">
        <v>1882</v>
      </c>
      <c r="S61" s="11" t="s">
        <v>0</v>
      </c>
      <c r="T61" s="11" t="s">
        <v>1307</v>
      </c>
      <c r="U61" s="11" t="s">
        <v>1888</v>
      </c>
      <c r="V61" s="11" t="s">
        <v>1902</v>
      </c>
      <c r="W61" s="11" t="s">
        <v>1905</v>
      </c>
      <c r="X61" s="11" t="s">
        <v>0</v>
      </c>
      <c r="Y61" s="11" t="s">
        <v>0</v>
      </c>
      <c r="Z61" s="11" t="s">
        <v>1966</v>
      </c>
      <c r="AA61" s="11" t="s">
        <v>1966</v>
      </c>
      <c r="AB61" s="11" t="s">
        <v>2003</v>
      </c>
      <c r="AC61" s="11" t="s">
        <v>46</v>
      </c>
      <c r="AD61" s="11" t="s">
        <v>2040</v>
      </c>
      <c r="AE61" s="11" t="s">
        <v>13</v>
      </c>
    </row>
    <row r="62">
      <c r="B62" s="24" t="s">
        <v>1</v>
      </c>
      <c r="C62" s="12" t="s">
        <v>69</v>
      </c>
      <c r="D62" s="11" t="s">
        <v>629</v>
      </c>
      <c r="E62" s="11" t="s">
        <v>1133</v>
      </c>
      <c r="F62" s="12" t="s">
        <v>1</v>
      </c>
      <c r="G62" s="12" t="s">
        <v>1302</v>
      </c>
      <c r="H62" s="12" t="s">
        <v>1302</v>
      </c>
      <c r="I62" s="12" t="s">
        <v>1312</v>
      </c>
      <c r="J62" s="12" t="s">
        <v>1317</v>
      </c>
      <c r="K62" s="12" t="s">
        <v>1327</v>
      </c>
      <c r="L62" s="12" t="s">
        <v>1303</v>
      </c>
      <c r="M62" s="12" t="s">
        <v>0</v>
      </c>
      <c r="N62" s="13" t="s">
        <v>1391</v>
      </c>
      <c r="O62" s="11" t="s">
        <v>1326</v>
      </c>
      <c r="P62" s="11" t="s">
        <v>1871</v>
      </c>
      <c r="Q62" s="11" t="s">
        <v>1306</v>
      </c>
      <c r="R62" s="11" t="s">
        <v>1882</v>
      </c>
      <c r="S62" s="11" t="s">
        <v>0</v>
      </c>
      <c r="T62" s="11" t="s">
        <v>1307</v>
      </c>
      <c r="U62" s="11" t="s">
        <v>1888</v>
      </c>
      <c r="V62" s="11" t="s">
        <v>1905</v>
      </c>
      <c r="W62" s="11" t="s">
        <v>0</v>
      </c>
      <c r="X62" s="11" t="s">
        <v>0</v>
      </c>
      <c r="Y62" s="11" t="s">
        <v>0</v>
      </c>
      <c r="Z62" s="11" t="s">
        <v>1967</v>
      </c>
      <c r="AA62" s="11" t="s">
        <v>1967</v>
      </c>
      <c r="AB62" s="11" t="s">
        <v>2003</v>
      </c>
      <c r="AC62" s="11" t="s">
        <v>54</v>
      </c>
      <c r="AD62" s="11" t="s">
        <v>2041</v>
      </c>
      <c r="AE62" s="11" t="s">
        <v>13</v>
      </c>
    </row>
    <row r="63">
      <c r="B63" s="24" t="s">
        <v>6</v>
      </c>
      <c r="C63" s="12" t="s">
        <v>70</v>
      </c>
      <c r="D63" s="11" t="s">
        <v>630</v>
      </c>
      <c r="E63" s="11" t="s">
        <v>1160</v>
      </c>
      <c r="F63" s="12" t="s">
        <v>6</v>
      </c>
      <c r="G63" s="12" t="s">
        <v>1302</v>
      </c>
      <c r="H63" s="12" t="s">
        <v>1302</v>
      </c>
      <c r="I63" s="12" t="s">
        <v>1311</v>
      </c>
      <c r="J63" s="12" t="s">
        <v>1319</v>
      </c>
      <c r="K63" s="12" t="s">
        <v>1326</v>
      </c>
      <c r="L63" s="12" t="s">
        <v>1303</v>
      </c>
      <c r="M63" s="12" t="s">
        <v>0</v>
      </c>
      <c r="N63" s="13" t="s">
        <v>1392</v>
      </c>
      <c r="O63" s="11" t="s">
        <v>1326</v>
      </c>
      <c r="P63" s="11" t="s">
        <v>1871</v>
      </c>
      <c r="Q63" s="11" t="s">
        <v>1307</v>
      </c>
      <c r="R63" s="11" t="s">
        <v>1882</v>
      </c>
      <c r="S63" s="11" t="s">
        <v>0</v>
      </c>
      <c r="T63" s="11" t="s">
        <v>1307</v>
      </c>
      <c r="U63" s="11" t="s">
        <v>1890</v>
      </c>
      <c r="V63" s="11" t="s">
        <v>0</v>
      </c>
      <c r="W63" s="11" t="s">
        <v>0</v>
      </c>
      <c r="X63" s="11" t="s">
        <v>0</v>
      </c>
      <c r="Y63" s="11" t="s">
        <v>0</v>
      </c>
      <c r="Z63" s="11" t="s">
        <v>0</v>
      </c>
      <c r="AA63" s="11" t="s">
        <v>0</v>
      </c>
      <c r="AB63" s="11" t="s">
        <v>0</v>
      </c>
      <c r="AC63" s="11" t="s">
        <v>0</v>
      </c>
      <c r="AD63" s="11" t="s">
        <v>0</v>
      </c>
      <c r="AE63" s="11" t="s">
        <v>13</v>
      </c>
    </row>
    <row r="64">
      <c r="B64" s="24" t="s">
        <v>1</v>
      </c>
      <c r="C64" s="12" t="s">
        <v>71</v>
      </c>
      <c r="D64" s="11" t="s">
        <v>631</v>
      </c>
      <c r="E64" s="11" t="s">
        <v>1160</v>
      </c>
      <c r="F64" s="12" t="s">
        <v>1279</v>
      </c>
      <c r="G64" s="12" t="s">
        <v>1302</v>
      </c>
      <c r="H64" s="12" t="s">
        <v>1302</v>
      </c>
      <c r="I64" s="12" t="s">
        <v>1311</v>
      </c>
      <c r="J64" s="12" t="s">
        <v>1319</v>
      </c>
      <c r="K64" s="12" t="s">
        <v>1326</v>
      </c>
      <c r="L64" s="12" t="s">
        <v>1303</v>
      </c>
      <c r="M64" s="12" t="s">
        <v>0</v>
      </c>
      <c r="N64" s="13" t="s">
        <v>1393</v>
      </c>
      <c r="O64" s="11" t="s">
        <v>1326</v>
      </c>
      <c r="P64" s="11" t="s">
        <v>1871</v>
      </c>
      <c r="Q64" s="11" t="s">
        <v>1307</v>
      </c>
      <c r="R64" s="11" t="s">
        <v>1882</v>
      </c>
      <c r="S64" s="11" t="s">
        <v>1307</v>
      </c>
      <c r="T64" s="11" t="s">
        <v>1307</v>
      </c>
      <c r="U64" s="11" t="s">
        <v>1890</v>
      </c>
      <c r="V64" s="11" t="s">
        <v>0</v>
      </c>
      <c r="W64" s="11" t="s">
        <v>0</v>
      </c>
      <c r="X64" s="11" t="s">
        <v>0</v>
      </c>
      <c r="Y64" s="11" t="s">
        <v>0</v>
      </c>
      <c r="Z64" s="11" t="s">
        <v>0</v>
      </c>
      <c r="AA64" s="11" t="s">
        <v>0</v>
      </c>
      <c r="AB64" s="11" t="s">
        <v>0</v>
      </c>
      <c r="AC64" s="11" t="s">
        <v>0</v>
      </c>
      <c r="AD64" s="11" t="s">
        <v>0</v>
      </c>
      <c r="AE64" s="11" t="s">
        <v>13</v>
      </c>
    </row>
    <row r="65">
      <c r="B65" s="24" t="s">
        <v>8</v>
      </c>
      <c r="C65" s="12" t="s">
        <v>72</v>
      </c>
      <c r="D65" s="11" t="s">
        <v>632</v>
      </c>
      <c r="E65" s="11" t="s">
        <v>1160</v>
      </c>
      <c r="F65" s="12" t="s">
        <v>8</v>
      </c>
      <c r="G65" s="12" t="s">
        <v>1302</v>
      </c>
      <c r="H65" s="12" t="s">
        <v>1302</v>
      </c>
      <c r="I65" s="12" t="s">
        <v>1312</v>
      </c>
      <c r="J65" s="12" t="s">
        <v>1319</v>
      </c>
      <c r="K65" s="12" t="s">
        <v>1326</v>
      </c>
      <c r="L65" s="12" t="s">
        <v>1303</v>
      </c>
      <c r="M65" s="12" t="s">
        <v>0</v>
      </c>
      <c r="N65" s="13" t="s">
        <v>1394</v>
      </c>
      <c r="O65" s="11" t="s">
        <v>1326</v>
      </c>
      <c r="P65" s="11" t="s">
        <v>1871</v>
      </c>
      <c r="Q65" s="11" t="s">
        <v>1306</v>
      </c>
      <c r="R65" s="11" t="s">
        <v>1882</v>
      </c>
      <c r="S65" s="11" t="s">
        <v>0</v>
      </c>
      <c r="T65" s="11" t="s">
        <v>1306</v>
      </c>
      <c r="U65" s="11" t="s">
        <v>0</v>
      </c>
      <c r="V65" s="11" t="s">
        <v>0</v>
      </c>
      <c r="W65" s="11" t="s">
        <v>0</v>
      </c>
      <c r="X65" s="11" t="s">
        <v>0</v>
      </c>
      <c r="Y65" s="11" t="s">
        <v>0</v>
      </c>
      <c r="Z65" s="11" t="s">
        <v>0</v>
      </c>
      <c r="AA65" s="11" t="s">
        <v>0</v>
      </c>
      <c r="AB65" s="11" t="s">
        <v>0</v>
      </c>
      <c r="AC65" s="11" t="s">
        <v>0</v>
      </c>
      <c r="AD65" s="11" t="s">
        <v>0</v>
      </c>
      <c r="AE65" s="11" t="s">
        <v>2090</v>
      </c>
    </row>
    <row r="66">
      <c r="B66" s="24" t="s">
        <v>8</v>
      </c>
      <c r="C66" s="12" t="s">
        <v>73</v>
      </c>
      <c r="D66" s="11" t="s">
        <v>633</v>
      </c>
      <c r="E66" s="11" t="s">
        <v>1161</v>
      </c>
      <c r="F66" s="12" t="s">
        <v>8</v>
      </c>
      <c r="G66" s="12" t="s">
        <v>1302</v>
      </c>
      <c r="H66" s="12" t="s">
        <v>1302</v>
      </c>
      <c r="I66" s="12" t="s">
        <v>1310</v>
      </c>
      <c r="J66" s="12" t="s">
        <v>1320</v>
      </c>
      <c r="K66" s="12" t="s">
        <v>1332</v>
      </c>
      <c r="L66" s="12" t="s">
        <v>1303</v>
      </c>
      <c r="M66" s="12" t="s">
        <v>0</v>
      </c>
      <c r="N66" s="13" t="s">
        <v>1395</v>
      </c>
      <c r="O66" s="11" t="s">
        <v>1837</v>
      </c>
      <c r="P66" s="11" t="s">
        <v>1873</v>
      </c>
      <c r="Q66" s="11" t="s">
        <v>1307</v>
      </c>
      <c r="R66" s="11" t="s">
        <v>1882</v>
      </c>
      <c r="S66" s="11" t="s">
        <v>0</v>
      </c>
      <c r="T66" s="11" t="s">
        <v>1307</v>
      </c>
      <c r="U66" s="11" t="s">
        <v>1890</v>
      </c>
      <c r="V66" s="11" t="s">
        <v>1902</v>
      </c>
      <c r="W66" s="11" t="s">
        <v>1929</v>
      </c>
      <c r="X66" s="11" t="s">
        <v>0</v>
      </c>
      <c r="Y66" s="11" t="s">
        <v>0</v>
      </c>
      <c r="Z66" s="11" t="s">
        <v>0</v>
      </c>
      <c r="AA66" s="11" t="s">
        <v>0</v>
      </c>
      <c r="AB66" s="11" t="s">
        <v>0</v>
      </c>
      <c r="AC66" s="11" t="s">
        <v>0</v>
      </c>
      <c r="AD66" s="11" t="s">
        <v>2042</v>
      </c>
      <c r="AE66" s="11" t="s">
        <v>13</v>
      </c>
    </row>
    <row r="67">
      <c r="B67" s="24" t="s">
        <v>1</v>
      </c>
      <c r="C67" s="12" t="s">
        <v>74</v>
      </c>
      <c r="D67" s="11" t="s">
        <v>634</v>
      </c>
      <c r="E67" s="11" t="s">
        <v>1161</v>
      </c>
      <c r="F67" s="12" t="s">
        <v>1280</v>
      </c>
      <c r="G67" s="12" t="s">
        <v>1302</v>
      </c>
      <c r="H67" s="12" t="s">
        <v>1302</v>
      </c>
      <c r="I67" s="12" t="s">
        <v>1310</v>
      </c>
      <c r="J67" s="12" t="s">
        <v>1320</v>
      </c>
      <c r="K67" s="12" t="s">
        <v>1333</v>
      </c>
      <c r="L67" s="12" t="s">
        <v>1303</v>
      </c>
      <c r="M67" s="12" t="s">
        <v>0</v>
      </c>
      <c r="N67" s="13" t="s">
        <v>1396</v>
      </c>
      <c r="O67" s="11" t="s">
        <v>1837</v>
      </c>
      <c r="P67" s="11" t="s">
        <v>1873</v>
      </c>
      <c r="Q67" s="11" t="s">
        <v>1307</v>
      </c>
      <c r="R67" s="11" t="s">
        <v>1882</v>
      </c>
      <c r="S67" s="11" t="s">
        <v>1307</v>
      </c>
      <c r="T67" s="11" t="s">
        <v>1307</v>
      </c>
      <c r="U67" s="11" t="s">
        <v>1890</v>
      </c>
      <c r="V67" s="11" t="s">
        <v>1897</v>
      </c>
      <c r="W67" s="11" t="s">
        <v>0</v>
      </c>
      <c r="X67" s="11" t="s">
        <v>0</v>
      </c>
      <c r="Y67" s="11" t="s">
        <v>0</v>
      </c>
      <c r="Z67" s="11" t="s">
        <v>0</v>
      </c>
      <c r="AA67" s="11" t="s">
        <v>0</v>
      </c>
      <c r="AB67" s="11" t="s">
        <v>0</v>
      </c>
      <c r="AC67" s="11" t="s">
        <v>0</v>
      </c>
      <c r="AD67" s="11" t="s">
        <v>2043</v>
      </c>
      <c r="AE67" s="11" t="s">
        <v>13</v>
      </c>
    </row>
    <row r="68">
      <c r="B68" s="24" t="s">
        <v>5</v>
      </c>
      <c r="C68" s="12" t="s">
        <v>75</v>
      </c>
      <c r="D68" s="11" t="s">
        <v>635</v>
      </c>
      <c r="E68" s="11" t="s">
        <v>1161</v>
      </c>
      <c r="F68" s="12" t="s">
        <v>5</v>
      </c>
      <c r="G68" s="12" t="s">
        <v>1304</v>
      </c>
      <c r="H68" s="12" t="s">
        <v>1306</v>
      </c>
      <c r="I68" s="12" t="s">
        <v>1310</v>
      </c>
      <c r="J68" s="12" t="s">
        <v>1320</v>
      </c>
      <c r="K68" s="12" t="s">
        <v>1332</v>
      </c>
      <c r="L68" s="12" t="s">
        <v>1303</v>
      </c>
      <c r="M68" s="12" t="s">
        <v>0</v>
      </c>
      <c r="N68" s="13" t="s">
        <v>1397</v>
      </c>
      <c r="O68" s="11" t="s">
        <v>1837</v>
      </c>
      <c r="P68" s="11" t="s">
        <v>1873</v>
      </c>
      <c r="Q68" s="11" t="s">
        <v>1307</v>
      </c>
      <c r="R68" s="11" t="s">
        <v>1882</v>
      </c>
      <c r="S68" s="11" t="s">
        <v>0</v>
      </c>
      <c r="T68" s="11" t="s">
        <v>1307</v>
      </c>
      <c r="U68" s="11" t="s">
        <v>1890</v>
      </c>
      <c r="V68" s="11" t="s">
        <v>1902</v>
      </c>
      <c r="W68" s="11" t="s">
        <v>1897</v>
      </c>
      <c r="X68" s="11" t="s">
        <v>0</v>
      </c>
      <c r="Y68" s="11" t="s">
        <v>0</v>
      </c>
      <c r="Z68" s="11" t="s">
        <v>0</v>
      </c>
      <c r="AA68" s="11" t="s">
        <v>0</v>
      </c>
      <c r="AB68" s="11" t="s">
        <v>0</v>
      </c>
      <c r="AC68" s="11" t="s">
        <v>0</v>
      </c>
      <c r="AD68" s="11" t="s">
        <v>2044</v>
      </c>
      <c r="AE68" s="11" t="s">
        <v>13</v>
      </c>
    </row>
    <row r="69">
      <c r="B69" s="24" t="s">
        <v>1</v>
      </c>
      <c r="C69" s="12" t="s">
        <v>76</v>
      </c>
      <c r="D69" s="11" t="s">
        <v>636</v>
      </c>
      <c r="E69" s="11" t="s">
        <v>1161</v>
      </c>
      <c r="F69" s="12" t="s">
        <v>1281</v>
      </c>
      <c r="G69" s="12" t="s">
        <v>1302</v>
      </c>
      <c r="H69" s="12" t="s">
        <v>1302</v>
      </c>
      <c r="I69" s="12" t="s">
        <v>1310</v>
      </c>
      <c r="J69" s="12" t="s">
        <v>1320</v>
      </c>
      <c r="K69" s="12" t="s">
        <v>1332</v>
      </c>
      <c r="L69" s="12" t="s">
        <v>1303</v>
      </c>
      <c r="M69" s="12" t="s">
        <v>0</v>
      </c>
      <c r="N69" s="13" t="s">
        <v>1398</v>
      </c>
      <c r="O69" s="11" t="s">
        <v>1837</v>
      </c>
      <c r="P69" s="11" t="s">
        <v>1873</v>
      </c>
      <c r="Q69" s="11" t="s">
        <v>1307</v>
      </c>
      <c r="R69" s="11" t="s">
        <v>1882</v>
      </c>
      <c r="S69" s="11" t="s">
        <v>0</v>
      </c>
      <c r="T69" s="11" t="s">
        <v>1307</v>
      </c>
      <c r="U69" s="11" t="s">
        <v>1890</v>
      </c>
      <c r="V69" s="11" t="s">
        <v>1900</v>
      </c>
      <c r="W69" s="11" t="s">
        <v>1902</v>
      </c>
      <c r="X69" s="11" t="s">
        <v>0</v>
      </c>
      <c r="Y69" s="11" t="s">
        <v>0</v>
      </c>
      <c r="Z69" s="11" t="s">
        <v>0</v>
      </c>
      <c r="AA69" s="11" t="s">
        <v>0</v>
      </c>
      <c r="AB69" s="11" t="s">
        <v>0</v>
      </c>
      <c r="AC69" s="11" t="s">
        <v>0</v>
      </c>
      <c r="AD69" s="11" t="s">
        <v>2044</v>
      </c>
      <c r="AE69" s="11" t="s">
        <v>13</v>
      </c>
    </row>
    <row r="70">
      <c r="B70" s="24" t="s">
        <v>1</v>
      </c>
      <c r="C70" s="12" t="s">
        <v>77</v>
      </c>
      <c r="D70" s="11" t="s">
        <v>637</v>
      </c>
      <c r="E70" s="11" t="s">
        <v>1161</v>
      </c>
      <c r="F70" s="12" t="s">
        <v>1282</v>
      </c>
      <c r="G70" s="12" t="s">
        <v>1302</v>
      </c>
      <c r="H70" s="12" t="s">
        <v>1302</v>
      </c>
      <c r="I70" s="12" t="s">
        <v>1310</v>
      </c>
      <c r="J70" s="12" t="s">
        <v>1320</v>
      </c>
      <c r="K70" s="12" t="s">
        <v>1332</v>
      </c>
      <c r="L70" s="12" t="s">
        <v>1303</v>
      </c>
      <c r="M70" s="12" t="s">
        <v>0</v>
      </c>
      <c r="N70" s="13" t="s">
        <v>1399</v>
      </c>
      <c r="O70" s="11" t="s">
        <v>1837</v>
      </c>
      <c r="P70" s="11" t="s">
        <v>1873</v>
      </c>
      <c r="Q70" s="11" t="s">
        <v>1307</v>
      </c>
      <c r="R70" s="11" t="s">
        <v>1882</v>
      </c>
      <c r="S70" s="11" t="s">
        <v>1307</v>
      </c>
      <c r="T70" s="11" t="s">
        <v>1307</v>
      </c>
      <c r="U70" s="11" t="s">
        <v>1890</v>
      </c>
      <c r="V70" s="11" t="s">
        <v>1897</v>
      </c>
      <c r="W70" s="11" t="s">
        <v>0</v>
      </c>
      <c r="X70" s="11" t="s">
        <v>0</v>
      </c>
      <c r="Y70" s="11" t="s">
        <v>0</v>
      </c>
      <c r="Z70" s="11" t="s">
        <v>0</v>
      </c>
      <c r="AA70" s="11" t="s">
        <v>0</v>
      </c>
      <c r="AB70" s="11" t="s">
        <v>0</v>
      </c>
      <c r="AC70" s="11" t="s">
        <v>0</v>
      </c>
      <c r="AD70" s="11" t="s">
        <v>0</v>
      </c>
      <c r="AE70" s="11" t="s">
        <v>13</v>
      </c>
    </row>
    <row r="71">
      <c r="B71" s="24" t="s">
        <v>7</v>
      </c>
      <c r="C71" s="12" t="s">
        <v>78</v>
      </c>
      <c r="D71" s="11" t="s">
        <v>638</v>
      </c>
      <c r="E71" s="11" t="s">
        <v>1161</v>
      </c>
      <c r="F71" s="12" t="s">
        <v>7</v>
      </c>
      <c r="G71" s="12" t="s">
        <v>1302</v>
      </c>
      <c r="H71" s="12" t="s">
        <v>1302</v>
      </c>
      <c r="I71" s="12" t="s">
        <v>1310</v>
      </c>
      <c r="J71" s="12" t="s">
        <v>1320</v>
      </c>
      <c r="K71" s="12" t="s">
        <v>1333</v>
      </c>
      <c r="L71" s="12" t="s">
        <v>1303</v>
      </c>
      <c r="M71" s="12" t="s">
        <v>0</v>
      </c>
      <c r="N71" s="13" t="s">
        <v>1400</v>
      </c>
      <c r="O71" s="11" t="s">
        <v>1837</v>
      </c>
      <c r="P71" s="11" t="s">
        <v>1873</v>
      </c>
      <c r="Q71" s="11" t="s">
        <v>1307</v>
      </c>
      <c r="R71" s="11" t="s">
        <v>1882</v>
      </c>
      <c r="S71" s="11" t="s">
        <v>1307</v>
      </c>
      <c r="T71" s="11" t="s">
        <v>1307</v>
      </c>
      <c r="U71" s="11" t="s">
        <v>1890</v>
      </c>
      <c r="V71" s="11" t="s">
        <v>1897</v>
      </c>
      <c r="W71" s="11" t="s">
        <v>1927</v>
      </c>
      <c r="X71" s="11" t="s">
        <v>0</v>
      </c>
      <c r="Y71" s="11" t="s">
        <v>0</v>
      </c>
      <c r="Z71" s="11" t="s">
        <v>0</v>
      </c>
      <c r="AA71" s="11" t="s">
        <v>0</v>
      </c>
      <c r="AB71" s="11" t="s">
        <v>0</v>
      </c>
      <c r="AC71" s="11" t="s">
        <v>0</v>
      </c>
      <c r="AD71" s="11" t="s">
        <v>2045</v>
      </c>
      <c r="AE71" s="11" t="s">
        <v>13</v>
      </c>
    </row>
    <row r="72">
      <c r="B72" s="24" t="s">
        <v>1</v>
      </c>
      <c r="C72" s="12" t="s">
        <v>79</v>
      </c>
      <c r="D72" s="11" t="s">
        <v>639</v>
      </c>
      <c r="E72" s="11" t="s">
        <v>1161</v>
      </c>
      <c r="F72" s="12" t="s">
        <v>1283</v>
      </c>
      <c r="G72" s="12" t="s">
        <v>1302</v>
      </c>
      <c r="H72" s="12" t="s">
        <v>1302</v>
      </c>
      <c r="I72" s="12" t="s">
        <v>1310</v>
      </c>
      <c r="J72" s="12" t="s">
        <v>1320</v>
      </c>
      <c r="K72" s="12" t="s">
        <v>1333</v>
      </c>
      <c r="L72" s="12" t="s">
        <v>1303</v>
      </c>
      <c r="M72" s="12" t="s">
        <v>0</v>
      </c>
      <c r="N72" s="13" t="s">
        <v>1401</v>
      </c>
      <c r="O72" s="11" t="s">
        <v>1837</v>
      </c>
      <c r="P72" s="11" t="s">
        <v>1873</v>
      </c>
      <c r="Q72" s="11" t="s">
        <v>1307</v>
      </c>
      <c r="R72" s="11" t="s">
        <v>1882</v>
      </c>
      <c r="S72" s="11" t="s">
        <v>1307</v>
      </c>
      <c r="T72" s="11" t="s">
        <v>1307</v>
      </c>
      <c r="U72" s="11" t="s">
        <v>1890</v>
      </c>
      <c r="V72" s="11" t="s">
        <v>1897</v>
      </c>
      <c r="W72" s="11" t="s">
        <v>1927</v>
      </c>
      <c r="X72" s="11" t="s">
        <v>0</v>
      </c>
      <c r="Y72" s="11" t="s">
        <v>0</v>
      </c>
      <c r="Z72" s="11" t="s">
        <v>0</v>
      </c>
      <c r="AA72" s="11" t="s">
        <v>0</v>
      </c>
      <c r="AB72" s="11" t="s">
        <v>0</v>
      </c>
      <c r="AC72" s="11" t="s">
        <v>0</v>
      </c>
      <c r="AD72" s="11" t="s">
        <v>2045</v>
      </c>
      <c r="AE72" s="11" t="s">
        <v>13</v>
      </c>
    </row>
    <row r="73">
      <c r="B73" s="24" t="s">
        <v>1</v>
      </c>
      <c r="C73" s="12" t="s">
        <v>80</v>
      </c>
      <c r="D73" s="11" t="s">
        <v>640</v>
      </c>
      <c r="E73" s="11" t="s">
        <v>1161</v>
      </c>
      <c r="F73" s="12" t="s">
        <v>1284</v>
      </c>
      <c r="G73" s="12" t="s">
        <v>1302</v>
      </c>
      <c r="H73" s="12" t="s">
        <v>1302</v>
      </c>
      <c r="I73" s="12" t="s">
        <v>1310</v>
      </c>
      <c r="J73" s="12" t="s">
        <v>1320</v>
      </c>
      <c r="K73" s="12" t="s">
        <v>1333</v>
      </c>
      <c r="L73" s="12" t="s">
        <v>1303</v>
      </c>
      <c r="M73" s="12" t="s">
        <v>0</v>
      </c>
      <c r="N73" s="13" t="s">
        <v>1402</v>
      </c>
      <c r="O73" s="11" t="s">
        <v>1837</v>
      </c>
      <c r="P73" s="11" t="s">
        <v>1873</v>
      </c>
      <c r="Q73" s="11" t="s">
        <v>1307</v>
      </c>
      <c r="R73" s="11" t="s">
        <v>1882</v>
      </c>
      <c r="S73" s="11" t="s">
        <v>1307</v>
      </c>
      <c r="T73" s="11" t="s">
        <v>1307</v>
      </c>
      <c r="U73" s="11" t="s">
        <v>1890</v>
      </c>
      <c r="V73" s="11" t="s">
        <v>1897</v>
      </c>
      <c r="W73" s="11" t="s">
        <v>1927</v>
      </c>
      <c r="X73" s="11" t="s">
        <v>0</v>
      </c>
      <c r="Y73" s="11" t="s">
        <v>0</v>
      </c>
      <c r="Z73" s="11" t="s">
        <v>0</v>
      </c>
      <c r="AA73" s="11" t="s">
        <v>0</v>
      </c>
      <c r="AB73" s="11" t="s">
        <v>0</v>
      </c>
      <c r="AC73" s="11" t="s">
        <v>0</v>
      </c>
      <c r="AD73" s="11" t="s">
        <v>2046</v>
      </c>
      <c r="AE73" s="11" t="s">
        <v>13</v>
      </c>
    </row>
    <row r="74">
      <c r="B74" s="24" t="s">
        <v>3</v>
      </c>
      <c r="C74" s="12" t="s">
        <v>81</v>
      </c>
      <c r="D74" s="11" t="s">
        <v>641</v>
      </c>
      <c r="E74" s="11" t="s">
        <v>1161</v>
      </c>
      <c r="F74" s="12" t="s">
        <v>3</v>
      </c>
      <c r="G74" s="12" t="s">
        <v>1302</v>
      </c>
      <c r="H74" s="12" t="s">
        <v>1302</v>
      </c>
      <c r="I74" s="12" t="s">
        <v>1310</v>
      </c>
      <c r="J74" s="12" t="s">
        <v>1320</v>
      </c>
      <c r="K74" s="12" t="s">
        <v>1333</v>
      </c>
      <c r="L74" s="12" t="s">
        <v>1303</v>
      </c>
      <c r="M74" s="12" t="s">
        <v>0</v>
      </c>
      <c r="N74" s="13" t="s">
        <v>1403</v>
      </c>
      <c r="O74" s="11" t="s">
        <v>1837</v>
      </c>
      <c r="P74" s="11" t="s">
        <v>1873</v>
      </c>
      <c r="Q74" s="11" t="s">
        <v>1307</v>
      </c>
      <c r="R74" s="11" t="s">
        <v>1882</v>
      </c>
      <c r="S74" s="11" t="s">
        <v>1307</v>
      </c>
      <c r="T74" s="11" t="s">
        <v>1307</v>
      </c>
      <c r="U74" s="11" t="s">
        <v>1890</v>
      </c>
      <c r="V74" s="11" t="s">
        <v>1897</v>
      </c>
      <c r="W74" s="11" t="s">
        <v>1927</v>
      </c>
      <c r="X74" s="11" t="s">
        <v>0</v>
      </c>
      <c r="Y74" s="11" t="s">
        <v>0</v>
      </c>
      <c r="Z74" s="11" t="s">
        <v>0</v>
      </c>
      <c r="AA74" s="11" t="s">
        <v>0</v>
      </c>
      <c r="AB74" s="11" t="s">
        <v>0</v>
      </c>
      <c r="AC74" s="11" t="s">
        <v>0</v>
      </c>
      <c r="AD74" s="11" t="s">
        <v>2046</v>
      </c>
      <c r="AE74" s="11" t="s">
        <v>13</v>
      </c>
    </row>
    <row r="75">
      <c r="B75" s="24" t="s">
        <v>3</v>
      </c>
      <c r="C75" s="12" t="s">
        <v>82</v>
      </c>
      <c r="D75" s="11" t="s">
        <v>642</v>
      </c>
      <c r="E75" s="11" t="s">
        <v>1161</v>
      </c>
      <c r="F75" s="12" t="s">
        <v>3</v>
      </c>
      <c r="G75" s="12" t="s">
        <v>1302</v>
      </c>
      <c r="H75" s="12" t="s">
        <v>1302</v>
      </c>
      <c r="I75" s="12" t="s">
        <v>1310</v>
      </c>
      <c r="J75" s="12" t="s">
        <v>1320</v>
      </c>
      <c r="K75" s="12" t="s">
        <v>1333</v>
      </c>
      <c r="L75" s="12" t="s">
        <v>1303</v>
      </c>
      <c r="M75" s="12" t="s">
        <v>0</v>
      </c>
      <c r="N75" s="13" t="s">
        <v>1404</v>
      </c>
      <c r="O75" s="11" t="s">
        <v>1837</v>
      </c>
      <c r="P75" s="11" t="s">
        <v>1873</v>
      </c>
      <c r="Q75" s="11" t="s">
        <v>1307</v>
      </c>
      <c r="R75" s="11" t="s">
        <v>1882</v>
      </c>
      <c r="S75" s="11" t="s">
        <v>1307</v>
      </c>
      <c r="T75" s="11" t="s">
        <v>1307</v>
      </c>
      <c r="U75" s="11" t="s">
        <v>1890</v>
      </c>
      <c r="V75" s="11" t="s">
        <v>1897</v>
      </c>
      <c r="W75" s="11" t="s">
        <v>0</v>
      </c>
      <c r="X75" s="11" t="s">
        <v>0</v>
      </c>
      <c r="Y75" s="11" t="s">
        <v>0</v>
      </c>
      <c r="Z75" s="11" t="s">
        <v>0</v>
      </c>
      <c r="AA75" s="11" t="s">
        <v>0</v>
      </c>
      <c r="AB75" s="11" t="s">
        <v>0</v>
      </c>
      <c r="AC75" s="11" t="s">
        <v>0</v>
      </c>
      <c r="AD75" s="11" t="s">
        <v>0</v>
      </c>
      <c r="AE75" s="11" t="s">
        <v>13</v>
      </c>
    </row>
    <row r="76">
      <c r="B76" s="24" t="s">
        <v>3</v>
      </c>
      <c r="C76" s="12" t="s">
        <v>83</v>
      </c>
      <c r="D76" s="11" t="s">
        <v>643</v>
      </c>
      <c r="E76" s="11" t="s">
        <v>1161</v>
      </c>
      <c r="F76" s="12" t="s">
        <v>3</v>
      </c>
      <c r="G76" s="12" t="s">
        <v>1302</v>
      </c>
      <c r="H76" s="12" t="s">
        <v>1302</v>
      </c>
      <c r="I76" s="12" t="s">
        <v>1310</v>
      </c>
      <c r="J76" s="12" t="s">
        <v>1320</v>
      </c>
      <c r="K76" s="12" t="s">
        <v>1333</v>
      </c>
      <c r="L76" s="12" t="s">
        <v>1303</v>
      </c>
      <c r="M76" s="12" t="s">
        <v>0</v>
      </c>
      <c r="N76" s="13" t="s">
        <v>1405</v>
      </c>
      <c r="O76" s="11" t="s">
        <v>1837</v>
      </c>
      <c r="P76" s="11" t="s">
        <v>1873</v>
      </c>
      <c r="Q76" s="11" t="s">
        <v>1307</v>
      </c>
      <c r="R76" s="11" t="s">
        <v>1882</v>
      </c>
      <c r="S76" s="11" t="s">
        <v>1307</v>
      </c>
      <c r="T76" s="11" t="s">
        <v>1307</v>
      </c>
      <c r="U76" s="11" t="s">
        <v>1890</v>
      </c>
      <c r="V76" s="11" t="s">
        <v>1897</v>
      </c>
      <c r="W76" s="11" t="s">
        <v>0</v>
      </c>
      <c r="X76" s="11" t="s">
        <v>0</v>
      </c>
      <c r="Y76" s="11" t="s">
        <v>0</v>
      </c>
      <c r="Z76" s="11" t="s">
        <v>0</v>
      </c>
      <c r="AA76" s="11" t="s">
        <v>0</v>
      </c>
      <c r="AB76" s="11" t="s">
        <v>0</v>
      </c>
      <c r="AC76" s="11" t="s">
        <v>0</v>
      </c>
      <c r="AD76" s="11" t="s">
        <v>0</v>
      </c>
      <c r="AE76" s="11" t="s">
        <v>13</v>
      </c>
    </row>
    <row r="77">
      <c r="B77" s="24" t="s">
        <v>3</v>
      </c>
      <c r="C77" s="12" t="s">
        <v>84</v>
      </c>
      <c r="D77" s="11" t="s">
        <v>644</v>
      </c>
      <c r="E77" s="11" t="s">
        <v>1161</v>
      </c>
      <c r="F77" s="12" t="s">
        <v>3</v>
      </c>
      <c r="G77" s="12" t="s">
        <v>1302</v>
      </c>
      <c r="H77" s="12" t="s">
        <v>1302</v>
      </c>
      <c r="I77" s="12" t="s">
        <v>1310</v>
      </c>
      <c r="J77" s="12" t="s">
        <v>1320</v>
      </c>
      <c r="K77" s="12" t="s">
        <v>1332</v>
      </c>
      <c r="L77" s="12" t="s">
        <v>1303</v>
      </c>
      <c r="M77" s="12" t="s">
        <v>0</v>
      </c>
      <c r="N77" s="13" t="s">
        <v>1406</v>
      </c>
      <c r="O77" s="11" t="s">
        <v>1837</v>
      </c>
      <c r="P77" s="11" t="s">
        <v>1873</v>
      </c>
      <c r="Q77" s="11" t="s">
        <v>1307</v>
      </c>
      <c r="R77" s="11" t="s">
        <v>1882</v>
      </c>
      <c r="S77" s="11" t="s">
        <v>1307</v>
      </c>
      <c r="T77" s="11" t="s">
        <v>1307</v>
      </c>
      <c r="U77" s="11" t="s">
        <v>1890</v>
      </c>
      <c r="V77" s="11" t="s">
        <v>1900</v>
      </c>
      <c r="W77" s="11" t="s">
        <v>1897</v>
      </c>
      <c r="X77" s="11" t="s">
        <v>0</v>
      </c>
      <c r="Y77" s="11" t="s">
        <v>0</v>
      </c>
      <c r="Z77" s="11" t="s">
        <v>0</v>
      </c>
      <c r="AA77" s="11" t="s">
        <v>0</v>
      </c>
      <c r="AB77" s="11" t="s">
        <v>0</v>
      </c>
      <c r="AC77" s="11" t="s">
        <v>0</v>
      </c>
      <c r="AD77" s="11" t="s">
        <v>2047</v>
      </c>
      <c r="AE77" s="11" t="s">
        <v>13</v>
      </c>
    </row>
    <row r="78">
      <c r="B78" s="24" t="s">
        <v>6</v>
      </c>
      <c r="C78" s="12" t="s">
        <v>85</v>
      </c>
      <c r="D78" s="11" t="s">
        <v>645</v>
      </c>
      <c r="E78" s="11" t="s">
        <v>1161</v>
      </c>
      <c r="F78" s="12" t="s">
        <v>6</v>
      </c>
      <c r="G78" s="12" t="s">
        <v>1302</v>
      </c>
      <c r="H78" s="12" t="s">
        <v>1302</v>
      </c>
      <c r="I78" s="12" t="s">
        <v>1310</v>
      </c>
      <c r="J78" s="12" t="s">
        <v>1320</v>
      </c>
      <c r="K78" s="12" t="s">
        <v>1333</v>
      </c>
      <c r="L78" s="12" t="s">
        <v>1303</v>
      </c>
      <c r="M78" s="12" t="s">
        <v>0</v>
      </c>
      <c r="N78" s="13" t="s">
        <v>1407</v>
      </c>
      <c r="O78" s="11" t="s">
        <v>1837</v>
      </c>
      <c r="P78" s="11" t="s">
        <v>1873</v>
      </c>
      <c r="Q78" s="11" t="s">
        <v>1307</v>
      </c>
      <c r="R78" s="11" t="s">
        <v>1882</v>
      </c>
      <c r="S78" s="11" t="s">
        <v>1307</v>
      </c>
      <c r="T78" s="11" t="s">
        <v>1307</v>
      </c>
      <c r="U78" s="11" t="s">
        <v>1890</v>
      </c>
      <c r="V78" s="11" t="s">
        <v>1897</v>
      </c>
      <c r="W78" s="11" t="s">
        <v>0</v>
      </c>
      <c r="X78" s="11" t="s">
        <v>0</v>
      </c>
      <c r="Y78" s="11" t="s">
        <v>0</v>
      </c>
      <c r="Z78" s="11" t="s">
        <v>0</v>
      </c>
      <c r="AA78" s="11" t="s">
        <v>0</v>
      </c>
      <c r="AB78" s="11" t="s">
        <v>0</v>
      </c>
      <c r="AC78" s="11" t="s">
        <v>0</v>
      </c>
      <c r="AD78" s="11" t="s">
        <v>0</v>
      </c>
      <c r="AE78" s="11" t="s">
        <v>13</v>
      </c>
    </row>
    <row r="79">
      <c r="B79" s="24" t="s">
        <v>6</v>
      </c>
      <c r="C79" s="12" t="s">
        <v>86</v>
      </c>
      <c r="D79" s="11" t="s">
        <v>646</v>
      </c>
      <c r="E79" s="11" t="s">
        <v>1161</v>
      </c>
      <c r="F79" s="12" t="s">
        <v>6</v>
      </c>
      <c r="G79" s="12" t="s">
        <v>1302</v>
      </c>
      <c r="H79" s="12" t="s">
        <v>1302</v>
      </c>
      <c r="I79" s="12" t="s">
        <v>1310</v>
      </c>
      <c r="J79" s="12" t="s">
        <v>1320</v>
      </c>
      <c r="K79" s="12" t="s">
        <v>1333</v>
      </c>
      <c r="L79" s="12" t="s">
        <v>1303</v>
      </c>
      <c r="M79" s="12" t="s">
        <v>0</v>
      </c>
      <c r="N79" s="13" t="s">
        <v>1408</v>
      </c>
      <c r="O79" s="11" t="s">
        <v>1837</v>
      </c>
      <c r="P79" s="11" t="s">
        <v>1873</v>
      </c>
      <c r="Q79" s="11" t="s">
        <v>1307</v>
      </c>
      <c r="R79" s="11" t="s">
        <v>1882</v>
      </c>
      <c r="S79" s="11" t="s">
        <v>1307</v>
      </c>
      <c r="T79" s="11" t="s">
        <v>1307</v>
      </c>
      <c r="U79" s="11" t="s">
        <v>1890</v>
      </c>
      <c r="V79" s="11" t="s">
        <v>1897</v>
      </c>
      <c r="W79" s="11" t="s">
        <v>0</v>
      </c>
      <c r="X79" s="11" t="s">
        <v>0</v>
      </c>
      <c r="Y79" s="11" t="s">
        <v>0</v>
      </c>
      <c r="Z79" s="11" t="s">
        <v>0</v>
      </c>
      <c r="AA79" s="11" t="s">
        <v>0</v>
      </c>
      <c r="AB79" s="11" t="s">
        <v>0</v>
      </c>
      <c r="AC79" s="11" t="s">
        <v>0</v>
      </c>
      <c r="AD79" s="11" t="s">
        <v>0</v>
      </c>
      <c r="AE79" s="11" t="s">
        <v>13</v>
      </c>
    </row>
    <row r="80">
      <c r="B80" s="24" t="s">
        <v>6</v>
      </c>
      <c r="C80" s="12" t="s">
        <v>87</v>
      </c>
      <c r="D80" s="11" t="s">
        <v>647</v>
      </c>
      <c r="E80" s="11" t="s">
        <v>1161</v>
      </c>
      <c r="F80" s="12" t="s">
        <v>6</v>
      </c>
      <c r="G80" s="12" t="s">
        <v>1302</v>
      </c>
      <c r="H80" s="12" t="s">
        <v>1302</v>
      </c>
      <c r="I80" s="12" t="s">
        <v>1310</v>
      </c>
      <c r="J80" s="12" t="s">
        <v>1320</v>
      </c>
      <c r="K80" s="12" t="s">
        <v>1333</v>
      </c>
      <c r="L80" s="12" t="s">
        <v>1303</v>
      </c>
      <c r="M80" s="12" t="s">
        <v>0</v>
      </c>
      <c r="N80" s="13" t="s">
        <v>1409</v>
      </c>
      <c r="O80" s="11" t="s">
        <v>1837</v>
      </c>
      <c r="P80" s="11" t="s">
        <v>1873</v>
      </c>
      <c r="Q80" s="11" t="s">
        <v>1307</v>
      </c>
      <c r="R80" s="11" t="s">
        <v>1882</v>
      </c>
      <c r="S80" s="11" t="s">
        <v>0</v>
      </c>
      <c r="T80" s="11" t="s">
        <v>1306</v>
      </c>
      <c r="U80" s="11" t="s">
        <v>0</v>
      </c>
      <c r="V80" s="11" t="s">
        <v>0</v>
      </c>
      <c r="W80" s="11" t="s">
        <v>0</v>
      </c>
      <c r="X80" s="11" t="s">
        <v>0</v>
      </c>
      <c r="Y80" s="11" t="s">
        <v>0</v>
      </c>
      <c r="Z80" s="11" t="s">
        <v>0</v>
      </c>
      <c r="AA80" s="11" t="s">
        <v>0</v>
      </c>
      <c r="AB80" s="11" t="s">
        <v>0</v>
      </c>
      <c r="AC80" s="11" t="s">
        <v>0</v>
      </c>
      <c r="AD80" s="11" t="s">
        <v>0</v>
      </c>
      <c r="AE80" s="11" t="s">
        <v>2090</v>
      </c>
    </row>
    <row r="81">
      <c r="B81" s="24" t="s">
        <v>2</v>
      </c>
      <c r="C81" s="12" t="s">
        <v>88</v>
      </c>
      <c r="D81" s="11" t="s">
        <v>648</v>
      </c>
      <c r="E81" s="11" t="s">
        <v>1161</v>
      </c>
      <c r="F81" s="12" t="s">
        <v>2</v>
      </c>
      <c r="G81" s="12" t="s">
        <v>1302</v>
      </c>
      <c r="H81" s="12" t="s">
        <v>1302</v>
      </c>
      <c r="I81" s="12" t="s">
        <v>1310</v>
      </c>
      <c r="J81" s="12" t="s">
        <v>1320</v>
      </c>
      <c r="K81" s="12" t="s">
        <v>1332</v>
      </c>
      <c r="L81" s="12" t="s">
        <v>1303</v>
      </c>
      <c r="M81" s="12" t="s">
        <v>0</v>
      </c>
      <c r="N81" s="13" t="s">
        <v>1410</v>
      </c>
      <c r="O81" s="11" t="s">
        <v>1837</v>
      </c>
      <c r="P81" s="11" t="s">
        <v>1873</v>
      </c>
      <c r="Q81" s="11" t="s">
        <v>1307</v>
      </c>
      <c r="R81" s="11" t="s">
        <v>1882</v>
      </c>
      <c r="S81" s="11" t="s">
        <v>1307</v>
      </c>
      <c r="T81" s="11" t="s">
        <v>1307</v>
      </c>
      <c r="U81" s="11" t="s">
        <v>1890</v>
      </c>
      <c r="V81" s="11" t="s">
        <v>1905</v>
      </c>
      <c r="W81" s="11" t="s">
        <v>1897</v>
      </c>
      <c r="X81" s="11" t="s">
        <v>0</v>
      </c>
      <c r="Y81" s="11" t="s">
        <v>0</v>
      </c>
      <c r="Z81" s="11" t="s">
        <v>0</v>
      </c>
      <c r="AA81" s="11" t="s">
        <v>0</v>
      </c>
      <c r="AB81" s="11" t="s">
        <v>0</v>
      </c>
      <c r="AC81" s="11" t="s">
        <v>0</v>
      </c>
      <c r="AD81" s="11" t="s">
        <v>2048</v>
      </c>
      <c r="AE81" s="11" t="s">
        <v>13</v>
      </c>
    </row>
    <row r="82">
      <c r="B82" s="24" t="s">
        <v>2</v>
      </c>
      <c r="C82" s="12" t="s">
        <v>89</v>
      </c>
      <c r="D82" s="11" t="s">
        <v>649</v>
      </c>
      <c r="E82" s="11" t="s">
        <v>1161</v>
      </c>
      <c r="F82" s="12" t="s">
        <v>2</v>
      </c>
      <c r="G82" s="12" t="s">
        <v>1302</v>
      </c>
      <c r="H82" s="12" t="s">
        <v>1302</v>
      </c>
      <c r="I82" s="12" t="s">
        <v>1310</v>
      </c>
      <c r="J82" s="12" t="s">
        <v>1320</v>
      </c>
      <c r="K82" s="12" t="s">
        <v>1333</v>
      </c>
      <c r="L82" s="12" t="s">
        <v>1303</v>
      </c>
      <c r="M82" s="12" t="s">
        <v>0</v>
      </c>
      <c r="N82" s="13" t="s">
        <v>1411</v>
      </c>
      <c r="O82" s="11" t="s">
        <v>1837</v>
      </c>
      <c r="P82" s="11" t="s">
        <v>1873</v>
      </c>
      <c r="Q82" s="11" t="s">
        <v>1307</v>
      </c>
      <c r="R82" s="11" t="s">
        <v>1882</v>
      </c>
      <c r="S82" s="11" t="s">
        <v>1307</v>
      </c>
      <c r="T82" s="11" t="s">
        <v>1307</v>
      </c>
      <c r="U82" s="11" t="s">
        <v>1890</v>
      </c>
      <c r="V82" s="11" t="s">
        <v>1897</v>
      </c>
      <c r="W82" s="11" t="s">
        <v>0</v>
      </c>
      <c r="X82" s="11" t="s">
        <v>0</v>
      </c>
      <c r="Y82" s="11" t="s">
        <v>0</v>
      </c>
      <c r="Z82" s="11" t="s">
        <v>0</v>
      </c>
      <c r="AA82" s="11" t="s">
        <v>0</v>
      </c>
      <c r="AB82" s="11" t="s">
        <v>0</v>
      </c>
      <c r="AC82" s="11" t="s">
        <v>0</v>
      </c>
      <c r="AD82" s="11" t="s">
        <v>0</v>
      </c>
      <c r="AE82" s="11" t="s">
        <v>13</v>
      </c>
    </row>
    <row r="83">
      <c r="B83" s="24" t="s">
        <v>2</v>
      </c>
      <c r="C83" s="12" t="s">
        <v>90</v>
      </c>
      <c r="D83" s="11" t="s">
        <v>650</v>
      </c>
      <c r="E83" s="11" t="s">
        <v>1161</v>
      </c>
      <c r="F83" s="12" t="s">
        <v>2</v>
      </c>
      <c r="G83" s="12" t="s">
        <v>1302</v>
      </c>
      <c r="H83" s="12" t="s">
        <v>1302</v>
      </c>
      <c r="I83" s="12" t="s">
        <v>1310</v>
      </c>
      <c r="J83" s="12" t="s">
        <v>1320</v>
      </c>
      <c r="K83" s="12" t="s">
        <v>1333</v>
      </c>
      <c r="L83" s="12" t="s">
        <v>1303</v>
      </c>
      <c r="M83" s="12" t="s">
        <v>0</v>
      </c>
      <c r="N83" s="13" t="s">
        <v>1412</v>
      </c>
      <c r="O83" s="11" t="s">
        <v>1837</v>
      </c>
      <c r="P83" s="11" t="s">
        <v>1873</v>
      </c>
      <c r="Q83" s="11" t="s">
        <v>1307</v>
      </c>
      <c r="R83" s="11" t="s">
        <v>1882</v>
      </c>
      <c r="S83" s="11" t="s">
        <v>1307</v>
      </c>
      <c r="T83" s="11" t="s">
        <v>1307</v>
      </c>
      <c r="U83" s="11" t="s">
        <v>1890</v>
      </c>
      <c r="V83" s="11" t="s">
        <v>1897</v>
      </c>
      <c r="W83" s="11" t="s">
        <v>0</v>
      </c>
      <c r="X83" s="11" t="s">
        <v>0</v>
      </c>
      <c r="Y83" s="11" t="s">
        <v>0</v>
      </c>
      <c r="Z83" s="11" t="s">
        <v>0</v>
      </c>
      <c r="AA83" s="11" t="s">
        <v>0</v>
      </c>
      <c r="AB83" s="11" t="s">
        <v>0</v>
      </c>
      <c r="AC83" s="11" t="s">
        <v>0</v>
      </c>
      <c r="AD83" s="11" t="s">
        <v>0</v>
      </c>
      <c r="AE83" s="11" t="s">
        <v>13</v>
      </c>
    </row>
    <row r="84">
      <c r="B84" s="24" t="s">
        <v>9</v>
      </c>
      <c r="C84" s="12" t="s">
        <v>91</v>
      </c>
      <c r="D84" s="11" t="s">
        <v>651</v>
      </c>
      <c r="E84" s="11" t="s">
        <v>1161</v>
      </c>
      <c r="F84" s="12" t="s">
        <v>9</v>
      </c>
      <c r="G84" s="12" t="s">
        <v>1302</v>
      </c>
      <c r="H84" s="12" t="s">
        <v>1302</v>
      </c>
      <c r="I84" s="12" t="s">
        <v>1310</v>
      </c>
      <c r="J84" s="12" t="s">
        <v>1320</v>
      </c>
      <c r="K84" s="12" t="s">
        <v>1333</v>
      </c>
      <c r="L84" s="12" t="s">
        <v>1303</v>
      </c>
      <c r="M84" s="12" t="s">
        <v>0</v>
      </c>
      <c r="N84" s="13" t="s">
        <v>1413</v>
      </c>
      <c r="O84" s="11" t="s">
        <v>1837</v>
      </c>
      <c r="P84" s="11" t="s">
        <v>1873</v>
      </c>
      <c r="Q84" s="11" t="s">
        <v>1307</v>
      </c>
      <c r="R84" s="11" t="s">
        <v>1882</v>
      </c>
      <c r="S84" s="11" t="s">
        <v>1307</v>
      </c>
      <c r="T84" s="11" t="s">
        <v>1307</v>
      </c>
      <c r="U84" s="11" t="s">
        <v>1890</v>
      </c>
      <c r="V84" s="11" t="s">
        <v>1897</v>
      </c>
      <c r="W84" s="11" t="s">
        <v>0</v>
      </c>
      <c r="X84" s="11" t="s">
        <v>0</v>
      </c>
      <c r="Y84" s="11" t="s">
        <v>0</v>
      </c>
      <c r="Z84" s="11" t="s">
        <v>0</v>
      </c>
      <c r="AA84" s="11" t="s">
        <v>0</v>
      </c>
      <c r="AB84" s="11" t="s">
        <v>0</v>
      </c>
      <c r="AC84" s="11" t="s">
        <v>0</v>
      </c>
      <c r="AD84" s="11" t="s">
        <v>0</v>
      </c>
      <c r="AE84" s="11" t="s">
        <v>13</v>
      </c>
    </row>
    <row r="85">
      <c r="B85" s="24" t="s">
        <v>9</v>
      </c>
      <c r="C85" s="12" t="s">
        <v>92</v>
      </c>
      <c r="D85" s="11" t="s">
        <v>652</v>
      </c>
      <c r="E85" s="11" t="s">
        <v>1161</v>
      </c>
      <c r="F85" s="12" t="s">
        <v>9</v>
      </c>
      <c r="G85" s="12" t="s">
        <v>1302</v>
      </c>
      <c r="H85" s="12" t="s">
        <v>1302</v>
      </c>
      <c r="I85" s="12" t="s">
        <v>1310</v>
      </c>
      <c r="J85" s="12" t="s">
        <v>1320</v>
      </c>
      <c r="K85" s="12" t="s">
        <v>1333</v>
      </c>
      <c r="L85" s="12" t="s">
        <v>1303</v>
      </c>
      <c r="M85" s="12" t="s">
        <v>0</v>
      </c>
      <c r="N85" s="13" t="s">
        <v>1414</v>
      </c>
      <c r="O85" s="11" t="s">
        <v>1837</v>
      </c>
      <c r="P85" s="11" t="s">
        <v>1873</v>
      </c>
      <c r="Q85" s="11" t="s">
        <v>1307</v>
      </c>
      <c r="R85" s="11" t="s">
        <v>1882</v>
      </c>
      <c r="S85" s="11" t="s">
        <v>0</v>
      </c>
      <c r="T85" s="11" t="s">
        <v>1306</v>
      </c>
      <c r="U85" s="11" t="s">
        <v>0</v>
      </c>
      <c r="V85" s="11" t="s">
        <v>0</v>
      </c>
      <c r="W85" s="11" t="s">
        <v>0</v>
      </c>
      <c r="X85" s="11" t="s">
        <v>0</v>
      </c>
      <c r="Y85" s="11" t="s">
        <v>0</v>
      </c>
      <c r="Z85" s="11" t="s">
        <v>0</v>
      </c>
      <c r="AA85" s="11" t="s">
        <v>0</v>
      </c>
      <c r="AB85" s="11" t="s">
        <v>0</v>
      </c>
      <c r="AC85" s="11" t="s">
        <v>0</v>
      </c>
      <c r="AD85" s="11" t="s">
        <v>0</v>
      </c>
      <c r="AE85" s="11" t="s">
        <v>2090</v>
      </c>
    </row>
    <row r="86">
      <c r="B86" s="24" t="s">
        <v>9</v>
      </c>
      <c r="C86" s="12" t="s">
        <v>93</v>
      </c>
      <c r="D86" s="11" t="s">
        <v>653</v>
      </c>
      <c r="E86" s="11" t="s">
        <v>1161</v>
      </c>
      <c r="F86" s="12" t="s">
        <v>9</v>
      </c>
      <c r="G86" s="12" t="s">
        <v>1302</v>
      </c>
      <c r="H86" s="12" t="s">
        <v>1302</v>
      </c>
      <c r="I86" s="12" t="s">
        <v>1310</v>
      </c>
      <c r="J86" s="12" t="s">
        <v>1320</v>
      </c>
      <c r="K86" s="12" t="s">
        <v>1333</v>
      </c>
      <c r="L86" s="12" t="s">
        <v>1303</v>
      </c>
      <c r="M86" s="12" t="s">
        <v>0</v>
      </c>
      <c r="N86" s="13" t="s">
        <v>1415</v>
      </c>
      <c r="O86" s="11" t="s">
        <v>1837</v>
      </c>
      <c r="P86" s="11" t="s">
        <v>1873</v>
      </c>
      <c r="Q86" s="11" t="s">
        <v>1307</v>
      </c>
      <c r="R86" s="11" t="s">
        <v>1882</v>
      </c>
      <c r="S86" s="11" t="s">
        <v>0</v>
      </c>
      <c r="T86" s="11" t="s">
        <v>1306</v>
      </c>
      <c r="U86" s="11" t="s">
        <v>0</v>
      </c>
      <c r="V86" s="11" t="s">
        <v>0</v>
      </c>
      <c r="W86" s="11" t="s">
        <v>0</v>
      </c>
      <c r="X86" s="11" t="s">
        <v>0</v>
      </c>
      <c r="Y86" s="11" t="s">
        <v>0</v>
      </c>
      <c r="Z86" s="11" t="s">
        <v>0</v>
      </c>
      <c r="AA86" s="11" t="s">
        <v>0</v>
      </c>
      <c r="AB86" s="11" t="s">
        <v>0</v>
      </c>
      <c r="AC86" s="11" t="s">
        <v>0</v>
      </c>
      <c r="AD86" s="11" t="s">
        <v>0</v>
      </c>
      <c r="AE86" s="11" t="s">
        <v>2090</v>
      </c>
    </row>
    <row r="87">
      <c r="B87" s="24" t="s">
        <v>5</v>
      </c>
      <c r="C87" s="12" t="s">
        <v>94</v>
      </c>
      <c r="D87" s="11" t="s">
        <v>654</v>
      </c>
      <c r="E87" s="11" t="s">
        <v>1161</v>
      </c>
      <c r="F87" s="12" t="s">
        <v>5</v>
      </c>
      <c r="G87" s="12" t="s">
        <v>1302</v>
      </c>
      <c r="H87" s="12" t="s">
        <v>1302</v>
      </c>
      <c r="I87" s="12" t="s">
        <v>1310</v>
      </c>
      <c r="J87" s="12" t="s">
        <v>1320</v>
      </c>
      <c r="K87" s="12" t="s">
        <v>1333</v>
      </c>
      <c r="L87" s="12" t="s">
        <v>1303</v>
      </c>
      <c r="M87" s="12" t="s">
        <v>0</v>
      </c>
      <c r="N87" s="13" t="s">
        <v>1416</v>
      </c>
      <c r="O87" s="11" t="s">
        <v>1837</v>
      </c>
      <c r="P87" s="11" t="s">
        <v>1873</v>
      </c>
      <c r="Q87" s="11" t="s">
        <v>1307</v>
      </c>
      <c r="R87" s="11" t="s">
        <v>1882</v>
      </c>
      <c r="S87" s="11" t="s">
        <v>1307</v>
      </c>
      <c r="T87" s="11" t="s">
        <v>1307</v>
      </c>
      <c r="U87" s="11" t="s">
        <v>1890</v>
      </c>
      <c r="V87" s="11" t="s">
        <v>1906</v>
      </c>
      <c r="W87" s="11" t="s">
        <v>1897</v>
      </c>
      <c r="X87" s="11" t="s">
        <v>0</v>
      </c>
      <c r="Y87" s="11" t="s">
        <v>0</v>
      </c>
      <c r="Z87" s="11" t="s">
        <v>0</v>
      </c>
      <c r="AA87" s="11" t="s">
        <v>0</v>
      </c>
      <c r="AB87" s="11" t="s">
        <v>0</v>
      </c>
      <c r="AC87" s="11" t="s">
        <v>0</v>
      </c>
      <c r="AD87" s="11" t="s">
        <v>2049</v>
      </c>
      <c r="AE87" s="11" t="s">
        <v>13</v>
      </c>
    </row>
    <row r="88">
      <c r="B88" s="24" t="s">
        <v>5</v>
      </c>
      <c r="C88" s="12" t="s">
        <v>95</v>
      </c>
      <c r="D88" s="11" t="s">
        <v>655</v>
      </c>
      <c r="E88" s="11" t="s">
        <v>1161</v>
      </c>
      <c r="F88" s="12" t="s">
        <v>5</v>
      </c>
      <c r="G88" s="12" t="s">
        <v>1302</v>
      </c>
      <c r="H88" s="12" t="s">
        <v>1302</v>
      </c>
      <c r="I88" s="12" t="s">
        <v>1310</v>
      </c>
      <c r="J88" s="12" t="s">
        <v>1320</v>
      </c>
      <c r="K88" s="12" t="s">
        <v>1333</v>
      </c>
      <c r="L88" s="12" t="s">
        <v>1303</v>
      </c>
      <c r="M88" s="12" t="s">
        <v>0</v>
      </c>
      <c r="N88" s="13" t="s">
        <v>1417</v>
      </c>
      <c r="O88" s="11" t="s">
        <v>1837</v>
      </c>
      <c r="P88" s="11" t="s">
        <v>1873</v>
      </c>
      <c r="Q88" s="11" t="s">
        <v>1307</v>
      </c>
      <c r="R88" s="11" t="s">
        <v>1882</v>
      </c>
      <c r="S88" s="11" t="s">
        <v>1307</v>
      </c>
      <c r="T88" s="11" t="s">
        <v>1307</v>
      </c>
      <c r="U88" s="11" t="s">
        <v>1890</v>
      </c>
      <c r="V88" s="11" t="s">
        <v>1897</v>
      </c>
      <c r="W88" s="11" t="s">
        <v>0</v>
      </c>
      <c r="X88" s="11" t="s">
        <v>0</v>
      </c>
      <c r="Y88" s="11" t="s">
        <v>0</v>
      </c>
      <c r="Z88" s="11" t="s">
        <v>0</v>
      </c>
      <c r="AA88" s="11" t="s">
        <v>0</v>
      </c>
      <c r="AB88" s="11" t="s">
        <v>0</v>
      </c>
      <c r="AC88" s="11" t="s">
        <v>0</v>
      </c>
      <c r="AD88" s="11" t="s">
        <v>0</v>
      </c>
      <c r="AE88" s="11" t="s">
        <v>13</v>
      </c>
    </row>
    <row r="89">
      <c r="B89" s="24" t="s">
        <v>8</v>
      </c>
      <c r="C89" s="12" t="s">
        <v>96</v>
      </c>
      <c r="D89" s="11" t="s">
        <v>656</v>
      </c>
      <c r="E89" s="11" t="s">
        <v>1161</v>
      </c>
      <c r="F89" s="12" t="s">
        <v>8</v>
      </c>
      <c r="G89" s="12" t="s">
        <v>1302</v>
      </c>
      <c r="H89" s="12" t="s">
        <v>1302</v>
      </c>
      <c r="I89" s="12" t="s">
        <v>1310</v>
      </c>
      <c r="J89" s="12" t="s">
        <v>1320</v>
      </c>
      <c r="K89" s="12" t="s">
        <v>1333</v>
      </c>
      <c r="L89" s="12" t="s">
        <v>1303</v>
      </c>
      <c r="M89" s="12" t="s">
        <v>0</v>
      </c>
      <c r="N89" s="13" t="s">
        <v>1418</v>
      </c>
      <c r="O89" s="11" t="s">
        <v>1837</v>
      </c>
      <c r="P89" s="11" t="s">
        <v>1873</v>
      </c>
      <c r="Q89" s="11" t="s">
        <v>1307</v>
      </c>
      <c r="R89" s="11" t="s">
        <v>1882</v>
      </c>
      <c r="S89" s="11" t="s">
        <v>1307</v>
      </c>
      <c r="T89" s="11" t="s">
        <v>1307</v>
      </c>
      <c r="U89" s="11" t="s">
        <v>1890</v>
      </c>
      <c r="V89" s="11" t="s">
        <v>1897</v>
      </c>
      <c r="W89" s="11" t="s">
        <v>0</v>
      </c>
      <c r="X89" s="11" t="s">
        <v>0</v>
      </c>
      <c r="Y89" s="11" t="s">
        <v>0</v>
      </c>
      <c r="Z89" s="11" t="s">
        <v>0</v>
      </c>
      <c r="AA89" s="11" t="s">
        <v>0</v>
      </c>
      <c r="AB89" s="11" t="s">
        <v>0</v>
      </c>
      <c r="AC89" s="11" t="s">
        <v>0</v>
      </c>
      <c r="AD89" s="11" t="s">
        <v>0</v>
      </c>
      <c r="AE89" s="11" t="s">
        <v>13</v>
      </c>
    </row>
    <row r="90">
      <c r="B90" s="24" t="s">
        <v>7</v>
      </c>
      <c r="C90" s="12" t="s">
        <v>97</v>
      </c>
      <c r="D90" s="11" t="s">
        <v>657</v>
      </c>
      <c r="E90" s="11" t="s">
        <v>1161</v>
      </c>
      <c r="F90" s="12" t="s">
        <v>7</v>
      </c>
      <c r="G90" s="12" t="s">
        <v>1302</v>
      </c>
      <c r="H90" s="12" t="s">
        <v>1302</v>
      </c>
      <c r="I90" s="12" t="s">
        <v>1310</v>
      </c>
      <c r="J90" s="12" t="s">
        <v>1320</v>
      </c>
      <c r="K90" s="12" t="s">
        <v>1332</v>
      </c>
      <c r="L90" s="12" t="s">
        <v>1303</v>
      </c>
      <c r="M90" s="12" t="s">
        <v>0</v>
      </c>
      <c r="N90" s="13" t="s">
        <v>1419</v>
      </c>
      <c r="O90" s="11" t="s">
        <v>1837</v>
      </c>
      <c r="P90" s="11" t="s">
        <v>1873</v>
      </c>
      <c r="Q90" s="11" t="s">
        <v>1307</v>
      </c>
      <c r="R90" s="11" t="s">
        <v>1882</v>
      </c>
      <c r="S90" s="11" t="s">
        <v>0</v>
      </c>
      <c r="T90" s="11" t="s">
        <v>1307</v>
      </c>
      <c r="U90" s="11" t="s">
        <v>1890</v>
      </c>
      <c r="V90" s="11" t="s">
        <v>1906</v>
      </c>
      <c r="W90" s="11" t="s">
        <v>0</v>
      </c>
      <c r="X90" s="11" t="s">
        <v>0</v>
      </c>
      <c r="Y90" s="11" t="s">
        <v>0</v>
      </c>
      <c r="Z90" s="11" t="s">
        <v>0</v>
      </c>
      <c r="AA90" s="11" t="s">
        <v>0</v>
      </c>
      <c r="AB90" s="11" t="s">
        <v>0</v>
      </c>
      <c r="AC90" s="11" t="s">
        <v>0</v>
      </c>
      <c r="AD90" s="11" t="s">
        <v>2049</v>
      </c>
      <c r="AE90" s="11" t="s">
        <v>13</v>
      </c>
    </row>
    <row r="91">
      <c r="B91" s="24" t="s">
        <v>7</v>
      </c>
      <c r="C91" s="12" t="s">
        <v>98</v>
      </c>
      <c r="D91" s="11" t="s">
        <v>658</v>
      </c>
      <c r="E91" s="11" t="s">
        <v>1161</v>
      </c>
      <c r="F91" s="12" t="s">
        <v>7</v>
      </c>
      <c r="G91" s="12" t="s">
        <v>1302</v>
      </c>
      <c r="H91" s="12" t="s">
        <v>1302</v>
      </c>
      <c r="I91" s="12" t="s">
        <v>1310</v>
      </c>
      <c r="J91" s="12" t="s">
        <v>1320</v>
      </c>
      <c r="K91" s="12" t="s">
        <v>1333</v>
      </c>
      <c r="L91" s="12" t="s">
        <v>1303</v>
      </c>
      <c r="M91" s="12" t="s">
        <v>0</v>
      </c>
      <c r="N91" s="13" t="s">
        <v>1420</v>
      </c>
      <c r="O91" s="11" t="s">
        <v>1837</v>
      </c>
      <c r="P91" s="11" t="s">
        <v>1873</v>
      </c>
      <c r="Q91" s="11" t="s">
        <v>1307</v>
      </c>
      <c r="R91" s="11" t="s">
        <v>1882</v>
      </c>
      <c r="S91" s="11" t="s">
        <v>0</v>
      </c>
      <c r="T91" s="11" t="s">
        <v>1307</v>
      </c>
      <c r="U91" s="11" t="s">
        <v>1890</v>
      </c>
      <c r="V91" s="11" t="s">
        <v>1906</v>
      </c>
      <c r="W91" s="11" t="s">
        <v>0</v>
      </c>
      <c r="X91" s="11" t="s">
        <v>0</v>
      </c>
      <c r="Y91" s="11" t="s">
        <v>0</v>
      </c>
      <c r="Z91" s="11" t="s">
        <v>0</v>
      </c>
      <c r="AA91" s="11" t="s">
        <v>0</v>
      </c>
      <c r="AB91" s="11" t="s">
        <v>0</v>
      </c>
      <c r="AC91" s="11" t="s">
        <v>0</v>
      </c>
      <c r="AD91" s="11" t="s">
        <v>2049</v>
      </c>
      <c r="AE91" s="11" t="s">
        <v>13</v>
      </c>
    </row>
    <row r="92">
      <c r="B92" s="24" t="s">
        <v>4</v>
      </c>
      <c r="C92" s="12" t="s">
        <v>99</v>
      </c>
      <c r="D92" s="11" t="s">
        <v>659</v>
      </c>
      <c r="E92" s="11" t="s">
        <v>1161</v>
      </c>
      <c r="F92" s="12" t="s">
        <v>4</v>
      </c>
      <c r="G92" s="12" t="s">
        <v>1302</v>
      </c>
      <c r="H92" s="12" t="s">
        <v>1302</v>
      </c>
      <c r="I92" s="12" t="s">
        <v>1310</v>
      </c>
      <c r="J92" s="12" t="s">
        <v>1320</v>
      </c>
      <c r="K92" s="12" t="s">
        <v>1333</v>
      </c>
      <c r="L92" s="12" t="s">
        <v>1303</v>
      </c>
      <c r="M92" s="12" t="s">
        <v>0</v>
      </c>
      <c r="N92" s="13" t="s">
        <v>1421</v>
      </c>
      <c r="O92" s="11" t="s">
        <v>1837</v>
      </c>
      <c r="P92" s="11" t="s">
        <v>1873</v>
      </c>
      <c r="Q92" s="11" t="s">
        <v>1307</v>
      </c>
      <c r="R92" s="11" t="s">
        <v>1882</v>
      </c>
      <c r="S92" s="11" t="s">
        <v>0</v>
      </c>
      <c r="T92" s="11" t="s">
        <v>1306</v>
      </c>
      <c r="U92" s="11" t="s">
        <v>0</v>
      </c>
      <c r="V92" s="11" t="s">
        <v>0</v>
      </c>
      <c r="W92" s="11" t="s">
        <v>0</v>
      </c>
      <c r="X92" s="11" t="s">
        <v>0</v>
      </c>
      <c r="Y92" s="11" t="s">
        <v>0</v>
      </c>
      <c r="Z92" s="11" t="s">
        <v>0</v>
      </c>
      <c r="AA92" s="11" t="s">
        <v>0</v>
      </c>
      <c r="AB92" s="11" t="s">
        <v>0</v>
      </c>
      <c r="AC92" s="11" t="s">
        <v>0</v>
      </c>
      <c r="AD92" s="11" t="s">
        <v>0</v>
      </c>
      <c r="AE92" s="11" t="s">
        <v>2090</v>
      </c>
    </row>
    <row r="93">
      <c r="B93" s="24" t="s">
        <v>3</v>
      </c>
      <c r="C93" s="12" t="s">
        <v>100</v>
      </c>
      <c r="D93" s="11" t="s">
        <v>660</v>
      </c>
      <c r="E93" s="11" t="s">
        <v>1161</v>
      </c>
      <c r="F93" s="12" t="s">
        <v>3</v>
      </c>
      <c r="G93" s="12" t="s">
        <v>1302</v>
      </c>
      <c r="H93" s="12" t="s">
        <v>1302</v>
      </c>
      <c r="I93" s="12" t="s">
        <v>1310</v>
      </c>
      <c r="J93" s="12" t="s">
        <v>1320</v>
      </c>
      <c r="K93" s="12" t="s">
        <v>1333</v>
      </c>
      <c r="L93" s="12" t="s">
        <v>1303</v>
      </c>
      <c r="M93" s="12" t="s">
        <v>0</v>
      </c>
      <c r="N93" s="13" t="s">
        <v>1422</v>
      </c>
      <c r="O93" s="11" t="s">
        <v>1837</v>
      </c>
      <c r="P93" s="11" t="s">
        <v>1873</v>
      </c>
      <c r="Q93" s="11" t="s">
        <v>1307</v>
      </c>
      <c r="R93" s="11" t="s">
        <v>1882</v>
      </c>
      <c r="S93" s="11" t="s">
        <v>0</v>
      </c>
      <c r="T93" s="11" t="s">
        <v>1307</v>
      </c>
      <c r="U93" s="11" t="s">
        <v>1888</v>
      </c>
      <c r="V93" s="11" t="s">
        <v>1906</v>
      </c>
      <c r="W93" s="11" t="s">
        <v>0</v>
      </c>
      <c r="X93" s="11" t="s">
        <v>0</v>
      </c>
      <c r="Y93" s="11" t="s">
        <v>0</v>
      </c>
      <c r="Z93" s="11" t="s">
        <v>1966</v>
      </c>
      <c r="AA93" s="11" t="s">
        <v>1966</v>
      </c>
      <c r="AB93" s="11" t="s">
        <v>2003</v>
      </c>
      <c r="AC93" s="11" t="s">
        <v>54</v>
      </c>
      <c r="AD93" s="11" t="s">
        <v>2050</v>
      </c>
      <c r="AE93" s="11" t="s">
        <v>13</v>
      </c>
    </row>
    <row r="94">
      <c r="B94" s="24" t="s">
        <v>4</v>
      </c>
      <c r="C94" s="12" t="s">
        <v>101</v>
      </c>
      <c r="D94" s="11" t="s">
        <v>661</v>
      </c>
      <c r="E94" s="11" t="s">
        <v>1161</v>
      </c>
      <c r="F94" s="12" t="s">
        <v>4</v>
      </c>
      <c r="G94" s="12" t="s">
        <v>1302</v>
      </c>
      <c r="H94" s="12" t="s">
        <v>1302</v>
      </c>
      <c r="I94" s="12" t="s">
        <v>1310</v>
      </c>
      <c r="J94" s="12" t="s">
        <v>1320</v>
      </c>
      <c r="K94" s="12" t="s">
        <v>1333</v>
      </c>
      <c r="L94" s="12" t="s">
        <v>1303</v>
      </c>
      <c r="M94" s="12" t="s">
        <v>0</v>
      </c>
      <c r="N94" s="13" t="s">
        <v>1423</v>
      </c>
      <c r="O94" s="11" t="s">
        <v>1837</v>
      </c>
      <c r="P94" s="11" t="s">
        <v>1873</v>
      </c>
      <c r="Q94" s="11" t="s">
        <v>1307</v>
      </c>
      <c r="R94" s="11" t="s">
        <v>1882</v>
      </c>
      <c r="S94" s="11" t="s">
        <v>0</v>
      </c>
      <c r="T94" s="11" t="s">
        <v>1306</v>
      </c>
      <c r="U94" s="11" t="s">
        <v>0</v>
      </c>
      <c r="V94" s="11" t="s">
        <v>0</v>
      </c>
      <c r="W94" s="11" t="s">
        <v>0</v>
      </c>
      <c r="X94" s="11" t="s">
        <v>0</v>
      </c>
      <c r="Y94" s="11" t="s">
        <v>0</v>
      </c>
      <c r="Z94" s="11" t="s">
        <v>0</v>
      </c>
      <c r="AA94" s="11" t="s">
        <v>0</v>
      </c>
      <c r="AB94" s="11" t="s">
        <v>0</v>
      </c>
      <c r="AC94" s="11" t="s">
        <v>0</v>
      </c>
      <c r="AD94" s="11" t="s">
        <v>0</v>
      </c>
      <c r="AE94" s="11" t="s">
        <v>2090</v>
      </c>
    </row>
    <row r="95">
      <c r="B95" s="24" t="s">
        <v>1</v>
      </c>
      <c r="C95" s="12" t="s">
        <v>102</v>
      </c>
      <c r="D95" s="11" t="s">
        <v>662</v>
      </c>
      <c r="E95" s="11" t="s">
        <v>1161</v>
      </c>
      <c r="F95" s="12" t="s">
        <v>1285</v>
      </c>
      <c r="G95" s="12" t="s">
        <v>1302</v>
      </c>
      <c r="H95" s="12" t="s">
        <v>1302</v>
      </c>
      <c r="I95" s="12" t="s">
        <v>1310</v>
      </c>
      <c r="J95" s="12" t="s">
        <v>1320</v>
      </c>
      <c r="K95" s="12" t="s">
        <v>1333</v>
      </c>
      <c r="L95" s="12" t="s">
        <v>1303</v>
      </c>
      <c r="M95" s="12" t="s">
        <v>0</v>
      </c>
      <c r="N95" s="13" t="s">
        <v>1424</v>
      </c>
      <c r="O95" s="11" t="s">
        <v>1837</v>
      </c>
      <c r="P95" s="11" t="s">
        <v>1873</v>
      </c>
      <c r="Q95" s="11" t="s">
        <v>1307</v>
      </c>
      <c r="R95" s="11" t="s">
        <v>1882</v>
      </c>
      <c r="S95" s="11" t="s">
        <v>0</v>
      </c>
      <c r="T95" s="11" t="s">
        <v>1306</v>
      </c>
      <c r="U95" s="11" t="s">
        <v>0</v>
      </c>
      <c r="V95" s="11" t="s">
        <v>0</v>
      </c>
      <c r="W95" s="11" t="s">
        <v>0</v>
      </c>
      <c r="X95" s="11" t="s">
        <v>0</v>
      </c>
      <c r="Y95" s="11" t="s">
        <v>0</v>
      </c>
      <c r="Z95" s="11" t="s">
        <v>0</v>
      </c>
      <c r="AA95" s="11" t="s">
        <v>0</v>
      </c>
      <c r="AB95" s="11" t="s">
        <v>0</v>
      </c>
      <c r="AC95" s="11" t="s">
        <v>0</v>
      </c>
      <c r="AD95" s="11" t="s">
        <v>0</v>
      </c>
      <c r="AE95" s="11" t="s">
        <v>2090</v>
      </c>
    </row>
    <row r="96">
      <c r="B96" s="24" t="s">
        <v>7</v>
      </c>
      <c r="C96" s="12" t="s">
        <v>103</v>
      </c>
      <c r="D96" s="11" t="s">
        <v>663</v>
      </c>
      <c r="E96" s="11" t="s">
        <v>1161</v>
      </c>
      <c r="F96" s="12" t="s">
        <v>7</v>
      </c>
      <c r="G96" s="12" t="s">
        <v>1302</v>
      </c>
      <c r="H96" s="12" t="s">
        <v>1302</v>
      </c>
      <c r="I96" s="12" t="s">
        <v>1310</v>
      </c>
      <c r="J96" s="12" t="s">
        <v>1320</v>
      </c>
      <c r="K96" s="12" t="s">
        <v>1333</v>
      </c>
      <c r="L96" s="12" t="s">
        <v>1303</v>
      </c>
      <c r="M96" s="12" t="s">
        <v>0</v>
      </c>
      <c r="N96" s="13" t="s">
        <v>1425</v>
      </c>
      <c r="O96" s="11" t="s">
        <v>1837</v>
      </c>
      <c r="P96" s="11" t="s">
        <v>1873</v>
      </c>
      <c r="Q96" s="11" t="s">
        <v>1307</v>
      </c>
      <c r="R96" s="11" t="s">
        <v>1882</v>
      </c>
      <c r="S96" s="11" t="s">
        <v>0</v>
      </c>
      <c r="T96" s="11" t="s">
        <v>1306</v>
      </c>
      <c r="U96" s="11" t="s">
        <v>0</v>
      </c>
      <c r="V96" s="11" t="s">
        <v>0</v>
      </c>
      <c r="W96" s="11" t="s">
        <v>0</v>
      </c>
      <c r="X96" s="11" t="s">
        <v>0</v>
      </c>
      <c r="Y96" s="11" t="s">
        <v>0</v>
      </c>
      <c r="Z96" s="11" t="s">
        <v>0</v>
      </c>
      <c r="AA96" s="11" t="s">
        <v>0</v>
      </c>
      <c r="AB96" s="11" t="s">
        <v>0</v>
      </c>
      <c r="AC96" s="11" t="s">
        <v>0</v>
      </c>
      <c r="AD96" s="11" t="s">
        <v>0</v>
      </c>
      <c r="AE96" s="11" t="s">
        <v>2090</v>
      </c>
    </row>
    <row r="97">
      <c r="B97" s="24" t="s">
        <v>1</v>
      </c>
      <c r="C97" s="12" t="s">
        <v>104</v>
      </c>
      <c r="D97" s="11" t="s">
        <v>664</v>
      </c>
      <c r="E97" s="11" t="s">
        <v>1161</v>
      </c>
      <c r="F97" s="12" t="s">
        <v>1286</v>
      </c>
      <c r="G97" s="12" t="s">
        <v>1302</v>
      </c>
      <c r="H97" s="12" t="s">
        <v>1302</v>
      </c>
      <c r="I97" s="12" t="s">
        <v>1310</v>
      </c>
      <c r="J97" s="12" t="s">
        <v>1320</v>
      </c>
      <c r="K97" s="12" t="s">
        <v>1333</v>
      </c>
      <c r="L97" s="12" t="s">
        <v>1303</v>
      </c>
      <c r="M97" s="12" t="s">
        <v>0</v>
      </c>
      <c r="N97" s="13" t="s">
        <v>1426</v>
      </c>
      <c r="O97" s="11" t="s">
        <v>1837</v>
      </c>
      <c r="P97" s="11" t="s">
        <v>1873</v>
      </c>
      <c r="Q97" s="11" t="s">
        <v>1307</v>
      </c>
      <c r="R97" s="11" t="s">
        <v>1882</v>
      </c>
      <c r="S97" s="11" t="s">
        <v>0</v>
      </c>
      <c r="T97" s="11" t="s">
        <v>1307</v>
      </c>
      <c r="U97" s="11" t="s">
        <v>1890</v>
      </c>
      <c r="V97" s="11" t="s">
        <v>1906</v>
      </c>
      <c r="W97" s="11" t="s">
        <v>0</v>
      </c>
      <c r="X97" s="11" t="s">
        <v>0</v>
      </c>
      <c r="Y97" s="11" t="s">
        <v>0</v>
      </c>
      <c r="Z97" s="11" t="s">
        <v>0</v>
      </c>
      <c r="AA97" s="11" t="s">
        <v>0</v>
      </c>
      <c r="AB97" s="11" t="s">
        <v>0</v>
      </c>
      <c r="AC97" s="11" t="s">
        <v>0</v>
      </c>
      <c r="AD97" s="11" t="s">
        <v>2051</v>
      </c>
      <c r="AE97" s="11" t="s">
        <v>13</v>
      </c>
    </row>
    <row r="98">
      <c r="B98" s="24" t="s">
        <v>7</v>
      </c>
      <c r="C98" s="12" t="s">
        <v>105</v>
      </c>
      <c r="D98" s="11" t="s">
        <v>665</v>
      </c>
      <c r="E98" s="11" t="s">
        <v>1161</v>
      </c>
      <c r="F98" s="12" t="s">
        <v>7</v>
      </c>
      <c r="G98" s="12" t="s">
        <v>1302</v>
      </c>
      <c r="H98" s="12" t="s">
        <v>1302</v>
      </c>
      <c r="I98" s="12" t="s">
        <v>1310</v>
      </c>
      <c r="J98" s="12" t="s">
        <v>1320</v>
      </c>
      <c r="K98" s="12" t="s">
        <v>1333</v>
      </c>
      <c r="L98" s="12" t="s">
        <v>1303</v>
      </c>
      <c r="M98" s="12" t="s">
        <v>0</v>
      </c>
      <c r="N98" s="13" t="s">
        <v>1427</v>
      </c>
      <c r="O98" s="11" t="s">
        <v>1837</v>
      </c>
      <c r="P98" s="11" t="s">
        <v>1873</v>
      </c>
      <c r="Q98" s="11" t="s">
        <v>1307</v>
      </c>
      <c r="R98" s="11" t="s">
        <v>1882</v>
      </c>
      <c r="S98" s="11" t="s">
        <v>0</v>
      </c>
      <c r="T98" s="11" t="s">
        <v>1307</v>
      </c>
      <c r="U98" s="11" t="s">
        <v>1890</v>
      </c>
      <c r="V98" s="11" t="s">
        <v>1906</v>
      </c>
      <c r="W98" s="11" t="s">
        <v>0</v>
      </c>
      <c r="X98" s="11" t="s">
        <v>0</v>
      </c>
      <c r="Y98" s="11" t="s">
        <v>0</v>
      </c>
      <c r="Z98" s="11" t="s">
        <v>0</v>
      </c>
      <c r="AA98" s="11" t="s">
        <v>0</v>
      </c>
      <c r="AB98" s="11" t="s">
        <v>0</v>
      </c>
      <c r="AC98" s="11" t="s">
        <v>0</v>
      </c>
      <c r="AD98" s="11" t="s">
        <v>2052</v>
      </c>
      <c r="AE98" s="11" t="s">
        <v>13</v>
      </c>
    </row>
    <row r="99">
      <c r="B99" s="24" t="s">
        <v>2</v>
      </c>
      <c r="C99" s="12" t="s">
        <v>106</v>
      </c>
      <c r="D99" s="11" t="s">
        <v>666</v>
      </c>
      <c r="E99" s="11" t="s">
        <v>1161</v>
      </c>
      <c r="F99" s="12" t="s">
        <v>2</v>
      </c>
      <c r="G99" s="12" t="s">
        <v>1302</v>
      </c>
      <c r="H99" s="12" t="s">
        <v>1302</v>
      </c>
      <c r="I99" s="12" t="s">
        <v>1310</v>
      </c>
      <c r="J99" s="12" t="s">
        <v>1320</v>
      </c>
      <c r="K99" s="12" t="s">
        <v>1333</v>
      </c>
      <c r="L99" s="12" t="s">
        <v>1303</v>
      </c>
      <c r="M99" s="12" t="s">
        <v>0</v>
      </c>
      <c r="N99" s="13" t="s">
        <v>1428</v>
      </c>
      <c r="O99" s="11" t="s">
        <v>1837</v>
      </c>
      <c r="P99" s="11" t="s">
        <v>1873</v>
      </c>
      <c r="Q99" s="11" t="s">
        <v>1307</v>
      </c>
      <c r="R99" s="11" t="s">
        <v>1882</v>
      </c>
      <c r="S99" s="11" t="s">
        <v>0</v>
      </c>
      <c r="T99" s="11" t="s">
        <v>1306</v>
      </c>
      <c r="U99" s="11" t="s">
        <v>0</v>
      </c>
      <c r="V99" s="11" t="s">
        <v>0</v>
      </c>
      <c r="W99" s="11" t="s">
        <v>0</v>
      </c>
      <c r="X99" s="11" t="s">
        <v>0</v>
      </c>
      <c r="Y99" s="11" t="s">
        <v>0</v>
      </c>
      <c r="Z99" s="11" t="s">
        <v>0</v>
      </c>
      <c r="AA99" s="11" t="s">
        <v>0</v>
      </c>
      <c r="AB99" s="11" t="s">
        <v>0</v>
      </c>
      <c r="AC99" s="11" t="s">
        <v>0</v>
      </c>
      <c r="AD99" s="11" t="s">
        <v>0</v>
      </c>
      <c r="AE99" s="11" t="s">
        <v>2090</v>
      </c>
    </row>
    <row r="100">
      <c r="B100" s="24" t="s">
        <v>1</v>
      </c>
      <c r="C100" s="12" t="s">
        <v>107</v>
      </c>
      <c r="D100" s="11" t="s">
        <v>667</v>
      </c>
      <c r="E100" s="11" t="s">
        <v>1161</v>
      </c>
      <c r="F100" s="12" t="s">
        <v>1273</v>
      </c>
      <c r="G100" s="12" t="s">
        <v>1302</v>
      </c>
      <c r="H100" s="12" t="s">
        <v>1302</v>
      </c>
      <c r="I100" s="12" t="s">
        <v>1310</v>
      </c>
      <c r="J100" s="12" t="s">
        <v>1320</v>
      </c>
      <c r="K100" s="12" t="s">
        <v>1332</v>
      </c>
      <c r="L100" s="12" t="s">
        <v>1303</v>
      </c>
      <c r="M100" s="12" t="s">
        <v>0</v>
      </c>
      <c r="N100" s="13" t="s">
        <v>1429</v>
      </c>
      <c r="O100" s="11" t="s">
        <v>1837</v>
      </c>
      <c r="P100" s="11" t="s">
        <v>1873</v>
      </c>
      <c r="Q100" s="11" t="s">
        <v>1307</v>
      </c>
      <c r="R100" s="11" t="s">
        <v>1882</v>
      </c>
      <c r="S100" s="11" t="s">
        <v>0</v>
      </c>
      <c r="T100" s="11" t="s">
        <v>1307</v>
      </c>
      <c r="U100" s="11" t="s">
        <v>1890</v>
      </c>
      <c r="V100" s="11" t="s">
        <v>1906</v>
      </c>
      <c r="W100" s="11" t="s">
        <v>0</v>
      </c>
      <c r="X100" s="11" t="s">
        <v>0</v>
      </c>
      <c r="Y100" s="11" t="s">
        <v>0</v>
      </c>
      <c r="Z100" s="11" t="s">
        <v>0</v>
      </c>
      <c r="AA100" s="11" t="s">
        <v>0</v>
      </c>
      <c r="AB100" s="11" t="s">
        <v>0</v>
      </c>
      <c r="AC100" s="11" t="s">
        <v>0</v>
      </c>
      <c r="AD100" s="11" t="s">
        <v>2052</v>
      </c>
      <c r="AE100" s="11" t="s">
        <v>13</v>
      </c>
    </row>
    <row r="101">
      <c r="B101" s="24" t="s">
        <v>9</v>
      </c>
      <c r="C101" s="12" t="s">
        <v>108</v>
      </c>
      <c r="D101" s="11" t="s">
        <v>668</v>
      </c>
      <c r="E101" s="11" t="s">
        <v>1161</v>
      </c>
      <c r="F101" s="12" t="s">
        <v>9</v>
      </c>
      <c r="G101" s="12" t="s">
        <v>1302</v>
      </c>
      <c r="H101" s="12" t="s">
        <v>1302</v>
      </c>
      <c r="I101" s="12" t="s">
        <v>1310</v>
      </c>
      <c r="J101" s="12" t="s">
        <v>1320</v>
      </c>
      <c r="K101" s="12" t="s">
        <v>1332</v>
      </c>
      <c r="L101" s="12" t="s">
        <v>1303</v>
      </c>
      <c r="M101" s="12" t="s">
        <v>0</v>
      </c>
      <c r="N101" s="13" t="s">
        <v>1430</v>
      </c>
      <c r="O101" s="11" t="s">
        <v>1837</v>
      </c>
      <c r="P101" s="11" t="s">
        <v>1873</v>
      </c>
      <c r="Q101" s="11" t="s">
        <v>1307</v>
      </c>
      <c r="R101" s="11" t="s">
        <v>1882</v>
      </c>
      <c r="S101" s="11" t="s">
        <v>0</v>
      </c>
      <c r="T101" s="11" t="s">
        <v>1306</v>
      </c>
      <c r="U101" s="11" t="s">
        <v>0</v>
      </c>
      <c r="V101" s="11" t="s">
        <v>1900</v>
      </c>
      <c r="W101" s="11" t="s">
        <v>0</v>
      </c>
      <c r="X101" s="11" t="s">
        <v>0</v>
      </c>
      <c r="Y101" s="11" t="s">
        <v>0</v>
      </c>
      <c r="Z101" s="11" t="s">
        <v>0</v>
      </c>
      <c r="AA101" s="11" t="s">
        <v>0</v>
      </c>
      <c r="AB101" s="11" t="s">
        <v>0</v>
      </c>
      <c r="AC101" s="11" t="s">
        <v>0</v>
      </c>
      <c r="AD101" s="11" t="s">
        <v>2053</v>
      </c>
      <c r="AE101" s="11" t="s">
        <v>2090</v>
      </c>
    </row>
    <row r="102">
      <c r="B102" s="24" t="s">
        <v>8</v>
      </c>
      <c r="C102" s="12" t="s">
        <v>109</v>
      </c>
      <c r="D102" s="11" t="s">
        <v>669</v>
      </c>
      <c r="E102" s="11" t="s">
        <v>1161</v>
      </c>
      <c r="F102" s="12" t="s">
        <v>8</v>
      </c>
      <c r="G102" s="12" t="s">
        <v>1302</v>
      </c>
      <c r="H102" s="12" t="s">
        <v>1302</v>
      </c>
      <c r="I102" s="12" t="s">
        <v>1310</v>
      </c>
      <c r="J102" s="12" t="s">
        <v>1320</v>
      </c>
      <c r="K102" s="12" t="s">
        <v>1333</v>
      </c>
      <c r="L102" s="12" t="s">
        <v>1303</v>
      </c>
      <c r="M102" s="12" t="s">
        <v>0</v>
      </c>
      <c r="N102" s="13" t="s">
        <v>1431</v>
      </c>
      <c r="O102" s="11" t="s">
        <v>1837</v>
      </c>
      <c r="P102" s="11" t="s">
        <v>1873</v>
      </c>
      <c r="Q102" s="11" t="s">
        <v>1307</v>
      </c>
      <c r="R102" s="11" t="s">
        <v>1882</v>
      </c>
      <c r="S102" s="11" t="s">
        <v>0</v>
      </c>
      <c r="T102" s="11" t="s">
        <v>1307</v>
      </c>
      <c r="U102" s="11" t="s">
        <v>1890</v>
      </c>
      <c r="V102" s="11" t="s">
        <v>1906</v>
      </c>
      <c r="W102" s="11" t="s">
        <v>0</v>
      </c>
      <c r="X102" s="11" t="s">
        <v>0</v>
      </c>
      <c r="Y102" s="11" t="s">
        <v>0</v>
      </c>
      <c r="Z102" s="11" t="s">
        <v>0</v>
      </c>
      <c r="AA102" s="11" t="s">
        <v>0</v>
      </c>
      <c r="AB102" s="11" t="s">
        <v>0</v>
      </c>
      <c r="AC102" s="11" t="s">
        <v>0</v>
      </c>
      <c r="AD102" s="11" t="s">
        <v>2054</v>
      </c>
      <c r="AE102" s="11" t="s">
        <v>13</v>
      </c>
    </row>
    <row r="103">
      <c r="B103" s="24" t="s">
        <v>8</v>
      </c>
      <c r="C103" s="12" t="s">
        <v>110</v>
      </c>
      <c r="D103" s="11" t="s">
        <v>670</v>
      </c>
      <c r="E103" s="11" t="s">
        <v>1161</v>
      </c>
      <c r="F103" s="12" t="s">
        <v>8</v>
      </c>
      <c r="G103" s="12" t="s">
        <v>1302</v>
      </c>
      <c r="H103" s="12" t="s">
        <v>1302</v>
      </c>
      <c r="I103" s="12" t="s">
        <v>1310</v>
      </c>
      <c r="J103" s="12" t="s">
        <v>1320</v>
      </c>
      <c r="K103" s="12" t="s">
        <v>1333</v>
      </c>
      <c r="L103" s="12" t="s">
        <v>1303</v>
      </c>
      <c r="M103" s="12" t="s">
        <v>0</v>
      </c>
      <c r="N103" s="13" t="s">
        <v>0</v>
      </c>
      <c r="O103" s="11" t="s">
        <v>1837</v>
      </c>
      <c r="P103" s="11" t="s">
        <v>1873</v>
      </c>
      <c r="Q103" s="11" t="s">
        <v>1307</v>
      </c>
      <c r="R103" s="11" t="s">
        <v>1882</v>
      </c>
      <c r="S103" s="11" t="s">
        <v>0</v>
      </c>
      <c r="T103" s="11" t="s">
        <v>1306</v>
      </c>
      <c r="U103" s="11" t="s">
        <v>0</v>
      </c>
      <c r="V103" s="11" t="s">
        <v>0</v>
      </c>
      <c r="W103" s="11" t="s">
        <v>0</v>
      </c>
      <c r="X103" s="11" t="s">
        <v>0</v>
      </c>
      <c r="Y103" s="11" t="s">
        <v>0</v>
      </c>
      <c r="Z103" s="11" t="s">
        <v>0</v>
      </c>
      <c r="AA103" s="11" t="s">
        <v>0</v>
      </c>
      <c r="AB103" s="11" t="s">
        <v>0</v>
      </c>
      <c r="AC103" s="11" t="s">
        <v>0</v>
      </c>
      <c r="AD103" s="11" t="s">
        <v>0</v>
      </c>
      <c r="AE103" s="11" t="s">
        <v>2090</v>
      </c>
    </row>
    <row r="104">
      <c r="B104" s="24" t="s">
        <v>8</v>
      </c>
      <c r="C104" s="12" t="s">
        <v>111</v>
      </c>
      <c r="D104" s="11" t="s">
        <v>671</v>
      </c>
      <c r="E104" s="11" t="s">
        <v>1161</v>
      </c>
      <c r="F104" s="12" t="s">
        <v>8</v>
      </c>
      <c r="G104" s="12" t="s">
        <v>1302</v>
      </c>
      <c r="H104" s="12" t="s">
        <v>1302</v>
      </c>
      <c r="I104" s="12" t="s">
        <v>1310</v>
      </c>
      <c r="J104" s="12" t="s">
        <v>1320</v>
      </c>
      <c r="K104" s="12" t="s">
        <v>1333</v>
      </c>
      <c r="L104" s="12" t="s">
        <v>1303</v>
      </c>
      <c r="M104" s="12" t="s">
        <v>0</v>
      </c>
      <c r="N104" s="13" t="s">
        <v>0</v>
      </c>
      <c r="O104" s="11" t="s">
        <v>1837</v>
      </c>
      <c r="P104" s="11" t="s">
        <v>1873</v>
      </c>
      <c r="Q104" s="11" t="s">
        <v>1307</v>
      </c>
      <c r="R104" s="11" t="s">
        <v>1882</v>
      </c>
      <c r="S104" s="11" t="s">
        <v>0</v>
      </c>
      <c r="T104" s="11" t="s">
        <v>1306</v>
      </c>
      <c r="U104" s="11" t="s">
        <v>0</v>
      </c>
      <c r="V104" s="11" t="s">
        <v>0</v>
      </c>
      <c r="W104" s="11" t="s">
        <v>0</v>
      </c>
      <c r="X104" s="11" t="s">
        <v>0</v>
      </c>
      <c r="Y104" s="11" t="s">
        <v>0</v>
      </c>
      <c r="Z104" s="11" t="s">
        <v>0</v>
      </c>
      <c r="AA104" s="11" t="s">
        <v>0</v>
      </c>
      <c r="AB104" s="11" t="s">
        <v>0</v>
      </c>
      <c r="AC104" s="11" t="s">
        <v>0</v>
      </c>
      <c r="AD104" s="11" t="s">
        <v>0</v>
      </c>
      <c r="AE104" s="11" t="s">
        <v>2090</v>
      </c>
    </row>
    <row r="105">
      <c r="B105" s="24" t="s">
        <v>6</v>
      </c>
      <c r="C105" s="12" t="s">
        <v>112</v>
      </c>
      <c r="D105" s="11" t="s">
        <v>672</v>
      </c>
      <c r="E105" s="11" t="s">
        <v>1161</v>
      </c>
      <c r="F105" s="12" t="s">
        <v>6</v>
      </c>
      <c r="G105" s="12" t="s">
        <v>1302</v>
      </c>
      <c r="H105" s="12" t="s">
        <v>1302</v>
      </c>
      <c r="I105" s="12" t="s">
        <v>1310</v>
      </c>
      <c r="J105" s="12" t="s">
        <v>1320</v>
      </c>
      <c r="K105" s="12" t="s">
        <v>1332</v>
      </c>
      <c r="L105" s="12" t="s">
        <v>1303</v>
      </c>
      <c r="M105" s="12" t="s">
        <v>0</v>
      </c>
      <c r="N105" s="13" t="s">
        <v>1432</v>
      </c>
      <c r="O105" s="11" t="s">
        <v>1837</v>
      </c>
      <c r="P105" s="11" t="s">
        <v>1873</v>
      </c>
      <c r="Q105" s="11" t="s">
        <v>1307</v>
      </c>
      <c r="R105" s="11" t="s">
        <v>1882</v>
      </c>
      <c r="S105" s="11" t="s">
        <v>0</v>
      </c>
      <c r="T105" s="11" t="s">
        <v>1307</v>
      </c>
      <c r="U105" s="11" t="s">
        <v>1890</v>
      </c>
      <c r="V105" s="11" t="s">
        <v>1906</v>
      </c>
      <c r="W105" s="11" t="s">
        <v>0</v>
      </c>
      <c r="X105" s="11" t="s">
        <v>0</v>
      </c>
      <c r="Y105" s="11" t="s">
        <v>0</v>
      </c>
      <c r="Z105" s="11" t="s">
        <v>0</v>
      </c>
      <c r="AA105" s="11" t="s">
        <v>0</v>
      </c>
      <c r="AB105" s="11" t="s">
        <v>0</v>
      </c>
      <c r="AC105" s="11" t="s">
        <v>0</v>
      </c>
      <c r="AD105" s="11" t="s">
        <v>2055</v>
      </c>
      <c r="AE105" s="11" t="s">
        <v>13</v>
      </c>
    </row>
    <row r="106">
      <c r="B106" s="24" t="s">
        <v>6</v>
      </c>
      <c r="C106" s="12" t="s">
        <v>113</v>
      </c>
      <c r="D106" s="11" t="s">
        <v>673</v>
      </c>
      <c r="E106" s="11" t="s">
        <v>1161</v>
      </c>
      <c r="F106" s="12" t="s">
        <v>6</v>
      </c>
      <c r="G106" s="12" t="s">
        <v>1302</v>
      </c>
      <c r="H106" s="12" t="s">
        <v>1302</v>
      </c>
      <c r="I106" s="12" t="s">
        <v>1310</v>
      </c>
      <c r="J106" s="12" t="s">
        <v>1320</v>
      </c>
      <c r="K106" s="12" t="s">
        <v>1333</v>
      </c>
      <c r="L106" s="12" t="s">
        <v>1303</v>
      </c>
      <c r="M106" s="12" t="s">
        <v>0</v>
      </c>
      <c r="N106" s="13" t="s">
        <v>1433</v>
      </c>
      <c r="O106" s="11" t="s">
        <v>1837</v>
      </c>
      <c r="P106" s="11" t="s">
        <v>1873</v>
      </c>
      <c r="Q106" s="11" t="s">
        <v>1307</v>
      </c>
      <c r="R106" s="11" t="s">
        <v>1882</v>
      </c>
      <c r="S106" s="11" t="s">
        <v>0</v>
      </c>
      <c r="T106" s="11" t="s">
        <v>1306</v>
      </c>
      <c r="U106" s="11" t="s">
        <v>0</v>
      </c>
      <c r="V106" s="11" t="s">
        <v>0</v>
      </c>
      <c r="W106" s="11" t="s">
        <v>0</v>
      </c>
      <c r="X106" s="11" t="s">
        <v>0</v>
      </c>
      <c r="Y106" s="11" t="s">
        <v>0</v>
      </c>
      <c r="Z106" s="11" t="s">
        <v>0</v>
      </c>
      <c r="AA106" s="11" t="s">
        <v>0</v>
      </c>
      <c r="AB106" s="11" t="s">
        <v>0</v>
      </c>
      <c r="AC106" s="11" t="s">
        <v>0</v>
      </c>
      <c r="AD106" s="11" t="s">
        <v>0</v>
      </c>
      <c r="AE106" s="11" t="s">
        <v>2090</v>
      </c>
    </row>
    <row r="107">
      <c r="B107" s="24" t="s">
        <v>6</v>
      </c>
      <c r="C107" s="12" t="s">
        <v>114</v>
      </c>
      <c r="D107" s="11" t="s">
        <v>674</v>
      </c>
      <c r="E107" s="11" t="s">
        <v>1161</v>
      </c>
      <c r="F107" s="12" t="s">
        <v>6</v>
      </c>
      <c r="G107" s="12" t="s">
        <v>1302</v>
      </c>
      <c r="H107" s="12" t="s">
        <v>1302</v>
      </c>
      <c r="I107" s="12" t="s">
        <v>1310</v>
      </c>
      <c r="J107" s="12" t="s">
        <v>1320</v>
      </c>
      <c r="K107" s="12" t="s">
        <v>1333</v>
      </c>
      <c r="L107" s="12" t="s">
        <v>1303</v>
      </c>
      <c r="M107" s="12" t="s">
        <v>0</v>
      </c>
      <c r="N107" s="13" t="s">
        <v>1434</v>
      </c>
      <c r="O107" s="11" t="s">
        <v>1837</v>
      </c>
      <c r="P107" s="11" t="s">
        <v>1873</v>
      </c>
      <c r="Q107" s="11" t="s">
        <v>1307</v>
      </c>
      <c r="R107" s="11" t="s">
        <v>1882</v>
      </c>
      <c r="S107" s="11" t="s">
        <v>0</v>
      </c>
      <c r="T107" s="11" t="s">
        <v>1306</v>
      </c>
      <c r="U107" s="11" t="s">
        <v>0</v>
      </c>
      <c r="V107" s="11" t="s">
        <v>0</v>
      </c>
      <c r="W107" s="11" t="s">
        <v>0</v>
      </c>
      <c r="X107" s="11" t="s">
        <v>0</v>
      </c>
      <c r="Y107" s="11" t="s">
        <v>0</v>
      </c>
      <c r="Z107" s="11" t="s">
        <v>0</v>
      </c>
      <c r="AA107" s="11" t="s">
        <v>0</v>
      </c>
      <c r="AB107" s="11" t="s">
        <v>0</v>
      </c>
      <c r="AC107" s="11" t="s">
        <v>0</v>
      </c>
      <c r="AD107" s="11" t="s">
        <v>0</v>
      </c>
      <c r="AE107" s="11" t="s">
        <v>2090</v>
      </c>
    </row>
    <row r="108">
      <c r="B108" s="24" t="s">
        <v>2</v>
      </c>
      <c r="C108" s="12" t="s">
        <v>115</v>
      </c>
      <c r="D108" s="11" t="s">
        <v>675</v>
      </c>
      <c r="E108" s="11" t="s">
        <v>1161</v>
      </c>
      <c r="F108" s="12" t="s">
        <v>2</v>
      </c>
      <c r="G108" s="12" t="s">
        <v>1302</v>
      </c>
      <c r="H108" s="12" t="s">
        <v>1302</v>
      </c>
      <c r="I108" s="12" t="s">
        <v>1310</v>
      </c>
      <c r="J108" s="12" t="s">
        <v>1320</v>
      </c>
      <c r="K108" s="12" t="s">
        <v>1333</v>
      </c>
      <c r="L108" s="12" t="s">
        <v>1303</v>
      </c>
      <c r="M108" s="12" t="s">
        <v>0</v>
      </c>
      <c r="N108" s="13" t="s">
        <v>1435</v>
      </c>
      <c r="O108" s="11" t="s">
        <v>1837</v>
      </c>
      <c r="P108" s="11" t="s">
        <v>1873</v>
      </c>
      <c r="Q108" s="11" t="s">
        <v>1307</v>
      </c>
      <c r="R108" s="11" t="s">
        <v>1882</v>
      </c>
      <c r="S108" s="11" t="s">
        <v>0</v>
      </c>
      <c r="T108" s="11" t="s">
        <v>1307</v>
      </c>
      <c r="U108" s="11" t="s">
        <v>1890</v>
      </c>
      <c r="V108" s="11" t="s">
        <v>1906</v>
      </c>
      <c r="W108" s="11" t="s">
        <v>0</v>
      </c>
      <c r="X108" s="11" t="s">
        <v>0</v>
      </c>
      <c r="Y108" s="11" t="s">
        <v>0</v>
      </c>
      <c r="Z108" s="11" t="s">
        <v>0</v>
      </c>
      <c r="AA108" s="11" t="s">
        <v>0</v>
      </c>
      <c r="AB108" s="11" t="s">
        <v>0</v>
      </c>
      <c r="AC108" s="11" t="s">
        <v>0</v>
      </c>
      <c r="AD108" s="11" t="s">
        <v>2054</v>
      </c>
      <c r="AE108" s="11" t="s">
        <v>13</v>
      </c>
    </row>
    <row r="109">
      <c r="B109" s="24" t="s">
        <v>2</v>
      </c>
      <c r="C109" s="12" t="s">
        <v>116</v>
      </c>
      <c r="D109" s="11" t="s">
        <v>676</v>
      </c>
      <c r="E109" s="11" t="s">
        <v>1161</v>
      </c>
      <c r="F109" s="12" t="s">
        <v>2</v>
      </c>
      <c r="G109" s="12" t="s">
        <v>1302</v>
      </c>
      <c r="H109" s="12" t="s">
        <v>1302</v>
      </c>
      <c r="I109" s="12" t="s">
        <v>1310</v>
      </c>
      <c r="J109" s="12" t="s">
        <v>1320</v>
      </c>
      <c r="K109" s="12" t="s">
        <v>1332</v>
      </c>
      <c r="L109" s="12" t="s">
        <v>1303</v>
      </c>
      <c r="M109" s="12" t="s">
        <v>0</v>
      </c>
      <c r="N109" s="13" t="s">
        <v>1436</v>
      </c>
      <c r="O109" s="11" t="s">
        <v>1837</v>
      </c>
      <c r="P109" s="11" t="s">
        <v>1873</v>
      </c>
      <c r="Q109" s="11" t="s">
        <v>1307</v>
      </c>
      <c r="R109" s="11" t="s">
        <v>1882</v>
      </c>
      <c r="S109" s="11" t="s">
        <v>0</v>
      </c>
      <c r="T109" s="11" t="s">
        <v>1307</v>
      </c>
      <c r="U109" s="11" t="s">
        <v>1890</v>
      </c>
      <c r="V109" s="11" t="s">
        <v>1900</v>
      </c>
      <c r="W109" s="11" t="s">
        <v>1906</v>
      </c>
      <c r="X109" s="11" t="s">
        <v>0</v>
      </c>
      <c r="Y109" s="11" t="s">
        <v>0</v>
      </c>
      <c r="Z109" s="11" t="s">
        <v>0</v>
      </c>
      <c r="AA109" s="11" t="s">
        <v>0</v>
      </c>
      <c r="AB109" s="11" t="s">
        <v>0</v>
      </c>
      <c r="AC109" s="11" t="s">
        <v>0</v>
      </c>
      <c r="AD109" s="11" t="s">
        <v>2045</v>
      </c>
      <c r="AE109" s="11" t="s">
        <v>13</v>
      </c>
    </row>
    <row r="110">
      <c r="B110" s="24" t="s">
        <v>2</v>
      </c>
      <c r="C110" s="12" t="s">
        <v>117</v>
      </c>
      <c r="D110" s="11" t="s">
        <v>677</v>
      </c>
      <c r="E110" s="11" t="s">
        <v>1161</v>
      </c>
      <c r="F110" s="12" t="s">
        <v>2</v>
      </c>
      <c r="G110" s="12" t="s">
        <v>1302</v>
      </c>
      <c r="H110" s="12" t="s">
        <v>1302</v>
      </c>
      <c r="I110" s="12" t="s">
        <v>1310</v>
      </c>
      <c r="J110" s="12" t="s">
        <v>1320</v>
      </c>
      <c r="K110" s="12" t="s">
        <v>1333</v>
      </c>
      <c r="L110" s="12" t="s">
        <v>1303</v>
      </c>
      <c r="M110" s="12" t="s">
        <v>0</v>
      </c>
      <c r="N110" s="13" t="s">
        <v>1437</v>
      </c>
      <c r="O110" s="11" t="s">
        <v>1837</v>
      </c>
      <c r="P110" s="11" t="s">
        <v>1873</v>
      </c>
      <c r="Q110" s="11" t="s">
        <v>1307</v>
      </c>
      <c r="R110" s="11" t="s">
        <v>1882</v>
      </c>
      <c r="S110" s="11" t="s">
        <v>0</v>
      </c>
      <c r="T110" s="11" t="s">
        <v>1306</v>
      </c>
      <c r="U110" s="11" t="s">
        <v>0</v>
      </c>
      <c r="V110" s="11" t="s">
        <v>0</v>
      </c>
      <c r="W110" s="11" t="s">
        <v>0</v>
      </c>
      <c r="X110" s="11" t="s">
        <v>0</v>
      </c>
      <c r="Y110" s="11" t="s">
        <v>0</v>
      </c>
      <c r="Z110" s="11" t="s">
        <v>0</v>
      </c>
      <c r="AA110" s="11" t="s">
        <v>0</v>
      </c>
      <c r="AB110" s="11" t="s">
        <v>0</v>
      </c>
      <c r="AC110" s="11" t="s">
        <v>0</v>
      </c>
      <c r="AD110" s="11" t="s">
        <v>0</v>
      </c>
      <c r="AE110" s="11" t="s">
        <v>2090</v>
      </c>
    </row>
    <row r="111">
      <c r="B111" s="24" t="s">
        <v>9</v>
      </c>
      <c r="C111" s="12" t="s">
        <v>118</v>
      </c>
      <c r="D111" s="11" t="s">
        <v>678</v>
      </c>
      <c r="E111" s="11" t="s">
        <v>1161</v>
      </c>
      <c r="F111" s="12" t="s">
        <v>9</v>
      </c>
      <c r="G111" s="12" t="s">
        <v>1302</v>
      </c>
      <c r="H111" s="12" t="s">
        <v>1306</v>
      </c>
      <c r="I111" s="12" t="s">
        <v>1310</v>
      </c>
      <c r="J111" s="12" t="s">
        <v>1320</v>
      </c>
      <c r="K111" s="12" t="s">
        <v>1333</v>
      </c>
      <c r="L111" s="12" t="s">
        <v>1303</v>
      </c>
      <c r="M111" s="12" t="s">
        <v>0</v>
      </c>
      <c r="N111" s="13" t="s">
        <v>1438</v>
      </c>
      <c r="O111" s="11" t="s">
        <v>1838</v>
      </c>
      <c r="P111" s="11" t="s">
        <v>1873</v>
      </c>
      <c r="Q111" s="11" t="s">
        <v>1307</v>
      </c>
      <c r="R111" s="11" t="s">
        <v>1882</v>
      </c>
      <c r="S111" s="11" t="s">
        <v>0</v>
      </c>
      <c r="T111" s="11" t="s">
        <v>1306</v>
      </c>
      <c r="U111" s="11" t="s">
        <v>0</v>
      </c>
      <c r="V111" s="11" t="s">
        <v>0</v>
      </c>
      <c r="W111" s="11" t="s">
        <v>0</v>
      </c>
      <c r="X111" s="11" t="s">
        <v>0</v>
      </c>
      <c r="Y111" s="11" t="s">
        <v>0</v>
      </c>
      <c r="Z111" s="11" t="s">
        <v>0</v>
      </c>
      <c r="AA111" s="11" t="s">
        <v>0</v>
      </c>
      <c r="AB111" s="11" t="s">
        <v>0</v>
      </c>
      <c r="AC111" s="11" t="s">
        <v>0</v>
      </c>
      <c r="AD111" s="11" t="s">
        <v>0</v>
      </c>
      <c r="AE111" s="11" t="s">
        <v>2090</v>
      </c>
    </row>
    <row r="112">
      <c r="B112" s="24" t="s">
        <v>9</v>
      </c>
      <c r="C112" s="12" t="s">
        <v>119</v>
      </c>
      <c r="D112" s="11" t="s">
        <v>679</v>
      </c>
      <c r="E112" s="11" t="s">
        <v>1161</v>
      </c>
      <c r="F112" s="12" t="s">
        <v>9</v>
      </c>
      <c r="G112" s="12" t="s">
        <v>1303</v>
      </c>
      <c r="H112" s="12" t="s">
        <v>1307</v>
      </c>
      <c r="I112" s="12" t="s">
        <v>1310</v>
      </c>
      <c r="J112" s="12" t="s">
        <v>1320</v>
      </c>
      <c r="K112" s="12" t="s">
        <v>1333</v>
      </c>
      <c r="L112" s="12" t="s">
        <v>1303</v>
      </c>
      <c r="M112" s="12" t="s">
        <v>0</v>
      </c>
      <c r="N112" s="13" t="s">
        <v>1439</v>
      </c>
      <c r="O112" s="11" t="s">
        <v>1837</v>
      </c>
      <c r="P112" s="11" t="s">
        <v>1873</v>
      </c>
      <c r="Q112" s="11" t="s">
        <v>1307</v>
      </c>
      <c r="R112" s="11" t="s">
        <v>1882</v>
      </c>
      <c r="S112" s="11" t="s">
        <v>0</v>
      </c>
      <c r="T112" s="11" t="s">
        <v>1306</v>
      </c>
      <c r="U112" s="11" t="s">
        <v>0</v>
      </c>
      <c r="V112" s="11" t="s">
        <v>0</v>
      </c>
      <c r="W112" s="11" t="s">
        <v>0</v>
      </c>
      <c r="X112" s="11" t="s">
        <v>0</v>
      </c>
      <c r="Y112" s="11" t="s">
        <v>0</v>
      </c>
      <c r="Z112" s="11" t="s">
        <v>0</v>
      </c>
      <c r="AA112" s="11" t="s">
        <v>0</v>
      </c>
      <c r="AB112" s="11" t="s">
        <v>0</v>
      </c>
      <c r="AC112" s="11" t="s">
        <v>0</v>
      </c>
      <c r="AD112" s="11" t="s">
        <v>0</v>
      </c>
      <c r="AE112" s="11" t="s">
        <v>2090</v>
      </c>
    </row>
    <row r="113">
      <c r="B113" s="24" t="s">
        <v>9</v>
      </c>
      <c r="C113" s="12" t="s">
        <v>120</v>
      </c>
      <c r="D113" s="11" t="s">
        <v>680</v>
      </c>
      <c r="E113" s="11" t="s">
        <v>1161</v>
      </c>
      <c r="F113" s="12" t="s">
        <v>9</v>
      </c>
      <c r="G113" s="12" t="s">
        <v>1303</v>
      </c>
      <c r="H113" s="12" t="s">
        <v>1307</v>
      </c>
      <c r="I113" s="12" t="s">
        <v>1310</v>
      </c>
      <c r="J113" s="12" t="s">
        <v>1320</v>
      </c>
      <c r="K113" s="12" t="s">
        <v>1333</v>
      </c>
      <c r="L113" s="12" t="s">
        <v>1303</v>
      </c>
      <c r="M113" s="12" t="s">
        <v>0</v>
      </c>
      <c r="N113" s="13" t="s">
        <v>1440</v>
      </c>
      <c r="O113" s="11" t="s">
        <v>1837</v>
      </c>
      <c r="P113" s="11" t="s">
        <v>1873</v>
      </c>
      <c r="Q113" s="11" t="s">
        <v>1307</v>
      </c>
      <c r="R113" s="11" t="s">
        <v>1882</v>
      </c>
      <c r="S113" s="11" t="s">
        <v>1307</v>
      </c>
      <c r="T113" s="11" t="s">
        <v>1307</v>
      </c>
      <c r="U113" s="11" t="s">
        <v>1890</v>
      </c>
      <c r="V113" s="11" t="s">
        <v>1897</v>
      </c>
      <c r="W113" s="11" t="s">
        <v>0</v>
      </c>
      <c r="X113" s="11" t="s">
        <v>0</v>
      </c>
      <c r="Y113" s="11" t="s">
        <v>0</v>
      </c>
      <c r="Z113" s="11" t="s">
        <v>0</v>
      </c>
      <c r="AA113" s="11" t="s">
        <v>0</v>
      </c>
      <c r="AB113" s="11" t="s">
        <v>0</v>
      </c>
      <c r="AC113" s="11" t="s">
        <v>0</v>
      </c>
      <c r="AD113" s="11" t="s">
        <v>0</v>
      </c>
      <c r="AE113" s="11" t="s">
        <v>13</v>
      </c>
    </row>
    <row r="114">
      <c r="B114" s="24" t="s">
        <v>6</v>
      </c>
      <c r="C114" s="12" t="s">
        <v>121</v>
      </c>
      <c r="D114" s="11" t="s">
        <v>681</v>
      </c>
      <c r="E114" s="11" t="s">
        <v>1162</v>
      </c>
      <c r="F114" s="12" t="s">
        <v>6</v>
      </c>
      <c r="G114" s="12" t="s">
        <v>1302</v>
      </c>
      <c r="H114" s="12" t="s">
        <v>1302</v>
      </c>
      <c r="I114" s="12" t="s">
        <v>1310</v>
      </c>
      <c r="J114" s="12" t="s">
        <v>1162</v>
      </c>
      <c r="K114" s="12" t="s">
        <v>1332</v>
      </c>
      <c r="L114" s="12" t="s">
        <v>1303</v>
      </c>
      <c r="M114" s="12" t="s">
        <v>0</v>
      </c>
      <c r="N114" s="13" t="s">
        <v>1441</v>
      </c>
      <c r="O114" s="11" t="s">
        <v>1839</v>
      </c>
      <c r="P114" s="11" t="s">
        <v>1874</v>
      </c>
      <c r="Q114" s="11" t="s">
        <v>1307</v>
      </c>
      <c r="R114" s="11" t="s">
        <v>1882</v>
      </c>
      <c r="S114" s="11" t="s">
        <v>0</v>
      </c>
      <c r="T114" s="11" t="s">
        <v>1306</v>
      </c>
      <c r="U114" s="11" t="s">
        <v>0</v>
      </c>
      <c r="V114" s="11" t="s">
        <v>0</v>
      </c>
      <c r="W114" s="11" t="s">
        <v>0</v>
      </c>
      <c r="X114" s="11" t="s">
        <v>0</v>
      </c>
      <c r="Y114" s="11" t="s">
        <v>0</v>
      </c>
      <c r="Z114" s="11" t="s">
        <v>0</v>
      </c>
      <c r="AA114" s="11" t="s">
        <v>0</v>
      </c>
      <c r="AB114" s="11" t="s">
        <v>0</v>
      </c>
      <c r="AC114" s="11" t="s">
        <v>0</v>
      </c>
      <c r="AD114" s="11" t="s">
        <v>0</v>
      </c>
      <c r="AE114" s="11" t="s">
        <v>2090</v>
      </c>
    </row>
    <row r="115">
      <c r="B115" s="24" t="s">
        <v>1</v>
      </c>
      <c r="C115" s="12" t="s">
        <v>122</v>
      </c>
      <c r="D115" s="11" t="s">
        <v>682</v>
      </c>
      <c r="E115" s="11" t="s">
        <v>1162</v>
      </c>
      <c r="F115" s="12" t="s">
        <v>1</v>
      </c>
      <c r="G115" s="12" t="s">
        <v>1302</v>
      </c>
      <c r="H115" s="12" t="s">
        <v>1302</v>
      </c>
      <c r="I115" s="12" t="s">
        <v>1310</v>
      </c>
      <c r="J115" s="12" t="s">
        <v>1162</v>
      </c>
      <c r="K115" s="12" t="s">
        <v>1333</v>
      </c>
      <c r="L115" s="12" t="s">
        <v>1303</v>
      </c>
      <c r="M115" s="12" t="s">
        <v>0</v>
      </c>
      <c r="N115" s="13" t="s">
        <v>1442</v>
      </c>
      <c r="O115" s="11" t="s">
        <v>1839</v>
      </c>
      <c r="P115" s="11" t="s">
        <v>1874</v>
      </c>
      <c r="Q115" s="11" t="s">
        <v>1307</v>
      </c>
      <c r="R115" s="11" t="s">
        <v>1882</v>
      </c>
      <c r="S115" s="11" t="s">
        <v>0</v>
      </c>
      <c r="T115" s="11" t="s">
        <v>1306</v>
      </c>
      <c r="U115" s="11" t="s">
        <v>0</v>
      </c>
      <c r="V115" s="11" t="s">
        <v>0</v>
      </c>
      <c r="W115" s="11" t="s">
        <v>0</v>
      </c>
      <c r="X115" s="11" t="s">
        <v>0</v>
      </c>
      <c r="Y115" s="11" t="s">
        <v>0</v>
      </c>
      <c r="Z115" s="11" t="s">
        <v>0</v>
      </c>
      <c r="AA115" s="11" t="s">
        <v>0</v>
      </c>
      <c r="AB115" s="11" t="s">
        <v>0</v>
      </c>
      <c r="AC115" s="11" t="s">
        <v>0</v>
      </c>
      <c r="AD115" s="11" t="s">
        <v>0</v>
      </c>
      <c r="AE115" s="11" t="s">
        <v>2090</v>
      </c>
    </row>
    <row r="116">
      <c r="B116" s="24" t="s">
        <v>7</v>
      </c>
      <c r="C116" s="12" t="s">
        <v>123</v>
      </c>
      <c r="D116" s="11" t="s">
        <v>683</v>
      </c>
      <c r="E116" s="11" t="s">
        <v>1162</v>
      </c>
      <c r="F116" s="12" t="s">
        <v>7</v>
      </c>
      <c r="G116" s="12" t="s">
        <v>1302</v>
      </c>
      <c r="H116" s="12" t="s">
        <v>1302</v>
      </c>
      <c r="I116" s="12" t="s">
        <v>1310</v>
      </c>
      <c r="J116" s="12" t="s">
        <v>1162</v>
      </c>
      <c r="K116" s="12" t="s">
        <v>1333</v>
      </c>
      <c r="L116" s="12" t="s">
        <v>1303</v>
      </c>
      <c r="M116" s="12" t="s">
        <v>0</v>
      </c>
      <c r="N116" s="13" t="s">
        <v>1443</v>
      </c>
      <c r="O116" s="11" t="s">
        <v>1839</v>
      </c>
      <c r="P116" s="11" t="s">
        <v>1874</v>
      </c>
      <c r="Q116" s="11" t="s">
        <v>1307</v>
      </c>
      <c r="R116" s="11" t="s">
        <v>1882</v>
      </c>
      <c r="S116" s="11" t="s">
        <v>0</v>
      </c>
      <c r="T116" s="11" t="s">
        <v>1306</v>
      </c>
      <c r="U116" s="11" t="s">
        <v>0</v>
      </c>
      <c r="V116" s="11" t="s">
        <v>0</v>
      </c>
      <c r="W116" s="11" t="s">
        <v>0</v>
      </c>
      <c r="X116" s="11" t="s">
        <v>0</v>
      </c>
      <c r="Y116" s="11" t="s">
        <v>0</v>
      </c>
      <c r="Z116" s="11" t="s">
        <v>0</v>
      </c>
      <c r="AA116" s="11" t="s">
        <v>0</v>
      </c>
      <c r="AB116" s="11" t="s">
        <v>0</v>
      </c>
      <c r="AC116" s="11" t="s">
        <v>0</v>
      </c>
      <c r="AD116" s="11" t="s">
        <v>0</v>
      </c>
      <c r="AE116" s="11" t="s">
        <v>2090</v>
      </c>
    </row>
    <row r="117">
      <c r="B117" s="24" t="s">
        <v>1</v>
      </c>
      <c r="C117" s="12" t="s">
        <v>124</v>
      </c>
      <c r="D117" s="11" t="s">
        <v>684</v>
      </c>
      <c r="E117" s="11" t="s">
        <v>1162</v>
      </c>
      <c r="F117" s="12" t="s">
        <v>1287</v>
      </c>
      <c r="G117" s="12" t="s">
        <v>1302</v>
      </c>
      <c r="H117" s="12" t="s">
        <v>1302</v>
      </c>
      <c r="I117" s="12" t="s">
        <v>1310</v>
      </c>
      <c r="J117" s="12" t="s">
        <v>1162</v>
      </c>
      <c r="K117" s="12" t="s">
        <v>1333</v>
      </c>
      <c r="L117" s="12" t="s">
        <v>1303</v>
      </c>
      <c r="M117" s="12" t="s">
        <v>0</v>
      </c>
      <c r="N117" s="13" t="s">
        <v>1444</v>
      </c>
      <c r="O117" s="11" t="s">
        <v>1839</v>
      </c>
      <c r="P117" s="11" t="s">
        <v>1874</v>
      </c>
      <c r="Q117" s="11" t="s">
        <v>1307</v>
      </c>
      <c r="R117" s="11" t="s">
        <v>1882</v>
      </c>
      <c r="S117" s="11" t="s">
        <v>0</v>
      </c>
      <c r="T117" s="11" t="s">
        <v>1306</v>
      </c>
      <c r="U117" s="11" t="s">
        <v>0</v>
      </c>
      <c r="V117" s="11" t="s">
        <v>0</v>
      </c>
      <c r="W117" s="11" t="s">
        <v>0</v>
      </c>
      <c r="X117" s="11" t="s">
        <v>0</v>
      </c>
      <c r="Y117" s="11" t="s">
        <v>0</v>
      </c>
      <c r="Z117" s="11" t="s">
        <v>0</v>
      </c>
      <c r="AA117" s="11" t="s">
        <v>0</v>
      </c>
      <c r="AB117" s="11" t="s">
        <v>0</v>
      </c>
      <c r="AC117" s="11" t="s">
        <v>0</v>
      </c>
      <c r="AD117" s="11" t="s">
        <v>0</v>
      </c>
      <c r="AE117" s="11" t="s">
        <v>2090</v>
      </c>
    </row>
    <row r="118">
      <c r="B118" s="24" t="s">
        <v>1</v>
      </c>
      <c r="C118" s="12" t="s">
        <v>125</v>
      </c>
      <c r="D118" s="11" t="s">
        <v>685</v>
      </c>
      <c r="E118" s="11" t="s">
        <v>1162</v>
      </c>
      <c r="F118" s="12" t="s">
        <v>1280</v>
      </c>
      <c r="G118" s="12" t="s">
        <v>1302</v>
      </c>
      <c r="H118" s="12" t="s">
        <v>1302</v>
      </c>
      <c r="I118" s="12" t="s">
        <v>1310</v>
      </c>
      <c r="J118" s="12" t="s">
        <v>1162</v>
      </c>
      <c r="K118" s="12" t="s">
        <v>1333</v>
      </c>
      <c r="L118" s="12" t="s">
        <v>1303</v>
      </c>
      <c r="M118" s="12" t="s">
        <v>0</v>
      </c>
      <c r="N118" s="13" t="s">
        <v>1445</v>
      </c>
      <c r="O118" s="11" t="s">
        <v>1839</v>
      </c>
      <c r="P118" s="11" t="s">
        <v>1874</v>
      </c>
      <c r="Q118" s="11" t="s">
        <v>1307</v>
      </c>
      <c r="R118" s="11" t="s">
        <v>1882</v>
      </c>
      <c r="S118" s="11" t="s">
        <v>0</v>
      </c>
      <c r="T118" s="11" t="s">
        <v>1306</v>
      </c>
      <c r="U118" s="11" t="s">
        <v>0</v>
      </c>
      <c r="V118" s="11" t="s">
        <v>0</v>
      </c>
      <c r="W118" s="11" t="s">
        <v>0</v>
      </c>
      <c r="X118" s="11" t="s">
        <v>0</v>
      </c>
      <c r="Y118" s="11" t="s">
        <v>0</v>
      </c>
      <c r="Z118" s="11" t="s">
        <v>0</v>
      </c>
      <c r="AA118" s="11" t="s">
        <v>0</v>
      </c>
      <c r="AB118" s="11" t="s">
        <v>0</v>
      </c>
      <c r="AC118" s="11" t="s">
        <v>0</v>
      </c>
      <c r="AD118" s="11" t="s">
        <v>0</v>
      </c>
      <c r="AE118" s="11" t="s">
        <v>2090</v>
      </c>
    </row>
    <row r="119">
      <c r="B119" s="24" t="s">
        <v>1</v>
      </c>
      <c r="C119" s="12" t="s">
        <v>126</v>
      </c>
      <c r="D119" s="11" t="s">
        <v>686</v>
      </c>
      <c r="E119" s="11" t="s">
        <v>1162</v>
      </c>
      <c r="F119" s="12" t="s">
        <v>1288</v>
      </c>
      <c r="G119" s="12" t="s">
        <v>1302</v>
      </c>
      <c r="H119" s="12" t="s">
        <v>1302</v>
      </c>
      <c r="I119" s="12" t="s">
        <v>1310</v>
      </c>
      <c r="J119" s="12" t="s">
        <v>1162</v>
      </c>
      <c r="K119" s="12" t="s">
        <v>1333</v>
      </c>
      <c r="L119" s="12" t="s">
        <v>1303</v>
      </c>
      <c r="M119" s="12" t="s">
        <v>0</v>
      </c>
      <c r="N119" s="13" t="s">
        <v>1446</v>
      </c>
      <c r="O119" s="11" t="s">
        <v>1839</v>
      </c>
      <c r="P119" s="11" t="s">
        <v>1874</v>
      </c>
      <c r="Q119" s="11" t="s">
        <v>1307</v>
      </c>
      <c r="R119" s="11" t="s">
        <v>1882</v>
      </c>
      <c r="S119" s="11" t="s">
        <v>0</v>
      </c>
      <c r="T119" s="11" t="s">
        <v>1306</v>
      </c>
      <c r="U119" s="11" t="s">
        <v>0</v>
      </c>
      <c r="V119" s="11" t="s">
        <v>0</v>
      </c>
      <c r="W119" s="11" t="s">
        <v>0</v>
      </c>
      <c r="X119" s="11" t="s">
        <v>0</v>
      </c>
      <c r="Y119" s="11" t="s">
        <v>0</v>
      </c>
      <c r="Z119" s="11" t="s">
        <v>0</v>
      </c>
      <c r="AA119" s="11" t="s">
        <v>0</v>
      </c>
      <c r="AB119" s="11" t="s">
        <v>0</v>
      </c>
      <c r="AC119" s="11" t="s">
        <v>0</v>
      </c>
      <c r="AD119" s="11" t="s">
        <v>0</v>
      </c>
      <c r="AE119" s="11" t="s">
        <v>2090</v>
      </c>
    </row>
    <row r="120">
      <c r="B120" s="24" t="s">
        <v>9</v>
      </c>
      <c r="C120" s="12" t="s">
        <v>127</v>
      </c>
      <c r="D120" s="11" t="s">
        <v>687</v>
      </c>
      <c r="E120" s="11" t="s">
        <v>1162</v>
      </c>
      <c r="F120" s="12" t="s">
        <v>9</v>
      </c>
      <c r="G120" s="12" t="s">
        <v>1302</v>
      </c>
      <c r="H120" s="12" t="s">
        <v>1302</v>
      </c>
      <c r="I120" s="12" t="s">
        <v>1310</v>
      </c>
      <c r="J120" s="12" t="s">
        <v>1162</v>
      </c>
      <c r="K120" s="12" t="s">
        <v>1333</v>
      </c>
      <c r="L120" s="12" t="s">
        <v>1303</v>
      </c>
      <c r="M120" s="12" t="s">
        <v>0</v>
      </c>
      <c r="N120" s="13" t="s">
        <v>1447</v>
      </c>
      <c r="O120" s="11" t="s">
        <v>1839</v>
      </c>
      <c r="P120" s="11" t="s">
        <v>1874</v>
      </c>
      <c r="Q120" s="11" t="s">
        <v>1307</v>
      </c>
      <c r="R120" s="11" t="s">
        <v>1882</v>
      </c>
      <c r="S120" s="11" t="s">
        <v>0</v>
      </c>
      <c r="T120" s="11" t="s">
        <v>1306</v>
      </c>
      <c r="U120" s="11" t="s">
        <v>0</v>
      </c>
      <c r="V120" s="11" t="s">
        <v>0</v>
      </c>
      <c r="W120" s="11" t="s">
        <v>0</v>
      </c>
      <c r="X120" s="11" t="s">
        <v>0</v>
      </c>
      <c r="Y120" s="11" t="s">
        <v>0</v>
      </c>
      <c r="Z120" s="11" t="s">
        <v>0</v>
      </c>
      <c r="AA120" s="11" t="s">
        <v>0</v>
      </c>
      <c r="AB120" s="11" t="s">
        <v>0</v>
      </c>
      <c r="AC120" s="11" t="s">
        <v>0</v>
      </c>
      <c r="AD120" s="11" t="s">
        <v>0</v>
      </c>
      <c r="AE120" s="11" t="s">
        <v>2090</v>
      </c>
    </row>
    <row r="121">
      <c r="B121" s="24" t="s">
        <v>2</v>
      </c>
      <c r="C121" s="12" t="s">
        <v>128</v>
      </c>
      <c r="D121" s="11" t="s">
        <v>688</v>
      </c>
      <c r="E121" s="11" t="s">
        <v>1162</v>
      </c>
      <c r="F121" s="12" t="s">
        <v>2</v>
      </c>
      <c r="G121" s="12" t="s">
        <v>1302</v>
      </c>
      <c r="H121" s="12" t="s">
        <v>1302</v>
      </c>
      <c r="I121" s="12" t="s">
        <v>1310</v>
      </c>
      <c r="J121" s="12" t="s">
        <v>1162</v>
      </c>
      <c r="K121" s="12" t="s">
        <v>1332</v>
      </c>
      <c r="L121" s="12" t="s">
        <v>1303</v>
      </c>
      <c r="M121" s="12" t="s">
        <v>0</v>
      </c>
      <c r="N121" s="13" t="s">
        <v>1448</v>
      </c>
      <c r="O121" s="11" t="s">
        <v>1839</v>
      </c>
      <c r="P121" s="11" t="s">
        <v>1874</v>
      </c>
      <c r="Q121" s="11" t="s">
        <v>1307</v>
      </c>
      <c r="R121" s="11" t="s">
        <v>1882</v>
      </c>
      <c r="S121" s="11" t="s">
        <v>0</v>
      </c>
      <c r="T121" s="11" t="s">
        <v>1307</v>
      </c>
      <c r="U121" s="11" t="s">
        <v>1888</v>
      </c>
      <c r="V121" s="11" t="s">
        <v>0</v>
      </c>
      <c r="W121" s="11" t="s">
        <v>0</v>
      </c>
      <c r="X121" s="11" t="s">
        <v>0</v>
      </c>
      <c r="Y121" s="11" t="s">
        <v>0</v>
      </c>
      <c r="Z121" s="11" t="s">
        <v>1944</v>
      </c>
      <c r="AA121" s="11" t="s">
        <v>1944</v>
      </c>
      <c r="AB121" s="11" t="s">
        <v>2003</v>
      </c>
      <c r="AC121" s="11" t="s">
        <v>48</v>
      </c>
      <c r="AD121" s="11" t="s">
        <v>0</v>
      </c>
      <c r="AE121" s="11" t="s">
        <v>13</v>
      </c>
    </row>
    <row r="122">
      <c r="B122" s="24" t="s">
        <v>4</v>
      </c>
      <c r="C122" s="12" t="s">
        <v>129</v>
      </c>
      <c r="D122" s="11" t="s">
        <v>689</v>
      </c>
      <c r="E122" s="11" t="s">
        <v>1162</v>
      </c>
      <c r="F122" s="12" t="s">
        <v>4</v>
      </c>
      <c r="G122" s="12" t="s">
        <v>1302</v>
      </c>
      <c r="H122" s="12" t="s">
        <v>1302</v>
      </c>
      <c r="I122" s="12" t="s">
        <v>1310</v>
      </c>
      <c r="J122" s="12" t="s">
        <v>1162</v>
      </c>
      <c r="K122" s="12" t="s">
        <v>1332</v>
      </c>
      <c r="L122" s="12" t="s">
        <v>1303</v>
      </c>
      <c r="M122" s="12" t="s">
        <v>0</v>
      </c>
      <c r="N122" s="13" t="s">
        <v>1449</v>
      </c>
      <c r="O122" s="11" t="s">
        <v>1839</v>
      </c>
      <c r="P122" s="11" t="s">
        <v>1874</v>
      </c>
      <c r="Q122" s="11" t="s">
        <v>1307</v>
      </c>
      <c r="R122" s="11" t="s">
        <v>1882</v>
      </c>
      <c r="S122" s="11" t="s">
        <v>0</v>
      </c>
      <c r="T122" s="11" t="s">
        <v>1306</v>
      </c>
      <c r="U122" s="11" t="s">
        <v>0</v>
      </c>
      <c r="V122" s="11" t="s">
        <v>0</v>
      </c>
      <c r="W122" s="11" t="s">
        <v>0</v>
      </c>
      <c r="X122" s="11" t="s">
        <v>0</v>
      </c>
      <c r="Y122" s="11" t="s">
        <v>0</v>
      </c>
      <c r="Z122" s="11" t="s">
        <v>0</v>
      </c>
      <c r="AA122" s="11" t="s">
        <v>0</v>
      </c>
      <c r="AB122" s="11" t="s">
        <v>0</v>
      </c>
      <c r="AC122" s="11" t="s">
        <v>0</v>
      </c>
      <c r="AD122" s="11" t="s">
        <v>0</v>
      </c>
      <c r="AE122" s="11" t="s">
        <v>2090</v>
      </c>
    </row>
    <row r="123">
      <c r="B123" s="24" t="s">
        <v>1</v>
      </c>
      <c r="C123" s="12" t="s">
        <v>130</v>
      </c>
      <c r="D123" s="11" t="s">
        <v>690</v>
      </c>
      <c r="E123" s="11" t="s">
        <v>1162</v>
      </c>
      <c r="F123" s="12" t="s">
        <v>1289</v>
      </c>
      <c r="G123" s="12" t="s">
        <v>1302</v>
      </c>
      <c r="H123" s="12" t="s">
        <v>1302</v>
      </c>
      <c r="I123" s="12" t="s">
        <v>1310</v>
      </c>
      <c r="J123" s="12" t="s">
        <v>1162</v>
      </c>
      <c r="K123" s="12" t="s">
        <v>1333</v>
      </c>
      <c r="L123" s="12" t="s">
        <v>1303</v>
      </c>
      <c r="M123" s="12" t="s">
        <v>0</v>
      </c>
      <c r="N123" s="13" t="s">
        <v>1450</v>
      </c>
      <c r="O123" s="11" t="s">
        <v>1839</v>
      </c>
      <c r="P123" s="11" t="s">
        <v>1874</v>
      </c>
      <c r="Q123" s="11" t="s">
        <v>1307</v>
      </c>
      <c r="R123" s="11" t="s">
        <v>1882</v>
      </c>
      <c r="S123" s="11" t="s">
        <v>0</v>
      </c>
      <c r="T123" s="11" t="s">
        <v>1306</v>
      </c>
      <c r="U123" s="11" t="s">
        <v>0</v>
      </c>
      <c r="V123" s="11" t="s">
        <v>0</v>
      </c>
      <c r="W123" s="11" t="s">
        <v>0</v>
      </c>
      <c r="X123" s="11" t="s">
        <v>0</v>
      </c>
      <c r="Y123" s="11" t="s">
        <v>0</v>
      </c>
      <c r="Z123" s="11" t="s">
        <v>0</v>
      </c>
      <c r="AA123" s="11" t="s">
        <v>0</v>
      </c>
      <c r="AB123" s="11" t="s">
        <v>0</v>
      </c>
      <c r="AC123" s="11" t="s">
        <v>0</v>
      </c>
      <c r="AD123" s="11" t="s">
        <v>0</v>
      </c>
      <c r="AE123" s="11" t="s">
        <v>2090</v>
      </c>
    </row>
    <row r="124">
      <c r="B124" s="24" t="s">
        <v>1</v>
      </c>
      <c r="C124" s="12" t="s">
        <v>131</v>
      </c>
      <c r="D124" s="11" t="s">
        <v>691</v>
      </c>
      <c r="E124" s="11" t="s">
        <v>1162</v>
      </c>
      <c r="F124" s="12" t="s">
        <v>1290</v>
      </c>
      <c r="G124" s="12" t="s">
        <v>1302</v>
      </c>
      <c r="H124" s="12" t="s">
        <v>1302</v>
      </c>
      <c r="I124" s="12" t="s">
        <v>1310</v>
      </c>
      <c r="J124" s="12" t="s">
        <v>1162</v>
      </c>
      <c r="K124" s="12" t="s">
        <v>1332</v>
      </c>
      <c r="L124" s="12" t="s">
        <v>1303</v>
      </c>
      <c r="M124" s="12" t="s">
        <v>0</v>
      </c>
      <c r="N124" s="13" t="s">
        <v>1451</v>
      </c>
      <c r="O124" s="11" t="s">
        <v>1839</v>
      </c>
      <c r="P124" s="11" t="s">
        <v>1874</v>
      </c>
      <c r="Q124" s="11" t="s">
        <v>1307</v>
      </c>
      <c r="R124" s="11" t="s">
        <v>1882</v>
      </c>
      <c r="S124" s="11" t="s">
        <v>0</v>
      </c>
      <c r="T124" s="11" t="s">
        <v>1306</v>
      </c>
      <c r="U124" s="11" t="s">
        <v>0</v>
      </c>
      <c r="V124" s="11" t="s">
        <v>0</v>
      </c>
      <c r="W124" s="11" t="s">
        <v>0</v>
      </c>
      <c r="X124" s="11" t="s">
        <v>0</v>
      </c>
      <c r="Y124" s="11" t="s">
        <v>0</v>
      </c>
      <c r="Z124" s="11" t="s">
        <v>0</v>
      </c>
      <c r="AA124" s="11" t="s">
        <v>0</v>
      </c>
      <c r="AB124" s="11" t="s">
        <v>0</v>
      </c>
      <c r="AC124" s="11" t="s">
        <v>0</v>
      </c>
      <c r="AD124" s="11" t="s">
        <v>0</v>
      </c>
      <c r="AE124" s="11" t="s">
        <v>2090</v>
      </c>
    </row>
    <row r="125">
      <c r="B125" s="24" t="s">
        <v>1</v>
      </c>
      <c r="C125" s="12" t="s">
        <v>132</v>
      </c>
      <c r="D125" s="11" t="s">
        <v>692</v>
      </c>
      <c r="E125" s="11" t="s">
        <v>1162</v>
      </c>
      <c r="F125" s="12" t="s">
        <v>1291</v>
      </c>
      <c r="G125" s="12" t="s">
        <v>1302</v>
      </c>
      <c r="H125" s="12" t="s">
        <v>1302</v>
      </c>
      <c r="I125" s="12" t="s">
        <v>1310</v>
      </c>
      <c r="J125" s="12" t="s">
        <v>1162</v>
      </c>
      <c r="K125" s="12" t="s">
        <v>1333</v>
      </c>
      <c r="L125" s="12" t="s">
        <v>1303</v>
      </c>
      <c r="M125" s="12" t="s">
        <v>0</v>
      </c>
      <c r="N125" s="13" t="s">
        <v>1452</v>
      </c>
      <c r="O125" s="11" t="s">
        <v>1839</v>
      </c>
      <c r="P125" s="11" t="s">
        <v>1874</v>
      </c>
      <c r="Q125" s="11" t="s">
        <v>1307</v>
      </c>
      <c r="R125" s="11" t="s">
        <v>1882</v>
      </c>
      <c r="S125" s="11" t="s">
        <v>0</v>
      </c>
      <c r="T125" s="11" t="s">
        <v>1306</v>
      </c>
      <c r="U125" s="11" t="s">
        <v>0</v>
      </c>
      <c r="V125" s="11" t="s">
        <v>0</v>
      </c>
      <c r="W125" s="11" t="s">
        <v>0</v>
      </c>
      <c r="X125" s="11" t="s">
        <v>0</v>
      </c>
      <c r="Y125" s="11" t="s">
        <v>0</v>
      </c>
      <c r="Z125" s="11" t="s">
        <v>0</v>
      </c>
      <c r="AA125" s="11" t="s">
        <v>0</v>
      </c>
      <c r="AB125" s="11" t="s">
        <v>0</v>
      </c>
      <c r="AC125" s="11" t="s">
        <v>0</v>
      </c>
      <c r="AD125" s="11" t="s">
        <v>0</v>
      </c>
      <c r="AE125" s="11" t="s">
        <v>2090</v>
      </c>
    </row>
    <row r="126">
      <c r="B126" s="24" t="s">
        <v>9</v>
      </c>
      <c r="C126" s="12" t="s">
        <v>133</v>
      </c>
      <c r="D126" s="11" t="s">
        <v>693</v>
      </c>
      <c r="E126" s="11" t="s">
        <v>1162</v>
      </c>
      <c r="F126" s="12" t="s">
        <v>9</v>
      </c>
      <c r="G126" s="12" t="s">
        <v>1302</v>
      </c>
      <c r="H126" s="12" t="s">
        <v>1302</v>
      </c>
      <c r="I126" s="12" t="s">
        <v>1310</v>
      </c>
      <c r="J126" s="12" t="s">
        <v>1162</v>
      </c>
      <c r="K126" s="12" t="s">
        <v>1332</v>
      </c>
      <c r="L126" s="12" t="s">
        <v>1303</v>
      </c>
      <c r="M126" s="12" t="s">
        <v>0</v>
      </c>
      <c r="N126" s="13" t="s">
        <v>1453</v>
      </c>
      <c r="O126" s="11" t="s">
        <v>1839</v>
      </c>
      <c r="P126" s="11" t="s">
        <v>1874</v>
      </c>
      <c r="Q126" s="11" t="s">
        <v>1307</v>
      </c>
      <c r="R126" s="11" t="s">
        <v>1882</v>
      </c>
      <c r="S126" s="11" t="s">
        <v>0</v>
      </c>
      <c r="T126" s="11" t="s">
        <v>1306</v>
      </c>
      <c r="U126" s="11" t="s">
        <v>0</v>
      </c>
      <c r="V126" s="11" t="s">
        <v>0</v>
      </c>
      <c r="W126" s="11" t="s">
        <v>0</v>
      </c>
      <c r="X126" s="11" t="s">
        <v>0</v>
      </c>
      <c r="Y126" s="11" t="s">
        <v>0</v>
      </c>
      <c r="Z126" s="11" t="s">
        <v>0</v>
      </c>
      <c r="AA126" s="11" t="s">
        <v>0</v>
      </c>
      <c r="AB126" s="11" t="s">
        <v>0</v>
      </c>
      <c r="AC126" s="11" t="s">
        <v>0</v>
      </c>
      <c r="AD126" s="11" t="s">
        <v>0</v>
      </c>
      <c r="AE126" s="11" t="s">
        <v>2090</v>
      </c>
    </row>
    <row r="127">
      <c r="B127" s="24" t="s">
        <v>1</v>
      </c>
      <c r="C127" s="12" t="s">
        <v>134</v>
      </c>
      <c r="D127" s="11" t="s">
        <v>694</v>
      </c>
      <c r="E127" s="11" t="s">
        <v>1162</v>
      </c>
      <c r="F127" s="12" t="s">
        <v>1283</v>
      </c>
      <c r="G127" s="12" t="s">
        <v>1302</v>
      </c>
      <c r="H127" s="12" t="s">
        <v>1302</v>
      </c>
      <c r="I127" s="12" t="s">
        <v>1310</v>
      </c>
      <c r="J127" s="12" t="s">
        <v>1162</v>
      </c>
      <c r="K127" s="12" t="s">
        <v>1332</v>
      </c>
      <c r="L127" s="12" t="s">
        <v>1303</v>
      </c>
      <c r="M127" s="12" t="s">
        <v>0</v>
      </c>
      <c r="N127" s="13" t="s">
        <v>1454</v>
      </c>
      <c r="O127" s="11" t="s">
        <v>1839</v>
      </c>
      <c r="P127" s="11" t="s">
        <v>1874</v>
      </c>
      <c r="Q127" s="11" t="s">
        <v>1307</v>
      </c>
      <c r="R127" s="11" t="s">
        <v>1882</v>
      </c>
      <c r="S127" s="11" t="s">
        <v>0</v>
      </c>
      <c r="T127" s="11" t="s">
        <v>1306</v>
      </c>
      <c r="U127" s="11" t="s">
        <v>0</v>
      </c>
      <c r="V127" s="11" t="s">
        <v>0</v>
      </c>
      <c r="W127" s="11" t="s">
        <v>0</v>
      </c>
      <c r="X127" s="11" t="s">
        <v>0</v>
      </c>
      <c r="Y127" s="11" t="s">
        <v>0</v>
      </c>
      <c r="Z127" s="11" t="s">
        <v>0</v>
      </c>
      <c r="AA127" s="11" t="s">
        <v>0</v>
      </c>
      <c r="AB127" s="11" t="s">
        <v>0</v>
      </c>
      <c r="AC127" s="11" t="s">
        <v>0</v>
      </c>
      <c r="AD127" s="11" t="s">
        <v>0</v>
      </c>
      <c r="AE127" s="11" t="s">
        <v>2090</v>
      </c>
    </row>
    <row r="128">
      <c r="B128" s="24" t="s">
        <v>1</v>
      </c>
      <c r="C128" s="12" t="s">
        <v>135</v>
      </c>
      <c r="D128" s="11" t="s">
        <v>695</v>
      </c>
      <c r="E128" s="11" t="s">
        <v>1162</v>
      </c>
      <c r="F128" s="12" t="s">
        <v>1290</v>
      </c>
      <c r="G128" s="12" t="s">
        <v>1302</v>
      </c>
      <c r="H128" s="12" t="s">
        <v>1302</v>
      </c>
      <c r="I128" s="12" t="s">
        <v>1310</v>
      </c>
      <c r="J128" s="12" t="s">
        <v>1162</v>
      </c>
      <c r="K128" s="12" t="s">
        <v>1333</v>
      </c>
      <c r="L128" s="12" t="s">
        <v>1303</v>
      </c>
      <c r="M128" s="12" t="s">
        <v>0</v>
      </c>
      <c r="N128" s="13" t="s">
        <v>1455</v>
      </c>
      <c r="O128" s="11" t="s">
        <v>1839</v>
      </c>
      <c r="P128" s="11" t="s">
        <v>1874</v>
      </c>
      <c r="Q128" s="11" t="s">
        <v>1307</v>
      </c>
      <c r="R128" s="11" t="s">
        <v>1882</v>
      </c>
      <c r="S128" s="11" t="s">
        <v>0</v>
      </c>
      <c r="T128" s="11" t="s">
        <v>1306</v>
      </c>
      <c r="U128" s="11" t="s">
        <v>0</v>
      </c>
      <c r="V128" s="11" t="s">
        <v>0</v>
      </c>
      <c r="W128" s="11" t="s">
        <v>0</v>
      </c>
      <c r="X128" s="11" t="s">
        <v>0</v>
      </c>
      <c r="Y128" s="11" t="s">
        <v>0</v>
      </c>
      <c r="Z128" s="11" t="s">
        <v>0</v>
      </c>
      <c r="AA128" s="11" t="s">
        <v>0</v>
      </c>
      <c r="AB128" s="11" t="s">
        <v>0</v>
      </c>
      <c r="AC128" s="11" t="s">
        <v>0</v>
      </c>
      <c r="AD128" s="11" t="s">
        <v>0</v>
      </c>
      <c r="AE128" s="11" t="s">
        <v>2090</v>
      </c>
    </row>
    <row r="129">
      <c r="B129" s="24" t="s">
        <v>1</v>
      </c>
      <c r="C129" s="12" t="s">
        <v>136</v>
      </c>
      <c r="D129" s="11" t="s">
        <v>696</v>
      </c>
      <c r="E129" s="11" t="s">
        <v>1162</v>
      </c>
      <c r="F129" s="12" t="s">
        <v>1284</v>
      </c>
      <c r="G129" s="12" t="s">
        <v>1302</v>
      </c>
      <c r="H129" s="12" t="s">
        <v>1302</v>
      </c>
      <c r="I129" s="12" t="s">
        <v>1310</v>
      </c>
      <c r="J129" s="12" t="s">
        <v>1162</v>
      </c>
      <c r="K129" s="12" t="s">
        <v>1332</v>
      </c>
      <c r="L129" s="12" t="s">
        <v>1303</v>
      </c>
      <c r="M129" s="12" t="s">
        <v>0</v>
      </c>
      <c r="N129" s="13" t="s">
        <v>1456</v>
      </c>
      <c r="O129" s="11" t="s">
        <v>1839</v>
      </c>
      <c r="P129" s="11" t="s">
        <v>1874</v>
      </c>
      <c r="Q129" s="11" t="s">
        <v>1307</v>
      </c>
      <c r="R129" s="11" t="s">
        <v>1882</v>
      </c>
      <c r="S129" s="11" t="s">
        <v>0</v>
      </c>
      <c r="T129" s="11" t="s">
        <v>1306</v>
      </c>
      <c r="U129" s="11" t="s">
        <v>0</v>
      </c>
      <c r="V129" s="11" t="s">
        <v>0</v>
      </c>
      <c r="W129" s="11" t="s">
        <v>0</v>
      </c>
      <c r="X129" s="11" t="s">
        <v>0</v>
      </c>
      <c r="Y129" s="11" t="s">
        <v>0</v>
      </c>
      <c r="Z129" s="11" t="s">
        <v>0</v>
      </c>
      <c r="AA129" s="11" t="s">
        <v>0</v>
      </c>
      <c r="AB129" s="11" t="s">
        <v>0</v>
      </c>
      <c r="AC129" s="11" t="s">
        <v>0</v>
      </c>
      <c r="AD129" s="11" t="s">
        <v>0</v>
      </c>
      <c r="AE129" s="11" t="s">
        <v>2090</v>
      </c>
    </row>
    <row r="130">
      <c r="B130" s="24" t="s">
        <v>1</v>
      </c>
      <c r="C130" s="12" t="s">
        <v>137</v>
      </c>
      <c r="D130" s="11" t="s">
        <v>697</v>
      </c>
      <c r="E130" s="11" t="s">
        <v>1162</v>
      </c>
      <c r="F130" s="12" t="s">
        <v>1</v>
      </c>
      <c r="G130" s="12" t="s">
        <v>1302</v>
      </c>
      <c r="H130" s="12" t="s">
        <v>1302</v>
      </c>
      <c r="I130" s="12" t="s">
        <v>1310</v>
      </c>
      <c r="J130" s="12" t="s">
        <v>1162</v>
      </c>
      <c r="K130" s="12" t="s">
        <v>1333</v>
      </c>
      <c r="L130" s="12" t="s">
        <v>1303</v>
      </c>
      <c r="M130" s="12" t="s">
        <v>0</v>
      </c>
      <c r="N130" s="13" t="s">
        <v>1457</v>
      </c>
      <c r="O130" s="11" t="s">
        <v>1839</v>
      </c>
      <c r="P130" s="11" t="s">
        <v>1874</v>
      </c>
      <c r="Q130" s="11" t="s">
        <v>1307</v>
      </c>
      <c r="R130" s="11" t="s">
        <v>1882</v>
      </c>
      <c r="S130" s="11" t="s">
        <v>0</v>
      </c>
      <c r="T130" s="11" t="s">
        <v>1306</v>
      </c>
      <c r="U130" s="11" t="s">
        <v>0</v>
      </c>
      <c r="V130" s="11" t="s">
        <v>0</v>
      </c>
      <c r="W130" s="11" t="s">
        <v>0</v>
      </c>
      <c r="X130" s="11" t="s">
        <v>0</v>
      </c>
      <c r="Y130" s="11" t="s">
        <v>0</v>
      </c>
      <c r="Z130" s="11" t="s">
        <v>0</v>
      </c>
      <c r="AA130" s="11" t="s">
        <v>0</v>
      </c>
      <c r="AB130" s="11" t="s">
        <v>0</v>
      </c>
      <c r="AC130" s="11" t="s">
        <v>0</v>
      </c>
      <c r="AD130" s="11" t="s">
        <v>0</v>
      </c>
      <c r="AE130" s="11" t="s">
        <v>2090</v>
      </c>
    </row>
    <row r="131">
      <c r="B131" s="24" t="s">
        <v>2</v>
      </c>
      <c r="C131" s="12" t="s">
        <v>138</v>
      </c>
      <c r="D131" s="11" t="s">
        <v>698</v>
      </c>
      <c r="E131" s="11" t="s">
        <v>1162</v>
      </c>
      <c r="F131" s="12" t="s">
        <v>2</v>
      </c>
      <c r="G131" s="12" t="s">
        <v>1302</v>
      </c>
      <c r="H131" s="12" t="s">
        <v>1302</v>
      </c>
      <c r="I131" s="12" t="s">
        <v>1310</v>
      </c>
      <c r="J131" s="12" t="s">
        <v>1162</v>
      </c>
      <c r="K131" s="12" t="s">
        <v>1333</v>
      </c>
      <c r="L131" s="12" t="s">
        <v>1303</v>
      </c>
      <c r="M131" s="12" t="s">
        <v>0</v>
      </c>
      <c r="N131" s="13" t="s">
        <v>1458</v>
      </c>
      <c r="O131" s="11" t="s">
        <v>1839</v>
      </c>
      <c r="P131" s="11" t="s">
        <v>1874</v>
      </c>
      <c r="Q131" s="11" t="s">
        <v>1307</v>
      </c>
      <c r="R131" s="11" t="s">
        <v>1882</v>
      </c>
      <c r="S131" s="11" t="s">
        <v>0</v>
      </c>
      <c r="T131" s="11" t="s">
        <v>1306</v>
      </c>
      <c r="U131" s="11" t="s">
        <v>0</v>
      </c>
      <c r="V131" s="11" t="s">
        <v>0</v>
      </c>
      <c r="W131" s="11" t="s">
        <v>0</v>
      </c>
      <c r="X131" s="11" t="s">
        <v>0</v>
      </c>
      <c r="Y131" s="11" t="s">
        <v>0</v>
      </c>
      <c r="Z131" s="11" t="s">
        <v>0</v>
      </c>
      <c r="AA131" s="11" t="s">
        <v>0</v>
      </c>
      <c r="AB131" s="11" t="s">
        <v>0</v>
      </c>
      <c r="AC131" s="11" t="s">
        <v>0</v>
      </c>
      <c r="AD131" s="11" t="s">
        <v>0</v>
      </c>
      <c r="AE131" s="11" t="s">
        <v>2090</v>
      </c>
    </row>
    <row r="132">
      <c r="B132" s="24" t="s">
        <v>1</v>
      </c>
      <c r="C132" s="12" t="s">
        <v>139</v>
      </c>
      <c r="D132" s="11" t="s">
        <v>699</v>
      </c>
      <c r="E132" s="11" t="s">
        <v>1162</v>
      </c>
      <c r="F132" s="12" t="s">
        <v>1284</v>
      </c>
      <c r="G132" s="12" t="s">
        <v>1302</v>
      </c>
      <c r="H132" s="12" t="s">
        <v>1302</v>
      </c>
      <c r="I132" s="12" t="s">
        <v>1310</v>
      </c>
      <c r="J132" s="12" t="s">
        <v>1162</v>
      </c>
      <c r="K132" s="12" t="s">
        <v>1332</v>
      </c>
      <c r="L132" s="12" t="s">
        <v>1303</v>
      </c>
      <c r="M132" s="12" t="s">
        <v>0</v>
      </c>
      <c r="N132" s="13" t="s">
        <v>1459</v>
      </c>
      <c r="O132" s="11" t="s">
        <v>1839</v>
      </c>
      <c r="P132" s="11" t="s">
        <v>1874</v>
      </c>
      <c r="Q132" s="11" t="s">
        <v>1307</v>
      </c>
      <c r="R132" s="11" t="s">
        <v>1882</v>
      </c>
      <c r="S132" s="11" t="s">
        <v>0</v>
      </c>
      <c r="T132" s="11" t="s">
        <v>1306</v>
      </c>
      <c r="U132" s="11" t="s">
        <v>0</v>
      </c>
      <c r="V132" s="11" t="s">
        <v>0</v>
      </c>
      <c r="W132" s="11" t="s">
        <v>0</v>
      </c>
      <c r="X132" s="11" t="s">
        <v>0</v>
      </c>
      <c r="Y132" s="11" t="s">
        <v>0</v>
      </c>
      <c r="Z132" s="11" t="s">
        <v>0</v>
      </c>
      <c r="AA132" s="11" t="s">
        <v>0</v>
      </c>
      <c r="AB132" s="11" t="s">
        <v>0</v>
      </c>
      <c r="AC132" s="11" t="s">
        <v>0</v>
      </c>
      <c r="AD132" s="11" t="s">
        <v>0</v>
      </c>
      <c r="AE132" s="11" t="s">
        <v>2090</v>
      </c>
    </row>
    <row r="133">
      <c r="B133" s="24" t="s">
        <v>8</v>
      </c>
      <c r="C133" s="12" t="s">
        <v>140</v>
      </c>
      <c r="D133" s="11" t="s">
        <v>700</v>
      </c>
      <c r="E133" s="11" t="s">
        <v>1162</v>
      </c>
      <c r="F133" s="12" t="s">
        <v>8</v>
      </c>
      <c r="G133" s="12" t="s">
        <v>1302</v>
      </c>
      <c r="H133" s="12" t="s">
        <v>1302</v>
      </c>
      <c r="I133" s="12" t="s">
        <v>1310</v>
      </c>
      <c r="J133" s="12" t="s">
        <v>1162</v>
      </c>
      <c r="K133" s="12" t="s">
        <v>1333</v>
      </c>
      <c r="L133" s="12" t="s">
        <v>1303</v>
      </c>
      <c r="M133" s="12" t="s">
        <v>0</v>
      </c>
      <c r="N133" s="13" t="s">
        <v>1460</v>
      </c>
      <c r="O133" s="11" t="s">
        <v>1839</v>
      </c>
      <c r="P133" s="11" t="s">
        <v>1874</v>
      </c>
      <c r="Q133" s="11" t="s">
        <v>1307</v>
      </c>
      <c r="R133" s="11" t="s">
        <v>1882</v>
      </c>
      <c r="S133" s="11" t="s">
        <v>0</v>
      </c>
      <c r="T133" s="11" t="s">
        <v>1306</v>
      </c>
      <c r="U133" s="11" t="s">
        <v>0</v>
      </c>
      <c r="V133" s="11" t="s">
        <v>0</v>
      </c>
      <c r="W133" s="11" t="s">
        <v>0</v>
      </c>
      <c r="X133" s="11" t="s">
        <v>0</v>
      </c>
      <c r="Y133" s="11" t="s">
        <v>0</v>
      </c>
      <c r="Z133" s="11" t="s">
        <v>0</v>
      </c>
      <c r="AA133" s="11" t="s">
        <v>0</v>
      </c>
      <c r="AB133" s="11" t="s">
        <v>0</v>
      </c>
      <c r="AC133" s="11" t="s">
        <v>0</v>
      </c>
      <c r="AD133" s="11" t="s">
        <v>0</v>
      </c>
      <c r="AE133" s="11" t="s">
        <v>2090</v>
      </c>
    </row>
    <row r="134">
      <c r="B134" s="24" t="s">
        <v>1</v>
      </c>
      <c r="C134" s="12" t="s">
        <v>141</v>
      </c>
      <c r="D134" s="11" t="s">
        <v>701</v>
      </c>
      <c r="E134" s="11" t="s">
        <v>1162</v>
      </c>
      <c r="F134" s="12" t="s">
        <v>1</v>
      </c>
      <c r="G134" s="12" t="s">
        <v>1302</v>
      </c>
      <c r="H134" s="12" t="s">
        <v>1302</v>
      </c>
      <c r="I134" s="12" t="s">
        <v>1310</v>
      </c>
      <c r="J134" s="12" t="s">
        <v>1162</v>
      </c>
      <c r="K134" s="12" t="s">
        <v>1333</v>
      </c>
      <c r="L134" s="12" t="s">
        <v>1303</v>
      </c>
      <c r="M134" s="12" t="s">
        <v>0</v>
      </c>
      <c r="N134" s="13" t="s">
        <v>1461</v>
      </c>
      <c r="O134" s="11" t="s">
        <v>1839</v>
      </c>
      <c r="P134" s="11" t="s">
        <v>1874</v>
      </c>
      <c r="Q134" s="11" t="s">
        <v>1307</v>
      </c>
      <c r="R134" s="11" t="s">
        <v>1882</v>
      </c>
      <c r="S134" s="11" t="s">
        <v>0</v>
      </c>
      <c r="T134" s="11" t="s">
        <v>1306</v>
      </c>
      <c r="U134" s="11" t="s">
        <v>0</v>
      </c>
      <c r="V134" s="11" t="s">
        <v>0</v>
      </c>
      <c r="W134" s="11" t="s">
        <v>0</v>
      </c>
      <c r="X134" s="11" t="s">
        <v>0</v>
      </c>
      <c r="Y134" s="11" t="s">
        <v>0</v>
      </c>
      <c r="Z134" s="11" t="s">
        <v>0</v>
      </c>
      <c r="AA134" s="11" t="s">
        <v>0</v>
      </c>
      <c r="AB134" s="11" t="s">
        <v>0</v>
      </c>
      <c r="AC134" s="11" t="s">
        <v>0</v>
      </c>
      <c r="AD134" s="11" t="s">
        <v>0</v>
      </c>
      <c r="AE134" s="11" t="s">
        <v>2090</v>
      </c>
    </row>
    <row r="135">
      <c r="B135" s="24" t="s">
        <v>1</v>
      </c>
      <c r="C135" s="12" t="s">
        <v>142</v>
      </c>
      <c r="D135" s="11" t="s">
        <v>702</v>
      </c>
      <c r="E135" s="11" t="s">
        <v>1162</v>
      </c>
      <c r="F135" s="12" t="s">
        <v>1273</v>
      </c>
      <c r="G135" s="12" t="s">
        <v>1302</v>
      </c>
      <c r="H135" s="12" t="s">
        <v>1302</v>
      </c>
      <c r="I135" s="12" t="s">
        <v>1310</v>
      </c>
      <c r="J135" s="12" t="s">
        <v>1162</v>
      </c>
      <c r="K135" s="12" t="s">
        <v>1333</v>
      </c>
      <c r="L135" s="12" t="s">
        <v>1303</v>
      </c>
      <c r="M135" s="12" t="s">
        <v>0</v>
      </c>
      <c r="N135" s="13" t="s">
        <v>1462</v>
      </c>
      <c r="O135" s="11" t="s">
        <v>1839</v>
      </c>
      <c r="P135" s="11" t="s">
        <v>1874</v>
      </c>
      <c r="Q135" s="11" t="s">
        <v>1307</v>
      </c>
      <c r="R135" s="11" t="s">
        <v>1882</v>
      </c>
      <c r="S135" s="11" t="s">
        <v>0</v>
      </c>
      <c r="T135" s="11" t="s">
        <v>1306</v>
      </c>
      <c r="U135" s="11" t="s">
        <v>0</v>
      </c>
      <c r="V135" s="11" t="s">
        <v>0</v>
      </c>
      <c r="W135" s="11" t="s">
        <v>0</v>
      </c>
      <c r="X135" s="11" t="s">
        <v>0</v>
      </c>
      <c r="Y135" s="11" t="s">
        <v>0</v>
      </c>
      <c r="Z135" s="11" t="s">
        <v>0</v>
      </c>
      <c r="AA135" s="11" t="s">
        <v>0</v>
      </c>
      <c r="AB135" s="11" t="s">
        <v>0</v>
      </c>
      <c r="AC135" s="11" t="s">
        <v>0</v>
      </c>
      <c r="AD135" s="11" t="s">
        <v>0</v>
      </c>
      <c r="AE135" s="11" t="s">
        <v>2090</v>
      </c>
    </row>
    <row r="136">
      <c r="B136" s="24" t="s">
        <v>1</v>
      </c>
      <c r="C136" s="12" t="s">
        <v>143</v>
      </c>
      <c r="D136" s="11" t="s">
        <v>693</v>
      </c>
      <c r="E136" s="11" t="s">
        <v>1162</v>
      </c>
      <c r="F136" s="12" t="s">
        <v>1</v>
      </c>
      <c r="G136" s="12" t="s">
        <v>1302</v>
      </c>
      <c r="H136" s="12" t="s">
        <v>1302</v>
      </c>
      <c r="I136" s="12" t="s">
        <v>1310</v>
      </c>
      <c r="J136" s="12" t="s">
        <v>1162</v>
      </c>
      <c r="K136" s="12" t="s">
        <v>1332</v>
      </c>
      <c r="L136" s="12" t="s">
        <v>1303</v>
      </c>
      <c r="M136" s="12" t="s">
        <v>0</v>
      </c>
      <c r="N136" s="13" t="s">
        <v>1463</v>
      </c>
      <c r="O136" s="11" t="s">
        <v>1839</v>
      </c>
      <c r="P136" s="11" t="s">
        <v>1874</v>
      </c>
      <c r="Q136" s="11" t="s">
        <v>1307</v>
      </c>
      <c r="R136" s="11" t="s">
        <v>1882</v>
      </c>
      <c r="S136" s="11" t="s">
        <v>0</v>
      </c>
      <c r="T136" s="11" t="s">
        <v>1306</v>
      </c>
      <c r="U136" s="11" t="s">
        <v>0</v>
      </c>
      <c r="V136" s="11" t="s">
        <v>0</v>
      </c>
      <c r="W136" s="11" t="s">
        <v>0</v>
      </c>
      <c r="X136" s="11" t="s">
        <v>0</v>
      </c>
      <c r="Y136" s="11" t="s">
        <v>0</v>
      </c>
      <c r="Z136" s="11" t="s">
        <v>0</v>
      </c>
      <c r="AA136" s="11" t="s">
        <v>0</v>
      </c>
      <c r="AB136" s="11" t="s">
        <v>0</v>
      </c>
      <c r="AC136" s="11" t="s">
        <v>0</v>
      </c>
      <c r="AD136" s="11" t="s">
        <v>0</v>
      </c>
      <c r="AE136" s="11" t="s">
        <v>2090</v>
      </c>
    </row>
    <row r="137">
      <c r="B137" s="24" t="s">
        <v>1</v>
      </c>
      <c r="C137" s="12" t="s">
        <v>144</v>
      </c>
      <c r="D137" s="11" t="s">
        <v>703</v>
      </c>
      <c r="E137" s="11" t="s">
        <v>1162</v>
      </c>
      <c r="F137" s="12" t="s">
        <v>1</v>
      </c>
      <c r="G137" s="12" t="s">
        <v>1302</v>
      </c>
      <c r="H137" s="12" t="s">
        <v>1302</v>
      </c>
      <c r="I137" s="12" t="s">
        <v>1310</v>
      </c>
      <c r="J137" s="12" t="s">
        <v>1162</v>
      </c>
      <c r="K137" s="12" t="s">
        <v>1333</v>
      </c>
      <c r="L137" s="12" t="s">
        <v>1303</v>
      </c>
      <c r="M137" s="12" t="s">
        <v>0</v>
      </c>
      <c r="N137" s="13" t="s">
        <v>1464</v>
      </c>
      <c r="O137" s="11" t="s">
        <v>1839</v>
      </c>
      <c r="P137" s="11" t="s">
        <v>1874</v>
      </c>
      <c r="Q137" s="11" t="s">
        <v>1307</v>
      </c>
      <c r="R137" s="11" t="s">
        <v>1882</v>
      </c>
      <c r="S137" s="11" t="s">
        <v>0</v>
      </c>
      <c r="T137" s="11" t="s">
        <v>1306</v>
      </c>
      <c r="U137" s="11" t="s">
        <v>0</v>
      </c>
      <c r="V137" s="11" t="s">
        <v>0</v>
      </c>
      <c r="W137" s="11" t="s">
        <v>0</v>
      </c>
      <c r="X137" s="11" t="s">
        <v>0</v>
      </c>
      <c r="Y137" s="11" t="s">
        <v>0</v>
      </c>
      <c r="Z137" s="11" t="s">
        <v>0</v>
      </c>
      <c r="AA137" s="11" t="s">
        <v>0</v>
      </c>
      <c r="AB137" s="11" t="s">
        <v>0</v>
      </c>
      <c r="AC137" s="11" t="s">
        <v>0</v>
      </c>
      <c r="AD137" s="11" t="s">
        <v>0</v>
      </c>
      <c r="AE137" s="11" t="s">
        <v>2090</v>
      </c>
    </row>
    <row r="138">
      <c r="B138" s="24" t="s">
        <v>1</v>
      </c>
      <c r="C138" s="12" t="s">
        <v>145</v>
      </c>
      <c r="D138" s="11" t="s">
        <v>704</v>
      </c>
      <c r="E138" s="11" t="s">
        <v>1162</v>
      </c>
      <c r="F138" s="12" t="s">
        <v>1285</v>
      </c>
      <c r="G138" s="12" t="s">
        <v>1302</v>
      </c>
      <c r="H138" s="12" t="s">
        <v>1302</v>
      </c>
      <c r="I138" s="12" t="s">
        <v>1310</v>
      </c>
      <c r="J138" s="12" t="s">
        <v>1162</v>
      </c>
      <c r="K138" s="12" t="s">
        <v>1333</v>
      </c>
      <c r="L138" s="12" t="s">
        <v>1303</v>
      </c>
      <c r="M138" s="12" t="s">
        <v>0</v>
      </c>
      <c r="N138" s="13" t="s">
        <v>1465</v>
      </c>
      <c r="O138" s="11" t="s">
        <v>1839</v>
      </c>
      <c r="P138" s="11" t="s">
        <v>1874</v>
      </c>
      <c r="Q138" s="11" t="s">
        <v>1307</v>
      </c>
      <c r="R138" s="11" t="s">
        <v>1882</v>
      </c>
      <c r="S138" s="11" t="s">
        <v>0</v>
      </c>
      <c r="T138" s="11" t="s">
        <v>1306</v>
      </c>
      <c r="U138" s="11" t="s">
        <v>0</v>
      </c>
      <c r="V138" s="11" t="s">
        <v>0</v>
      </c>
      <c r="W138" s="11" t="s">
        <v>0</v>
      </c>
      <c r="X138" s="11" t="s">
        <v>0</v>
      </c>
      <c r="Y138" s="11" t="s">
        <v>0</v>
      </c>
      <c r="Z138" s="11" t="s">
        <v>0</v>
      </c>
      <c r="AA138" s="11" t="s">
        <v>0</v>
      </c>
      <c r="AB138" s="11" t="s">
        <v>0</v>
      </c>
      <c r="AC138" s="11" t="s">
        <v>0</v>
      </c>
      <c r="AD138" s="11" t="s">
        <v>0</v>
      </c>
      <c r="AE138" s="11" t="s">
        <v>2090</v>
      </c>
    </row>
    <row r="139">
      <c r="B139" s="24" t="s">
        <v>1</v>
      </c>
      <c r="C139" s="12" t="s">
        <v>146</v>
      </c>
      <c r="D139" s="11" t="s">
        <v>705</v>
      </c>
      <c r="E139" s="11" t="s">
        <v>1162</v>
      </c>
      <c r="F139" s="12" t="s">
        <v>1292</v>
      </c>
      <c r="G139" s="12" t="s">
        <v>1302</v>
      </c>
      <c r="H139" s="12" t="s">
        <v>1302</v>
      </c>
      <c r="I139" s="12" t="s">
        <v>1310</v>
      </c>
      <c r="J139" s="12" t="s">
        <v>1162</v>
      </c>
      <c r="K139" s="12" t="s">
        <v>1333</v>
      </c>
      <c r="L139" s="12" t="s">
        <v>1303</v>
      </c>
      <c r="M139" s="12" t="s">
        <v>0</v>
      </c>
      <c r="N139" s="13" t="s">
        <v>1466</v>
      </c>
      <c r="O139" s="11" t="s">
        <v>1839</v>
      </c>
      <c r="P139" s="11" t="s">
        <v>1874</v>
      </c>
      <c r="Q139" s="11" t="s">
        <v>1307</v>
      </c>
      <c r="R139" s="11" t="s">
        <v>1882</v>
      </c>
      <c r="S139" s="11" t="s">
        <v>0</v>
      </c>
      <c r="T139" s="11" t="s">
        <v>1306</v>
      </c>
      <c r="U139" s="11" t="s">
        <v>0</v>
      </c>
      <c r="V139" s="11" t="s">
        <v>0</v>
      </c>
      <c r="W139" s="11" t="s">
        <v>0</v>
      </c>
      <c r="X139" s="11" t="s">
        <v>0</v>
      </c>
      <c r="Y139" s="11" t="s">
        <v>0</v>
      </c>
      <c r="Z139" s="11" t="s">
        <v>0</v>
      </c>
      <c r="AA139" s="11" t="s">
        <v>0</v>
      </c>
      <c r="AB139" s="11" t="s">
        <v>0</v>
      </c>
      <c r="AC139" s="11" t="s">
        <v>0</v>
      </c>
      <c r="AD139" s="11" t="s">
        <v>0</v>
      </c>
      <c r="AE139" s="11" t="s">
        <v>2090</v>
      </c>
    </row>
    <row r="140">
      <c r="B140" s="24" t="s">
        <v>4</v>
      </c>
      <c r="C140" s="12" t="s">
        <v>147</v>
      </c>
      <c r="D140" s="11" t="s">
        <v>706</v>
      </c>
      <c r="E140" s="11" t="s">
        <v>1162</v>
      </c>
      <c r="F140" s="12" t="s">
        <v>4</v>
      </c>
      <c r="G140" s="12" t="s">
        <v>1302</v>
      </c>
      <c r="H140" s="12" t="s">
        <v>1302</v>
      </c>
      <c r="I140" s="12" t="s">
        <v>1310</v>
      </c>
      <c r="J140" s="12" t="s">
        <v>1162</v>
      </c>
      <c r="K140" s="12" t="s">
        <v>1333</v>
      </c>
      <c r="L140" s="12" t="s">
        <v>1303</v>
      </c>
      <c r="M140" s="12" t="s">
        <v>0</v>
      </c>
      <c r="N140" s="13" t="s">
        <v>1467</v>
      </c>
      <c r="O140" s="11" t="s">
        <v>1839</v>
      </c>
      <c r="P140" s="11" t="s">
        <v>1874</v>
      </c>
      <c r="Q140" s="11" t="s">
        <v>1307</v>
      </c>
      <c r="R140" s="11" t="s">
        <v>1882</v>
      </c>
      <c r="S140" s="11" t="s">
        <v>0</v>
      </c>
      <c r="T140" s="11" t="s">
        <v>1306</v>
      </c>
      <c r="U140" s="11" t="s">
        <v>0</v>
      </c>
      <c r="V140" s="11" t="s">
        <v>0</v>
      </c>
      <c r="W140" s="11" t="s">
        <v>0</v>
      </c>
      <c r="X140" s="11" t="s">
        <v>0</v>
      </c>
      <c r="Y140" s="11" t="s">
        <v>0</v>
      </c>
      <c r="Z140" s="11" t="s">
        <v>0</v>
      </c>
      <c r="AA140" s="11" t="s">
        <v>0</v>
      </c>
      <c r="AB140" s="11" t="s">
        <v>0</v>
      </c>
      <c r="AC140" s="11" t="s">
        <v>0</v>
      </c>
      <c r="AD140" s="11" t="s">
        <v>0</v>
      </c>
      <c r="AE140" s="11" t="s">
        <v>2090</v>
      </c>
    </row>
    <row r="141">
      <c r="B141" s="24" t="s">
        <v>6</v>
      </c>
      <c r="C141" s="12" t="s">
        <v>148</v>
      </c>
      <c r="D141" s="11" t="s">
        <v>707</v>
      </c>
      <c r="E141" s="11" t="s">
        <v>1162</v>
      </c>
      <c r="F141" s="12" t="s">
        <v>6</v>
      </c>
      <c r="G141" s="12" t="s">
        <v>1302</v>
      </c>
      <c r="H141" s="12" t="s">
        <v>1302</v>
      </c>
      <c r="I141" s="12" t="s">
        <v>1310</v>
      </c>
      <c r="J141" s="12" t="s">
        <v>1162</v>
      </c>
      <c r="K141" s="12" t="s">
        <v>1333</v>
      </c>
      <c r="L141" s="12" t="s">
        <v>1303</v>
      </c>
      <c r="M141" s="12" t="s">
        <v>0</v>
      </c>
      <c r="N141" s="13" t="s">
        <v>1468</v>
      </c>
      <c r="O141" s="11" t="s">
        <v>1839</v>
      </c>
      <c r="P141" s="11" t="s">
        <v>1874</v>
      </c>
      <c r="Q141" s="11" t="s">
        <v>1307</v>
      </c>
      <c r="R141" s="11" t="s">
        <v>1882</v>
      </c>
      <c r="S141" s="11" t="s">
        <v>0</v>
      </c>
      <c r="T141" s="11" t="s">
        <v>1306</v>
      </c>
      <c r="U141" s="11" t="s">
        <v>0</v>
      </c>
      <c r="V141" s="11" t="s">
        <v>0</v>
      </c>
      <c r="W141" s="11" t="s">
        <v>0</v>
      </c>
      <c r="X141" s="11" t="s">
        <v>0</v>
      </c>
      <c r="Y141" s="11" t="s">
        <v>0</v>
      </c>
      <c r="Z141" s="11" t="s">
        <v>0</v>
      </c>
      <c r="AA141" s="11" t="s">
        <v>0</v>
      </c>
      <c r="AB141" s="11" t="s">
        <v>0</v>
      </c>
      <c r="AC141" s="11" t="s">
        <v>0</v>
      </c>
      <c r="AD141" s="11" t="s">
        <v>0</v>
      </c>
      <c r="AE141" s="11" t="s">
        <v>2090</v>
      </c>
    </row>
    <row r="142">
      <c r="B142" s="24" t="s">
        <v>1</v>
      </c>
      <c r="C142" s="12" t="s">
        <v>149</v>
      </c>
      <c r="D142" s="11" t="s">
        <v>708</v>
      </c>
      <c r="E142" s="11" t="s">
        <v>1162</v>
      </c>
      <c r="F142" s="12" t="s">
        <v>1275</v>
      </c>
      <c r="G142" s="12" t="s">
        <v>1302</v>
      </c>
      <c r="H142" s="12" t="s">
        <v>1302</v>
      </c>
      <c r="I142" s="12" t="s">
        <v>1310</v>
      </c>
      <c r="J142" s="12" t="s">
        <v>1162</v>
      </c>
      <c r="K142" s="12" t="s">
        <v>1333</v>
      </c>
      <c r="L142" s="12" t="s">
        <v>1303</v>
      </c>
      <c r="M142" s="12" t="s">
        <v>0</v>
      </c>
      <c r="N142" s="13" t="s">
        <v>1469</v>
      </c>
      <c r="O142" s="11" t="s">
        <v>1839</v>
      </c>
      <c r="P142" s="11" t="s">
        <v>1874</v>
      </c>
      <c r="Q142" s="11" t="s">
        <v>1307</v>
      </c>
      <c r="R142" s="11" t="s">
        <v>1882</v>
      </c>
      <c r="S142" s="11" t="s">
        <v>0</v>
      </c>
      <c r="T142" s="11" t="s">
        <v>1306</v>
      </c>
      <c r="U142" s="11" t="s">
        <v>0</v>
      </c>
      <c r="V142" s="11" t="s">
        <v>0</v>
      </c>
      <c r="W142" s="11" t="s">
        <v>0</v>
      </c>
      <c r="X142" s="11" t="s">
        <v>0</v>
      </c>
      <c r="Y142" s="11" t="s">
        <v>0</v>
      </c>
      <c r="Z142" s="11" t="s">
        <v>0</v>
      </c>
      <c r="AA142" s="11" t="s">
        <v>0</v>
      </c>
      <c r="AB142" s="11" t="s">
        <v>0</v>
      </c>
      <c r="AC142" s="11" t="s">
        <v>0</v>
      </c>
      <c r="AD142" s="11" t="s">
        <v>0</v>
      </c>
      <c r="AE142" s="11" t="s">
        <v>2090</v>
      </c>
    </row>
    <row r="143">
      <c r="B143" s="24" t="s">
        <v>1</v>
      </c>
      <c r="C143" s="12" t="s">
        <v>150</v>
      </c>
      <c r="D143" s="11" t="s">
        <v>709</v>
      </c>
      <c r="E143" s="11" t="s">
        <v>1162</v>
      </c>
      <c r="F143" s="12" t="s">
        <v>1278</v>
      </c>
      <c r="G143" s="12" t="s">
        <v>1302</v>
      </c>
      <c r="H143" s="12" t="s">
        <v>1302</v>
      </c>
      <c r="I143" s="12" t="s">
        <v>1310</v>
      </c>
      <c r="J143" s="12" t="s">
        <v>1162</v>
      </c>
      <c r="K143" s="12" t="s">
        <v>1333</v>
      </c>
      <c r="L143" s="12" t="s">
        <v>1303</v>
      </c>
      <c r="M143" s="12" t="s">
        <v>0</v>
      </c>
      <c r="N143" s="13" t="s">
        <v>1470</v>
      </c>
      <c r="O143" s="11" t="s">
        <v>1839</v>
      </c>
      <c r="P143" s="11" t="s">
        <v>1874</v>
      </c>
      <c r="Q143" s="11" t="s">
        <v>1307</v>
      </c>
      <c r="R143" s="11" t="s">
        <v>1882</v>
      </c>
      <c r="S143" s="11" t="s">
        <v>0</v>
      </c>
      <c r="T143" s="11" t="s">
        <v>1306</v>
      </c>
      <c r="U143" s="11" t="s">
        <v>0</v>
      </c>
      <c r="V143" s="11" t="s">
        <v>0</v>
      </c>
      <c r="W143" s="11" t="s">
        <v>0</v>
      </c>
      <c r="X143" s="11" t="s">
        <v>0</v>
      </c>
      <c r="Y143" s="11" t="s">
        <v>0</v>
      </c>
      <c r="Z143" s="11" t="s">
        <v>0</v>
      </c>
      <c r="AA143" s="11" t="s">
        <v>0</v>
      </c>
      <c r="AB143" s="11" t="s">
        <v>0</v>
      </c>
      <c r="AC143" s="11" t="s">
        <v>0</v>
      </c>
      <c r="AD143" s="11" t="s">
        <v>0</v>
      </c>
      <c r="AE143" s="11" t="s">
        <v>2090</v>
      </c>
    </row>
    <row r="144">
      <c r="B144" s="24" t="s">
        <v>2</v>
      </c>
      <c r="C144" s="12" t="s">
        <v>151</v>
      </c>
      <c r="D144" s="11" t="s">
        <v>710</v>
      </c>
      <c r="E144" s="11" t="s">
        <v>1162</v>
      </c>
      <c r="F144" s="12" t="s">
        <v>2</v>
      </c>
      <c r="G144" s="12" t="s">
        <v>1302</v>
      </c>
      <c r="H144" s="12" t="s">
        <v>1302</v>
      </c>
      <c r="I144" s="12" t="s">
        <v>1310</v>
      </c>
      <c r="J144" s="12" t="s">
        <v>1162</v>
      </c>
      <c r="K144" s="12" t="s">
        <v>1333</v>
      </c>
      <c r="L144" s="12" t="s">
        <v>1303</v>
      </c>
      <c r="M144" s="12" t="s">
        <v>0</v>
      </c>
      <c r="N144" s="13" t="s">
        <v>1471</v>
      </c>
      <c r="O144" s="11" t="s">
        <v>1839</v>
      </c>
      <c r="P144" s="11" t="s">
        <v>1874</v>
      </c>
      <c r="Q144" s="11" t="s">
        <v>1307</v>
      </c>
      <c r="R144" s="11" t="s">
        <v>1882</v>
      </c>
      <c r="S144" s="11" t="s">
        <v>0</v>
      </c>
      <c r="T144" s="11" t="s">
        <v>1306</v>
      </c>
      <c r="U144" s="11" t="s">
        <v>0</v>
      </c>
      <c r="V144" s="11" t="s">
        <v>0</v>
      </c>
      <c r="W144" s="11" t="s">
        <v>0</v>
      </c>
      <c r="X144" s="11" t="s">
        <v>0</v>
      </c>
      <c r="Y144" s="11" t="s">
        <v>0</v>
      </c>
      <c r="Z144" s="11" t="s">
        <v>0</v>
      </c>
      <c r="AA144" s="11" t="s">
        <v>0</v>
      </c>
      <c r="AB144" s="11" t="s">
        <v>0</v>
      </c>
      <c r="AC144" s="11" t="s">
        <v>0</v>
      </c>
      <c r="AD144" s="11" t="s">
        <v>0</v>
      </c>
      <c r="AE144" s="11" t="s">
        <v>2090</v>
      </c>
    </row>
    <row r="145">
      <c r="B145" s="24" t="s">
        <v>1</v>
      </c>
      <c r="C145" s="12" t="s">
        <v>152</v>
      </c>
      <c r="D145" s="11" t="s">
        <v>711</v>
      </c>
      <c r="E145" s="11" t="s">
        <v>1163</v>
      </c>
      <c r="F145" s="12" t="s">
        <v>1284</v>
      </c>
      <c r="G145" s="12" t="s">
        <v>1302</v>
      </c>
      <c r="H145" s="12" t="s">
        <v>1302</v>
      </c>
      <c r="I145" s="12" t="s">
        <v>1310</v>
      </c>
      <c r="J145" s="12" t="s">
        <v>1163</v>
      </c>
      <c r="K145" s="12" t="s">
        <v>1333</v>
      </c>
      <c r="L145" s="12" t="s">
        <v>1303</v>
      </c>
      <c r="M145" s="12" t="s">
        <v>0</v>
      </c>
      <c r="N145" s="13" t="s">
        <v>1472</v>
      </c>
      <c r="O145" s="11" t="s">
        <v>1840</v>
      </c>
      <c r="P145" s="11" t="s">
        <v>1875</v>
      </c>
      <c r="Q145" s="11" t="s">
        <v>1307</v>
      </c>
      <c r="R145" s="11" t="s">
        <v>1882</v>
      </c>
      <c r="S145" s="11" t="s">
        <v>0</v>
      </c>
      <c r="T145" s="11" t="s">
        <v>1307</v>
      </c>
      <c r="U145" s="11" t="s">
        <v>1890</v>
      </c>
      <c r="V145" s="11" t="s">
        <v>1906</v>
      </c>
      <c r="W145" s="11" t="s">
        <v>1897</v>
      </c>
      <c r="X145" s="11" t="s">
        <v>1929</v>
      </c>
      <c r="Y145" s="11" t="s">
        <v>0</v>
      </c>
      <c r="Z145" s="11" t="s">
        <v>0</v>
      </c>
      <c r="AA145" s="11" t="s">
        <v>0</v>
      </c>
      <c r="AB145" s="11" t="s">
        <v>0</v>
      </c>
      <c r="AC145" s="11" t="s">
        <v>0</v>
      </c>
      <c r="AD145" s="11" t="s">
        <v>2056</v>
      </c>
      <c r="AE145" s="11" t="s">
        <v>13</v>
      </c>
    </row>
    <row r="146">
      <c r="B146" s="24" t="s">
        <v>1</v>
      </c>
      <c r="C146" s="12" t="s">
        <v>153</v>
      </c>
      <c r="D146" s="11" t="s">
        <v>712</v>
      </c>
      <c r="E146" s="11" t="s">
        <v>1163</v>
      </c>
      <c r="F146" s="12" t="s">
        <v>1272</v>
      </c>
      <c r="G146" s="12" t="s">
        <v>1302</v>
      </c>
      <c r="H146" s="12" t="s">
        <v>1302</v>
      </c>
      <c r="I146" s="12" t="s">
        <v>1310</v>
      </c>
      <c r="J146" s="12" t="s">
        <v>1163</v>
      </c>
      <c r="K146" s="12" t="s">
        <v>1333</v>
      </c>
      <c r="L146" s="12" t="s">
        <v>1303</v>
      </c>
      <c r="M146" s="12" t="s">
        <v>0</v>
      </c>
      <c r="N146" s="13" t="s">
        <v>0</v>
      </c>
      <c r="O146" s="11" t="s">
        <v>1840</v>
      </c>
      <c r="P146" s="11" t="s">
        <v>1875</v>
      </c>
      <c r="Q146" s="11" t="s">
        <v>1307</v>
      </c>
      <c r="R146" s="11" t="s">
        <v>1882</v>
      </c>
      <c r="S146" s="11" t="s">
        <v>0</v>
      </c>
      <c r="T146" s="11" t="s">
        <v>1306</v>
      </c>
      <c r="U146" s="11" t="s">
        <v>0</v>
      </c>
      <c r="V146" s="11" t="s">
        <v>0</v>
      </c>
      <c r="W146" s="11" t="s">
        <v>0</v>
      </c>
      <c r="X146" s="11" t="s">
        <v>0</v>
      </c>
      <c r="Y146" s="11" t="s">
        <v>0</v>
      </c>
      <c r="Z146" s="11" t="s">
        <v>0</v>
      </c>
      <c r="AA146" s="11" t="s">
        <v>0</v>
      </c>
      <c r="AB146" s="11" t="s">
        <v>0</v>
      </c>
      <c r="AC146" s="11" t="s">
        <v>0</v>
      </c>
      <c r="AD146" s="11" t="s">
        <v>0</v>
      </c>
      <c r="AE146" s="11" t="s">
        <v>2090</v>
      </c>
    </row>
    <row r="147">
      <c r="B147" s="24" t="s">
        <v>5</v>
      </c>
      <c r="C147" s="12" t="s">
        <v>154</v>
      </c>
      <c r="D147" s="11" t="s">
        <v>713</v>
      </c>
      <c r="E147" s="11" t="s">
        <v>1163</v>
      </c>
      <c r="F147" s="12" t="s">
        <v>5</v>
      </c>
      <c r="G147" s="12" t="s">
        <v>1302</v>
      </c>
      <c r="H147" s="12" t="s">
        <v>1302</v>
      </c>
      <c r="I147" s="12" t="s">
        <v>1310</v>
      </c>
      <c r="J147" s="12" t="s">
        <v>1163</v>
      </c>
      <c r="K147" s="12" t="s">
        <v>1333</v>
      </c>
      <c r="L147" s="12" t="s">
        <v>1303</v>
      </c>
      <c r="M147" s="12" t="s">
        <v>0</v>
      </c>
      <c r="N147" s="13" t="s">
        <v>0</v>
      </c>
      <c r="O147" s="11" t="s">
        <v>1840</v>
      </c>
      <c r="P147" s="11" t="s">
        <v>1875</v>
      </c>
      <c r="Q147" s="11" t="s">
        <v>1307</v>
      </c>
      <c r="R147" s="11" t="s">
        <v>1882</v>
      </c>
      <c r="S147" s="11" t="s">
        <v>0</v>
      </c>
      <c r="T147" s="11" t="s">
        <v>1306</v>
      </c>
      <c r="U147" s="11" t="s">
        <v>0</v>
      </c>
      <c r="V147" s="11" t="s">
        <v>0</v>
      </c>
      <c r="W147" s="11" t="s">
        <v>0</v>
      </c>
      <c r="X147" s="11" t="s">
        <v>0</v>
      </c>
      <c r="Y147" s="11" t="s">
        <v>0</v>
      </c>
      <c r="Z147" s="11" t="s">
        <v>0</v>
      </c>
      <c r="AA147" s="11" t="s">
        <v>0</v>
      </c>
      <c r="AB147" s="11" t="s">
        <v>0</v>
      </c>
      <c r="AC147" s="11" t="s">
        <v>0</v>
      </c>
      <c r="AD147" s="11" t="s">
        <v>0</v>
      </c>
      <c r="AE147" s="11" t="s">
        <v>2090</v>
      </c>
    </row>
    <row r="148">
      <c r="B148" s="24" t="s">
        <v>1</v>
      </c>
      <c r="C148" s="12" t="s">
        <v>155</v>
      </c>
      <c r="D148" s="11" t="s">
        <v>714</v>
      </c>
      <c r="E148" s="11" t="s">
        <v>1163</v>
      </c>
      <c r="F148" s="12" t="s">
        <v>1275</v>
      </c>
      <c r="G148" s="12" t="s">
        <v>1302</v>
      </c>
      <c r="H148" s="12" t="s">
        <v>1302</v>
      </c>
      <c r="I148" s="12" t="s">
        <v>1310</v>
      </c>
      <c r="J148" s="12" t="s">
        <v>1163</v>
      </c>
      <c r="K148" s="12" t="s">
        <v>1332</v>
      </c>
      <c r="L148" s="12" t="s">
        <v>1303</v>
      </c>
      <c r="M148" s="12" t="s">
        <v>0</v>
      </c>
      <c r="N148" s="13" t="s">
        <v>1473</v>
      </c>
      <c r="O148" s="11" t="s">
        <v>1840</v>
      </c>
      <c r="P148" s="11" t="s">
        <v>1875</v>
      </c>
      <c r="Q148" s="11" t="s">
        <v>1307</v>
      </c>
      <c r="R148" s="11" t="s">
        <v>1882</v>
      </c>
      <c r="S148" s="11" t="s">
        <v>0</v>
      </c>
      <c r="T148" s="11" t="s">
        <v>1307</v>
      </c>
      <c r="U148" s="11" t="s">
        <v>1892</v>
      </c>
      <c r="V148" s="11" t="s">
        <v>1907</v>
      </c>
      <c r="W148" s="11" t="s">
        <v>1906</v>
      </c>
      <c r="X148" s="11" t="s">
        <v>1929</v>
      </c>
      <c r="Y148" s="11" t="s">
        <v>0</v>
      </c>
      <c r="Z148" s="11" t="s">
        <v>0</v>
      </c>
      <c r="AA148" s="11" t="s">
        <v>0</v>
      </c>
      <c r="AB148" s="11" t="s">
        <v>0</v>
      </c>
      <c r="AC148" s="11" t="s">
        <v>0</v>
      </c>
      <c r="AD148" s="11" t="s">
        <v>2057</v>
      </c>
      <c r="AE148" s="11" t="s">
        <v>13</v>
      </c>
    </row>
    <row r="149">
      <c r="B149" s="24" t="s">
        <v>1</v>
      </c>
      <c r="C149" s="12" t="s">
        <v>156</v>
      </c>
      <c r="D149" s="11" t="s">
        <v>715</v>
      </c>
      <c r="E149" s="11" t="s">
        <v>1163</v>
      </c>
      <c r="F149" s="12" t="s">
        <v>1293</v>
      </c>
      <c r="G149" s="12" t="s">
        <v>1302</v>
      </c>
      <c r="H149" s="12" t="s">
        <v>1302</v>
      </c>
      <c r="I149" s="12" t="s">
        <v>1310</v>
      </c>
      <c r="J149" s="12" t="s">
        <v>1163</v>
      </c>
      <c r="K149" s="12" t="s">
        <v>1333</v>
      </c>
      <c r="L149" s="12" t="s">
        <v>1303</v>
      </c>
      <c r="M149" s="12" t="s">
        <v>0</v>
      </c>
      <c r="N149" s="13" t="s">
        <v>1474</v>
      </c>
      <c r="O149" s="11" t="s">
        <v>1840</v>
      </c>
      <c r="P149" s="11" t="s">
        <v>1875</v>
      </c>
      <c r="Q149" s="11" t="s">
        <v>1307</v>
      </c>
      <c r="R149" s="11" t="s">
        <v>1882</v>
      </c>
      <c r="S149" s="11" t="s">
        <v>1307</v>
      </c>
      <c r="T149" s="11" t="s">
        <v>1307</v>
      </c>
      <c r="U149" s="11" t="s">
        <v>1890</v>
      </c>
      <c r="V149" s="11" t="s">
        <v>1897</v>
      </c>
      <c r="W149" s="11" t="s">
        <v>1929</v>
      </c>
      <c r="X149" s="11" t="s">
        <v>0</v>
      </c>
      <c r="Y149" s="11" t="s">
        <v>0</v>
      </c>
      <c r="Z149" s="11" t="s">
        <v>0</v>
      </c>
      <c r="AA149" s="11" t="s">
        <v>0</v>
      </c>
      <c r="AB149" s="11" t="s">
        <v>0</v>
      </c>
      <c r="AC149" s="11" t="s">
        <v>0</v>
      </c>
      <c r="AD149" s="11" t="s">
        <v>2058</v>
      </c>
      <c r="AE149" s="11" t="s">
        <v>13</v>
      </c>
    </row>
    <row r="150">
      <c r="B150" s="24" t="s">
        <v>1</v>
      </c>
      <c r="C150" s="12" t="s">
        <v>157</v>
      </c>
      <c r="D150" s="11" t="s">
        <v>716</v>
      </c>
      <c r="E150" s="11" t="s">
        <v>1163</v>
      </c>
      <c r="F150" s="12" t="s">
        <v>1282</v>
      </c>
      <c r="G150" s="12" t="s">
        <v>1302</v>
      </c>
      <c r="H150" s="12" t="s">
        <v>1302</v>
      </c>
      <c r="I150" s="12" t="s">
        <v>1310</v>
      </c>
      <c r="J150" s="12" t="s">
        <v>1163</v>
      </c>
      <c r="K150" s="12" t="s">
        <v>1333</v>
      </c>
      <c r="L150" s="12" t="s">
        <v>1303</v>
      </c>
      <c r="M150" s="12" t="s">
        <v>0</v>
      </c>
      <c r="N150" s="13" t="s">
        <v>1475</v>
      </c>
      <c r="O150" s="11" t="s">
        <v>1840</v>
      </c>
      <c r="P150" s="11" t="s">
        <v>1875</v>
      </c>
      <c r="Q150" s="11" t="s">
        <v>1307</v>
      </c>
      <c r="R150" s="11" t="s">
        <v>1882</v>
      </c>
      <c r="S150" s="11" t="s">
        <v>1307</v>
      </c>
      <c r="T150" s="11" t="s">
        <v>1307</v>
      </c>
      <c r="U150" s="11" t="s">
        <v>1890</v>
      </c>
      <c r="V150" s="11" t="s">
        <v>1897</v>
      </c>
      <c r="W150" s="11" t="s">
        <v>1929</v>
      </c>
      <c r="X150" s="11" t="s">
        <v>0</v>
      </c>
      <c r="Y150" s="11" t="s">
        <v>0</v>
      </c>
      <c r="Z150" s="11" t="s">
        <v>0</v>
      </c>
      <c r="AA150" s="11" t="s">
        <v>0</v>
      </c>
      <c r="AB150" s="11" t="s">
        <v>0</v>
      </c>
      <c r="AC150" s="11" t="s">
        <v>0</v>
      </c>
      <c r="AD150" s="11" t="s">
        <v>2059</v>
      </c>
      <c r="AE150" s="11" t="s">
        <v>13</v>
      </c>
    </row>
    <row r="151">
      <c r="B151" s="24" t="s">
        <v>1</v>
      </c>
      <c r="C151" s="12" t="s">
        <v>158</v>
      </c>
      <c r="D151" s="11" t="s">
        <v>717</v>
      </c>
      <c r="E151" s="11" t="s">
        <v>1163</v>
      </c>
      <c r="F151" s="12" t="s">
        <v>1279</v>
      </c>
      <c r="G151" s="12" t="s">
        <v>1302</v>
      </c>
      <c r="H151" s="12" t="s">
        <v>1302</v>
      </c>
      <c r="I151" s="12" t="s">
        <v>1310</v>
      </c>
      <c r="J151" s="12" t="s">
        <v>1163</v>
      </c>
      <c r="K151" s="12" t="s">
        <v>1333</v>
      </c>
      <c r="L151" s="12" t="s">
        <v>1303</v>
      </c>
      <c r="M151" s="12" t="s">
        <v>0</v>
      </c>
      <c r="N151" s="13" t="s">
        <v>1476</v>
      </c>
      <c r="O151" s="11" t="s">
        <v>1840</v>
      </c>
      <c r="P151" s="11" t="s">
        <v>1875</v>
      </c>
      <c r="Q151" s="11" t="s">
        <v>1307</v>
      </c>
      <c r="R151" s="11" t="s">
        <v>1882</v>
      </c>
      <c r="S151" s="11" t="s">
        <v>1307</v>
      </c>
      <c r="T151" s="11" t="s">
        <v>1307</v>
      </c>
      <c r="U151" s="11" t="s">
        <v>1890</v>
      </c>
      <c r="V151" s="11" t="s">
        <v>1897</v>
      </c>
      <c r="W151" s="11" t="s">
        <v>0</v>
      </c>
      <c r="X151" s="11" t="s">
        <v>0</v>
      </c>
      <c r="Y151" s="11" t="s">
        <v>0</v>
      </c>
      <c r="Z151" s="11" t="s">
        <v>0</v>
      </c>
      <c r="AA151" s="11" t="s">
        <v>0</v>
      </c>
      <c r="AB151" s="11" t="s">
        <v>0</v>
      </c>
      <c r="AC151" s="11" t="s">
        <v>0</v>
      </c>
      <c r="AD151" s="11" t="s">
        <v>0</v>
      </c>
      <c r="AE151" s="11" t="s">
        <v>13</v>
      </c>
    </row>
    <row r="152">
      <c r="B152" s="24" t="s">
        <v>7</v>
      </c>
      <c r="C152" s="12" t="s">
        <v>159</v>
      </c>
      <c r="D152" s="11" t="s">
        <v>718</v>
      </c>
      <c r="E152" s="11" t="s">
        <v>1163</v>
      </c>
      <c r="F152" s="12" t="s">
        <v>7</v>
      </c>
      <c r="G152" s="12" t="s">
        <v>1302</v>
      </c>
      <c r="H152" s="12" t="s">
        <v>1302</v>
      </c>
      <c r="I152" s="12" t="s">
        <v>1310</v>
      </c>
      <c r="J152" s="12" t="s">
        <v>1163</v>
      </c>
      <c r="K152" s="12" t="s">
        <v>1333</v>
      </c>
      <c r="L152" s="12" t="s">
        <v>1303</v>
      </c>
      <c r="M152" s="12" t="s">
        <v>0</v>
      </c>
      <c r="N152" s="13" t="s">
        <v>1477</v>
      </c>
      <c r="O152" s="11" t="s">
        <v>1840</v>
      </c>
      <c r="P152" s="11" t="s">
        <v>1875</v>
      </c>
      <c r="Q152" s="11" t="s">
        <v>1307</v>
      </c>
      <c r="R152" s="11" t="s">
        <v>1882</v>
      </c>
      <c r="S152" s="11" t="s">
        <v>1307</v>
      </c>
      <c r="T152" s="11" t="s">
        <v>1307</v>
      </c>
      <c r="U152" s="11" t="s">
        <v>1890</v>
      </c>
      <c r="V152" s="11" t="s">
        <v>1897</v>
      </c>
      <c r="W152" s="11" t="s">
        <v>0</v>
      </c>
      <c r="X152" s="11" t="s">
        <v>0</v>
      </c>
      <c r="Y152" s="11" t="s">
        <v>0</v>
      </c>
      <c r="Z152" s="11" t="s">
        <v>0</v>
      </c>
      <c r="AA152" s="11" t="s">
        <v>0</v>
      </c>
      <c r="AB152" s="11" t="s">
        <v>0</v>
      </c>
      <c r="AC152" s="11" t="s">
        <v>0</v>
      </c>
      <c r="AD152" s="11" t="s">
        <v>0</v>
      </c>
      <c r="AE152" s="11" t="s">
        <v>13</v>
      </c>
    </row>
    <row r="153">
      <c r="B153" s="24" t="s">
        <v>3</v>
      </c>
      <c r="C153" s="12" t="s">
        <v>160</v>
      </c>
      <c r="D153" s="11" t="s">
        <v>719</v>
      </c>
      <c r="E153" s="11" t="s">
        <v>1163</v>
      </c>
      <c r="F153" s="12" t="s">
        <v>3</v>
      </c>
      <c r="G153" s="12" t="s">
        <v>1302</v>
      </c>
      <c r="H153" s="12" t="s">
        <v>1302</v>
      </c>
      <c r="I153" s="12" t="s">
        <v>1310</v>
      </c>
      <c r="J153" s="12" t="s">
        <v>1163</v>
      </c>
      <c r="K153" s="12" t="s">
        <v>1333</v>
      </c>
      <c r="L153" s="12" t="s">
        <v>1303</v>
      </c>
      <c r="M153" s="12" t="s">
        <v>0</v>
      </c>
      <c r="N153" s="13" t="s">
        <v>1478</v>
      </c>
      <c r="O153" s="11" t="s">
        <v>1840</v>
      </c>
      <c r="P153" s="11" t="s">
        <v>1875</v>
      </c>
      <c r="Q153" s="11" t="s">
        <v>1307</v>
      </c>
      <c r="R153" s="11" t="s">
        <v>1882</v>
      </c>
      <c r="S153" s="11" t="s">
        <v>1307</v>
      </c>
      <c r="T153" s="11" t="s">
        <v>1307</v>
      </c>
      <c r="U153" s="11" t="s">
        <v>1890</v>
      </c>
      <c r="V153" s="11" t="s">
        <v>1897</v>
      </c>
      <c r="W153" s="11" t="s">
        <v>0</v>
      </c>
      <c r="X153" s="11" t="s">
        <v>0</v>
      </c>
      <c r="Y153" s="11" t="s">
        <v>0</v>
      </c>
      <c r="Z153" s="11" t="s">
        <v>0</v>
      </c>
      <c r="AA153" s="11" t="s">
        <v>0</v>
      </c>
      <c r="AB153" s="11" t="s">
        <v>0</v>
      </c>
      <c r="AC153" s="11" t="s">
        <v>0</v>
      </c>
      <c r="AD153" s="11" t="s">
        <v>0</v>
      </c>
      <c r="AE153" s="11" t="s">
        <v>13</v>
      </c>
    </row>
    <row r="154">
      <c r="B154" s="24" t="s">
        <v>1</v>
      </c>
      <c r="C154" s="12" t="s">
        <v>161</v>
      </c>
      <c r="D154" s="11" t="s">
        <v>720</v>
      </c>
      <c r="E154" s="11" t="s">
        <v>1163</v>
      </c>
      <c r="F154" s="12" t="s">
        <v>1273</v>
      </c>
      <c r="G154" s="12" t="s">
        <v>1302</v>
      </c>
      <c r="H154" s="12" t="s">
        <v>1302</v>
      </c>
      <c r="I154" s="12" t="s">
        <v>1310</v>
      </c>
      <c r="J154" s="12" t="s">
        <v>1163</v>
      </c>
      <c r="K154" s="12" t="s">
        <v>1333</v>
      </c>
      <c r="L154" s="12" t="s">
        <v>1303</v>
      </c>
      <c r="M154" s="12" t="s">
        <v>0</v>
      </c>
      <c r="N154" s="13" t="s">
        <v>1479</v>
      </c>
      <c r="O154" s="11" t="s">
        <v>1840</v>
      </c>
      <c r="P154" s="11" t="s">
        <v>1875</v>
      </c>
      <c r="Q154" s="11" t="s">
        <v>1307</v>
      </c>
      <c r="R154" s="11" t="s">
        <v>1882</v>
      </c>
      <c r="S154" s="11" t="s">
        <v>1307</v>
      </c>
      <c r="T154" s="11" t="s">
        <v>1307</v>
      </c>
      <c r="U154" s="11" t="s">
        <v>1890</v>
      </c>
      <c r="V154" s="11" t="s">
        <v>1897</v>
      </c>
      <c r="W154" s="11" t="s">
        <v>0</v>
      </c>
      <c r="X154" s="11" t="s">
        <v>0</v>
      </c>
      <c r="Y154" s="11" t="s">
        <v>0</v>
      </c>
      <c r="Z154" s="11" t="s">
        <v>0</v>
      </c>
      <c r="AA154" s="11" t="s">
        <v>0</v>
      </c>
      <c r="AB154" s="11" t="s">
        <v>0</v>
      </c>
      <c r="AC154" s="11" t="s">
        <v>0</v>
      </c>
      <c r="AD154" s="11" t="s">
        <v>0</v>
      </c>
      <c r="AE154" s="11" t="s">
        <v>13</v>
      </c>
    </row>
    <row r="155">
      <c r="B155" s="24" t="s">
        <v>1</v>
      </c>
      <c r="C155" s="12" t="s">
        <v>162</v>
      </c>
      <c r="D155" s="11" t="s">
        <v>721</v>
      </c>
      <c r="E155" s="11" t="s">
        <v>1163</v>
      </c>
      <c r="F155" s="12" t="s">
        <v>1276</v>
      </c>
      <c r="G155" s="12" t="s">
        <v>1302</v>
      </c>
      <c r="H155" s="12" t="s">
        <v>1302</v>
      </c>
      <c r="I155" s="12" t="s">
        <v>1310</v>
      </c>
      <c r="J155" s="12" t="s">
        <v>1163</v>
      </c>
      <c r="K155" s="12" t="s">
        <v>1333</v>
      </c>
      <c r="L155" s="12" t="s">
        <v>1303</v>
      </c>
      <c r="M155" s="12" t="s">
        <v>0</v>
      </c>
      <c r="N155" s="13" t="s">
        <v>1480</v>
      </c>
      <c r="O155" s="11" t="s">
        <v>1840</v>
      </c>
      <c r="P155" s="11" t="s">
        <v>1875</v>
      </c>
      <c r="Q155" s="11" t="s">
        <v>1307</v>
      </c>
      <c r="R155" s="11" t="s">
        <v>1882</v>
      </c>
      <c r="S155" s="11" t="s">
        <v>1307</v>
      </c>
      <c r="T155" s="11" t="s">
        <v>1307</v>
      </c>
      <c r="U155" s="11" t="s">
        <v>1890</v>
      </c>
      <c r="V155" s="11" t="s">
        <v>1897</v>
      </c>
      <c r="W155" s="11" t="s">
        <v>0</v>
      </c>
      <c r="X155" s="11" t="s">
        <v>0</v>
      </c>
      <c r="Y155" s="11" t="s">
        <v>0</v>
      </c>
      <c r="Z155" s="11" t="s">
        <v>0</v>
      </c>
      <c r="AA155" s="11" t="s">
        <v>0</v>
      </c>
      <c r="AB155" s="11" t="s">
        <v>0</v>
      </c>
      <c r="AC155" s="11" t="s">
        <v>0</v>
      </c>
      <c r="AD155" s="11" t="s">
        <v>2060</v>
      </c>
      <c r="AE155" s="11" t="s">
        <v>13</v>
      </c>
    </row>
    <row r="156">
      <c r="B156" s="24" t="s">
        <v>7</v>
      </c>
      <c r="C156" s="12" t="s">
        <v>163</v>
      </c>
      <c r="D156" s="11" t="s">
        <v>722</v>
      </c>
      <c r="E156" s="11" t="s">
        <v>1163</v>
      </c>
      <c r="F156" s="12" t="s">
        <v>7</v>
      </c>
      <c r="G156" s="12" t="s">
        <v>1302</v>
      </c>
      <c r="H156" s="12" t="s">
        <v>1302</v>
      </c>
      <c r="I156" s="12" t="s">
        <v>1310</v>
      </c>
      <c r="J156" s="12" t="s">
        <v>1163</v>
      </c>
      <c r="K156" s="12" t="s">
        <v>1333</v>
      </c>
      <c r="L156" s="12" t="s">
        <v>1303</v>
      </c>
      <c r="M156" s="12" t="s">
        <v>0</v>
      </c>
      <c r="N156" s="13" t="s">
        <v>1481</v>
      </c>
      <c r="O156" s="11" t="s">
        <v>1840</v>
      </c>
      <c r="P156" s="11" t="s">
        <v>1875</v>
      </c>
      <c r="Q156" s="11" t="s">
        <v>1307</v>
      </c>
      <c r="R156" s="11" t="s">
        <v>1882</v>
      </c>
      <c r="S156" s="11" t="s">
        <v>1307</v>
      </c>
      <c r="T156" s="11" t="s">
        <v>1307</v>
      </c>
      <c r="U156" s="11" t="s">
        <v>1892</v>
      </c>
      <c r="V156" s="11" t="s">
        <v>1897</v>
      </c>
      <c r="W156" s="11" t="s">
        <v>0</v>
      </c>
      <c r="X156" s="11" t="s">
        <v>0</v>
      </c>
      <c r="Y156" s="11" t="s">
        <v>0</v>
      </c>
      <c r="Z156" s="11" t="s">
        <v>0</v>
      </c>
      <c r="AA156" s="11" t="s">
        <v>0</v>
      </c>
      <c r="AB156" s="11" t="s">
        <v>0</v>
      </c>
      <c r="AC156" s="11" t="s">
        <v>0</v>
      </c>
      <c r="AD156" s="11" t="s">
        <v>0</v>
      </c>
      <c r="AE156" s="11" t="s">
        <v>13</v>
      </c>
    </row>
    <row r="157">
      <c r="B157" s="24" t="s">
        <v>1</v>
      </c>
      <c r="C157" s="12" t="s">
        <v>164</v>
      </c>
      <c r="D157" s="11" t="s">
        <v>723</v>
      </c>
      <c r="E157" s="11" t="s">
        <v>1163</v>
      </c>
      <c r="F157" s="12" t="s">
        <v>1</v>
      </c>
      <c r="G157" s="12" t="s">
        <v>1302</v>
      </c>
      <c r="H157" s="12" t="s">
        <v>1302</v>
      </c>
      <c r="I157" s="12" t="s">
        <v>1310</v>
      </c>
      <c r="J157" s="12" t="s">
        <v>1163</v>
      </c>
      <c r="K157" s="12" t="s">
        <v>1333</v>
      </c>
      <c r="L157" s="12" t="s">
        <v>1303</v>
      </c>
      <c r="M157" s="12" t="s">
        <v>0</v>
      </c>
      <c r="N157" s="13" t="s">
        <v>1482</v>
      </c>
      <c r="O157" s="11" t="s">
        <v>1840</v>
      </c>
      <c r="P157" s="11" t="s">
        <v>1875</v>
      </c>
      <c r="Q157" s="11" t="s">
        <v>1307</v>
      </c>
      <c r="R157" s="11" t="s">
        <v>1882</v>
      </c>
      <c r="S157" s="11" t="s">
        <v>1307</v>
      </c>
      <c r="T157" s="11" t="s">
        <v>1307</v>
      </c>
      <c r="U157" s="11" t="s">
        <v>1890</v>
      </c>
      <c r="V157" s="11" t="s">
        <v>1897</v>
      </c>
      <c r="W157" s="11" t="s">
        <v>0</v>
      </c>
      <c r="X157" s="11" t="s">
        <v>0</v>
      </c>
      <c r="Y157" s="11" t="s">
        <v>0</v>
      </c>
      <c r="Z157" s="11" t="s">
        <v>0</v>
      </c>
      <c r="AA157" s="11" t="s">
        <v>0</v>
      </c>
      <c r="AB157" s="11" t="s">
        <v>0</v>
      </c>
      <c r="AC157" s="11" t="s">
        <v>0</v>
      </c>
      <c r="AD157" s="11" t="s">
        <v>0</v>
      </c>
      <c r="AE157" s="11" t="s">
        <v>13</v>
      </c>
    </row>
    <row r="158">
      <c r="B158" s="24" t="s">
        <v>8</v>
      </c>
      <c r="C158" s="12" t="s">
        <v>165</v>
      </c>
      <c r="D158" s="11" t="s">
        <v>724</v>
      </c>
      <c r="E158" s="11" t="s">
        <v>1163</v>
      </c>
      <c r="F158" s="12" t="s">
        <v>8</v>
      </c>
      <c r="G158" s="12" t="s">
        <v>1302</v>
      </c>
      <c r="H158" s="12" t="s">
        <v>1302</v>
      </c>
      <c r="I158" s="12" t="s">
        <v>1310</v>
      </c>
      <c r="J158" s="12" t="s">
        <v>1163</v>
      </c>
      <c r="K158" s="12" t="s">
        <v>1333</v>
      </c>
      <c r="L158" s="12" t="s">
        <v>1303</v>
      </c>
      <c r="M158" s="12" t="s">
        <v>0</v>
      </c>
      <c r="N158" s="13" t="s">
        <v>1483</v>
      </c>
      <c r="O158" s="11" t="s">
        <v>1840</v>
      </c>
      <c r="P158" s="11" t="s">
        <v>1875</v>
      </c>
      <c r="Q158" s="11" t="s">
        <v>1307</v>
      </c>
      <c r="R158" s="11" t="s">
        <v>1882</v>
      </c>
      <c r="S158" s="11" t="s">
        <v>1307</v>
      </c>
      <c r="T158" s="11" t="s">
        <v>1307</v>
      </c>
      <c r="U158" s="11" t="s">
        <v>1890</v>
      </c>
      <c r="V158" s="11" t="s">
        <v>1897</v>
      </c>
      <c r="W158" s="11" t="s">
        <v>0</v>
      </c>
      <c r="X158" s="11" t="s">
        <v>0</v>
      </c>
      <c r="Y158" s="11" t="s">
        <v>0</v>
      </c>
      <c r="Z158" s="11" t="s">
        <v>0</v>
      </c>
      <c r="AA158" s="11" t="s">
        <v>0</v>
      </c>
      <c r="AB158" s="11" t="s">
        <v>0</v>
      </c>
      <c r="AC158" s="11" t="s">
        <v>0</v>
      </c>
      <c r="AD158" s="11" t="s">
        <v>0</v>
      </c>
      <c r="AE158" s="11" t="s">
        <v>13</v>
      </c>
    </row>
    <row r="159">
      <c r="B159" s="24" t="s">
        <v>1</v>
      </c>
      <c r="C159" s="12" t="s">
        <v>166</v>
      </c>
      <c r="D159" s="11" t="s">
        <v>725</v>
      </c>
      <c r="E159" s="11" t="s">
        <v>1163</v>
      </c>
      <c r="F159" s="12" t="s">
        <v>1273</v>
      </c>
      <c r="G159" s="12" t="s">
        <v>1302</v>
      </c>
      <c r="H159" s="12" t="s">
        <v>1302</v>
      </c>
      <c r="I159" s="12" t="s">
        <v>1310</v>
      </c>
      <c r="J159" s="12" t="s">
        <v>1163</v>
      </c>
      <c r="K159" s="12" t="s">
        <v>1333</v>
      </c>
      <c r="L159" s="12" t="s">
        <v>1303</v>
      </c>
      <c r="M159" s="12" t="s">
        <v>0</v>
      </c>
      <c r="N159" s="13" t="s">
        <v>1484</v>
      </c>
      <c r="O159" s="11" t="s">
        <v>1840</v>
      </c>
      <c r="P159" s="11" t="s">
        <v>1875</v>
      </c>
      <c r="Q159" s="11" t="s">
        <v>1307</v>
      </c>
      <c r="R159" s="11" t="s">
        <v>1882</v>
      </c>
      <c r="S159" s="11" t="s">
        <v>1307</v>
      </c>
      <c r="T159" s="11" t="s">
        <v>1307</v>
      </c>
      <c r="U159" s="11" t="s">
        <v>1890</v>
      </c>
      <c r="V159" s="11" t="s">
        <v>1897</v>
      </c>
      <c r="W159" s="11" t="s">
        <v>0</v>
      </c>
      <c r="X159" s="11" t="s">
        <v>0</v>
      </c>
      <c r="Y159" s="11" t="s">
        <v>0</v>
      </c>
      <c r="Z159" s="11" t="s">
        <v>0</v>
      </c>
      <c r="AA159" s="11" t="s">
        <v>0</v>
      </c>
      <c r="AB159" s="11" t="s">
        <v>0</v>
      </c>
      <c r="AC159" s="11" t="s">
        <v>0</v>
      </c>
      <c r="AD159" s="11" t="s">
        <v>0</v>
      </c>
      <c r="AE159" s="11" t="s">
        <v>13</v>
      </c>
    </row>
    <row r="160">
      <c r="B160" s="24" t="s">
        <v>4</v>
      </c>
      <c r="C160" s="12" t="s">
        <v>167</v>
      </c>
      <c r="D160" s="11" t="s">
        <v>726</v>
      </c>
      <c r="E160" s="11" t="s">
        <v>1163</v>
      </c>
      <c r="F160" s="12" t="s">
        <v>4</v>
      </c>
      <c r="G160" s="12" t="s">
        <v>1302</v>
      </c>
      <c r="H160" s="12" t="s">
        <v>1302</v>
      </c>
      <c r="I160" s="12" t="s">
        <v>1310</v>
      </c>
      <c r="J160" s="12" t="s">
        <v>1163</v>
      </c>
      <c r="K160" s="12" t="s">
        <v>1332</v>
      </c>
      <c r="L160" s="12" t="s">
        <v>1303</v>
      </c>
      <c r="M160" s="12" t="s">
        <v>0</v>
      </c>
      <c r="N160" s="13" t="s">
        <v>1485</v>
      </c>
      <c r="O160" s="11" t="s">
        <v>1840</v>
      </c>
      <c r="P160" s="11" t="s">
        <v>1875</v>
      </c>
      <c r="Q160" s="11" t="s">
        <v>1307</v>
      </c>
      <c r="R160" s="11" t="s">
        <v>1882</v>
      </c>
      <c r="S160" s="11" t="s">
        <v>1307</v>
      </c>
      <c r="T160" s="11" t="s">
        <v>1307</v>
      </c>
      <c r="U160" s="11" t="s">
        <v>1888</v>
      </c>
      <c r="V160" s="11" t="s">
        <v>1897</v>
      </c>
      <c r="W160" s="11" t="s">
        <v>0</v>
      </c>
      <c r="X160" s="11" t="s">
        <v>0</v>
      </c>
      <c r="Y160" s="11" t="s">
        <v>0</v>
      </c>
      <c r="Z160" s="11" t="s">
        <v>1968</v>
      </c>
      <c r="AA160" s="11" t="s">
        <v>1968</v>
      </c>
      <c r="AB160" s="11" t="s">
        <v>2003</v>
      </c>
      <c r="AC160" s="11" t="s">
        <v>55</v>
      </c>
      <c r="AD160" s="11" t="s">
        <v>0</v>
      </c>
      <c r="AE160" s="11" t="s">
        <v>13</v>
      </c>
    </row>
    <row r="161">
      <c r="B161" s="24" t="s">
        <v>1</v>
      </c>
      <c r="C161" s="12" t="s">
        <v>168</v>
      </c>
      <c r="D161" s="11" t="s">
        <v>727</v>
      </c>
      <c r="E161" s="11" t="s">
        <v>1163</v>
      </c>
      <c r="F161" s="12" t="s">
        <v>1</v>
      </c>
      <c r="G161" s="12" t="s">
        <v>1302</v>
      </c>
      <c r="H161" s="12" t="s">
        <v>1302</v>
      </c>
      <c r="I161" s="12" t="s">
        <v>1310</v>
      </c>
      <c r="J161" s="12" t="s">
        <v>1163</v>
      </c>
      <c r="K161" s="12" t="s">
        <v>1333</v>
      </c>
      <c r="L161" s="12" t="s">
        <v>1303</v>
      </c>
      <c r="M161" s="12" t="s">
        <v>0</v>
      </c>
      <c r="N161" s="13" t="s">
        <v>1486</v>
      </c>
      <c r="O161" s="11" t="s">
        <v>1840</v>
      </c>
      <c r="P161" s="11" t="s">
        <v>1875</v>
      </c>
      <c r="Q161" s="11" t="s">
        <v>1307</v>
      </c>
      <c r="R161" s="11" t="s">
        <v>1882</v>
      </c>
      <c r="S161" s="11" t="s">
        <v>1307</v>
      </c>
      <c r="T161" s="11" t="s">
        <v>1307</v>
      </c>
      <c r="U161" s="11" t="s">
        <v>1892</v>
      </c>
      <c r="V161" s="11" t="s">
        <v>1897</v>
      </c>
      <c r="W161" s="11" t="s">
        <v>0</v>
      </c>
      <c r="X161" s="11" t="s">
        <v>0</v>
      </c>
      <c r="Y161" s="11" t="s">
        <v>0</v>
      </c>
      <c r="Z161" s="11" t="s">
        <v>0</v>
      </c>
      <c r="AA161" s="11" t="s">
        <v>0</v>
      </c>
      <c r="AB161" s="11" t="s">
        <v>0</v>
      </c>
      <c r="AC161" s="11" t="s">
        <v>0</v>
      </c>
      <c r="AD161" s="11" t="s">
        <v>0</v>
      </c>
      <c r="AE161" s="11" t="s">
        <v>13</v>
      </c>
    </row>
    <row r="162">
      <c r="B162" s="24" t="s">
        <v>1</v>
      </c>
      <c r="C162" s="12" t="s">
        <v>169</v>
      </c>
      <c r="D162" s="11" t="s">
        <v>728</v>
      </c>
      <c r="E162" s="11" t="s">
        <v>1163</v>
      </c>
      <c r="F162" s="12" t="s">
        <v>1</v>
      </c>
      <c r="G162" s="12" t="s">
        <v>1302</v>
      </c>
      <c r="H162" s="12" t="s">
        <v>1302</v>
      </c>
      <c r="I162" s="12" t="s">
        <v>1310</v>
      </c>
      <c r="J162" s="12" t="s">
        <v>1163</v>
      </c>
      <c r="K162" s="12" t="s">
        <v>1333</v>
      </c>
      <c r="L162" s="12" t="s">
        <v>1303</v>
      </c>
      <c r="M162" s="12" t="s">
        <v>0</v>
      </c>
      <c r="N162" s="13" t="s">
        <v>1487</v>
      </c>
      <c r="O162" s="11" t="s">
        <v>1840</v>
      </c>
      <c r="P162" s="11" t="s">
        <v>1875</v>
      </c>
      <c r="Q162" s="11" t="s">
        <v>1307</v>
      </c>
      <c r="R162" s="11" t="s">
        <v>1882</v>
      </c>
      <c r="S162" s="11" t="s">
        <v>1307</v>
      </c>
      <c r="T162" s="11" t="s">
        <v>1307</v>
      </c>
      <c r="U162" s="11" t="s">
        <v>1890</v>
      </c>
      <c r="V162" s="11" t="s">
        <v>1897</v>
      </c>
      <c r="W162" s="11" t="s">
        <v>0</v>
      </c>
      <c r="X162" s="11" t="s">
        <v>0</v>
      </c>
      <c r="Y162" s="11" t="s">
        <v>0</v>
      </c>
      <c r="Z162" s="11" t="s">
        <v>0</v>
      </c>
      <c r="AA162" s="11" t="s">
        <v>0</v>
      </c>
      <c r="AB162" s="11" t="s">
        <v>0</v>
      </c>
      <c r="AC162" s="11" t="s">
        <v>0</v>
      </c>
      <c r="AD162" s="11" t="s">
        <v>0</v>
      </c>
      <c r="AE162" s="11" t="s">
        <v>13</v>
      </c>
    </row>
    <row r="163">
      <c r="B163" s="24" t="s">
        <v>5</v>
      </c>
      <c r="C163" s="12" t="s">
        <v>170</v>
      </c>
      <c r="D163" s="11" t="s">
        <v>729</v>
      </c>
      <c r="E163" s="11" t="s">
        <v>1163</v>
      </c>
      <c r="F163" s="12" t="s">
        <v>5</v>
      </c>
      <c r="G163" s="12" t="s">
        <v>1302</v>
      </c>
      <c r="H163" s="12" t="s">
        <v>1302</v>
      </c>
      <c r="I163" s="12" t="s">
        <v>1310</v>
      </c>
      <c r="J163" s="12" t="s">
        <v>1163</v>
      </c>
      <c r="K163" s="12" t="s">
        <v>1333</v>
      </c>
      <c r="L163" s="12" t="s">
        <v>1303</v>
      </c>
      <c r="M163" s="12" t="s">
        <v>0</v>
      </c>
      <c r="N163" s="13" t="s">
        <v>1488</v>
      </c>
      <c r="O163" s="11" t="s">
        <v>1840</v>
      </c>
      <c r="P163" s="11" t="s">
        <v>1875</v>
      </c>
      <c r="Q163" s="11" t="s">
        <v>1307</v>
      </c>
      <c r="R163" s="11" t="s">
        <v>1882</v>
      </c>
      <c r="S163" s="11" t="s">
        <v>1307</v>
      </c>
      <c r="T163" s="11" t="s">
        <v>1307</v>
      </c>
      <c r="U163" s="11" t="s">
        <v>1890</v>
      </c>
      <c r="V163" s="11" t="s">
        <v>1897</v>
      </c>
      <c r="W163" s="11" t="s">
        <v>0</v>
      </c>
      <c r="X163" s="11" t="s">
        <v>0</v>
      </c>
      <c r="Y163" s="11" t="s">
        <v>0</v>
      </c>
      <c r="Z163" s="11" t="s">
        <v>0</v>
      </c>
      <c r="AA163" s="11" t="s">
        <v>0</v>
      </c>
      <c r="AB163" s="11" t="s">
        <v>0</v>
      </c>
      <c r="AC163" s="11" t="s">
        <v>0</v>
      </c>
      <c r="AD163" s="11" t="s">
        <v>0</v>
      </c>
      <c r="AE163" s="11" t="s">
        <v>13</v>
      </c>
    </row>
    <row r="164">
      <c r="B164" s="24" t="s">
        <v>1</v>
      </c>
      <c r="C164" s="12" t="s">
        <v>171</v>
      </c>
      <c r="D164" s="11" t="s">
        <v>723</v>
      </c>
      <c r="E164" s="11" t="s">
        <v>1163</v>
      </c>
      <c r="F164" s="12" t="s">
        <v>1286</v>
      </c>
      <c r="G164" s="12" t="s">
        <v>1302</v>
      </c>
      <c r="H164" s="12" t="s">
        <v>1302</v>
      </c>
      <c r="I164" s="12" t="s">
        <v>1310</v>
      </c>
      <c r="J164" s="12" t="s">
        <v>1163</v>
      </c>
      <c r="K164" s="12" t="s">
        <v>1333</v>
      </c>
      <c r="L164" s="12" t="s">
        <v>1303</v>
      </c>
      <c r="M164" s="12" t="s">
        <v>0</v>
      </c>
      <c r="N164" s="13" t="s">
        <v>1489</v>
      </c>
      <c r="O164" s="11" t="s">
        <v>1840</v>
      </c>
      <c r="P164" s="11" t="s">
        <v>1875</v>
      </c>
      <c r="Q164" s="11" t="s">
        <v>1307</v>
      </c>
      <c r="R164" s="11" t="s">
        <v>1882</v>
      </c>
      <c r="S164" s="11" t="s">
        <v>1307</v>
      </c>
      <c r="T164" s="11" t="s">
        <v>1307</v>
      </c>
      <c r="U164" s="11" t="s">
        <v>1890</v>
      </c>
      <c r="V164" s="11" t="s">
        <v>1897</v>
      </c>
      <c r="W164" s="11" t="s">
        <v>0</v>
      </c>
      <c r="X164" s="11" t="s">
        <v>0</v>
      </c>
      <c r="Y164" s="11" t="s">
        <v>0</v>
      </c>
      <c r="Z164" s="11" t="s">
        <v>0</v>
      </c>
      <c r="AA164" s="11" t="s">
        <v>0</v>
      </c>
      <c r="AB164" s="11" t="s">
        <v>0</v>
      </c>
      <c r="AC164" s="11" t="s">
        <v>0</v>
      </c>
      <c r="AD164" s="11" t="s">
        <v>0</v>
      </c>
      <c r="AE164" s="11" t="s">
        <v>13</v>
      </c>
    </row>
    <row r="165">
      <c r="B165" s="24" t="s">
        <v>1</v>
      </c>
      <c r="C165" s="12" t="s">
        <v>172</v>
      </c>
      <c r="D165" s="11" t="s">
        <v>730</v>
      </c>
      <c r="E165" s="11" t="s">
        <v>1163</v>
      </c>
      <c r="F165" s="12" t="s">
        <v>1</v>
      </c>
      <c r="G165" s="12" t="s">
        <v>1302</v>
      </c>
      <c r="H165" s="12" t="s">
        <v>1302</v>
      </c>
      <c r="I165" s="12" t="s">
        <v>1310</v>
      </c>
      <c r="J165" s="12" t="s">
        <v>1163</v>
      </c>
      <c r="K165" s="12" t="s">
        <v>1333</v>
      </c>
      <c r="L165" s="12" t="s">
        <v>1303</v>
      </c>
      <c r="M165" s="12" t="s">
        <v>0</v>
      </c>
      <c r="N165" s="13" t="s">
        <v>1490</v>
      </c>
      <c r="O165" s="11" t="s">
        <v>1840</v>
      </c>
      <c r="P165" s="11" t="s">
        <v>1875</v>
      </c>
      <c r="Q165" s="11" t="s">
        <v>1307</v>
      </c>
      <c r="R165" s="11" t="s">
        <v>1882</v>
      </c>
      <c r="S165" s="11" t="s">
        <v>0</v>
      </c>
      <c r="T165" s="11" t="s">
        <v>1307</v>
      </c>
      <c r="U165" s="11" t="s">
        <v>1890</v>
      </c>
      <c r="V165" s="11" t="s">
        <v>1897</v>
      </c>
      <c r="W165" s="11" t="s">
        <v>0</v>
      </c>
      <c r="X165" s="11" t="s">
        <v>0</v>
      </c>
      <c r="Y165" s="11" t="s">
        <v>0</v>
      </c>
      <c r="Z165" s="11" t="s">
        <v>0</v>
      </c>
      <c r="AA165" s="11" t="s">
        <v>0</v>
      </c>
      <c r="AB165" s="11" t="s">
        <v>0</v>
      </c>
      <c r="AC165" s="11" t="s">
        <v>0</v>
      </c>
      <c r="AD165" s="11" t="s">
        <v>0</v>
      </c>
      <c r="AE165" s="11" t="s">
        <v>13</v>
      </c>
    </row>
    <row r="166">
      <c r="B166" s="24" t="s">
        <v>8</v>
      </c>
      <c r="C166" s="12" t="s">
        <v>173</v>
      </c>
      <c r="D166" s="11" t="s">
        <v>731</v>
      </c>
      <c r="E166" s="11" t="s">
        <v>1163</v>
      </c>
      <c r="F166" s="12" t="s">
        <v>8</v>
      </c>
      <c r="G166" s="12" t="s">
        <v>1302</v>
      </c>
      <c r="H166" s="12" t="s">
        <v>1302</v>
      </c>
      <c r="I166" s="12" t="s">
        <v>1310</v>
      </c>
      <c r="J166" s="12" t="s">
        <v>1163</v>
      </c>
      <c r="K166" s="12" t="s">
        <v>1333</v>
      </c>
      <c r="L166" s="12" t="s">
        <v>1303</v>
      </c>
      <c r="M166" s="12" t="s">
        <v>0</v>
      </c>
      <c r="N166" s="13" t="s">
        <v>1491</v>
      </c>
      <c r="O166" s="11" t="s">
        <v>1840</v>
      </c>
      <c r="P166" s="11" t="s">
        <v>1875</v>
      </c>
      <c r="Q166" s="11" t="s">
        <v>1307</v>
      </c>
      <c r="R166" s="11" t="s">
        <v>1882</v>
      </c>
      <c r="S166" s="11" t="s">
        <v>0</v>
      </c>
      <c r="T166" s="11" t="s">
        <v>1307</v>
      </c>
      <c r="U166" s="11" t="s">
        <v>1892</v>
      </c>
      <c r="V166" s="11" t="s">
        <v>1897</v>
      </c>
      <c r="W166" s="11" t="s">
        <v>0</v>
      </c>
      <c r="X166" s="11" t="s">
        <v>0</v>
      </c>
      <c r="Y166" s="11" t="s">
        <v>0</v>
      </c>
      <c r="Z166" s="11" t="s">
        <v>0</v>
      </c>
      <c r="AA166" s="11" t="s">
        <v>0</v>
      </c>
      <c r="AB166" s="11" t="s">
        <v>0</v>
      </c>
      <c r="AC166" s="11" t="s">
        <v>0</v>
      </c>
      <c r="AD166" s="11" t="s">
        <v>0</v>
      </c>
      <c r="AE166" s="11" t="s">
        <v>13</v>
      </c>
    </row>
    <row r="167">
      <c r="B167" s="24" t="s">
        <v>8</v>
      </c>
      <c r="C167" s="12" t="s">
        <v>174</v>
      </c>
      <c r="D167" s="11" t="s">
        <v>732</v>
      </c>
      <c r="E167" s="11" t="s">
        <v>1163</v>
      </c>
      <c r="F167" s="12" t="s">
        <v>8</v>
      </c>
      <c r="G167" s="12" t="s">
        <v>1302</v>
      </c>
      <c r="H167" s="12" t="s">
        <v>1302</v>
      </c>
      <c r="I167" s="12" t="s">
        <v>1310</v>
      </c>
      <c r="J167" s="12" t="s">
        <v>1163</v>
      </c>
      <c r="K167" s="12" t="s">
        <v>1333</v>
      </c>
      <c r="L167" s="12" t="s">
        <v>1303</v>
      </c>
      <c r="M167" s="12" t="s">
        <v>0</v>
      </c>
      <c r="N167" s="13" t="s">
        <v>1492</v>
      </c>
      <c r="O167" s="11" t="s">
        <v>1840</v>
      </c>
      <c r="P167" s="11" t="s">
        <v>1875</v>
      </c>
      <c r="Q167" s="11" t="s">
        <v>1307</v>
      </c>
      <c r="R167" s="11" t="s">
        <v>1882</v>
      </c>
      <c r="S167" s="11" t="s">
        <v>0</v>
      </c>
      <c r="T167" s="11" t="s">
        <v>1307</v>
      </c>
      <c r="U167" s="11" t="s">
        <v>1890</v>
      </c>
      <c r="V167" s="11" t="s">
        <v>1897</v>
      </c>
      <c r="W167" s="11" t="s">
        <v>1930</v>
      </c>
      <c r="X167" s="11" t="s">
        <v>0</v>
      </c>
      <c r="Y167" s="11" t="s">
        <v>0</v>
      </c>
      <c r="Z167" s="11" t="s">
        <v>0</v>
      </c>
      <c r="AA167" s="11" t="s">
        <v>0</v>
      </c>
      <c r="AB167" s="11" t="s">
        <v>0</v>
      </c>
      <c r="AC167" s="11" t="s">
        <v>0</v>
      </c>
      <c r="AD167" s="11" t="s">
        <v>0</v>
      </c>
      <c r="AE167" s="11" t="s">
        <v>13</v>
      </c>
    </row>
    <row r="168">
      <c r="B168" s="24" t="s">
        <v>8</v>
      </c>
      <c r="C168" s="12" t="s">
        <v>175</v>
      </c>
      <c r="D168" s="11" t="s">
        <v>733</v>
      </c>
      <c r="E168" s="11" t="s">
        <v>1163</v>
      </c>
      <c r="F168" s="12" t="s">
        <v>8</v>
      </c>
      <c r="G168" s="12" t="s">
        <v>1302</v>
      </c>
      <c r="H168" s="12" t="s">
        <v>1302</v>
      </c>
      <c r="I168" s="12" t="s">
        <v>1310</v>
      </c>
      <c r="J168" s="12" t="s">
        <v>1163</v>
      </c>
      <c r="K168" s="12" t="s">
        <v>1333</v>
      </c>
      <c r="L168" s="12" t="s">
        <v>1303</v>
      </c>
      <c r="M168" s="12" t="s">
        <v>0</v>
      </c>
      <c r="N168" s="13" t="s">
        <v>1493</v>
      </c>
      <c r="O168" s="11" t="s">
        <v>1840</v>
      </c>
      <c r="P168" s="11" t="s">
        <v>1875</v>
      </c>
      <c r="Q168" s="11" t="s">
        <v>1307</v>
      </c>
      <c r="R168" s="11" t="s">
        <v>1882</v>
      </c>
      <c r="S168" s="11" t="s">
        <v>1307</v>
      </c>
      <c r="T168" s="11" t="s">
        <v>1307</v>
      </c>
      <c r="U168" s="11" t="s">
        <v>1890</v>
      </c>
      <c r="V168" s="11" t="s">
        <v>1897</v>
      </c>
      <c r="W168" s="11" t="s">
        <v>0</v>
      </c>
      <c r="X168" s="11" t="s">
        <v>0</v>
      </c>
      <c r="Y168" s="11" t="s">
        <v>0</v>
      </c>
      <c r="Z168" s="11" t="s">
        <v>0</v>
      </c>
      <c r="AA168" s="11" t="s">
        <v>0</v>
      </c>
      <c r="AB168" s="11" t="s">
        <v>0</v>
      </c>
      <c r="AC168" s="11" t="s">
        <v>0</v>
      </c>
      <c r="AD168" s="11" t="s">
        <v>0</v>
      </c>
      <c r="AE168" s="11" t="s">
        <v>13</v>
      </c>
    </row>
    <row r="169">
      <c r="B169" s="24" t="s">
        <v>8</v>
      </c>
      <c r="C169" s="12" t="s">
        <v>176</v>
      </c>
      <c r="D169" s="11" t="s">
        <v>734</v>
      </c>
      <c r="E169" s="11" t="s">
        <v>1163</v>
      </c>
      <c r="F169" s="12" t="s">
        <v>8</v>
      </c>
      <c r="G169" s="12" t="s">
        <v>1302</v>
      </c>
      <c r="H169" s="12" t="s">
        <v>1302</v>
      </c>
      <c r="I169" s="12" t="s">
        <v>1310</v>
      </c>
      <c r="J169" s="12" t="s">
        <v>1163</v>
      </c>
      <c r="K169" s="12" t="s">
        <v>1333</v>
      </c>
      <c r="L169" s="12" t="s">
        <v>1303</v>
      </c>
      <c r="M169" s="12" t="s">
        <v>0</v>
      </c>
      <c r="N169" s="13" t="s">
        <v>1494</v>
      </c>
      <c r="O169" s="11" t="s">
        <v>1840</v>
      </c>
      <c r="P169" s="11" t="s">
        <v>1875</v>
      </c>
      <c r="Q169" s="11" t="s">
        <v>1307</v>
      </c>
      <c r="R169" s="11" t="s">
        <v>1882</v>
      </c>
      <c r="S169" s="11" t="s">
        <v>0</v>
      </c>
      <c r="T169" s="11" t="s">
        <v>1306</v>
      </c>
      <c r="U169" s="11" t="s">
        <v>0</v>
      </c>
      <c r="V169" s="11" t="s">
        <v>0</v>
      </c>
      <c r="W169" s="11" t="s">
        <v>0</v>
      </c>
      <c r="X169" s="11" t="s">
        <v>0</v>
      </c>
      <c r="Y169" s="11" t="s">
        <v>0</v>
      </c>
      <c r="Z169" s="11" t="s">
        <v>0</v>
      </c>
      <c r="AA169" s="11" t="s">
        <v>0</v>
      </c>
      <c r="AB169" s="11" t="s">
        <v>0</v>
      </c>
      <c r="AC169" s="11" t="s">
        <v>0</v>
      </c>
      <c r="AD169" s="11" t="s">
        <v>0</v>
      </c>
      <c r="AE169" s="11" t="s">
        <v>2090</v>
      </c>
    </row>
    <row r="170">
      <c r="B170" s="24" t="s">
        <v>8</v>
      </c>
      <c r="C170" s="12" t="s">
        <v>177</v>
      </c>
      <c r="D170" s="11" t="s">
        <v>735</v>
      </c>
      <c r="E170" s="11" t="s">
        <v>1163</v>
      </c>
      <c r="F170" s="12" t="s">
        <v>8</v>
      </c>
      <c r="G170" s="12" t="s">
        <v>1302</v>
      </c>
      <c r="H170" s="12" t="s">
        <v>1302</v>
      </c>
      <c r="I170" s="12" t="s">
        <v>1310</v>
      </c>
      <c r="J170" s="12" t="s">
        <v>1163</v>
      </c>
      <c r="K170" s="12" t="s">
        <v>1333</v>
      </c>
      <c r="L170" s="12" t="s">
        <v>1303</v>
      </c>
      <c r="M170" s="12" t="s">
        <v>0</v>
      </c>
      <c r="N170" s="13" t="s">
        <v>1495</v>
      </c>
      <c r="O170" s="11" t="s">
        <v>1840</v>
      </c>
      <c r="P170" s="11" t="s">
        <v>1875</v>
      </c>
      <c r="Q170" s="11" t="s">
        <v>1307</v>
      </c>
      <c r="R170" s="11" t="s">
        <v>1882</v>
      </c>
      <c r="S170" s="11" t="s">
        <v>0</v>
      </c>
      <c r="T170" s="11" t="s">
        <v>1306</v>
      </c>
      <c r="U170" s="11" t="s">
        <v>0</v>
      </c>
      <c r="V170" s="11" t="s">
        <v>0</v>
      </c>
      <c r="W170" s="11" t="s">
        <v>0</v>
      </c>
      <c r="X170" s="11" t="s">
        <v>0</v>
      </c>
      <c r="Y170" s="11" t="s">
        <v>0</v>
      </c>
      <c r="Z170" s="11" t="s">
        <v>0</v>
      </c>
      <c r="AA170" s="11" t="s">
        <v>0</v>
      </c>
      <c r="AB170" s="11" t="s">
        <v>0</v>
      </c>
      <c r="AC170" s="11" t="s">
        <v>0</v>
      </c>
      <c r="AD170" s="11" t="s">
        <v>0</v>
      </c>
      <c r="AE170" s="11" t="s">
        <v>2090</v>
      </c>
    </row>
    <row r="171">
      <c r="B171" s="24" t="s">
        <v>9</v>
      </c>
      <c r="C171" s="12" t="s">
        <v>178</v>
      </c>
      <c r="D171" s="11" t="s">
        <v>736</v>
      </c>
      <c r="E171" s="11" t="s">
        <v>1163</v>
      </c>
      <c r="F171" s="12" t="s">
        <v>9</v>
      </c>
      <c r="G171" s="12" t="s">
        <v>1302</v>
      </c>
      <c r="H171" s="12" t="s">
        <v>1302</v>
      </c>
      <c r="I171" s="12" t="s">
        <v>1310</v>
      </c>
      <c r="J171" s="12" t="s">
        <v>1163</v>
      </c>
      <c r="K171" s="12" t="s">
        <v>1333</v>
      </c>
      <c r="L171" s="12" t="s">
        <v>1303</v>
      </c>
      <c r="M171" s="12" t="s">
        <v>0</v>
      </c>
      <c r="N171" s="13" t="s">
        <v>1496</v>
      </c>
      <c r="O171" s="11" t="s">
        <v>1840</v>
      </c>
      <c r="P171" s="11" t="s">
        <v>1875</v>
      </c>
      <c r="Q171" s="11" t="s">
        <v>1307</v>
      </c>
      <c r="R171" s="11" t="s">
        <v>1882</v>
      </c>
      <c r="S171" s="11" t="s">
        <v>0</v>
      </c>
      <c r="T171" s="11" t="s">
        <v>1306</v>
      </c>
      <c r="U171" s="11" t="s">
        <v>0</v>
      </c>
      <c r="V171" s="11" t="s">
        <v>0</v>
      </c>
      <c r="W171" s="11" t="s">
        <v>0</v>
      </c>
      <c r="X171" s="11" t="s">
        <v>0</v>
      </c>
      <c r="Y171" s="11" t="s">
        <v>0</v>
      </c>
      <c r="Z171" s="11" t="s">
        <v>0</v>
      </c>
      <c r="AA171" s="11" t="s">
        <v>0</v>
      </c>
      <c r="AB171" s="11" t="s">
        <v>0</v>
      </c>
      <c r="AC171" s="11" t="s">
        <v>0</v>
      </c>
      <c r="AD171" s="11" t="s">
        <v>0</v>
      </c>
      <c r="AE171" s="11" t="s">
        <v>2090</v>
      </c>
    </row>
    <row r="172">
      <c r="B172" s="24" t="s">
        <v>9</v>
      </c>
      <c r="C172" s="12" t="s">
        <v>179</v>
      </c>
      <c r="D172" s="11" t="s">
        <v>737</v>
      </c>
      <c r="E172" s="11" t="s">
        <v>1163</v>
      </c>
      <c r="F172" s="12" t="s">
        <v>9</v>
      </c>
      <c r="G172" s="12" t="s">
        <v>1302</v>
      </c>
      <c r="H172" s="12" t="s">
        <v>1302</v>
      </c>
      <c r="I172" s="12" t="s">
        <v>1310</v>
      </c>
      <c r="J172" s="12" t="s">
        <v>1163</v>
      </c>
      <c r="K172" s="12" t="s">
        <v>1333</v>
      </c>
      <c r="L172" s="12" t="s">
        <v>1303</v>
      </c>
      <c r="M172" s="12" t="s">
        <v>0</v>
      </c>
      <c r="N172" s="13" t="s">
        <v>1497</v>
      </c>
      <c r="O172" s="11" t="s">
        <v>1840</v>
      </c>
      <c r="P172" s="11" t="s">
        <v>1875</v>
      </c>
      <c r="Q172" s="11" t="s">
        <v>1307</v>
      </c>
      <c r="R172" s="11" t="s">
        <v>1882</v>
      </c>
      <c r="S172" s="11" t="s">
        <v>0</v>
      </c>
      <c r="T172" s="11" t="s">
        <v>1306</v>
      </c>
      <c r="U172" s="11" t="s">
        <v>0</v>
      </c>
      <c r="V172" s="11" t="s">
        <v>0</v>
      </c>
      <c r="W172" s="11" t="s">
        <v>0</v>
      </c>
      <c r="X172" s="11" t="s">
        <v>0</v>
      </c>
      <c r="Y172" s="11" t="s">
        <v>0</v>
      </c>
      <c r="Z172" s="11" t="s">
        <v>0</v>
      </c>
      <c r="AA172" s="11" t="s">
        <v>0</v>
      </c>
      <c r="AB172" s="11" t="s">
        <v>0</v>
      </c>
      <c r="AC172" s="11" t="s">
        <v>0</v>
      </c>
      <c r="AD172" s="11" t="s">
        <v>0</v>
      </c>
      <c r="AE172" s="11" t="s">
        <v>2090</v>
      </c>
    </row>
    <row r="173">
      <c r="B173" s="24" t="s">
        <v>3</v>
      </c>
      <c r="C173" s="12" t="s">
        <v>180</v>
      </c>
      <c r="D173" s="11" t="s">
        <v>738</v>
      </c>
      <c r="E173" s="11" t="s">
        <v>1163</v>
      </c>
      <c r="F173" s="12" t="s">
        <v>3</v>
      </c>
      <c r="G173" s="12" t="s">
        <v>1302</v>
      </c>
      <c r="H173" s="12" t="s">
        <v>1302</v>
      </c>
      <c r="I173" s="12" t="s">
        <v>1310</v>
      </c>
      <c r="J173" s="12" t="s">
        <v>1163</v>
      </c>
      <c r="K173" s="12" t="s">
        <v>1332</v>
      </c>
      <c r="L173" s="12" t="s">
        <v>1303</v>
      </c>
      <c r="M173" s="12" t="s">
        <v>0</v>
      </c>
      <c r="N173" s="13" t="s">
        <v>1498</v>
      </c>
      <c r="O173" s="11" t="s">
        <v>1840</v>
      </c>
      <c r="P173" s="11" t="s">
        <v>1875</v>
      </c>
      <c r="Q173" s="11" t="s">
        <v>1307</v>
      </c>
      <c r="R173" s="11" t="s">
        <v>1882</v>
      </c>
      <c r="S173" s="11" t="s">
        <v>0</v>
      </c>
      <c r="T173" s="11" t="s">
        <v>1306</v>
      </c>
      <c r="U173" s="11" t="s">
        <v>0</v>
      </c>
      <c r="V173" s="11" t="s">
        <v>0</v>
      </c>
      <c r="W173" s="11" t="s">
        <v>0</v>
      </c>
      <c r="X173" s="11" t="s">
        <v>0</v>
      </c>
      <c r="Y173" s="11" t="s">
        <v>0</v>
      </c>
      <c r="Z173" s="11" t="s">
        <v>0</v>
      </c>
      <c r="AA173" s="11" t="s">
        <v>0</v>
      </c>
      <c r="AB173" s="11" t="s">
        <v>0</v>
      </c>
      <c r="AC173" s="11" t="s">
        <v>0</v>
      </c>
      <c r="AD173" s="11" t="s">
        <v>0</v>
      </c>
      <c r="AE173" s="11" t="s">
        <v>2090</v>
      </c>
    </row>
    <row r="174">
      <c r="B174" s="24" t="s">
        <v>6</v>
      </c>
      <c r="C174" s="12" t="s">
        <v>181</v>
      </c>
      <c r="D174" s="11" t="s">
        <v>739</v>
      </c>
      <c r="E174" s="11" t="s">
        <v>1163</v>
      </c>
      <c r="F174" s="12" t="s">
        <v>6</v>
      </c>
      <c r="G174" s="12" t="s">
        <v>1302</v>
      </c>
      <c r="H174" s="12" t="s">
        <v>1302</v>
      </c>
      <c r="I174" s="12" t="s">
        <v>1310</v>
      </c>
      <c r="J174" s="12" t="s">
        <v>1163</v>
      </c>
      <c r="K174" s="12" t="s">
        <v>1332</v>
      </c>
      <c r="L174" s="12" t="s">
        <v>1303</v>
      </c>
      <c r="M174" s="12" t="s">
        <v>0</v>
      </c>
      <c r="N174" s="13" t="s">
        <v>0</v>
      </c>
      <c r="O174" s="11" t="s">
        <v>1840</v>
      </c>
      <c r="P174" s="11" t="s">
        <v>1875</v>
      </c>
      <c r="Q174" s="11" t="s">
        <v>1307</v>
      </c>
      <c r="R174" s="11" t="s">
        <v>1882</v>
      </c>
      <c r="S174" s="11" t="s">
        <v>0</v>
      </c>
      <c r="T174" s="11" t="s">
        <v>1306</v>
      </c>
      <c r="U174" s="11" t="s">
        <v>0</v>
      </c>
      <c r="V174" s="11" t="s">
        <v>0</v>
      </c>
      <c r="W174" s="11" t="s">
        <v>0</v>
      </c>
      <c r="X174" s="11" t="s">
        <v>0</v>
      </c>
      <c r="Y174" s="11" t="s">
        <v>0</v>
      </c>
      <c r="Z174" s="11" t="s">
        <v>0</v>
      </c>
      <c r="AA174" s="11" t="s">
        <v>0</v>
      </c>
      <c r="AB174" s="11" t="s">
        <v>0</v>
      </c>
      <c r="AC174" s="11" t="s">
        <v>0</v>
      </c>
      <c r="AD174" s="11" t="s">
        <v>0</v>
      </c>
      <c r="AE174" s="11" t="s">
        <v>2090</v>
      </c>
    </row>
    <row r="175">
      <c r="B175" s="24" t="s">
        <v>7</v>
      </c>
      <c r="C175" s="12" t="s">
        <v>182</v>
      </c>
      <c r="D175" s="11" t="s">
        <v>740</v>
      </c>
      <c r="E175" s="11" t="s">
        <v>1163</v>
      </c>
      <c r="F175" s="12" t="s">
        <v>7</v>
      </c>
      <c r="G175" s="12" t="s">
        <v>1302</v>
      </c>
      <c r="H175" s="12" t="s">
        <v>1302</v>
      </c>
      <c r="I175" s="12" t="s">
        <v>1310</v>
      </c>
      <c r="J175" s="12" t="s">
        <v>1163</v>
      </c>
      <c r="K175" s="12" t="s">
        <v>1332</v>
      </c>
      <c r="L175" s="12" t="s">
        <v>1303</v>
      </c>
      <c r="M175" s="12" t="s">
        <v>0</v>
      </c>
      <c r="N175" s="13" t="s">
        <v>0</v>
      </c>
      <c r="O175" s="11" t="s">
        <v>1840</v>
      </c>
      <c r="P175" s="11" t="s">
        <v>1875</v>
      </c>
      <c r="Q175" s="11" t="s">
        <v>1307</v>
      </c>
      <c r="R175" s="11" t="s">
        <v>1882</v>
      </c>
      <c r="S175" s="11" t="s">
        <v>0</v>
      </c>
      <c r="T175" s="11" t="s">
        <v>1306</v>
      </c>
      <c r="U175" s="11" t="s">
        <v>0</v>
      </c>
      <c r="V175" s="11" t="s">
        <v>0</v>
      </c>
      <c r="W175" s="11" t="s">
        <v>0</v>
      </c>
      <c r="X175" s="11" t="s">
        <v>0</v>
      </c>
      <c r="Y175" s="11" t="s">
        <v>0</v>
      </c>
      <c r="Z175" s="11" t="s">
        <v>0</v>
      </c>
      <c r="AA175" s="11" t="s">
        <v>0</v>
      </c>
      <c r="AB175" s="11" t="s">
        <v>0</v>
      </c>
      <c r="AC175" s="11" t="s">
        <v>0</v>
      </c>
      <c r="AD175" s="11" t="s">
        <v>0</v>
      </c>
      <c r="AE175" s="11" t="s">
        <v>2090</v>
      </c>
    </row>
    <row r="176">
      <c r="B176" s="24" t="s">
        <v>2</v>
      </c>
      <c r="C176" s="12" t="s">
        <v>183</v>
      </c>
      <c r="D176" s="11" t="s">
        <v>741</v>
      </c>
      <c r="E176" s="11" t="s">
        <v>1163</v>
      </c>
      <c r="F176" s="12" t="s">
        <v>2</v>
      </c>
      <c r="G176" s="12" t="s">
        <v>1302</v>
      </c>
      <c r="H176" s="12" t="s">
        <v>1302</v>
      </c>
      <c r="I176" s="12" t="s">
        <v>1310</v>
      </c>
      <c r="J176" s="12" t="s">
        <v>1163</v>
      </c>
      <c r="K176" s="12" t="s">
        <v>1332</v>
      </c>
      <c r="L176" s="12" t="s">
        <v>1303</v>
      </c>
      <c r="M176" s="12" t="s">
        <v>0</v>
      </c>
      <c r="N176" s="13" t="s">
        <v>0</v>
      </c>
      <c r="O176" s="11" t="s">
        <v>1840</v>
      </c>
      <c r="P176" s="11" t="s">
        <v>1875</v>
      </c>
      <c r="Q176" s="11" t="s">
        <v>1307</v>
      </c>
      <c r="R176" s="11" t="s">
        <v>1882</v>
      </c>
      <c r="S176" s="11" t="s">
        <v>0</v>
      </c>
      <c r="T176" s="11" t="s">
        <v>1306</v>
      </c>
      <c r="U176" s="11" t="s">
        <v>0</v>
      </c>
      <c r="V176" s="11" t="s">
        <v>0</v>
      </c>
      <c r="W176" s="11" t="s">
        <v>0</v>
      </c>
      <c r="X176" s="11" t="s">
        <v>0</v>
      </c>
      <c r="Y176" s="11" t="s">
        <v>0</v>
      </c>
      <c r="Z176" s="11" t="s">
        <v>0</v>
      </c>
      <c r="AA176" s="11" t="s">
        <v>0</v>
      </c>
      <c r="AB176" s="11" t="s">
        <v>0</v>
      </c>
      <c r="AC176" s="11" t="s">
        <v>0</v>
      </c>
      <c r="AD176" s="11" t="s">
        <v>0</v>
      </c>
      <c r="AE176" s="11" t="s">
        <v>2090</v>
      </c>
    </row>
    <row r="177">
      <c r="B177" s="24" t="s">
        <v>1</v>
      </c>
      <c r="C177" s="12" t="s">
        <v>184</v>
      </c>
      <c r="D177" s="11" t="s">
        <v>742</v>
      </c>
      <c r="E177" s="11" t="s">
        <v>1163</v>
      </c>
      <c r="F177" s="12" t="s">
        <v>1276</v>
      </c>
      <c r="G177" s="12" t="s">
        <v>1302</v>
      </c>
      <c r="H177" s="12" t="s">
        <v>1302</v>
      </c>
      <c r="I177" s="12" t="s">
        <v>1310</v>
      </c>
      <c r="J177" s="12" t="s">
        <v>1163</v>
      </c>
      <c r="K177" s="12" t="s">
        <v>1332</v>
      </c>
      <c r="L177" s="12" t="s">
        <v>1303</v>
      </c>
      <c r="M177" s="12" t="s">
        <v>0</v>
      </c>
      <c r="N177" s="13" t="s">
        <v>0</v>
      </c>
      <c r="O177" s="11" t="s">
        <v>1840</v>
      </c>
      <c r="P177" s="11" t="s">
        <v>1875</v>
      </c>
      <c r="Q177" s="11" t="s">
        <v>1307</v>
      </c>
      <c r="R177" s="11" t="s">
        <v>1882</v>
      </c>
      <c r="S177" s="11" t="s">
        <v>0</v>
      </c>
      <c r="T177" s="11" t="s">
        <v>1306</v>
      </c>
      <c r="U177" s="11" t="s">
        <v>0</v>
      </c>
      <c r="V177" s="11" t="s">
        <v>0</v>
      </c>
      <c r="W177" s="11" t="s">
        <v>0</v>
      </c>
      <c r="X177" s="11" t="s">
        <v>0</v>
      </c>
      <c r="Y177" s="11" t="s">
        <v>0</v>
      </c>
      <c r="Z177" s="11" t="s">
        <v>0</v>
      </c>
      <c r="AA177" s="11" t="s">
        <v>0</v>
      </c>
      <c r="AB177" s="11" t="s">
        <v>0</v>
      </c>
      <c r="AC177" s="11" t="s">
        <v>0</v>
      </c>
      <c r="AD177" s="11" t="s">
        <v>0</v>
      </c>
      <c r="AE177" s="11" t="s">
        <v>2090</v>
      </c>
    </row>
    <row r="178">
      <c r="B178" s="24" t="s">
        <v>1</v>
      </c>
      <c r="C178" s="12" t="s">
        <v>185</v>
      </c>
      <c r="D178" s="11" t="s">
        <v>743</v>
      </c>
      <c r="E178" s="11" t="s">
        <v>1163</v>
      </c>
      <c r="F178" s="12" t="s">
        <v>1276</v>
      </c>
      <c r="G178" s="12" t="s">
        <v>1302</v>
      </c>
      <c r="H178" s="12" t="s">
        <v>1302</v>
      </c>
      <c r="I178" s="12" t="s">
        <v>1310</v>
      </c>
      <c r="J178" s="12" t="s">
        <v>1163</v>
      </c>
      <c r="K178" s="12" t="s">
        <v>1332</v>
      </c>
      <c r="L178" s="12" t="s">
        <v>1303</v>
      </c>
      <c r="M178" s="12" t="s">
        <v>0</v>
      </c>
      <c r="N178" s="13" t="s">
        <v>0</v>
      </c>
      <c r="O178" s="11" t="s">
        <v>1840</v>
      </c>
      <c r="P178" s="11" t="s">
        <v>1875</v>
      </c>
      <c r="Q178" s="11" t="s">
        <v>1307</v>
      </c>
      <c r="R178" s="11" t="s">
        <v>1882</v>
      </c>
      <c r="S178" s="11" t="s">
        <v>0</v>
      </c>
      <c r="T178" s="11" t="s">
        <v>1306</v>
      </c>
      <c r="U178" s="11" t="s">
        <v>0</v>
      </c>
      <c r="V178" s="11" t="s">
        <v>0</v>
      </c>
      <c r="W178" s="11" t="s">
        <v>0</v>
      </c>
      <c r="X178" s="11" t="s">
        <v>0</v>
      </c>
      <c r="Y178" s="11" t="s">
        <v>0</v>
      </c>
      <c r="Z178" s="11" t="s">
        <v>0</v>
      </c>
      <c r="AA178" s="11" t="s">
        <v>0</v>
      </c>
      <c r="AB178" s="11" t="s">
        <v>0</v>
      </c>
      <c r="AC178" s="11" t="s">
        <v>0</v>
      </c>
      <c r="AD178" s="11" t="s">
        <v>0</v>
      </c>
      <c r="AE178" s="11" t="s">
        <v>2090</v>
      </c>
    </row>
    <row r="179">
      <c r="B179" s="24" t="s">
        <v>4</v>
      </c>
      <c r="C179" s="12" t="s">
        <v>186</v>
      </c>
      <c r="D179" s="11" t="s">
        <v>744</v>
      </c>
      <c r="E179" s="11" t="s">
        <v>1163</v>
      </c>
      <c r="F179" s="12" t="s">
        <v>4</v>
      </c>
      <c r="G179" s="12" t="s">
        <v>1302</v>
      </c>
      <c r="H179" s="12" t="s">
        <v>1302</v>
      </c>
      <c r="I179" s="12" t="s">
        <v>1310</v>
      </c>
      <c r="J179" s="12" t="s">
        <v>1163</v>
      </c>
      <c r="K179" s="12" t="s">
        <v>1332</v>
      </c>
      <c r="L179" s="12" t="s">
        <v>1303</v>
      </c>
      <c r="M179" s="12" t="s">
        <v>0</v>
      </c>
      <c r="N179" s="13" t="s">
        <v>1499</v>
      </c>
      <c r="O179" s="11" t="s">
        <v>1840</v>
      </c>
      <c r="P179" s="11" t="s">
        <v>1875</v>
      </c>
      <c r="Q179" s="11" t="s">
        <v>1307</v>
      </c>
      <c r="R179" s="11" t="s">
        <v>1882</v>
      </c>
      <c r="S179" s="11" t="s">
        <v>0</v>
      </c>
      <c r="T179" s="11" t="s">
        <v>1306</v>
      </c>
      <c r="U179" s="11" t="s">
        <v>0</v>
      </c>
      <c r="V179" s="11" t="s">
        <v>0</v>
      </c>
      <c r="W179" s="11" t="s">
        <v>0</v>
      </c>
      <c r="X179" s="11" t="s">
        <v>0</v>
      </c>
      <c r="Y179" s="11" t="s">
        <v>0</v>
      </c>
      <c r="Z179" s="11" t="s">
        <v>0</v>
      </c>
      <c r="AA179" s="11" t="s">
        <v>0</v>
      </c>
      <c r="AB179" s="11" t="s">
        <v>0</v>
      </c>
      <c r="AC179" s="11" t="s">
        <v>0</v>
      </c>
      <c r="AD179" s="11" t="s">
        <v>0</v>
      </c>
      <c r="AE179" s="11" t="s">
        <v>2090</v>
      </c>
    </row>
    <row r="180">
      <c r="B180" s="24" t="s">
        <v>1</v>
      </c>
      <c r="C180" s="12" t="s">
        <v>187</v>
      </c>
      <c r="D180" s="11" t="s">
        <v>745</v>
      </c>
      <c r="E180" s="11" t="s">
        <v>1163</v>
      </c>
      <c r="F180" s="12" t="s">
        <v>1293</v>
      </c>
      <c r="G180" s="12" t="s">
        <v>1302</v>
      </c>
      <c r="H180" s="12" t="s">
        <v>1302</v>
      </c>
      <c r="I180" s="12" t="s">
        <v>1310</v>
      </c>
      <c r="J180" s="12" t="s">
        <v>1163</v>
      </c>
      <c r="K180" s="12" t="s">
        <v>1332</v>
      </c>
      <c r="L180" s="12" t="s">
        <v>1303</v>
      </c>
      <c r="M180" s="12" t="s">
        <v>0</v>
      </c>
      <c r="N180" s="13" t="s">
        <v>1500</v>
      </c>
      <c r="O180" s="11" t="s">
        <v>0</v>
      </c>
      <c r="P180" s="11" t="s">
        <v>0</v>
      </c>
      <c r="Q180" s="11" t="s">
        <v>0</v>
      </c>
      <c r="R180" s="11" t="s">
        <v>0</v>
      </c>
      <c r="S180" s="11" t="s">
        <v>0</v>
      </c>
      <c r="T180" s="11" t="s">
        <v>1307</v>
      </c>
      <c r="U180" s="11" t="s">
        <v>1888</v>
      </c>
      <c r="V180" s="11" t="s">
        <v>0</v>
      </c>
      <c r="W180" s="11" t="s">
        <v>0</v>
      </c>
      <c r="X180" s="11" t="s">
        <v>0</v>
      </c>
      <c r="Y180" s="11" t="s">
        <v>0</v>
      </c>
      <c r="Z180" s="11" t="s">
        <v>1958</v>
      </c>
      <c r="AA180" s="11" t="s">
        <v>1958</v>
      </c>
      <c r="AB180" s="11" t="s">
        <v>2003</v>
      </c>
      <c r="AC180" s="11" t="s">
        <v>48</v>
      </c>
      <c r="AD180" s="11" t="s">
        <v>0</v>
      </c>
      <c r="AE180" s="11" t="s">
        <v>13</v>
      </c>
    </row>
    <row r="181">
      <c r="B181" s="24" t="s">
        <v>2</v>
      </c>
      <c r="C181" s="12" t="s">
        <v>188</v>
      </c>
      <c r="D181" s="11" t="s">
        <v>746</v>
      </c>
      <c r="E181" s="11" t="s">
        <v>1164</v>
      </c>
      <c r="F181" s="12" t="s">
        <v>2</v>
      </c>
      <c r="G181" s="12" t="s">
        <v>1302</v>
      </c>
      <c r="H181" s="12" t="s">
        <v>1302</v>
      </c>
      <c r="I181" s="12" t="s">
        <v>1311</v>
      </c>
      <c r="J181" s="12" t="s">
        <v>1321</v>
      </c>
      <c r="K181" s="12" t="s">
        <v>1334</v>
      </c>
      <c r="L181" s="12" t="s">
        <v>1303</v>
      </c>
      <c r="M181" s="12" t="s">
        <v>0</v>
      </c>
      <c r="N181" s="13" t="s">
        <v>1501</v>
      </c>
      <c r="O181" s="11" t="s">
        <v>1326</v>
      </c>
      <c r="P181" s="11" t="s">
        <v>1867</v>
      </c>
      <c r="Q181" s="11" t="s">
        <v>1307</v>
      </c>
      <c r="R181" s="11" t="s">
        <v>1882</v>
      </c>
      <c r="S181" s="11" t="s">
        <v>0</v>
      </c>
      <c r="T181" s="11" t="s">
        <v>1306</v>
      </c>
      <c r="U181" s="11" t="s">
        <v>0</v>
      </c>
      <c r="V181" s="11" t="s">
        <v>0</v>
      </c>
      <c r="W181" s="11" t="s">
        <v>0</v>
      </c>
      <c r="X181" s="11" t="s">
        <v>0</v>
      </c>
      <c r="Y181" s="11" t="s">
        <v>0</v>
      </c>
      <c r="Z181" s="11" t="s">
        <v>0</v>
      </c>
      <c r="AA181" s="11" t="s">
        <v>0</v>
      </c>
      <c r="AB181" s="11" t="s">
        <v>0</v>
      </c>
      <c r="AC181" s="11" t="s">
        <v>0</v>
      </c>
      <c r="AD181" s="11" t="s">
        <v>0</v>
      </c>
      <c r="AE181" s="11" t="s">
        <v>2090</v>
      </c>
    </row>
    <row r="182">
      <c r="B182" s="24" t="s">
        <v>2</v>
      </c>
      <c r="C182" s="12" t="s">
        <v>189</v>
      </c>
      <c r="D182" s="11" t="s">
        <v>747</v>
      </c>
      <c r="E182" s="11" t="s">
        <v>1164</v>
      </c>
      <c r="F182" s="12" t="s">
        <v>2</v>
      </c>
      <c r="G182" s="12" t="s">
        <v>1302</v>
      </c>
      <c r="H182" s="12" t="s">
        <v>1302</v>
      </c>
      <c r="I182" s="12" t="s">
        <v>1311</v>
      </c>
      <c r="J182" s="12" t="s">
        <v>1321</v>
      </c>
      <c r="K182" s="12" t="s">
        <v>1334</v>
      </c>
      <c r="L182" s="12" t="s">
        <v>1303</v>
      </c>
      <c r="M182" s="12" t="s">
        <v>0</v>
      </c>
      <c r="N182" s="13" t="s">
        <v>1502</v>
      </c>
      <c r="O182" s="11" t="s">
        <v>1326</v>
      </c>
      <c r="P182" s="11" t="s">
        <v>1867</v>
      </c>
      <c r="Q182" s="11" t="s">
        <v>1307</v>
      </c>
      <c r="R182" s="11" t="s">
        <v>1882</v>
      </c>
      <c r="S182" s="11" t="s">
        <v>0</v>
      </c>
      <c r="T182" s="11" t="s">
        <v>1306</v>
      </c>
      <c r="U182" s="11" t="s">
        <v>0</v>
      </c>
      <c r="V182" s="11" t="s">
        <v>0</v>
      </c>
      <c r="W182" s="11" t="s">
        <v>0</v>
      </c>
      <c r="X182" s="11" t="s">
        <v>0</v>
      </c>
      <c r="Y182" s="11" t="s">
        <v>0</v>
      </c>
      <c r="Z182" s="11" t="s">
        <v>0</v>
      </c>
      <c r="AA182" s="11" t="s">
        <v>0</v>
      </c>
      <c r="AB182" s="11" t="s">
        <v>0</v>
      </c>
      <c r="AC182" s="11" t="s">
        <v>0</v>
      </c>
      <c r="AD182" s="11" t="s">
        <v>0</v>
      </c>
      <c r="AE182" s="11" t="s">
        <v>2090</v>
      </c>
    </row>
    <row r="183">
      <c r="B183" s="24" t="s">
        <v>6</v>
      </c>
      <c r="C183" s="12" t="s">
        <v>190</v>
      </c>
      <c r="D183" s="11" t="s">
        <v>748</v>
      </c>
      <c r="E183" s="11" t="s">
        <v>1164</v>
      </c>
      <c r="F183" s="12" t="s">
        <v>6</v>
      </c>
      <c r="G183" s="12" t="s">
        <v>1302</v>
      </c>
      <c r="H183" s="12" t="s">
        <v>1302</v>
      </c>
      <c r="I183" s="12" t="s">
        <v>1311</v>
      </c>
      <c r="J183" s="12" t="s">
        <v>1321</v>
      </c>
      <c r="K183" s="12" t="s">
        <v>1334</v>
      </c>
      <c r="L183" s="12" t="s">
        <v>1303</v>
      </c>
      <c r="M183" s="12" t="s">
        <v>0</v>
      </c>
      <c r="N183" s="13" t="s">
        <v>1503</v>
      </c>
      <c r="O183" s="11" t="s">
        <v>1326</v>
      </c>
      <c r="P183" s="11" t="s">
        <v>1867</v>
      </c>
      <c r="Q183" s="11" t="s">
        <v>1307</v>
      </c>
      <c r="R183" s="11" t="s">
        <v>1882</v>
      </c>
      <c r="S183" s="11" t="s">
        <v>0</v>
      </c>
      <c r="T183" s="11" t="s">
        <v>1306</v>
      </c>
      <c r="U183" s="11" t="s">
        <v>0</v>
      </c>
      <c r="V183" s="11" t="s">
        <v>0</v>
      </c>
      <c r="W183" s="11" t="s">
        <v>0</v>
      </c>
      <c r="X183" s="11" t="s">
        <v>0</v>
      </c>
      <c r="Y183" s="11" t="s">
        <v>0</v>
      </c>
      <c r="Z183" s="11" t="s">
        <v>0</v>
      </c>
      <c r="AA183" s="11" t="s">
        <v>0</v>
      </c>
      <c r="AB183" s="11" t="s">
        <v>0</v>
      </c>
      <c r="AC183" s="11" t="s">
        <v>0</v>
      </c>
      <c r="AD183" s="11" t="s">
        <v>0</v>
      </c>
      <c r="AE183" s="11" t="s">
        <v>2090</v>
      </c>
    </row>
    <row r="184">
      <c r="B184" s="24" t="s">
        <v>6</v>
      </c>
      <c r="C184" s="12" t="s">
        <v>191</v>
      </c>
      <c r="D184" s="11" t="s">
        <v>749</v>
      </c>
      <c r="E184" s="11" t="s">
        <v>1164</v>
      </c>
      <c r="F184" s="12" t="s">
        <v>6</v>
      </c>
      <c r="G184" s="12" t="s">
        <v>1302</v>
      </c>
      <c r="H184" s="12" t="s">
        <v>1302</v>
      </c>
      <c r="I184" s="12" t="s">
        <v>1311</v>
      </c>
      <c r="J184" s="12" t="s">
        <v>1321</v>
      </c>
      <c r="K184" s="12" t="s">
        <v>1334</v>
      </c>
      <c r="L184" s="12" t="s">
        <v>1303</v>
      </c>
      <c r="M184" s="12" t="s">
        <v>0</v>
      </c>
      <c r="N184" s="13" t="s">
        <v>1504</v>
      </c>
      <c r="O184" s="11" t="s">
        <v>1326</v>
      </c>
      <c r="P184" s="11" t="s">
        <v>1867</v>
      </c>
      <c r="Q184" s="11" t="s">
        <v>1307</v>
      </c>
      <c r="R184" s="11" t="s">
        <v>1882</v>
      </c>
      <c r="S184" s="11" t="s">
        <v>0</v>
      </c>
      <c r="T184" s="11" t="s">
        <v>1306</v>
      </c>
      <c r="U184" s="11" t="s">
        <v>0</v>
      </c>
      <c r="V184" s="11" t="s">
        <v>0</v>
      </c>
      <c r="W184" s="11" t="s">
        <v>0</v>
      </c>
      <c r="X184" s="11" t="s">
        <v>0</v>
      </c>
      <c r="Y184" s="11" t="s">
        <v>0</v>
      </c>
      <c r="Z184" s="11" t="s">
        <v>0</v>
      </c>
      <c r="AA184" s="11" t="s">
        <v>0</v>
      </c>
      <c r="AB184" s="11" t="s">
        <v>0</v>
      </c>
      <c r="AC184" s="11" t="s">
        <v>0</v>
      </c>
      <c r="AD184" s="11" t="s">
        <v>0</v>
      </c>
      <c r="AE184" s="11" t="s">
        <v>2090</v>
      </c>
    </row>
    <row r="185">
      <c r="B185" s="24" t="s">
        <v>5</v>
      </c>
      <c r="C185" s="12" t="s">
        <v>192</v>
      </c>
      <c r="D185" s="11" t="s">
        <v>750</v>
      </c>
      <c r="E185" s="11" t="s">
        <v>1164</v>
      </c>
      <c r="F185" s="12" t="s">
        <v>5</v>
      </c>
      <c r="G185" s="12" t="s">
        <v>1302</v>
      </c>
      <c r="H185" s="12" t="s">
        <v>1302</v>
      </c>
      <c r="I185" s="12" t="s">
        <v>1311</v>
      </c>
      <c r="J185" s="12" t="s">
        <v>1321</v>
      </c>
      <c r="K185" s="12" t="s">
        <v>1334</v>
      </c>
      <c r="L185" s="12" t="s">
        <v>1303</v>
      </c>
      <c r="M185" s="12" t="s">
        <v>0</v>
      </c>
      <c r="N185" s="13" t="s">
        <v>1505</v>
      </c>
      <c r="O185" s="11" t="s">
        <v>1326</v>
      </c>
      <c r="P185" s="11" t="s">
        <v>1867</v>
      </c>
      <c r="Q185" s="11" t="s">
        <v>1307</v>
      </c>
      <c r="R185" s="11" t="s">
        <v>1882</v>
      </c>
      <c r="S185" s="11" t="s">
        <v>0</v>
      </c>
      <c r="T185" s="11" t="s">
        <v>1306</v>
      </c>
      <c r="U185" s="11" t="s">
        <v>0</v>
      </c>
      <c r="V185" s="11" t="s">
        <v>0</v>
      </c>
      <c r="W185" s="11" t="s">
        <v>0</v>
      </c>
      <c r="X185" s="11" t="s">
        <v>0</v>
      </c>
      <c r="Y185" s="11" t="s">
        <v>0</v>
      </c>
      <c r="Z185" s="11" t="s">
        <v>0</v>
      </c>
      <c r="AA185" s="11" t="s">
        <v>0</v>
      </c>
      <c r="AB185" s="11" t="s">
        <v>0</v>
      </c>
      <c r="AC185" s="11" t="s">
        <v>0</v>
      </c>
      <c r="AD185" s="11" t="s">
        <v>0</v>
      </c>
      <c r="AE185" s="11" t="s">
        <v>2090</v>
      </c>
    </row>
    <row r="186">
      <c r="B186" s="24" t="s">
        <v>5</v>
      </c>
      <c r="C186" s="12" t="s">
        <v>193</v>
      </c>
      <c r="D186" s="11" t="s">
        <v>751</v>
      </c>
      <c r="E186" s="11" t="s">
        <v>1164</v>
      </c>
      <c r="F186" s="12" t="s">
        <v>5</v>
      </c>
      <c r="G186" s="12" t="s">
        <v>1302</v>
      </c>
      <c r="H186" s="12" t="s">
        <v>1302</v>
      </c>
      <c r="I186" s="12" t="s">
        <v>1311</v>
      </c>
      <c r="J186" s="12" t="s">
        <v>1321</v>
      </c>
      <c r="K186" s="12" t="s">
        <v>1334</v>
      </c>
      <c r="L186" s="12" t="s">
        <v>1303</v>
      </c>
      <c r="M186" s="12" t="s">
        <v>0</v>
      </c>
      <c r="N186" s="13" t="s">
        <v>1506</v>
      </c>
      <c r="O186" s="11" t="s">
        <v>1326</v>
      </c>
      <c r="P186" s="11" t="s">
        <v>1867</v>
      </c>
      <c r="Q186" s="11" t="s">
        <v>1307</v>
      </c>
      <c r="R186" s="11" t="s">
        <v>1882</v>
      </c>
      <c r="S186" s="11" t="s">
        <v>0</v>
      </c>
      <c r="T186" s="11" t="s">
        <v>1306</v>
      </c>
      <c r="U186" s="11" t="s">
        <v>0</v>
      </c>
      <c r="V186" s="11" t="s">
        <v>0</v>
      </c>
      <c r="W186" s="11" t="s">
        <v>0</v>
      </c>
      <c r="X186" s="11" t="s">
        <v>0</v>
      </c>
      <c r="Y186" s="11" t="s">
        <v>0</v>
      </c>
      <c r="Z186" s="11" t="s">
        <v>0</v>
      </c>
      <c r="AA186" s="11" t="s">
        <v>0</v>
      </c>
      <c r="AB186" s="11" t="s">
        <v>0</v>
      </c>
      <c r="AC186" s="11" t="s">
        <v>0</v>
      </c>
      <c r="AD186" s="11" t="s">
        <v>0</v>
      </c>
      <c r="AE186" s="11" t="s">
        <v>2090</v>
      </c>
    </row>
    <row r="187">
      <c r="B187" s="24" t="s">
        <v>5</v>
      </c>
      <c r="C187" s="12" t="s">
        <v>194</v>
      </c>
      <c r="D187" s="11" t="s">
        <v>752</v>
      </c>
      <c r="E187" s="11" t="s">
        <v>1164</v>
      </c>
      <c r="F187" s="12" t="s">
        <v>5</v>
      </c>
      <c r="G187" s="12" t="s">
        <v>1302</v>
      </c>
      <c r="H187" s="12" t="s">
        <v>1306</v>
      </c>
      <c r="I187" s="12" t="s">
        <v>1311</v>
      </c>
      <c r="J187" s="12" t="s">
        <v>1321</v>
      </c>
      <c r="K187" s="12" t="s">
        <v>1334</v>
      </c>
      <c r="L187" s="12" t="s">
        <v>1303</v>
      </c>
      <c r="M187" s="12" t="s">
        <v>0</v>
      </c>
      <c r="N187" s="13" t="s">
        <v>1507</v>
      </c>
      <c r="O187" s="11" t="s">
        <v>1326</v>
      </c>
      <c r="P187" s="11" t="s">
        <v>1867</v>
      </c>
      <c r="Q187" s="11" t="s">
        <v>1307</v>
      </c>
      <c r="R187" s="11" t="s">
        <v>1882</v>
      </c>
      <c r="S187" s="11" t="s">
        <v>0</v>
      </c>
      <c r="T187" s="11" t="s">
        <v>1306</v>
      </c>
      <c r="U187" s="11" t="s">
        <v>0</v>
      </c>
      <c r="V187" s="11" t="s">
        <v>0</v>
      </c>
      <c r="W187" s="11" t="s">
        <v>0</v>
      </c>
      <c r="X187" s="11" t="s">
        <v>0</v>
      </c>
      <c r="Y187" s="11" t="s">
        <v>0</v>
      </c>
      <c r="Z187" s="11" t="s">
        <v>0</v>
      </c>
      <c r="AA187" s="11" t="s">
        <v>0</v>
      </c>
      <c r="AB187" s="11" t="s">
        <v>0</v>
      </c>
      <c r="AC187" s="11" t="s">
        <v>0</v>
      </c>
      <c r="AD187" s="11" t="s">
        <v>0</v>
      </c>
      <c r="AE187" s="11" t="s">
        <v>2090</v>
      </c>
    </row>
    <row r="188">
      <c r="B188" s="24" t="s">
        <v>7</v>
      </c>
      <c r="C188" s="12" t="s">
        <v>195</v>
      </c>
      <c r="D188" s="11" t="s">
        <v>753</v>
      </c>
      <c r="E188" s="11" t="s">
        <v>1164</v>
      </c>
      <c r="F188" s="12" t="s">
        <v>7</v>
      </c>
      <c r="G188" s="12" t="s">
        <v>1302</v>
      </c>
      <c r="H188" s="12" t="s">
        <v>1302</v>
      </c>
      <c r="I188" s="12" t="s">
        <v>1311</v>
      </c>
      <c r="J188" s="12" t="s">
        <v>1321</v>
      </c>
      <c r="K188" s="12" t="s">
        <v>1334</v>
      </c>
      <c r="L188" s="12" t="s">
        <v>1303</v>
      </c>
      <c r="M188" s="12" t="s">
        <v>0</v>
      </c>
      <c r="N188" s="13" t="s">
        <v>1508</v>
      </c>
      <c r="O188" s="11" t="s">
        <v>1326</v>
      </c>
      <c r="P188" s="11" t="s">
        <v>1867</v>
      </c>
      <c r="Q188" s="11" t="s">
        <v>1307</v>
      </c>
      <c r="R188" s="11" t="s">
        <v>1882</v>
      </c>
      <c r="S188" s="11" t="s">
        <v>0</v>
      </c>
      <c r="T188" s="11" t="s">
        <v>1306</v>
      </c>
      <c r="U188" s="11" t="s">
        <v>0</v>
      </c>
      <c r="V188" s="11" t="s">
        <v>0</v>
      </c>
      <c r="W188" s="11" t="s">
        <v>0</v>
      </c>
      <c r="X188" s="11" t="s">
        <v>0</v>
      </c>
      <c r="Y188" s="11" t="s">
        <v>0</v>
      </c>
      <c r="Z188" s="11" t="s">
        <v>0</v>
      </c>
      <c r="AA188" s="11" t="s">
        <v>0</v>
      </c>
      <c r="AB188" s="11" t="s">
        <v>0</v>
      </c>
      <c r="AC188" s="11" t="s">
        <v>0</v>
      </c>
      <c r="AD188" s="11" t="s">
        <v>0</v>
      </c>
      <c r="AE188" s="11" t="s">
        <v>2090</v>
      </c>
    </row>
    <row r="189">
      <c r="B189" s="24" t="s">
        <v>7</v>
      </c>
      <c r="C189" s="12" t="s">
        <v>196</v>
      </c>
      <c r="D189" s="11" t="s">
        <v>754</v>
      </c>
      <c r="E189" s="11" t="s">
        <v>1164</v>
      </c>
      <c r="F189" s="12" t="s">
        <v>7</v>
      </c>
      <c r="G189" s="12" t="s">
        <v>1302</v>
      </c>
      <c r="H189" s="12" t="s">
        <v>1302</v>
      </c>
      <c r="I189" s="12" t="s">
        <v>1311</v>
      </c>
      <c r="J189" s="12" t="s">
        <v>1321</v>
      </c>
      <c r="K189" s="12" t="s">
        <v>1334</v>
      </c>
      <c r="L189" s="12" t="s">
        <v>1303</v>
      </c>
      <c r="M189" s="12" t="s">
        <v>0</v>
      </c>
      <c r="N189" s="13" t="s">
        <v>1509</v>
      </c>
      <c r="O189" s="11" t="s">
        <v>1326</v>
      </c>
      <c r="P189" s="11" t="s">
        <v>1867</v>
      </c>
      <c r="Q189" s="11" t="s">
        <v>1307</v>
      </c>
      <c r="R189" s="11" t="s">
        <v>1882</v>
      </c>
      <c r="S189" s="11" t="s">
        <v>0</v>
      </c>
      <c r="T189" s="11" t="s">
        <v>1306</v>
      </c>
      <c r="U189" s="11" t="s">
        <v>0</v>
      </c>
      <c r="V189" s="11" t="s">
        <v>0</v>
      </c>
      <c r="W189" s="11" t="s">
        <v>0</v>
      </c>
      <c r="X189" s="11" t="s">
        <v>0</v>
      </c>
      <c r="Y189" s="11" t="s">
        <v>0</v>
      </c>
      <c r="Z189" s="11" t="s">
        <v>0</v>
      </c>
      <c r="AA189" s="11" t="s">
        <v>0</v>
      </c>
      <c r="AB189" s="11" t="s">
        <v>0</v>
      </c>
      <c r="AC189" s="11" t="s">
        <v>0</v>
      </c>
      <c r="AD189" s="11" t="s">
        <v>0</v>
      </c>
      <c r="AE189" s="11" t="s">
        <v>2090</v>
      </c>
    </row>
    <row r="190">
      <c r="B190" s="24" t="s">
        <v>7</v>
      </c>
      <c r="C190" s="12" t="s">
        <v>197</v>
      </c>
      <c r="D190" s="11" t="s">
        <v>755</v>
      </c>
      <c r="E190" s="11" t="s">
        <v>1164</v>
      </c>
      <c r="F190" s="12" t="s">
        <v>7</v>
      </c>
      <c r="G190" s="12" t="s">
        <v>1302</v>
      </c>
      <c r="H190" s="12" t="s">
        <v>1306</v>
      </c>
      <c r="I190" s="12" t="s">
        <v>1310</v>
      </c>
      <c r="J190" s="12" t="s">
        <v>1321</v>
      </c>
      <c r="K190" s="12" t="s">
        <v>1334</v>
      </c>
      <c r="L190" s="12" t="s">
        <v>1303</v>
      </c>
      <c r="M190" s="12" t="s">
        <v>0</v>
      </c>
      <c r="N190" s="13" t="s">
        <v>1510</v>
      </c>
      <c r="O190" s="11" t="s">
        <v>1326</v>
      </c>
      <c r="P190" s="11" t="s">
        <v>1867</v>
      </c>
      <c r="Q190" s="11" t="s">
        <v>1307</v>
      </c>
      <c r="R190" s="11" t="s">
        <v>1882</v>
      </c>
      <c r="S190" s="11" t="s">
        <v>1307</v>
      </c>
      <c r="T190" s="11" t="s">
        <v>1307</v>
      </c>
      <c r="U190" s="11" t="s">
        <v>1890</v>
      </c>
      <c r="V190" s="11" t="s">
        <v>1897</v>
      </c>
      <c r="W190" s="11" t="s">
        <v>1929</v>
      </c>
      <c r="X190" s="11" t="s">
        <v>0</v>
      </c>
      <c r="Y190" s="11" t="s">
        <v>0</v>
      </c>
      <c r="Z190" s="11" t="s">
        <v>0</v>
      </c>
      <c r="AA190" s="11" t="s">
        <v>0</v>
      </c>
      <c r="AB190" s="11" t="s">
        <v>0</v>
      </c>
      <c r="AC190" s="11" t="s">
        <v>0</v>
      </c>
      <c r="AD190" s="11" t="s">
        <v>2061</v>
      </c>
      <c r="AE190" s="11" t="s">
        <v>13</v>
      </c>
    </row>
    <row r="191">
      <c r="B191" s="24" t="s">
        <v>1</v>
      </c>
      <c r="C191" s="12" t="s">
        <v>198</v>
      </c>
      <c r="D191" s="11" t="s">
        <v>756</v>
      </c>
      <c r="E191" s="11" t="s">
        <v>1164</v>
      </c>
      <c r="F191" s="12" t="s">
        <v>1276</v>
      </c>
      <c r="G191" s="12" t="s">
        <v>1302</v>
      </c>
      <c r="H191" s="12" t="s">
        <v>1302</v>
      </c>
      <c r="I191" s="12" t="s">
        <v>1310</v>
      </c>
      <c r="J191" s="12" t="s">
        <v>1321</v>
      </c>
      <c r="K191" s="12" t="s">
        <v>1334</v>
      </c>
      <c r="L191" s="12" t="s">
        <v>1303</v>
      </c>
      <c r="M191" s="12" t="s">
        <v>0</v>
      </c>
      <c r="N191" s="13" t="s">
        <v>1511</v>
      </c>
      <c r="O191" s="11" t="s">
        <v>1326</v>
      </c>
      <c r="P191" s="11" t="s">
        <v>1867</v>
      </c>
      <c r="Q191" s="11" t="s">
        <v>1307</v>
      </c>
      <c r="R191" s="11" t="s">
        <v>1882</v>
      </c>
      <c r="S191" s="11" t="s">
        <v>1307</v>
      </c>
      <c r="T191" s="11" t="s">
        <v>1307</v>
      </c>
      <c r="U191" s="11" t="s">
        <v>1890</v>
      </c>
      <c r="V191" s="11" t="s">
        <v>1897</v>
      </c>
      <c r="W191" s="11" t="s">
        <v>0</v>
      </c>
      <c r="X191" s="11" t="s">
        <v>0</v>
      </c>
      <c r="Y191" s="11" t="s">
        <v>0</v>
      </c>
      <c r="Z191" s="11" t="s">
        <v>0</v>
      </c>
      <c r="AA191" s="11" t="s">
        <v>0</v>
      </c>
      <c r="AB191" s="11" t="s">
        <v>0</v>
      </c>
      <c r="AC191" s="11" t="s">
        <v>0</v>
      </c>
      <c r="AD191" s="11" t="s">
        <v>0</v>
      </c>
      <c r="AE191" s="11" t="s">
        <v>13</v>
      </c>
    </row>
    <row r="192">
      <c r="B192" s="24" t="s">
        <v>9</v>
      </c>
      <c r="C192" s="12" t="s">
        <v>199</v>
      </c>
      <c r="D192" s="11" t="s">
        <v>757</v>
      </c>
      <c r="E192" s="11" t="s">
        <v>1164</v>
      </c>
      <c r="F192" s="12" t="s">
        <v>9</v>
      </c>
      <c r="G192" s="12" t="s">
        <v>1302</v>
      </c>
      <c r="H192" s="12" t="s">
        <v>1302</v>
      </c>
      <c r="I192" s="12" t="s">
        <v>1310</v>
      </c>
      <c r="J192" s="12" t="s">
        <v>1321</v>
      </c>
      <c r="K192" s="12" t="s">
        <v>1334</v>
      </c>
      <c r="L192" s="12" t="s">
        <v>1303</v>
      </c>
      <c r="M192" s="12" t="s">
        <v>0</v>
      </c>
      <c r="N192" s="13" t="s">
        <v>1512</v>
      </c>
      <c r="O192" s="11" t="s">
        <v>1326</v>
      </c>
      <c r="P192" s="11" t="s">
        <v>1867</v>
      </c>
      <c r="Q192" s="11" t="s">
        <v>1307</v>
      </c>
      <c r="R192" s="11" t="s">
        <v>1882</v>
      </c>
      <c r="S192" s="11" t="s">
        <v>1307</v>
      </c>
      <c r="T192" s="11" t="s">
        <v>1307</v>
      </c>
      <c r="U192" s="11" t="s">
        <v>1890</v>
      </c>
      <c r="V192" s="11" t="s">
        <v>1897</v>
      </c>
      <c r="W192" s="11" t="s">
        <v>0</v>
      </c>
      <c r="X192" s="11" t="s">
        <v>0</v>
      </c>
      <c r="Y192" s="11" t="s">
        <v>0</v>
      </c>
      <c r="Z192" s="11" t="s">
        <v>0</v>
      </c>
      <c r="AA192" s="11" t="s">
        <v>0</v>
      </c>
      <c r="AB192" s="11" t="s">
        <v>0</v>
      </c>
      <c r="AC192" s="11" t="s">
        <v>0</v>
      </c>
      <c r="AD192" s="11" t="s">
        <v>0</v>
      </c>
      <c r="AE192" s="11" t="s">
        <v>13</v>
      </c>
    </row>
    <row r="193">
      <c r="B193" s="24" t="s">
        <v>1</v>
      </c>
      <c r="C193" s="12" t="s">
        <v>200</v>
      </c>
      <c r="D193" s="11" t="s">
        <v>758</v>
      </c>
      <c r="E193" s="11" t="s">
        <v>1164</v>
      </c>
      <c r="F193" s="12" t="s">
        <v>1</v>
      </c>
      <c r="G193" s="12" t="s">
        <v>1302</v>
      </c>
      <c r="H193" s="12" t="s">
        <v>1302</v>
      </c>
      <c r="I193" s="12" t="s">
        <v>1310</v>
      </c>
      <c r="J193" s="12" t="s">
        <v>1321</v>
      </c>
      <c r="K193" s="12" t="s">
        <v>1334</v>
      </c>
      <c r="L193" s="12" t="s">
        <v>1303</v>
      </c>
      <c r="M193" s="12" t="s">
        <v>0</v>
      </c>
      <c r="N193" s="13" t="s">
        <v>1513</v>
      </c>
      <c r="O193" s="11" t="s">
        <v>1326</v>
      </c>
      <c r="P193" s="11" t="s">
        <v>1867</v>
      </c>
      <c r="Q193" s="11" t="s">
        <v>1307</v>
      </c>
      <c r="R193" s="11" t="s">
        <v>1882</v>
      </c>
      <c r="S193" s="11" t="s">
        <v>1307</v>
      </c>
      <c r="T193" s="11" t="s">
        <v>1307</v>
      </c>
      <c r="U193" s="11" t="s">
        <v>1890</v>
      </c>
      <c r="V193" s="11" t="s">
        <v>1897</v>
      </c>
      <c r="W193" s="11" t="s">
        <v>0</v>
      </c>
      <c r="X193" s="11" t="s">
        <v>0</v>
      </c>
      <c r="Y193" s="11" t="s">
        <v>0</v>
      </c>
      <c r="Z193" s="11" t="s">
        <v>0</v>
      </c>
      <c r="AA193" s="11" t="s">
        <v>0</v>
      </c>
      <c r="AB193" s="11" t="s">
        <v>0</v>
      </c>
      <c r="AC193" s="11" t="s">
        <v>0</v>
      </c>
      <c r="AD193" s="11" t="s">
        <v>0</v>
      </c>
      <c r="AE193" s="11" t="s">
        <v>13</v>
      </c>
    </row>
    <row r="194">
      <c r="B194" s="24" t="s">
        <v>1</v>
      </c>
      <c r="C194" s="12" t="s">
        <v>201</v>
      </c>
      <c r="D194" s="11" t="s">
        <v>759</v>
      </c>
      <c r="E194" s="11" t="s">
        <v>1164</v>
      </c>
      <c r="F194" s="12" t="s">
        <v>1294</v>
      </c>
      <c r="G194" s="12" t="s">
        <v>1302</v>
      </c>
      <c r="H194" s="12" t="s">
        <v>1302</v>
      </c>
      <c r="I194" s="12" t="s">
        <v>1310</v>
      </c>
      <c r="J194" s="12" t="s">
        <v>1321</v>
      </c>
      <c r="K194" s="12" t="s">
        <v>1334</v>
      </c>
      <c r="L194" s="12" t="s">
        <v>1303</v>
      </c>
      <c r="M194" s="12" t="s">
        <v>0</v>
      </c>
      <c r="N194" s="13" t="s">
        <v>1514</v>
      </c>
      <c r="O194" s="11" t="s">
        <v>1326</v>
      </c>
      <c r="P194" s="11" t="s">
        <v>1867</v>
      </c>
      <c r="Q194" s="11" t="s">
        <v>1307</v>
      </c>
      <c r="R194" s="11" t="s">
        <v>1882</v>
      </c>
      <c r="S194" s="11" t="s">
        <v>1307</v>
      </c>
      <c r="T194" s="11" t="s">
        <v>1307</v>
      </c>
      <c r="U194" s="11" t="s">
        <v>1890</v>
      </c>
      <c r="V194" s="11" t="s">
        <v>1897</v>
      </c>
      <c r="W194" s="11" t="s">
        <v>0</v>
      </c>
      <c r="X194" s="11" t="s">
        <v>0</v>
      </c>
      <c r="Y194" s="11" t="s">
        <v>0</v>
      </c>
      <c r="Z194" s="11" t="s">
        <v>0</v>
      </c>
      <c r="AA194" s="11" t="s">
        <v>0</v>
      </c>
      <c r="AB194" s="11" t="s">
        <v>0</v>
      </c>
      <c r="AC194" s="11" t="s">
        <v>0</v>
      </c>
      <c r="AD194" s="11" t="s">
        <v>0</v>
      </c>
      <c r="AE194" s="11" t="s">
        <v>13</v>
      </c>
    </row>
    <row r="195">
      <c r="B195" s="24" t="s">
        <v>1</v>
      </c>
      <c r="C195" s="12" t="s">
        <v>202</v>
      </c>
      <c r="D195" s="11" t="s">
        <v>760</v>
      </c>
      <c r="E195" s="11" t="s">
        <v>1164</v>
      </c>
      <c r="F195" s="12" t="s">
        <v>1</v>
      </c>
      <c r="G195" s="12" t="s">
        <v>1302</v>
      </c>
      <c r="H195" s="12" t="s">
        <v>1302</v>
      </c>
      <c r="I195" s="12" t="s">
        <v>1310</v>
      </c>
      <c r="J195" s="12" t="s">
        <v>1321</v>
      </c>
      <c r="K195" s="12" t="s">
        <v>1334</v>
      </c>
      <c r="L195" s="12" t="s">
        <v>1303</v>
      </c>
      <c r="M195" s="12" t="s">
        <v>0</v>
      </c>
      <c r="N195" s="13" t="s">
        <v>1515</v>
      </c>
      <c r="O195" s="11" t="s">
        <v>1326</v>
      </c>
      <c r="P195" s="11" t="s">
        <v>1867</v>
      </c>
      <c r="Q195" s="11" t="s">
        <v>1307</v>
      </c>
      <c r="R195" s="11" t="s">
        <v>1882</v>
      </c>
      <c r="S195" s="11" t="s">
        <v>1307</v>
      </c>
      <c r="T195" s="11" t="s">
        <v>1307</v>
      </c>
      <c r="U195" s="11" t="s">
        <v>1890</v>
      </c>
      <c r="V195" s="11" t="s">
        <v>1897</v>
      </c>
      <c r="W195" s="11" t="s">
        <v>0</v>
      </c>
      <c r="X195" s="11" t="s">
        <v>0</v>
      </c>
      <c r="Y195" s="11" t="s">
        <v>0</v>
      </c>
      <c r="Z195" s="11" t="s">
        <v>0</v>
      </c>
      <c r="AA195" s="11" t="s">
        <v>0</v>
      </c>
      <c r="AB195" s="11" t="s">
        <v>0</v>
      </c>
      <c r="AC195" s="11" t="s">
        <v>0</v>
      </c>
      <c r="AD195" s="11" t="s">
        <v>0</v>
      </c>
      <c r="AE195" s="11" t="s">
        <v>13</v>
      </c>
    </row>
    <row r="196">
      <c r="B196" s="24" t="s">
        <v>1</v>
      </c>
      <c r="C196" s="12" t="s">
        <v>203</v>
      </c>
      <c r="D196" s="11" t="s">
        <v>761</v>
      </c>
      <c r="E196" s="11" t="s">
        <v>1164</v>
      </c>
      <c r="F196" s="12" t="s">
        <v>1</v>
      </c>
      <c r="G196" s="12" t="s">
        <v>1302</v>
      </c>
      <c r="H196" s="12" t="s">
        <v>1302</v>
      </c>
      <c r="I196" s="12" t="s">
        <v>1310</v>
      </c>
      <c r="J196" s="12" t="s">
        <v>1321</v>
      </c>
      <c r="K196" s="12" t="s">
        <v>1334</v>
      </c>
      <c r="L196" s="12" t="s">
        <v>1303</v>
      </c>
      <c r="M196" s="12" t="s">
        <v>0</v>
      </c>
      <c r="N196" s="13" t="s">
        <v>1516</v>
      </c>
      <c r="O196" s="11" t="s">
        <v>1326</v>
      </c>
      <c r="P196" s="11" t="s">
        <v>1867</v>
      </c>
      <c r="Q196" s="11" t="s">
        <v>1307</v>
      </c>
      <c r="R196" s="11" t="s">
        <v>1882</v>
      </c>
      <c r="S196" s="11" t="s">
        <v>1307</v>
      </c>
      <c r="T196" s="11" t="s">
        <v>1307</v>
      </c>
      <c r="U196" s="11" t="s">
        <v>1890</v>
      </c>
      <c r="V196" s="11" t="s">
        <v>1897</v>
      </c>
      <c r="W196" s="11" t="s">
        <v>0</v>
      </c>
      <c r="X196" s="11" t="s">
        <v>0</v>
      </c>
      <c r="Y196" s="11" t="s">
        <v>0</v>
      </c>
      <c r="Z196" s="11" t="s">
        <v>0</v>
      </c>
      <c r="AA196" s="11" t="s">
        <v>0</v>
      </c>
      <c r="AB196" s="11" t="s">
        <v>0</v>
      </c>
      <c r="AC196" s="11" t="s">
        <v>0</v>
      </c>
      <c r="AD196" s="11" t="s">
        <v>0</v>
      </c>
      <c r="AE196" s="11" t="s">
        <v>13</v>
      </c>
    </row>
    <row r="197">
      <c r="B197" s="24" t="s">
        <v>1</v>
      </c>
      <c r="C197" s="12" t="s">
        <v>204</v>
      </c>
      <c r="D197" s="11" t="s">
        <v>762</v>
      </c>
      <c r="E197" s="11" t="s">
        <v>1164</v>
      </c>
      <c r="F197" s="12" t="s">
        <v>1</v>
      </c>
      <c r="G197" s="12" t="s">
        <v>1302</v>
      </c>
      <c r="H197" s="12" t="s">
        <v>1302</v>
      </c>
      <c r="I197" s="12" t="s">
        <v>1310</v>
      </c>
      <c r="J197" s="12" t="s">
        <v>1321</v>
      </c>
      <c r="K197" s="12" t="s">
        <v>1334</v>
      </c>
      <c r="L197" s="12" t="s">
        <v>1303</v>
      </c>
      <c r="M197" s="12" t="s">
        <v>0</v>
      </c>
      <c r="N197" s="13" t="s">
        <v>1517</v>
      </c>
      <c r="O197" s="11" t="s">
        <v>1326</v>
      </c>
      <c r="P197" s="11" t="s">
        <v>1867</v>
      </c>
      <c r="Q197" s="11" t="s">
        <v>1307</v>
      </c>
      <c r="R197" s="11" t="s">
        <v>1882</v>
      </c>
      <c r="S197" s="11" t="s">
        <v>1307</v>
      </c>
      <c r="T197" s="11" t="s">
        <v>1307</v>
      </c>
      <c r="U197" s="11" t="s">
        <v>1890</v>
      </c>
      <c r="V197" s="11" t="s">
        <v>1897</v>
      </c>
      <c r="W197" s="11" t="s">
        <v>0</v>
      </c>
      <c r="X197" s="11" t="s">
        <v>0</v>
      </c>
      <c r="Y197" s="11" t="s">
        <v>0</v>
      </c>
      <c r="Z197" s="11" t="s">
        <v>0</v>
      </c>
      <c r="AA197" s="11" t="s">
        <v>0</v>
      </c>
      <c r="AB197" s="11" t="s">
        <v>0</v>
      </c>
      <c r="AC197" s="11" t="s">
        <v>0</v>
      </c>
      <c r="AD197" s="11" t="s">
        <v>0</v>
      </c>
      <c r="AE197" s="11" t="s">
        <v>13</v>
      </c>
    </row>
    <row r="198">
      <c r="B198" s="24" t="s">
        <v>1</v>
      </c>
      <c r="C198" s="12" t="s">
        <v>205</v>
      </c>
      <c r="D198" s="11" t="s">
        <v>763</v>
      </c>
      <c r="E198" s="11" t="s">
        <v>1164</v>
      </c>
      <c r="F198" s="12" t="s">
        <v>1273</v>
      </c>
      <c r="G198" s="12" t="s">
        <v>1302</v>
      </c>
      <c r="H198" s="12" t="s">
        <v>1302</v>
      </c>
      <c r="I198" s="12" t="s">
        <v>1311</v>
      </c>
      <c r="J198" s="12" t="s">
        <v>1321</v>
      </c>
      <c r="K198" s="12" t="s">
        <v>1334</v>
      </c>
      <c r="L198" s="12" t="s">
        <v>1303</v>
      </c>
      <c r="M198" s="12" t="s">
        <v>0</v>
      </c>
      <c r="N198" s="13" t="s">
        <v>1518</v>
      </c>
      <c r="O198" s="11" t="s">
        <v>1326</v>
      </c>
      <c r="P198" s="11" t="s">
        <v>1867</v>
      </c>
      <c r="Q198" s="11" t="s">
        <v>1307</v>
      </c>
      <c r="R198" s="11" t="s">
        <v>1882</v>
      </c>
      <c r="S198" s="11" t="s">
        <v>0</v>
      </c>
      <c r="T198" s="11" t="s">
        <v>1306</v>
      </c>
      <c r="U198" s="11" t="s">
        <v>0</v>
      </c>
      <c r="V198" s="11" t="s">
        <v>0</v>
      </c>
      <c r="W198" s="11" t="s">
        <v>0</v>
      </c>
      <c r="X198" s="11" t="s">
        <v>0</v>
      </c>
      <c r="Y198" s="11" t="s">
        <v>0</v>
      </c>
      <c r="Z198" s="11" t="s">
        <v>0</v>
      </c>
      <c r="AA198" s="11" t="s">
        <v>0</v>
      </c>
      <c r="AB198" s="11" t="s">
        <v>0</v>
      </c>
      <c r="AC198" s="11" t="s">
        <v>0</v>
      </c>
      <c r="AD198" s="11" t="s">
        <v>0</v>
      </c>
      <c r="AE198" s="11" t="s">
        <v>2090</v>
      </c>
    </row>
    <row r="199">
      <c r="B199" s="24" t="s">
        <v>1</v>
      </c>
      <c r="C199" s="12" t="s">
        <v>206</v>
      </c>
      <c r="D199" s="11" t="s">
        <v>764</v>
      </c>
      <c r="E199" s="11" t="s">
        <v>1164</v>
      </c>
      <c r="F199" s="12" t="s">
        <v>1</v>
      </c>
      <c r="G199" s="12" t="s">
        <v>1302</v>
      </c>
      <c r="H199" s="12" t="s">
        <v>1302</v>
      </c>
      <c r="I199" s="12" t="s">
        <v>1311</v>
      </c>
      <c r="J199" s="12" t="s">
        <v>1321</v>
      </c>
      <c r="K199" s="12" t="s">
        <v>1334</v>
      </c>
      <c r="L199" s="12" t="s">
        <v>1303</v>
      </c>
      <c r="M199" s="12" t="s">
        <v>0</v>
      </c>
      <c r="N199" s="13" t="s">
        <v>1519</v>
      </c>
      <c r="O199" s="11" t="s">
        <v>1326</v>
      </c>
      <c r="P199" s="11" t="s">
        <v>1867</v>
      </c>
      <c r="Q199" s="11" t="s">
        <v>1307</v>
      </c>
      <c r="R199" s="11" t="s">
        <v>1882</v>
      </c>
      <c r="S199" s="11" t="s">
        <v>0</v>
      </c>
      <c r="T199" s="11" t="s">
        <v>1306</v>
      </c>
      <c r="U199" s="11" t="s">
        <v>0</v>
      </c>
      <c r="V199" s="11" t="s">
        <v>0</v>
      </c>
      <c r="W199" s="11" t="s">
        <v>0</v>
      </c>
      <c r="X199" s="11" t="s">
        <v>0</v>
      </c>
      <c r="Y199" s="11" t="s">
        <v>0</v>
      </c>
      <c r="Z199" s="11" t="s">
        <v>0</v>
      </c>
      <c r="AA199" s="11" t="s">
        <v>0</v>
      </c>
      <c r="AB199" s="11" t="s">
        <v>0</v>
      </c>
      <c r="AC199" s="11" t="s">
        <v>0</v>
      </c>
      <c r="AD199" s="11" t="s">
        <v>0</v>
      </c>
      <c r="AE199" s="11" t="s">
        <v>2090</v>
      </c>
    </row>
    <row r="200">
      <c r="B200" s="24" t="s">
        <v>6</v>
      </c>
      <c r="C200" s="12" t="s">
        <v>207</v>
      </c>
      <c r="D200" s="11" t="s">
        <v>765</v>
      </c>
      <c r="E200" s="11" t="s">
        <v>1164</v>
      </c>
      <c r="F200" s="12" t="s">
        <v>6</v>
      </c>
      <c r="G200" s="12" t="s">
        <v>1302</v>
      </c>
      <c r="H200" s="12" t="s">
        <v>1302</v>
      </c>
      <c r="I200" s="12" t="s">
        <v>1311</v>
      </c>
      <c r="J200" s="12" t="s">
        <v>1321</v>
      </c>
      <c r="K200" s="12" t="s">
        <v>1334</v>
      </c>
      <c r="L200" s="12" t="s">
        <v>1303</v>
      </c>
      <c r="M200" s="12" t="s">
        <v>0</v>
      </c>
      <c r="N200" s="13" t="s">
        <v>1520</v>
      </c>
      <c r="O200" s="11" t="s">
        <v>1326</v>
      </c>
      <c r="P200" s="11" t="s">
        <v>1867</v>
      </c>
      <c r="Q200" s="11" t="s">
        <v>1307</v>
      </c>
      <c r="R200" s="11" t="s">
        <v>1882</v>
      </c>
      <c r="S200" s="11" t="s">
        <v>0</v>
      </c>
      <c r="T200" s="11" t="s">
        <v>1306</v>
      </c>
      <c r="U200" s="11" t="s">
        <v>0</v>
      </c>
      <c r="V200" s="11" t="s">
        <v>0</v>
      </c>
      <c r="W200" s="11" t="s">
        <v>0</v>
      </c>
      <c r="X200" s="11" t="s">
        <v>0</v>
      </c>
      <c r="Y200" s="11" t="s">
        <v>0</v>
      </c>
      <c r="Z200" s="11" t="s">
        <v>0</v>
      </c>
      <c r="AA200" s="11" t="s">
        <v>0</v>
      </c>
      <c r="AB200" s="11" t="s">
        <v>0</v>
      </c>
      <c r="AC200" s="11" t="s">
        <v>0</v>
      </c>
      <c r="AD200" s="11" t="s">
        <v>0</v>
      </c>
      <c r="AE200" s="11" t="s">
        <v>2090</v>
      </c>
    </row>
    <row r="201">
      <c r="B201" s="24" t="s">
        <v>1</v>
      </c>
      <c r="C201" s="12" t="s">
        <v>208</v>
      </c>
      <c r="D201" s="11" t="s">
        <v>766</v>
      </c>
      <c r="E201" s="11" t="s">
        <v>1164</v>
      </c>
      <c r="F201" s="12" t="s">
        <v>1</v>
      </c>
      <c r="G201" s="12" t="s">
        <v>1302</v>
      </c>
      <c r="H201" s="12" t="s">
        <v>1302</v>
      </c>
      <c r="I201" s="12" t="s">
        <v>1311</v>
      </c>
      <c r="J201" s="12" t="s">
        <v>1321</v>
      </c>
      <c r="K201" s="12" t="s">
        <v>1334</v>
      </c>
      <c r="L201" s="12" t="s">
        <v>1303</v>
      </c>
      <c r="M201" s="12" t="s">
        <v>0</v>
      </c>
      <c r="N201" s="13" t="s">
        <v>1521</v>
      </c>
      <c r="O201" s="11" t="s">
        <v>1326</v>
      </c>
      <c r="P201" s="11" t="s">
        <v>1867</v>
      </c>
      <c r="Q201" s="11" t="s">
        <v>1307</v>
      </c>
      <c r="R201" s="11" t="s">
        <v>1882</v>
      </c>
      <c r="S201" s="11" t="s">
        <v>0</v>
      </c>
      <c r="T201" s="11" t="s">
        <v>1306</v>
      </c>
      <c r="U201" s="11" t="s">
        <v>0</v>
      </c>
      <c r="V201" s="11" t="s">
        <v>0</v>
      </c>
      <c r="W201" s="11" t="s">
        <v>0</v>
      </c>
      <c r="X201" s="11" t="s">
        <v>0</v>
      </c>
      <c r="Y201" s="11" t="s">
        <v>0</v>
      </c>
      <c r="Z201" s="11" t="s">
        <v>0</v>
      </c>
      <c r="AA201" s="11" t="s">
        <v>0</v>
      </c>
      <c r="AB201" s="11" t="s">
        <v>0</v>
      </c>
      <c r="AC201" s="11" t="s">
        <v>0</v>
      </c>
      <c r="AD201" s="11" t="s">
        <v>0</v>
      </c>
      <c r="AE201" s="11" t="s">
        <v>2090</v>
      </c>
    </row>
    <row r="202">
      <c r="B202" s="24" t="s">
        <v>2</v>
      </c>
      <c r="C202" s="12" t="s">
        <v>209</v>
      </c>
      <c r="D202" s="11" t="s">
        <v>767</v>
      </c>
      <c r="E202" s="11" t="s">
        <v>1164</v>
      </c>
      <c r="F202" s="12" t="s">
        <v>2</v>
      </c>
      <c r="G202" s="12" t="s">
        <v>1302</v>
      </c>
      <c r="H202" s="12" t="s">
        <v>1302</v>
      </c>
      <c r="I202" s="12" t="s">
        <v>1311</v>
      </c>
      <c r="J202" s="12" t="s">
        <v>1321</v>
      </c>
      <c r="K202" s="12" t="s">
        <v>1334</v>
      </c>
      <c r="L202" s="12" t="s">
        <v>1303</v>
      </c>
      <c r="M202" s="12" t="s">
        <v>0</v>
      </c>
      <c r="N202" s="13" t="s">
        <v>1522</v>
      </c>
      <c r="O202" s="11" t="s">
        <v>1326</v>
      </c>
      <c r="P202" s="11" t="s">
        <v>1867</v>
      </c>
      <c r="Q202" s="11" t="s">
        <v>1307</v>
      </c>
      <c r="R202" s="11" t="s">
        <v>1882</v>
      </c>
      <c r="S202" s="11" t="s">
        <v>0</v>
      </c>
      <c r="T202" s="11" t="s">
        <v>1306</v>
      </c>
      <c r="U202" s="11" t="s">
        <v>0</v>
      </c>
      <c r="V202" s="11" t="s">
        <v>0</v>
      </c>
      <c r="W202" s="11" t="s">
        <v>0</v>
      </c>
      <c r="X202" s="11" t="s">
        <v>0</v>
      </c>
      <c r="Y202" s="11" t="s">
        <v>0</v>
      </c>
      <c r="Z202" s="11" t="s">
        <v>0</v>
      </c>
      <c r="AA202" s="11" t="s">
        <v>0</v>
      </c>
      <c r="AB202" s="11" t="s">
        <v>0</v>
      </c>
      <c r="AC202" s="11" t="s">
        <v>0</v>
      </c>
      <c r="AD202" s="11" t="s">
        <v>0</v>
      </c>
      <c r="AE202" s="11" t="s">
        <v>2090</v>
      </c>
    </row>
    <row r="203">
      <c r="B203" s="24" t="s">
        <v>1</v>
      </c>
      <c r="C203" s="12" t="s">
        <v>210</v>
      </c>
      <c r="D203" s="11" t="s">
        <v>768</v>
      </c>
      <c r="E203" s="11" t="s">
        <v>1164</v>
      </c>
      <c r="F203" s="12" t="s">
        <v>1295</v>
      </c>
      <c r="G203" s="12" t="s">
        <v>1302</v>
      </c>
      <c r="H203" s="12" t="s">
        <v>1302</v>
      </c>
      <c r="I203" s="12" t="s">
        <v>1311</v>
      </c>
      <c r="J203" s="12" t="s">
        <v>1321</v>
      </c>
      <c r="K203" s="12" t="s">
        <v>1334</v>
      </c>
      <c r="L203" s="12" t="s">
        <v>1303</v>
      </c>
      <c r="M203" s="12" t="s">
        <v>0</v>
      </c>
      <c r="N203" s="13" t="s">
        <v>1523</v>
      </c>
      <c r="O203" s="11" t="s">
        <v>1326</v>
      </c>
      <c r="P203" s="11" t="s">
        <v>1867</v>
      </c>
      <c r="Q203" s="11" t="s">
        <v>1307</v>
      </c>
      <c r="R203" s="11" t="s">
        <v>1882</v>
      </c>
      <c r="S203" s="11" t="s">
        <v>0</v>
      </c>
      <c r="T203" s="11" t="s">
        <v>1306</v>
      </c>
      <c r="U203" s="11" t="s">
        <v>0</v>
      </c>
      <c r="V203" s="11" t="s">
        <v>0</v>
      </c>
      <c r="W203" s="11" t="s">
        <v>0</v>
      </c>
      <c r="X203" s="11" t="s">
        <v>0</v>
      </c>
      <c r="Y203" s="11" t="s">
        <v>0</v>
      </c>
      <c r="Z203" s="11" t="s">
        <v>0</v>
      </c>
      <c r="AA203" s="11" t="s">
        <v>0</v>
      </c>
      <c r="AB203" s="11" t="s">
        <v>0</v>
      </c>
      <c r="AC203" s="11" t="s">
        <v>0</v>
      </c>
      <c r="AD203" s="11" t="s">
        <v>0</v>
      </c>
      <c r="AE203" s="11" t="s">
        <v>2090</v>
      </c>
    </row>
    <row r="204">
      <c r="B204" s="24" t="s">
        <v>3</v>
      </c>
      <c r="C204" s="12" t="s">
        <v>211</v>
      </c>
      <c r="D204" s="11" t="s">
        <v>769</v>
      </c>
      <c r="E204" s="11" t="s">
        <v>1164</v>
      </c>
      <c r="F204" s="12" t="s">
        <v>3</v>
      </c>
      <c r="G204" s="12" t="s">
        <v>1302</v>
      </c>
      <c r="H204" s="12" t="s">
        <v>1302</v>
      </c>
      <c r="I204" s="12" t="s">
        <v>1311</v>
      </c>
      <c r="J204" s="12" t="s">
        <v>1321</v>
      </c>
      <c r="K204" s="12" t="s">
        <v>1334</v>
      </c>
      <c r="L204" s="12" t="s">
        <v>1303</v>
      </c>
      <c r="M204" s="12" t="s">
        <v>0</v>
      </c>
      <c r="N204" s="13" t="s">
        <v>1524</v>
      </c>
      <c r="O204" s="11" t="s">
        <v>1326</v>
      </c>
      <c r="P204" s="11" t="s">
        <v>1867</v>
      </c>
      <c r="Q204" s="11" t="s">
        <v>1307</v>
      </c>
      <c r="R204" s="11" t="s">
        <v>1882</v>
      </c>
      <c r="S204" s="11" t="s">
        <v>0</v>
      </c>
      <c r="T204" s="11" t="s">
        <v>1306</v>
      </c>
      <c r="U204" s="11" t="s">
        <v>0</v>
      </c>
      <c r="V204" s="11" t="s">
        <v>0</v>
      </c>
      <c r="W204" s="11" t="s">
        <v>0</v>
      </c>
      <c r="X204" s="11" t="s">
        <v>0</v>
      </c>
      <c r="Y204" s="11" t="s">
        <v>0</v>
      </c>
      <c r="Z204" s="11" t="s">
        <v>0</v>
      </c>
      <c r="AA204" s="11" t="s">
        <v>0</v>
      </c>
      <c r="AB204" s="11" t="s">
        <v>0</v>
      </c>
      <c r="AC204" s="11" t="s">
        <v>0</v>
      </c>
      <c r="AD204" s="11" t="s">
        <v>0</v>
      </c>
      <c r="AE204" s="11" t="s">
        <v>2090</v>
      </c>
    </row>
    <row r="205">
      <c r="B205" s="24" t="s">
        <v>4</v>
      </c>
      <c r="C205" s="12" t="s">
        <v>212</v>
      </c>
      <c r="D205" s="11" t="s">
        <v>770</v>
      </c>
      <c r="E205" s="11" t="s">
        <v>1164</v>
      </c>
      <c r="F205" s="12" t="s">
        <v>4</v>
      </c>
      <c r="G205" s="12" t="s">
        <v>1302</v>
      </c>
      <c r="H205" s="12" t="s">
        <v>1302</v>
      </c>
      <c r="I205" s="12" t="s">
        <v>1311</v>
      </c>
      <c r="J205" s="12" t="s">
        <v>1321</v>
      </c>
      <c r="K205" s="12" t="s">
        <v>1334</v>
      </c>
      <c r="L205" s="12" t="s">
        <v>1303</v>
      </c>
      <c r="M205" s="12" t="s">
        <v>0</v>
      </c>
      <c r="N205" s="13" t="s">
        <v>1525</v>
      </c>
      <c r="O205" s="11" t="s">
        <v>1326</v>
      </c>
      <c r="P205" s="11" t="s">
        <v>1867</v>
      </c>
      <c r="Q205" s="11" t="s">
        <v>1307</v>
      </c>
      <c r="R205" s="11" t="s">
        <v>1882</v>
      </c>
      <c r="S205" s="11" t="s">
        <v>0</v>
      </c>
      <c r="T205" s="11" t="s">
        <v>1306</v>
      </c>
      <c r="U205" s="11" t="s">
        <v>0</v>
      </c>
      <c r="V205" s="11" t="s">
        <v>0</v>
      </c>
      <c r="W205" s="11" t="s">
        <v>0</v>
      </c>
      <c r="X205" s="11" t="s">
        <v>0</v>
      </c>
      <c r="Y205" s="11" t="s">
        <v>0</v>
      </c>
      <c r="Z205" s="11" t="s">
        <v>0</v>
      </c>
      <c r="AA205" s="11" t="s">
        <v>0</v>
      </c>
      <c r="AB205" s="11" t="s">
        <v>0</v>
      </c>
      <c r="AC205" s="11" t="s">
        <v>0</v>
      </c>
      <c r="AD205" s="11" t="s">
        <v>0</v>
      </c>
      <c r="AE205" s="11" t="s">
        <v>2090</v>
      </c>
    </row>
    <row r="206">
      <c r="B206" s="24" t="s">
        <v>7</v>
      </c>
      <c r="C206" s="12" t="s">
        <v>213</v>
      </c>
      <c r="D206" s="11" t="s">
        <v>771</v>
      </c>
      <c r="E206" s="11" t="s">
        <v>1164</v>
      </c>
      <c r="F206" s="12" t="s">
        <v>7</v>
      </c>
      <c r="G206" s="12" t="s">
        <v>1302</v>
      </c>
      <c r="H206" s="12" t="s">
        <v>1302</v>
      </c>
      <c r="I206" s="12" t="s">
        <v>1311</v>
      </c>
      <c r="J206" s="12" t="s">
        <v>1321</v>
      </c>
      <c r="K206" s="12" t="s">
        <v>1334</v>
      </c>
      <c r="L206" s="12" t="s">
        <v>1303</v>
      </c>
      <c r="M206" s="12" t="s">
        <v>0</v>
      </c>
      <c r="N206" s="13" t="s">
        <v>1526</v>
      </c>
      <c r="O206" s="11" t="s">
        <v>1326</v>
      </c>
      <c r="P206" s="11" t="s">
        <v>1867</v>
      </c>
      <c r="Q206" s="11" t="s">
        <v>1307</v>
      </c>
      <c r="R206" s="11" t="s">
        <v>1882</v>
      </c>
      <c r="S206" s="11" t="s">
        <v>0</v>
      </c>
      <c r="T206" s="11" t="s">
        <v>1306</v>
      </c>
      <c r="U206" s="11" t="s">
        <v>0</v>
      </c>
      <c r="V206" s="11" t="s">
        <v>0</v>
      </c>
      <c r="W206" s="11" t="s">
        <v>0</v>
      </c>
      <c r="X206" s="11" t="s">
        <v>0</v>
      </c>
      <c r="Y206" s="11" t="s">
        <v>0</v>
      </c>
      <c r="Z206" s="11" t="s">
        <v>0</v>
      </c>
      <c r="AA206" s="11" t="s">
        <v>0</v>
      </c>
      <c r="AB206" s="11" t="s">
        <v>0</v>
      </c>
      <c r="AC206" s="11" t="s">
        <v>0</v>
      </c>
      <c r="AD206" s="11" t="s">
        <v>0</v>
      </c>
      <c r="AE206" s="11" t="s">
        <v>2090</v>
      </c>
    </row>
    <row r="207">
      <c r="B207" s="24" t="s">
        <v>1</v>
      </c>
      <c r="C207" s="12" t="s">
        <v>214</v>
      </c>
      <c r="D207" s="11" t="s">
        <v>772</v>
      </c>
      <c r="E207" s="11" t="s">
        <v>1165</v>
      </c>
      <c r="F207" s="12" t="s">
        <v>1</v>
      </c>
      <c r="G207" s="12" t="s">
        <v>1302</v>
      </c>
      <c r="H207" s="12" t="s">
        <v>1302</v>
      </c>
      <c r="I207" s="12" t="s">
        <v>1311</v>
      </c>
      <c r="J207" s="12" t="s">
        <v>1321</v>
      </c>
      <c r="K207" s="12" t="s">
        <v>1334</v>
      </c>
      <c r="L207" s="12" t="s">
        <v>1303</v>
      </c>
      <c r="M207" s="12" t="s">
        <v>0</v>
      </c>
      <c r="N207" s="13" t="s">
        <v>1527</v>
      </c>
      <c r="O207" s="11" t="s">
        <v>1326</v>
      </c>
      <c r="P207" s="11" t="s">
        <v>1870</v>
      </c>
      <c r="Q207" s="11" t="s">
        <v>1307</v>
      </c>
      <c r="R207" s="11" t="s">
        <v>1882</v>
      </c>
      <c r="S207" s="11" t="s">
        <v>0</v>
      </c>
      <c r="T207" s="11" t="s">
        <v>1306</v>
      </c>
      <c r="U207" s="11" t="s">
        <v>0</v>
      </c>
      <c r="V207" s="11" t="s">
        <v>0</v>
      </c>
      <c r="W207" s="11" t="s">
        <v>0</v>
      </c>
      <c r="X207" s="11" t="s">
        <v>0</v>
      </c>
      <c r="Y207" s="11" t="s">
        <v>0</v>
      </c>
      <c r="Z207" s="11" t="s">
        <v>0</v>
      </c>
      <c r="AA207" s="11" t="s">
        <v>0</v>
      </c>
      <c r="AB207" s="11" t="s">
        <v>0</v>
      </c>
      <c r="AC207" s="11" t="s">
        <v>0</v>
      </c>
      <c r="AD207" s="11" t="s">
        <v>0</v>
      </c>
      <c r="AE207" s="11" t="s">
        <v>2090</v>
      </c>
    </row>
    <row r="208">
      <c r="B208" s="24" t="s">
        <v>1</v>
      </c>
      <c r="C208" s="12" t="s">
        <v>215</v>
      </c>
      <c r="D208" s="11" t="s">
        <v>773</v>
      </c>
      <c r="E208" s="11" t="s">
        <v>1165</v>
      </c>
      <c r="F208" s="12" t="s">
        <v>1</v>
      </c>
      <c r="G208" s="12" t="s">
        <v>1302</v>
      </c>
      <c r="H208" s="12" t="s">
        <v>1302</v>
      </c>
      <c r="I208" s="12" t="s">
        <v>1310</v>
      </c>
      <c r="J208" s="12" t="s">
        <v>1321</v>
      </c>
      <c r="K208" s="12" t="s">
        <v>1334</v>
      </c>
      <c r="L208" s="12" t="s">
        <v>1303</v>
      </c>
      <c r="M208" s="12" t="s">
        <v>0</v>
      </c>
      <c r="N208" s="13" t="s">
        <v>1528</v>
      </c>
      <c r="O208" s="11" t="s">
        <v>1326</v>
      </c>
      <c r="P208" s="11" t="s">
        <v>1870</v>
      </c>
      <c r="Q208" s="11" t="s">
        <v>1307</v>
      </c>
      <c r="R208" s="11" t="s">
        <v>1882</v>
      </c>
      <c r="S208" s="11" t="s">
        <v>1307</v>
      </c>
      <c r="T208" s="11" t="s">
        <v>1307</v>
      </c>
      <c r="U208" s="11" t="s">
        <v>1890</v>
      </c>
      <c r="V208" s="11" t="s">
        <v>1897</v>
      </c>
      <c r="W208" s="11" t="s">
        <v>0</v>
      </c>
      <c r="X208" s="11" t="s">
        <v>0</v>
      </c>
      <c r="Y208" s="11" t="s">
        <v>0</v>
      </c>
      <c r="Z208" s="11" t="s">
        <v>0</v>
      </c>
      <c r="AA208" s="11" t="s">
        <v>0</v>
      </c>
      <c r="AB208" s="11" t="s">
        <v>0</v>
      </c>
      <c r="AC208" s="11" t="s">
        <v>0</v>
      </c>
      <c r="AD208" s="11" t="s">
        <v>0</v>
      </c>
      <c r="AE208" s="11" t="s">
        <v>13</v>
      </c>
    </row>
    <row r="209">
      <c r="B209" s="24" t="s">
        <v>8</v>
      </c>
      <c r="C209" s="12" t="s">
        <v>216</v>
      </c>
      <c r="D209" s="11" t="s">
        <v>774</v>
      </c>
      <c r="E209" s="11" t="s">
        <v>1165</v>
      </c>
      <c r="F209" s="12" t="s">
        <v>8</v>
      </c>
      <c r="G209" s="12" t="s">
        <v>1302</v>
      </c>
      <c r="H209" s="12" t="s">
        <v>1302</v>
      </c>
      <c r="I209" s="12" t="s">
        <v>1310</v>
      </c>
      <c r="J209" s="12" t="s">
        <v>1321</v>
      </c>
      <c r="K209" s="12" t="s">
        <v>1334</v>
      </c>
      <c r="L209" s="12" t="s">
        <v>1303</v>
      </c>
      <c r="M209" s="12" t="s">
        <v>0</v>
      </c>
      <c r="N209" s="13" t="s">
        <v>1529</v>
      </c>
      <c r="O209" s="11" t="s">
        <v>1326</v>
      </c>
      <c r="P209" s="11" t="s">
        <v>1870</v>
      </c>
      <c r="Q209" s="11" t="s">
        <v>1307</v>
      </c>
      <c r="R209" s="11" t="s">
        <v>1882</v>
      </c>
      <c r="S209" s="11" t="s">
        <v>1307</v>
      </c>
      <c r="T209" s="11" t="s">
        <v>1307</v>
      </c>
      <c r="U209" s="11" t="s">
        <v>1890</v>
      </c>
      <c r="V209" s="11" t="s">
        <v>1897</v>
      </c>
      <c r="W209" s="11" t="s">
        <v>0</v>
      </c>
      <c r="X209" s="11" t="s">
        <v>0</v>
      </c>
      <c r="Y209" s="11" t="s">
        <v>0</v>
      </c>
      <c r="Z209" s="11" t="s">
        <v>0</v>
      </c>
      <c r="AA209" s="11" t="s">
        <v>0</v>
      </c>
      <c r="AB209" s="11" t="s">
        <v>0</v>
      </c>
      <c r="AC209" s="11" t="s">
        <v>0</v>
      </c>
      <c r="AD209" s="11" t="s">
        <v>0</v>
      </c>
      <c r="AE209" s="11" t="s">
        <v>13</v>
      </c>
    </row>
    <row r="210">
      <c r="B210" s="24" t="s">
        <v>1</v>
      </c>
      <c r="C210" s="12" t="s">
        <v>217</v>
      </c>
      <c r="D210" s="11" t="s">
        <v>775</v>
      </c>
      <c r="E210" s="11" t="s">
        <v>1165</v>
      </c>
      <c r="F210" s="12" t="s">
        <v>1</v>
      </c>
      <c r="G210" s="12" t="s">
        <v>1302</v>
      </c>
      <c r="H210" s="12" t="s">
        <v>1302</v>
      </c>
      <c r="I210" s="12" t="s">
        <v>1310</v>
      </c>
      <c r="J210" s="12" t="s">
        <v>1321</v>
      </c>
      <c r="K210" s="12" t="s">
        <v>1334</v>
      </c>
      <c r="L210" s="12" t="s">
        <v>1303</v>
      </c>
      <c r="M210" s="12" t="s">
        <v>0</v>
      </c>
      <c r="N210" s="13" t="s">
        <v>1530</v>
      </c>
      <c r="O210" s="11" t="s">
        <v>1326</v>
      </c>
      <c r="P210" s="11" t="s">
        <v>1870</v>
      </c>
      <c r="Q210" s="11" t="s">
        <v>1307</v>
      </c>
      <c r="R210" s="11" t="s">
        <v>1882</v>
      </c>
      <c r="S210" s="11" t="s">
        <v>1307</v>
      </c>
      <c r="T210" s="11" t="s">
        <v>1307</v>
      </c>
      <c r="U210" s="11" t="s">
        <v>1892</v>
      </c>
      <c r="V210" s="11" t="s">
        <v>1897</v>
      </c>
      <c r="W210" s="11" t="s">
        <v>0</v>
      </c>
      <c r="X210" s="11" t="s">
        <v>0</v>
      </c>
      <c r="Y210" s="11" t="s">
        <v>0</v>
      </c>
      <c r="Z210" s="11" t="s">
        <v>0</v>
      </c>
      <c r="AA210" s="11" t="s">
        <v>0</v>
      </c>
      <c r="AB210" s="11" t="s">
        <v>0</v>
      </c>
      <c r="AC210" s="11" t="s">
        <v>0</v>
      </c>
      <c r="AD210" s="11" t="s">
        <v>2062</v>
      </c>
      <c r="AE210" s="11" t="s">
        <v>13</v>
      </c>
    </row>
    <row r="211">
      <c r="B211" s="24" t="s">
        <v>1</v>
      </c>
      <c r="C211" s="12" t="s">
        <v>218</v>
      </c>
      <c r="D211" s="11" t="s">
        <v>776</v>
      </c>
      <c r="E211" s="11" t="s">
        <v>1166</v>
      </c>
      <c r="F211" s="12" t="s">
        <v>1</v>
      </c>
      <c r="G211" s="12" t="s">
        <v>1302</v>
      </c>
      <c r="H211" s="12" t="s">
        <v>1302</v>
      </c>
      <c r="I211" s="12" t="s">
        <v>1311</v>
      </c>
      <c r="J211" s="12" t="s">
        <v>1317</v>
      </c>
      <c r="K211" s="12" t="s">
        <v>1326</v>
      </c>
      <c r="L211" s="12" t="s">
        <v>1303</v>
      </c>
      <c r="M211" s="12" t="s">
        <v>0</v>
      </c>
      <c r="N211" s="13" t="s">
        <v>1531</v>
      </c>
      <c r="O211" s="11" t="s">
        <v>1326</v>
      </c>
      <c r="P211" s="11" t="s">
        <v>1871</v>
      </c>
      <c r="Q211" s="11" t="s">
        <v>1306</v>
      </c>
      <c r="R211" s="11" t="s">
        <v>1882</v>
      </c>
      <c r="S211" s="11" t="s">
        <v>0</v>
      </c>
      <c r="T211" s="11" t="s">
        <v>1307</v>
      </c>
      <c r="U211" s="11" t="s">
        <v>1893</v>
      </c>
      <c r="V211" s="11" t="s">
        <v>1906</v>
      </c>
      <c r="W211" s="11" t="s">
        <v>0</v>
      </c>
      <c r="X211" s="11" t="s">
        <v>0</v>
      </c>
      <c r="Y211" s="11" t="s">
        <v>0</v>
      </c>
      <c r="Z211" s="11" t="s">
        <v>0</v>
      </c>
      <c r="AA211" s="11" t="s">
        <v>0</v>
      </c>
      <c r="AB211" s="11" t="s">
        <v>0</v>
      </c>
      <c r="AC211" s="11" t="s">
        <v>0</v>
      </c>
      <c r="AD211" s="11" t="s">
        <v>2063</v>
      </c>
      <c r="AE211" s="11" t="s">
        <v>13</v>
      </c>
    </row>
    <row r="212">
      <c r="B212" s="24" t="s">
        <v>1</v>
      </c>
      <c r="C212" s="12" t="s">
        <v>219</v>
      </c>
      <c r="D212" s="11" t="s">
        <v>622</v>
      </c>
      <c r="E212" s="11" t="s">
        <v>1167</v>
      </c>
      <c r="F212" s="12" t="s">
        <v>1288</v>
      </c>
      <c r="G212" s="12" t="s">
        <v>1302</v>
      </c>
      <c r="H212" s="12" t="s">
        <v>1302</v>
      </c>
      <c r="I212" s="12" t="s">
        <v>1311</v>
      </c>
      <c r="J212" s="12" t="s">
        <v>1319</v>
      </c>
      <c r="K212" s="12" t="s">
        <v>1326</v>
      </c>
      <c r="L212" s="12" t="s">
        <v>1303</v>
      </c>
      <c r="M212" s="12" t="s">
        <v>0</v>
      </c>
      <c r="N212" s="13" t="s">
        <v>1532</v>
      </c>
      <c r="O212" s="11" t="s">
        <v>1326</v>
      </c>
      <c r="P212" s="11" t="s">
        <v>1871</v>
      </c>
      <c r="Q212" s="11" t="s">
        <v>1306</v>
      </c>
      <c r="R212" s="11" t="s">
        <v>1882</v>
      </c>
      <c r="S212" s="11" t="s">
        <v>0</v>
      </c>
      <c r="T212" s="11" t="s">
        <v>1306</v>
      </c>
      <c r="U212" s="11" t="s">
        <v>0</v>
      </c>
      <c r="V212" s="11" t="s">
        <v>0</v>
      </c>
      <c r="W212" s="11" t="s">
        <v>0</v>
      </c>
      <c r="X212" s="11" t="s">
        <v>0</v>
      </c>
      <c r="Y212" s="11" t="s">
        <v>0</v>
      </c>
      <c r="Z212" s="11" t="s">
        <v>0</v>
      </c>
      <c r="AA212" s="11" t="s">
        <v>0</v>
      </c>
      <c r="AB212" s="11" t="s">
        <v>0</v>
      </c>
      <c r="AC212" s="11" t="s">
        <v>0</v>
      </c>
      <c r="AD212" s="11" t="s">
        <v>2064</v>
      </c>
      <c r="AE212" s="11" t="s">
        <v>2090</v>
      </c>
    </row>
    <row r="213">
      <c r="B213" s="24" t="s">
        <v>1</v>
      </c>
      <c r="C213" s="12" t="s">
        <v>220</v>
      </c>
      <c r="D213" s="11" t="s">
        <v>777</v>
      </c>
      <c r="E213" s="11" t="s">
        <v>1168</v>
      </c>
      <c r="F213" s="12" t="s">
        <v>1273</v>
      </c>
      <c r="G213" s="12" t="s">
        <v>1302</v>
      </c>
      <c r="H213" s="12" t="s">
        <v>1302</v>
      </c>
      <c r="I213" s="12" t="s">
        <v>1311</v>
      </c>
      <c r="J213" s="12" t="s">
        <v>1317</v>
      </c>
      <c r="K213" s="12" t="s">
        <v>1326</v>
      </c>
      <c r="L213" s="12" t="s">
        <v>1303</v>
      </c>
      <c r="M213" s="12" t="s">
        <v>0</v>
      </c>
      <c r="N213" s="13" t="s">
        <v>1533</v>
      </c>
      <c r="O213" s="11" t="s">
        <v>1326</v>
      </c>
      <c r="P213" s="11" t="s">
        <v>1871</v>
      </c>
      <c r="Q213" s="11" t="s">
        <v>1306</v>
      </c>
      <c r="R213" s="11" t="s">
        <v>1882</v>
      </c>
      <c r="S213" s="11" t="s">
        <v>0</v>
      </c>
      <c r="T213" s="11" t="s">
        <v>1306</v>
      </c>
      <c r="U213" s="11" t="s">
        <v>0</v>
      </c>
      <c r="V213" s="11" t="s">
        <v>0</v>
      </c>
      <c r="W213" s="11" t="s">
        <v>0</v>
      </c>
      <c r="X213" s="11" t="s">
        <v>0</v>
      </c>
      <c r="Y213" s="11" t="s">
        <v>0</v>
      </c>
      <c r="Z213" s="11" t="s">
        <v>0</v>
      </c>
      <c r="AA213" s="11" t="s">
        <v>0</v>
      </c>
      <c r="AB213" s="11" t="s">
        <v>0</v>
      </c>
      <c r="AC213" s="11" t="s">
        <v>0</v>
      </c>
      <c r="AD213" s="11" t="s">
        <v>0</v>
      </c>
      <c r="AE213" s="11" t="s">
        <v>2090</v>
      </c>
    </row>
    <row r="214">
      <c r="B214" s="24" t="s">
        <v>4</v>
      </c>
      <c r="C214" s="12" t="s">
        <v>221</v>
      </c>
      <c r="D214" s="11" t="s">
        <v>778</v>
      </c>
      <c r="E214" s="11" t="s">
        <v>1168</v>
      </c>
      <c r="F214" s="12" t="s">
        <v>4</v>
      </c>
      <c r="G214" s="12" t="s">
        <v>1302</v>
      </c>
      <c r="H214" s="12" t="s">
        <v>1302</v>
      </c>
      <c r="I214" s="12" t="s">
        <v>1311</v>
      </c>
      <c r="J214" s="12" t="s">
        <v>1317</v>
      </c>
      <c r="K214" s="12" t="s">
        <v>1326</v>
      </c>
      <c r="L214" s="12" t="s">
        <v>1303</v>
      </c>
      <c r="M214" s="12" t="s">
        <v>0</v>
      </c>
      <c r="N214" s="13" t="s">
        <v>1534</v>
      </c>
      <c r="O214" s="11" t="s">
        <v>1326</v>
      </c>
      <c r="P214" s="11" t="s">
        <v>1871</v>
      </c>
      <c r="Q214" s="11" t="s">
        <v>1306</v>
      </c>
      <c r="R214" s="11" t="s">
        <v>1882</v>
      </c>
      <c r="S214" s="11" t="s">
        <v>0</v>
      </c>
      <c r="T214" s="11" t="s">
        <v>1306</v>
      </c>
      <c r="U214" s="11" t="s">
        <v>0</v>
      </c>
      <c r="V214" s="11" t="s">
        <v>0</v>
      </c>
      <c r="W214" s="11" t="s">
        <v>0</v>
      </c>
      <c r="X214" s="11" t="s">
        <v>0</v>
      </c>
      <c r="Y214" s="11" t="s">
        <v>0</v>
      </c>
      <c r="Z214" s="11" t="s">
        <v>0</v>
      </c>
      <c r="AA214" s="11" t="s">
        <v>0</v>
      </c>
      <c r="AB214" s="11" t="s">
        <v>0</v>
      </c>
      <c r="AC214" s="11" t="s">
        <v>0</v>
      </c>
      <c r="AD214" s="11" t="s">
        <v>0</v>
      </c>
      <c r="AE214" s="11" t="s">
        <v>2090</v>
      </c>
    </row>
    <row r="215">
      <c r="B215" s="24" t="s">
        <v>5</v>
      </c>
      <c r="C215" s="12" t="s">
        <v>222</v>
      </c>
      <c r="D215" s="11" t="s">
        <v>779</v>
      </c>
      <c r="E215" s="11" t="s">
        <v>1168</v>
      </c>
      <c r="F215" s="12" t="s">
        <v>5</v>
      </c>
      <c r="G215" s="12" t="s">
        <v>1302</v>
      </c>
      <c r="H215" s="12" t="s">
        <v>1302</v>
      </c>
      <c r="I215" s="12" t="s">
        <v>1311</v>
      </c>
      <c r="J215" s="12" t="s">
        <v>1317</v>
      </c>
      <c r="K215" s="12" t="s">
        <v>1326</v>
      </c>
      <c r="L215" s="12" t="s">
        <v>1303</v>
      </c>
      <c r="M215" s="12" t="s">
        <v>0</v>
      </c>
      <c r="N215" s="13" t="s">
        <v>1535</v>
      </c>
      <c r="O215" s="11" t="s">
        <v>1326</v>
      </c>
      <c r="P215" s="11" t="s">
        <v>1871</v>
      </c>
      <c r="Q215" s="11" t="s">
        <v>1306</v>
      </c>
      <c r="R215" s="11" t="s">
        <v>1882</v>
      </c>
      <c r="S215" s="11" t="s">
        <v>0</v>
      </c>
      <c r="T215" s="11" t="s">
        <v>1306</v>
      </c>
      <c r="U215" s="11" t="s">
        <v>0</v>
      </c>
      <c r="V215" s="11" t="s">
        <v>0</v>
      </c>
      <c r="W215" s="11" t="s">
        <v>0</v>
      </c>
      <c r="X215" s="11" t="s">
        <v>0</v>
      </c>
      <c r="Y215" s="11" t="s">
        <v>0</v>
      </c>
      <c r="Z215" s="11" t="s">
        <v>0</v>
      </c>
      <c r="AA215" s="11" t="s">
        <v>0</v>
      </c>
      <c r="AB215" s="11" t="s">
        <v>0</v>
      </c>
      <c r="AC215" s="11" t="s">
        <v>0</v>
      </c>
      <c r="AD215" s="11" t="s">
        <v>0</v>
      </c>
      <c r="AE215" s="11" t="s">
        <v>2090</v>
      </c>
    </row>
    <row r="216">
      <c r="B216" s="24" t="s">
        <v>1</v>
      </c>
      <c r="C216" s="12" t="s">
        <v>223</v>
      </c>
      <c r="D216" s="11" t="s">
        <v>780</v>
      </c>
      <c r="E216" s="11" t="s">
        <v>1168</v>
      </c>
      <c r="F216" s="12" t="s">
        <v>1273</v>
      </c>
      <c r="G216" s="12" t="s">
        <v>1302</v>
      </c>
      <c r="H216" s="12" t="s">
        <v>1302</v>
      </c>
      <c r="I216" s="12" t="s">
        <v>1311</v>
      </c>
      <c r="J216" s="12" t="s">
        <v>1317</v>
      </c>
      <c r="K216" s="12" t="s">
        <v>1326</v>
      </c>
      <c r="L216" s="12" t="s">
        <v>1303</v>
      </c>
      <c r="M216" s="12" t="s">
        <v>0</v>
      </c>
      <c r="N216" s="13" t="s">
        <v>1536</v>
      </c>
      <c r="O216" s="11" t="s">
        <v>1326</v>
      </c>
      <c r="P216" s="11" t="s">
        <v>1871</v>
      </c>
      <c r="Q216" s="11" t="s">
        <v>1306</v>
      </c>
      <c r="R216" s="11" t="s">
        <v>1882</v>
      </c>
      <c r="S216" s="11" t="s">
        <v>0</v>
      </c>
      <c r="T216" s="11" t="s">
        <v>1307</v>
      </c>
      <c r="U216" s="11" t="s">
        <v>1890</v>
      </c>
      <c r="V216" s="11" t="s">
        <v>1908</v>
      </c>
      <c r="W216" s="11" t="s">
        <v>0</v>
      </c>
      <c r="X216" s="11" t="s">
        <v>0</v>
      </c>
      <c r="Y216" s="11" t="s">
        <v>0</v>
      </c>
      <c r="Z216" s="11" t="s">
        <v>0</v>
      </c>
      <c r="AA216" s="11" t="s">
        <v>0</v>
      </c>
      <c r="AB216" s="11" t="s">
        <v>0</v>
      </c>
      <c r="AC216" s="11" t="s">
        <v>0</v>
      </c>
      <c r="AD216" s="11" t="s">
        <v>2065</v>
      </c>
      <c r="AE216" s="11" t="s">
        <v>13</v>
      </c>
    </row>
    <row r="217">
      <c r="B217" s="24" t="s">
        <v>1</v>
      </c>
      <c r="C217" s="12" t="s">
        <v>224</v>
      </c>
      <c r="D217" s="11" t="s">
        <v>781</v>
      </c>
      <c r="E217" s="11" t="s">
        <v>1168</v>
      </c>
      <c r="F217" s="12" t="s">
        <v>1291</v>
      </c>
      <c r="G217" s="12" t="s">
        <v>1302</v>
      </c>
      <c r="H217" s="12" t="s">
        <v>1302</v>
      </c>
      <c r="I217" s="12" t="s">
        <v>1311</v>
      </c>
      <c r="J217" s="12" t="s">
        <v>1317</v>
      </c>
      <c r="K217" s="12" t="s">
        <v>1326</v>
      </c>
      <c r="L217" s="12" t="s">
        <v>1303</v>
      </c>
      <c r="M217" s="12" t="s">
        <v>0</v>
      </c>
      <c r="N217" s="13" t="s">
        <v>1537</v>
      </c>
      <c r="O217" s="11" t="s">
        <v>1326</v>
      </c>
      <c r="P217" s="11" t="s">
        <v>1871</v>
      </c>
      <c r="Q217" s="11" t="s">
        <v>1306</v>
      </c>
      <c r="R217" s="11" t="s">
        <v>1882</v>
      </c>
      <c r="S217" s="11" t="s">
        <v>0</v>
      </c>
      <c r="T217" s="11" t="s">
        <v>1307</v>
      </c>
      <c r="U217" s="11" t="s">
        <v>1890</v>
      </c>
      <c r="V217" s="11" t="s">
        <v>1908</v>
      </c>
      <c r="W217" s="11" t="s">
        <v>0</v>
      </c>
      <c r="X217" s="11" t="s">
        <v>0</v>
      </c>
      <c r="Y217" s="11" t="s">
        <v>0</v>
      </c>
      <c r="Z217" s="11" t="s">
        <v>0</v>
      </c>
      <c r="AA217" s="11" t="s">
        <v>0</v>
      </c>
      <c r="AB217" s="11" t="s">
        <v>0</v>
      </c>
      <c r="AC217" s="11" t="s">
        <v>0</v>
      </c>
      <c r="AD217" s="11" t="s">
        <v>2066</v>
      </c>
      <c r="AE217" s="11" t="s">
        <v>13</v>
      </c>
    </row>
    <row r="218">
      <c r="B218" s="24" t="s">
        <v>1</v>
      </c>
      <c r="C218" s="12" t="s">
        <v>225</v>
      </c>
      <c r="D218" s="11" t="s">
        <v>782</v>
      </c>
      <c r="E218" s="11" t="s">
        <v>1168</v>
      </c>
      <c r="F218" s="12" t="s">
        <v>1283</v>
      </c>
      <c r="G218" s="12" t="s">
        <v>1302</v>
      </c>
      <c r="H218" s="12" t="s">
        <v>1302</v>
      </c>
      <c r="I218" s="12" t="s">
        <v>1311</v>
      </c>
      <c r="J218" s="12" t="s">
        <v>1317</v>
      </c>
      <c r="K218" s="12" t="s">
        <v>1326</v>
      </c>
      <c r="L218" s="12" t="s">
        <v>1303</v>
      </c>
      <c r="M218" s="12" t="s">
        <v>0</v>
      </c>
      <c r="N218" s="13" t="s">
        <v>1535</v>
      </c>
      <c r="O218" s="11" t="s">
        <v>1326</v>
      </c>
      <c r="P218" s="11" t="s">
        <v>1871</v>
      </c>
      <c r="Q218" s="11" t="s">
        <v>1306</v>
      </c>
      <c r="R218" s="11" t="s">
        <v>1882</v>
      </c>
      <c r="S218" s="11" t="s">
        <v>0</v>
      </c>
      <c r="T218" s="11" t="s">
        <v>1306</v>
      </c>
      <c r="U218" s="11" t="s">
        <v>0</v>
      </c>
      <c r="V218" s="11" t="s">
        <v>0</v>
      </c>
      <c r="W218" s="11" t="s">
        <v>0</v>
      </c>
      <c r="X218" s="11" t="s">
        <v>0</v>
      </c>
      <c r="Y218" s="11" t="s">
        <v>0</v>
      </c>
      <c r="Z218" s="11" t="s">
        <v>0</v>
      </c>
      <c r="AA218" s="11" t="s">
        <v>0</v>
      </c>
      <c r="AB218" s="11" t="s">
        <v>0</v>
      </c>
      <c r="AC218" s="11" t="s">
        <v>0</v>
      </c>
      <c r="AD218" s="11" t="s">
        <v>0</v>
      </c>
      <c r="AE218" s="11" t="s">
        <v>2090</v>
      </c>
    </row>
    <row r="219">
      <c r="B219" s="24" t="s">
        <v>4</v>
      </c>
      <c r="C219" s="12" t="s">
        <v>226</v>
      </c>
      <c r="D219" s="11" t="s">
        <v>783</v>
      </c>
      <c r="E219" s="11" t="s">
        <v>1169</v>
      </c>
      <c r="F219" s="12" t="s">
        <v>4</v>
      </c>
      <c r="G219" s="12" t="s">
        <v>1302</v>
      </c>
      <c r="H219" s="12" t="s">
        <v>1302</v>
      </c>
      <c r="I219" s="12" t="s">
        <v>1312</v>
      </c>
      <c r="J219" s="12" t="s">
        <v>1317</v>
      </c>
      <c r="K219" s="12" t="s">
        <v>1328</v>
      </c>
      <c r="L219" s="12" t="s">
        <v>1303</v>
      </c>
      <c r="M219" s="12" t="s">
        <v>0</v>
      </c>
      <c r="N219" s="13" t="s">
        <v>1538</v>
      </c>
      <c r="O219" s="11" t="s">
        <v>1326</v>
      </c>
      <c r="P219" s="11" t="s">
        <v>1871</v>
      </c>
      <c r="Q219" s="11" t="s">
        <v>1306</v>
      </c>
      <c r="R219" s="11" t="s">
        <v>1882</v>
      </c>
      <c r="S219" s="11" t="s">
        <v>0</v>
      </c>
      <c r="T219" s="11" t="s">
        <v>1307</v>
      </c>
      <c r="U219" s="11" t="s">
        <v>1888</v>
      </c>
      <c r="V219" s="11" t="s">
        <v>1909</v>
      </c>
      <c r="W219" s="11" t="s">
        <v>0</v>
      </c>
      <c r="X219" s="11" t="s">
        <v>0</v>
      </c>
      <c r="Y219" s="11" t="s">
        <v>1938</v>
      </c>
      <c r="Z219" s="11" t="s">
        <v>1969</v>
      </c>
      <c r="AA219" s="11" t="s">
        <v>1969</v>
      </c>
      <c r="AB219" s="11" t="s">
        <v>2003</v>
      </c>
      <c r="AC219" s="11" t="s">
        <v>57</v>
      </c>
      <c r="AD219" s="11" t="s">
        <v>2067</v>
      </c>
      <c r="AE219" s="11" t="s">
        <v>13</v>
      </c>
    </row>
    <row r="220">
      <c r="B220" s="24" t="s">
        <v>1</v>
      </c>
      <c r="C220" s="12" t="s">
        <v>227</v>
      </c>
      <c r="D220" s="11" t="s">
        <v>784</v>
      </c>
      <c r="E220" s="11" t="s">
        <v>1170</v>
      </c>
      <c r="F220" s="12" t="s">
        <v>1</v>
      </c>
      <c r="G220" s="12" t="s">
        <v>1302</v>
      </c>
      <c r="H220" s="12" t="s">
        <v>1302</v>
      </c>
      <c r="I220" s="12" t="s">
        <v>1312</v>
      </c>
      <c r="J220" s="12" t="s">
        <v>1317</v>
      </c>
      <c r="K220" s="12" t="s">
        <v>1328</v>
      </c>
      <c r="L220" s="12" t="s">
        <v>1303</v>
      </c>
      <c r="M220" s="12" t="s">
        <v>0</v>
      </c>
      <c r="N220" s="13" t="s">
        <v>1539</v>
      </c>
      <c r="O220" s="11" t="s">
        <v>1326</v>
      </c>
      <c r="P220" s="11" t="s">
        <v>1871</v>
      </c>
      <c r="Q220" s="11" t="s">
        <v>1306</v>
      </c>
      <c r="R220" s="11" t="s">
        <v>1882</v>
      </c>
      <c r="S220" s="11" t="s">
        <v>0</v>
      </c>
      <c r="T220" s="11" t="s">
        <v>1307</v>
      </c>
      <c r="U220" s="11" t="s">
        <v>1888</v>
      </c>
      <c r="V220" s="11" t="s">
        <v>0</v>
      </c>
      <c r="W220" s="11" t="s">
        <v>0</v>
      </c>
      <c r="X220" s="11" t="s">
        <v>0</v>
      </c>
      <c r="Y220" s="11" t="s">
        <v>0</v>
      </c>
      <c r="Z220" s="11" t="s">
        <v>1970</v>
      </c>
      <c r="AA220" s="11" t="s">
        <v>1970</v>
      </c>
      <c r="AB220" s="11" t="s">
        <v>2003</v>
      </c>
      <c r="AC220" s="11" t="s">
        <v>53</v>
      </c>
      <c r="AD220" s="11" t="s">
        <v>2068</v>
      </c>
      <c r="AE220" s="11" t="s">
        <v>13</v>
      </c>
    </row>
    <row r="221">
      <c r="B221" s="24" t="s">
        <v>3</v>
      </c>
      <c r="C221" s="12" t="s">
        <v>228</v>
      </c>
      <c r="D221" s="11" t="s">
        <v>785</v>
      </c>
      <c r="E221" s="11" t="s">
        <v>1171</v>
      </c>
      <c r="F221" s="12" t="s">
        <v>3</v>
      </c>
      <c r="G221" s="12" t="s">
        <v>1302</v>
      </c>
      <c r="H221" s="12" t="s">
        <v>1302</v>
      </c>
      <c r="I221" s="12" t="s">
        <v>1312</v>
      </c>
      <c r="J221" s="12" t="s">
        <v>1317</v>
      </c>
      <c r="K221" s="12" t="s">
        <v>1331</v>
      </c>
      <c r="L221" s="12" t="s">
        <v>1303</v>
      </c>
      <c r="M221" s="12" t="s">
        <v>0</v>
      </c>
      <c r="N221" s="13" t="s">
        <v>1540</v>
      </c>
      <c r="O221" s="11" t="s">
        <v>1326</v>
      </c>
      <c r="P221" s="11" t="s">
        <v>1871</v>
      </c>
      <c r="Q221" s="11" t="s">
        <v>1306</v>
      </c>
      <c r="R221" s="11" t="s">
        <v>1882</v>
      </c>
      <c r="S221" s="11" t="s">
        <v>0</v>
      </c>
      <c r="T221" s="11" t="s">
        <v>1306</v>
      </c>
      <c r="U221" s="11" t="s">
        <v>0</v>
      </c>
      <c r="V221" s="11" t="s">
        <v>0</v>
      </c>
      <c r="W221" s="11" t="s">
        <v>0</v>
      </c>
      <c r="X221" s="11" t="s">
        <v>0</v>
      </c>
      <c r="Y221" s="11" t="s">
        <v>0</v>
      </c>
      <c r="Z221" s="11" t="s">
        <v>0</v>
      </c>
      <c r="AA221" s="11" t="s">
        <v>0</v>
      </c>
      <c r="AB221" s="11" t="s">
        <v>0</v>
      </c>
      <c r="AC221" s="11" t="s">
        <v>0</v>
      </c>
      <c r="AD221" s="11" t="s">
        <v>0</v>
      </c>
      <c r="AE221" s="11" t="s">
        <v>2090</v>
      </c>
    </row>
    <row r="222">
      <c r="B222" s="24" t="s">
        <v>1</v>
      </c>
      <c r="C222" s="12" t="s">
        <v>229</v>
      </c>
      <c r="D222" s="11" t="s">
        <v>786</v>
      </c>
      <c r="E222" s="11" t="s">
        <v>1172</v>
      </c>
      <c r="F222" s="12" t="s">
        <v>1275</v>
      </c>
      <c r="G222" s="12" t="s">
        <v>1302</v>
      </c>
      <c r="H222" s="12" t="s">
        <v>1302</v>
      </c>
      <c r="I222" s="12" t="s">
        <v>1311</v>
      </c>
      <c r="J222" s="12" t="s">
        <v>1317</v>
      </c>
      <c r="K222" s="12" t="s">
        <v>1326</v>
      </c>
      <c r="L222" s="12" t="s">
        <v>1303</v>
      </c>
      <c r="M222" s="12" t="s">
        <v>0</v>
      </c>
      <c r="N222" s="13" t="s">
        <v>1541</v>
      </c>
      <c r="O222" s="11" t="s">
        <v>1326</v>
      </c>
      <c r="P222" s="11" t="s">
        <v>1871</v>
      </c>
      <c r="Q222" s="11" t="s">
        <v>1306</v>
      </c>
      <c r="R222" s="11" t="s">
        <v>1882</v>
      </c>
      <c r="S222" s="11" t="s">
        <v>0</v>
      </c>
      <c r="T222" s="11" t="s">
        <v>1306</v>
      </c>
      <c r="U222" s="11" t="s">
        <v>0</v>
      </c>
      <c r="V222" s="11" t="s">
        <v>0</v>
      </c>
      <c r="W222" s="11" t="s">
        <v>0</v>
      </c>
      <c r="X222" s="11" t="s">
        <v>0</v>
      </c>
      <c r="Y222" s="11" t="s">
        <v>0</v>
      </c>
      <c r="Z222" s="11" t="s">
        <v>0</v>
      </c>
      <c r="AA222" s="11" t="s">
        <v>0</v>
      </c>
      <c r="AB222" s="11" t="s">
        <v>0</v>
      </c>
      <c r="AC222" s="11" t="s">
        <v>0</v>
      </c>
      <c r="AD222" s="11" t="s">
        <v>0</v>
      </c>
      <c r="AE222" s="11" t="s">
        <v>2090</v>
      </c>
    </row>
    <row r="223">
      <c r="B223" s="24" t="s">
        <v>1</v>
      </c>
      <c r="C223" s="12" t="s">
        <v>230</v>
      </c>
      <c r="D223" s="11" t="s">
        <v>787</v>
      </c>
      <c r="E223" s="11" t="s">
        <v>1173</v>
      </c>
      <c r="F223" s="12" t="s">
        <v>1278</v>
      </c>
      <c r="G223" s="12" t="s">
        <v>1302</v>
      </c>
      <c r="H223" s="12" t="s">
        <v>1302</v>
      </c>
      <c r="I223" s="12" t="s">
        <v>1311</v>
      </c>
      <c r="J223" s="12" t="s">
        <v>1317</v>
      </c>
      <c r="K223" s="12" t="s">
        <v>1326</v>
      </c>
      <c r="L223" s="12" t="s">
        <v>1303</v>
      </c>
      <c r="M223" s="12" t="s">
        <v>0</v>
      </c>
      <c r="N223" s="13" t="s">
        <v>1542</v>
      </c>
      <c r="O223" s="11" t="s">
        <v>1326</v>
      </c>
      <c r="P223" s="11" t="s">
        <v>1871</v>
      </c>
      <c r="Q223" s="11" t="s">
        <v>1306</v>
      </c>
      <c r="R223" s="11" t="s">
        <v>1882</v>
      </c>
      <c r="S223" s="11" t="s">
        <v>0</v>
      </c>
      <c r="T223" s="11" t="s">
        <v>1306</v>
      </c>
      <c r="U223" s="11" t="s">
        <v>0</v>
      </c>
      <c r="V223" s="11" t="s">
        <v>0</v>
      </c>
      <c r="W223" s="11" t="s">
        <v>0</v>
      </c>
      <c r="X223" s="11" t="s">
        <v>0</v>
      </c>
      <c r="Y223" s="11" t="s">
        <v>0</v>
      </c>
      <c r="Z223" s="11" t="s">
        <v>0</v>
      </c>
      <c r="AA223" s="11" t="s">
        <v>0</v>
      </c>
      <c r="AB223" s="11" t="s">
        <v>0</v>
      </c>
      <c r="AC223" s="11" t="s">
        <v>0</v>
      </c>
      <c r="AD223" s="11" t="s">
        <v>0</v>
      </c>
      <c r="AE223" s="11" t="s">
        <v>2090</v>
      </c>
    </row>
    <row r="224">
      <c r="B224" s="24" t="s">
        <v>1</v>
      </c>
      <c r="C224" s="12" t="s">
        <v>231</v>
      </c>
      <c r="D224" s="11" t="s">
        <v>788</v>
      </c>
      <c r="E224" s="11" t="s">
        <v>1174</v>
      </c>
      <c r="F224" s="12" t="s">
        <v>1272</v>
      </c>
      <c r="G224" s="12" t="s">
        <v>1302</v>
      </c>
      <c r="H224" s="12" t="s">
        <v>1302</v>
      </c>
      <c r="I224" s="12" t="s">
        <v>1312</v>
      </c>
      <c r="J224" s="12" t="s">
        <v>1317</v>
      </c>
      <c r="K224" s="12" t="s">
        <v>1331</v>
      </c>
      <c r="L224" s="12" t="s">
        <v>1303</v>
      </c>
      <c r="M224" s="12" t="s">
        <v>0</v>
      </c>
      <c r="N224" s="13" t="s">
        <v>1543</v>
      </c>
      <c r="O224" s="11" t="s">
        <v>1326</v>
      </c>
      <c r="P224" s="11" t="s">
        <v>1871</v>
      </c>
      <c r="Q224" s="11" t="s">
        <v>1306</v>
      </c>
      <c r="R224" s="11" t="s">
        <v>1882</v>
      </c>
      <c r="S224" s="11" t="s">
        <v>0</v>
      </c>
      <c r="T224" s="11" t="s">
        <v>1306</v>
      </c>
      <c r="U224" s="11" t="s">
        <v>0</v>
      </c>
      <c r="V224" s="11" t="s">
        <v>0</v>
      </c>
      <c r="W224" s="11" t="s">
        <v>0</v>
      </c>
      <c r="X224" s="11" t="s">
        <v>0</v>
      </c>
      <c r="Y224" s="11" t="s">
        <v>0</v>
      </c>
      <c r="Z224" s="11" t="s">
        <v>0</v>
      </c>
      <c r="AA224" s="11" t="s">
        <v>0</v>
      </c>
      <c r="AB224" s="11" t="s">
        <v>0</v>
      </c>
      <c r="AC224" s="11" t="s">
        <v>0</v>
      </c>
      <c r="AD224" s="11" t="s">
        <v>0</v>
      </c>
      <c r="AE224" s="11" t="s">
        <v>2090</v>
      </c>
    </row>
    <row r="225">
      <c r="B225" s="24" t="s">
        <v>1</v>
      </c>
      <c r="C225" s="12" t="s">
        <v>232</v>
      </c>
      <c r="D225" s="11" t="s">
        <v>789</v>
      </c>
      <c r="E225" s="11" t="s">
        <v>1174</v>
      </c>
      <c r="F225" s="12" t="s">
        <v>1275</v>
      </c>
      <c r="G225" s="12" t="s">
        <v>1302</v>
      </c>
      <c r="H225" s="12" t="s">
        <v>1302</v>
      </c>
      <c r="I225" s="12" t="s">
        <v>1312</v>
      </c>
      <c r="J225" s="12" t="s">
        <v>1317</v>
      </c>
      <c r="K225" s="12" t="s">
        <v>1331</v>
      </c>
      <c r="L225" s="12" t="s">
        <v>1303</v>
      </c>
      <c r="M225" s="12" t="s">
        <v>0</v>
      </c>
      <c r="N225" s="13" t="s">
        <v>1544</v>
      </c>
      <c r="O225" s="11" t="s">
        <v>1326</v>
      </c>
      <c r="P225" s="11" t="s">
        <v>1871</v>
      </c>
      <c r="Q225" s="11" t="s">
        <v>1306</v>
      </c>
      <c r="R225" s="11" t="s">
        <v>1882</v>
      </c>
      <c r="S225" s="11" t="s">
        <v>0</v>
      </c>
      <c r="T225" s="11" t="s">
        <v>1306</v>
      </c>
      <c r="U225" s="11" t="s">
        <v>0</v>
      </c>
      <c r="V225" s="11" t="s">
        <v>0</v>
      </c>
      <c r="W225" s="11" t="s">
        <v>0</v>
      </c>
      <c r="X225" s="11" t="s">
        <v>0</v>
      </c>
      <c r="Y225" s="11" t="s">
        <v>0</v>
      </c>
      <c r="Z225" s="11" t="s">
        <v>0</v>
      </c>
      <c r="AA225" s="11" t="s">
        <v>0</v>
      </c>
      <c r="AB225" s="11" t="s">
        <v>0</v>
      </c>
      <c r="AC225" s="11" t="s">
        <v>0</v>
      </c>
      <c r="AD225" s="11" t="s">
        <v>0</v>
      </c>
      <c r="AE225" s="11" t="s">
        <v>2090</v>
      </c>
    </row>
    <row r="226">
      <c r="B226" s="24" t="s">
        <v>1</v>
      </c>
      <c r="C226" s="12" t="s">
        <v>233</v>
      </c>
      <c r="D226" s="11" t="s">
        <v>790</v>
      </c>
      <c r="E226" s="11" t="s">
        <v>1174</v>
      </c>
      <c r="F226" s="12" t="s">
        <v>1291</v>
      </c>
      <c r="G226" s="12" t="s">
        <v>1302</v>
      </c>
      <c r="H226" s="12" t="s">
        <v>1302</v>
      </c>
      <c r="I226" s="12" t="s">
        <v>1312</v>
      </c>
      <c r="J226" s="12" t="s">
        <v>1317</v>
      </c>
      <c r="K226" s="12" t="s">
        <v>1331</v>
      </c>
      <c r="L226" s="12" t="s">
        <v>1303</v>
      </c>
      <c r="M226" s="12" t="s">
        <v>0</v>
      </c>
      <c r="N226" s="13" t="s">
        <v>1545</v>
      </c>
      <c r="O226" s="11" t="s">
        <v>1326</v>
      </c>
      <c r="P226" s="11" t="s">
        <v>1871</v>
      </c>
      <c r="Q226" s="11" t="s">
        <v>1306</v>
      </c>
      <c r="R226" s="11" t="s">
        <v>1882</v>
      </c>
      <c r="S226" s="11" t="s">
        <v>0</v>
      </c>
      <c r="T226" s="11" t="s">
        <v>1306</v>
      </c>
      <c r="U226" s="11" t="s">
        <v>0</v>
      </c>
      <c r="V226" s="11" t="s">
        <v>0</v>
      </c>
      <c r="W226" s="11" t="s">
        <v>0</v>
      </c>
      <c r="X226" s="11" t="s">
        <v>0</v>
      </c>
      <c r="Y226" s="11" t="s">
        <v>0</v>
      </c>
      <c r="Z226" s="11" t="s">
        <v>0</v>
      </c>
      <c r="AA226" s="11" t="s">
        <v>0</v>
      </c>
      <c r="AB226" s="11" t="s">
        <v>0</v>
      </c>
      <c r="AC226" s="11" t="s">
        <v>0</v>
      </c>
      <c r="AD226" s="11" t="s">
        <v>0</v>
      </c>
      <c r="AE226" s="11" t="s">
        <v>2090</v>
      </c>
    </row>
    <row r="227">
      <c r="B227" s="24" t="s">
        <v>4</v>
      </c>
      <c r="C227" s="12" t="s">
        <v>234</v>
      </c>
      <c r="D227" s="11" t="s">
        <v>791</v>
      </c>
      <c r="E227" s="11" t="s">
        <v>1175</v>
      </c>
      <c r="F227" s="12" t="s">
        <v>4</v>
      </c>
      <c r="G227" s="12" t="s">
        <v>1302</v>
      </c>
      <c r="H227" s="12" t="s">
        <v>1302</v>
      </c>
      <c r="I227" s="12" t="s">
        <v>1311</v>
      </c>
      <c r="J227" s="12" t="s">
        <v>1175</v>
      </c>
      <c r="K227" s="12" t="s">
        <v>1326</v>
      </c>
      <c r="L227" s="12" t="s">
        <v>1303</v>
      </c>
      <c r="M227" s="12" t="s">
        <v>0</v>
      </c>
      <c r="N227" s="13" t="s">
        <v>0</v>
      </c>
      <c r="O227" s="11" t="s">
        <v>1326</v>
      </c>
      <c r="P227" s="11" t="s">
        <v>1876</v>
      </c>
      <c r="Q227" s="11" t="s">
        <v>1306</v>
      </c>
      <c r="R227" s="11" t="s">
        <v>1882</v>
      </c>
      <c r="S227" s="11" t="s">
        <v>0</v>
      </c>
      <c r="T227" s="11" t="s">
        <v>1306</v>
      </c>
      <c r="U227" s="11" t="s">
        <v>0</v>
      </c>
      <c r="V227" s="11" t="s">
        <v>0</v>
      </c>
      <c r="W227" s="11" t="s">
        <v>0</v>
      </c>
      <c r="X227" s="11" t="s">
        <v>0</v>
      </c>
      <c r="Y227" s="11" t="s">
        <v>0</v>
      </c>
      <c r="Z227" s="11" t="s">
        <v>0</v>
      </c>
      <c r="AA227" s="11" t="s">
        <v>0</v>
      </c>
      <c r="AB227" s="11" t="s">
        <v>0</v>
      </c>
      <c r="AC227" s="11" t="s">
        <v>0</v>
      </c>
      <c r="AD227" s="11" t="s">
        <v>0</v>
      </c>
      <c r="AE227" s="11" t="s">
        <v>2090</v>
      </c>
    </row>
    <row r="228">
      <c r="B228" s="24" t="s">
        <v>1</v>
      </c>
      <c r="C228" s="12" t="s">
        <v>235</v>
      </c>
      <c r="D228" s="11" t="s">
        <v>792</v>
      </c>
      <c r="E228" s="11" t="s">
        <v>1175</v>
      </c>
      <c r="F228" s="12" t="s">
        <v>1280</v>
      </c>
      <c r="G228" s="12" t="s">
        <v>1302</v>
      </c>
      <c r="H228" s="12" t="s">
        <v>1302</v>
      </c>
      <c r="I228" s="12" t="s">
        <v>1311</v>
      </c>
      <c r="J228" s="12" t="s">
        <v>1175</v>
      </c>
      <c r="K228" s="12" t="s">
        <v>1326</v>
      </c>
      <c r="L228" s="12" t="s">
        <v>1303</v>
      </c>
      <c r="M228" s="12" t="s">
        <v>0</v>
      </c>
      <c r="N228" s="13" t="s">
        <v>0</v>
      </c>
      <c r="O228" s="11" t="s">
        <v>1326</v>
      </c>
      <c r="P228" s="11" t="s">
        <v>1876</v>
      </c>
      <c r="Q228" s="11" t="s">
        <v>1306</v>
      </c>
      <c r="R228" s="11" t="s">
        <v>1882</v>
      </c>
      <c r="S228" s="11" t="s">
        <v>0</v>
      </c>
      <c r="T228" s="11" t="s">
        <v>1306</v>
      </c>
      <c r="U228" s="11" t="s">
        <v>0</v>
      </c>
      <c r="V228" s="11" t="s">
        <v>0</v>
      </c>
      <c r="W228" s="11" t="s">
        <v>0</v>
      </c>
      <c r="X228" s="11" t="s">
        <v>0</v>
      </c>
      <c r="Y228" s="11" t="s">
        <v>0</v>
      </c>
      <c r="Z228" s="11" t="s">
        <v>0</v>
      </c>
      <c r="AA228" s="11" t="s">
        <v>0</v>
      </c>
      <c r="AB228" s="11" t="s">
        <v>0</v>
      </c>
      <c r="AC228" s="11" t="s">
        <v>0</v>
      </c>
      <c r="AD228" s="11" t="s">
        <v>0</v>
      </c>
      <c r="AE228" s="11" t="s">
        <v>2090</v>
      </c>
    </row>
    <row r="229">
      <c r="B229" s="24" t="s">
        <v>1</v>
      </c>
      <c r="C229" s="12" t="s">
        <v>236</v>
      </c>
      <c r="D229" s="11" t="s">
        <v>793</v>
      </c>
      <c r="E229" s="11" t="s">
        <v>1175</v>
      </c>
      <c r="F229" s="12" t="s">
        <v>1291</v>
      </c>
      <c r="G229" s="12" t="s">
        <v>1302</v>
      </c>
      <c r="H229" s="12" t="s">
        <v>1302</v>
      </c>
      <c r="I229" s="12" t="s">
        <v>1311</v>
      </c>
      <c r="J229" s="12" t="s">
        <v>1175</v>
      </c>
      <c r="K229" s="12" t="s">
        <v>1326</v>
      </c>
      <c r="L229" s="12" t="s">
        <v>1303</v>
      </c>
      <c r="M229" s="12" t="s">
        <v>0</v>
      </c>
      <c r="N229" s="13" t="s">
        <v>0</v>
      </c>
      <c r="O229" s="11" t="s">
        <v>1326</v>
      </c>
      <c r="P229" s="11" t="s">
        <v>1876</v>
      </c>
      <c r="Q229" s="11" t="s">
        <v>1306</v>
      </c>
      <c r="R229" s="11" t="s">
        <v>1882</v>
      </c>
      <c r="S229" s="11" t="s">
        <v>0</v>
      </c>
      <c r="T229" s="11" t="s">
        <v>1306</v>
      </c>
      <c r="U229" s="11" t="s">
        <v>0</v>
      </c>
      <c r="V229" s="11" t="s">
        <v>0</v>
      </c>
      <c r="W229" s="11" t="s">
        <v>0</v>
      </c>
      <c r="X229" s="11" t="s">
        <v>0</v>
      </c>
      <c r="Y229" s="11" t="s">
        <v>0</v>
      </c>
      <c r="Z229" s="11" t="s">
        <v>0</v>
      </c>
      <c r="AA229" s="11" t="s">
        <v>0</v>
      </c>
      <c r="AB229" s="11" t="s">
        <v>0</v>
      </c>
      <c r="AC229" s="11" t="s">
        <v>0</v>
      </c>
      <c r="AD229" s="11" t="s">
        <v>0</v>
      </c>
      <c r="AE229" s="11" t="s">
        <v>2090</v>
      </c>
    </row>
    <row r="230">
      <c r="B230" s="24" t="s">
        <v>1</v>
      </c>
      <c r="C230" s="12" t="s">
        <v>237</v>
      </c>
      <c r="D230" s="11" t="s">
        <v>794</v>
      </c>
      <c r="E230" s="11" t="s">
        <v>1175</v>
      </c>
      <c r="F230" s="12" t="s">
        <v>1283</v>
      </c>
      <c r="G230" s="12" t="s">
        <v>1302</v>
      </c>
      <c r="H230" s="12" t="s">
        <v>1302</v>
      </c>
      <c r="I230" s="12" t="s">
        <v>1311</v>
      </c>
      <c r="J230" s="12" t="s">
        <v>1175</v>
      </c>
      <c r="K230" s="12" t="s">
        <v>1326</v>
      </c>
      <c r="L230" s="12" t="s">
        <v>1303</v>
      </c>
      <c r="M230" s="12" t="s">
        <v>0</v>
      </c>
      <c r="N230" s="13" t="s">
        <v>0</v>
      </c>
      <c r="O230" s="11" t="s">
        <v>1326</v>
      </c>
      <c r="P230" s="11" t="s">
        <v>1876</v>
      </c>
      <c r="Q230" s="11" t="s">
        <v>1306</v>
      </c>
      <c r="R230" s="11" t="s">
        <v>1882</v>
      </c>
      <c r="S230" s="11" t="s">
        <v>0</v>
      </c>
      <c r="T230" s="11" t="s">
        <v>1306</v>
      </c>
      <c r="U230" s="11" t="s">
        <v>0</v>
      </c>
      <c r="V230" s="11" t="s">
        <v>0</v>
      </c>
      <c r="W230" s="11" t="s">
        <v>0</v>
      </c>
      <c r="X230" s="11" t="s">
        <v>0</v>
      </c>
      <c r="Y230" s="11" t="s">
        <v>0</v>
      </c>
      <c r="Z230" s="11" t="s">
        <v>0</v>
      </c>
      <c r="AA230" s="11" t="s">
        <v>0</v>
      </c>
      <c r="AB230" s="11" t="s">
        <v>0</v>
      </c>
      <c r="AC230" s="11" t="s">
        <v>0</v>
      </c>
      <c r="AD230" s="11" t="s">
        <v>0</v>
      </c>
      <c r="AE230" s="11" t="s">
        <v>2090</v>
      </c>
    </row>
    <row r="231">
      <c r="B231" s="24" t="s">
        <v>1</v>
      </c>
      <c r="C231" s="12" t="s">
        <v>238</v>
      </c>
      <c r="D231" s="11" t="s">
        <v>795</v>
      </c>
      <c r="E231" s="11" t="s">
        <v>1175</v>
      </c>
      <c r="F231" s="12" t="s">
        <v>1284</v>
      </c>
      <c r="G231" s="12" t="s">
        <v>1302</v>
      </c>
      <c r="H231" s="12" t="s">
        <v>1302</v>
      </c>
      <c r="I231" s="12" t="s">
        <v>1311</v>
      </c>
      <c r="J231" s="12" t="s">
        <v>1175</v>
      </c>
      <c r="K231" s="12" t="s">
        <v>1326</v>
      </c>
      <c r="L231" s="12" t="s">
        <v>1303</v>
      </c>
      <c r="M231" s="12" t="s">
        <v>0</v>
      </c>
      <c r="N231" s="13" t="s">
        <v>1546</v>
      </c>
      <c r="O231" s="11" t="s">
        <v>1326</v>
      </c>
      <c r="P231" s="11" t="s">
        <v>1876</v>
      </c>
      <c r="Q231" s="11" t="s">
        <v>1306</v>
      </c>
      <c r="R231" s="11" t="s">
        <v>1882</v>
      </c>
      <c r="S231" s="11" t="s">
        <v>0</v>
      </c>
      <c r="T231" s="11" t="s">
        <v>1306</v>
      </c>
      <c r="U231" s="11" t="s">
        <v>0</v>
      </c>
      <c r="V231" s="11" t="s">
        <v>0</v>
      </c>
      <c r="W231" s="11" t="s">
        <v>0</v>
      </c>
      <c r="X231" s="11" t="s">
        <v>0</v>
      </c>
      <c r="Y231" s="11" t="s">
        <v>0</v>
      </c>
      <c r="Z231" s="11" t="s">
        <v>0</v>
      </c>
      <c r="AA231" s="11" t="s">
        <v>0</v>
      </c>
      <c r="AB231" s="11" t="s">
        <v>0</v>
      </c>
      <c r="AC231" s="11" t="s">
        <v>0</v>
      </c>
      <c r="AD231" s="11" t="s">
        <v>0</v>
      </c>
      <c r="AE231" s="11" t="s">
        <v>2090</v>
      </c>
    </row>
    <row r="232">
      <c r="B232" s="24" t="s">
        <v>1</v>
      </c>
      <c r="C232" s="12" t="s">
        <v>239</v>
      </c>
      <c r="D232" s="11" t="s">
        <v>796</v>
      </c>
      <c r="E232" s="11" t="s">
        <v>1175</v>
      </c>
      <c r="F232" s="12" t="s">
        <v>1284</v>
      </c>
      <c r="G232" s="12" t="s">
        <v>1302</v>
      </c>
      <c r="H232" s="12" t="s">
        <v>1302</v>
      </c>
      <c r="I232" s="12" t="s">
        <v>1311</v>
      </c>
      <c r="J232" s="12" t="s">
        <v>1175</v>
      </c>
      <c r="K232" s="12" t="s">
        <v>1326</v>
      </c>
      <c r="L232" s="12" t="s">
        <v>1303</v>
      </c>
      <c r="M232" s="12" t="s">
        <v>0</v>
      </c>
      <c r="N232" s="13" t="s">
        <v>1547</v>
      </c>
      <c r="O232" s="11" t="s">
        <v>1326</v>
      </c>
      <c r="P232" s="11" t="s">
        <v>1876</v>
      </c>
      <c r="Q232" s="11" t="s">
        <v>1306</v>
      </c>
      <c r="R232" s="11" t="s">
        <v>1882</v>
      </c>
      <c r="S232" s="11" t="s">
        <v>0</v>
      </c>
      <c r="T232" s="11" t="s">
        <v>1306</v>
      </c>
      <c r="U232" s="11" t="s">
        <v>0</v>
      </c>
      <c r="V232" s="11" t="s">
        <v>0</v>
      </c>
      <c r="W232" s="11" t="s">
        <v>0</v>
      </c>
      <c r="X232" s="11" t="s">
        <v>0</v>
      </c>
      <c r="Y232" s="11" t="s">
        <v>0</v>
      </c>
      <c r="Z232" s="11" t="s">
        <v>0</v>
      </c>
      <c r="AA232" s="11" t="s">
        <v>0</v>
      </c>
      <c r="AB232" s="11" t="s">
        <v>0</v>
      </c>
      <c r="AC232" s="11" t="s">
        <v>0</v>
      </c>
      <c r="AD232" s="11" t="s">
        <v>0</v>
      </c>
      <c r="AE232" s="11" t="s">
        <v>2090</v>
      </c>
    </row>
    <row r="233">
      <c r="B233" s="24" t="s">
        <v>3</v>
      </c>
      <c r="C233" s="12" t="s">
        <v>240</v>
      </c>
      <c r="D233" s="11" t="s">
        <v>797</v>
      </c>
      <c r="E233" s="11" t="s">
        <v>1175</v>
      </c>
      <c r="F233" s="12" t="s">
        <v>3</v>
      </c>
      <c r="G233" s="12" t="s">
        <v>1302</v>
      </c>
      <c r="H233" s="12" t="s">
        <v>1302</v>
      </c>
      <c r="I233" s="12" t="s">
        <v>1311</v>
      </c>
      <c r="J233" s="12" t="s">
        <v>1175</v>
      </c>
      <c r="K233" s="12" t="s">
        <v>1326</v>
      </c>
      <c r="L233" s="12" t="s">
        <v>1303</v>
      </c>
      <c r="M233" s="12" t="s">
        <v>0</v>
      </c>
      <c r="N233" s="13" t="s">
        <v>1548</v>
      </c>
      <c r="O233" s="11" t="s">
        <v>1326</v>
      </c>
      <c r="P233" s="11" t="s">
        <v>1876</v>
      </c>
      <c r="Q233" s="11" t="s">
        <v>1307</v>
      </c>
      <c r="R233" s="11" t="s">
        <v>1882</v>
      </c>
      <c r="S233" s="11" t="s">
        <v>0</v>
      </c>
      <c r="T233" s="11" t="s">
        <v>1307</v>
      </c>
      <c r="U233" s="11" t="s">
        <v>1890</v>
      </c>
      <c r="V233" s="11" t="s">
        <v>1896</v>
      </c>
      <c r="W233" s="11" t="s">
        <v>0</v>
      </c>
      <c r="X233" s="11" t="s">
        <v>0</v>
      </c>
      <c r="Y233" s="11" t="s">
        <v>0</v>
      </c>
      <c r="Z233" s="11" t="s">
        <v>0</v>
      </c>
      <c r="AA233" s="11" t="s">
        <v>0</v>
      </c>
      <c r="AB233" s="11" t="s">
        <v>0</v>
      </c>
      <c r="AC233" s="11" t="s">
        <v>0</v>
      </c>
      <c r="AD233" s="11" t="s">
        <v>0</v>
      </c>
      <c r="AE233" s="11" t="s">
        <v>13</v>
      </c>
    </row>
    <row r="234">
      <c r="B234" s="24" t="s">
        <v>6</v>
      </c>
      <c r="C234" s="12" t="s">
        <v>241</v>
      </c>
      <c r="D234" s="11" t="s">
        <v>798</v>
      </c>
      <c r="E234" s="11" t="s">
        <v>1175</v>
      </c>
      <c r="F234" s="12" t="s">
        <v>6</v>
      </c>
      <c r="G234" s="12" t="s">
        <v>1302</v>
      </c>
      <c r="H234" s="12" t="s">
        <v>1302</v>
      </c>
      <c r="I234" s="12" t="s">
        <v>1311</v>
      </c>
      <c r="J234" s="12" t="s">
        <v>1175</v>
      </c>
      <c r="K234" s="12" t="s">
        <v>1326</v>
      </c>
      <c r="L234" s="12" t="s">
        <v>1303</v>
      </c>
      <c r="M234" s="12" t="s">
        <v>0</v>
      </c>
      <c r="N234" s="13" t="s">
        <v>1549</v>
      </c>
      <c r="O234" s="11" t="s">
        <v>1326</v>
      </c>
      <c r="P234" s="11" t="s">
        <v>1876</v>
      </c>
      <c r="Q234" s="11" t="s">
        <v>1306</v>
      </c>
      <c r="R234" s="11" t="s">
        <v>1882</v>
      </c>
      <c r="S234" s="11" t="s">
        <v>0</v>
      </c>
      <c r="T234" s="11" t="s">
        <v>1306</v>
      </c>
      <c r="U234" s="11" t="s">
        <v>0</v>
      </c>
      <c r="V234" s="11" t="s">
        <v>0</v>
      </c>
      <c r="W234" s="11" t="s">
        <v>0</v>
      </c>
      <c r="X234" s="11" t="s">
        <v>0</v>
      </c>
      <c r="Y234" s="11" t="s">
        <v>0</v>
      </c>
      <c r="Z234" s="11" t="s">
        <v>0</v>
      </c>
      <c r="AA234" s="11" t="s">
        <v>0</v>
      </c>
      <c r="AB234" s="11" t="s">
        <v>0</v>
      </c>
      <c r="AC234" s="11" t="s">
        <v>0</v>
      </c>
      <c r="AD234" s="11" t="s">
        <v>0</v>
      </c>
      <c r="AE234" s="11" t="s">
        <v>2090</v>
      </c>
    </row>
    <row r="235">
      <c r="B235" s="24" t="s">
        <v>1</v>
      </c>
      <c r="C235" s="12" t="s">
        <v>242</v>
      </c>
      <c r="D235" s="11" t="s">
        <v>799</v>
      </c>
      <c r="E235" s="11" t="s">
        <v>1175</v>
      </c>
      <c r="F235" s="12" t="s">
        <v>1275</v>
      </c>
      <c r="G235" s="12" t="s">
        <v>1302</v>
      </c>
      <c r="H235" s="12" t="s">
        <v>1302</v>
      </c>
      <c r="I235" s="12" t="s">
        <v>1311</v>
      </c>
      <c r="J235" s="12" t="s">
        <v>1175</v>
      </c>
      <c r="K235" s="12" t="s">
        <v>1326</v>
      </c>
      <c r="L235" s="12" t="s">
        <v>1303</v>
      </c>
      <c r="M235" s="12" t="s">
        <v>0</v>
      </c>
      <c r="N235" s="13" t="s">
        <v>1550</v>
      </c>
      <c r="O235" s="11" t="s">
        <v>1326</v>
      </c>
      <c r="P235" s="11" t="s">
        <v>1876</v>
      </c>
      <c r="Q235" s="11" t="s">
        <v>1306</v>
      </c>
      <c r="R235" s="11" t="s">
        <v>1882</v>
      </c>
      <c r="S235" s="11" t="s">
        <v>0</v>
      </c>
      <c r="T235" s="11" t="s">
        <v>1306</v>
      </c>
      <c r="U235" s="11" t="s">
        <v>0</v>
      </c>
      <c r="V235" s="11" t="s">
        <v>0</v>
      </c>
      <c r="W235" s="11" t="s">
        <v>0</v>
      </c>
      <c r="X235" s="11" t="s">
        <v>0</v>
      </c>
      <c r="Y235" s="11" t="s">
        <v>0</v>
      </c>
      <c r="Z235" s="11" t="s">
        <v>0</v>
      </c>
      <c r="AA235" s="11" t="s">
        <v>0</v>
      </c>
      <c r="AB235" s="11" t="s">
        <v>0</v>
      </c>
      <c r="AC235" s="11" t="s">
        <v>0</v>
      </c>
      <c r="AD235" s="11" t="s">
        <v>0</v>
      </c>
      <c r="AE235" s="11" t="s">
        <v>2090</v>
      </c>
    </row>
    <row r="236">
      <c r="B236" s="24" t="s">
        <v>1</v>
      </c>
      <c r="C236" s="12" t="s">
        <v>243</v>
      </c>
      <c r="D236" s="11" t="s">
        <v>800</v>
      </c>
      <c r="E236" s="11" t="s">
        <v>1175</v>
      </c>
      <c r="F236" s="12" t="s">
        <v>1278</v>
      </c>
      <c r="G236" s="12" t="s">
        <v>1302</v>
      </c>
      <c r="H236" s="12" t="s">
        <v>1302</v>
      </c>
      <c r="I236" s="12" t="s">
        <v>1311</v>
      </c>
      <c r="J236" s="12" t="s">
        <v>1175</v>
      </c>
      <c r="K236" s="12" t="s">
        <v>1326</v>
      </c>
      <c r="L236" s="12" t="s">
        <v>1303</v>
      </c>
      <c r="M236" s="12" t="s">
        <v>0</v>
      </c>
      <c r="N236" s="13" t="s">
        <v>1551</v>
      </c>
      <c r="O236" s="11" t="s">
        <v>1326</v>
      </c>
      <c r="P236" s="11" t="s">
        <v>1876</v>
      </c>
      <c r="Q236" s="11" t="s">
        <v>1306</v>
      </c>
      <c r="R236" s="11" t="s">
        <v>1882</v>
      </c>
      <c r="S236" s="11" t="s">
        <v>0</v>
      </c>
      <c r="T236" s="11" t="s">
        <v>1306</v>
      </c>
      <c r="U236" s="11" t="s">
        <v>0</v>
      </c>
      <c r="V236" s="11" t="s">
        <v>0</v>
      </c>
      <c r="W236" s="11" t="s">
        <v>0</v>
      </c>
      <c r="X236" s="11" t="s">
        <v>0</v>
      </c>
      <c r="Y236" s="11" t="s">
        <v>0</v>
      </c>
      <c r="Z236" s="11" t="s">
        <v>0</v>
      </c>
      <c r="AA236" s="11" t="s">
        <v>0</v>
      </c>
      <c r="AB236" s="11" t="s">
        <v>0</v>
      </c>
      <c r="AC236" s="11" t="s">
        <v>0</v>
      </c>
      <c r="AD236" s="11" t="s">
        <v>0</v>
      </c>
      <c r="AE236" s="11" t="s">
        <v>2090</v>
      </c>
    </row>
    <row r="237">
      <c r="B237" s="24" t="s">
        <v>1</v>
      </c>
      <c r="C237" s="12" t="s">
        <v>244</v>
      </c>
      <c r="D237" s="11" t="s">
        <v>801</v>
      </c>
      <c r="E237" s="11" t="s">
        <v>1175</v>
      </c>
      <c r="F237" s="12" t="s">
        <v>1272</v>
      </c>
      <c r="G237" s="12" t="s">
        <v>1302</v>
      </c>
      <c r="H237" s="12" t="s">
        <v>1302</v>
      </c>
      <c r="I237" s="12" t="s">
        <v>1311</v>
      </c>
      <c r="J237" s="12" t="s">
        <v>1175</v>
      </c>
      <c r="K237" s="12" t="s">
        <v>1326</v>
      </c>
      <c r="L237" s="12" t="s">
        <v>1303</v>
      </c>
      <c r="M237" s="12" t="s">
        <v>0</v>
      </c>
      <c r="N237" s="13" t="s">
        <v>1552</v>
      </c>
      <c r="O237" s="11" t="s">
        <v>1326</v>
      </c>
      <c r="P237" s="11" t="s">
        <v>1876</v>
      </c>
      <c r="Q237" s="11" t="s">
        <v>1306</v>
      </c>
      <c r="R237" s="11" t="s">
        <v>1882</v>
      </c>
      <c r="S237" s="11" t="s">
        <v>0</v>
      </c>
      <c r="T237" s="11" t="s">
        <v>1306</v>
      </c>
      <c r="U237" s="11" t="s">
        <v>0</v>
      </c>
      <c r="V237" s="11" t="s">
        <v>0</v>
      </c>
      <c r="W237" s="11" t="s">
        <v>0</v>
      </c>
      <c r="X237" s="11" t="s">
        <v>0</v>
      </c>
      <c r="Y237" s="11" t="s">
        <v>0</v>
      </c>
      <c r="Z237" s="11" t="s">
        <v>0</v>
      </c>
      <c r="AA237" s="11" t="s">
        <v>0</v>
      </c>
      <c r="AB237" s="11" t="s">
        <v>0</v>
      </c>
      <c r="AC237" s="11" t="s">
        <v>0</v>
      </c>
      <c r="AD237" s="11" t="s">
        <v>0</v>
      </c>
      <c r="AE237" s="11" t="s">
        <v>2090</v>
      </c>
    </row>
    <row r="238">
      <c r="B238" s="24" t="s">
        <v>1</v>
      </c>
      <c r="C238" s="12" t="s">
        <v>245</v>
      </c>
      <c r="D238" s="11" t="s">
        <v>802</v>
      </c>
      <c r="E238" s="11" t="s">
        <v>1175</v>
      </c>
      <c r="F238" s="12" t="s">
        <v>1275</v>
      </c>
      <c r="G238" s="12" t="s">
        <v>1302</v>
      </c>
      <c r="H238" s="12" t="s">
        <v>1302</v>
      </c>
      <c r="I238" s="12" t="s">
        <v>1311</v>
      </c>
      <c r="J238" s="12" t="s">
        <v>1175</v>
      </c>
      <c r="K238" s="12" t="s">
        <v>1326</v>
      </c>
      <c r="L238" s="12" t="s">
        <v>1303</v>
      </c>
      <c r="M238" s="12" t="s">
        <v>0</v>
      </c>
      <c r="N238" s="13" t="s">
        <v>1553</v>
      </c>
      <c r="O238" s="11" t="s">
        <v>1326</v>
      </c>
      <c r="P238" s="11" t="s">
        <v>1876</v>
      </c>
      <c r="Q238" s="11" t="s">
        <v>1306</v>
      </c>
      <c r="R238" s="11" t="s">
        <v>1882</v>
      </c>
      <c r="S238" s="11" t="s">
        <v>0</v>
      </c>
      <c r="T238" s="11" t="s">
        <v>1306</v>
      </c>
      <c r="U238" s="11" t="s">
        <v>0</v>
      </c>
      <c r="V238" s="11" t="s">
        <v>0</v>
      </c>
      <c r="W238" s="11" t="s">
        <v>0</v>
      </c>
      <c r="X238" s="11" t="s">
        <v>0</v>
      </c>
      <c r="Y238" s="11" t="s">
        <v>0</v>
      </c>
      <c r="Z238" s="11" t="s">
        <v>0</v>
      </c>
      <c r="AA238" s="11" t="s">
        <v>0</v>
      </c>
      <c r="AB238" s="11" t="s">
        <v>0</v>
      </c>
      <c r="AC238" s="11" t="s">
        <v>0</v>
      </c>
      <c r="AD238" s="11" t="s">
        <v>0</v>
      </c>
      <c r="AE238" s="11" t="s">
        <v>2090</v>
      </c>
    </row>
    <row r="239">
      <c r="B239" s="24" t="s">
        <v>1</v>
      </c>
      <c r="C239" s="12" t="s">
        <v>246</v>
      </c>
      <c r="D239" s="11" t="s">
        <v>803</v>
      </c>
      <c r="E239" s="11" t="s">
        <v>1175</v>
      </c>
      <c r="F239" s="12" t="s">
        <v>1291</v>
      </c>
      <c r="G239" s="12" t="s">
        <v>1302</v>
      </c>
      <c r="H239" s="12" t="s">
        <v>1302</v>
      </c>
      <c r="I239" s="12" t="s">
        <v>1311</v>
      </c>
      <c r="J239" s="12" t="s">
        <v>1175</v>
      </c>
      <c r="K239" s="12" t="s">
        <v>1326</v>
      </c>
      <c r="L239" s="12" t="s">
        <v>1303</v>
      </c>
      <c r="M239" s="12" t="s">
        <v>0</v>
      </c>
      <c r="N239" s="13" t="s">
        <v>1554</v>
      </c>
      <c r="O239" s="11" t="s">
        <v>1326</v>
      </c>
      <c r="P239" s="11" t="s">
        <v>1876</v>
      </c>
      <c r="Q239" s="11" t="s">
        <v>1306</v>
      </c>
      <c r="R239" s="11" t="s">
        <v>1882</v>
      </c>
      <c r="S239" s="11" t="s">
        <v>0</v>
      </c>
      <c r="T239" s="11" t="s">
        <v>1306</v>
      </c>
      <c r="U239" s="11" t="s">
        <v>0</v>
      </c>
      <c r="V239" s="11" t="s">
        <v>0</v>
      </c>
      <c r="W239" s="11" t="s">
        <v>0</v>
      </c>
      <c r="X239" s="11" t="s">
        <v>0</v>
      </c>
      <c r="Y239" s="11" t="s">
        <v>0</v>
      </c>
      <c r="Z239" s="11" t="s">
        <v>0</v>
      </c>
      <c r="AA239" s="11" t="s">
        <v>0</v>
      </c>
      <c r="AB239" s="11" t="s">
        <v>0</v>
      </c>
      <c r="AC239" s="11" t="s">
        <v>0</v>
      </c>
      <c r="AD239" s="11" t="s">
        <v>0</v>
      </c>
      <c r="AE239" s="11" t="s">
        <v>2090</v>
      </c>
    </row>
    <row r="240">
      <c r="B240" s="24" t="s">
        <v>1</v>
      </c>
      <c r="C240" s="12" t="s">
        <v>247</v>
      </c>
      <c r="D240" s="11" t="s">
        <v>804</v>
      </c>
      <c r="E240" s="11" t="s">
        <v>1175</v>
      </c>
      <c r="F240" s="12" t="s">
        <v>1296</v>
      </c>
      <c r="G240" s="12" t="s">
        <v>1302</v>
      </c>
      <c r="H240" s="12" t="s">
        <v>1302</v>
      </c>
      <c r="I240" s="12" t="s">
        <v>1311</v>
      </c>
      <c r="J240" s="12" t="s">
        <v>1175</v>
      </c>
      <c r="K240" s="12" t="s">
        <v>1326</v>
      </c>
      <c r="L240" s="12" t="s">
        <v>1303</v>
      </c>
      <c r="M240" s="12" t="s">
        <v>0</v>
      </c>
      <c r="N240" s="13" t="s">
        <v>1555</v>
      </c>
      <c r="O240" s="11" t="s">
        <v>1326</v>
      </c>
      <c r="P240" s="11" t="s">
        <v>1876</v>
      </c>
      <c r="Q240" s="11" t="s">
        <v>1306</v>
      </c>
      <c r="R240" s="11" t="s">
        <v>1882</v>
      </c>
      <c r="S240" s="11" t="s">
        <v>0</v>
      </c>
      <c r="T240" s="11" t="s">
        <v>1306</v>
      </c>
      <c r="U240" s="11" t="s">
        <v>0</v>
      </c>
      <c r="V240" s="11" t="s">
        <v>0</v>
      </c>
      <c r="W240" s="11" t="s">
        <v>0</v>
      </c>
      <c r="X240" s="11" t="s">
        <v>0</v>
      </c>
      <c r="Y240" s="11" t="s">
        <v>0</v>
      </c>
      <c r="Z240" s="11" t="s">
        <v>0</v>
      </c>
      <c r="AA240" s="11" t="s">
        <v>0</v>
      </c>
      <c r="AB240" s="11" t="s">
        <v>0</v>
      </c>
      <c r="AC240" s="11" t="s">
        <v>0</v>
      </c>
      <c r="AD240" s="11" t="s">
        <v>0</v>
      </c>
      <c r="AE240" s="11" t="s">
        <v>2090</v>
      </c>
    </row>
    <row r="241">
      <c r="B241" s="24" t="s">
        <v>1</v>
      </c>
      <c r="C241" s="12" t="s">
        <v>248</v>
      </c>
      <c r="D241" s="11" t="s">
        <v>805</v>
      </c>
      <c r="E241" s="11" t="s">
        <v>1175</v>
      </c>
      <c r="F241" s="12" t="s">
        <v>1286</v>
      </c>
      <c r="G241" s="12" t="s">
        <v>1302</v>
      </c>
      <c r="H241" s="12" t="s">
        <v>1302</v>
      </c>
      <c r="I241" s="12" t="s">
        <v>1311</v>
      </c>
      <c r="J241" s="12" t="s">
        <v>1175</v>
      </c>
      <c r="K241" s="12" t="s">
        <v>1326</v>
      </c>
      <c r="L241" s="12" t="s">
        <v>1303</v>
      </c>
      <c r="M241" s="12" t="s">
        <v>0</v>
      </c>
      <c r="N241" s="13" t="s">
        <v>1556</v>
      </c>
      <c r="O241" s="11" t="s">
        <v>1326</v>
      </c>
      <c r="P241" s="11" t="s">
        <v>1876</v>
      </c>
      <c r="Q241" s="11" t="s">
        <v>1306</v>
      </c>
      <c r="R241" s="11" t="s">
        <v>1882</v>
      </c>
      <c r="S241" s="11" t="s">
        <v>0</v>
      </c>
      <c r="T241" s="11" t="s">
        <v>1306</v>
      </c>
      <c r="U241" s="11" t="s">
        <v>0</v>
      </c>
      <c r="V241" s="11" t="s">
        <v>0</v>
      </c>
      <c r="W241" s="11" t="s">
        <v>0</v>
      </c>
      <c r="X241" s="11" t="s">
        <v>0</v>
      </c>
      <c r="Y241" s="11" t="s">
        <v>0</v>
      </c>
      <c r="Z241" s="11" t="s">
        <v>0</v>
      </c>
      <c r="AA241" s="11" t="s">
        <v>0</v>
      </c>
      <c r="AB241" s="11" t="s">
        <v>0</v>
      </c>
      <c r="AC241" s="11" t="s">
        <v>0</v>
      </c>
      <c r="AD241" s="11" t="s">
        <v>0</v>
      </c>
      <c r="AE241" s="11" t="s">
        <v>2090</v>
      </c>
    </row>
    <row r="242">
      <c r="B242" s="24" t="s">
        <v>1</v>
      </c>
      <c r="C242" s="12" t="s">
        <v>249</v>
      </c>
      <c r="D242" s="11" t="s">
        <v>806</v>
      </c>
      <c r="E242" s="11" t="s">
        <v>1175</v>
      </c>
      <c r="F242" s="12" t="s">
        <v>1273</v>
      </c>
      <c r="G242" s="12" t="s">
        <v>1302</v>
      </c>
      <c r="H242" s="12" t="s">
        <v>1302</v>
      </c>
      <c r="I242" s="12" t="s">
        <v>1311</v>
      </c>
      <c r="J242" s="12" t="s">
        <v>1175</v>
      </c>
      <c r="K242" s="12" t="s">
        <v>1326</v>
      </c>
      <c r="L242" s="12" t="s">
        <v>1303</v>
      </c>
      <c r="M242" s="12" t="s">
        <v>0</v>
      </c>
      <c r="N242" s="13" t="s">
        <v>1557</v>
      </c>
      <c r="O242" s="11" t="s">
        <v>1326</v>
      </c>
      <c r="P242" s="11" t="s">
        <v>1876</v>
      </c>
      <c r="Q242" s="11" t="s">
        <v>1306</v>
      </c>
      <c r="R242" s="11" t="s">
        <v>1882</v>
      </c>
      <c r="S242" s="11" t="s">
        <v>0</v>
      </c>
      <c r="T242" s="11" t="s">
        <v>1306</v>
      </c>
      <c r="U242" s="11" t="s">
        <v>0</v>
      </c>
      <c r="V242" s="11" t="s">
        <v>0</v>
      </c>
      <c r="W242" s="11" t="s">
        <v>0</v>
      </c>
      <c r="X242" s="11" t="s">
        <v>0</v>
      </c>
      <c r="Y242" s="11" t="s">
        <v>0</v>
      </c>
      <c r="Z242" s="11" t="s">
        <v>0</v>
      </c>
      <c r="AA242" s="11" t="s">
        <v>0</v>
      </c>
      <c r="AB242" s="11" t="s">
        <v>0</v>
      </c>
      <c r="AC242" s="11" t="s">
        <v>0</v>
      </c>
      <c r="AD242" s="11" t="s">
        <v>0</v>
      </c>
      <c r="AE242" s="11" t="s">
        <v>2090</v>
      </c>
    </row>
    <row r="243">
      <c r="B243" s="24" t="s">
        <v>1</v>
      </c>
      <c r="C243" s="12" t="s">
        <v>250</v>
      </c>
      <c r="D243" s="11" t="s">
        <v>807</v>
      </c>
      <c r="E243" s="11" t="s">
        <v>1175</v>
      </c>
      <c r="F243" s="12" t="s">
        <v>1283</v>
      </c>
      <c r="G243" s="12" t="s">
        <v>1302</v>
      </c>
      <c r="H243" s="12" t="s">
        <v>1302</v>
      </c>
      <c r="I243" s="12" t="s">
        <v>1311</v>
      </c>
      <c r="J243" s="12" t="s">
        <v>1175</v>
      </c>
      <c r="K243" s="12" t="s">
        <v>1326</v>
      </c>
      <c r="L243" s="12" t="s">
        <v>1303</v>
      </c>
      <c r="M243" s="12" t="s">
        <v>0</v>
      </c>
      <c r="N243" s="13" t="s">
        <v>1558</v>
      </c>
      <c r="O243" s="11" t="s">
        <v>1326</v>
      </c>
      <c r="P243" s="11" t="s">
        <v>1876</v>
      </c>
      <c r="Q243" s="11" t="s">
        <v>1306</v>
      </c>
      <c r="R243" s="11" t="s">
        <v>1882</v>
      </c>
      <c r="S243" s="11" t="s">
        <v>0</v>
      </c>
      <c r="T243" s="11" t="s">
        <v>1306</v>
      </c>
      <c r="U243" s="11" t="s">
        <v>0</v>
      </c>
      <c r="V243" s="11" t="s">
        <v>0</v>
      </c>
      <c r="W243" s="11" t="s">
        <v>0</v>
      </c>
      <c r="X243" s="11" t="s">
        <v>0</v>
      </c>
      <c r="Y243" s="11" t="s">
        <v>0</v>
      </c>
      <c r="Z243" s="11" t="s">
        <v>0</v>
      </c>
      <c r="AA243" s="11" t="s">
        <v>0</v>
      </c>
      <c r="AB243" s="11" t="s">
        <v>0</v>
      </c>
      <c r="AC243" s="11" t="s">
        <v>0</v>
      </c>
      <c r="AD243" s="11" t="s">
        <v>0</v>
      </c>
      <c r="AE243" s="11" t="s">
        <v>2090</v>
      </c>
    </row>
    <row r="244">
      <c r="B244" s="24" t="s">
        <v>1</v>
      </c>
      <c r="C244" s="12" t="s">
        <v>251</v>
      </c>
      <c r="D244" s="11" t="s">
        <v>808</v>
      </c>
      <c r="E244" s="11" t="s">
        <v>1175</v>
      </c>
      <c r="F244" s="12" t="s">
        <v>1297</v>
      </c>
      <c r="G244" s="12" t="s">
        <v>1302</v>
      </c>
      <c r="H244" s="12" t="s">
        <v>1302</v>
      </c>
      <c r="I244" s="12" t="s">
        <v>1311</v>
      </c>
      <c r="J244" s="12" t="s">
        <v>1175</v>
      </c>
      <c r="K244" s="12" t="s">
        <v>1326</v>
      </c>
      <c r="L244" s="12" t="s">
        <v>1303</v>
      </c>
      <c r="M244" s="12" t="s">
        <v>0</v>
      </c>
      <c r="N244" s="13" t="s">
        <v>1559</v>
      </c>
      <c r="O244" s="11" t="s">
        <v>1326</v>
      </c>
      <c r="P244" s="11" t="s">
        <v>1876</v>
      </c>
      <c r="Q244" s="11" t="s">
        <v>1306</v>
      </c>
      <c r="R244" s="11" t="s">
        <v>1882</v>
      </c>
      <c r="S244" s="11" t="s">
        <v>0</v>
      </c>
      <c r="T244" s="11" t="s">
        <v>1306</v>
      </c>
      <c r="U244" s="11" t="s">
        <v>0</v>
      </c>
      <c r="V244" s="11" t="s">
        <v>0</v>
      </c>
      <c r="W244" s="11" t="s">
        <v>0</v>
      </c>
      <c r="X244" s="11" t="s">
        <v>0</v>
      </c>
      <c r="Y244" s="11" t="s">
        <v>0</v>
      </c>
      <c r="Z244" s="11" t="s">
        <v>0</v>
      </c>
      <c r="AA244" s="11" t="s">
        <v>0</v>
      </c>
      <c r="AB244" s="11" t="s">
        <v>0</v>
      </c>
      <c r="AC244" s="11" t="s">
        <v>0</v>
      </c>
      <c r="AD244" s="11" t="s">
        <v>0</v>
      </c>
      <c r="AE244" s="11" t="s">
        <v>2090</v>
      </c>
    </row>
    <row r="245">
      <c r="B245" s="24" t="s">
        <v>1</v>
      </c>
      <c r="C245" s="12" t="s">
        <v>252</v>
      </c>
      <c r="D245" s="11" t="s">
        <v>809</v>
      </c>
      <c r="E245" s="11" t="s">
        <v>1175</v>
      </c>
      <c r="F245" s="12" t="s">
        <v>1290</v>
      </c>
      <c r="G245" s="12" t="s">
        <v>1302</v>
      </c>
      <c r="H245" s="12" t="s">
        <v>1302</v>
      </c>
      <c r="I245" s="12" t="s">
        <v>1311</v>
      </c>
      <c r="J245" s="12" t="s">
        <v>1175</v>
      </c>
      <c r="K245" s="12" t="s">
        <v>1326</v>
      </c>
      <c r="L245" s="12" t="s">
        <v>1303</v>
      </c>
      <c r="M245" s="12" t="s">
        <v>0</v>
      </c>
      <c r="N245" s="13" t="s">
        <v>1560</v>
      </c>
      <c r="O245" s="11" t="s">
        <v>1326</v>
      </c>
      <c r="P245" s="11" t="s">
        <v>1876</v>
      </c>
      <c r="Q245" s="11" t="s">
        <v>1306</v>
      </c>
      <c r="R245" s="11" t="s">
        <v>1882</v>
      </c>
      <c r="S245" s="11" t="s">
        <v>0</v>
      </c>
      <c r="T245" s="11" t="s">
        <v>1306</v>
      </c>
      <c r="U245" s="11" t="s">
        <v>0</v>
      </c>
      <c r="V245" s="11" t="s">
        <v>0</v>
      </c>
      <c r="W245" s="11" t="s">
        <v>0</v>
      </c>
      <c r="X245" s="11" t="s">
        <v>0</v>
      </c>
      <c r="Y245" s="11" t="s">
        <v>0</v>
      </c>
      <c r="Z245" s="11" t="s">
        <v>0</v>
      </c>
      <c r="AA245" s="11" t="s">
        <v>0</v>
      </c>
      <c r="AB245" s="11" t="s">
        <v>0</v>
      </c>
      <c r="AC245" s="11" t="s">
        <v>0</v>
      </c>
      <c r="AD245" s="11" t="s">
        <v>0</v>
      </c>
      <c r="AE245" s="11" t="s">
        <v>2090</v>
      </c>
    </row>
    <row r="246">
      <c r="B246" s="24" t="s">
        <v>1</v>
      </c>
      <c r="C246" s="12" t="s">
        <v>253</v>
      </c>
      <c r="D246" s="11" t="s">
        <v>810</v>
      </c>
      <c r="E246" s="11" t="s">
        <v>1175</v>
      </c>
      <c r="F246" s="12" t="s">
        <v>1280</v>
      </c>
      <c r="G246" s="12" t="s">
        <v>1302</v>
      </c>
      <c r="H246" s="12" t="s">
        <v>1302</v>
      </c>
      <c r="I246" s="12" t="s">
        <v>1311</v>
      </c>
      <c r="J246" s="12" t="s">
        <v>1175</v>
      </c>
      <c r="K246" s="12" t="s">
        <v>1326</v>
      </c>
      <c r="L246" s="12" t="s">
        <v>1303</v>
      </c>
      <c r="M246" s="12" t="s">
        <v>0</v>
      </c>
      <c r="N246" s="13" t="s">
        <v>1561</v>
      </c>
      <c r="O246" s="11" t="s">
        <v>1326</v>
      </c>
      <c r="P246" s="11" t="s">
        <v>1876</v>
      </c>
      <c r="Q246" s="11" t="s">
        <v>1306</v>
      </c>
      <c r="R246" s="11" t="s">
        <v>1882</v>
      </c>
      <c r="S246" s="11" t="s">
        <v>0</v>
      </c>
      <c r="T246" s="11" t="s">
        <v>1306</v>
      </c>
      <c r="U246" s="11" t="s">
        <v>0</v>
      </c>
      <c r="V246" s="11" t="s">
        <v>0</v>
      </c>
      <c r="W246" s="11" t="s">
        <v>0</v>
      </c>
      <c r="X246" s="11" t="s">
        <v>0</v>
      </c>
      <c r="Y246" s="11" t="s">
        <v>0</v>
      </c>
      <c r="Z246" s="11" t="s">
        <v>0</v>
      </c>
      <c r="AA246" s="11" t="s">
        <v>0</v>
      </c>
      <c r="AB246" s="11" t="s">
        <v>0</v>
      </c>
      <c r="AC246" s="11" t="s">
        <v>0</v>
      </c>
      <c r="AD246" s="11" t="s">
        <v>0</v>
      </c>
      <c r="AE246" s="11" t="s">
        <v>2090</v>
      </c>
    </row>
    <row r="247">
      <c r="B247" s="24" t="s">
        <v>1</v>
      </c>
      <c r="C247" s="12" t="s">
        <v>254</v>
      </c>
      <c r="D247" s="11" t="s">
        <v>811</v>
      </c>
      <c r="E247" s="11" t="s">
        <v>1175</v>
      </c>
      <c r="F247" s="12" t="s">
        <v>1298</v>
      </c>
      <c r="G247" s="12" t="s">
        <v>1302</v>
      </c>
      <c r="H247" s="12" t="s">
        <v>1302</v>
      </c>
      <c r="I247" s="12" t="s">
        <v>1311</v>
      </c>
      <c r="J247" s="12" t="s">
        <v>1175</v>
      </c>
      <c r="K247" s="12" t="s">
        <v>1326</v>
      </c>
      <c r="L247" s="12" t="s">
        <v>1303</v>
      </c>
      <c r="M247" s="12" t="s">
        <v>0</v>
      </c>
      <c r="N247" s="13" t="s">
        <v>1562</v>
      </c>
      <c r="O247" s="11" t="s">
        <v>1326</v>
      </c>
      <c r="P247" s="11" t="s">
        <v>1876</v>
      </c>
      <c r="Q247" s="11" t="s">
        <v>1306</v>
      </c>
      <c r="R247" s="11" t="s">
        <v>1882</v>
      </c>
      <c r="S247" s="11" t="s">
        <v>0</v>
      </c>
      <c r="T247" s="11" t="s">
        <v>1306</v>
      </c>
      <c r="U247" s="11" t="s">
        <v>0</v>
      </c>
      <c r="V247" s="11" t="s">
        <v>0</v>
      </c>
      <c r="W247" s="11" t="s">
        <v>0</v>
      </c>
      <c r="X247" s="11" t="s">
        <v>0</v>
      </c>
      <c r="Y247" s="11" t="s">
        <v>0</v>
      </c>
      <c r="Z247" s="11" t="s">
        <v>0</v>
      </c>
      <c r="AA247" s="11" t="s">
        <v>0</v>
      </c>
      <c r="AB247" s="11" t="s">
        <v>0</v>
      </c>
      <c r="AC247" s="11" t="s">
        <v>0</v>
      </c>
      <c r="AD247" s="11" t="s">
        <v>0</v>
      </c>
      <c r="AE247" s="11" t="s">
        <v>2090</v>
      </c>
    </row>
    <row r="248">
      <c r="B248" s="24" t="s">
        <v>8</v>
      </c>
      <c r="C248" s="12" t="s">
        <v>255</v>
      </c>
      <c r="D248" s="11" t="s">
        <v>812</v>
      </c>
      <c r="E248" s="11" t="s">
        <v>1175</v>
      </c>
      <c r="F248" s="12" t="s">
        <v>8</v>
      </c>
      <c r="G248" s="12" t="s">
        <v>1302</v>
      </c>
      <c r="H248" s="12" t="s">
        <v>1302</v>
      </c>
      <c r="I248" s="12" t="s">
        <v>1311</v>
      </c>
      <c r="J248" s="12" t="s">
        <v>1175</v>
      </c>
      <c r="K248" s="12" t="s">
        <v>1326</v>
      </c>
      <c r="L248" s="12" t="s">
        <v>1303</v>
      </c>
      <c r="M248" s="12" t="s">
        <v>0</v>
      </c>
      <c r="N248" s="13" t="s">
        <v>1563</v>
      </c>
      <c r="O248" s="11" t="s">
        <v>1326</v>
      </c>
      <c r="P248" s="11" t="s">
        <v>1876</v>
      </c>
      <c r="Q248" s="11" t="s">
        <v>1306</v>
      </c>
      <c r="R248" s="11" t="s">
        <v>1882</v>
      </c>
      <c r="S248" s="11" t="s">
        <v>0</v>
      </c>
      <c r="T248" s="11" t="s">
        <v>1306</v>
      </c>
      <c r="U248" s="11" t="s">
        <v>0</v>
      </c>
      <c r="V248" s="11" t="s">
        <v>0</v>
      </c>
      <c r="W248" s="11" t="s">
        <v>0</v>
      </c>
      <c r="X248" s="11" t="s">
        <v>0</v>
      </c>
      <c r="Y248" s="11" t="s">
        <v>0</v>
      </c>
      <c r="Z248" s="11" t="s">
        <v>0</v>
      </c>
      <c r="AA248" s="11" t="s">
        <v>0</v>
      </c>
      <c r="AB248" s="11" t="s">
        <v>0</v>
      </c>
      <c r="AC248" s="11" t="s">
        <v>0</v>
      </c>
      <c r="AD248" s="11" t="s">
        <v>0</v>
      </c>
      <c r="AE248" s="11" t="s">
        <v>2090</v>
      </c>
    </row>
    <row r="249">
      <c r="B249" s="24" t="s">
        <v>1</v>
      </c>
      <c r="C249" s="12" t="s">
        <v>256</v>
      </c>
      <c r="D249" s="11" t="s">
        <v>813</v>
      </c>
      <c r="E249" s="11" t="s">
        <v>1175</v>
      </c>
      <c r="F249" s="12" t="s">
        <v>1299</v>
      </c>
      <c r="G249" s="12" t="s">
        <v>1302</v>
      </c>
      <c r="H249" s="12" t="s">
        <v>1302</v>
      </c>
      <c r="I249" s="12" t="s">
        <v>1311</v>
      </c>
      <c r="J249" s="12" t="s">
        <v>1175</v>
      </c>
      <c r="K249" s="12" t="s">
        <v>1326</v>
      </c>
      <c r="L249" s="12" t="s">
        <v>1303</v>
      </c>
      <c r="M249" s="12" t="s">
        <v>0</v>
      </c>
      <c r="N249" s="13" t="s">
        <v>1564</v>
      </c>
      <c r="O249" s="11" t="s">
        <v>1326</v>
      </c>
      <c r="P249" s="11" t="s">
        <v>1876</v>
      </c>
      <c r="Q249" s="11" t="s">
        <v>1306</v>
      </c>
      <c r="R249" s="11" t="s">
        <v>1882</v>
      </c>
      <c r="S249" s="11" t="s">
        <v>0</v>
      </c>
      <c r="T249" s="11" t="s">
        <v>1306</v>
      </c>
      <c r="U249" s="11" t="s">
        <v>0</v>
      </c>
      <c r="V249" s="11" t="s">
        <v>0</v>
      </c>
      <c r="W249" s="11" t="s">
        <v>0</v>
      </c>
      <c r="X249" s="11" t="s">
        <v>0</v>
      </c>
      <c r="Y249" s="11" t="s">
        <v>0</v>
      </c>
      <c r="Z249" s="11" t="s">
        <v>0</v>
      </c>
      <c r="AA249" s="11" t="s">
        <v>0</v>
      </c>
      <c r="AB249" s="11" t="s">
        <v>0</v>
      </c>
      <c r="AC249" s="11" t="s">
        <v>0</v>
      </c>
      <c r="AD249" s="11" t="s">
        <v>0</v>
      </c>
      <c r="AE249" s="11" t="s">
        <v>2090</v>
      </c>
    </row>
    <row r="250">
      <c r="B250" s="24" t="s">
        <v>1</v>
      </c>
      <c r="C250" s="12" t="s">
        <v>257</v>
      </c>
      <c r="D250" s="11" t="s">
        <v>814</v>
      </c>
      <c r="E250" s="11" t="s">
        <v>1175</v>
      </c>
      <c r="F250" s="12" t="s">
        <v>1274</v>
      </c>
      <c r="G250" s="12" t="s">
        <v>1302</v>
      </c>
      <c r="H250" s="12" t="s">
        <v>1302</v>
      </c>
      <c r="I250" s="12" t="s">
        <v>1311</v>
      </c>
      <c r="J250" s="12" t="s">
        <v>1175</v>
      </c>
      <c r="K250" s="12" t="s">
        <v>1326</v>
      </c>
      <c r="L250" s="12" t="s">
        <v>1303</v>
      </c>
      <c r="M250" s="12" t="s">
        <v>0</v>
      </c>
      <c r="N250" s="13" t="s">
        <v>1565</v>
      </c>
      <c r="O250" s="11" t="s">
        <v>1326</v>
      </c>
      <c r="P250" s="11" t="s">
        <v>1876</v>
      </c>
      <c r="Q250" s="11" t="s">
        <v>1306</v>
      </c>
      <c r="R250" s="11" t="s">
        <v>1882</v>
      </c>
      <c r="S250" s="11" t="s">
        <v>0</v>
      </c>
      <c r="T250" s="11" t="s">
        <v>1306</v>
      </c>
      <c r="U250" s="11" t="s">
        <v>0</v>
      </c>
      <c r="V250" s="11" t="s">
        <v>0</v>
      </c>
      <c r="W250" s="11" t="s">
        <v>0</v>
      </c>
      <c r="X250" s="11" t="s">
        <v>0</v>
      </c>
      <c r="Y250" s="11" t="s">
        <v>0</v>
      </c>
      <c r="Z250" s="11" t="s">
        <v>0</v>
      </c>
      <c r="AA250" s="11" t="s">
        <v>0</v>
      </c>
      <c r="AB250" s="11" t="s">
        <v>0</v>
      </c>
      <c r="AC250" s="11" t="s">
        <v>0</v>
      </c>
      <c r="AD250" s="11" t="s">
        <v>0</v>
      </c>
      <c r="AE250" s="11" t="s">
        <v>2090</v>
      </c>
    </row>
    <row r="251">
      <c r="B251" s="24" t="s">
        <v>1</v>
      </c>
      <c r="C251" s="12" t="s">
        <v>258</v>
      </c>
      <c r="D251" s="11" t="s">
        <v>815</v>
      </c>
      <c r="E251" s="11" t="s">
        <v>1175</v>
      </c>
      <c r="F251" s="12" t="s">
        <v>1274</v>
      </c>
      <c r="G251" s="12" t="s">
        <v>1302</v>
      </c>
      <c r="H251" s="12" t="s">
        <v>1302</v>
      </c>
      <c r="I251" s="12" t="s">
        <v>1311</v>
      </c>
      <c r="J251" s="12" t="s">
        <v>1175</v>
      </c>
      <c r="K251" s="12" t="s">
        <v>1326</v>
      </c>
      <c r="L251" s="12" t="s">
        <v>1303</v>
      </c>
      <c r="M251" s="12" t="s">
        <v>0</v>
      </c>
      <c r="N251" s="13" t="s">
        <v>1566</v>
      </c>
      <c r="O251" s="11" t="s">
        <v>1326</v>
      </c>
      <c r="P251" s="11" t="s">
        <v>1876</v>
      </c>
      <c r="Q251" s="11" t="s">
        <v>1306</v>
      </c>
      <c r="R251" s="11" t="s">
        <v>1882</v>
      </c>
      <c r="S251" s="11" t="s">
        <v>0</v>
      </c>
      <c r="T251" s="11" t="s">
        <v>1306</v>
      </c>
      <c r="U251" s="11" t="s">
        <v>0</v>
      </c>
      <c r="V251" s="11" t="s">
        <v>0</v>
      </c>
      <c r="W251" s="11" t="s">
        <v>0</v>
      </c>
      <c r="X251" s="11" t="s">
        <v>0</v>
      </c>
      <c r="Y251" s="11" t="s">
        <v>0</v>
      </c>
      <c r="Z251" s="11" t="s">
        <v>0</v>
      </c>
      <c r="AA251" s="11" t="s">
        <v>0</v>
      </c>
      <c r="AB251" s="11" t="s">
        <v>0</v>
      </c>
      <c r="AC251" s="11" t="s">
        <v>0</v>
      </c>
      <c r="AD251" s="11" t="s">
        <v>0</v>
      </c>
      <c r="AE251" s="11" t="s">
        <v>2090</v>
      </c>
    </row>
    <row r="252">
      <c r="B252" s="24" t="s">
        <v>8</v>
      </c>
      <c r="C252" s="12" t="s">
        <v>259</v>
      </c>
      <c r="D252" s="11" t="s">
        <v>816</v>
      </c>
      <c r="E252" s="11" t="s">
        <v>1175</v>
      </c>
      <c r="F252" s="12" t="s">
        <v>8</v>
      </c>
      <c r="G252" s="12" t="s">
        <v>1302</v>
      </c>
      <c r="H252" s="12" t="s">
        <v>1302</v>
      </c>
      <c r="I252" s="12" t="s">
        <v>1311</v>
      </c>
      <c r="J252" s="12" t="s">
        <v>1175</v>
      </c>
      <c r="K252" s="12" t="s">
        <v>1326</v>
      </c>
      <c r="L252" s="12" t="s">
        <v>1303</v>
      </c>
      <c r="M252" s="12" t="s">
        <v>0</v>
      </c>
      <c r="N252" s="13" t="s">
        <v>1567</v>
      </c>
      <c r="O252" s="11" t="s">
        <v>1326</v>
      </c>
      <c r="P252" s="11" t="s">
        <v>1876</v>
      </c>
      <c r="Q252" s="11" t="s">
        <v>1306</v>
      </c>
      <c r="R252" s="11" t="s">
        <v>1882</v>
      </c>
      <c r="S252" s="11" t="s">
        <v>0</v>
      </c>
      <c r="T252" s="11" t="s">
        <v>1306</v>
      </c>
      <c r="U252" s="11" t="s">
        <v>0</v>
      </c>
      <c r="V252" s="11" t="s">
        <v>0</v>
      </c>
      <c r="W252" s="11" t="s">
        <v>0</v>
      </c>
      <c r="X252" s="11" t="s">
        <v>0</v>
      </c>
      <c r="Y252" s="11" t="s">
        <v>0</v>
      </c>
      <c r="Z252" s="11" t="s">
        <v>0</v>
      </c>
      <c r="AA252" s="11" t="s">
        <v>0</v>
      </c>
      <c r="AB252" s="11" t="s">
        <v>0</v>
      </c>
      <c r="AC252" s="11" t="s">
        <v>0</v>
      </c>
      <c r="AD252" s="11" t="s">
        <v>0</v>
      </c>
      <c r="AE252" s="11" t="s">
        <v>2090</v>
      </c>
    </row>
    <row r="253">
      <c r="B253" s="24" t="s">
        <v>4</v>
      </c>
      <c r="C253" s="12" t="s">
        <v>260</v>
      </c>
      <c r="D253" s="11" t="s">
        <v>817</v>
      </c>
      <c r="E253" s="11" t="s">
        <v>1175</v>
      </c>
      <c r="F253" s="12" t="s">
        <v>4</v>
      </c>
      <c r="G253" s="12" t="s">
        <v>1302</v>
      </c>
      <c r="H253" s="12" t="s">
        <v>1302</v>
      </c>
      <c r="I253" s="12" t="s">
        <v>1311</v>
      </c>
      <c r="J253" s="12" t="s">
        <v>1175</v>
      </c>
      <c r="K253" s="12" t="s">
        <v>1326</v>
      </c>
      <c r="L253" s="12" t="s">
        <v>1303</v>
      </c>
      <c r="M253" s="12" t="s">
        <v>0</v>
      </c>
      <c r="N253" s="13" t="s">
        <v>1568</v>
      </c>
      <c r="O253" s="11" t="s">
        <v>1326</v>
      </c>
      <c r="P253" s="11" t="s">
        <v>1876</v>
      </c>
      <c r="Q253" s="11" t="s">
        <v>1306</v>
      </c>
      <c r="R253" s="11" t="s">
        <v>1882</v>
      </c>
      <c r="S253" s="11" t="s">
        <v>1306</v>
      </c>
      <c r="T253" s="11" t="s">
        <v>1307</v>
      </c>
      <c r="U253" s="11" t="s">
        <v>1888</v>
      </c>
      <c r="V253" s="11" t="s">
        <v>1896</v>
      </c>
      <c r="W253" s="11" t="s">
        <v>0</v>
      </c>
      <c r="X253" s="11" t="s">
        <v>0</v>
      </c>
      <c r="Y253" s="11" t="s">
        <v>1939</v>
      </c>
      <c r="Z253" s="11" t="s">
        <v>1971</v>
      </c>
      <c r="AA253" s="11" t="s">
        <v>1971</v>
      </c>
      <c r="AB253" s="11" t="s">
        <v>2003</v>
      </c>
      <c r="AC253" s="11" t="s">
        <v>56</v>
      </c>
      <c r="AD253" s="11" t="s">
        <v>2069</v>
      </c>
      <c r="AE253" s="11" t="s">
        <v>13</v>
      </c>
    </row>
    <row r="254">
      <c r="B254" s="24" t="s">
        <v>2</v>
      </c>
      <c r="C254" s="12" t="s">
        <v>261</v>
      </c>
      <c r="D254" s="11" t="s">
        <v>818</v>
      </c>
      <c r="E254" s="11" t="s">
        <v>1175</v>
      </c>
      <c r="F254" s="12" t="s">
        <v>2</v>
      </c>
      <c r="G254" s="12" t="s">
        <v>1302</v>
      </c>
      <c r="H254" s="12" t="s">
        <v>1302</v>
      </c>
      <c r="I254" s="12" t="s">
        <v>1311</v>
      </c>
      <c r="J254" s="12" t="s">
        <v>1175</v>
      </c>
      <c r="K254" s="12" t="s">
        <v>1326</v>
      </c>
      <c r="L254" s="12" t="s">
        <v>1303</v>
      </c>
      <c r="M254" s="12" t="s">
        <v>0</v>
      </c>
      <c r="N254" s="13" t="s">
        <v>1569</v>
      </c>
      <c r="O254" s="11" t="s">
        <v>1326</v>
      </c>
      <c r="P254" s="11" t="s">
        <v>1876</v>
      </c>
      <c r="Q254" s="11" t="s">
        <v>1306</v>
      </c>
      <c r="R254" s="11" t="s">
        <v>1882</v>
      </c>
      <c r="S254" s="11" t="s">
        <v>0</v>
      </c>
      <c r="T254" s="11" t="s">
        <v>1306</v>
      </c>
      <c r="U254" s="11" t="s">
        <v>0</v>
      </c>
      <c r="V254" s="11" t="s">
        <v>0</v>
      </c>
      <c r="W254" s="11" t="s">
        <v>0</v>
      </c>
      <c r="X254" s="11" t="s">
        <v>0</v>
      </c>
      <c r="Y254" s="11" t="s">
        <v>0</v>
      </c>
      <c r="Z254" s="11" t="s">
        <v>0</v>
      </c>
      <c r="AA254" s="11" t="s">
        <v>0</v>
      </c>
      <c r="AB254" s="11" t="s">
        <v>0</v>
      </c>
      <c r="AC254" s="11" t="s">
        <v>0</v>
      </c>
      <c r="AD254" s="11" t="s">
        <v>0</v>
      </c>
      <c r="AE254" s="11" t="s">
        <v>2090</v>
      </c>
    </row>
    <row r="255">
      <c r="B255" s="24" t="s">
        <v>1</v>
      </c>
      <c r="C255" s="12" t="s">
        <v>262</v>
      </c>
      <c r="D255" s="11" t="s">
        <v>819</v>
      </c>
      <c r="E255" s="11" t="s">
        <v>1175</v>
      </c>
      <c r="F255" s="12" t="s">
        <v>1289</v>
      </c>
      <c r="G255" s="12" t="s">
        <v>1302</v>
      </c>
      <c r="H255" s="12" t="s">
        <v>1302</v>
      </c>
      <c r="I255" s="12" t="s">
        <v>1311</v>
      </c>
      <c r="J255" s="12" t="s">
        <v>1175</v>
      </c>
      <c r="K255" s="12" t="s">
        <v>1326</v>
      </c>
      <c r="L255" s="12" t="s">
        <v>1303</v>
      </c>
      <c r="M255" s="12" t="s">
        <v>0</v>
      </c>
      <c r="N255" s="13" t="s">
        <v>1570</v>
      </c>
      <c r="O255" s="11" t="s">
        <v>1326</v>
      </c>
      <c r="P255" s="11" t="s">
        <v>1876</v>
      </c>
      <c r="Q255" s="11" t="s">
        <v>1306</v>
      </c>
      <c r="R255" s="11" t="s">
        <v>1882</v>
      </c>
      <c r="S255" s="11" t="s">
        <v>0</v>
      </c>
      <c r="T255" s="11" t="s">
        <v>1306</v>
      </c>
      <c r="U255" s="11" t="s">
        <v>0</v>
      </c>
      <c r="V255" s="11" t="s">
        <v>0</v>
      </c>
      <c r="W255" s="11" t="s">
        <v>0</v>
      </c>
      <c r="X255" s="11" t="s">
        <v>0</v>
      </c>
      <c r="Y255" s="11" t="s">
        <v>0</v>
      </c>
      <c r="Z255" s="11" t="s">
        <v>0</v>
      </c>
      <c r="AA255" s="11" t="s">
        <v>0</v>
      </c>
      <c r="AB255" s="11" t="s">
        <v>0</v>
      </c>
      <c r="AC255" s="11" t="s">
        <v>0</v>
      </c>
      <c r="AD255" s="11" t="s">
        <v>0</v>
      </c>
      <c r="AE255" s="11" t="s">
        <v>2090</v>
      </c>
    </row>
    <row r="256">
      <c r="B256" s="24" t="s">
        <v>1</v>
      </c>
      <c r="C256" s="12" t="s">
        <v>263</v>
      </c>
      <c r="D256" s="11" t="s">
        <v>820</v>
      </c>
      <c r="E256" s="11" t="s">
        <v>1175</v>
      </c>
      <c r="F256" s="12" t="s">
        <v>1288</v>
      </c>
      <c r="G256" s="12" t="s">
        <v>1302</v>
      </c>
      <c r="H256" s="12" t="s">
        <v>1302</v>
      </c>
      <c r="I256" s="12" t="s">
        <v>1311</v>
      </c>
      <c r="J256" s="12" t="s">
        <v>1175</v>
      </c>
      <c r="K256" s="12" t="s">
        <v>1326</v>
      </c>
      <c r="L256" s="12" t="s">
        <v>1303</v>
      </c>
      <c r="M256" s="12" t="s">
        <v>0</v>
      </c>
      <c r="N256" s="13" t="s">
        <v>1571</v>
      </c>
      <c r="O256" s="11" t="s">
        <v>1326</v>
      </c>
      <c r="P256" s="11" t="s">
        <v>1876</v>
      </c>
      <c r="Q256" s="11" t="s">
        <v>1306</v>
      </c>
      <c r="R256" s="11" t="s">
        <v>1882</v>
      </c>
      <c r="S256" s="11" t="s">
        <v>0</v>
      </c>
      <c r="T256" s="11" t="s">
        <v>1306</v>
      </c>
      <c r="U256" s="11" t="s">
        <v>0</v>
      </c>
      <c r="V256" s="11" t="s">
        <v>0</v>
      </c>
      <c r="W256" s="11" t="s">
        <v>0</v>
      </c>
      <c r="X256" s="11" t="s">
        <v>0</v>
      </c>
      <c r="Y256" s="11" t="s">
        <v>0</v>
      </c>
      <c r="Z256" s="11" t="s">
        <v>0</v>
      </c>
      <c r="AA256" s="11" t="s">
        <v>0</v>
      </c>
      <c r="AB256" s="11" t="s">
        <v>0</v>
      </c>
      <c r="AC256" s="11" t="s">
        <v>0</v>
      </c>
      <c r="AD256" s="11" t="s">
        <v>0</v>
      </c>
      <c r="AE256" s="11" t="s">
        <v>2090</v>
      </c>
    </row>
    <row r="257">
      <c r="B257" s="24" t="s">
        <v>2</v>
      </c>
      <c r="C257" s="12" t="s">
        <v>264</v>
      </c>
      <c r="D257" s="11" t="s">
        <v>821</v>
      </c>
      <c r="E257" s="11" t="s">
        <v>1175</v>
      </c>
      <c r="F257" s="12" t="s">
        <v>2</v>
      </c>
      <c r="G257" s="12" t="s">
        <v>1302</v>
      </c>
      <c r="H257" s="12" t="s">
        <v>1302</v>
      </c>
      <c r="I257" s="12" t="s">
        <v>1311</v>
      </c>
      <c r="J257" s="12" t="s">
        <v>1175</v>
      </c>
      <c r="K257" s="12" t="s">
        <v>1326</v>
      </c>
      <c r="L257" s="12" t="s">
        <v>1303</v>
      </c>
      <c r="M257" s="12" t="s">
        <v>0</v>
      </c>
      <c r="N257" s="13" t="s">
        <v>1571</v>
      </c>
      <c r="O257" s="11" t="s">
        <v>1326</v>
      </c>
      <c r="P257" s="11" t="s">
        <v>1876</v>
      </c>
      <c r="Q257" s="11" t="s">
        <v>1306</v>
      </c>
      <c r="R257" s="11" t="s">
        <v>1882</v>
      </c>
      <c r="S257" s="11" t="s">
        <v>0</v>
      </c>
      <c r="T257" s="11" t="s">
        <v>1307</v>
      </c>
      <c r="U257" s="11" t="s">
        <v>1888</v>
      </c>
      <c r="V257" s="11" t="s">
        <v>1896</v>
      </c>
      <c r="W257" s="11" t="s">
        <v>0</v>
      </c>
      <c r="X257" s="11" t="s">
        <v>0</v>
      </c>
      <c r="Y257" s="11" t="s">
        <v>1926</v>
      </c>
      <c r="Z257" s="11" t="s">
        <v>1972</v>
      </c>
      <c r="AA257" s="11" t="s">
        <v>1972</v>
      </c>
      <c r="AB257" s="11" t="s">
        <v>2003</v>
      </c>
      <c r="AC257" s="11" t="s">
        <v>64</v>
      </c>
      <c r="AD257" s="11" t="s">
        <v>0</v>
      </c>
      <c r="AE257" s="11" t="s">
        <v>13</v>
      </c>
    </row>
    <row r="258">
      <c r="B258" s="24" t="s">
        <v>2</v>
      </c>
      <c r="C258" s="12" t="s">
        <v>265</v>
      </c>
      <c r="D258" s="11" t="s">
        <v>822</v>
      </c>
      <c r="E258" s="11" t="s">
        <v>1175</v>
      </c>
      <c r="F258" s="12" t="s">
        <v>2</v>
      </c>
      <c r="G258" s="12" t="s">
        <v>1302</v>
      </c>
      <c r="H258" s="12" t="s">
        <v>1302</v>
      </c>
      <c r="I258" s="12" t="s">
        <v>1311</v>
      </c>
      <c r="J258" s="12" t="s">
        <v>1175</v>
      </c>
      <c r="K258" s="12" t="s">
        <v>1326</v>
      </c>
      <c r="L258" s="12" t="s">
        <v>1303</v>
      </c>
      <c r="M258" s="12" t="s">
        <v>0</v>
      </c>
      <c r="N258" s="13" t="s">
        <v>1572</v>
      </c>
      <c r="O258" s="11" t="s">
        <v>1326</v>
      </c>
      <c r="P258" s="11" t="s">
        <v>1876</v>
      </c>
      <c r="Q258" s="11" t="s">
        <v>1306</v>
      </c>
      <c r="R258" s="11" t="s">
        <v>1882</v>
      </c>
      <c r="S258" s="11" t="s">
        <v>0</v>
      </c>
      <c r="T258" s="11" t="s">
        <v>1306</v>
      </c>
      <c r="U258" s="11" t="s">
        <v>0</v>
      </c>
      <c r="V258" s="11" t="s">
        <v>0</v>
      </c>
      <c r="W258" s="11" t="s">
        <v>0</v>
      </c>
      <c r="X258" s="11" t="s">
        <v>0</v>
      </c>
      <c r="Y258" s="11" t="s">
        <v>0</v>
      </c>
      <c r="Z258" s="11" t="s">
        <v>0</v>
      </c>
      <c r="AA258" s="11" t="s">
        <v>0</v>
      </c>
      <c r="AB258" s="11" t="s">
        <v>0</v>
      </c>
      <c r="AC258" s="11" t="s">
        <v>0</v>
      </c>
      <c r="AD258" s="11" t="s">
        <v>0</v>
      </c>
      <c r="AE258" s="11" t="s">
        <v>2090</v>
      </c>
    </row>
    <row r="259">
      <c r="B259" s="24" t="s">
        <v>1</v>
      </c>
      <c r="C259" s="12" t="s">
        <v>266</v>
      </c>
      <c r="D259" s="11" t="s">
        <v>823</v>
      </c>
      <c r="E259" s="11" t="s">
        <v>1175</v>
      </c>
      <c r="F259" s="12" t="s">
        <v>1276</v>
      </c>
      <c r="G259" s="12" t="s">
        <v>1302</v>
      </c>
      <c r="H259" s="12" t="s">
        <v>1302</v>
      </c>
      <c r="I259" s="12" t="s">
        <v>1311</v>
      </c>
      <c r="J259" s="12" t="s">
        <v>1175</v>
      </c>
      <c r="K259" s="12" t="s">
        <v>1326</v>
      </c>
      <c r="L259" s="12" t="s">
        <v>1303</v>
      </c>
      <c r="M259" s="12" t="s">
        <v>0</v>
      </c>
      <c r="N259" s="13" t="s">
        <v>1573</v>
      </c>
      <c r="O259" s="11" t="s">
        <v>1326</v>
      </c>
      <c r="P259" s="11" t="s">
        <v>1876</v>
      </c>
      <c r="Q259" s="11" t="s">
        <v>1306</v>
      </c>
      <c r="R259" s="11" t="s">
        <v>1882</v>
      </c>
      <c r="S259" s="11" t="s">
        <v>0</v>
      </c>
      <c r="T259" s="11" t="s">
        <v>1306</v>
      </c>
      <c r="U259" s="11" t="s">
        <v>0</v>
      </c>
      <c r="V259" s="11" t="s">
        <v>0</v>
      </c>
      <c r="W259" s="11" t="s">
        <v>0</v>
      </c>
      <c r="X259" s="11" t="s">
        <v>0</v>
      </c>
      <c r="Y259" s="11" t="s">
        <v>0</v>
      </c>
      <c r="Z259" s="11" t="s">
        <v>0</v>
      </c>
      <c r="AA259" s="11" t="s">
        <v>0</v>
      </c>
      <c r="AB259" s="11" t="s">
        <v>0</v>
      </c>
      <c r="AC259" s="11" t="s">
        <v>0</v>
      </c>
      <c r="AD259" s="11" t="s">
        <v>0</v>
      </c>
      <c r="AE259" s="11" t="s">
        <v>2090</v>
      </c>
    </row>
    <row r="260">
      <c r="B260" s="24" t="s">
        <v>5</v>
      </c>
      <c r="C260" s="12" t="s">
        <v>267</v>
      </c>
      <c r="D260" s="11" t="s">
        <v>824</v>
      </c>
      <c r="E260" s="11" t="s">
        <v>1175</v>
      </c>
      <c r="F260" s="12" t="s">
        <v>5</v>
      </c>
      <c r="G260" s="12" t="s">
        <v>1302</v>
      </c>
      <c r="H260" s="12" t="s">
        <v>1302</v>
      </c>
      <c r="I260" s="12" t="s">
        <v>1311</v>
      </c>
      <c r="J260" s="12" t="s">
        <v>1175</v>
      </c>
      <c r="K260" s="12" t="s">
        <v>1326</v>
      </c>
      <c r="L260" s="12" t="s">
        <v>1303</v>
      </c>
      <c r="M260" s="12" t="s">
        <v>0</v>
      </c>
      <c r="N260" s="13" t="s">
        <v>1574</v>
      </c>
      <c r="O260" s="11" t="s">
        <v>1326</v>
      </c>
      <c r="P260" s="11" t="s">
        <v>1876</v>
      </c>
      <c r="Q260" s="11" t="s">
        <v>1306</v>
      </c>
      <c r="R260" s="11" t="s">
        <v>1882</v>
      </c>
      <c r="S260" s="11" t="s">
        <v>0</v>
      </c>
      <c r="T260" s="11" t="s">
        <v>1307</v>
      </c>
      <c r="U260" s="11" t="s">
        <v>1888</v>
      </c>
      <c r="V260" s="11" t="s">
        <v>0</v>
      </c>
      <c r="W260" s="11" t="s">
        <v>0</v>
      </c>
      <c r="X260" s="11" t="s">
        <v>0</v>
      </c>
      <c r="Y260" s="11" t="s">
        <v>0</v>
      </c>
      <c r="Z260" s="11" t="s">
        <v>1972</v>
      </c>
      <c r="AA260" s="11" t="s">
        <v>1972</v>
      </c>
      <c r="AB260" s="11" t="s">
        <v>2003</v>
      </c>
      <c r="AC260" s="11" t="s">
        <v>60</v>
      </c>
      <c r="AD260" s="11" t="s">
        <v>2070</v>
      </c>
      <c r="AE260" s="11" t="s">
        <v>13</v>
      </c>
    </row>
    <row r="261">
      <c r="B261" s="24" t="s">
        <v>1</v>
      </c>
      <c r="C261" s="12" t="s">
        <v>268</v>
      </c>
      <c r="D261" s="11" t="s">
        <v>825</v>
      </c>
      <c r="E261" s="11" t="s">
        <v>1175</v>
      </c>
      <c r="F261" s="12" t="s">
        <v>1294</v>
      </c>
      <c r="G261" s="12" t="s">
        <v>1302</v>
      </c>
      <c r="H261" s="12" t="s">
        <v>1302</v>
      </c>
      <c r="I261" s="12" t="s">
        <v>1311</v>
      </c>
      <c r="J261" s="12" t="s">
        <v>1175</v>
      </c>
      <c r="K261" s="12" t="s">
        <v>1326</v>
      </c>
      <c r="L261" s="12" t="s">
        <v>1303</v>
      </c>
      <c r="M261" s="12" t="s">
        <v>0</v>
      </c>
      <c r="N261" s="13" t="s">
        <v>1575</v>
      </c>
      <c r="O261" s="11" t="s">
        <v>1326</v>
      </c>
      <c r="P261" s="11" t="s">
        <v>1876</v>
      </c>
      <c r="Q261" s="11" t="s">
        <v>1306</v>
      </c>
      <c r="R261" s="11" t="s">
        <v>1882</v>
      </c>
      <c r="S261" s="11" t="s">
        <v>1306</v>
      </c>
      <c r="T261" s="11" t="s">
        <v>1307</v>
      </c>
      <c r="U261" s="11" t="s">
        <v>1888</v>
      </c>
      <c r="V261" s="11" t="s">
        <v>1896</v>
      </c>
      <c r="W261" s="11" t="s">
        <v>0</v>
      </c>
      <c r="X261" s="11" t="s">
        <v>0</v>
      </c>
      <c r="Y261" s="11" t="s">
        <v>1940</v>
      </c>
      <c r="Z261" s="11" t="s">
        <v>1973</v>
      </c>
      <c r="AA261" s="11" t="s">
        <v>1973</v>
      </c>
      <c r="AB261" s="11" t="s">
        <v>2003</v>
      </c>
      <c r="AC261" s="11" t="s">
        <v>57</v>
      </c>
      <c r="AD261" s="11" t="s">
        <v>2071</v>
      </c>
      <c r="AE261" s="11" t="s">
        <v>13</v>
      </c>
    </row>
    <row r="262">
      <c r="B262" s="24" t="s">
        <v>1</v>
      </c>
      <c r="C262" s="12" t="s">
        <v>269</v>
      </c>
      <c r="D262" s="11" t="s">
        <v>826</v>
      </c>
      <c r="E262" s="11" t="s">
        <v>1175</v>
      </c>
      <c r="F262" s="12" t="s">
        <v>1299</v>
      </c>
      <c r="G262" s="12" t="s">
        <v>1302</v>
      </c>
      <c r="H262" s="12" t="s">
        <v>1302</v>
      </c>
      <c r="I262" s="12" t="s">
        <v>1311</v>
      </c>
      <c r="J262" s="12" t="s">
        <v>1175</v>
      </c>
      <c r="K262" s="12" t="s">
        <v>1326</v>
      </c>
      <c r="L262" s="12" t="s">
        <v>1303</v>
      </c>
      <c r="M262" s="12" t="s">
        <v>0</v>
      </c>
      <c r="N262" s="13" t="s">
        <v>1576</v>
      </c>
      <c r="O262" s="11" t="s">
        <v>1326</v>
      </c>
      <c r="P262" s="11" t="s">
        <v>1876</v>
      </c>
      <c r="Q262" s="11" t="s">
        <v>1306</v>
      </c>
      <c r="R262" s="11" t="s">
        <v>1882</v>
      </c>
      <c r="S262" s="11" t="s">
        <v>1307</v>
      </c>
      <c r="T262" s="11" t="s">
        <v>1306</v>
      </c>
      <c r="U262" s="11" t="s">
        <v>1890</v>
      </c>
      <c r="V262" s="11" t="s">
        <v>1910</v>
      </c>
      <c r="W262" s="11" t="s">
        <v>0</v>
      </c>
      <c r="X262" s="11" t="s">
        <v>0</v>
      </c>
      <c r="Y262" s="11" t="s">
        <v>0</v>
      </c>
      <c r="Z262" s="11" t="s">
        <v>0</v>
      </c>
      <c r="AA262" s="11" t="s">
        <v>0</v>
      </c>
      <c r="AB262" s="11" t="s">
        <v>0</v>
      </c>
      <c r="AC262" s="11" t="s">
        <v>0</v>
      </c>
      <c r="AD262" s="11" t="s">
        <v>0</v>
      </c>
      <c r="AE262" s="11" t="s">
        <v>13</v>
      </c>
    </row>
    <row r="263">
      <c r="B263" s="24" t="s">
        <v>1</v>
      </c>
      <c r="C263" s="12" t="s">
        <v>270</v>
      </c>
      <c r="D263" s="11" t="s">
        <v>827</v>
      </c>
      <c r="E263" s="11" t="s">
        <v>1175</v>
      </c>
      <c r="F263" s="12" t="s">
        <v>1294</v>
      </c>
      <c r="G263" s="12" t="s">
        <v>1302</v>
      </c>
      <c r="H263" s="12" t="s">
        <v>1302</v>
      </c>
      <c r="I263" s="12" t="s">
        <v>1311</v>
      </c>
      <c r="J263" s="12" t="s">
        <v>1175</v>
      </c>
      <c r="K263" s="12" t="s">
        <v>1326</v>
      </c>
      <c r="L263" s="12" t="s">
        <v>1303</v>
      </c>
      <c r="M263" s="12" t="s">
        <v>0</v>
      </c>
      <c r="N263" s="13" t="s">
        <v>1577</v>
      </c>
      <c r="O263" s="11" t="s">
        <v>1326</v>
      </c>
      <c r="P263" s="11" t="s">
        <v>1876</v>
      </c>
      <c r="Q263" s="11" t="s">
        <v>1306</v>
      </c>
      <c r="R263" s="11" t="s">
        <v>1882</v>
      </c>
      <c r="S263" s="11" t="s">
        <v>0</v>
      </c>
      <c r="T263" s="11" t="s">
        <v>1306</v>
      </c>
      <c r="U263" s="11" t="s">
        <v>0</v>
      </c>
      <c r="V263" s="11" t="s">
        <v>0</v>
      </c>
      <c r="W263" s="11" t="s">
        <v>0</v>
      </c>
      <c r="X263" s="11" t="s">
        <v>0</v>
      </c>
      <c r="Y263" s="11" t="s">
        <v>0</v>
      </c>
      <c r="Z263" s="11" t="s">
        <v>0</v>
      </c>
      <c r="AA263" s="11" t="s">
        <v>0</v>
      </c>
      <c r="AB263" s="11" t="s">
        <v>0</v>
      </c>
      <c r="AC263" s="11" t="s">
        <v>0</v>
      </c>
      <c r="AD263" s="11" t="s">
        <v>0</v>
      </c>
      <c r="AE263" s="11" t="s">
        <v>2090</v>
      </c>
    </row>
    <row r="264">
      <c r="B264" s="24" t="s">
        <v>1</v>
      </c>
      <c r="C264" s="12" t="s">
        <v>271</v>
      </c>
      <c r="D264" s="11" t="s">
        <v>828</v>
      </c>
      <c r="E264" s="11" t="s">
        <v>1175</v>
      </c>
      <c r="F264" s="12" t="s">
        <v>1273</v>
      </c>
      <c r="G264" s="12" t="s">
        <v>1302</v>
      </c>
      <c r="H264" s="12" t="s">
        <v>1302</v>
      </c>
      <c r="I264" s="12" t="s">
        <v>1311</v>
      </c>
      <c r="J264" s="12" t="s">
        <v>1175</v>
      </c>
      <c r="K264" s="12" t="s">
        <v>1326</v>
      </c>
      <c r="L264" s="12" t="s">
        <v>1303</v>
      </c>
      <c r="M264" s="12" t="s">
        <v>0</v>
      </c>
      <c r="N264" s="13" t="s">
        <v>1578</v>
      </c>
      <c r="O264" s="11" t="s">
        <v>1326</v>
      </c>
      <c r="P264" s="11" t="s">
        <v>1876</v>
      </c>
      <c r="Q264" s="11" t="s">
        <v>1306</v>
      </c>
      <c r="R264" s="11" t="s">
        <v>1882</v>
      </c>
      <c r="S264" s="11" t="s">
        <v>0</v>
      </c>
      <c r="T264" s="11" t="s">
        <v>1306</v>
      </c>
      <c r="U264" s="11" t="s">
        <v>0</v>
      </c>
      <c r="V264" s="11" t="s">
        <v>0</v>
      </c>
      <c r="W264" s="11" t="s">
        <v>0</v>
      </c>
      <c r="X264" s="11" t="s">
        <v>0</v>
      </c>
      <c r="Y264" s="11" t="s">
        <v>0</v>
      </c>
      <c r="Z264" s="11" t="s">
        <v>0</v>
      </c>
      <c r="AA264" s="11" t="s">
        <v>0</v>
      </c>
      <c r="AB264" s="11" t="s">
        <v>0</v>
      </c>
      <c r="AC264" s="11" t="s">
        <v>0</v>
      </c>
      <c r="AD264" s="11" t="s">
        <v>0</v>
      </c>
      <c r="AE264" s="11" t="s">
        <v>2090</v>
      </c>
    </row>
    <row r="265">
      <c r="B265" s="24" t="s">
        <v>1</v>
      </c>
      <c r="C265" s="12" t="s">
        <v>272</v>
      </c>
      <c r="D265" s="11" t="s">
        <v>829</v>
      </c>
      <c r="E265" s="11" t="s">
        <v>1176</v>
      </c>
      <c r="F265" s="12" t="s">
        <v>1285</v>
      </c>
      <c r="G265" s="12" t="s">
        <v>1302</v>
      </c>
      <c r="H265" s="12" t="s">
        <v>1302</v>
      </c>
      <c r="I265" s="12" t="s">
        <v>1310</v>
      </c>
      <c r="J265" s="12" t="s">
        <v>1321</v>
      </c>
      <c r="K265" s="12" t="s">
        <v>1176</v>
      </c>
      <c r="L265" s="12" t="s">
        <v>1303</v>
      </c>
      <c r="M265" s="12" t="s">
        <v>0</v>
      </c>
      <c r="N265" s="13" t="s">
        <v>1579</v>
      </c>
      <c r="O265" s="11" t="s">
        <v>1841</v>
      </c>
      <c r="P265" s="11" t="s">
        <v>1875</v>
      </c>
      <c r="Q265" s="11" t="s">
        <v>1307</v>
      </c>
      <c r="R265" s="11" t="s">
        <v>1882</v>
      </c>
      <c r="S265" s="11" t="s">
        <v>1307</v>
      </c>
      <c r="T265" s="11" t="s">
        <v>1307</v>
      </c>
      <c r="U265" s="11" t="s">
        <v>1890</v>
      </c>
      <c r="V265" s="11" t="s">
        <v>1897</v>
      </c>
      <c r="W265" s="11" t="s">
        <v>0</v>
      </c>
      <c r="X265" s="11" t="s">
        <v>0</v>
      </c>
      <c r="Y265" s="11" t="s">
        <v>0</v>
      </c>
      <c r="Z265" s="11" t="s">
        <v>0</v>
      </c>
      <c r="AA265" s="11" t="s">
        <v>0</v>
      </c>
      <c r="AB265" s="11" t="s">
        <v>0</v>
      </c>
      <c r="AC265" s="11" t="s">
        <v>0</v>
      </c>
      <c r="AD265" s="11" t="s">
        <v>0</v>
      </c>
      <c r="AE265" s="11" t="s">
        <v>13</v>
      </c>
    </row>
    <row r="266">
      <c r="B266" s="24" t="s">
        <v>1</v>
      </c>
      <c r="C266" s="12" t="s">
        <v>273</v>
      </c>
      <c r="D266" s="11" t="s">
        <v>830</v>
      </c>
      <c r="E266" s="11" t="s">
        <v>1176</v>
      </c>
      <c r="F266" s="12" t="s">
        <v>1273</v>
      </c>
      <c r="G266" s="12" t="s">
        <v>1302</v>
      </c>
      <c r="H266" s="12" t="s">
        <v>1302</v>
      </c>
      <c r="I266" s="12" t="s">
        <v>1310</v>
      </c>
      <c r="J266" s="12" t="s">
        <v>1321</v>
      </c>
      <c r="K266" s="12" t="s">
        <v>1176</v>
      </c>
      <c r="L266" s="12" t="s">
        <v>1303</v>
      </c>
      <c r="M266" s="12" t="s">
        <v>0</v>
      </c>
      <c r="N266" s="13" t="s">
        <v>1580</v>
      </c>
      <c r="O266" s="11" t="s">
        <v>1841</v>
      </c>
      <c r="P266" s="11" t="s">
        <v>1875</v>
      </c>
      <c r="Q266" s="11" t="s">
        <v>1307</v>
      </c>
      <c r="R266" s="11" t="s">
        <v>1882</v>
      </c>
      <c r="S266" s="11" t="s">
        <v>1307</v>
      </c>
      <c r="T266" s="11" t="s">
        <v>1307</v>
      </c>
      <c r="U266" s="11" t="s">
        <v>1890</v>
      </c>
      <c r="V266" s="11" t="s">
        <v>1897</v>
      </c>
      <c r="W266" s="11" t="s">
        <v>0</v>
      </c>
      <c r="X266" s="11" t="s">
        <v>0</v>
      </c>
      <c r="Y266" s="11" t="s">
        <v>0</v>
      </c>
      <c r="Z266" s="11" t="s">
        <v>0</v>
      </c>
      <c r="AA266" s="11" t="s">
        <v>0</v>
      </c>
      <c r="AB266" s="11" t="s">
        <v>0</v>
      </c>
      <c r="AC266" s="11" t="s">
        <v>0</v>
      </c>
      <c r="AD266" s="11" t="s">
        <v>0</v>
      </c>
      <c r="AE266" s="11" t="s">
        <v>13</v>
      </c>
    </row>
    <row r="267">
      <c r="B267" s="24" t="s">
        <v>1</v>
      </c>
      <c r="C267" s="12" t="s">
        <v>274</v>
      </c>
      <c r="D267" s="11" t="s">
        <v>831</v>
      </c>
      <c r="E267" s="11" t="s">
        <v>1176</v>
      </c>
      <c r="F267" s="12" t="s">
        <v>1274</v>
      </c>
      <c r="G267" s="12" t="s">
        <v>1302</v>
      </c>
      <c r="H267" s="12" t="s">
        <v>1302</v>
      </c>
      <c r="I267" s="12" t="s">
        <v>1310</v>
      </c>
      <c r="J267" s="12" t="s">
        <v>1321</v>
      </c>
      <c r="K267" s="12" t="s">
        <v>1176</v>
      </c>
      <c r="L267" s="12" t="s">
        <v>1303</v>
      </c>
      <c r="M267" s="12" t="s">
        <v>0</v>
      </c>
      <c r="N267" s="13" t="s">
        <v>1581</v>
      </c>
      <c r="O267" s="11" t="s">
        <v>1841</v>
      </c>
      <c r="P267" s="11" t="s">
        <v>1875</v>
      </c>
      <c r="Q267" s="11" t="s">
        <v>1307</v>
      </c>
      <c r="R267" s="11" t="s">
        <v>1882</v>
      </c>
      <c r="S267" s="11" t="s">
        <v>1307</v>
      </c>
      <c r="T267" s="11" t="s">
        <v>1307</v>
      </c>
      <c r="U267" s="11" t="s">
        <v>1890</v>
      </c>
      <c r="V267" s="11" t="s">
        <v>1897</v>
      </c>
      <c r="W267" s="11" t="s">
        <v>0</v>
      </c>
      <c r="X267" s="11" t="s">
        <v>0</v>
      </c>
      <c r="Y267" s="11" t="s">
        <v>0</v>
      </c>
      <c r="Z267" s="11" t="s">
        <v>0</v>
      </c>
      <c r="AA267" s="11" t="s">
        <v>0</v>
      </c>
      <c r="AB267" s="11" t="s">
        <v>0</v>
      </c>
      <c r="AC267" s="11" t="s">
        <v>0</v>
      </c>
      <c r="AD267" s="11" t="s">
        <v>0</v>
      </c>
      <c r="AE267" s="11" t="s">
        <v>13</v>
      </c>
    </row>
    <row r="268">
      <c r="B268" s="24" t="s">
        <v>8</v>
      </c>
      <c r="C268" s="12" t="s">
        <v>275</v>
      </c>
      <c r="D268" s="11" t="s">
        <v>832</v>
      </c>
      <c r="E268" s="11" t="s">
        <v>1176</v>
      </c>
      <c r="F268" s="12" t="s">
        <v>8</v>
      </c>
      <c r="G268" s="12" t="s">
        <v>1302</v>
      </c>
      <c r="H268" s="12" t="s">
        <v>1302</v>
      </c>
      <c r="I268" s="12" t="s">
        <v>1310</v>
      </c>
      <c r="J268" s="12" t="s">
        <v>1321</v>
      </c>
      <c r="K268" s="12" t="s">
        <v>1176</v>
      </c>
      <c r="L268" s="12" t="s">
        <v>1303</v>
      </c>
      <c r="M268" s="12" t="s">
        <v>0</v>
      </c>
      <c r="N268" s="13" t="s">
        <v>1582</v>
      </c>
      <c r="O268" s="11" t="s">
        <v>1841</v>
      </c>
      <c r="P268" s="11" t="s">
        <v>1875</v>
      </c>
      <c r="Q268" s="11" t="s">
        <v>1307</v>
      </c>
      <c r="R268" s="11" t="s">
        <v>1882</v>
      </c>
      <c r="S268" s="11" t="s">
        <v>1307</v>
      </c>
      <c r="T268" s="11" t="s">
        <v>1307</v>
      </c>
      <c r="U268" s="11" t="s">
        <v>1891</v>
      </c>
      <c r="V268" s="11" t="s">
        <v>1890</v>
      </c>
      <c r="W268" s="11" t="s">
        <v>1931</v>
      </c>
      <c r="X268" s="11" t="s">
        <v>0</v>
      </c>
      <c r="Y268" s="11" t="s">
        <v>0</v>
      </c>
      <c r="Z268" s="11" t="s">
        <v>0</v>
      </c>
      <c r="AA268" s="11" t="s">
        <v>0</v>
      </c>
      <c r="AB268" s="11" t="s">
        <v>0</v>
      </c>
      <c r="AC268" s="11" t="s">
        <v>0</v>
      </c>
      <c r="AD268" s="11" t="s">
        <v>0</v>
      </c>
      <c r="AE268" s="11" t="s">
        <v>13</v>
      </c>
    </row>
    <row r="269">
      <c r="B269" s="24" t="s">
        <v>1</v>
      </c>
      <c r="C269" s="12" t="s">
        <v>276</v>
      </c>
      <c r="D269" s="11" t="s">
        <v>833</v>
      </c>
      <c r="E269" s="11" t="s">
        <v>1176</v>
      </c>
      <c r="F269" s="12" t="s">
        <v>1275</v>
      </c>
      <c r="G269" s="12" t="s">
        <v>1302</v>
      </c>
      <c r="H269" s="12" t="s">
        <v>1302</v>
      </c>
      <c r="I269" s="12" t="s">
        <v>1310</v>
      </c>
      <c r="J269" s="12" t="s">
        <v>1321</v>
      </c>
      <c r="K269" s="12" t="s">
        <v>1176</v>
      </c>
      <c r="L269" s="12" t="s">
        <v>1303</v>
      </c>
      <c r="M269" s="12" t="s">
        <v>0</v>
      </c>
      <c r="N269" s="13" t="s">
        <v>1583</v>
      </c>
      <c r="O269" s="11" t="s">
        <v>1841</v>
      </c>
      <c r="P269" s="11" t="s">
        <v>1875</v>
      </c>
      <c r="Q269" s="11" t="s">
        <v>1307</v>
      </c>
      <c r="R269" s="11" t="s">
        <v>1882</v>
      </c>
      <c r="S269" s="11" t="s">
        <v>1307</v>
      </c>
      <c r="T269" s="11" t="s">
        <v>1307</v>
      </c>
      <c r="U269" s="11" t="s">
        <v>1888</v>
      </c>
      <c r="V269" s="11" t="s">
        <v>1897</v>
      </c>
      <c r="W269" s="11" t="s">
        <v>0</v>
      </c>
      <c r="X269" s="11" t="s">
        <v>0</v>
      </c>
      <c r="Y269" s="11" t="s">
        <v>0</v>
      </c>
      <c r="Z269" s="11" t="s">
        <v>1967</v>
      </c>
      <c r="AA269" s="11" t="s">
        <v>1967</v>
      </c>
      <c r="AB269" s="11" t="s">
        <v>2003</v>
      </c>
      <c r="AC269" s="11" t="s">
        <v>42</v>
      </c>
      <c r="AD269" s="11" t="s">
        <v>0</v>
      </c>
      <c r="AE269" s="11" t="s">
        <v>13</v>
      </c>
    </row>
    <row r="270">
      <c r="B270" s="24" t="s">
        <v>4</v>
      </c>
      <c r="C270" s="12" t="s">
        <v>277</v>
      </c>
      <c r="D270" s="11" t="s">
        <v>834</v>
      </c>
      <c r="E270" s="11" t="s">
        <v>1176</v>
      </c>
      <c r="F270" s="12" t="s">
        <v>4</v>
      </c>
      <c r="G270" s="12" t="s">
        <v>1302</v>
      </c>
      <c r="H270" s="12" t="s">
        <v>1302</v>
      </c>
      <c r="I270" s="12" t="s">
        <v>1310</v>
      </c>
      <c r="J270" s="12" t="s">
        <v>1321</v>
      </c>
      <c r="K270" s="12" t="s">
        <v>1176</v>
      </c>
      <c r="L270" s="12" t="s">
        <v>1303</v>
      </c>
      <c r="M270" s="12" t="s">
        <v>0</v>
      </c>
      <c r="N270" s="13" t="s">
        <v>1584</v>
      </c>
      <c r="O270" s="11" t="s">
        <v>1841</v>
      </c>
      <c r="P270" s="11" t="s">
        <v>1875</v>
      </c>
      <c r="Q270" s="11" t="s">
        <v>1307</v>
      </c>
      <c r="R270" s="11" t="s">
        <v>1882</v>
      </c>
      <c r="S270" s="11" t="s">
        <v>1307</v>
      </c>
      <c r="T270" s="11" t="s">
        <v>1307</v>
      </c>
      <c r="U270" s="11" t="s">
        <v>1890</v>
      </c>
      <c r="V270" s="11" t="s">
        <v>1897</v>
      </c>
      <c r="W270" s="11" t="s">
        <v>0</v>
      </c>
      <c r="X270" s="11" t="s">
        <v>0</v>
      </c>
      <c r="Y270" s="11" t="s">
        <v>0</v>
      </c>
      <c r="Z270" s="11" t="s">
        <v>0</v>
      </c>
      <c r="AA270" s="11" t="s">
        <v>0</v>
      </c>
      <c r="AB270" s="11" t="s">
        <v>0</v>
      </c>
      <c r="AC270" s="11" t="s">
        <v>0</v>
      </c>
      <c r="AD270" s="11" t="s">
        <v>0</v>
      </c>
      <c r="AE270" s="11" t="s">
        <v>13</v>
      </c>
    </row>
    <row r="271">
      <c r="B271" s="24" t="s">
        <v>4</v>
      </c>
      <c r="C271" s="12" t="s">
        <v>278</v>
      </c>
      <c r="D271" s="11" t="s">
        <v>835</v>
      </c>
      <c r="E271" s="11" t="s">
        <v>1176</v>
      </c>
      <c r="F271" s="12" t="s">
        <v>4</v>
      </c>
      <c r="G271" s="12" t="s">
        <v>1302</v>
      </c>
      <c r="H271" s="12" t="s">
        <v>1302</v>
      </c>
      <c r="I271" s="12" t="s">
        <v>1310</v>
      </c>
      <c r="J271" s="12" t="s">
        <v>1321</v>
      </c>
      <c r="K271" s="12" t="s">
        <v>1176</v>
      </c>
      <c r="L271" s="12" t="s">
        <v>1303</v>
      </c>
      <c r="M271" s="12" t="s">
        <v>0</v>
      </c>
      <c r="N271" s="13" t="s">
        <v>1585</v>
      </c>
      <c r="O271" s="11" t="s">
        <v>1841</v>
      </c>
      <c r="P271" s="11" t="s">
        <v>1875</v>
      </c>
      <c r="Q271" s="11" t="s">
        <v>1307</v>
      </c>
      <c r="R271" s="11" t="s">
        <v>1882</v>
      </c>
      <c r="S271" s="11" t="s">
        <v>1307</v>
      </c>
      <c r="T271" s="11" t="s">
        <v>1307</v>
      </c>
      <c r="U271" s="11" t="s">
        <v>1890</v>
      </c>
      <c r="V271" s="11" t="s">
        <v>1897</v>
      </c>
      <c r="W271" s="11" t="s">
        <v>0</v>
      </c>
      <c r="X271" s="11" t="s">
        <v>0</v>
      </c>
      <c r="Y271" s="11" t="s">
        <v>0</v>
      </c>
      <c r="Z271" s="11" t="s">
        <v>0</v>
      </c>
      <c r="AA271" s="11" t="s">
        <v>0</v>
      </c>
      <c r="AB271" s="11" t="s">
        <v>0</v>
      </c>
      <c r="AC271" s="11" t="s">
        <v>0</v>
      </c>
      <c r="AD271" s="11" t="s">
        <v>0</v>
      </c>
      <c r="AE271" s="11" t="s">
        <v>13</v>
      </c>
    </row>
    <row r="272">
      <c r="B272" s="24" t="s">
        <v>1</v>
      </c>
      <c r="C272" s="12" t="s">
        <v>279</v>
      </c>
      <c r="D272" s="11" t="s">
        <v>836</v>
      </c>
      <c r="E272" s="11" t="s">
        <v>1176</v>
      </c>
      <c r="F272" s="12" t="s">
        <v>1290</v>
      </c>
      <c r="G272" s="12" t="s">
        <v>1302</v>
      </c>
      <c r="H272" s="12" t="s">
        <v>1302</v>
      </c>
      <c r="I272" s="12" t="s">
        <v>1310</v>
      </c>
      <c r="J272" s="12" t="s">
        <v>1321</v>
      </c>
      <c r="K272" s="12" t="s">
        <v>1176</v>
      </c>
      <c r="L272" s="12" t="s">
        <v>1303</v>
      </c>
      <c r="M272" s="12" t="s">
        <v>0</v>
      </c>
      <c r="N272" s="13" t="s">
        <v>1586</v>
      </c>
      <c r="O272" s="11" t="s">
        <v>1841</v>
      </c>
      <c r="P272" s="11" t="s">
        <v>1875</v>
      </c>
      <c r="Q272" s="11" t="s">
        <v>1307</v>
      </c>
      <c r="R272" s="11" t="s">
        <v>1882</v>
      </c>
      <c r="S272" s="11" t="s">
        <v>1307</v>
      </c>
      <c r="T272" s="11" t="s">
        <v>1307</v>
      </c>
      <c r="U272" s="11" t="s">
        <v>1891</v>
      </c>
      <c r="V272" s="11" t="s">
        <v>1897</v>
      </c>
      <c r="W272" s="11" t="s">
        <v>1932</v>
      </c>
      <c r="X272" s="11" t="s">
        <v>0</v>
      </c>
      <c r="Y272" s="11" t="s">
        <v>0</v>
      </c>
      <c r="Z272" s="11" t="s">
        <v>0</v>
      </c>
      <c r="AA272" s="11" t="s">
        <v>0</v>
      </c>
      <c r="AB272" s="11" t="s">
        <v>0</v>
      </c>
      <c r="AC272" s="11" t="s">
        <v>0</v>
      </c>
      <c r="AD272" s="11" t="s">
        <v>2072</v>
      </c>
      <c r="AE272" s="11" t="s">
        <v>13</v>
      </c>
    </row>
    <row r="273">
      <c r="B273" s="24" t="s">
        <v>1</v>
      </c>
      <c r="C273" s="12" t="s">
        <v>280</v>
      </c>
      <c r="D273" s="11" t="s">
        <v>837</v>
      </c>
      <c r="E273" s="11" t="s">
        <v>1176</v>
      </c>
      <c r="F273" s="12" t="s">
        <v>1291</v>
      </c>
      <c r="G273" s="12" t="s">
        <v>1302</v>
      </c>
      <c r="H273" s="12" t="s">
        <v>1302</v>
      </c>
      <c r="I273" s="12" t="s">
        <v>1310</v>
      </c>
      <c r="J273" s="12" t="s">
        <v>1321</v>
      </c>
      <c r="K273" s="12" t="s">
        <v>1176</v>
      </c>
      <c r="L273" s="12" t="s">
        <v>1303</v>
      </c>
      <c r="M273" s="12" t="s">
        <v>0</v>
      </c>
      <c r="N273" s="13" t="s">
        <v>1587</v>
      </c>
      <c r="O273" s="11" t="s">
        <v>1841</v>
      </c>
      <c r="P273" s="11" t="s">
        <v>1875</v>
      </c>
      <c r="Q273" s="11" t="s">
        <v>1307</v>
      </c>
      <c r="R273" s="11" t="s">
        <v>1882</v>
      </c>
      <c r="S273" s="11" t="s">
        <v>1307</v>
      </c>
      <c r="T273" s="11" t="s">
        <v>1307</v>
      </c>
      <c r="U273" s="11" t="s">
        <v>1890</v>
      </c>
      <c r="V273" s="11" t="s">
        <v>1897</v>
      </c>
      <c r="W273" s="11" t="s">
        <v>0</v>
      </c>
      <c r="X273" s="11" t="s">
        <v>0</v>
      </c>
      <c r="Y273" s="11" t="s">
        <v>0</v>
      </c>
      <c r="Z273" s="11" t="s">
        <v>0</v>
      </c>
      <c r="AA273" s="11" t="s">
        <v>0</v>
      </c>
      <c r="AB273" s="11" t="s">
        <v>0</v>
      </c>
      <c r="AC273" s="11" t="s">
        <v>0</v>
      </c>
      <c r="AD273" s="11" t="s">
        <v>0</v>
      </c>
      <c r="AE273" s="11" t="s">
        <v>13</v>
      </c>
    </row>
    <row r="274">
      <c r="B274" s="24" t="s">
        <v>1</v>
      </c>
      <c r="C274" s="12" t="s">
        <v>281</v>
      </c>
      <c r="D274" s="11" t="s">
        <v>838</v>
      </c>
      <c r="E274" s="11" t="s">
        <v>1176</v>
      </c>
      <c r="F274" s="12" t="s">
        <v>1277</v>
      </c>
      <c r="G274" s="12" t="s">
        <v>1302</v>
      </c>
      <c r="H274" s="12" t="s">
        <v>1302</v>
      </c>
      <c r="I274" s="12" t="s">
        <v>1311</v>
      </c>
      <c r="J274" s="12" t="s">
        <v>1321</v>
      </c>
      <c r="K274" s="12" t="s">
        <v>1176</v>
      </c>
      <c r="L274" s="12" t="s">
        <v>1303</v>
      </c>
      <c r="M274" s="12" t="s">
        <v>0</v>
      </c>
      <c r="N274" s="13" t="s">
        <v>1588</v>
      </c>
      <c r="O274" s="11" t="s">
        <v>1841</v>
      </c>
      <c r="P274" s="11" t="s">
        <v>1875</v>
      </c>
      <c r="Q274" s="11" t="s">
        <v>1307</v>
      </c>
      <c r="R274" s="11" t="s">
        <v>1882</v>
      </c>
      <c r="S274" s="11" t="s">
        <v>0</v>
      </c>
      <c r="T274" s="11" t="s">
        <v>1306</v>
      </c>
      <c r="U274" s="11" t="s">
        <v>0</v>
      </c>
      <c r="V274" s="11" t="s">
        <v>0</v>
      </c>
      <c r="W274" s="11" t="s">
        <v>0</v>
      </c>
      <c r="X274" s="11" t="s">
        <v>0</v>
      </c>
      <c r="Y274" s="11" t="s">
        <v>0</v>
      </c>
      <c r="Z274" s="11" t="s">
        <v>0</v>
      </c>
      <c r="AA274" s="11" t="s">
        <v>0</v>
      </c>
      <c r="AB274" s="11" t="s">
        <v>0</v>
      </c>
      <c r="AC274" s="11" t="s">
        <v>0</v>
      </c>
      <c r="AD274" s="11" t="s">
        <v>0</v>
      </c>
      <c r="AE274" s="11" t="s">
        <v>2090</v>
      </c>
    </row>
    <row r="275">
      <c r="B275" s="24" t="s">
        <v>1</v>
      </c>
      <c r="C275" s="12" t="s">
        <v>282</v>
      </c>
      <c r="D275" s="11" t="s">
        <v>839</v>
      </c>
      <c r="E275" s="11" t="s">
        <v>1176</v>
      </c>
      <c r="F275" s="12" t="s">
        <v>1278</v>
      </c>
      <c r="G275" s="12" t="s">
        <v>1302</v>
      </c>
      <c r="H275" s="12" t="s">
        <v>1302</v>
      </c>
      <c r="I275" s="12" t="s">
        <v>1311</v>
      </c>
      <c r="J275" s="12" t="s">
        <v>1321</v>
      </c>
      <c r="K275" s="12" t="s">
        <v>1176</v>
      </c>
      <c r="L275" s="12" t="s">
        <v>1303</v>
      </c>
      <c r="M275" s="12" t="s">
        <v>0</v>
      </c>
      <c r="N275" s="13" t="s">
        <v>1589</v>
      </c>
      <c r="O275" s="11" t="s">
        <v>1841</v>
      </c>
      <c r="P275" s="11" t="s">
        <v>1875</v>
      </c>
      <c r="Q275" s="11" t="s">
        <v>1307</v>
      </c>
      <c r="R275" s="11" t="s">
        <v>1882</v>
      </c>
      <c r="S275" s="11" t="s">
        <v>0</v>
      </c>
      <c r="T275" s="11" t="s">
        <v>1306</v>
      </c>
      <c r="U275" s="11" t="s">
        <v>0</v>
      </c>
      <c r="V275" s="11" t="s">
        <v>0</v>
      </c>
      <c r="W275" s="11" t="s">
        <v>0</v>
      </c>
      <c r="X275" s="11" t="s">
        <v>0</v>
      </c>
      <c r="Y275" s="11" t="s">
        <v>0</v>
      </c>
      <c r="Z275" s="11" t="s">
        <v>0</v>
      </c>
      <c r="AA275" s="11" t="s">
        <v>0</v>
      </c>
      <c r="AB275" s="11" t="s">
        <v>0</v>
      </c>
      <c r="AC275" s="11" t="s">
        <v>0</v>
      </c>
      <c r="AD275" s="11" t="s">
        <v>0</v>
      </c>
      <c r="AE275" s="11" t="s">
        <v>2090</v>
      </c>
    </row>
    <row r="276">
      <c r="B276" s="24" t="s">
        <v>1</v>
      </c>
      <c r="C276" s="12" t="s">
        <v>283</v>
      </c>
      <c r="D276" s="11" t="s">
        <v>840</v>
      </c>
      <c r="E276" s="11" t="s">
        <v>1176</v>
      </c>
      <c r="F276" s="12" t="s">
        <v>1293</v>
      </c>
      <c r="G276" s="12" t="s">
        <v>1302</v>
      </c>
      <c r="H276" s="12" t="s">
        <v>1302</v>
      </c>
      <c r="I276" s="12" t="s">
        <v>1311</v>
      </c>
      <c r="J276" s="12" t="s">
        <v>1321</v>
      </c>
      <c r="K276" s="12" t="s">
        <v>1176</v>
      </c>
      <c r="L276" s="12" t="s">
        <v>1303</v>
      </c>
      <c r="M276" s="12" t="s">
        <v>0</v>
      </c>
      <c r="N276" s="13" t="s">
        <v>1590</v>
      </c>
      <c r="O276" s="11" t="s">
        <v>1841</v>
      </c>
      <c r="P276" s="11" t="s">
        <v>1875</v>
      </c>
      <c r="Q276" s="11" t="s">
        <v>1307</v>
      </c>
      <c r="R276" s="11" t="s">
        <v>1882</v>
      </c>
      <c r="S276" s="11" t="s">
        <v>0</v>
      </c>
      <c r="T276" s="11" t="s">
        <v>1306</v>
      </c>
      <c r="U276" s="11" t="s">
        <v>0</v>
      </c>
      <c r="V276" s="11" t="s">
        <v>0</v>
      </c>
      <c r="W276" s="11" t="s">
        <v>0</v>
      </c>
      <c r="X276" s="11" t="s">
        <v>0</v>
      </c>
      <c r="Y276" s="11" t="s">
        <v>0</v>
      </c>
      <c r="Z276" s="11" t="s">
        <v>0</v>
      </c>
      <c r="AA276" s="11" t="s">
        <v>0</v>
      </c>
      <c r="AB276" s="11" t="s">
        <v>0</v>
      </c>
      <c r="AC276" s="11" t="s">
        <v>0</v>
      </c>
      <c r="AD276" s="11" t="s">
        <v>0</v>
      </c>
      <c r="AE276" s="11" t="s">
        <v>2090</v>
      </c>
    </row>
    <row r="277">
      <c r="B277" s="24" t="s">
        <v>1</v>
      </c>
      <c r="C277" s="12" t="s">
        <v>284</v>
      </c>
      <c r="D277" s="11" t="s">
        <v>841</v>
      </c>
      <c r="E277" s="11" t="s">
        <v>1176</v>
      </c>
      <c r="F277" s="12" t="s">
        <v>1300</v>
      </c>
      <c r="G277" s="12" t="s">
        <v>1302</v>
      </c>
      <c r="H277" s="12" t="s">
        <v>1302</v>
      </c>
      <c r="I277" s="12" t="s">
        <v>1311</v>
      </c>
      <c r="J277" s="12" t="s">
        <v>1321</v>
      </c>
      <c r="K277" s="12" t="s">
        <v>1176</v>
      </c>
      <c r="L277" s="12" t="s">
        <v>1303</v>
      </c>
      <c r="M277" s="12" t="s">
        <v>0</v>
      </c>
      <c r="N277" s="13" t="s">
        <v>1591</v>
      </c>
      <c r="O277" s="11" t="s">
        <v>1841</v>
      </c>
      <c r="P277" s="11" t="s">
        <v>1875</v>
      </c>
      <c r="Q277" s="11" t="s">
        <v>1307</v>
      </c>
      <c r="R277" s="11" t="s">
        <v>1882</v>
      </c>
      <c r="S277" s="11" t="s">
        <v>0</v>
      </c>
      <c r="T277" s="11" t="s">
        <v>1306</v>
      </c>
      <c r="U277" s="11" t="s">
        <v>0</v>
      </c>
      <c r="V277" s="11" t="s">
        <v>0</v>
      </c>
      <c r="W277" s="11" t="s">
        <v>0</v>
      </c>
      <c r="X277" s="11" t="s">
        <v>0</v>
      </c>
      <c r="Y277" s="11" t="s">
        <v>0</v>
      </c>
      <c r="Z277" s="11" t="s">
        <v>0</v>
      </c>
      <c r="AA277" s="11" t="s">
        <v>0</v>
      </c>
      <c r="AB277" s="11" t="s">
        <v>0</v>
      </c>
      <c r="AC277" s="11" t="s">
        <v>0</v>
      </c>
      <c r="AD277" s="11" t="s">
        <v>0</v>
      </c>
      <c r="AE277" s="11" t="s">
        <v>2090</v>
      </c>
    </row>
    <row r="278">
      <c r="B278" s="24" t="s">
        <v>1</v>
      </c>
      <c r="C278" s="12" t="s">
        <v>285</v>
      </c>
      <c r="D278" s="11" t="s">
        <v>842</v>
      </c>
      <c r="E278" s="11" t="s">
        <v>1176</v>
      </c>
      <c r="F278" s="12" t="s">
        <v>1288</v>
      </c>
      <c r="G278" s="12" t="s">
        <v>1302</v>
      </c>
      <c r="H278" s="12" t="s">
        <v>1302</v>
      </c>
      <c r="I278" s="12" t="s">
        <v>1311</v>
      </c>
      <c r="J278" s="12" t="s">
        <v>1321</v>
      </c>
      <c r="K278" s="12" t="s">
        <v>1176</v>
      </c>
      <c r="L278" s="12" t="s">
        <v>1303</v>
      </c>
      <c r="M278" s="12" t="s">
        <v>0</v>
      </c>
      <c r="N278" s="13" t="s">
        <v>1592</v>
      </c>
      <c r="O278" s="11" t="s">
        <v>1841</v>
      </c>
      <c r="P278" s="11" t="s">
        <v>1875</v>
      </c>
      <c r="Q278" s="11" t="s">
        <v>1307</v>
      </c>
      <c r="R278" s="11" t="s">
        <v>1882</v>
      </c>
      <c r="S278" s="11" t="s">
        <v>0</v>
      </c>
      <c r="T278" s="11" t="s">
        <v>1306</v>
      </c>
      <c r="U278" s="11" t="s">
        <v>0</v>
      </c>
      <c r="V278" s="11" t="s">
        <v>0</v>
      </c>
      <c r="W278" s="11" t="s">
        <v>0</v>
      </c>
      <c r="X278" s="11" t="s">
        <v>0</v>
      </c>
      <c r="Y278" s="11" t="s">
        <v>0</v>
      </c>
      <c r="Z278" s="11" t="s">
        <v>0</v>
      </c>
      <c r="AA278" s="11" t="s">
        <v>0</v>
      </c>
      <c r="AB278" s="11" t="s">
        <v>0</v>
      </c>
      <c r="AC278" s="11" t="s">
        <v>0</v>
      </c>
      <c r="AD278" s="11" t="s">
        <v>0</v>
      </c>
      <c r="AE278" s="11" t="s">
        <v>2090</v>
      </c>
    </row>
    <row r="279">
      <c r="B279" s="24" t="s">
        <v>1</v>
      </c>
      <c r="C279" s="12" t="s">
        <v>286</v>
      </c>
      <c r="D279" s="11" t="s">
        <v>843</v>
      </c>
      <c r="E279" s="11" t="s">
        <v>1176</v>
      </c>
      <c r="F279" s="12" t="s">
        <v>1280</v>
      </c>
      <c r="G279" s="12" t="s">
        <v>1302</v>
      </c>
      <c r="H279" s="12" t="s">
        <v>1302</v>
      </c>
      <c r="I279" s="12" t="s">
        <v>1311</v>
      </c>
      <c r="J279" s="12" t="s">
        <v>1321</v>
      </c>
      <c r="K279" s="12" t="s">
        <v>1176</v>
      </c>
      <c r="L279" s="12" t="s">
        <v>1303</v>
      </c>
      <c r="M279" s="12" t="s">
        <v>0</v>
      </c>
      <c r="N279" s="13" t="s">
        <v>1593</v>
      </c>
      <c r="O279" s="11" t="s">
        <v>1841</v>
      </c>
      <c r="P279" s="11" t="s">
        <v>1875</v>
      </c>
      <c r="Q279" s="11" t="s">
        <v>1307</v>
      </c>
      <c r="R279" s="11" t="s">
        <v>1882</v>
      </c>
      <c r="S279" s="11" t="s">
        <v>0</v>
      </c>
      <c r="T279" s="11" t="s">
        <v>1306</v>
      </c>
      <c r="U279" s="11" t="s">
        <v>0</v>
      </c>
      <c r="V279" s="11" t="s">
        <v>0</v>
      </c>
      <c r="W279" s="11" t="s">
        <v>0</v>
      </c>
      <c r="X279" s="11" t="s">
        <v>0</v>
      </c>
      <c r="Y279" s="11" t="s">
        <v>0</v>
      </c>
      <c r="Z279" s="11" t="s">
        <v>0</v>
      </c>
      <c r="AA279" s="11" t="s">
        <v>0</v>
      </c>
      <c r="AB279" s="11" t="s">
        <v>0</v>
      </c>
      <c r="AC279" s="11" t="s">
        <v>0</v>
      </c>
      <c r="AD279" s="11" t="s">
        <v>0</v>
      </c>
      <c r="AE279" s="11" t="s">
        <v>2090</v>
      </c>
    </row>
    <row r="280">
      <c r="B280" s="24" t="s">
        <v>1</v>
      </c>
      <c r="C280" s="12" t="s">
        <v>287</v>
      </c>
      <c r="D280" s="11" t="s">
        <v>844</v>
      </c>
      <c r="E280" s="11" t="s">
        <v>1176</v>
      </c>
      <c r="F280" s="12" t="s">
        <v>1283</v>
      </c>
      <c r="G280" s="12" t="s">
        <v>1302</v>
      </c>
      <c r="H280" s="12" t="s">
        <v>1302</v>
      </c>
      <c r="I280" s="12" t="s">
        <v>1311</v>
      </c>
      <c r="J280" s="12" t="s">
        <v>1321</v>
      </c>
      <c r="K280" s="12" t="s">
        <v>1176</v>
      </c>
      <c r="L280" s="12" t="s">
        <v>1303</v>
      </c>
      <c r="M280" s="12" t="s">
        <v>0</v>
      </c>
      <c r="N280" s="13" t="s">
        <v>1594</v>
      </c>
      <c r="O280" s="11" t="s">
        <v>1841</v>
      </c>
      <c r="P280" s="11" t="s">
        <v>1875</v>
      </c>
      <c r="Q280" s="11" t="s">
        <v>1307</v>
      </c>
      <c r="R280" s="11" t="s">
        <v>1882</v>
      </c>
      <c r="S280" s="11" t="s">
        <v>1307</v>
      </c>
      <c r="T280" s="11" t="s">
        <v>1306</v>
      </c>
      <c r="U280" s="11" t="s">
        <v>1890</v>
      </c>
      <c r="V280" s="11" t="s">
        <v>1910</v>
      </c>
      <c r="W280" s="11" t="s">
        <v>0</v>
      </c>
      <c r="X280" s="11" t="s">
        <v>0</v>
      </c>
      <c r="Y280" s="11" t="s">
        <v>0</v>
      </c>
      <c r="Z280" s="11" t="s">
        <v>0</v>
      </c>
      <c r="AA280" s="11" t="s">
        <v>0</v>
      </c>
      <c r="AB280" s="11" t="s">
        <v>0</v>
      </c>
      <c r="AC280" s="11" t="s">
        <v>0</v>
      </c>
      <c r="AD280" s="11" t="s">
        <v>0</v>
      </c>
      <c r="AE280" s="11" t="s">
        <v>13</v>
      </c>
    </row>
    <row r="281">
      <c r="B281" s="24" t="s">
        <v>1</v>
      </c>
      <c r="C281" s="12" t="s">
        <v>288</v>
      </c>
      <c r="D281" s="11" t="s">
        <v>845</v>
      </c>
      <c r="E281" s="11" t="s">
        <v>1176</v>
      </c>
      <c r="F281" s="12" t="s">
        <v>1298</v>
      </c>
      <c r="G281" s="12" t="s">
        <v>1302</v>
      </c>
      <c r="H281" s="12" t="s">
        <v>1302</v>
      </c>
      <c r="I281" s="12" t="s">
        <v>1311</v>
      </c>
      <c r="J281" s="12" t="s">
        <v>1321</v>
      </c>
      <c r="K281" s="12" t="s">
        <v>1176</v>
      </c>
      <c r="L281" s="12" t="s">
        <v>1303</v>
      </c>
      <c r="M281" s="12" t="s">
        <v>0</v>
      </c>
      <c r="N281" s="13" t="s">
        <v>1595</v>
      </c>
      <c r="O281" s="11" t="s">
        <v>1841</v>
      </c>
      <c r="P281" s="11" t="s">
        <v>1875</v>
      </c>
      <c r="Q281" s="11" t="s">
        <v>1307</v>
      </c>
      <c r="R281" s="11" t="s">
        <v>1882</v>
      </c>
      <c r="S281" s="11" t="s">
        <v>1307</v>
      </c>
      <c r="T281" s="11" t="s">
        <v>1306</v>
      </c>
      <c r="U281" s="11" t="s">
        <v>1890</v>
      </c>
      <c r="V281" s="11" t="s">
        <v>1910</v>
      </c>
      <c r="W281" s="11" t="s">
        <v>0</v>
      </c>
      <c r="X281" s="11" t="s">
        <v>0</v>
      </c>
      <c r="Y281" s="11" t="s">
        <v>0</v>
      </c>
      <c r="Z281" s="11" t="s">
        <v>0</v>
      </c>
      <c r="AA281" s="11" t="s">
        <v>0</v>
      </c>
      <c r="AB281" s="11" t="s">
        <v>0</v>
      </c>
      <c r="AC281" s="11" t="s">
        <v>0</v>
      </c>
      <c r="AD281" s="11" t="s">
        <v>0</v>
      </c>
      <c r="AE281" s="11" t="s">
        <v>13</v>
      </c>
    </row>
    <row r="282">
      <c r="B282" s="24" t="s">
        <v>2</v>
      </c>
      <c r="C282" s="12" t="s">
        <v>289</v>
      </c>
      <c r="D282" s="11" t="s">
        <v>846</v>
      </c>
      <c r="E282" s="11" t="s">
        <v>1176</v>
      </c>
      <c r="F282" s="12" t="s">
        <v>2</v>
      </c>
      <c r="G282" s="12" t="s">
        <v>1302</v>
      </c>
      <c r="H282" s="12" t="s">
        <v>1302</v>
      </c>
      <c r="I282" s="12" t="s">
        <v>1311</v>
      </c>
      <c r="J282" s="12" t="s">
        <v>1321</v>
      </c>
      <c r="K282" s="12" t="s">
        <v>1176</v>
      </c>
      <c r="L282" s="12" t="s">
        <v>1303</v>
      </c>
      <c r="M282" s="12" t="s">
        <v>0</v>
      </c>
      <c r="N282" s="13" t="s">
        <v>1596</v>
      </c>
      <c r="O282" s="11" t="s">
        <v>1841</v>
      </c>
      <c r="P282" s="11" t="s">
        <v>1875</v>
      </c>
      <c r="Q282" s="11" t="s">
        <v>1307</v>
      </c>
      <c r="R282" s="11" t="s">
        <v>1882</v>
      </c>
      <c r="S282" s="11" t="s">
        <v>1307</v>
      </c>
      <c r="T282" s="11" t="s">
        <v>1306</v>
      </c>
      <c r="U282" s="11" t="s">
        <v>1890</v>
      </c>
      <c r="V282" s="11" t="s">
        <v>1910</v>
      </c>
      <c r="W282" s="11" t="s">
        <v>0</v>
      </c>
      <c r="X282" s="11" t="s">
        <v>0</v>
      </c>
      <c r="Y282" s="11" t="s">
        <v>0</v>
      </c>
      <c r="Z282" s="11" t="s">
        <v>0</v>
      </c>
      <c r="AA282" s="11" t="s">
        <v>0</v>
      </c>
      <c r="AB282" s="11" t="s">
        <v>0</v>
      </c>
      <c r="AC282" s="11" t="s">
        <v>0</v>
      </c>
      <c r="AD282" s="11" t="s">
        <v>0</v>
      </c>
      <c r="AE282" s="11" t="s">
        <v>13</v>
      </c>
    </row>
    <row r="283">
      <c r="B283" s="24" t="s">
        <v>3</v>
      </c>
      <c r="C283" s="12" t="s">
        <v>290</v>
      </c>
      <c r="D283" s="11" t="s">
        <v>847</v>
      </c>
      <c r="E283" s="11" t="s">
        <v>1176</v>
      </c>
      <c r="F283" s="12" t="s">
        <v>3</v>
      </c>
      <c r="G283" s="12" t="s">
        <v>1302</v>
      </c>
      <c r="H283" s="12" t="s">
        <v>1302</v>
      </c>
      <c r="I283" s="12" t="s">
        <v>1311</v>
      </c>
      <c r="J283" s="12" t="s">
        <v>1321</v>
      </c>
      <c r="K283" s="12" t="s">
        <v>1176</v>
      </c>
      <c r="L283" s="12" t="s">
        <v>1303</v>
      </c>
      <c r="M283" s="12" t="s">
        <v>0</v>
      </c>
      <c r="N283" s="13" t="s">
        <v>1597</v>
      </c>
      <c r="O283" s="11" t="s">
        <v>1841</v>
      </c>
      <c r="P283" s="11" t="s">
        <v>1875</v>
      </c>
      <c r="Q283" s="11" t="s">
        <v>1307</v>
      </c>
      <c r="R283" s="11" t="s">
        <v>1882</v>
      </c>
      <c r="S283" s="11" t="s">
        <v>1307</v>
      </c>
      <c r="T283" s="11" t="s">
        <v>1306</v>
      </c>
      <c r="U283" s="11" t="s">
        <v>1890</v>
      </c>
      <c r="V283" s="11" t="s">
        <v>1910</v>
      </c>
      <c r="W283" s="11" t="s">
        <v>0</v>
      </c>
      <c r="X283" s="11" t="s">
        <v>0</v>
      </c>
      <c r="Y283" s="11" t="s">
        <v>0</v>
      </c>
      <c r="Z283" s="11" t="s">
        <v>0</v>
      </c>
      <c r="AA283" s="11" t="s">
        <v>0</v>
      </c>
      <c r="AB283" s="11" t="s">
        <v>0</v>
      </c>
      <c r="AC283" s="11" t="s">
        <v>0</v>
      </c>
      <c r="AD283" s="11" t="s">
        <v>0</v>
      </c>
      <c r="AE283" s="11" t="s">
        <v>13</v>
      </c>
    </row>
    <row r="284">
      <c r="B284" s="24" t="s">
        <v>5</v>
      </c>
      <c r="C284" s="12" t="s">
        <v>291</v>
      </c>
      <c r="D284" s="11" t="s">
        <v>848</v>
      </c>
      <c r="E284" s="11" t="s">
        <v>1176</v>
      </c>
      <c r="F284" s="12" t="s">
        <v>5</v>
      </c>
      <c r="G284" s="12" t="s">
        <v>1302</v>
      </c>
      <c r="H284" s="12" t="s">
        <v>1302</v>
      </c>
      <c r="I284" s="12" t="s">
        <v>1311</v>
      </c>
      <c r="J284" s="12" t="s">
        <v>1321</v>
      </c>
      <c r="K284" s="12" t="s">
        <v>1176</v>
      </c>
      <c r="L284" s="12" t="s">
        <v>1303</v>
      </c>
      <c r="M284" s="12" t="s">
        <v>0</v>
      </c>
      <c r="N284" s="13" t="s">
        <v>1598</v>
      </c>
      <c r="O284" s="11" t="s">
        <v>1841</v>
      </c>
      <c r="P284" s="11" t="s">
        <v>1875</v>
      </c>
      <c r="Q284" s="11" t="s">
        <v>1307</v>
      </c>
      <c r="R284" s="11" t="s">
        <v>1882</v>
      </c>
      <c r="S284" s="11" t="s">
        <v>0</v>
      </c>
      <c r="T284" s="11" t="s">
        <v>1306</v>
      </c>
      <c r="U284" s="11" t="s">
        <v>0</v>
      </c>
      <c r="V284" s="11" t="s">
        <v>0</v>
      </c>
      <c r="W284" s="11" t="s">
        <v>0</v>
      </c>
      <c r="X284" s="11" t="s">
        <v>0</v>
      </c>
      <c r="Y284" s="11" t="s">
        <v>0</v>
      </c>
      <c r="Z284" s="11" t="s">
        <v>0</v>
      </c>
      <c r="AA284" s="11" t="s">
        <v>0</v>
      </c>
      <c r="AB284" s="11" t="s">
        <v>0</v>
      </c>
      <c r="AC284" s="11" t="s">
        <v>0</v>
      </c>
      <c r="AD284" s="11" t="s">
        <v>0</v>
      </c>
      <c r="AE284" s="11" t="s">
        <v>2090</v>
      </c>
    </row>
    <row r="285">
      <c r="B285" s="24" t="s">
        <v>6</v>
      </c>
      <c r="C285" s="12" t="s">
        <v>292</v>
      </c>
      <c r="D285" s="11" t="s">
        <v>849</v>
      </c>
      <c r="E285" s="11" t="s">
        <v>1176</v>
      </c>
      <c r="F285" s="12" t="s">
        <v>6</v>
      </c>
      <c r="G285" s="12" t="s">
        <v>1302</v>
      </c>
      <c r="H285" s="12" t="s">
        <v>1302</v>
      </c>
      <c r="I285" s="12" t="s">
        <v>1311</v>
      </c>
      <c r="J285" s="12" t="s">
        <v>1321</v>
      </c>
      <c r="K285" s="12" t="s">
        <v>1176</v>
      </c>
      <c r="L285" s="12" t="s">
        <v>1303</v>
      </c>
      <c r="M285" s="12" t="s">
        <v>0</v>
      </c>
      <c r="N285" s="13" t="s">
        <v>1599</v>
      </c>
      <c r="O285" s="11" t="s">
        <v>1841</v>
      </c>
      <c r="P285" s="11" t="s">
        <v>1875</v>
      </c>
      <c r="Q285" s="11" t="s">
        <v>1307</v>
      </c>
      <c r="R285" s="11" t="s">
        <v>1882</v>
      </c>
      <c r="S285" s="11" t="s">
        <v>1307</v>
      </c>
      <c r="T285" s="11" t="s">
        <v>1306</v>
      </c>
      <c r="U285" s="11" t="s">
        <v>1890</v>
      </c>
      <c r="V285" s="11" t="s">
        <v>1910</v>
      </c>
      <c r="W285" s="11" t="s">
        <v>0</v>
      </c>
      <c r="X285" s="11" t="s">
        <v>0</v>
      </c>
      <c r="Y285" s="11" t="s">
        <v>0</v>
      </c>
      <c r="Z285" s="11" t="s">
        <v>0</v>
      </c>
      <c r="AA285" s="11" t="s">
        <v>0</v>
      </c>
      <c r="AB285" s="11" t="s">
        <v>0</v>
      </c>
      <c r="AC285" s="11" t="s">
        <v>0</v>
      </c>
      <c r="AD285" s="11" t="s">
        <v>0</v>
      </c>
      <c r="AE285" s="11" t="s">
        <v>13</v>
      </c>
    </row>
    <row r="286">
      <c r="B286" s="24" t="s">
        <v>8</v>
      </c>
      <c r="C286" s="12" t="s">
        <v>293</v>
      </c>
      <c r="D286" s="11" t="s">
        <v>850</v>
      </c>
      <c r="E286" s="11" t="s">
        <v>1176</v>
      </c>
      <c r="F286" s="12" t="s">
        <v>8</v>
      </c>
      <c r="G286" s="12" t="s">
        <v>1302</v>
      </c>
      <c r="H286" s="12" t="s">
        <v>1302</v>
      </c>
      <c r="I286" s="12" t="s">
        <v>1311</v>
      </c>
      <c r="J286" s="12" t="s">
        <v>1321</v>
      </c>
      <c r="K286" s="12" t="s">
        <v>1176</v>
      </c>
      <c r="L286" s="12" t="s">
        <v>1303</v>
      </c>
      <c r="M286" s="12" t="s">
        <v>0</v>
      </c>
      <c r="N286" s="13" t="s">
        <v>1600</v>
      </c>
      <c r="O286" s="11" t="s">
        <v>1841</v>
      </c>
      <c r="P286" s="11" t="s">
        <v>1875</v>
      </c>
      <c r="Q286" s="11" t="s">
        <v>1307</v>
      </c>
      <c r="R286" s="11" t="s">
        <v>1882</v>
      </c>
      <c r="S286" s="11" t="s">
        <v>1307</v>
      </c>
      <c r="T286" s="11" t="s">
        <v>1306</v>
      </c>
      <c r="U286" s="11" t="s">
        <v>1890</v>
      </c>
      <c r="V286" s="11" t="s">
        <v>1910</v>
      </c>
      <c r="W286" s="11" t="s">
        <v>0</v>
      </c>
      <c r="X286" s="11" t="s">
        <v>0</v>
      </c>
      <c r="Y286" s="11" t="s">
        <v>0</v>
      </c>
      <c r="Z286" s="11" t="s">
        <v>0</v>
      </c>
      <c r="AA286" s="11" t="s">
        <v>0</v>
      </c>
      <c r="AB286" s="11" t="s">
        <v>0</v>
      </c>
      <c r="AC286" s="11" t="s">
        <v>0</v>
      </c>
      <c r="AD286" s="11" t="s">
        <v>0</v>
      </c>
      <c r="AE286" s="11" t="s">
        <v>13</v>
      </c>
    </row>
    <row r="287">
      <c r="B287" s="24" t="s">
        <v>1</v>
      </c>
      <c r="C287" s="12" t="s">
        <v>294</v>
      </c>
      <c r="D287" s="11" t="s">
        <v>851</v>
      </c>
      <c r="E287" s="11" t="s">
        <v>1176</v>
      </c>
      <c r="F287" s="12" t="s">
        <v>1289</v>
      </c>
      <c r="G287" s="12" t="s">
        <v>1302</v>
      </c>
      <c r="H287" s="12" t="s">
        <v>1302</v>
      </c>
      <c r="I287" s="12" t="s">
        <v>1311</v>
      </c>
      <c r="J287" s="12" t="s">
        <v>1321</v>
      </c>
      <c r="K287" s="12" t="s">
        <v>1176</v>
      </c>
      <c r="L287" s="12" t="s">
        <v>1303</v>
      </c>
      <c r="M287" s="12" t="s">
        <v>0</v>
      </c>
      <c r="N287" s="13" t="s">
        <v>1601</v>
      </c>
      <c r="O287" s="11" t="s">
        <v>1841</v>
      </c>
      <c r="P287" s="11" t="s">
        <v>1875</v>
      </c>
      <c r="Q287" s="11" t="s">
        <v>1307</v>
      </c>
      <c r="R287" s="11" t="s">
        <v>1882</v>
      </c>
      <c r="S287" s="11" t="s">
        <v>1307</v>
      </c>
      <c r="T287" s="11" t="s">
        <v>1307</v>
      </c>
      <c r="U287" s="11" t="s">
        <v>1891</v>
      </c>
      <c r="V287" s="11" t="s">
        <v>1911</v>
      </c>
      <c r="W287" s="11" t="s">
        <v>0</v>
      </c>
      <c r="X287" s="11" t="s">
        <v>0</v>
      </c>
      <c r="Y287" s="11" t="s">
        <v>0</v>
      </c>
      <c r="Z287" s="11" t="s">
        <v>0</v>
      </c>
      <c r="AA287" s="11" t="s">
        <v>0</v>
      </c>
      <c r="AB287" s="11" t="s">
        <v>0</v>
      </c>
      <c r="AC287" s="11" t="s">
        <v>0</v>
      </c>
      <c r="AD287" s="11" t="s">
        <v>2073</v>
      </c>
      <c r="AE287" s="11" t="s">
        <v>13</v>
      </c>
    </row>
    <row r="288">
      <c r="B288" s="24" t="s">
        <v>1</v>
      </c>
      <c r="C288" s="12" t="s">
        <v>295</v>
      </c>
      <c r="D288" s="11" t="s">
        <v>852</v>
      </c>
      <c r="E288" s="11" t="s">
        <v>1176</v>
      </c>
      <c r="F288" s="12" t="s">
        <v>1</v>
      </c>
      <c r="G288" s="12" t="s">
        <v>1302</v>
      </c>
      <c r="H288" s="12" t="s">
        <v>1302</v>
      </c>
      <c r="I288" s="12" t="s">
        <v>1311</v>
      </c>
      <c r="J288" s="12" t="s">
        <v>1321</v>
      </c>
      <c r="K288" s="12" t="s">
        <v>1176</v>
      </c>
      <c r="L288" s="12" t="s">
        <v>1303</v>
      </c>
      <c r="M288" s="12" t="s">
        <v>0</v>
      </c>
      <c r="N288" s="13" t="s">
        <v>1602</v>
      </c>
      <c r="O288" s="11" t="s">
        <v>1841</v>
      </c>
      <c r="P288" s="11" t="s">
        <v>1875</v>
      </c>
      <c r="Q288" s="11" t="s">
        <v>1307</v>
      </c>
      <c r="R288" s="11" t="s">
        <v>1882</v>
      </c>
      <c r="S288" s="11" t="s">
        <v>1307</v>
      </c>
      <c r="T288" s="11" t="s">
        <v>1306</v>
      </c>
      <c r="U288" s="11" t="s">
        <v>1890</v>
      </c>
      <c r="V288" s="11" t="s">
        <v>1910</v>
      </c>
      <c r="W288" s="11" t="s">
        <v>0</v>
      </c>
      <c r="X288" s="11" t="s">
        <v>0</v>
      </c>
      <c r="Y288" s="11" t="s">
        <v>0</v>
      </c>
      <c r="Z288" s="11" t="s">
        <v>0</v>
      </c>
      <c r="AA288" s="11" t="s">
        <v>0</v>
      </c>
      <c r="AB288" s="11" t="s">
        <v>0</v>
      </c>
      <c r="AC288" s="11" t="s">
        <v>0</v>
      </c>
      <c r="AD288" s="11" t="s">
        <v>0</v>
      </c>
      <c r="AE288" s="11" t="s">
        <v>13</v>
      </c>
    </row>
    <row r="289">
      <c r="B289" s="24" t="s">
        <v>1</v>
      </c>
      <c r="C289" s="12" t="s">
        <v>296</v>
      </c>
      <c r="D289" s="11" t="s">
        <v>853</v>
      </c>
      <c r="E289" s="11" t="s">
        <v>1176</v>
      </c>
      <c r="F289" s="12" t="s">
        <v>622</v>
      </c>
      <c r="G289" s="12" t="s">
        <v>1302</v>
      </c>
      <c r="H289" s="12" t="s">
        <v>1302</v>
      </c>
      <c r="I289" s="12" t="s">
        <v>1311</v>
      </c>
      <c r="J289" s="12" t="s">
        <v>1321</v>
      </c>
      <c r="K289" s="12" t="s">
        <v>1176</v>
      </c>
      <c r="L289" s="12" t="s">
        <v>1303</v>
      </c>
      <c r="M289" s="12" t="s">
        <v>0</v>
      </c>
      <c r="N289" s="13" t="s">
        <v>1603</v>
      </c>
      <c r="O289" s="11" t="s">
        <v>1841</v>
      </c>
      <c r="P289" s="11" t="s">
        <v>1875</v>
      </c>
      <c r="Q289" s="11" t="s">
        <v>1307</v>
      </c>
      <c r="R289" s="11" t="s">
        <v>1882</v>
      </c>
      <c r="S289" s="11" t="s">
        <v>1307</v>
      </c>
      <c r="T289" s="11" t="s">
        <v>1306</v>
      </c>
      <c r="U289" s="11" t="s">
        <v>1890</v>
      </c>
      <c r="V289" s="11" t="s">
        <v>1910</v>
      </c>
      <c r="W289" s="11" t="s">
        <v>0</v>
      </c>
      <c r="X289" s="11" t="s">
        <v>0</v>
      </c>
      <c r="Y289" s="11" t="s">
        <v>0</v>
      </c>
      <c r="Z289" s="11" t="s">
        <v>0</v>
      </c>
      <c r="AA289" s="11" t="s">
        <v>0</v>
      </c>
      <c r="AB289" s="11" t="s">
        <v>0</v>
      </c>
      <c r="AC289" s="11" t="s">
        <v>0</v>
      </c>
      <c r="AD289" s="11" t="s">
        <v>0</v>
      </c>
      <c r="AE289" s="11" t="s">
        <v>13</v>
      </c>
    </row>
    <row r="290">
      <c r="B290" s="24" t="s">
        <v>1</v>
      </c>
      <c r="C290" s="12" t="s">
        <v>297</v>
      </c>
      <c r="D290" s="11" t="s">
        <v>854</v>
      </c>
      <c r="E290" s="11" t="s">
        <v>1176</v>
      </c>
      <c r="F290" s="12" t="s">
        <v>622</v>
      </c>
      <c r="G290" s="12" t="s">
        <v>1302</v>
      </c>
      <c r="H290" s="12" t="s">
        <v>1302</v>
      </c>
      <c r="I290" s="12" t="s">
        <v>1311</v>
      </c>
      <c r="J290" s="12" t="s">
        <v>1321</v>
      </c>
      <c r="K290" s="12" t="s">
        <v>1176</v>
      </c>
      <c r="L290" s="12" t="s">
        <v>1303</v>
      </c>
      <c r="M290" s="12" t="s">
        <v>0</v>
      </c>
      <c r="N290" s="13" t="s">
        <v>1604</v>
      </c>
      <c r="O290" s="11" t="s">
        <v>1841</v>
      </c>
      <c r="P290" s="11" t="s">
        <v>1875</v>
      </c>
      <c r="Q290" s="11" t="s">
        <v>1307</v>
      </c>
      <c r="R290" s="11" t="s">
        <v>1882</v>
      </c>
      <c r="S290" s="11" t="s">
        <v>1307</v>
      </c>
      <c r="T290" s="11" t="s">
        <v>1306</v>
      </c>
      <c r="U290" s="11" t="s">
        <v>1890</v>
      </c>
      <c r="V290" s="11" t="s">
        <v>1910</v>
      </c>
      <c r="W290" s="11" t="s">
        <v>0</v>
      </c>
      <c r="X290" s="11" t="s">
        <v>0</v>
      </c>
      <c r="Y290" s="11" t="s">
        <v>0</v>
      </c>
      <c r="Z290" s="11" t="s">
        <v>0</v>
      </c>
      <c r="AA290" s="11" t="s">
        <v>0</v>
      </c>
      <c r="AB290" s="11" t="s">
        <v>0</v>
      </c>
      <c r="AC290" s="11" t="s">
        <v>0</v>
      </c>
      <c r="AD290" s="11" t="s">
        <v>0</v>
      </c>
      <c r="AE290" s="11" t="s">
        <v>13</v>
      </c>
    </row>
    <row r="291">
      <c r="B291" s="24" t="s">
        <v>1</v>
      </c>
      <c r="C291" s="12" t="s">
        <v>298</v>
      </c>
      <c r="D291" s="11" t="s">
        <v>855</v>
      </c>
      <c r="E291" s="11" t="s">
        <v>1176</v>
      </c>
      <c r="F291" s="12" t="s">
        <v>622</v>
      </c>
      <c r="G291" s="12" t="s">
        <v>1302</v>
      </c>
      <c r="H291" s="12" t="s">
        <v>1302</v>
      </c>
      <c r="I291" s="12" t="s">
        <v>1311</v>
      </c>
      <c r="J291" s="12" t="s">
        <v>1321</v>
      </c>
      <c r="K291" s="12" t="s">
        <v>1176</v>
      </c>
      <c r="L291" s="12" t="s">
        <v>1303</v>
      </c>
      <c r="M291" s="12" t="s">
        <v>0</v>
      </c>
      <c r="N291" s="13" t="s">
        <v>1605</v>
      </c>
      <c r="O291" s="11" t="s">
        <v>1841</v>
      </c>
      <c r="P291" s="11" t="s">
        <v>1875</v>
      </c>
      <c r="Q291" s="11" t="s">
        <v>1307</v>
      </c>
      <c r="R291" s="11" t="s">
        <v>1882</v>
      </c>
      <c r="S291" s="11" t="s">
        <v>1307</v>
      </c>
      <c r="T291" s="11" t="s">
        <v>1306</v>
      </c>
      <c r="U291" s="11" t="s">
        <v>1890</v>
      </c>
      <c r="V291" s="11" t="s">
        <v>1910</v>
      </c>
      <c r="W291" s="11" t="s">
        <v>0</v>
      </c>
      <c r="X291" s="11" t="s">
        <v>0</v>
      </c>
      <c r="Y291" s="11" t="s">
        <v>0</v>
      </c>
      <c r="Z291" s="11" t="s">
        <v>0</v>
      </c>
      <c r="AA291" s="11" t="s">
        <v>0</v>
      </c>
      <c r="AB291" s="11" t="s">
        <v>0</v>
      </c>
      <c r="AC291" s="11" t="s">
        <v>0</v>
      </c>
      <c r="AD291" s="11" t="s">
        <v>0</v>
      </c>
      <c r="AE291" s="11" t="s">
        <v>13</v>
      </c>
    </row>
    <row r="292">
      <c r="B292" s="24" t="s">
        <v>1</v>
      </c>
      <c r="C292" s="12" t="s">
        <v>299</v>
      </c>
      <c r="D292" s="11" t="s">
        <v>856</v>
      </c>
      <c r="E292" s="11" t="s">
        <v>1176</v>
      </c>
      <c r="F292" s="12" t="s">
        <v>622</v>
      </c>
      <c r="G292" s="12" t="s">
        <v>1302</v>
      </c>
      <c r="H292" s="12" t="s">
        <v>1302</v>
      </c>
      <c r="I292" s="12" t="s">
        <v>1311</v>
      </c>
      <c r="J292" s="12" t="s">
        <v>1321</v>
      </c>
      <c r="K292" s="12" t="s">
        <v>1176</v>
      </c>
      <c r="L292" s="12" t="s">
        <v>1303</v>
      </c>
      <c r="M292" s="12" t="s">
        <v>0</v>
      </c>
      <c r="N292" s="13" t="s">
        <v>1606</v>
      </c>
      <c r="O292" s="11" t="s">
        <v>1841</v>
      </c>
      <c r="P292" s="11" t="s">
        <v>1875</v>
      </c>
      <c r="Q292" s="11" t="s">
        <v>1307</v>
      </c>
      <c r="R292" s="11" t="s">
        <v>1882</v>
      </c>
      <c r="S292" s="11" t="s">
        <v>1307</v>
      </c>
      <c r="T292" s="11" t="s">
        <v>1306</v>
      </c>
      <c r="U292" s="11" t="s">
        <v>1890</v>
      </c>
      <c r="V292" s="11" t="s">
        <v>1910</v>
      </c>
      <c r="W292" s="11" t="s">
        <v>0</v>
      </c>
      <c r="X292" s="11" t="s">
        <v>0</v>
      </c>
      <c r="Y292" s="11" t="s">
        <v>0</v>
      </c>
      <c r="Z292" s="11" t="s">
        <v>0</v>
      </c>
      <c r="AA292" s="11" t="s">
        <v>0</v>
      </c>
      <c r="AB292" s="11" t="s">
        <v>0</v>
      </c>
      <c r="AC292" s="11" t="s">
        <v>0</v>
      </c>
      <c r="AD292" s="11" t="s">
        <v>0</v>
      </c>
      <c r="AE292" s="11" t="s">
        <v>13</v>
      </c>
    </row>
    <row r="293">
      <c r="B293" s="24" t="s">
        <v>1</v>
      </c>
      <c r="C293" s="12" t="s">
        <v>300</v>
      </c>
      <c r="D293" s="11" t="s">
        <v>857</v>
      </c>
      <c r="E293" s="11" t="s">
        <v>1176</v>
      </c>
      <c r="F293" s="12" t="s">
        <v>1</v>
      </c>
      <c r="G293" s="12" t="s">
        <v>1302</v>
      </c>
      <c r="H293" s="12" t="s">
        <v>1302</v>
      </c>
      <c r="I293" s="12" t="s">
        <v>1311</v>
      </c>
      <c r="J293" s="12" t="s">
        <v>1321</v>
      </c>
      <c r="K293" s="12" t="s">
        <v>1176</v>
      </c>
      <c r="L293" s="12" t="s">
        <v>1303</v>
      </c>
      <c r="M293" s="12" t="s">
        <v>0</v>
      </c>
      <c r="N293" s="13" t="s">
        <v>1607</v>
      </c>
      <c r="O293" s="11" t="s">
        <v>1841</v>
      </c>
      <c r="P293" s="11" t="s">
        <v>1875</v>
      </c>
      <c r="Q293" s="11" t="s">
        <v>1307</v>
      </c>
      <c r="R293" s="11" t="s">
        <v>1882</v>
      </c>
      <c r="S293" s="11" t="s">
        <v>1307</v>
      </c>
      <c r="T293" s="11" t="s">
        <v>1306</v>
      </c>
      <c r="U293" s="11" t="s">
        <v>1890</v>
      </c>
      <c r="V293" s="11" t="s">
        <v>1910</v>
      </c>
      <c r="W293" s="11" t="s">
        <v>0</v>
      </c>
      <c r="X293" s="11" t="s">
        <v>0</v>
      </c>
      <c r="Y293" s="11" t="s">
        <v>0</v>
      </c>
      <c r="Z293" s="11" t="s">
        <v>0</v>
      </c>
      <c r="AA293" s="11" t="s">
        <v>0</v>
      </c>
      <c r="AB293" s="11" t="s">
        <v>0</v>
      </c>
      <c r="AC293" s="11" t="s">
        <v>0</v>
      </c>
      <c r="AD293" s="11" t="s">
        <v>0</v>
      </c>
      <c r="AE293" s="11" t="s">
        <v>13</v>
      </c>
    </row>
    <row r="294">
      <c r="B294" s="24" t="s">
        <v>1</v>
      </c>
      <c r="C294" s="12" t="s">
        <v>301</v>
      </c>
      <c r="D294" s="11" t="s">
        <v>858</v>
      </c>
      <c r="E294" s="11" t="s">
        <v>1176</v>
      </c>
      <c r="F294" s="12" t="s">
        <v>1273</v>
      </c>
      <c r="G294" s="12" t="s">
        <v>1302</v>
      </c>
      <c r="H294" s="12" t="s">
        <v>1302</v>
      </c>
      <c r="I294" s="12" t="s">
        <v>1311</v>
      </c>
      <c r="J294" s="12" t="s">
        <v>1321</v>
      </c>
      <c r="K294" s="12" t="s">
        <v>1176</v>
      </c>
      <c r="L294" s="12" t="s">
        <v>1303</v>
      </c>
      <c r="M294" s="12" t="s">
        <v>0</v>
      </c>
      <c r="N294" s="13" t="s">
        <v>1608</v>
      </c>
      <c r="O294" s="11" t="s">
        <v>1841</v>
      </c>
      <c r="P294" s="11" t="s">
        <v>1875</v>
      </c>
      <c r="Q294" s="11" t="s">
        <v>1307</v>
      </c>
      <c r="R294" s="11" t="s">
        <v>1882</v>
      </c>
      <c r="S294" s="11" t="s">
        <v>1307</v>
      </c>
      <c r="T294" s="11" t="s">
        <v>1306</v>
      </c>
      <c r="U294" s="11" t="s">
        <v>1890</v>
      </c>
      <c r="V294" s="11" t="s">
        <v>1910</v>
      </c>
      <c r="W294" s="11" t="s">
        <v>0</v>
      </c>
      <c r="X294" s="11" t="s">
        <v>0</v>
      </c>
      <c r="Y294" s="11" t="s">
        <v>0</v>
      </c>
      <c r="Z294" s="11" t="s">
        <v>0</v>
      </c>
      <c r="AA294" s="11" t="s">
        <v>0</v>
      </c>
      <c r="AB294" s="11" t="s">
        <v>0</v>
      </c>
      <c r="AC294" s="11" t="s">
        <v>0</v>
      </c>
      <c r="AD294" s="11" t="s">
        <v>0</v>
      </c>
      <c r="AE294" s="11" t="s">
        <v>13</v>
      </c>
    </row>
    <row r="295">
      <c r="B295" s="24" t="s">
        <v>1</v>
      </c>
      <c r="C295" s="12" t="s">
        <v>302</v>
      </c>
      <c r="D295" s="11" t="s">
        <v>859</v>
      </c>
      <c r="E295" s="11" t="s">
        <v>1176</v>
      </c>
      <c r="F295" s="12" t="s">
        <v>1</v>
      </c>
      <c r="G295" s="12" t="s">
        <v>1302</v>
      </c>
      <c r="H295" s="12" t="s">
        <v>1302</v>
      </c>
      <c r="I295" s="12" t="s">
        <v>1311</v>
      </c>
      <c r="J295" s="12" t="s">
        <v>1321</v>
      </c>
      <c r="K295" s="12" t="s">
        <v>1176</v>
      </c>
      <c r="L295" s="12" t="s">
        <v>1303</v>
      </c>
      <c r="M295" s="12" t="s">
        <v>0</v>
      </c>
      <c r="N295" s="13" t="s">
        <v>1609</v>
      </c>
      <c r="O295" s="11" t="s">
        <v>1841</v>
      </c>
      <c r="P295" s="11" t="s">
        <v>1875</v>
      </c>
      <c r="Q295" s="11" t="s">
        <v>1307</v>
      </c>
      <c r="R295" s="11" t="s">
        <v>1882</v>
      </c>
      <c r="S295" s="11" t="s">
        <v>1307</v>
      </c>
      <c r="T295" s="11" t="s">
        <v>1306</v>
      </c>
      <c r="U295" s="11" t="s">
        <v>1890</v>
      </c>
      <c r="V295" s="11" t="s">
        <v>1910</v>
      </c>
      <c r="W295" s="11" t="s">
        <v>0</v>
      </c>
      <c r="X295" s="11" t="s">
        <v>0</v>
      </c>
      <c r="Y295" s="11" t="s">
        <v>0</v>
      </c>
      <c r="Z295" s="11" t="s">
        <v>0</v>
      </c>
      <c r="AA295" s="11" t="s">
        <v>0</v>
      </c>
      <c r="AB295" s="11" t="s">
        <v>0</v>
      </c>
      <c r="AC295" s="11" t="s">
        <v>0</v>
      </c>
      <c r="AD295" s="11" t="s">
        <v>0</v>
      </c>
      <c r="AE295" s="11" t="s">
        <v>13</v>
      </c>
    </row>
    <row r="296">
      <c r="B296" s="24" t="s">
        <v>6</v>
      </c>
      <c r="C296" s="12" t="s">
        <v>303</v>
      </c>
      <c r="D296" s="11" t="s">
        <v>860</v>
      </c>
      <c r="E296" s="11" t="s">
        <v>1176</v>
      </c>
      <c r="F296" s="12" t="s">
        <v>6</v>
      </c>
      <c r="G296" s="12" t="s">
        <v>1302</v>
      </c>
      <c r="H296" s="12" t="s">
        <v>1302</v>
      </c>
      <c r="I296" s="12" t="s">
        <v>1311</v>
      </c>
      <c r="J296" s="12" t="s">
        <v>1321</v>
      </c>
      <c r="K296" s="12" t="s">
        <v>1176</v>
      </c>
      <c r="L296" s="12" t="s">
        <v>1303</v>
      </c>
      <c r="M296" s="12" t="s">
        <v>0</v>
      </c>
      <c r="N296" s="13" t="s">
        <v>1610</v>
      </c>
      <c r="O296" s="11" t="s">
        <v>1841</v>
      </c>
      <c r="P296" s="11" t="s">
        <v>1875</v>
      </c>
      <c r="Q296" s="11" t="s">
        <v>1307</v>
      </c>
      <c r="R296" s="11" t="s">
        <v>1882</v>
      </c>
      <c r="S296" s="11" t="s">
        <v>1307</v>
      </c>
      <c r="T296" s="11" t="s">
        <v>1306</v>
      </c>
      <c r="U296" s="11" t="s">
        <v>1890</v>
      </c>
      <c r="V296" s="11" t="s">
        <v>1910</v>
      </c>
      <c r="W296" s="11" t="s">
        <v>0</v>
      </c>
      <c r="X296" s="11" t="s">
        <v>0</v>
      </c>
      <c r="Y296" s="11" t="s">
        <v>0</v>
      </c>
      <c r="Z296" s="11" t="s">
        <v>0</v>
      </c>
      <c r="AA296" s="11" t="s">
        <v>0</v>
      </c>
      <c r="AB296" s="11" t="s">
        <v>0</v>
      </c>
      <c r="AC296" s="11" t="s">
        <v>0</v>
      </c>
      <c r="AD296" s="11" t="s">
        <v>0</v>
      </c>
      <c r="AE296" s="11" t="s">
        <v>13</v>
      </c>
    </row>
    <row r="297">
      <c r="B297" s="24" t="s">
        <v>8</v>
      </c>
      <c r="C297" s="12" t="s">
        <v>304</v>
      </c>
      <c r="D297" s="11" t="s">
        <v>861</v>
      </c>
      <c r="E297" s="11" t="s">
        <v>1176</v>
      </c>
      <c r="F297" s="12" t="s">
        <v>8</v>
      </c>
      <c r="G297" s="12" t="s">
        <v>1302</v>
      </c>
      <c r="H297" s="12" t="s">
        <v>1302</v>
      </c>
      <c r="I297" s="12" t="s">
        <v>1311</v>
      </c>
      <c r="J297" s="12" t="s">
        <v>1321</v>
      </c>
      <c r="K297" s="12" t="s">
        <v>1176</v>
      </c>
      <c r="L297" s="12" t="s">
        <v>1303</v>
      </c>
      <c r="M297" s="12" t="s">
        <v>0</v>
      </c>
      <c r="N297" s="13" t="s">
        <v>1611</v>
      </c>
      <c r="O297" s="11" t="s">
        <v>1841</v>
      </c>
      <c r="P297" s="11" t="s">
        <v>1875</v>
      </c>
      <c r="Q297" s="11" t="s">
        <v>1307</v>
      </c>
      <c r="R297" s="11" t="s">
        <v>1882</v>
      </c>
      <c r="S297" s="11" t="s">
        <v>1307</v>
      </c>
      <c r="T297" s="11" t="s">
        <v>1306</v>
      </c>
      <c r="U297" s="11" t="s">
        <v>1890</v>
      </c>
      <c r="V297" s="11" t="s">
        <v>1910</v>
      </c>
      <c r="W297" s="11" t="s">
        <v>0</v>
      </c>
      <c r="X297" s="11" t="s">
        <v>0</v>
      </c>
      <c r="Y297" s="11" t="s">
        <v>0</v>
      </c>
      <c r="Z297" s="11" t="s">
        <v>0</v>
      </c>
      <c r="AA297" s="11" t="s">
        <v>0</v>
      </c>
      <c r="AB297" s="11" t="s">
        <v>0</v>
      </c>
      <c r="AC297" s="11" t="s">
        <v>0</v>
      </c>
      <c r="AD297" s="11" t="s">
        <v>0</v>
      </c>
      <c r="AE297" s="11" t="s">
        <v>13</v>
      </c>
    </row>
    <row r="298">
      <c r="B298" s="24" t="s">
        <v>7</v>
      </c>
      <c r="C298" s="12" t="s">
        <v>305</v>
      </c>
      <c r="D298" s="11" t="s">
        <v>862</v>
      </c>
      <c r="E298" s="11" t="s">
        <v>1176</v>
      </c>
      <c r="F298" s="12" t="s">
        <v>7</v>
      </c>
      <c r="G298" s="12" t="s">
        <v>1302</v>
      </c>
      <c r="H298" s="12" t="s">
        <v>1302</v>
      </c>
      <c r="I298" s="12" t="s">
        <v>1311</v>
      </c>
      <c r="J298" s="12" t="s">
        <v>1321</v>
      </c>
      <c r="K298" s="12" t="s">
        <v>1176</v>
      </c>
      <c r="L298" s="12" t="s">
        <v>1303</v>
      </c>
      <c r="M298" s="12" t="s">
        <v>0</v>
      </c>
      <c r="N298" s="13" t="s">
        <v>1612</v>
      </c>
      <c r="O298" s="11" t="s">
        <v>1841</v>
      </c>
      <c r="P298" s="11" t="s">
        <v>1875</v>
      </c>
      <c r="Q298" s="11" t="s">
        <v>1307</v>
      </c>
      <c r="R298" s="11" t="s">
        <v>1882</v>
      </c>
      <c r="S298" s="11" t="s">
        <v>1307</v>
      </c>
      <c r="T298" s="11" t="s">
        <v>1307</v>
      </c>
      <c r="U298" s="11" t="s">
        <v>1888</v>
      </c>
      <c r="V298" s="11" t="s">
        <v>1910</v>
      </c>
      <c r="W298" s="11" t="s">
        <v>0</v>
      </c>
      <c r="X298" s="11" t="s">
        <v>0</v>
      </c>
      <c r="Y298" s="11" t="s">
        <v>0</v>
      </c>
      <c r="Z298" s="11" t="s">
        <v>1974</v>
      </c>
      <c r="AA298" s="11" t="s">
        <v>1974</v>
      </c>
      <c r="AB298" s="11" t="s">
        <v>2003</v>
      </c>
      <c r="AC298" s="11" t="s">
        <v>53</v>
      </c>
      <c r="AD298" s="11" t="s">
        <v>0</v>
      </c>
      <c r="AE298" s="11" t="s">
        <v>13</v>
      </c>
    </row>
    <row r="299">
      <c r="B299" s="24" t="s">
        <v>1</v>
      </c>
      <c r="C299" s="12" t="s">
        <v>306</v>
      </c>
      <c r="D299" s="11" t="s">
        <v>863</v>
      </c>
      <c r="E299" s="11" t="s">
        <v>1176</v>
      </c>
      <c r="F299" s="12" t="s">
        <v>1294</v>
      </c>
      <c r="G299" s="12" t="s">
        <v>1302</v>
      </c>
      <c r="H299" s="12" t="s">
        <v>1302</v>
      </c>
      <c r="I299" s="12" t="s">
        <v>1311</v>
      </c>
      <c r="J299" s="12" t="s">
        <v>1321</v>
      </c>
      <c r="K299" s="12" t="s">
        <v>1176</v>
      </c>
      <c r="L299" s="12" t="s">
        <v>1303</v>
      </c>
      <c r="M299" s="12" t="s">
        <v>0</v>
      </c>
      <c r="N299" s="13" t="s">
        <v>1613</v>
      </c>
      <c r="O299" s="11" t="s">
        <v>1841</v>
      </c>
      <c r="P299" s="11" t="s">
        <v>1875</v>
      </c>
      <c r="Q299" s="11" t="s">
        <v>1307</v>
      </c>
      <c r="R299" s="11" t="s">
        <v>1882</v>
      </c>
      <c r="S299" s="11" t="s">
        <v>0</v>
      </c>
      <c r="T299" s="11" t="s">
        <v>1306</v>
      </c>
      <c r="U299" s="11" t="s">
        <v>0</v>
      </c>
      <c r="V299" s="11" t="s">
        <v>0</v>
      </c>
      <c r="W299" s="11" t="s">
        <v>0</v>
      </c>
      <c r="X299" s="11" t="s">
        <v>0</v>
      </c>
      <c r="Y299" s="11" t="s">
        <v>0</v>
      </c>
      <c r="Z299" s="11" t="s">
        <v>0</v>
      </c>
      <c r="AA299" s="11" t="s">
        <v>0</v>
      </c>
      <c r="AB299" s="11" t="s">
        <v>0</v>
      </c>
      <c r="AC299" s="11" t="s">
        <v>0</v>
      </c>
      <c r="AD299" s="11" t="s">
        <v>0</v>
      </c>
      <c r="AE299" s="11" t="s">
        <v>2090</v>
      </c>
    </row>
    <row r="300">
      <c r="B300" s="24" t="s">
        <v>1</v>
      </c>
      <c r="C300" s="12" t="s">
        <v>307</v>
      </c>
      <c r="D300" s="11" t="s">
        <v>864</v>
      </c>
      <c r="E300" s="11" t="s">
        <v>1176</v>
      </c>
      <c r="F300" s="12" t="s">
        <v>1</v>
      </c>
      <c r="G300" s="12" t="s">
        <v>1302</v>
      </c>
      <c r="H300" s="12" t="s">
        <v>1302</v>
      </c>
      <c r="I300" s="12" t="s">
        <v>1311</v>
      </c>
      <c r="J300" s="12" t="s">
        <v>1321</v>
      </c>
      <c r="K300" s="12" t="s">
        <v>1176</v>
      </c>
      <c r="L300" s="12" t="s">
        <v>1303</v>
      </c>
      <c r="M300" s="12" t="s">
        <v>0</v>
      </c>
      <c r="N300" s="13" t="s">
        <v>1614</v>
      </c>
      <c r="O300" s="11" t="s">
        <v>1841</v>
      </c>
      <c r="P300" s="11" t="s">
        <v>1875</v>
      </c>
      <c r="Q300" s="11" t="s">
        <v>1307</v>
      </c>
      <c r="R300" s="11" t="s">
        <v>1882</v>
      </c>
      <c r="S300" s="11" t="s">
        <v>0</v>
      </c>
      <c r="T300" s="11" t="s">
        <v>1306</v>
      </c>
      <c r="U300" s="11" t="s">
        <v>0</v>
      </c>
      <c r="V300" s="11" t="s">
        <v>0</v>
      </c>
      <c r="W300" s="11" t="s">
        <v>0</v>
      </c>
      <c r="X300" s="11" t="s">
        <v>0</v>
      </c>
      <c r="Y300" s="11" t="s">
        <v>0</v>
      </c>
      <c r="Z300" s="11" t="s">
        <v>0</v>
      </c>
      <c r="AA300" s="11" t="s">
        <v>0</v>
      </c>
      <c r="AB300" s="11" t="s">
        <v>0</v>
      </c>
      <c r="AC300" s="11" t="s">
        <v>0</v>
      </c>
      <c r="AD300" s="11" t="s">
        <v>0</v>
      </c>
      <c r="AE300" s="11" t="s">
        <v>2090</v>
      </c>
    </row>
    <row r="301">
      <c r="B301" s="24" t="s">
        <v>1</v>
      </c>
      <c r="C301" s="12" t="s">
        <v>308</v>
      </c>
      <c r="D301" s="11" t="s">
        <v>865</v>
      </c>
      <c r="E301" s="11" t="s">
        <v>1176</v>
      </c>
      <c r="F301" s="12" t="s">
        <v>1</v>
      </c>
      <c r="G301" s="12" t="s">
        <v>1302</v>
      </c>
      <c r="H301" s="12" t="s">
        <v>1302</v>
      </c>
      <c r="I301" s="12" t="s">
        <v>1310</v>
      </c>
      <c r="J301" s="12" t="s">
        <v>1321</v>
      </c>
      <c r="K301" s="12" t="s">
        <v>1176</v>
      </c>
      <c r="L301" s="12" t="s">
        <v>1303</v>
      </c>
      <c r="M301" s="12" t="s">
        <v>0</v>
      </c>
      <c r="N301" s="13" t="s">
        <v>1615</v>
      </c>
      <c r="O301" s="11" t="s">
        <v>1841</v>
      </c>
      <c r="P301" s="11" t="s">
        <v>1875</v>
      </c>
      <c r="Q301" s="11" t="s">
        <v>1307</v>
      </c>
      <c r="R301" s="11" t="s">
        <v>1882</v>
      </c>
      <c r="S301" s="11" t="s">
        <v>0</v>
      </c>
      <c r="T301" s="11" t="s">
        <v>1307</v>
      </c>
      <c r="U301" s="11" t="s">
        <v>1888</v>
      </c>
      <c r="V301" s="11" t="s">
        <v>1906</v>
      </c>
      <c r="W301" s="11" t="s">
        <v>0</v>
      </c>
      <c r="X301" s="11" t="s">
        <v>0</v>
      </c>
      <c r="Y301" s="11" t="s">
        <v>0</v>
      </c>
      <c r="Z301" s="11" t="s">
        <v>1975</v>
      </c>
      <c r="AA301" s="11" t="s">
        <v>1975</v>
      </c>
      <c r="AB301" s="11" t="s">
        <v>2003</v>
      </c>
      <c r="AC301" s="11" t="s">
        <v>57</v>
      </c>
      <c r="AD301" s="11" t="s">
        <v>2074</v>
      </c>
      <c r="AE301" s="11" t="s">
        <v>13</v>
      </c>
    </row>
    <row r="302">
      <c r="B302" s="24" t="s">
        <v>1</v>
      </c>
      <c r="C302" s="12" t="s">
        <v>309</v>
      </c>
      <c r="D302" s="11" t="s">
        <v>866</v>
      </c>
      <c r="E302" s="11" t="s">
        <v>1176</v>
      </c>
      <c r="F302" s="12" t="s">
        <v>1</v>
      </c>
      <c r="G302" s="12" t="s">
        <v>1302</v>
      </c>
      <c r="H302" s="12" t="s">
        <v>1302</v>
      </c>
      <c r="I302" s="12" t="s">
        <v>1310</v>
      </c>
      <c r="J302" s="12" t="s">
        <v>1321</v>
      </c>
      <c r="K302" s="12" t="s">
        <v>1176</v>
      </c>
      <c r="L302" s="12" t="s">
        <v>1303</v>
      </c>
      <c r="M302" s="12" t="s">
        <v>0</v>
      </c>
      <c r="N302" s="13" t="s">
        <v>1616</v>
      </c>
      <c r="O302" s="11" t="s">
        <v>1841</v>
      </c>
      <c r="P302" s="11" t="s">
        <v>1875</v>
      </c>
      <c r="Q302" s="11" t="s">
        <v>1307</v>
      </c>
      <c r="R302" s="11" t="s">
        <v>1882</v>
      </c>
      <c r="S302" s="11" t="s">
        <v>0</v>
      </c>
      <c r="T302" s="11" t="s">
        <v>1307</v>
      </c>
      <c r="U302" s="11" t="s">
        <v>1888</v>
      </c>
      <c r="V302" s="11" t="s">
        <v>1906</v>
      </c>
      <c r="W302" s="11" t="s">
        <v>1908</v>
      </c>
      <c r="X302" s="11" t="s">
        <v>0</v>
      </c>
      <c r="Y302" s="11" t="s">
        <v>0</v>
      </c>
      <c r="Z302" s="11" t="s">
        <v>1976</v>
      </c>
      <c r="AA302" s="11" t="s">
        <v>2000</v>
      </c>
      <c r="AB302" s="11" t="s">
        <v>2003</v>
      </c>
      <c r="AC302" s="11" t="s">
        <v>50</v>
      </c>
      <c r="AD302" s="11" t="s">
        <v>2075</v>
      </c>
      <c r="AE302" s="11" t="s">
        <v>13</v>
      </c>
    </row>
    <row r="303">
      <c r="B303" s="24" t="s">
        <v>1</v>
      </c>
      <c r="C303" s="12" t="s">
        <v>310</v>
      </c>
      <c r="D303" s="11" t="s">
        <v>867</v>
      </c>
      <c r="E303" s="11" t="s">
        <v>1176</v>
      </c>
      <c r="F303" s="12" t="s">
        <v>1</v>
      </c>
      <c r="G303" s="12" t="s">
        <v>1302</v>
      </c>
      <c r="H303" s="12" t="s">
        <v>1302</v>
      </c>
      <c r="I303" s="12" t="s">
        <v>1310</v>
      </c>
      <c r="J303" s="12" t="s">
        <v>1321</v>
      </c>
      <c r="K303" s="12" t="s">
        <v>1176</v>
      </c>
      <c r="L303" s="12" t="s">
        <v>1303</v>
      </c>
      <c r="M303" s="12" t="s">
        <v>0</v>
      </c>
      <c r="N303" s="13" t="s">
        <v>1617</v>
      </c>
      <c r="O303" s="11" t="s">
        <v>1841</v>
      </c>
      <c r="P303" s="11" t="s">
        <v>1875</v>
      </c>
      <c r="Q303" s="11" t="s">
        <v>1307</v>
      </c>
      <c r="R303" s="11" t="s">
        <v>1882</v>
      </c>
      <c r="S303" s="11" t="s">
        <v>0</v>
      </c>
      <c r="T303" s="11" t="s">
        <v>1307</v>
      </c>
      <c r="U303" s="11" t="s">
        <v>1890</v>
      </c>
      <c r="V303" s="11" t="s">
        <v>1906</v>
      </c>
      <c r="W303" s="11" t="s">
        <v>1910</v>
      </c>
      <c r="X303" s="11" t="s">
        <v>0</v>
      </c>
      <c r="Y303" s="11" t="s">
        <v>0</v>
      </c>
      <c r="Z303" s="11" t="s">
        <v>0</v>
      </c>
      <c r="AA303" s="11" t="s">
        <v>0</v>
      </c>
      <c r="AB303" s="11" t="s">
        <v>0</v>
      </c>
      <c r="AC303" s="11" t="s">
        <v>0</v>
      </c>
      <c r="AD303" s="11" t="s">
        <v>2076</v>
      </c>
      <c r="AE303" s="11" t="s">
        <v>13</v>
      </c>
    </row>
    <row r="304">
      <c r="B304" s="24" t="s">
        <v>1</v>
      </c>
      <c r="C304" s="12" t="s">
        <v>311</v>
      </c>
      <c r="D304" s="11" t="s">
        <v>622</v>
      </c>
      <c r="E304" s="11" t="s">
        <v>1177</v>
      </c>
      <c r="F304" s="12" t="s">
        <v>1</v>
      </c>
      <c r="G304" s="12" t="s">
        <v>1302</v>
      </c>
      <c r="H304" s="12" t="s">
        <v>1302</v>
      </c>
      <c r="I304" s="12" t="s">
        <v>1311</v>
      </c>
      <c r="J304" s="12" t="s">
        <v>1322</v>
      </c>
      <c r="K304" s="12" t="s">
        <v>1326</v>
      </c>
      <c r="L304" s="12" t="s">
        <v>1303</v>
      </c>
      <c r="M304" s="12" t="s">
        <v>0</v>
      </c>
      <c r="N304" s="13" t="s">
        <v>0</v>
      </c>
      <c r="O304" s="11" t="s">
        <v>1326</v>
      </c>
      <c r="P304" s="11" t="s">
        <v>1871</v>
      </c>
      <c r="Q304" s="11" t="s">
        <v>1306</v>
      </c>
      <c r="R304" s="11" t="s">
        <v>1882</v>
      </c>
      <c r="S304" s="11" t="s">
        <v>0</v>
      </c>
      <c r="T304" s="11" t="s">
        <v>1306</v>
      </c>
      <c r="U304" s="11" t="s">
        <v>0</v>
      </c>
      <c r="V304" s="11" t="s">
        <v>0</v>
      </c>
      <c r="W304" s="11" t="s">
        <v>0</v>
      </c>
      <c r="X304" s="11" t="s">
        <v>0</v>
      </c>
      <c r="Y304" s="11" t="s">
        <v>0</v>
      </c>
      <c r="Z304" s="11" t="s">
        <v>0</v>
      </c>
      <c r="AA304" s="11" t="s">
        <v>0</v>
      </c>
      <c r="AB304" s="11" t="s">
        <v>0</v>
      </c>
      <c r="AC304" s="11" t="s">
        <v>0</v>
      </c>
      <c r="AD304" s="11" t="s">
        <v>0</v>
      </c>
      <c r="AE304" s="11" t="s">
        <v>2090</v>
      </c>
    </row>
    <row r="305">
      <c r="B305" s="24" t="s">
        <v>1</v>
      </c>
      <c r="C305" s="12" t="s">
        <v>312</v>
      </c>
      <c r="D305" s="11" t="s">
        <v>622</v>
      </c>
      <c r="E305" s="11" t="s">
        <v>1177</v>
      </c>
      <c r="F305" s="12" t="s">
        <v>1</v>
      </c>
      <c r="G305" s="12" t="s">
        <v>1302</v>
      </c>
      <c r="H305" s="12" t="s">
        <v>1302</v>
      </c>
      <c r="I305" s="12" t="s">
        <v>1311</v>
      </c>
      <c r="J305" s="12" t="s">
        <v>1322</v>
      </c>
      <c r="K305" s="12" t="s">
        <v>1326</v>
      </c>
      <c r="L305" s="12" t="s">
        <v>1303</v>
      </c>
      <c r="M305" s="12" t="s">
        <v>0</v>
      </c>
      <c r="N305" s="13" t="s">
        <v>0</v>
      </c>
      <c r="O305" s="11" t="s">
        <v>1326</v>
      </c>
      <c r="P305" s="11" t="s">
        <v>1871</v>
      </c>
      <c r="Q305" s="11" t="s">
        <v>1306</v>
      </c>
      <c r="R305" s="11" t="s">
        <v>1882</v>
      </c>
      <c r="S305" s="11" t="s">
        <v>0</v>
      </c>
      <c r="T305" s="11" t="s">
        <v>1306</v>
      </c>
      <c r="U305" s="11" t="s">
        <v>0</v>
      </c>
      <c r="V305" s="11" t="s">
        <v>0</v>
      </c>
      <c r="W305" s="11" t="s">
        <v>0</v>
      </c>
      <c r="X305" s="11" t="s">
        <v>0</v>
      </c>
      <c r="Y305" s="11" t="s">
        <v>0</v>
      </c>
      <c r="Z305" s="11" t="s">
        <v>0</v>
      </c>
      <c r="AA305" s="11" t="s">
        <v>0</v>
      </c>
      <c r="AB305" s="11" t="s">
        <v>0</v>
      </c>
      <c r="AC305" s="11" t="s">
        <v>0</v>
      </c>
      <c r="AD305" s="11" t="s">
        <v>0</v>
      </c>
      <c r="AE305" s="11" t="s">
        <v>2090</v>
      </c>
    </row>
    <row r="306">
      <c r="B306" s="24" t="s">
        <v>1</v>
      </c>
      <c r="C306" s="12" t="s">
        <v>313</v>
      </c>
      <c r="D306" s="11" t="s">
        <v>622</v>
      </c>
      <c r="E306" s="11" t="s">
        <v>1177</v>
      </c>
      <c r="F306" s="12" t="s">
        <v>1</v>
      </c>
      <c r="G306" s="12" t="s">
        <v>1302</v>
      </c>
      <c r="H306" s="12" t="s">
        <v>1302</v>
      </c>
      <c r="I306" s="12" t="s">
        <v>1311</v>
      </c>
      <c r="J306" s="12" t="s">
        <v>1322</v>
      </c>
      <c r="K306" s="12" t="s">
        <v>1326</v>
      </c>
      <c r="L306" s="12" t="s">
        <v>1303</v>
      </c>
      <c r="M306" s="12" t="s">
        <v>0</v>
      </c>
      <c r="N306" s="13" t="s">
        <v>0</v>
      </c>
      <c r="O306" s="11" t="s">
        <v>1326</v>
      </c>
      <c r="P306" s="11" t="s">
        <v>1871</v>
      </c>
      <c r="Q306" s="11" t="s">
        <v>1306</v>
      </c>
      <c r="R306" s="11" t="s">
        <v>1882</v>
      </c>
      <c r="S306" s="11" t="s">
        <v>0</v>
      </c>
      <c r="T306" s="11" t="s">
        <v>1306</v>
      </c>
      <c r="U306" s="11" t="s">
        <v>0</v>
      </c>
      <c r="V306" s="11" t="s">
        <v>0</v>
      </c>
      <c r="W306" s="11" t="s">
        <v>0</v>
      </c>
      <c r="X306" s="11" t="s">
        <v>0</v>
      </c>
      <c r="Y306" s="11" t="s">
        <v>0</v>
      </c>
      <c r="Z306" s="11" t="s">
        <v>0</v>
      </c>
      <c r="AA306" s="11" t="s">
        <v>0</v>
      </c>
      <c r="AB306" s="11" t="s">
        <v>0</v>
      </c>
      <c r="AC306" s="11" t="s">
        <v>0</v>
      </c>
      <c r="AD306" s="11" t="s">
        <v>0</v>
      </c>
      <c r="AE306" s="11" t="s">
        <v>2090</v>
      </c>
    </row>
    <row r="307">
      <c r="B307" s="24" t="s">
        <v>1</v>
      </c>
      <c r="C307" s="12" t="s">
        <v>314</v>
      </c>
      <c r="D307" s="11" t="s">
        <v>622</v>
      </c>
      <c r="E307" s="11" t="s">
        <v>1177</v>
      </c>
      <c r="F307" s="12" t="s">
        <v>1</v>
      </c>
      <c r="G307" s="12" t="s">
        <v>1302</v>
      </c>
      <c r="H307" s="12" t="s">
        <v>1302</v>
      </c>
      <c r="I307" s="12" t="s">
        <v>1311</v>
      </c>
      <c r="J307" s="12" t="s">
        <v>1322</v>
      </c>
      <c r="K307" s="12" t="s">
        <v>1326</v>
      </c>
      <c r="L307" s="12" t="s">
        <v>1303</v>
      </c>
      <c r="M307" s="12" t="s">
        <v>0</v>
      </c>
      <c r="N307" s="13" t="s">
        <v>0</v>
      </c>
      <c r="O307" s="11" t="s">
        <v>1326</v>
      </c>
      <c r="P307" s="11" t="s">
        <v>1871</v>
      </c>
      <c r="Q307" s="11" t="s">
        <v>1306</v>
      </c>
      <c r="R307" s="11" t="s">
        <v>1882</v>
      </c>
      <c r="S307" s="11" t="s">
        <v>0</v>
      </c>
      <c r="T307" s="11" t="s">
        <v>1306</v>
      </c>
      <c r="U307" s="11" t="s">
        <v>0</v>
      </c>
      <c r="V307" s="11" t="s">
        <v>0</v>
      </c>
      <c r="W307" s="11" t="s">
        <v>0</v>
      </c>
      <c r="X307" s="11" t="s">
        <v>0</v>
      </c>
      <c r="Y307" s="11" t="s">
        <v>0</v>
      </c>
      <c r="Z307" s="11" t="s">
        <v>0</v>
      </c>
      <c r="AA307" s="11" t="s">
        <v>0</v>
      </c>
      <c r="AB307" s="11" t="s">
        <v>0</v>
      </c>
      <c r="AC307" s="11" t="s">
        <v>0</v>
      </c>
      <c r="AD307" s="11" t="s">
        <v>0</v>
      </c>
      <c r="AE307" s="11" t="s">
        <v>2090</v>
      </c>
    </row>
    <row r="308">
      <c r="B308" s="24" t="s">
        <v>1</v>
      </c>
      <c r="C308" s="12" t="s">
        <v>315</v>
      </c>
      <c r="D308" s="11" t="s">
        <v>868</v>
      </c>
      <c r="E308" s="11" t="s">
        <v>1178</v>
      </c>
      <c r="F308" s="12" t="s">
        <v>1</v>
      </c>
      <c r="G308" s="12" t="s">
        <v>1302</v>
      </c>
      <c r="H308" s="12" t="s">
        <v>1302</v>
      </c>
      <c r="I308" s="12" t="s">
        <v>1310</v>
      </c>
      <c r="J308" s="12" t="s">
        <v>1321</v>
      </c>
      <c r="K308" s="12" t="s">
        <v>1178</v>
      </c>
      <c r="L308" s="12" t="s">
        <v>1303</v>
      </c>
      <c r="M308" s="12" t="s">
        <v>0</v>
      </c>
      <c r="N308" s="13" t="s">
        <v>1618</v>
      </c>
      <c r="O308" s="11" t="s">
        <v>1842</v>
      </c>
      <c r="P308" s="11" t="s">
        <v>1875</v>
      </c>
      <c r="Q308" s="11" t="s">
        <v>1307</v>
      </c>
      <c r="R308" s="11" t="s">
        <v>1882</v>
      </c>
      <c r="S308" s="11" t="s">
        <v>1307</v>
      </c>
      <c r="T308" s="11" t="s">
        <v>1307</v>
      </c>
      <c r="U308" s="11" t="s">
        <v>1890</v>
      </c>
      <c r="V308" s="11" t="s">
        <v>1897</v>
      </c>
      <c r="W308" s="11" t="s">
        <v>0</v>
      </c>
      <c r="X308" s="11" t="s">
        <v>0</v>
      </c>
      <c r="Y308" s="11" t="s">
        <v>0</v>
      </c>
      <c r="Z308" s="11" t="s">
        <v>0</v>
      </c>
      <c r="AA308" s="11" t="s">
        <v>0</v>
      </c>
      <c r="AB308" s="11" t="s">
        <v>0</v>
      </c>
      <c r="AC308" s="11" t="s">
        <v>0</v>
      </c>
      <c r="AD308" s="11" t="s">
        <v>0</v>
      </c>
      <c r="AE308" s="11" t="s">
        <v>13</v>
      </c>
    </row>
    <row r="309">
      <c r="B309" s="24" t="s">
        <v>1</v>
      </c>
      <c r="C309" s="12" t="s">
        <v>316</v>
      </c>
      <c r="D309" s="11" t="s">
        <v>869</v>
      </c>
      <c r="E309" s="11" t="s">
        <v>1178</v>
      </c>
      <c r="F309" s="12" t="s">
        <v>1</v>
      </c>
      <c r="G309" s="12" t="s">
        <v>1302</v>
      </c>
      <c r="H309" s="12" t="s">
        <v>1302</v>
      </c>
      <c r="I309" s="12" t="s">
        <v>1311</v>
      </c>
      <c r="J309" s="12" t="s">
        <v>1321</v>
      </c>
      <c r="K309" s="12" t="s">
        <v>1178</v>
      </c>
      <c r="L309" s="12" t="s">
        <v>1303</v>
      </c>
      <c r="M309" s="12" t="s">
        <v>0</v>
      </c>
      <c r="N309" s="13" t="s">
        <v>1619</v>
      </c>
      <c r="O309" s="11" t="s">
        <v>1842</v>
      </c>
      <c r="P309" s="11" t="s">
        <v>1875</v>
      </c>
      <c r="Q309" s="11" t="s">
        <v>1307</v>
      </c>
      <c r="R309" s="11" t="s">
        <v>1882</v>
      </c>
      <c r="S309" s="11" t="s">
        <v>1307</v>
      </c>
      <c r="T309" s="11" t="s">
        <v>1306</v>
      </c>
      <c r="U309" s="11" t="s">
        <v>1890</v>
      </c>
      <c r="V309" s="11" t="s">
        <v>1910</v>
      </c>
      <c r="W309" s="11" t="s">
        <v>0</v>
      </c>
      <c r="X309" s="11" t="s">
        <v>0</v>
      </c>
      <c r="Y309" s="11" t="s">
        <v>0</v>
      </c>
      <c r="Z309" s="11" t="s">
        <v>0</v>
      </c>
      <c r="AA309" s="11" t="s">
        <v>0</v>
      </c>
      <c r="AB309" s="11" t="s">
        <v>0</v>
      </c>
      <c r="AC309" s="11" t="s">
        <v>0</v>
      </c>
      <c r="AD309" s="11" t="s">
        <v>0</v>
      </c>
      <c r="AE309" s="11" t="s">
        <v>13</v>
      </c>
    </row>
    <row r="310">
      <c r="B310" s="24" t="s">
        <v>1</v>
      </c>
      <c r="C310" s="12" t="s">
        <v>317</v>
      </c>
      <c r="D310" s="11" t="s">
        <v>870</v>
      </c>
      <c r="E310" s="11" t="s">
        <v>1178</v>
      </c>
      <c r="F310" s="12" t="s">
        <v>1</v>
      </c>
      <c r="G310" s="12" t="s">
        <v>1302</v>
      </c>
      <c r="H310" s="12" t="s">
        <v>1302</v>
      </c>
      <c r="I310" s="12" t="s">
        <v>1310</v>
      </c>
      <c r="J310" s="12" t="s">
        <v>1321</v>
      </c>
      <c r="K310" s="12" t="s">
        <v>1178</v>
      </c>
      <c r="L310" s="12" t="s">
        <v>1303</v>
      </c>
      <c r="M310" s="12" t="s">
        <v>0</v>
      </c>
      <c r="N310" s="13" t="s">
        <v>1620</v>
      </c>
      <c r="O310" s="11" t="s">
        <v>1842</v>
      </c>
      <c r="P310" s="11" t="s">
        <v>1875</v>
      </c>
      <c r="Q310" s="11" t="s">
        <v>1307</v>
      </c>
      <c r="R310" s="11" t="s">
        <v>1882</v>
      </c>
      <c r="S310" s="11" t="s">
        <v>1307</v>
      </c>
      <c r="T310" s="11" t="s">
        <v>1307</v>
      </c>
      <c r="U310" s="11" t="s">
        <v>1890</v>
      </c>
      <c r="V310" s="11" t="s">
        <v>1897</v>
      </c>
      <c r="W310" s="11" t="s">
        <v>0</v>
      </c>
      <c r="X310" s="11" t="s">
        <v>0</v>
      </c>
      <c r="Y310" s="11" t="s">
        <v>0</v>
      </c>
      <c r="Z310" s="11" t="s">
        <v>0</v>
      </c>
      <c r="AA310" s="11" t="s">
        <v>0</v>
      </c>
      <c r="AB310" s="11" t="s">
        <v>0</v>
      </c>
      <c r="AC310" s="11" t="s">
        <v>0</v>
      </c>
      <c r="AD310" s="11" t="s">
        <v>0</v>
      </c>
      <c r="AE310" s="11" t="s">
        <v>13</v>
      </c>
    </row>
    <row r="311">
      <c r="B311" s="24" t="s">
        <v>1</v>
      </c>
      <c r="C311" s="12" t="s">
        <v>318</v>
      </c>
      <c r="D311" s="11" t="s">
        <v>871</v>
      </c>
      <c r="E311" s="11" t="s">
        <v>1178</v>
      </c>
      <c r="F311" s="12" t="s">
        <v>1</v>
      </c>
      <c r="G311" s="12" t="s">
        <v>1302</v>
      </c>
      <c r="H311" s="12" t="s">
        <v>1302</v>
      </c>
      <c r="I311" s="12" t="s">
        <v>1310</v>
      </c>
      <c r="J311" s="12" t="s">
        <v>1321</v>
      </c>
      <c r="K311" s="12" t="s">
        <v>1178</v>
      </c>
      <c r="L311" s="12" t="s">
        <v>1303</v>
      </c>
      <c r="M311" s="12" t="s">
        <v>0</v>
      </c>
      <c r="N311" s="13" t="s">
        <v>1621</v>
      </c>
      <c r="O311" s="11" t="s">
        <v>1842</v>
      </c>
      <c r="P311" s="11" t="s">
        <v>1875</v>
      </c>
      <c r="Q311" s="11" t="s">
        <v>1307</v>
      </c>
      <c r="R311" s="11" t="s">
        <v>1882</v>
      </c>
      <c r="S311" s="11" t="s">
        <v>1307</v>
      </c>
      <c r="T311" s="11" t="s">
        <v>1307</v>
      </c>
      <c r="U311" s="11" t="s">
        <v>1890</v>
      </c>
      <c r="V311" s="11" t="s">
        <v>1897</v>
      </c>
      <c r="W311" s="11" t="s">
        <v>0</v>
      </c>
      <c r="X311" s="11" t="s">
        <v>0</v>
      </c>
      <c r="Y311" s="11" t="s">
        <v>0</v>
      </c>
      <c r="Z311" s="11" t="s">
        <v>0</v>
      </c>
      <c r="AA311" s="11" t="s">
        <v>0</v>
      </c>
      <c r="AB311" s="11" t="s">
        <v>0</v>
      </c>
      <c r="AC311" s="11" t="s">
        <v>0</v>
      </c>
      <c r="AD311" s="11" t="s">
        <v>0</v>
      </c>
      <c r="AE311" s="11" t="s">
        <v>13</v>
      </c>
    </row>
    <row r="312">
      <c r="B312" s="24" t="s">
        <v>1</v>
      </c>
      <c r="C312" s="12" t="s">
        <v>319</v>
      </c>
      <c r="D312" s="11" t="s">
        <v>872</v>
      </c>
      <c r="E312" s="11" t="s">
        <v>1178</v>
      </c>
      <c r="F312" s="12" t="s">
        <v>1</v>
      </c>
      <c r="G312" s="12" t="s">
        <v>1302</v>
      </c>
      <c r="H312" s="12" t="s">
        <v>1302</v>
      </c>
      <c r="I312" s="12" t="s">
        <v>1311</v>
      </c>
      <c r="J312" s="12" t="s">
        <v>1321</v>
      </c>
      <c r="K312" s="12" t="s">
        <v>1178</v>
      </c>
      <c r="L312" s="12" t="s">
        <v>1303</v>
      </c>
      <c r="M312" s="12" t="s">
        <v>0</v>
      </c>
      <c r="N312" s="13" t="s">
        <v>1622</v>
      </c>
      <c r="O312" s="11" t="s">
        <v>1842</v>
      </c>
      <c r="P312" s="11" t="s">
        <v>1875</v>
      </c>
      <c r="Q312" s="11" t="s">
        <v>1307</v>
      </c>
      <c r="R312" s="11" t="s">
        <v>1882</v>
      </c>
      <c r="S312" s="11" t="s">
        <v>1307</v>
      </c>
      <c r="T312" s="11" t="s">
        <v>1306</v>
      </c>
      <c r="U312" s="11" t="s">
        <v>1890</v>
      </c>
      <c r="V312" s="11" t="s">
        <v>1910</v>
      </c>
      <c r="W312" s="11" t="s">
        <v>0</v>
      </c>
      <c r="X312" s="11" t="s">
        <v>0</v>
      </c>
      <c r="Y312" s="11" t="s">
        <v>0</v>
      </c>
      <c r="Z312" s="11" t="s">
        <v>0</v>
      </c>
      <c r="AA312" s="11" t="s">
        <v>0</v>
      </c>
      <c r="AB312" s="11" t="s">
        <v>0</v>
      </c>
      <c r="AC312" s="11" t="s">
        <v>0</v>
      </c>
      <c r="AD312" s="11" t="s">
        <v>0</v>
      </c>
      <c r="AE312" s="11" t="s">
        <v>13</v>
      </c>
    </row>
    <row r="313">
      <c r="B313" s="24" t="s">
        <v>1</v>
      </c>
      <c r="C313" s="12" t="s">
        <v>320</v>
      </c>
      <c r="D313" s="11" t="s">
        <v>873</v>
      </c>
      <c r="E313" s="11" t="s">
        <v>1178</v>
      </c>
      <c r="F313" s="12" t="s">
        <v>1</v>
      </c>
      <c r="G313" s="12" t="s">
        <v>1302</v>
      </c>
      <c r="H313" s="12" t="s">
        <v>1302</v>
      </c>
      <c r="I313" s="12" t="s">
        <v>1311</v>
      </c>
      <c r="J313" s="12" t="s">
        <v>1321</v>
      </c>
      <c r="K313" s="12" t="s">
        <v>1178</v>
      </c>
      <c r="L313" s="12" t="s">
        <v>1303</v>
      </c>
      <c r="M313" s="12" t="s">
        <v>0</v>
      </c>
      <c r="N313" s="13" t="s">
        <v>1623</v>
      </c>
      <c r="O313" s="11" t="s">
        <v>1842</v>
      </c>
      <c r="P313" s="11" t="s">
        <v>1875</v>
      </c>
      <c r="Q313" s="11" t="s">
        <v>1307</v>
      </c>
      <c r="R313" s="11" t="s">
        <v>1882</v>
      </c>
      <c r="S313" s="11" t="s">
        <v>1307</v>
      </c>
      <c r="T313" s="11" t="s">
        <v>1306</v>
      </c>
      <c r="U313" s="11" t="s">
        <v>1890</v>
      </c>
      <c r="V313" s="11" t="s">
        <v>1910</v>
      </c>
      <c r="W313" s="11" t="s">
        <v>0</v>
      </c>
      <c r="X313" s="11" t="s">
        <v>0</v>
      </c>
      <c r="Y313" s="11" t="s">
        <v>0</v>
      </c>
      <c r="Z313" s="11" t="s">
        <v>0</v>
      </c>
      <c r="AA313" s="11" t="s">
        <v>0</v>
      </c>
      <c r="AB313" s="11" t="s">
        <v>0</v>
      </c>
      <c r="AC313" s="11" t="s">
        <v>0</v>
      </c>
      <c r="AD313" s="11" t="s">
        <v>0</v>
      </c>
      <c r="AE313" s="11" t="s">
        <v>13</v>
      </c>
    </row>
    <row r="314">
      <c r="B314" s="24" t="s">
        <v>1</v>
      </c>
      <c r="C314" s="12" t="s">
        <v>321</v>
      </c>
      <c r="D314" s="11" t="s">
        <v>874</v>
      </c>
      <c r="E314" s="11" t="s">
        <v>1179</v>
      </c>
      <c r="F314" s="12" t="s">
        <v>1</v>
      </c>
      <c r="G314" s="12" t="s">
        <v>1302</v>
      </c>
      <c r="H314" s="12" t="s">
        <v>1302</v>
      </c>
      <c r="I314" s="12" t="s">
        <v>1313</v>
      </c>
      <c r="J314" s="12" t="s">
        <v>1323</v>
      </c>
      <c r="K314" s="12" t="s">
        <v>1326</v>
      </c>
      <c r="L314" s="12" t="s">
        <v>1303</v>
      </c>
      <c r="M314" s="12" t="s">
        <v>0</v>
      </c>
      <c r="N314" s="13" t="s">
        <v>1624</v>
      </c>
      <c r="O314" s="11" t="s">
        <v>1326</v>
      </c>
      <c r="P314" s="11" t="s">
        <v>1871</v>
      </c>
      <c r="Q314" s="11" t="s">
        <v>1306</v>
      </c>
      <c r="R314" s="11" t="s">
        <v>1882</v>
      </c>
      <c r="S314" s="11" t="s">
        <v>0</v>
      </c>
      <c r="T314" s="11" t="s">
        <v>1306</v>
      </c>
      <c r="U314" s="11" t="s">
        <v>0</v>
      </c>
      <c r="V314" s="11" t="s">
        <v>0</v>
      </c>
      <c r="W314" s="11" t="s">
        <v>0</v>
      </c>
      <c r="X314" s="11" t="s">
        <v>0</v>
      </c>
      <c r="Y314" s="11" t="s">
        <v>0</v>
      </c>
      <c r="Z314" s="11" t="s">
        <v>0</v>
      </c>
      <c r="AA314" s="11" t="s">
        <v>0</v>
      </c>
      <c r="AB314" s="11" t="s">
        <v>0</v>
      </c>
      <c r="AC314" s="11" t="s">
        <v>0</v>
      </c>
      <c r="AD314" s="11" t="s">
        <v>0</v>
      </c>
      <c r="AE314" s="11" t="s">
        <v>2090</v>
      </c>
    </row>
    <row r="315">
      <c r="B315" s="24" t="s">
        <v>1</v>
      </c>
      <c r="C315" s="12" t="s">
        <v>322</v>
      </c>
      <c r="D315" s="11" t="s">
        <v>875</v>
      </c>
      <c r="E315" s="11" t="s">
        <v>1180</v>
      </c>
      <c r="F315" s="12" t="s">
        <v>1</v>
      </c>
      <c r="G315" s="12" t="s">
        <v>1302</v>
      </c>
      <c r="H315" s="12" t="s">
        <v>1302</v>
      </c>
      <c r="I315" s="12" t="s">
        <v>1313</v>
      </c>
      <c r="J315" s="12" t="s">
        <v>1323</v>
      </c>
      <c r="K315" s="12" t="s">
        <v>1326</v>
      </c>
      <c r="L315" s="12" t="s">
        <v>1303</v>
      </c>
      <c r="M315" s="12" t="s">
        <v>0</v>
      </c>
      <c r="N315" s="13" t="s">
        <v>1625</v>
      </c>
      <c r="O315" s="11" t="s">
        <v>1326</v>
      </c>
      <c r="P315" s="11" t="s">
        <v>1871</v>
      </c>
      <c r="Q315" s="11" t="s">
        <v>1306</v>
      </c>
      <c r="R315" s="11" t="s">
        <v>1882</v>
      </c>
      <c r="S315" s="11" t="s">
        <v>0</v>
      </c>
      <c r="T315" s="11" t="s">
        <v>1306</v>
      </c>
      <c r="U315" s="11" t="s">
        <v>0</v>
      </c>
      <c r="V315" s="11" t="s">
        <v>0</v>
      </c>
      <c r="W315" s="11" t="s">
        <v>0</v>
      </c>
      <c r="X315" s="11" t="s">
        <v>0</v>
      </c>
      <c r="Y315" s="11" t="s">
        <v>0</v>
      </c>
      <c r="Z315" s="11" t="s">
        <v>0</v>
      </c>
      <c r="AA315" s="11" t="s">
        <v>0</v>
      </c>
      <c r="AB315" s="11" t="s">
        <v>0</v>
      </c>
      <c r="AC315" s="11" t="s">
        <v>0</v>
      </c>
      <c r="AD315" s="11" t="s">
        <v>0</v>
      </c>
      <c r="AE315" s="11" t="s">
        <v>2090</v>
      </c>
    </row>
    <row r="316">
      <c r="B316" s="24" t="s">
        <v>1</v>
      </c>
      <c r="C316" s="12" t="s">
        <v>323</v>
      </c>
      <c r="D316" s="11" t="s">
        <v>876</v>
      </c>
      <c r="E316" s="11" t="s">
        <v>1181</v>
      </c>
      <c r="F316" s="12" t="s">
        <v>1</v>
      </c>
      <c r="G316" s="12" t="s">
        <v>1302</v>
      </c>
      <c r="H316" s="12" t="s">
        <v>1302</v>
      </c>
      <c r="I316" s="12" t="s">
        <v>1313</v>
      </c>
      <c r="J316" s="12" t="s">
        <v>1323</v>
      </c>
      <c r="K316" s="12" t="s">
        <v>1326</v>
      </c>
      <c r="L316" s="12" t="s">
        <v>1303</v>
      </c>
      <c r="M316" s="12" t="s">
        <v>0</v>
      </c>
      <c r="N316" s="13" t="s">
        <v>1626</v>
      </c>
      <c r="O316" s="11" t="s">
        <v>1326</v>
      </c>
      <c r="P316" s="11" t="s">
        <v>1871</v>
      </c>
      <c r="Q316" s="11" t="s">
        <v>1306</v>
      </c>
      <c r="R316" s="11" t="s">
        <v>1882</v>
      </c>
      <c r="S316" s="11" t="s">
        <v>0</v>
      </c>
      <c r="T316" s="11" t="s">
        <v>1306</v>
      </c>
      <c r="U316" s="11" t="s">
        <v>0</v>
      </c>
      <c r="V316" s="11" t="s">
        <v>0</v>
      </c>
      <c r="W316" s="11" t="s">
        <v>0</v>
      </c>
      <c r="X316" s="11" t="s">
        <v>0</v>
      </c>
      <c r="Y316" s="11" t="s">
        <v>0</v>
      </c>
      <c r="Z316" s="11" t="s">
        <v>0</v>
      </c>
      <c r="AA316" s="11" t="s">
        <v>0</v>
      </c>
      <c r="AB316" s="11" t="s">
        <v>0</v>
      </c>
      <c r="AC316" s="11" t="s">
        <v>0</v>
      </c>
      <c r="AD316" s="11" t="s">
        <v>0</v>
      </c>
      <c r="AE316" s="11" t="s">
        <v>2090</v>
      </c>
    </row>
    <row r="317">
      <c r="B317" s="24" t="s">
        <v>1</v>
      </c>
      <c r="C317" s="12" t="s">
        <v>324</v>
      </c>
      <c r="D317" s="11" t="s">
        <v>877</v>
      </c>
      <c r="E317" s="11" t="s">
        <v>1181</v>
      </c>
      <c r="F317" s="12" t="s">
        <v>1</v>
      </c>
      <c r="G317" s="12" t="s">
        <v>1302</v>
      </c>
      <c r="H317" s="12" t="s">
        <v>1302</v>
      </c>
      <c r="I317" s="12" t="s">
        <v>1313</v>
      </c>
      <c r="J317" s="12" t="s">
        <v>1323</v>
      </c>
      <c r="K317" s="12" t="s">
        <v>1326</v>
      </c>
      <c r="L317" s="12" t="s">
        <v>1303</v>
      </c>
      <c r="M317" s="12" t="s">
        <v>0</v>
      </c>
      <c r="N317" s="13" t="s">
        <v>1627</v>
      </c>
      <c r="O317" s="11" t="s">
        <v>1326</v>
      </c>
      <c r="P317" s="11" t="s">
        <v>1871</v>
      </c>
      <c r="Q317" s="11" t="s">
        <v>1306</v>
      </c>
      <c r="R317" s="11" t="s">
        <v>1882</v>
      </c>
      <c r="S317" s="11" t="s">
        <v>0</v>
      </c>
      <c r="T317" s="11" t="s">
        <v>1306</v>
      </c>
      <c r="U317" s="11" t="s">
        <v>0</v>
      </c>
      <c r="V317" s="11" t="s">
        <v>0</v>
      </c>
      <c r="W317" s="11" t="s">
        <v>0</v>
      </c>
      <c r="X317" s="11" t="s">
        <v>0</v>
      </c>
      <c r="Y317" s="11" t="s">
        <v>0</v>
      </c>
      <c r="Z317" s="11" t="s">
        <v>0</v>
      </c>
      <c r="AA317" s="11" t="s">
        <v>0</v>
      </c>
      <c r="AB317" s="11" t="s">
        <v>0</v>
      </c>
      <c r="AC317" s="11" t="s">
        <v>0</v>
      </c>
      <c r="AD317" s="11" t="s">
        <v>0</v>
      </c>
      <c r="AE317" s="11" t="s">
        <v>2090</v>
      </c>
    </row>
    <row r="318">
      <c r="B318" s="24" t="s">
        <v>1</v>
      </c>
      <c r="C318" s="12" t="s">
        <v>325</v>
      </c>
      <c r="D318" s="11" t="s">
        <v>878</v>
      </c>
      <c r="E318" s="11" t="s">
        <v>1181</v>
      </c>
      <c r="F318" s="12" t="s">
        <v>1</v>
      </c>
      <c r="G318" s="12" t="s">
        <v>1302</v>
      </c>
      <c r="H318" s="12" t="s">
        <v>1302</v>
      </c>
      <c r="I318" s="12" t="s">
        <v>1313</v>
      </c>
      <c r="J318" s="12" t="s">
        <v>1324</v>
      </c>
      <c r="K318" s="12" t="s">
        <v>1326</v>
      </c>
      <c r="L318" s="12" t="s">
        <v>1303</v>
      </c>
      <c r="M318" s="12" t="s">
        <v>0</v>
      </c>
      <c r="N318" s="13" t="s">
        <v>1628</v>
      </c>
      <c r="O318" s="11" t="s">
        <v>1326</v>
      </c>
      <c r="P318" s="11" t="s">
        <v>1871</v>
      </c>
      <c r="Q318" s="11" t="s">
        <v>1306</v>
      </c>
      <c r="R318" s="11" t="s">
        <v>1882</v>
      </c>
      <c r="S318" s="11" t="s">
        <v>0</v>
      </c>
      <c r="T318" s="11" t="s">
        <v>1307</v>
      </c>
      <c r="U318" s="11" t="s">
        <v>1888</v>
      </c>
      <c r="V318" s="11" t="s">
        <v>1912</v>
      </c>
      <c r="W318" s="11" t="s">
        <v>0</v>
      </c>
      <c r="X318" s="11" t="s">
        <v>0</v>
      </c>
      <c r="Y318" s="11" t="s">
        <v>1912</v>
      </c>
      <c r="Z318" s="11" t="s">
        <v>1977</v>
      </c>
      <c r="AA318" s="11" t="s">
        <v>1977</v>
      </c>
      <c r="AB318" s="11" t="s">
        <v>2003</v>
      </c>
      <c r="AC318" s="11" t="s">
        <v>56</v>
      </c>
      <c r="AD318" s="11" t="s">
        <v>2077</v>
      </c>
      <c r="AE318" s="11" t="s">
        <v>13</v>
      </c>
    </row>
    <row r="319">
      <c r="B319" s="24" t="s">
        <v>1</v>
      </c>
      <c r="C319" s="12" t="s">
        <v>326</v>
      </c>
      <c r="D319" s="11" t="s">
        <v>879</v>
      </c>
      <c r="E319" s="11" t="s">
        <v>1182</v>
      </c>
      <c r="F319" s="12" t="s">
        <v>1</v>
      </c>
      <c r="G319" s="12" t="s">
        <v>1302</v>
      </c>
      <c r="H319" s="12" t="s">
        <v>1302</v>
      </c>
      <c r="I319" s="12" t="s">
        <v>1313</v>
      </c>
      <c r="J319" s="12" t="s">
        <v>1323</v>
      </c>
      <c r="K319" s="12" t="s">
        <v>1326</v>
      </c>
      <c r="L319" s="12" t="s">
        <v>1303</v>
      </c>
      <c r="M319" s="12" t="s">
        <v>0</v>
      </c>
      <c r="N319" s="13" t="s">
        <v>1629</v>
      </c>
      <c r="O319" s="11" t="s">
        <v>1326</v>
      </c>
      <c r="P319" s="11" t="s">
        <v>1871</v>
      </c>
      <c r="Q319" s="11" t="s">
        <v>1307</v>
      </c>
      <c r="R319" s="11" t="s">
        <v>1882</v>
      </c>
      <c r="S319" s="11" t="s">
        <v>1307</v>
      </c>
      <c r="T319" s="11" t="s">
        <v>1306</v>
      </c>
      <c r="U319" s="11" t="s">
        <v>1890</v>
      </c>
      <c r="V319" s="11" t="s">
        <v>1910</v>
      </c>
      <c r="W319" s="11" t="s">
        <v>0</v>
      </c>
      <c r="X319" s="11" t="s">
        <v>0</v>
      </c>
      <c r="Y319" s="11" t="s">
        <v>0</v>
      </c>
      <c r="Z319" s="11" t="s">
        <v>0</v>
      </c>
      <c r="AA319" s="11" t="s">
        <v>0</v>
      </c>
      <c r="AB319" s="11" t="s">
        <v>0</v>
      </c>
      <c r="AC319" s="11" t="s">
        <v>0</v>
      </c>
      <c r="AD319" s="11" t="s">
        <v>0</v>
      </c>
      <c r="AE319" s="11" t="s">
        <v>13</v>
      </c>
    </row>
    <row r="320">
      <c r="B320" s="24" t="s">
        <v>1</v>
      </c>
      <c r="C320" s="12" t="s">
        <v>327</v>
      </c>
      <c r="D320" s="11" t="s">
        <v>880</v>
      </c>
      <c r="E320" s="11" t="s">
        <v>1182</v>
      </c>
      <c r="F320" s="12" t="s">
        <v>1</v>
      </c>
      <c r="G320" s="12" t="s">
        <v>1302</v>
      </c>
      <c r="H320" s="12" t="s">
        <v>1302</v>
      </c>
      <c r="I320" s="12" t="s">
        <v>1313</v>
      </c>
      <c r="J320" s="12" t="s">
        <v>1323</v>
      </c>
      <c r="K320" s="12" t="s">
        <v>1326</v>
      </c>
      <c r="L320" s="12" t="s">
        <v>1303</v>
      </c>
      <c r="M320" s="12" t="s">
        <v>0</v>
      </c>
      <c r="N320" s="13" t="s">
        <v>1630</v>
      </c>
      <c r="O320" s="11" t="s">
        <v>1326</v>
      </c>
      <c r="P320" s="11" t="s">
        <v>1871</v>
      </c>
      <c r="Q320" s="11" t="s">
        <v>1307</v>
      </c>
      <c r="R320" s="11" t="s">
        <v>1882</v>
      </c>
      <c r="S320" s="11" t="s">
        <v>1307</v>
      </c>
      <c r="T320" s="11" t="s">
        <v>1306</v>
      </c>
      <c r="U320" s="11" t="s">
        <v>1890</v>
      </c>
      <c r="V320" s="11" t="s">
        <v>1910</v>
      </c>
      <c r="W320" s="11" t="s">
        <v>0</v>
      </c>
      <c r="X320" s="11" t="s">
        <v>0</v>
      </c>
      <c r="Y320" s="11" t="s">
        <v>0</v>
      </c>
      <c r="Z320" s="11" t="s">
        <v>0</v>
      </c>
      <c r="AA320" s="11" t="s">
        <v>0</v>
      </c>
      <c r="AB320" s="11" t="s">
        <v>0</v>
      </c>
      <c r="AC320" s="11" t="s">
        <v>0</v>
      </c>
      <c r="AD320" s="11" t="s">
        <v>0</v>
      </c>
      <c r="AE320" s="11" t="s">
        <v>13</v>
      </c>
    </row>
    <row r="321">
      <c r="B321" s="24" t="s">
        <v>1</v>
      </c>
      <c r="C321" s="12" t="s">
        <v>328</v>
      </c>
      <c r="D321" s="11" t="s">
        <v>881</v>
      </c>
      <c r="E321" s="11" t="s">
        <v>1183</v>
      </c>
      <c r="F321" s="12" t="s">
        <v>1</v>
      </c>
      <c r="G321" s="12" t="s">
        <v>1302</v>
      </c>
      <c r="H321" s="12" t="s">
        <v>1302</v>
      </c>
      <c r="I321" s="12" t="s">
        <v>1313</v>
      </c>
      <c r="J321" s="12" t="s">
        <v>1323</v>
      </c>
      <c r="K321" s="12" t="s">
        <v>1326</v>
      </c>
      <c r="L321" s="12" t="s">
        <v>1303</v>
      </c>
      <c r="M321" s="12" t="s">
        <v>0</v>
      </c>
      <c r="N321" s="13" t="s">
        <v>1631</v>
      </c>
      <c r="O321" s="11" t="s">
        <v>1326</v>
      </c>
      <c r="P321" s="11" t="s">
        <v>1871</v>
      </c>
      <c r="Q321" s="11" t="s">
        <v>1306</v>
      </c>
      <c r="R321" s="11" t="s">
        <v>1882</v>
      </c>
      <c r="S321" s="11" t="s">
        <v>0</v>
      </c>
      <c r="T321" s="11" t="s">
        <v>1306</v>
      </c>
      <c r="U321" s="11" t="s">
        <v>0</v>
      </c>
      <c r="V321" s="11" t="s">
        <v>0</v>
      </c>
      <c r="W321" s="11" t="s">
        <v>0</v>
      </c>
      <c r="X321" s="11" t="s">
        <v>0</v>
      </c>
      <c r="Y321" s="11" t="s">
        <v>0</v>
      </c>
      <c r="Z321" s="11" t="s">
        <v>0</v>
      </c>
      <c r="AA321" s="11" t="s">
        <v>0</v>
      </c>
      <c r="AB321" s="11" t="s">
        <v>0</v>
      </c>
      <c r="AC321" s="11" t="s">
        <v>0</v>
      </c>
      <c r="AD321" s="11" t="s">
        <v>0</v>
      </c>
      <c r="AE321" s="11" t="s">
        <v>2090</v>
      </c>
    </row>
    <row r="322">
      <c r="B322" s="24" t="s">
        <v>1</v>
      </c>
      <c r="C322" s="12" t="s">
        <v>329</v>
      </c>
      <c r="D322" s="11" t="s">
        <v>882</v>
      </c>
      <c r="E322" s="11" t="s">
        <v>1184</v>
      </c>
      <c r="F322" s="12" t="s">
        <v>1</v>
      </c>
      <c r="G322" s="12" t="s">
        <v>1302</v>
      </c>
      <c r="H322" s="12" t="s">
        <v>1302</v>
      </c>
      <c r="I322" s="12" t="s">
        <v>1313</v>
      </c>
      <c r="J322" s="12" t="s">
        <v>1323</v>
      </c>
      <c r="K322" s="12" t="s">
        <v>1326</v>
      </c>
      <c r="L322" s="12" t="s">
        <v>1303</v>
      </c>
      <c r="M322" s="12" t="s">
        <v>0</v>
      </c>
      <c r="N322" s="13" t="s">
        <v>1632</v>
      </c>
      <c r="O322" s="11" t="s">
        <v>1326</v>
      </c>
      <c r="P322" s="11" t="s">
        <v>1871</v>
      </c>
      <c r="Q322" s="11" t="s">
        <v>1306</v>
      </c>
      <c r="R322" s="11" t="s">
        <v>1882</v>
      </c>
      <c r="S322" s="11" t="s">
        <v>0</v>
      </c>
      <c r="T322" s="11" t="s">
        <v>1306</v>
      </c>
      <c r="U322" s="11" t="s">
        <v>0</v>
      </c>
      <c r="V322" s="11" t="s">
        <v>0</v>
      </c>
      <c r="W322" s="11" t="s">
        <v>0</v>
      </c>
      <c r="X322" s="11" t="s">
        <v>0</v>
      </c>
      <c r="Y322" s="11" t="s">
        <v>0</v>
      </c>
      <c r="Z322" s="11" t="s">
        <v>0</v>
      </c>
      <c r="AA322" s="11" t="s">
        <v>0</v>
      </c>
      <c r="AB322" s="11" t="s">
        <v>0</v>
      </c>
      <c r="AC322" s="11" t="s">
        <v>0</v>
      </c>
      <c r="AD322" s="11" t="s">
        <v>0</v>
      </c>
      <c r="AE322" s="11" t="s">
        <v>2090</v>
      </c>
    </row>
    <row r="323">
      <c r="B323" s="24" t="s">
        <v>1</v>
      </c>
      <c r="C323" s="12" t="s">
        <v>330</v>
      </c>
      <c r="D323" s="11" t="s">
        <v>883</v>
      </c>
      <c r="E323" s="11" t="s">
        <v>1185</v>
      </c>
      <c r="F323" s="12" t="s">
        <v>1</v>
      </c>
      <c r="G323" s="12" t="s">
        <v>1302</v>
      </c>
      <c r="H323" s="12" t="s">
        <v>1302</v>
      </c>
      <c r="I323" s="12" t="s">
        <v>1313</v>
      </c>
      <c r="J323" s="12" t="s">
        <v>1324</v>
      </c>
      <c r="K323" s="12" t="s">
        <v>1326</v>
      </c>
      <c r="L323" s="12" t="s">
        <v>1303</v>
      </c>
      <c r="M323" s="12" t="s">
        <v>0</v>
      </c>
      <c r="N323" s="13" t="s">
        <v>1633</v>
      </c>
      <c r="O323" s="11" t="s">
        <v>1326</v>
      </c>
      <c r="P323" s="11" t="s">
        <v>1871</v>
      </c>
      <c r="Q323" s="11" t="s">
        <v>1306</v>
      </c>
      <c r="R323" s="11" t="s">
        <v>1882</v>
      </c>
      <c r="S323" s="11" t="s">
        <v>1307</v>
      </c>
      <c r="T323" s="11" t="s">
        <v>1307</v>
      </c>
      <c r="U323" s="11" t="s">
        <v>1890</v>
      </c>
      <c r="V323" s="11" t="s">
        <v>1908</v>
      </c>
      <c r="W323" s="11" t="s">
        <v>1897</v>
      </c>
      <c r="X323" s="11" t="s">
        <v>0</v>
      </c>
      <c r="Y323" s="11" t="s">
        <v>0</v>
      </c>
      <c r="Z323" s="11" t="s">
        <v>0</v>
      </c>
      <c r="AA323" s="11" t="s">
        <v>0</v>
      </c>
      <c r="AB323" s="11" t="s">
        <v>0</v>
      </c>
      <c r="AC323" s="11" t="s">
        <v>0</v>
      </c>
      <c r="AD323" s="11" t="s">
        <v>2078</v>
      </c>
      <c r="AE323" s="11" t="s">
        <v>13</v>
      </c>
    </row>
    <row r="324">
      <c r="B324" s="24" t="s">
        <v>1</v>
      </c>
      <c r="C324" s="12" t="s">
        <v>331</v>
      </c>
      <c r="D324" s="11" t="s">
        <v>884</v>
      </c>
      <c r="E324" s="11" t="s">
        <v>1186</v>
      </c>
      <c r="F324" s="12" t="s">
        <v>1</v>
      </c>
      <c r="G324" s="12" t="s">
        <v>1302</v>
      </c>
      <c r="H324" s="12" t="s">
        <v>1302</v>
      </c>
      <c r="I324" s="12" t="s">
        <v>1313</v>
      </c>
      <c r="J324" s="12" t="s">
        <v>1324</v>
      </c>
      <c r="K324" s="12" t="s">
        <v>1326</v>
      </c>
      <c r="L324" s="12" t="s">
        <v>1303</v>
      </c>
      <c r="M324" s="12" t="s">
        <v>0</v>
      </c>
      <c r="N324" s="13" t="s">
        <v>1634</v>
      </c>
      <c r="O324" s="11" t="s">
        <v>1326</v>
      </c>
      <c r="P324" s="11" t="s">
        <v>1871</v>
      </c>
      <c r="Q324" s="11" t="s">
        <v>1306</v>
      </c>
      <c r="R324" s="11" t="s">
        <v>1882</v>
      </c>
      <c r="S324" s="11" t="s">
        <v>0</v>
      </c>
      <c r="T324" s="11" t="s">
        <v>1306</v>
      </c>
      <c r="U324" s="11" t="s">
        <v>0</v>
      </c>
      <c r="V324" s="11" t="s">
        <v>0</v>
      </c>
      <c r="W324" s="11" t="s">
        <v>0</v>
      </c>
      <c r="X324" s="11" t="s">
        <v>0</v>
      </c>
      <c r="Y324" s="11" t="s">
        <v>0</v>
      </c>
      <c r="Z324" s="11" t="s">
        <v>0</v>
      </c>
      <c r="AA324" s="11" t="s">
        <v>0</v>
      </c>
      <c r="AB324" s="11" t="s">
        <v>0</v>
      </c>
      <c r="AC324" s="11" t="s">
        <v>0</v>
      </c>
      <c r="AD324" s="11" t="s">
        <v>0</v>
      </c>
      <c r="AE324" s="11" t="s">
        <v>2090</v>
      </c>
    </row>
    <row r="325">
      <c r="B325" s="24" t="s">
        <v>1</v>
      </c>
      <c r="C325" s="12" t="s">
        <v>332</v>
      </c>
      <c r="D325" s="11" t="s">
        <v>885</v>
      </c>
      <c r="E325" s="11" t="s">
        <v>1186</v>
      </c>
      <c r="F325" s="12" t="s">
        <v>1</v>
      </c>
      <c r="G325" s="12" t="s">
        <v>1302</v>
      </c>
      <c r="H325" s="12" t="s">
        <v>1302</v>
      </c>
      <c r="I325" s="12" t="s">
        <v>1313</v>
      </c>
      <c r="J325" s="12" t="s">
        <v>1324</v>
      </c>
      <c r="K325" s="12" t="s">
        <v>1326</v>
      </c>
      <c r="L325" s="12" t="s">
        <v>1303</v>
      </c>
      <c r="M325" s="12" t="s">
        <v>0</v>
      </c>
      <c r="N325" s="13" t="s">
        <v>1635</v>
      </c>
      <c r="O325" s="11" t="s">
        <v>1326</v>
      </c>
      <c r="P325" s="11" t="s">
        <v>1871</v>
      </c>
      <c r="Q325" s="11" t="s">
        <v>1306</v>
      </c>
      <c r="R325" s="11" t="s">
        <v>1882</v>
      </c>
      <c r="S325" s="11" t="s">
        <v>0</v>
      </c>
      <c r="T325" s="11" t="s">
        <v>1306</v>
      </c>
      <c r="U325" s="11" t="s">
        <v>0</v>
      </c>
      <c r="V325" s="11" t="s">
        <v>0</v>
      </c>
      <c r="W325" s="11" t="s">
        <v>0</v>
      </c>
      <c r="X325" s="11" t="s">
        <v>0</v>
      </c>
      <c r="Y325" s="11" t="s">
        <v>0</v>
      </c>
      <c r="Z325" s="11" t="s">
        <v>0</v>
      </c>
      <c r="AA325" s="11" t="s">
        <v>0</v>
      </c>
      <c r="AB325" s="11" t="s">
        <v>0</v>
      </c>
      <c r="AC325" s="11" t="s">
        <v>0</v>
      </c>
      <c r="AD325" s="11" t="s">
        <v>0</v>
      </c>
      <c r="AE325" s="11" t="s">
        <v>2090</v>
      </c>
    </row>
    <row r="326">
      <c r="B326" s="24" t="s">
        <v>1</v>
      </c>
      <c r="C326" s="12" t="s">
        <v>333</v>
      </c>
      <c r="D326" s="11" t="s">
        <v>886</v>
      </c>
      <c r="E326" s="11" t="s">
        <v>1187</v>
      </c>
      <c r="F326" s="12" t="s">
        <v>1</v>
      </c>
      <c r="G326" s="12" t="s">
        <v>1302</v>
      </c>
      <c r="H326" s="12" t="s">
        <v>1302</v>
      </c>
      <c r="I326" s="12" t="s">
        <v>1313</v>
      </c>
      <c r="J326" s="12" t="s">
        <v>1324</v>
      </c>
      <c r="K326" s="12" t="s">
        <v>1326</v>
      </c>
      <c r="L326" s="12" t="s">
        <v>1303</v>
      </c>
      <c r="M326" s="12" t="s">
        <v>0</v>
      </c>
      <c r="N326" s="13" t="s">
        <v>1636</v>
      </c>
      <c r="O326" s="11" t="s">
        <v>1326</v>
      </c>
      <c r="P326" s="11" t="s">
        <v>1871</v>
      </c>
      <c r="Q326" s="11" t="s">
        <v>1306</v>
      </c>
      <c r="R326" s="11" t="s">
        <v>1882</v>
      </c>
      <c r="S326" s="11" t="s">
        <v>0</v>
      </c>
      <c r="T326" s="11" t="s">
        <v>1306</v>
      </c>
      <c r="U326" s="11" t="s">
        <v>0</v>
      </c>
      <c r="V326" s="11" t="s">
        <v>0</v>
      </c>
      <c r="W326" s="11" t="s">
        <v>0</v>
      </c>
      <c r="X326" s="11" t="s">
        <v>0</v>
      </c>
      <c r="Y326" s="11" t="s">
        <v>0</v>
      </c>
      <c r="Z326" s="11" t="s">
        <v>0</v>
      </c>
      <c r="AA326" s="11" t="s">
        <v>0</v>
      </c>
      <c r="AB326" s="11" t="s">
        <v>0</v>
      </c>
      <c r="AC326" s="11" t="s">
        <v>0</v>
      </c>
      <c r="AD326" s="11" t="s">
        <v>0</v>
      </c>
      <c r="AE326" s="11" t="s">
        <v>2090</v>
      </c>
    </row>
    <row r="327">
      <c r="B327" s="24" t="s">
        <v>1</v>
      </c>
      <c r="C327" s="12" t="s">
        <v>334</v>
      </c>
      <c r="D327" s="11" t="s">
        <v>887</v>
      </c>
      <c r="E327" s="11" t="s">
        <v>1188</v>
      </c>
      <c r="F327" s="12" t="s">
        <v>1</v>
      </c>
      <c r="G327" s="12" t="s">
        <v>1302</v>
      </c>
      <c r="H327" s="12" t="s">
        <v>1302</v>
      </c>
      <c r="I327" s="12" t="s">
        <v>1313</v>
      </c>
      <c r="J327" s="12" t="s">
        <v>1323</v>
      </c>
      <c r="K327" s="12" t="s">
        <v>1326</v>
      </c>
      <c r="L327" s="12" t="s">
        <v>1303</v>
      </c>
      <c r="M327" s="12" t="s">
        <v>0</v>
      </c>
      <c r="N327" s="13" t="s">
        <v>1637</v>
      </c>
      <c r="O327" s="11" t="s">
        <v>1326</v>
      </c>
      <c r="P327" s="11" t="s">
        <v>1871</v>
      </c>
      <c r="Q327" s="11" t="s">
        <v>1306</v>
      </c>
      <c r="R327" s="11" t="s">
        <v>1882</v>
      </c>
      <c r="S327" s="11" t="s">
        <v>0</v>
      </c>
      <c r="T327" s="11" t="s">
        <v>1306</v>
      </c>
      <c r="U327" s="11" t="s">
        <v>0</v>
      </c>
      <c r="V327" s="11" t="s">
        <v>0</v>
      </c>
      <c r="W327" s="11" t="s">
        <v>0</v>
      </c>
      <c r="X327" s="11" t="s">
        <v>0</v>
      </c>
      <c r="Y327" s="11" t="s">
        <v>0</v>
      </c>
      <c r="Z327" s="11" t="s">
        <v>0</v>
      </c>
      <c r="AA327" s="11" t="s">
        <v>0</v>
      </c>
      <c r="AB327" s="11" t="s">
        <v>0</v>
      </c>
      <c r="AC327" s="11" t="s">
        <v>0</v>
      </c>
      <c r="AD327" s="11" t="s">
        <v>0</v>
      </c>
      <c r="AE327" s="11" t="s">
        <v>2090</v>
      </c>
    </row>
    <row r="328">
      <c r="B328" s="24" t="s">
        <v>1</v>
      </c>
      <c r="C328" s="12" t="s">
        <v>335</v>
      </c>
      <c r="D328" s="11" t="s">
        <v>888</v>
      </c>
      <c r="E328" s="11" t="s">
        <v>1189</v>
      </c>
      <c r="F328" s="12" t="s">
        <v>1</v>
      </c>
      <c r="G328" s="12" t="s">
        <v>1302</v>
      </c>
      <c r="H328" s="12" t="s">
        <v>1302</v>
      </c>
      <c r="I328" s="12" t="s">
        <v>1313</v>
      </c>
      <c r="J328" s="12" t="s">
        <v>1323</v>
      </c>
      <c r="K328" s="12" t="s">
        <v>1326</v>
      </c>
      <c r="L328" s="12" t="s">
        <v>1303</v>
      </c>
      <c r="M328" s="12" t="s">
        <v>0</v>
      </c>
      <c r="N328" s="13" t="s">
        <v>1638</v>
      </c>
      <c r="O328" s="11" t="s">
        <v>1326</v>
      </c>
      <c r="P328" s="11" t="s">
        <v>1871</v>
      </c>
      <c r="Q328" s="11" t="s">
        <v>1306</v>
      </c>
      <c r="R328" s="11" t="s">
        <v>1882</v>
      </c>
      <c r="S328" s="11" t="s">
        <v>0</v>
      </c>
      <c r="T328" s="11" t="s">
        <v>1306</v>
      </c>
      <c r="U328" s="11" t="s">
        <v>0</v>
      </c>
      <c r="V328" s="11" t="s">
        <v>0</v>
      </c>
      <c r="W328" s="11" t="s">
        <v>0</v>
      </c>
      <c r="X328" s="11" t="s">
        <v>0</v>
      </c>
      <c r="Y328" s="11" t="s">
        <v>0</v>
      </c>
      <c r="Z328" s="11" t="s">
        <v>0</v>
      </c>
      <c r="AA328" s="11" t="s">
        <v>0</v>
      </c>
      <c r="AB328" s="11" t="s">
        <v>0</v>
      </c>
      <c r="AC328" s="11" t="s">
        <v>0</v>
      </c>
      <c r="AD328" s="11" t="s">
        <v>0</v>
      </c>
      <c r="AE328" s="11" t="s">
        <v>2090</v>
      </c>
    </row>
    <row r="329">
      <c r="B329" s="24" t="s">
        <v>1</v>
      </c>
      <c r="C329" s="12" t="s">
        <v>336</v>
      </c>
      <c r="D329" s="11" t="s">
        <v>889</v>
      </c>
      <c r="E329" s="11" t="s">
        <v>1190</v>
      </c>
      <c r="F329" s="12" t="s">
        <v>1</v>
      </c>
      <c r="G329" s="12" t="s">
        <v>1302</v>
      </c>
      <c r="H329" s="12" t="s">
        <v>1302</v>
      </c>
      <c r="I329" s="12" t="s">
        <v>1313</v>
      </c>
      <c r="J329" s="12" t="s">
        <v>1323</v>
      </c>
      <c r="K329" s="12" t="s">
        <v>1326</v>
      </c>
      <c r="L329" s="12" t="s">
        <v>1303</v>
      </c>
      <c r="M329" s="12" t="s">
        <v>0</v>
      </c>
      <c r="N329" s="13" t="s">
        <v>1639</v>
      </c>
      <c r="O329" s="11" t="s">
        <v>1326</v>
      </c>
      <c r="P329" s="11" t="s">
        <v>1871</v>
      </c>
      <c r="Q329" s="11" t="s">
        <v>1307</v>
      </c>
      <c r="R329" s="11" t="s">
        <v>1882</v>
      </c>
      <c r="S329" s="11" t="s">
        <v>1307</v>
      </c>
      <c r="T329" s="11" t="s">
        <v>1306</v>
      </c>
      <c r="U329" s="11" t="s">
        <v>1890</v>
      </c>
      <c r="V329" s="11" t="s">
        <v>1910</v>
      </c>
      <c r="W329" s="11" t="s">
        <v>0</v>
      </c>
      <c r="X329" s="11" t="s">
        <v>0</v>
      </c>
      <c r="Y329" s="11" t="s">
        <v>0</v>
      </c>
      <c r="Z329" s="11" t="s">
        <v>0</v>
      </c>
      <c r="AA329" s="11" t="s">
        <v>0</v>
      </c>
      <c r="AB329" s="11" t="s">
        <v>0</v>
      </c>
      <c r="AC329" s="11" t="s">
        <v>0</v>
      </c>
      <c r="AD329" s="11" t="s">
        <v>0</v>
      </c>
      <c r="AE329" s="11" t="s">
        <v>13</v>
      </c>
    </row>
    <row r="330">
      <c r="B330" s="24" t="s">
        <v>3</v>
      </c>
      <c r="C330" s="12" t="s">
        <v>337</v>
      </c>
      <c r="D330" s="11" t="s">
        <v>890</v>
      </c>
      <c r="E330" s="11" t="s">
        <v>1131</v>
      </c>
      <c r="F330" s="12" t="s">
        <v>3</v>
      </c>
      <c r="G330" s="12" t="s">
        <v>1302</v>
      </c>
      <c r="H330" s="12" t="s">
        <v>1302</v>
      </c>
      <c r="I330" s="12" t="s">
        <v>1310</v>
      </c>
      <c r="J330" s="12" t="s">
        <v>1316</v>
      </c>
      <c r="K330" s="12" t="s">
        <v>1262</v>
      </c>
      <c r="L330" s="12" t="s">
        <v>1303</v>
      </c>
      <c r="M330" s="12" t="s">
        <v>0</v>
      </c>
      <c r="N330" s="13" t="s">
        <v>1640</v>
      </c>
      <c r="O330" s="11" t="s">
        <v>1836</v>
      </c>
      <c r="P330" s="11" t="s">
        <v>1871</v>
      </c>
      <c r="Q330" s="11" t="s">
        <v>1307</v>
      </c>
      <c r="R330" s="11" t="s">
        <v>1882</v>
      </c>
      <c r="S330" s="11" t="s">
        <v>1307</v>
      </c>
      <c r="T330" s="11" t="s">
        <v>1306</v>
      </c>
      <c r="U330" s="11" t="s">
        <v>1890</v>
      </c>
      <c r="V330" s="11" t="s">
        <v>1910</v>
      </c>
      <c r="W330" s="11" t="s">
        <v>0</v>
      </c>
      <c r="X330" s="11" t="s">
        <v>0</v>
      </c>
      <c r="Y330" s="11" t="s">
        <v>0</v>
      </c>
      <c r="Z330" s="11" t="s">
        <v>0</v>
      </c>
      <c r="AA330" s="11" t="s">
        <v>0</v>
      </c>
      <c r="AB330" s="11" t="s">
        <v>0</v>
      </c>
      <c r="AC330" s="11" t="s">
        <v>0</v>
      </c>
      <c r="AD330" s="11" t="s">
        <v>0</v>
      </c>
      <c r="AE330" s="11" t="s">
        <v>13</v>
      </c>
    </row>
    <row r="331">
      <c r="B331" s="24" t="s">
        <v>3</v>
      </c>
      <c r="C331" s="12" t="s">
        <v>338</v>
      </c>
      <c r="D331" s="11" t="s">
        <v>891</v>
      </c>
      <c r="E331" s="11" t="s">
        <v>1162</v>
      </c>
      <c r="F331" s="12" t="s">
        <v>3</v>
      </c>
      <c r="G331" s="12" t="s">
        <v>1302</v>
      </c>
      <c r="H331" s="12" t="s">
        <v>1302</v>
      </c>
      <c r="I331" s="12" t="s">
        <v>1310</v>
      </c>
      <c r="J331" s="12" t="s">
        <v>1162</v>
      </c>
      <c r="K331" s="12" t="s">
        <v>1332</v>
      </c>
      <c r="L331" s="12" t="s">
        <v>1303</v>
      </c>
      <c r="M331" s="12" t="s">
        <v>0</v>
      </c>
      <c r="N331" s="13" t="s">
        <v>1641</v>
      </c>
      <c r="O331" s="11" t="s">
        <v>1839</v>
      </c>
      <c r="P331" s="11" t="s">
        <v>1871</v>
      </c>
      <c r="Q331" s="11" t="s">
        <v>1307</v>
      </c>
      <c r="R331" s="11" t="s">
        <v>1882</v>
      </c>
      <c r="S331" s="11" t="s">
        <v>0</v>
      </c>
      <c r="T331" s="11" t="s">
        <v>1306</v>
      </c>
      <c r="U331" s="11" t="s">
        <v>0</v>
      </c>
      <c r="V331" s="11" t="s">
        <v>0</v>
      </c>
      <c r="W331" s="11" t="s">
        <v>0</v>
      </c>
      <c r="X331" s="11" t="s">
        <v>0</v>
      </c>
      <c r="Y331" s="11" t="s">
        <v>0</v>
      </c>
      <c r="Z331" s="11" t="s">
        <v>0</v>
      </c>
      <c r="AA331" s="11" t="s">
        <v>0</v>
      </c>
      <c r="AB331" s="11" t="s">
        <v>0</v>
      </c>
      <c r="AC331" s="11" t="s">
        <v>0</v>
      </c>
      <c r="AD331" s="11" t="s">
        <v>0</v>
      </c>
      <c r="AE331" s="11" t="s">
        <v>2090</v>
      </c>
    </row>
    <row r="332">
      <c r="B332" s="24" t="s">
        <v>3</v>
      </c>
      <c r="C332" s="12" t="s">
        <v>339</v>
      </c>
      <c r="D332" s="11" t="s">
        <v>892</v>
      </c>
      <c r="E332" s="11" t="s">
        <v>1191</v>
      </c>
      <c r="F332" s="12" t="s">
        <v>3</v>
      </c>
      <c r="G332" s="12" t="s">
        <v>1302</v>
      </c>
      <c r="H332" s="12" t="s">
        <v>1302</v>
      </c>
      <c r="I332" s="12" t="s">
        <v>1312</v>
      </c>
      <c r="J332" s="12" t="s">
        <v>1317</v>
      </c>
      <c r="K332" s="12" t="s">
        <v>1331</v>
      </c>
      <c r="L332" s="12" t="s">
        <v>1303</v>
      </c>
      <c r="M332" s="12" t="s">
        <v>0</v>
      </c>
      <c r="N332" s="13" t="s">
        <v>1642</v>
      </c>
      <c r="O332" s="11" t="s">
        <v>1326</v>
      </c>
      <c r="P332" s="11" t="s">
        <v>1871</v>
      </c>
      <c r="Q332" s="11" t="s">
        <v>1306</v>
      </c>
      <c r="R332" s="11" t="s">
        <v>1882</v>
      </c>
      <c r="S332" s="11" t="s">
        <v>0</v>
      </c>
      <c r="T332" s="11" t="s">
        <v>1306</v>
      </c>
      <c r="U332" s="11" t="s">
        <v>0</v>
      </c>
      <c r="V332" s="11" t="s">
        <v>0</v>
      </c>
      <c r="W332" s="11" t="s">
        <v>0</v>
      </c>
      <c r="X332" s="11" t="s">
        <v>0</v>
      </c>
      <c r="Y332" s="11" t="s">
        <v>0</v>
      </c>
      <c r="Z332" s="11" t="s">
        <v>0</v>
      </c>
      <c r="AA332" s="11" t="s">
        <v>0</v>
      </c>
      <c r="AB332" s="11" t="s">
        <v>0</v>
      </c>
      <c r="AC332" s="11" t="s">
        <v>0</v>
      </c>
      <c r="AD332" s="11" t="s">
        <v>0</v>
      </c>
      <c r="AE332" s="11" t="s">
        <v>2090</v>
      </c>
    </row>
    <row r="333">
      <c r="B333" s="24" t="s">
        <v>3</v>
      </c>
      <c r="C333" s="12" t="s">
        <v>340</v>
      </c>
      <c r="D333" s="11" t="s">
        <v>893</v>
      </c>
      <c r="E333" s="11" t="s">
        <v>1192</v>
      </c>
      <c r="F333" s="12" t="s">
        <v>3</v>
      </c>
      <c r="G333" s="12" t="s">
        <v>1302</v>
      </c>
      <c r="H333" s="12" t="s">
        <v>1302</v>
      </c>
      <c r="I333" s="12" t="s">
        <v>1313</v>
      </c>
      <c r="J333" s="12" t="s">
        <v>1324</v>
      </c>
      <c r="K333" s="12" t="s">
        <v>1326</v>
      </c>
      <c r="L333" s="12" t="s">
        <v>1303</v>
      </c>
      <c r="M333" s="12" t="s">
        <v>0</v>
      </c>
      <c r="N333" s="13" t="s">
        <v>1643</v>
      </c>
      <c r="O333" s="11" t="s">
        <v>1326</v>
      </c>
      <c r="P333" s="11" t="s">
        <v>1871</v>
      </c>
      <c r="Q333" s="11" t="s">
        <v>1306</v>
      </c>
      <c r="R333" s="11" t="s">
        <v>1882</v>
      </c>
      <c r="S333" s="11" t="s">
        <v>0</v>
      </c>
      <c r="T333" s="11" t="s">
        <v>1306</v>
      </c>
      <c r="U333" s="11" t="s">
        <v>0</v>
      </c>
      <c r="V333" s="11" t="s">
        <v>0</v>
      </c>
      <c r="W333" s="11" t="s">
        <v>0</v>
      </c>
      <c r="X333" s="11" t="s">
        <v>0</v>
      </c>
      <c r="Y333" s="11" t="s">
        <v>0</v>
      </c>
      <c r="Z333" s="11" t="s">
        <v>0</v>
      </c>
      <c r="AA333" s="11" t="s">
        <v>0</v>
      </c>
      <c r="AB333" s="11" t="s">
        <v>0</v>
      </c>
      <c r="AC333" s="11" t="s">
        <v>0</v>
      </c>
      <c r="AD333" s="11" t="s">
        <v>0</v>
      </c>
      <c r="AE333" s="11" t="s">
        <v>2090</v>
      </c>
    </row>
    <row r="334">
      <c r="B334" s="24" t="s">
        <v>3</v>
      </c>
      <c r="C334" s="12" t="s">
        <v>341</v>
      </c>
      <c r="D334" s="11" t="s">
        <v>894</v>
      </c>
      <c r="E334" s="11" t="s">
        <v>1193</v>
      </c>
      <c r="F334" s="12" t="s">
        <v>3</v>
      </c>
      <c r="G334" s="12" t="s">
        <v>1302</v>
      </c>
      <c r="H334" s="12" t="s">
        <v>1302</v>
      </c>
      <c r="I334" s="12" t="s">
        <v>1312</v>
      </c>
      <c r="J334" s="12" t="s">
        <v>1317</v>
      </c>
      <c r="K334" s="12" t="s">
        <v>1327</v>
      </c>
      <c r="L334" s="12" t="s">
        <v>1303</v>
      </c>
      <c r="M334" s="12" t="s">
        <v>0</v>
      </c>
      <c r="N334" s="13" t="s">
        <v>1644</v>
      </c>
      <c r="O334" s="11" t="s">
        <v>1326</v>
      </c>
      <c r="P334" s="11" t="s">
        <v>1871</v>
      </c>
      <c r="Q334" s="11" t="s">
        <v>1306</v>
      </c>
      <c r="R334" s="11" t="s">
        <v>1882</v>
      </c>
      <c r="S334" s="11" t="s">
        <v>0</v>
      </c>
      <c r="T334" s="11" t="s">
        <v>1307</v>
      </c>
      <c r="U334" s="11" t="s">
        <v>1888</v>
      </c>
      <c r="V334" s="11" t="s">
        <v>0</v>
      </c>
      <c r="W334" s="11" t="s">
        <v>0</v>
      </c>
      <c r="X334" s="11" t="s">
        <v>0</v>
      </c>
      <c r="Y334" s="11" t="s">
        <v>0</v>
      </c>
      <c r="Z334" s="11" t="s">
        <v>1978</v>
      </c>
      <c r="AA334" s="11" t="s">
        <v>1978</v>
      </c>
      <c r="AB334" s="11" t="s">
        <v>2003</v>
      </c>
      <c r="AC334" s="11" t="s">
        <v>45</v>
      </c>
      <c r="AD334" s="11" t="s">
        <v>0</v>
      </c>
      <c r="AE334" s="11" t="s">
        <v>13</v>
      </c>
    </row>
    <row r="335">
      <c r="B335" s="24" t="s">
        <v>3</v>
      </c>
      <c r="C335" s="12" t="s">
        <v>342</v>
      </c>
      <c r="D335" s="11" t="s">
        <v>895</v>
      </c>
      <c r="E335" s="11" t="s">
        <v>1194</v>
      </c>
      <c r="F335" s="12" t="s">
        <v>3</v>
      </c>
      <c r="G335" s="12" t="s">
        <v>1302</v>
      </c>
      <c r="H335" s="12" t="s">
        <v>1302</v>
      </c>
      <c r="I335" s="12" t="s">
        <v>1312</v>
      </c>
      <c r="J335" s="12" t="s">
        <v>1317</v>
      </c>
      <c r="K335" s="12" t="s">
        <v>1331</v>
      </c>
      <c r="L335" s="12" t="s">
        <v>1303</v>
      </c>
      <c r="M335" s="12" t="s">
        <v>0</v>
      </c>
      <c r="N335" s="13" t="s">
        <v>1645</v>
      </c>
      <c r="O335" s="11" t="s">
        <v>1326</v>
      </c>
      <c r="P335" s="11" t="s">
        <v>1871</v>
      </c>
      <c r="Q335" s="11" t="s">
        <v>1306</v>
      </c>
      <c r="R335" s="11" t="s">
        <v>1882</v>
      </c>
      <c r="S335" s="11" t="s">
        <v>0</v>
      </c>
      <c r="T335" s="11" t="s">
        <v>1306</v>
      </c>
      <c r="U335" s="11" t="s">
        <v>0</v>
      </c>
      <c r="V335" s="11" t="s">
        <v>0</v>
      </c>
      <c r="W335" s="11" t="s">
        <v>0</v>
      </c>
      <c r="X335" s="11" t="s">
        <v>0</v>
      </c>
      <c r="Y335" s="11" t="s">
        <v>0</v>
      </c>
      <c r="Z335" s="11" t="s">
        <v>0</v>
      </c>
      <c r="AA335" s="11" t="s">
        <v>0</v>
      </c>
      <c r="AB335" s="11" t="s">
        <v>0</v>
      </c>
      <c r="AC335" s="11" t="s">
        <v>0</v>
      </c>
      <c r="AD335" s="11" t="s">
        <v>0</v>
      </c>
      <c r="AE335" s="11" t="s">
        <v>2090</v>
      </c>
    </row>
    <row r="336">
      <c r="B336" s="24" t="s">
        <v>9</v>
      </c>
      <c r="C336" s="12" t="s">
        <v>342</v>
      </c>
      <c r="D336" s="11" t="s">
        <v>896</v>
      </c>
      <c r="E336" s="11" t="s">
        <v>1162</v>
      </c>
      <c r="F336" s="12" t="s">
        <v>9</v>
      </c>
      <c r="G336" s="12" t="s">
        <v>1302</v>
      </c>
      <c r="H336" s="12" t="s">
        <v>1302</v>
      </c>
      <c r="I336" s="12" t="s">
        <v>1310</v>
      </c>
      <c r="J336" s="12" t="s">
        <v>1162</v>
      </c>
      <c r="K336" s="12" t="s">
        <v>1332</v>
      </c>
      <c r="L336" s="12" t="s">
        <v>1303</v>
      </c>
      <c r="M336" s="12" t="s">
        <v>0</v>
      </c>
      <c r="N336" s="13" t="s">
        <v>1646</v>
      </c>
      <c r="O336" s="11" t="s">
        <v>1843</v>
      </c>
      <c r="P336" s="11" t="s">
        <v>0</v>
      </c>
      <c r="Q336" s="11" t="s">
        <v>0</v>
      </c>
      <c r="R336" s="11" t="s">
        <v>0</v>
      </c>
      <c r="S336" s="11" t="s">
        <v>0</v>
      </c>
      <c r="T336" s="11" t="s">
        <v>0</v>
      </c>
      <c r="U336" s="11" t="s">
        <v>1888</v>
      </c>
      <c r="V336" s="11" t="s">
        <v>0</v>
      </c>
      <c r="W336" s="11" t="s">
        <v>0</v>
      </c>
      <c r="X336" s="11" t="s">
        <v>0</v>
      </c>
      <c r="Y336" s="11" t="s">
        <v>0</v>
      </c>
      <c r="Z336" s="11" t="s">
        <v>1954</v>
      </c>
      <c r="AA336" s="11" t="s">
        <v>1954</v>
      </c>
      <c r="AB336" s="11" t="s">
        <v>2003</v>
      </c>
      <c r="AC336" s="11" t="s">
        <v>0</v>
      </c>
      <c r="AD336" s="11" t="s">
        <v>0</v>
      </c>
      <c r="AE336" s="11" t="s">
        <v>13</v>
      </c>
    </row>
    <row r="337">
      <c r="B337" s="24" t="s">
        <v>9</v>
      </c>
      <c r="C337" s="12" t="s">
        <v>343</v>
      </c>
      <c r="D337" s="11" t="s">
        <v>897</v>
      </c>
      <c r="E337" s="11" t="s">
        <v>1162</v>
      </c>
      <c r="F337" s="12" t="s">
        <v>9</v>
      </c>
      <c r="G337" s="12" t="s">
        <v>1302</v>
      </c>
      <c r="H337" s="12" t="s">
        <v>1302</v>
      </c>
      <c r="I337" s="12" t="s">
        <v>1310</v>
      </c>
      <c r="J337" s="12" t="s">
        <v>1162</v>
      </c>
      <c r="K337" s="12" t="s">
        <v>1332</v>
      </c>
      <c r="L337" s="12" t="s">
        <v>1303</v>
      </c>
      <c r="M337" s="12" t="s">
        <v>0</v>
      </c>
      <c r="N337" s="13" t="s">
        <v>1647</v>
      </c>
      <c r="O337" s="11" t="s">
        <v>1839</v>
      </c>
      <c r="P337" s="11" t="s">
        <v>1871</v>
      </c>
      <c r="Q337" s="11" t="s">
        <v>1307</v>
      </c>
      <c r="R337" s="11" t="s">
        <v>1882</v>
      </c>
      <c r="S337" s="11" t="s">
        <v>1307</v>
      </c>
      <c r="T337" s="11" t="s">
        <v>1306</v>
      </c>
      <c r="U337" s="11" t="s">
        <v>1890</v>
      </c>
      <c r="V337" s="11" t="s">
        <v>1910</v>
      </c>
      <c r="W337" s="11" t="s">
        <v>0</v>
      </c>
      <c r="X337" s="11" t="s">
        <v>0</v>
      </c>
      <c r="Y337" s="11" t="s">
        <v>0</v>
      </c>
      <c r="Z337" s="11" t="s">
        <v>0</v>
      </c>
      <c r="AA337" s="11" t="s">
        <v>0</v>
      </c>
      <c r="AB337" s="11" t="s">
        <v>0</v>
      </c>
      <c r="AC337" s="11" t="s">
        <v>0</v>
      </c>
      <c r="AD337" s="11" t="s">
        <v>0</v>
      </c>
      <c r="AE337" s="11" t="s">
        <v>13</v>
      </c>
    </row>
    <row r="338">
      <c r="B338" s="24" t="s">
        <v>9</v>
      </c>
      <c r="C338" s="12" t="s">
        <v>344</v>
      </c>
      <c r="D338" s="11" t="s">
        <v>898</v>
      </c>
      <c r="E338" s="11" t="s">
        <v>1164</v>
      </c>
      <c r="F338" s="12" t="s">
        <v>9</v>
      </c>
      <c r="G338" s="12" t="s">
        <v>1302</v>
      </c>
      <c r="H338" s="12" t="s">
        <v>1302</v>
      </c>
      <c r="I338" s="12" t="s">
        <v>1310</v>
      </c>
      <c r="J338" s="12" t="s">
        <v>1316</v>
      </c>
      <c r="K338" s="12" t="s">
        <v>1334</v>
      </c>
      <c r="L338" s="12" t="s">
        <v>1303</v>
      </c>
      <c r="M338" s="12" t="s">
        <v>0</v>
      </c>
      <c r="N338" s="13" t="s">
        <v>1648</v>
      </c>
      <c r="O338" s="11" t="s">
        <v>1326</v>
      </c>
      <c r="P338" s="11" t="s">
        <v>1871</v>
      </c>
      <c r="Q338" s="11" t="s">
        <v>1307</v>
      </c>
      <c r="R338" s="11" t="s">
        <v>1882</v>
      </c>
      <c r="S338" s="11" t="s">
        <v>1307</v>
      </c>
      <c r="T338" s="11" t="s">
        <v>1307</v>
      </c>
      <c r="U338" s="11" t="s">
        <v>1888</v>
      </c>
      <c r="V338" s="11" t="s">
        <v>1910</v>
      </c>
      <c r="W338" s="11" t="s">
        <v>0</v>
      </c>
      <c r="X338" s="11" t="s">
        <v>0</v>
      </c>
      <c r="Y338" s="11" t="s">
        <v>0</v>
      </c>
      <c r="Z338" s="11" t="s">
        <v>1979</v>
      </c>
      <c r="AA338" s="11" t="s">
        <v>1979</v>
      </c>
      <c r="AB338" s="11" t="s">
        <v>2003</v>
      </c>
      <c r="AC338" s="11" t="s">
        <v>40</v>
      </c>
      <c r="AD338" s="11" t="s">
        <v>0</v>
      </c>
      <c r="AE338" s="11" t="s">
        <v>13</v>
      </c>
    </row>
    <row r="339">
      <c r="B339" s="24" t="s">
        <v>5</v>
      </c>
      <c r="C339" s="12" t="s">
        <v>345</v>
      </c>
      <c r="D339" s="11" t="s">
        <v>899</v>
      </c>
      <c r="E339" s="11" t="s">
        <v>1195</v>
      </c>
      <c r="F339" s="12" t="s">
        <v>5</v>
      </c>
      <c r="G339" s="12" t="s">
        <v>1302</v>
      </c>
      <c r="H339" s="12" t="s">
        <v>1302</v>
      </c>
      <c r="I339" s="12" t="s">
        <v>1313</v>
      </c>
      <c r="J339" s="12" t="s">
        <v>1324</v>
      </c>
      <c r="K339" s="12" t="s">
        <v>1326</v>
      </c>
      <c r="L339" s="12" t="s">
        <v>1303</v>
      </c>
      <c r="M339" s="12" t="s">
        <v>0</v>
      </c>
      <c r="N339" s="13" t="s">
        <v>1649</v>
      </c>
      <c r="O339" s="11" t="s">
        <v>1326</v>
      </c>
      <c r="P339" s="11" t="s">
        <v>1871</v>
      </c>
      <c r="Q339" s="11" t="s">
        <v>1306</v>
      </c>
      <c r="R339" s="11" t="s">
        <v>1882</v>
      </c>
      <c r="S339" s="11" t="s">
        <v>0</v>
      </c>
      <c r="T339" s="11" t="s">
        <v>1306</v>
      </c>
      <c r="U339" s="11" t="s">
        <v>0</v>
      </c>
      <c r="V339" s="11" t="s">
        <v>0</v>
      </c>
      <c r="W339" s="11" t="s">
        <v>0</v>
      </c>
      <c r="X339" s="11" t="s">
        <v>0</v>
      </c>
      <c r="Y339" s="11" t="s">
        <v>0</v>
      </c>
      <c r="Z339" s="11" t="s">
        <v>0</v>
      </c>
      <c r="AA339" s="11" t="s">
        <v>0</v>
      </c>
      <c r="AB339" s="11" t="s">
        <v>0</v>
      </c>
      <c r="AC339" s="11" t="s">
        <v>0</v>
      </c>
      <c r="AD339" s="11" t="s">
        <v>0</v>
      </c>
      <c r="AE339" s="11" t="s">
        <v>2090</v>
      </c>
    </row>
    <row r="340">
      <c r="B340" s="24" t="s">
        <v>4</v>
      </c>
      <c r="C340" s="12" t="s">
        <v>346</v>
      </c>
      <c r="D340" s="11" t="s">
        <v>636</v>
      </c>
      <c r="E340" s="11" t="s">
        <v>1161</v>
      </c>
      <c r="F340" s="12" t="s">
        <v>4</v>
      </c>
      <c r="G340" s="12" t="s">
        <v>1302</v>
      </c>
      <c r="H340" s="12" t="s">
        <v>1302</v>
      </c>
      <c r="I340" s="12" t="s">
        <v>1310</v>
      </c>
      <c r="J340" s="12" t="s">
        <v>1320</v>
      </c>
      <c r="K340" s="12" t="s">
        <v>1332</v>
      </c>
      <c r="L340" s="12" t="s">
        <v>1303</v>
      </c>
      <c r="M340" s="12" t="s">
        <v>0</v>
      </c>
      <c r="N340" s="13" t="s">
        <v>1398</v>
      </c>
      <c r="O340" s="11" t="s">
        <v>1844</v>
      </c>
      <c r="P340" s="11" t="s">
        <v>1871</v>
      </c>
      <c r="Q340" s="11" t="s">
        <v>1307</v>
      </c>
      <c r="R340" s="11" t="s">
        <v>1882</v>
      </c>
      <c r="S340" s="11" t="s">
        <v>0</v>
      </c>
      <c r="T340" s="11" t="s">
        <v>1307</v>
      </c>
      <c r="U340" s="11" t="s">
        <v>1890</v>
      </c>
      <c r="V340" s="11" t="s">
        <v>1897</v>
      </c>
      <c r="W340" s="11" t="s">
        <v>0</v>
      </c>
      <c r="X340" s="11" t="s">
        <v>0</v>
      </c>
      <c r="Y340" s="11" t="s">
        <v>0</v>
      </c>
      <c r="Z340" s="11" t="s">
        <v>0</v>
      </c>
      <c r="AA340" s="11" t="s">
        <v>0</v>
      </c>
      <c r="AB340" s="11" t="s">
        <v>0</v>
      </c>
      <c r="AC340" s="11" t="s">
        <v>0</v>
      </c>
      <c r="AD340" s="11" t="s">
        <v>0</v>
      </c>
      <c r="AE340" s="11" t="s">
        <v>13</v>
      </c>
    </row>
    <row r="341">
      <c r="B341" s="24" t="s">
        <v>1</v>
      </c>
      <c r="C341" s="12" t="s">
        <v>347</v>
      </c>
      <c r="D341" s="11" t="s">
        <v>900</v>
      </c>
      <c r="E341" s="11" t="s">
        <v>1196</v>
      </c>
      <c r="F341" s="12" t="s">
        <v>1</v>
      </c>
      <c r="G341" s="12" t="s">
        <v>1302</v>
      </c>
      <c r="H341" s="12" t="s">
        <v>1302</v>
      </c>
      <c r="I341" s="12" t="s">
        <v>1309</v>
      </c>
      <c r="J341" s="12" t="s">
        <v>1315</v>
      </c>
      <c r="K341" s="12" t="s">
        <v>1326</v>
      </c>
      <c r="L341" s="12" t="s">
        <v>1303</v>
      </c>
      <c r="M341" s="12" t="s">
        <v>0</v>
      </c>
      <c r="N341" s="13" t="s">
        <v>1650</v>
      </c>
      <c r="O341" s="11" t="s">
        <v>1326</v>
      </c>
      <c r="P341" s="11" t="s">
        <v>1871</v>
      </c>
      <c r="Q341" s="11" t="s">
        <v>1306</v>
      </c>
      <c r="R341" s="11" t="s">
        <v>1882</v>
      </c>
      <c r="S341" s="11" t="s">
        <v>1307</v>
      </c>
      <c r="T341" s="11" t="s">
        <v>1306</v>
      </c>
      <c r="U341" s="11" t="s">
        <v>1890</v>
      </c>
      <c r="V341" s="11" t="s">
        <v>1910</v>
      </c>
      <c r="W341" s="11" t="s">
        <v>0</v>
      </c>
      <c r="X341" s="11" t="s">
        <v>0</v>
      </c>
      <c r="Y341" s="11" t="s">
        <v>0</v>
      </c>
      <c r="Z341" s="11" t="s">
        <v>0</v>
      </c>
      <c r="AA341" s="11" t="s">
        <v>0</v>
      </c>
      <c r="AB341" s="11" t="s">
        <v>0</v>
      </c>
      <c r="AC341" s="11" t="s">
        <v>0</v>
      </c>
      <c r="AD341" s="11" t="s">
        <v>0</v>
      </c>
      <c r="AE341" s="11" t="s">
        <v>13</v>
      </c>
    </row>
    <row r="342">
      <c r="B342" s="24" t="s">
        <v>1</v>
      </c>
      <c r="C342" s="12" t="s">
        <v>348</v>
      </c>
      <c r="D342" s="11" t="s">
        <v>901</v>
      </c>
      <c r="E342" s="11" t="s">
        <v>1127</v>
      </c>
      <c r="F342" s="12" t="s">
        <v>1</v>
      </c>
      <c r="G342" s="12" t="s">
        <v>1302</v>
      </c>
      <c r="H342" s="12" t="s">
        <v>1302</v>
      </c>
      <c r="I342" s="12" t="s">
        <v>1309</v>
      </c>
      <c r="J342" s="12" t="s">
        <v>1315</v>
      </c>
      <c r="K342" s="12" t="s">
        <v>1326</v>
      </c>
      <c r="L342" s="12" t="s">
        <v>1303</v>
      </c>
      <c r="M342" s="12" t="s">
        <v>0</v>
      </c>
      <c r="N342" s="13" t="s">
        <v>0</v>
      </c>
      <c r="O342" s="11" t="s">
        <v>1845</v>
      </c>
      <c r="P342" s="11" t="s">
        <v>1867</v>
      </c>
      <c r="Q342" s="11" t="s">
        <v>1307</v>
      </c>
      <c r="R342" s="11" t="s">
        <v>1882</v>
      </c>
      <c r="S342" s="11" t="s">
        <v>1307</v>
      </c>
      <c r="T342" s="11" t="s">
        <v>1306</v>
      </c>
      <c r="U342" s="11" t="s">
        <v>1890</v>
      </c>
      <c r="V342" s="11" t="s">
        <v>1910</v>
      </c>
      <c r="W342" s="11" t="s">
        <v>0</v>
      </c>
      <c r="X342" s="11" t="s">
        <v>0</v>
      </c>
      <c r="Y342" s="11" t="s">
        <v>0</v>
      </c>
      <c r="Z342" s="11" t="s">
        <v>0</v>
      </c>
      <c r="AA342" s="11" t="s">
        <v>0</v>
      </c>
      <c r="AB342" s="11" t="s">
        <v>0</v>
      </c>
      <c r="AC342" s="11" t="s">
        <v>0</v>
      </c>
      <c r="AD342" s="11" t="s">
        <v>0</v>
      </c>
      <c r="AE342" s="11" t="s">
        <v>13</v>
      </c>
    </row>
    <row r="343">
      <c r="B343" s="24" t="s">
        <v>7</v>
      </c>
      <c r="C343" s="12" t="s">
        <v>349</v>
      </c>
      <c r="D343" s="11" t="s">
        <v>902</v>
      </c>
      <c r="E343" s="11" t="s">
        <v>1197</v>
      </c>
      <c r="F343" s="12" t="s">
        <v>7</v>
      </c>
      <c r="G343" s="12" t="s">
        <v>1302</v>
      </c>
      <c r="H343" s="12" t="s">
        <v>1302</v>
      </c>
      <c r="I343" s="12" t="s">
        <v>1309</v>
      </c>
      <c r="J343" s="12" t="s">
        <v>1315</v>
      </c>
      <c r="K343" s="12" t="s">
        <v>1326</v>
      </c>
      <c r="L343" s="12" t="s">
        <v>1303</v>
      </c>
      <c r="M343" s="12" t="s">
        <v>0</v>
      </c>
      <c r="N343" s="13" t="s">
        <v>1651</v>
      </c>
      <c r="O343" s="11" t="s">
        <v>1846</v>
      </c>
      <c r="P343" s="11" t="s">
        <v>1877</v>
      </c>
      <c r="Q343" s="11" t="s">
        <v>1306</v>
      </c>
      <c r="R343" s="11" t="s">
        <v>1882</v>
      </c>
      <c r="S343" s="11" t="s">
        <v>1307</v>
      </c>
      <c r="T343" s="11" t="s">
        <v>1307</v>
      </c>
      <c r="U343" s="11" t="s">
        <v>1888</v>
      </c>
      <c r="V343" s="11" t="s">
        <v>1913</v>
      </c>
      <c r="W343" s="11" t="s">
        <v>0</v>
      </c>
      <c r="X343" s="11" t="s">
        <v>0</v>
      </c>
      <c r="Y343" s="11" t="s">
        <v>1941</v>
      </c>
      <c r="Z343" s="11" t="s">
        <v>1980</v>
      </c>
      <c r="AA343" s="11" t="s">
        <v>1980</v>
      </c>
      <c r="AB343" s="11" t="s">
        <v>2003</v>
      </c>
      <c r="AC343" s="11" t="s">
        <v>50</v>
      </c>
      <c r="AD343" s="11" t="s">
        <v>0</v>
      </c>
      <c r="AE343" s="11" t="s">
        <v>13</v>
      </c>
    </row>
    <row r="344">
      <c r="B344" s="24" t="s">
        <v>2</v>
      </c>
      <c r="C344" s="12" t="s">
        <v>350</v>
      </c>
      <c r="D344" s="11" t="s">
        <v>903</v>
      </c>
      <c r="E344" s="11" t="s">
        <v>1198</v>
      </c>
      <c r="F344" s="12" t="s">
        <v>2</v>
      </c>
      <c r="G344" s="12" t="s">
        <v>1302</v>
      </c>
      <c r="H344" s="12" t="s">
        <v>1302</v>
      </c>
      <c r="I344" s="12" t="s">
        <v>1309</v>
      </c>
      <c r="J344" s="12" t="s">
        <v>1315</v>
      </c>
      <c r="K344" s="12" t="s">
        <v>1326</v>
      </c>
      <c r="L344" s="12" t="s">
        <v>1303</v>
      </c>
      <c r="M344" s="12" t="s">
        <v>0</v>
      </c>
      <c r="N344" s="13" t="s">
        <v>0</v>
      </c>
      <c r="O344" s="11" t="s">
        <v>1847</v>
      </c>
      <c r="P344" s="11" t="s">
        <v>1877</v>
      </c>
      <c r="Q344" s="11" t="s">
        <v>1307</v>
      </c>
      <c r="R344" s="11" t="s">
        <v>1882</v>
      </c>
      <c r="S344" s="11" t="s">
        <v>1307</v>
      </c>
      <c r="T344" s="11" t="s">
        <v>1306</v>
      </c>
      <c r="U344" s="11" t="s">
        <v>1890</v>
      </c>
      <c r="V344" s="11" t="s">
        <v>1910</v>
      </c>
      <c r="W344" s="11" t="s">
        <v>0</v>
      </c>
      <c r="X344" s="11" t="s">
        <v>0</v>
      </c>
      <c r="Y344" s="11" t="s">
        <v>0</v>
      </c>
      <c r="Z344" s="11" t="s">
        <v>0</v>
      </c>
      <c r="AA344" s="11" t="s">
        <v>0</v>
      </c>
      <c r="AB344" s="11" t="s">
        <v>0</v>
      </c>
      <c r="AC344" s="11" t="s">
        <v>0</v>
      </c>
      <c r="AD344" s="11" t="s">
        <v>0</v>
      </c>
      <c r="AE344" s="11" t="s">
        <v>13</v>
      </c>
    </row>
    <row r="345">
      <c r="B345" s="24" t="s">
        <v>1</v>
      </c>
      <c r="C345" s="12" t="s">
        <v>351</v>
      </c>
      <c r="D345" s="11" t="s">
        <v>904</v>
      </c>
      <c r="E345" s="11" t="s">
        <v>1199</v>
      </c>
      <c r="F345" s="12" t="s">
        <v>1</v>
      </c>
      <c r="G345" s="12" t="s">
        <v>1302</v>
      </c>
      <c r="H345" s="12" t="s">
        <v>1302</v>
      </c>
      <c r="I345" s="12" t="s">
        <v>1309</v>
      </c>
      <c r="J345" s="12" t="s">
        <v>1315</v>
      </c>
      <c r="K345" s="12" t="s">
        <v>1326</v>
      </c>
      <c r="L345" s="12" t="s">
        <v>1303</v>
      </c>
      <c r="M345" s="12" t="s">
        <v>0</v>
      </c>
      <c r="N345" s="13" t="s">
        <v>0</v>
      </c>
      <c r="O345" s="11" t="s">
        <v>1848</v>
      </c>
      <c r="P345" s="11" t="s">
        <v>1877</v>
      </c>
      <c r="Q345" s="11" t="s">
        <v>1307</v>
      </c>
      <c r="R345" s="11" t="s">
        <v>1882</v>
      </c>
      <c r="S345" s="11" t="s">
        <v>1307</v>
      </c>
      <c r="T345" s="11" t="s">
        <v>1307</v>
      </c>
      <c r="U345" s="11" t="s">
        <v>1892</v>
      </c>
      <c r="V345" s="11" t="s">
        <v>0</v>
      </c>
      <c r="W345" s="11" t="s">
        <v>0</v>
      </c>
      <c r="X345" s="11" t="s">
        <v>0</v>
      </c>
      <c r="Y345" s="11" t="s">
        <v>0</v>
      </c>
      <c r="Z345" s="11" t="s">
        <v>0</v>
      </c>
      <c r="AA345" s="11" t="s">
        <v>0</v>
      </c>
      <c r="AB345" s="11" t="s">
        <v>0</v>
      </c>
      <c r="AC345" s="11" t="s">
        <v>0</v>
      </c>
      <c r="AD345" s="11" t="s">
        <v>2079</v>
      </c>
      <c r="AE345" s="11" t="s">
        <v>13</v>
      </c>
    </row>
    <row r="346">
      <c r="B346" s="24" t="s">
        <v>1</v>
      </c>
      <c r="C346" s="12" t="s">
        <v>352</v>
      </c>
      <c r="D346" s="11" t="s">
        <v>905</v>
      </c>
      <c r="E346" s="11" t="s">
        <v>1200</v>
      </c>
      <c r="F346" s="12" t="s">
        <v>1</v>
      </c>
      <c r="G346" s="12" t="s">
        <v>1302</v>
      </c>
      <c r="H346" s="12" t="s">
        <v>1302</v>
      </c>
      <c r="I346" s="12" t="s">
        <v>1313</v>
      </c>
      <c r="J346" s="12" t="s">
        <v>1324</v>
      </c>
      <c r="K346" s="12" t="s">
        <v>1326</v>
      </c>
      <c r="L346" s="12" t="s">
        <v>1303</v>
      </c>
      <c r="M346" s="12" t="s">
        <v>0</v>
      </c>
      <c r="N346" s="13" t="s">
        <v>1652</v>
      </c>
      <c r="O346" s="11" t="s">
        <v>0</v>
      </c>
      <c r="P346" s="11" t="s">
        <v>1877</v>
      </c>
      <c r="Q346" s="11" t="s">
        <v>1306</v>
      </c>
      <c r="R346" s="11" t="s">
        <v>1882</v>
      </c>
      <c r="S346" s="11" t="s">
        <v>1307</v>
      </c>
      <c r="T346" s="11" t="s">
        <v>1306</v>
      </c>
      <c r="U346" s="11" t="s">
        <v>1890</v>
      </c>
      <c r="V346" s="11" t="s">
        <v>1910</v>
      </c>
      <c r="W346" s="11" t="s">
        <v>0</v>
      </c>
      <c r="X346" s="11" t="s">
        <v>0</v>
      </c>
      <c r="Y346" s="11" t="s">
        <v>0</v>
      </c>
      <c r="Z346" s="11" t="s">
        <v>0</v>
      </c>
      <c r="AA346" s="11" t="s">
        <v>0</v>
      </c>
      <c r="AB346" s="11" t="s">
        <v>0</v>
      </c>
      <c r="AC346" s="11" t="s">
        <v>0</v>
      </c>
      <c r="AD346" s="11" t="s">
        <v>0</v>
      </c>
      <c r="AE346" s="11" t="s">
        <v>13</v>
      </c>
    </row>
    <row r="347">
      <c r="B347" s="24" t="s">
        <v>4</v>
      </c>
      <c r="C347" s="12" t="s">
        <v>353</v>
      </c>
      <c r="D347" s="11" t="s">
        <v>906</v>
      </c>
      <c r="E347" s="11" t="s">
        <v>1201</v>
      </c>
      <c r="F347" s="12" t="s">
        <v>4</v>
      </c>
      <c r="G347" s="12" t="s">
        <v>1302</v>
      </c>
      <c r="H347" s="12" t="s">
        <v>1302</v>
      </c>
      <c r="I347" s="12" t="s">
        <v>1312</v>
      </c>
      <c r="J347" s="12" t="s">
        <v>1318</v>
      </c>
      <c r="K347" s="12" t="s">
        <v>1326</v>
      </c>
      <c r="L347" s="12" t="s">
        <v>1303</v>
      </c>
      <c r="M347" s="12" t="s">
        <v>0</v>
      </c>
      <c r="N347" s="13" t="s">
        <v>0</v>
      </c>
      <c r="O347" s="11" t="s">
        <v>1849</v>
      </c>
      <c r="P347" s="11" t="s">
        <v>1877</v>
      </c>
      <c r="Q347" s="11" t="s">
        <v>1307</v>
      </c>
      <c r="R347" s="11" t="s">
        <v>1882</v>
      </c>
      <c r="S347" s="11" t="s">
        <v>1307</v>
      </c>
      <c r="T347" s="11" t="s">
        <v>1306</v>
      </c>
      <c r="U347" s="11" t="s">
        <v>1890</v>
      </c>
      <c r="V347" s="11" t="s">
        <v>1910</v>
      </c>
      <c r="W347" s="11" t="s">
        <v>0</v>
      </c>
      <c r="X347" s="11" t="s">
        <v>0</v>
      </c>
      <c r="Y347" s="11" t="s">
        <v>0</v>
      </c>
      <c r="Z347" s="11" t="s">
        <v>0</v>
      </c>
      <c r="AA347" s="11" t="s">
        <v>0</v>
      </c>
      <c r="AB347" s="11" t="s">
        <v>0</v>
      </c>
      <c r="AC347" s="11" t="s">
        <v>0</v>
      </c>
      <c r="AD347" s="11" t="s">
        <v>0</v>
      </c>
      <c r="AE347" s="11" t="s">
        <v>13</v>
      </c>
    </row>
    <row r="348">
      <c r="B348" s="24" t="s">
        <v>2</v>
      </c>
      <c r="C348" s="12" t="s">
        <v>354</v>
      </c>
      <c r="D348" s="11" t="s">
        <v>907</v>
      </c>
      <c r="E348" s="11" t="s">
        <v>1202</v>
      </c>
      <c r="F348" s="12" t="s">
        <v>2</v>
      </c>
      <c r="G348" s="12" t="s">
        <v>1302</v>
      </c>
      <c r="H348" s="12" t="s">
        <v>1302</v>
      </c>
      <c r="I348" s="12" t="s">
        <v>1312</v>
      </c>
      <c r="J348" s="12" t="s">
        <v>1318</v>
      </c>
      <c r="K348" s="12" t="s">
        <v>1326</v>
      </c>
      <c r="L348" s="12" t="s">
        <v>1303</v>
      </c>
      <c r="M348" s="12" t="s">
        <v>0</v>
      </c>
      <c r="N348" s="13" t="s">
        <v>0</v>
      </c>
      <c r="O348" s="11" t="s">
        <v>1850</v>
      </c>
      <c r="P348" s="11" t="s">
        <v>1877</v>
      </c>
      <c r="Q348" s="11" t="s">
        <v>1307</v>
      </c>
      <c r="R348" s="11" t="s">
        <v>1882</v>
      </c>
      <c r="S348" s="11" t="s">
        <v>1307</v>
      </c>
      <c r="T348" s="11" t="s">
        <v>1306</v>
      </c>
      <c r="U348" s="11" t="s">
        <v>1890</v>
      </c>
      <c r="V348" s="11" t="s">
        <v>1910</v>
      </c>
      <c r="W348" s="11" t="s">
        <v>0</v>
      </c>
      <c r="X348" s="11" t="s">
        <v>0</v>
      </c>
      <c r="Y348" s="11" t="s">
        <v>0</v>
      </c>
      <c r="Z348" s="11" t="s">
        <v>0</v>
      </c>
      <c r="AA348" s="11" t="s">
        <v>0</v>
      </c>
      <c r="AB348" s="11" t="s">
        <v>0</v>
      </c>
      <c r="AC348" s="11" t="s">
        <v>0</v>
      </c>
      <c r="AD348" s="11" t="s">
        <v>0</v>
      </c>
      <c r="AE348" s="11" t="s">
        <v>13</v>
      </c>
    </row>
    <row r="349">
      <c r="B349" s="24" t="s">
        <v>1</v>
      </c>
      <c r="C349" s="12" t="s">
        <v>355</v>
      </c>
      <c r="D349" s="11" t="s">
        <v>908</v>
      </c>
      <c r="E349" s="11" t="s">
        <v>1203</v>
      </c>
      <c r="F349" s="12" t="s">
        <v>1</v>
      </c>
      <c r="G349" s="12" t="s">
        <v>1302</v>
      </c>
      <c r="H349" s="12" t="s">
        <v>1302</v>
      </c>
      <c r="I349" s="12" t="s">
        <v>1313</v>
      </c>
      <c r="J349" s="12" t="s">
        <v>1324</v>
      </c>
      <c r="K349" s="12" t="s">
        <v>1326</v>
      </c>
      <c r="L349" s="12" t="s">
        <v>1303</v>
      </c>
      <c r="M349" s="12" t="s">
        <v>0</v>
      </c>
      <c r="N349" s="13" t="s">
        <v>0</v>
      </c>
      <c r="O349" s="11" t="s">
        <v>1851</v>
      </c>
      <c r="P349" s="11" t="s">
        <v>1877</v>
      </c>
      <c r="Q349" s="11" t="s">
        <v>1307</v>
      </c>
      <c r="R349" s="11" t="s">
        <v>1882</v>
      </c>
      <c r="S349" s="11" t="s">
        <v>1307</v>
      </c>
      <c r="T349" s="11" t="s">
        <v>1306</v>
      </c>
      <c r="U349" s="11" t="s">
        <v>1890</v>
      </c>
      <c r="V349" s="11" t="s">
        <v>1910</v>
      </c>
      <c r="W349" s="11" t="s">
        <v>0</v>
      </c>
      <c r="X349" s="11" t="s">
        <v>0</v>
      </c>
      <c r="Y349" s="11" t="s">
        <v>0</v>
      </c>
      <c r="Z349" s="11" t="s">
        <v>0</v>
      </c>
      <c r="AA349" s="11" t="s">
        <v>0</v>
      </c>
      <c r="AB349" s="11" t="s">
        <v>0</v>
      </c>
      <c r="AC349" s="11" t="s">
        <v>0</v>
      </c>
      <c r="AD349" s="11" t="s">
        <v>0</v>
      </c>
      <c r="AE349" s="11" t="s">
        <v>13</v>
      </c>
    </row>
    <row r="350">
      <c r="B350" s="24" t="s">
        <v>1</v>
      </c>
      <c r="C350" s="12" t="s">
        <v>356</v>
      </c>
      <c r="D350" s="11" t="s">
        <v>909</v>
      </c>
      <c r="E350" s="11" t="s">
        <v>1179</v>
      </c>
      <c r="F350" s="12" t="s">
        <v>1</v>
      </c>
      <c r="G350" s="12" t="s">
        <v>1302</v>
      </c>
      <c r="H350" s="12" t="s">
        <v>1302</v>
      </c>
      <c r="I350" s="12" t="s">
        <v>1313</v>
      </c>
      <c r="J350" s="12" t="s">
        <v>1323</v>
      </c>
      <c r="K350" s="12" t="s">
        <v>1326</v>
      </c>
      <c r="L350" s="12" t="s">
        <v>1303</v>
      </c>
      <c r="M350" s="12" t="s">
        <v>0</v>
      </c>
      <c r="N350" s="13" t="s">
        <v>1653</v>
      </c>
      <c r="O350" s="11" t="s">
        <v>0</v>
      </c>
      <c r="P350" s="11" t="s">
        <v>1878</v>
      </c>
      <c r="Q350" s="11" t="s">
        <v>1306</v>
      </c>
      <c r="R350" s="11" t="s">
        <v>1882</v>
      </c>
      <c r="S350" s="11" t="s">
        <v>0</v>
      </c>
      <c r="T350" s="11" t="s">
        <v>1306</v>
      </c>
      <c r="U350" s="11" t="s">
        <v>0</v>
      </c>
      <c r="V350" s="11" t="s">
        <v>0</v>
      </c>
      <c r="W350" s="11" t="s">
        <v>0</v>
      </c>
      <c r="X350" s="11" t="s">
        <v>0</v>
      </c>
      <c r="Y350" s="11" t="s">
        <v>0</v>
      </c>
      <c r="Z350" s="11" t="s">
        <v>0</v>
      </c>
      <c r="AA350" s="11" t="s">
        <v>0</v>
      </c>
      <c r="AB350" s="11" t="s">
        <v>0</v>
      </c>
      <c r="AC350" s="11" t="s">
        <v>0</v>
      </c>
      <c r="AD350" s="11" t="s">
        <v>0</v>
      </c>
      <c r="AE350" s="11" t="s">
        <v>2090</v>
      </c>
    </row>
    <row r="351">
      <c r="B351" s="24" t="s">
        <v>1</v>
      </c>
      <c r="C351" s="12" t="s">
        <v>357</v>
      </c>
      <c r="D351" s="11" t="s">
        <v>910</v>
      </c>
      <c r="E351" s="11" t="s">
        <v>1204</v>
      </c>
      <c r="F351" s="12" t="s">
        <v>1</v>
      </c>
      <c r="G351" s="12" t="s">
        <v>1302</v>
      </c>
      <c r="H351" s="12" t="s">
        <v>1302</v>
      </c>
      <c r="I351" s="12" t="s">
        <v>1313</v>
      </c>
      <c r="J351" s="12" t="s">
        <v>1324</v>
      </c>
      <c r="K351" s="12" t="s">
        <v>1326</v>
      </c>
      <c r="L351" s="12" t="s">
        <v>1303</v>
      </c>
      <c r="M351" s="12" t="s">
        <v>0</v>
      </c>
      <c r="N351" s="13" t="s">
        <v>1654</v>
      </c>
      <c r="O351" s="11" t="s">
        <v>0</v>
      </c>
      <c r="P351" s="11" t="s">
        <v>1878</v>
      </c>
      <c r="Q351" s="11" t="s">
        <v>1306</v>
      </c>
      <c r="R351" s="11" t="s">
        <v>1882</v>
      </c>
      <c r="S351" s="11" t="s">
        <v>0</v>
      </c>
      <c r="T351" s="11" t="s">
        <v>1306</v>
      </c>
      <c r="U351" s="11" t="s">
        <v>0</v>
      </c>
      <c r="V351" s="11" t="s">
        <v>0</v>
      </c>
      <c r="W351" s="11" t="s">
        <v>0</v>
      </c>
      <c r="X351" s="11" t="s">
        <v>0</v>
      </c>
      <c r="Y351" s="11" t="s">
        <v>0</v>
      </c>
      <c r="Z351" s="11" t="s">
        <v>0</v>
      </c>
      <c r="AA351" s="11" t="s">
        <v>0</v>
      </c>
      <c r="AB351" s="11" t="s">
        <v>0</v>
      </c>
      <c r="AC351" s="11" t="s">
        <v>0</v>
      </c>
      <c r="AD351" s="11" t="s">
        <v>0</v>
      </c>
      <c r="AE351" s="11" t="s">
        <v>2090</v>
      </c>
    </row>
    <row r="352">
      <c r="B352" s="24" t="s">
        <v>1</v>
      </c>
      <c r="C352" s="12" t="s">
        <v>358</v>
      </c>
      <c r="D352" s="11" t="s">
        <v>911</v>
      </c>
      <c r="E352" s="11" t="s">
        <v>1205</v>
      </c>
      <c r="F352" s="12" t="s">
        <v>1</v>
      </c>
      <c r="G352" s="12" t="s">
        <v>1302</v>
      </c>
      <c r="H352" s="12" t="s">
        <v>1302</v>
      </c>
      <c r="I352" s="12" t="s">
        <v>1313</v>
      </c>
      <c r="J352" s="12" t="s">
        <v>1324</v>
      </c>
      <c r="K352" s="12" t="s">
        <v>1326</v>
      </c>
      <c r="L352" s="12" t="s">
        <v>1303</v>
      </c>
      <c r="M352" s="12" t="s">
        <v>0</v>
      </c>
      <c r="N352" s="13" t="s">
        <v>1654</v>
      </c>
      <c r="O352" s="11" t="s">
        <v>0</v>
      </c>
      <c r="P352" s="11" t="s">
        <v>1878</v>
      </c>
      <c r="Q352" s="11" t="s">
        <v>1306</v>
      </c>
      <c r="R352" s="11" t="s">
        <v>1882</v>
      </c>
      <c r="S352" s="11" t="s">
        <v>0</v>
      </c>
      <c r="T352" s="11" t="s">
        <v>1307</v>
      </c>
      <c r="U352" s="11" t="s">
        <v>1888</v>
      </c>
      <c r="V352" s="11" t="s">
        <v>1914</v>
      </c>
      <c r="W352" s="11" t="s">
        <v>0</v>
      </c>
      <c r="X352" s="11" t="s">
        <v>0</v>
      </c>
      <c r="Y352" s="11" t="s">
        <v>0</v>
      </c>
      <c r="Z352" s="11" t="s">
        <v>1981</v>
      </c>
      <c r="AA352" s="11" t="s">
        <v>1981</v>
      </c>
      <c r="AB352" s="11" t="s">
        <v>2003</v>
      </c>
      <c r="AC352" s="11" t="s">
        <v>37</v>
      </c>
      <c r="AD352" s="11" t="s">
        <v>2080</v>
      </c>
      <c r="AE352" s="11" t="s">
        <v>13</v>
      </c>
    </row>
    <row r="353">
      <c r="B353" s="24" t="s">
        <v>1</v>
      </c>
      <c r="C353" s="12" t="s">
        <v>359</v>
      </c>
      <c r="D353" s="11" t="s">
        <v>912</v>
      </c>
      <c r="E353" s="11" t="s">
        <v>1206</v>
      </c>
      <c r="F353" s="12" t="s">
        <v>1</v>
      </c>
      <c r="G353" s="12" t="s">
        <v>1302</v>
      </c>
      <c r="H353" s="12" t="s">
        <v>1302</v>
      </c>
      <c r="I353" s="12" t="s">
        <v>1313</v>
      </c>
      <c r="J353" s="12" t="s">
        <v>1324</v>
      </c>
      <c r="K353" s="12" t="s">
        <v>1326</v>
      </c>
      <c r="L353" s="12" t="s">
        <v>1303</v>
      </c>
      <c r="M353" s="12" t="s">
        <v>0</v>
      </c>
      <c r="N353" s="13" t="s">
        <v>0</v>
      </c>
      <c r="O353" s="11" t="s">
        <v>1852</v>
      </c>
      <c r="P353" s="11" t="s">
        <v>1877</v>
      </c>
      <c r="Q353" s="11" t="s">
        <v>1307</v>
      </c>
      <c r="R353" s="11" t="s">
        <v>1882</v>
      </c>
      <c r="S353" s="11" t="s">
        <v>1307</v>
      </c>
      <c r="T353" s="11" t="s">
        <v>1306</v>
      </c>
      <c r="U353" s="11" t="s">
        <v>1890</v>
      </c>
      <c r="V353" s="11" t="s">
        <v>1910</v>
      </c>
      <c r="W353" s="11" t="s">
        <v>0</v>
      </c>
      <c r="X353" s="11" t="s">
        <v>0</v>
      </c>
      <c r="Y353" s="11" t="s">
        <v>0</v>
      </c>
      <c r="Z353" s="11" t="s">
        <v>0</v>
      </c>
      <c r="AA353" s="11" t="s">
        <v>0</v>
      </c>
      <c r="AB353" s="11" t="s">
        <v>0</v>
      </c>
      <c r="AC353" s="11" t="s">
        <v>0</v>
      </c>
      <c r="AD353" s="11" t="s">
        <v>0</v>
      </c>
      <c r="AE353" s="11" t="s">
        <v>13</v>
      </c>
    </row>
    <row r="354">
      <c r="B354" s="24" t="s">
        <v>2</v>
      </c>
      <c r="C354" s="12" t="s">
        <v>360</v>
      </c>
      <c r="D354" s="11" t="s">
        <v>913</v>
      </c>
      <c r="E354" s="11" t="s">
        <v>1207</v>
      </c>
      <c r="F354" s="12" t="s">
        <v>2</v>
      </c>
      <c r="G354" s="12" t="s">
        <v>1302</v>
      </c>
      <c r="H354" s="12" t="s">
        <v>1302</v>
      </c>
      <c r="I354" s="12" t="s">
        <v>1312</v>
      </c>
      <c r="J354" s="12" t="s">
        <v>1318</v>
      </c>
      <c r="K354" s="12" t="s">
        <v>1326</v>
      </c>
      <c r="L354" s="12" t="s">
        <v>1303</v>
      </c>
      <c r="M354" s="12" t="s">
        <v>0</v>
      </c>
      <c r="N354" s="13" t="s">
        <v>0</v>
      </c>
      <c r="O354" s="11" t="s">
        <v>1853</v>
      </c>
      <c r="P354" s="11" t="s">
        <v>1877</v>
      </c>
      <c r="Q354" s="11" t="s">
        <v>1307</v>
      </c>
      <c r="R354" s="11" t="s">
        <v>1882</v>
      </c>
      <c r="S354" s="11" t="s">
        <v>1307</v>
      </c>
      <c r="T354" s="11" t="s">
        <v>1306</v>
      </c>
      <c r="U354" s="11" t="s">
        <v>1891</v>
      </c>
      <c r="V354" s="11" t="s">
        <v>1910</v>
      </c>
      <c r="W354" s="11" t="s">
        <v>1933</v>
      </c>
      <c r="X354" s="11" t="s">
        <v>0</v>
      </c>
      <c r="Y354" s="11" t="s">
        <v>0</v>
      </c>
      <c r="Z354" s="11" t="s">
        <v>0</v>
      </c>
      <c r="AA354" s="11" t="s">
        <v>0</v>
      </c>
      <c r="AB354" s="11" t="s">
        <v>0</v>
      </c>
      <c r="AC354" s="11" t="s">
        <v>0</v>
      </c>
      <c r="AD354" s="11" t="s">
        <v>2081</v>
      </c>
      <c r="AE354" s="11" t="s">
        <v>13</v>
      </c>
    </row>
    <row r="355">
      <c r="B355" s="24" t="s">
        <v>1</v>
      </c>
      <c r="C355" s="12" t="s">
        <v>361</v>
      </c>
      <c r="D355" s="11" t="s">
        <v>914</v>
      </c>
      <c r="E355" s="11" t="s">
        <v>1208</v>
      </c>
      <c r="F355" s="12" t="s">
        <v>1</v>
      </c>
      <c r="G355" s="12" t="s">
        <v>1302</v>
      </c>
      <c r="H355" s="12" t="s">
        <v>1302</v>
      </c>
      <c r="I355" s="12" t="s">
        <v>1312</v>
      </c>
      <c r="J355" s="12" t="s">
        <v>1318</v>
      </c>
      <c r="K355" s="12" t="s">
        <v>1326</v>
      </c>
      <c r="L355" s="12" t="s">
        <v>1303</v>
      </c>
      <c r="M355" s="12" t="s">
        <v>0</v>
      </c>
      <c r="N355" s="13" t="s">
        <v>0</v>
      </c>
      <c r="O355" s="11" t="s">
        <v>1854</v>
      </c>
      <c r="P355" s="11" t="s">
        <v>1877</v>
      </c>
      <c r="Q355" s="11" t="s">
        <v>1307</v>
      </c>
      <c r="R355" s="11" t="s">
        <v>1882</v>
      </c>
      <c r="S355" s="11" t="s">
        <v>0</v>
      </c>
      <c r="T355" s="11" t="s">
        <v>1306</v>
      </c>
      <c r="U355" s="11" t="s">
        <v>0</v>
      </c>
      <c r="V355" s="11" t="s">
        <v>0</v>
      </c>
      <c r="W355" s="11" t="s">
        <v>0</v>
      </c>
      <c r="X355" s="11" t="s">
        <v>0</v>
      </c>
      <c r="Y355" s="11" t="s">
        <v>0</v>
      </c>
      <c r="Z355" s="11" t="s">
        <v>0</v>
      </c>
      <c r="AA355" s="11" t="s">
        <v>0</v>
      </c>
      <c r="AB355" s="11" t="s">
        <v>0</v>
      </c>
      <c r="AC355" s="11" t="s">
        <v>0</v>
      </c>
      <c r="AD355" s="11" t="s">
        <v>0</v>
      </c>
      <c r="AE355" s="11" t="s">
        <v>2090</v>
      </c>
    </row>
    <row r="356">
      <c r="B356" s="24" t="s">
        <v>1</v>
      </c>
      <c r="C356" s="12" t="s">
        <v>362</v>
      </c>
      <c r="D356" s="11" t="s">
        <v>915</v>
      </c>
      <c r="E356" s="11" t="s">
        <v>1209</v>
      </c>
      <c r="F356" s="12" t="s">
        <v>1</v>
      </c>
      <c r="G356" s="12" t="s">
        <v>1302</v>
      </c>
      <c r="H356" s="12" t="s">
        <v>1302</v>
      </c>
      <c r="I356" s="12" t="s">
        <v>1312</v>
      </c>
      <c r="J356" s="12" t="s">
        <v>1317</v>
      </c>
      <c r="K356" s="12" t="s">
        <v>1327</v>
      </c>
      <c r="L356" s="12" t="s">
        <v>1303</v>
      </c>
      <c r="M356" s="12" t="s">
        <v>0</v>
      </c>
      <c r="N356" s="13" t="s">
        <v>0</v>
      </c>
      <c r="O356" s="11" t="s">
        <v>1855</v>
      </c>
      <c r="P356" s="11" t="s">
        <v>1871</v>
      </c>
      <c r="Q356" s="11" t="s">
        <v>1307</v>
      </c>
      <c r="R356" s="11" t="s">
        <v>1882</v>
      </c>
      <c r="S356" s="11" t="s">
        <v>1307</v>
      </c>
      <c r="T356" s="11" t="s">
        <v>1306</v>
      </c>
      <c r="U356" s="11" t="s">
        <v>1894</v>
      </c>
      <c r="V356" s="11" t="s">
        <v>1910</v>
      </c>
      <c r="W356" s="11" t="s">
        <v>0</v>
      </c>
      <c r="X356" s="11" t="s">
        <v>0</v>
      </c>
      <c r="Y356" s="11" t="s">
        <v>0</v>
      </c>
      <c r="Z356" s="11" t="s">
        <v>0</v>
      </c>
      <c r="AA356" s="11" t="s">
        <v>0</v>
      </c>
      <c r="AB356" s="11" t="s">
        <v>0</v>
      </c>
      <c r="AC356" s="11" t="s">
        <v>0</v>
      </c>
      <c r="AD356" s="11" t="s">
        <v>0</v>
      </c>
      <c r="AE356" s="11" t="s">
        <v>13</v>
      </c>
    </row>
    <row r="357">
      <c r="B357" s="24" t="s">
        <v>8</v>
      </c>
      <c r="C357" s="12" t="s">
        <v>363</v>
      </c>
      <c r="D357" s="11" t="s">
        <v>916</v>
      </c>
      <c r="E357" s="11" t="s">
        <v>1210</v>
      </c>
      <c r="F357" s="12" t="s">
        <v>8</v>
      </c>
      <c r="G357" s="12" t="s">
        <v>1302</v>
      </c>
      <c r="H357" s="12" t="s">
        <v>1302</v>
      </c>
      <c r="I357" s="12" t="s">
        <v>1311</v>
      </c>
      <c r="J357" s="12" t="s">
        <v>1317</v>
      </c>
      <c r="K357" s="12" t="s">
        <v>1326</v>
      </c>
      <c r="L357" s="12" t="s">
        <v>1303</v>
      </c>
      <c r="M357" s="12" t="s">
        <v>0</v>
      </c>
      <c r="N357" s="13" t="s">
        <v>0</v>
      </c>
      <c r="O357" s="11" t="s">
        <v>1856</v>
      </c>
      <c r="P357" s="11" t="s">
        <v>1871</v>
      </c>
      <c r="Q357" s="11" t="s">
        <v>1307</v>
      </c>
      <c r="R357" s="11" t="s">
        <v>1882</v>
      </c>
      <c r="S357" s="11" t="s">
        <v>1307</v>
      </c>
      <c r="T357" s="11" t="s">
        <v>1306</v>
      </c>
      <c r="U357" s="11" t="s">
        <v>1894</v>
      </c>
      <c r="V357" s="11" t="s">
        <v>1910</v>
      </c>
      <c r="W357" s="11" t="s">
        <v>0</v>
      </c>
      <c r="X357" s="11" t="s">
        <v>0</v>
      </c>
      <c r="Y357" s="11" t="s">
        <v>0</v>
      </c>
      <c r="Z357" s="11" t="s">
        <v>0</v>
      </c>
      <c r="AA357" s="11" t="s">
        <v>0</v>
      </c>
      <c r="AB357" s="11" t="s">
        <v>0</v>
      </c>
      <c r="AC357" s="11" t="s">
        <v>0</v>
      </c>
      <c r="AD357" s="11" t="s">
        <v>0</v>
      </c>
      <c r="AE357" s="11" t="s">
        <v>13</v>
      </c>
    </row>
    <row r="358">
      <c r="B358" s="24" t="s">
        <v>1</v>
      </c>
      <c r="C358" s="12" t="s">
        <v>364</v>
      </c>
      <c r="D358" s="11" t="s">
        <v>917</v>
      </c>
      <c r="E358" s="11" t="s">
        <v>1211</v>
      </c>
      <c r="F358" s="12" t="s">
        <v>1</v>
      </c>
      <c r="G358" s="12" t="s">
        <v>1302</v>
      </c>
      <c r="H358" s="12" t="s">
        <v>1302</v>
      </c>
      <c r="I358" s="12" t="s">
        <v>1311</v>
      </c>
      <c r="J358" s="12" t="s">
        <v>1317</v>
      </c>
      <c r="K358" s="12" t="s">
        <v>1326</v>
      </c>
      <c r="L358" s="12" t="s">
        <v>1303</v>
      </c>
      <c r="M358" s="12" t="s">
        <v>0</v>
      </c>
      <c r="N358" s="13" t="s">
        <v>0</v>
      </c>
      <c r="O358" s="11" t="s">
        <v>1857</v>
      </c>
      <c r="P358" s="11" t="s">
        <v>1871</v>
      </c>
      <c r="Q358" s="11" t="s">
        <v>1307</v>
      </c>
      <c r="R358" s="11" t="s">
        <v>1882</v>
      </c>
      <c r="S358" s="11" t="s">
        <v>1307</v>
      </c>
      <c r="T358" s="11" t="s">
        <v>1307</v>
      </c>
      <c r="U358" s="11" t="s">
        <v>1888</v>
      </c>
      <c r="V358" s="11" t="s">
        <v>1910</v>
      </c>
      <c r="W358" s="11" t="s">
        <v>0</v>
      </c>
      <c r="X358" s="11" t="s">
        <v>0</v>
      </c>
      <c r="Y358" s="11" t="s">
        <v>0</v>
      </c>
      <c r="Z358" s="11" t="s">
        <v>1982</v>
      </c>
      <c r="AA358" s="11" t="s">
        <v>1982</v>
      </c>
      <c r="AB358" s="11" t="s">
        <v>2003</v>
      </c>
      <c r="AC358" s="11" t="s">
        <v>59</v>
      </c>
      <c r="AD358" s="11" t="s">
        <v>0</v>
      </c>
      <c r="AE358" s="11" t="s">
        <v>13</v>
      </c>
    </row>
    <row r="359">
      <c r="B359" s="24" t="s">
        <v>1</v>
      </c>
      <c r="C359" s="12" t="s">
        <v>365</v>
      </c>
      <c r="D359" s="11" t="s">
        <v>918</v>
      </c>
      <c r="E359" s="11" t="s">
        <v>1212</v>
      </c>
      <c r="F359" s="12" t="s">
        <v>1</v>
      </c>
      <c r="G359" s="12" t="s">
        <v>1302</v>
      </c>
      <c r="H359" s="12" t="s">
        <v>1302</v>
      </c>
      <c r="I359" s="12" t="s">
        <v>1311</v>
      </c>
      <c r="J359" s="12" t="s">
        <v>1317</v>
      </c>
      <c r="K359" s="12" t="s">
        <v>1326</v>
      </c>
      <c r="L359" s="12" t="s">
        <v>1303</v>
      </c>
      <c r="M359" s="12" t="s">
        <v>0</v>
      </c>
      <c r="N359" s="13" t="s">
        <v>0</v>
      </c>
      <c r="O359" s="11" t="s">
        <v>1858</v>
      </c>
      <c r="P359" s="11" t="s">
        <v>1871</v>
      </c>
      <c r="Q359" s="11" t="s">
        <v>1307</v>
      </c>
      <c r="R359" s="11" t="s">
        <v>1882</v>
      </c>
      <c r="S359" s="11" t="s">
        <v>1307</v>
      </c>
      <c r="T359" s="11" t="s">
        <v>1306</v>
      </c>
      <c r="U359" s="11" t="s">
        <v>1894</v>
      </c>
      <c r="V359" s="11" t="s">
        <v>1910</v>
      </c>
      <c r="W359" s="11" t="s">
        <v>0</v>
      </c>
      <c r="X359" s="11" t="s">
        <v>0</v>
      </c>
      <c r="Y359" s="11" t="s">
        <v>0</v>
      </c>
      <c r="Z359" s="11" t="s">
        <v>0</v>
      </c>
      <c r="AA359" s="11" t="s">
        <v>0</v>
      </c>
      <c r="AB359" s="11" t="s">
        <v>0</v>
      </c>
      <c r="AC359" s="11" t="s">
        <v>0</v>
      </c>
      <c r="AD359" s="11" t="s">
        <v>0</v>
      </c>
      <c r="AE359" s="11" t="s">
        <v>13</v>
      </c>
    </row>
    <row r="360">
      <c r="B360" s="24" t="s">
        <v>1</v>
      </c>
      <c r="C360" s="12" t="s">
        <v>366</v>
      </c>
      <c r="D360" s="11" t="s">
        <v>919</v>
      </c>
      <c r="E360" s="11" t="s">
        <v>1213</v>
      </c>
      <c r="F360" s="12" t="s">
        <v>1273</v>
      </c>
      <c r="G360" s="12" t="s">
        <v>1302</v>
      </c>
      <c r="H360" s="12" t="s">
        <v>1302</v>
      </c>
      <c r="I360" s="12" t="s">
        <v>1312</v>
      </c>
      <c r="J360" s="12" t="s">
        <v>1317</v>
      </c>
      <c r="K360" s="12" t="s">
        <v>1331</v>
      </c>
      <c r="L360" s="12" t="s">
        <v>1303</v>
      </c>
      <c r="M360" s="12" t="s">
        <v>0</v>
      </c>
      <c r="N360" s="13" t="s">
        <v>0</v>
      </c>
      <c r="O360" s="11" t="s">
        <v>1859</v>
      </c>
      <c r="P360" s="11" t="s">
        <v>1871</v>
      </c>
      <c r="Q360" s="11" t="s">
        <v>1306</v>
      </c>
      <c r="R360" s="11" t="s">
        <v>1882</v>
      </c>
      <c r="S360" s="11" t="s">
        <v>1307</v>
      </c>
      <c r="T360" s="11" t="s">
        <v>1306</v>
      </c>
      <c r="U360" s="11" t="s">
        <v>1894</v>
      </c>
      <c r="V360" s="11" t="s">
        <v>1910</v>
      </c>
      <c r="W360" s="11" t="s">
        <v>0</v>
      </c>
      <c r="X360" s="11" t="s">
        <v>0</v>
      </c>
      <c r="Y360" s="11" t="s">
        <v>0</v>
      </c>
      <c r="Z360" s="11" t="s">
        <v>0</v>
      </c>
      <c r="AA360" s="11" t="s">
        <v>0</v>
      </c>
      <c r="AB360" s="11" t="s">
        <v>0</v>
      </c>
      <c r="AC360" s="11" t="s">
        <v>0</v>
      </c>
      <c r="AD360" s="11" t="s">
        <v>0</v>
      </c>
      <c r="AE360" s="11" t="s">
        <v>13</v>
      </c>
    </row>
    <row r="361">
      <c r="B361" s="24" t="s">
        <v>1</v>
      </c>
      <c r="C361" s="12" t="s">
        <v>367</v>
      </c>
      <c r="D361" s="11" t="s">
        <v>920</v>
      </c>
      <c r="E361" s="11" t="s">
        <v>1214</v>
      </c>
      <c r="F361" s="12" t="s">
        <v>1</v>
      </c>
      <c r="G361" s="12" t="s">
        <v>1302</v>
      </c>
      <c r="H361" s="12" t="s">
        <v>1302</v>
      </c>
      <c r="I361" s="12" t="s">
        <v>1312</v>
      </c>
      <c r="J361" s="12" t="s">
        <v>1317</v>
      </c>
      <c r="K361" s="12" t="s">
        <v>1331</v>
      </c>
      <c r="L361" s="12" t="s">
        <v>1303</v>
      </c>
      <c r="M361" s="12" t="s">
        <v>0</v>
      </c>
      <c r="N361" s="13" t="s">
        <v>0</v>
      </c>
      <c r="O361" s="11" t="s">
        <v>1860</v>
      </c>
      <c r="P361" s="11" t="s">
        <v>1871</v>
      </c>
      <c r="Q361" s="11" t="s">
        <v>1306</v>
      </c>
      <c r="R361" s="11" t="s">
        <v>1882</v>
      </c>
      <c r="S361" s="11" t="s">
        <v>1307</v>
      </c>
      <c r="T361" s="11" t="s">
        <v>1306</v>
      </c>
      <c r="U361" s="11" t="s">
        <v>1894</v>
      </c>
      <c r="V361" s="11" t="s">
        <v>1910</v>
      </c>
      <c r="W361" s="11" t="s">
        <v>0</v>
      </c>
      <c r="X361" s="11" t="s">
        <v>0</v>
      </c>
      <c r="Y361" s="11" t="s">
        <v>0</v>
      </c>
      <c r="Z361" s="11" t="s">
        <v>0</v>
      </c>
      <c r="AA361" s="11" t="s">
        <v>0</v>
      </c>
      <c r="AB361" s="11" t="s">
        <v>0</v>
      </c>
      <c r="AC361" s="11" t="s">
        <v>0</v>
      </c>
      <c r="AD361" s="11" t="s">
        <v>0</v>
      </c>
      <c r="AE361" s="11" t="s">
        <v>13</v>
      </c>
    </row>
    <row r="362">
      <c r="B362" s="24" t="s">
        <v>1</v>
      </c>
      <c r="C362" s="12" t="s">
        <v>368</v>
      </c>
      <c r="D362" s="11" t="s">
        <v>921</v>
      </c>
      <c r="E362" s="11" t="s">
        <v>1215</v>
      </c>
      <c r="F362" s="12" t="s">
        <v>1</v>
      </c>
      <c r="G362" s="12" t="s">
        <v>1302</v>
      </c>
      <c r="H362" s="12" t="s">
        <v>1302</v>
      </c>
      <c r="I362" s="12" t="s">
        <v>1311</v>
      </c>
      <c r="J362" s="12" t="s">
        <v>1317</v>
      </c>
      <c r="K362" s="12" t="s">
        <v>1326</v>
      </c>
      <c r="L362" s="12" t="s">
        <v>1303</v>
      </c>
      <c r="M362" s="12" t="s">
        <v>0</v>
      </c>
      <c r="N362" s="13" t="s">
        <v>0</v>
      </c>
      <c r="O362" s="11" t="s">
        <v>1861</v>
      </c>
      <c r="P362" s="11" t="s">
        <v>1871</v>
      </c>
      <c r="Q362" s="11" t="s">
        <v>1306</v>
      </c>
      <c r="R362" s="11" t="s">
        <v>1882</v>
      </c>
      <c r="S362" s="11" t="s">
        <v>1307</v>
      </c>
      <c r="T362" s="11" t="s">
        <v>1306</v>
      </c>
      <c r="U362" s="11" t="s">
        <v>1894</v>
      </c>
      <c r="V362" s="11" t="s">
        <v>1910</v>
      </c>
      <c r="W362" s="11" t="s">
        <v>0</v>
      </c>
      <c r="X362" s="11" t="s">
        <v>0</v>
      </c>
      <c r="Y362" s="11" t="s">
        <v>0</v>
      </c>
      <c r="Z362" s="11" t="s">
        <v>0</v>
      </c>
      <c r="AA362" s="11" t="s">
        <v>0</v>
      </c>
      <c r="AB362" s="11" t="s">
        <v>0</v>
      </c>
      <c r="AC362" s="11" t="s">
        <v>0</v>
      </c>
      <c r="AD362" s="11" t="s">
        <v>0</v>
      </c>
      <c r="AE362" s="11" t="s">
        <v>13</v>
      </c>
    </row>
    <row r="363">
      <c r="B363" s="24" t="s">
        <v>1</v>
      </c>
      <c r="C363" s="12" t="s">
        <v>369</v>
      </c>
      <c r="D363" s="11" t="s">
        <v>922</v>
      </c>
      <c r="E363" s="11" t="s">
        <v>1216</v>
      </c>
      <c r="F363" s="12" t="s">
        <v>1</v>
      </c>
      <c r="G363" s="12" t="s">
        <v>1302</v>
      </c>
      <c r="H363" s="12" t="s">
        <v>1302</v>
      </c>
      <c r="I363" s="12" t="s">
        <v>1312</v>
      </c>
      <c r="J363" s="12" t="s">
        <v>1317</v>
      </c>
      <c r="K363" s="12" t="s">
        <v>1331</v>
      </c>
      <c r="L363" s="12" t="s">
        <v>1303</v>
      </c>
      <c r="M363" s="12" t="s">
        <v>0</v>
      </c>
      <c r="N363" s="13" t="s">
        <v>0</v>
      </c>
      <c r="O363" s="11" t="s">
        <v>1862</v>
      </c>
      <c r="P363" s="11" t="s">
        <v>1871</v>
      </c>
      <c r="Q363" s="11" t="s">
        <v>1306</v>
      </c>
      <c r="R363" s="11" t="s">
        <v>1882</v>
      </c>
      <c r="S363" s="11" t="s">
        <v>1307</v>
      </c>
      <c r="T363" s="11" t="s">
        <v>1306</v>
      </c>
      <c r="U363" s="11" t="s">
        <v>1894</v>
      </c>
      <c r="V363" s="11" t="s">
        <v>1911</v>
      </c>
      <c r="W363" s="11" t="s">
        <v>0</v>
      </c>
      <c r="X363" s="11" t="s">
        <v>0</v>
      </c>
      <c r="Y363" s="11" t="s">
        <v>0</v>
      </c>
      <c r="Z363" s="11" t="s">
        <v>0</v>
      </c>
      <c r="AA363" s="11" t="s">
        <v>0</v>
      </c>
      <c r="AB363" s="11" t="s">
        <v>0</v>
      </c>
      <c r="AC363" s="11" t="s">
        <v>0</v>
      </c>
      <c r="AD363" s="11" t="s">
        <v>0</v>
      </c>
      <c r="AE363" s="11" t="s">
        <v>13</v>
      </c>
    </row>
    <row r="364">
      <c r="B364" s="24" t="s">
        <v>1</v>
      </c>
      <c r="C364" s="12" t="s">
        <v>370</v>
      </c>
      <c r="D364" s="11" t="s">
        <v>923</v>
      </c>
      <c r="E364" s="11" t="s">
        <v>1217</v>
      </c>
      <c r="F364" s="12" t="s">
        <v>1</v>
      </c>
      <c r="G364" s="12" t="s">
        <v>1302</v>
      </c>
      <c r="H364" s="12" t="s">
        <v>1302</v>
      </c>
      <c r="I364" s="12" t="s">
        <v>1311</v>
      </c>
      <c r="J364" s="12" t="s">
        <v>1317</v>
      </c>
      <c r="K364" s="12" t="s">
        <v>1326</v>
      </c>
      <c r="L364" s="12" t="s">
        <v>1303</v>
      </c>
      <c r="M364" s="12" t="s">
        <v>0</v>
      </c>
      <c r="N364" s="13" t="s">
        <v>0</v>
      </c>
      <c r="O364" s="11" t="s">
        <v>1863</v>
      </c>
      <c r="P364" s="11" t="s">
        <v>1871</v>
      </c>
      <c r="Q364" s="11" t="s">
        <v>1306</v>
      </c>
      <c r="R364" s="11" t="s">
        <v>1882</v>
      </c>
      <c r="S364" s="11" t="s">
        <v>1307</v>
      </c>
      <c r="T364" s="11" t="s">
        <v>1306</v>
      </c>
      <c r="U364" s="11" t="s">
        <v>1894</v>
      </c>
      <c r="V364" s="11" t="s">
        <v>1915</v>
      </c>
      <c r="W364" s="11" t="s">
        <v>0</v>
      </c>
      <c r="X364" s="11" t="s">
        <v>0</v>
      </c>
      <c r="Y364" s="11" t="s">
        <v>0</v>
      </c>
      <c r="Z364" s="11" t="s">
        <v>0</v>
      </c>
      <c r="AA364" s="11" t="s">
        <v>0</v>
      </c>
      <c r="AB364" s="11" t="s">
        <v>0</v>
      </c>
      <c r="AC364" s="11" t="s">
        <v>0</v>
      </c>
      <c r="AD364" s="11" t="s">
        <v>0</v>
      </c>
      <c r="AE364" s="11" t="s">
        <v>13</v>
      </c>
    </row>
    <row r="365">
      <c r="B365" s="24" t="s">
        <v>1</v>
      </c>
      <c r="C365" s="12" t="s">
        <v>371</v>
      </c>
      <c r="D365" s="11" t="s">
        <v>924</v>
      </c>
      <c r="E365" s="11" t="s">
        <v>1218</v>
      </c>
      <c r="F365" s="12" t="s">
        <v>1</v>
      </c>
      <c r="G365" s="12" t="s">
        <v>1302</v>
      </c>
      <c r="H365" s="12" t="s">
        <v>1302</v>
      </c>
      <c r="I365" s="12" t="s">
        <v>1312</v>
      </c>
      <c r="J365" s="12" t="s">
        <v>1317</v>
      </c>
      <c r="K365" s="12" t="s">
        <v>1331</v>
      </c>
      <c r="L365" s="12" t="s">
        <v>1303</v>
      </c>
      <c r="M365" s="12" t="s">
        <v>0</v>
      </c>
      <c r="N365" s="13" t="s">
        <v>0</v>
      </c>
      <c r="O365" s="11" t="s">
        <v>1864</v>
      </c>
      <c r="P365" s="11" t="s">
        <v>1871</v>
      </c>
      <c r="Q365" s="11" t="s">
        <v>1306</v>
      </c>
      <c r="R365" s="11" t="s">
        <v>1882</v>
      </c>
      <c r="S365" s="11" t="s">
        <v>0</v>
      </c>
      <c r="T365" s="11" t="s">
        <v>1306</v>
      </c>
      <c r="U365" s="11" t="s">
        <v>0</v>
      </c>
      <c r="V365" s="11" t="s">
        <v>0</v>
      </c>
      <c r="W365" s="11" t="s">
        <v>0</v>
      </c>
      <c r="X365" s="11" t="s">
        <v>0</v>
      </c>
      <c r="Y365" s="11" t="s">
        <v>0</v>
      </c>
      <c r="Z365" s="11" t="s">
        <v>0</v>
      </c>
      <c r="AA365" s="11" t="s">
        <v>0</v>
      </c>
      <c r="AB365" s="11" t="s">
        <v>0</v>
      </c>
      <c r="AC365" s="11" t="s">
        <v>0</v>
      </c>
      <c r="AD365" s="11" t="s">
        <v>0</v>
      </c>
      <c r="AE365" s="11" t="s">
        <v>2090</v>
      </c>
    </row>
    <row r="366">
      <c r="B366" s="24" t="s">
        <v>1</v>
      </c>
      <c r="C366" s="12" t="s">
        <v>372</v>
      </c>
      <c r="D366" s="11" t="s">
        <v>925</v>
      </c>
      <c r="E366" s="11" t="s">
        <v>1219</v>
      </c>
      <c r="F366" s="12" t="s">
        <v>1</v>
      </c>
      <c r="G366" s="12" t="s">
        <v>1302</v>
      </c>
      <c r="H366" s="12" t="s">
        <v>1302</v>
      </c>
      <c r="I366" s="12" t="s">
        <v>1312</v>
      </c>
      <c r="J366" s="12" t="s">
        <v>1317</v>
      </c>
      <c r="K366" s="12" t="s">
        <v>1331</v>
      </c>
      <c r="L366" s="12" t="s">
        <v>1303</v>
      </c>
      <c r="M366" s="12" t="s">
        <v>0</v>
      </c>
      <c r="N366" s="13" t="s">
        <v>0</v>
      </c>
      <c r="O366" s="11" t="s">
        <v>1865</v>
      </c>
      <c r="P366" s="11" t="s">
        <v>1871</v>
      </c>
      <c r="Q366" s="11" t="s">
        <v>1306</v>
      </c>
      <c r="R366" s="11" t="s">
        <v>1882</v>
      </c>
      <c r="S366" s="11" t="s">
        <v>1307</v>
      </c>
      <c r="T366" s="11" t="s">
        <v>1306</v>
      </c>
      <c r="U366" s="11" t="s">
        <v>1894</v>
      </c>
      <c r="V366" s="11" t="s">
        <v>1915</v>
      </c>
      <c r="W366" s="11" t="s">
        <v>0</v>
      </c>
      <c r="X366" s="11" t="s">
        <v>0</v>
      </c>
      <c r="Y366" s="11" t="s">
        <v>0</v>
      </c>
      <c r="Z366" s="11" t="s">
        <v>0</v>
      </c>
      <c r="AA366" s="11" t="s">
        <v>0</v>
      </c>
      <c r="AB366" s="11" t="s">
        <v>0</v>
      </c>
      <c r="AC366" s="11" t="s">
        <v>0</v>
      </c>
      <c r="AD366" s="11" t="s">
        <v>0</v>
      </c>
      <c r="AE366" s="11" t="s">
        <v>13</v>
      </c>
    </row>
    <row r="367">
      <c r="B367" s="24" t="s">
        <v>1</v>
      </c>
      <c r="C367" s="12" t="s">
        <v>373</v>
      </c>
      <c r="D367" s="11" t="s">
        <v>926</v>
      </c>
      <c r="E367" s="11" t="s">
        <v>1220</v>
      </c>
      <c r="F367" s="12" t="s">
        <v>1</v>
      </c>
      <c r="G367" s="12" t="s">
        <v>1302</v>
      </c>
      <c r="H367" s="12" t="s">
        <v>1302</v>
      </c>
      <c r="I367" s="12" t="s">
        <v>1313</v>
      </c>
      <c r="J367" s="12" t="s">
        <v>1324</v>
      </c>
      <c r="K367" s="12" t="s">
        <v>1326</v>
      </c>
      <c r="L367" s="12" t="s">
        <v>1303</v>
      </c>
      <c r="M367" s="12" t="s">
        <v>0</v>
      </c>
      <c r="N367" s="13" t="s">
        <v>0</v>
      </c>
      <c r="O367" s="11" t="s">
        <v>0</v>
      </c>
      <c r="P367" s="11" t="s">
        <v>0</v>
      </c>
      <c r="Q367" s="11" t="s">
        <v>0</v>
      </c>
      <c r="R367" s="11" t="s">
        <v>0</v>
      </c>
      <c r="S367" s="11" t="s">
        <v>0</v>
      </c>
      <c r="T367" s="11" t="s">
        <v>1307</v>
      </c>
      <c r="U367" s="11" t="s">
        <v>1888</v>
      </c>
      <c r="V367" s="11" t="s">
        <v>0</v>
      </c>
      <c r="W367" s="11" t="s">
        <v>0</v>
      </c>
      <c r="X367" s="11" t="s">
        <v>0</v>
      </c>
      <c r="Y367" s="11" t="s">
        <v>0</v>
      </c>
      <c r="Z367" s="11" t="s">
        <v>1983</v>
      </c>
      <c r="AA367" s="11" t="s">
        <v>1983</v>
      </c>
      <c r="AB367" s="11" t="s">
        <v>2003</v>
      </c>
      <c r="AC367" s="11" t="s">
        <v>94</v>
      </c>
      <c r="AD367" s="11" t="s">
        <v>0</v>
      </c>
      <c r="AE367" s="11" t="s">
        <v>13</v>
      </c>
    </row>
    <row r="368">
      <c r="B368" s="24" t="s">
        <v>1</v>
      </c>
      <c r="C368" s="12" t="s">
        <v>374</v>
      </c>
      <c r="D368" s="11" t="s">
        <v>927</v>
      </c>
      <c r="E368" s="11" t="s">
        <v>1221</v>
      </c>
      <c r="F368" s="12" t="s">
        <v>1</v>
      </c>
      <c r="G368" s="12" t="s">
        <v>1302</v>
      </c>
      <c r="H368" s="12" t="s">
        <v>1302</v>
      </c>
      <c r="I368" s="12" t="s">
        <v>1309</v>
      </c>
      <c r="J368" s="12" t="s">
        <v>1315</v>
      </c>
      <c r="K368" s="12" t="s">
        <v>1326</v>
      </c>
      <c r="L368" s="12" t="s">
        <v>1303</v>
      </c>
      <c r="M368" s="12" t="s">
        <v>0</v>
      </c>
      <c r="N368" s="13" t="s">
        <v>0</v>
      </c>
      <c r="O368" s="11" t="s">
        <v>0</v>
      </c>
      <c r="P368" s="11" t="s">
        <v>0</v>
      </c>
      <c r="Q368" s="11" t="s">
        <v>0</v>
      </c>
      <c r="R368" s="11" t="s">
        <v>0</v>
      </c>
      <c r="S368" s="11" t="s">
        <v>0</v>
      </c>
      <c r="T368" s="11" t="s">
        <v>1307</v>
      </c>
      <c r="U368" s="11" t="s">
        <v>1888</v>
      </c>
      <c r="V368" s="11" t="s">
        <v>0</v>
      </c>
      <c r="W368" s="11" t="s">
        <v>0</v>
      </c>
      <c r="X368" s="11" t="s">
        <v>0</v>
      </c>
      <c r="Y368" s="11" t="s">
        <v>0</v>
      </c>
      <c r="Z368" s="11" t="s">
        <v>1984</v>
      </c>
      <c r="AA368" s="11" t="s">
        <v>1984</v>
      </c>
      <c r="AB368" s="11" t="s">
        <v>2003</v>
      </c>
      <c r="AC368" s="11" t="s">
        <v>78</v>
      </c>
      <c r="AD368" s="11" t="s">
        <v>0</v>
      </c>
      <c r="AE368" s="11" t="s">
        <v>13</v>
      </c>
    </row>
    <row r="369">
      <c r="B369" s="24" t="s">
        <v>1</v>
      </c>
      <c r="C369" s="12" t="s">
        <v>375</v>
      </c>
      <c r="D369" s="11" t="s">
        <v>928</v>
      </c>
      <c r="E369" s="11" t="s">
        <v>1222</v>
      </c>
      <c r="F369" s="12" t="s">
        <v>1</v>
      </c>
      <c r="G369" s="12" t="s">
        <v>1302</v>
      </c>
      <c r="H369" s="12" t="s">
        <v>1302</v>
      </c>
      <c r="I369" s="12" t="s">
        <v>1312</v>
      </c>
      <c r="J369" s="12" t="s">
        <v>1317</v>
      </c>
      <c r="K369" s="12" t="s">
        <v>1331</v>
      </c>
      <c r="L369" s="12" t="s">
        <v>1303</v>
      </c>
      <c r="M369" s="12" t="s">
        <v>0</v>
      </c>
      <c r="N369" s="13" t="s">
        <v>1655</v>
      </c>
      <c r="O369" s="11" t="s">
        <v>0</v>
      </c>
      <c r="P369" s="11" t="s">
        <v>1871</v>
      </c>
      <c r="Q369" s="11" t="s">
        <v>1306</v>
      </c>
      <c r="R369" s="11" t="s">
        <v>1882</v>
      </c>
      <c r="S369" s="11" t="s">
        <v>0</v>
      </c>
      <c r="T369" s="11" t="s">
        <v>1307</v>
      </c>
      <c r="U369" s="11" t="s">
        <v>1888</v>
      </c>
      <c r="V369" s="11" t="s">
        <v>0</v>
      </c>
      <c r="W369" s="11" t="s">
        <v>0</v>
      </c>
      <c r="X369" s="11" t="s">
        <v>0</v>
      </c>
      <c r="Y369" s="11" t="s">
        <v>0</v>
      </c>
      <c r="Z369" s="11" t="s">
        <v>1964</v>
      </c>
      <c r="AA369" s="11" t="s">
        <v>1964</v>
      </c>
      <c r="AB369" s="11" t="s">
        <v>2003</v>
      </c>
      <c r="AC369" s="11" t="s">
        <v>47</v>
      </c>
      <c r="AD369" s="11" t="s">
        <v>0</v>
      </c>
      <c r="AE369" s="11" t="s">
        <v>13</v>
      </c>
    </row>
    <row r="370">
      <c r="B370" s="24" t="s">
        <v>1</v>
      </c>
      <c r="C370" s="12" t="s">
        <v>376</v>
      </c>
      <c r="D370" s="11" t="s">
        <v>929</v>
      </c>
      <c r="E370" s="11" t="s">
        <v>1176</v>
      </c>
      <c r="F370" s="12" t="s">
        <v>0</v>
      </c>
      <c r="G370" s="12" t="s">
        <v>1302</v>
      </c>
      <c r="H370" s="12" t="s">
        <v>1302</v>
      </c>
      <c r="I370" s="12" t="s">
        <v>0</v>
      </c>
      <c r="J370" s="12" t="s">
        <v>0</v>
      </c>
      <c r="K370" s="12" t="s">
        <v>0</v>
      </c>
      <c r="L370" s="12" t="s">
        <v>1303</v>
      </c>
      <c r="M370" s="12" t="s">
        <v>0</v>
      </c>
      <c r="N370" s="13" t="s">
        <v>0</v>
      </c>
      <c r="O370" s="11" t="s">
        <v>0</v>
      </c>
      <c r="P370" s="11" t="s">
        <v>0</v>
      </c>
      <c r="Q370" s="11" t="s">
        <v>1880</v>
      </c>
      <c r="R370" s="11" t="s">
        <v>0</v>
      </c>
      <c r="S370" s="11" t="s">
        <v>1880</v>
      </c>
      <c r="T370" s="11" t="s">
        <v>1886</v>
      </c>
      <c r="U370" s="11" t="s">
        <v>1894</v>
      </c>
      <c r="V370" s="11" t="s">
        <v>1910</v>
      </c>
      <c r="W370" s="11" t="s">
        <v>0</v>
      </c>
      <c r="X370" s="11" t="s">
        <v>0</v>
      </c>
      <c r="Y370" s="11" t="s">
        <v>0</v>
      </c>
      <c r="Z370" s="11" t="s">
        <v>0</v>
      </c>
      <c r="AA370" s="11" t="s">
        <v>0</v>
      </c>
      <c r="AB370" s="11" t="s">
        <v>0</v>
      </c>
      <c r="AC370" s="11" t="s">
        <v>0</v>
      </c>
      <c r="AD370" s="11" t="s">
        <v>0</v>
      </c>
      <c r="AE370" s="11" t="s">
        <v>13</v>
      </c>
    </row>
    <row r="371">
      <c r="B371" s="24" t="s">
        <v>6</v>
      </c>
      <c r="C371" s="12" t="s">
        <v>377</v>
      </c>
      <c r="D371" s="11" t="s">
        <v>930</v>
      </c>
      <c r="E371" s="11" t="s">
        <v>1121</v>
      </c>
      <c r="F371" s="12" t="s">
        <v>6</v>
      </c>
      <c r="G371" s="12" t="s">
        <v>1302</v>
      </c>
      <c r="H371" s="12" t="s">
        <v>1302</v>
      </c>
      <c r="I371" s="12" t="s">
        <v>1309</v>
      </c>
      <c r="J371" s="12" t="s">
        <v>1315</v>
      </c>
      <c r="K371" s="12" t="s">
        <v>1326</v>
      </c>
      <c r="L371" s="12" t="s">
        <v>1303</v>
      </c>
      <c r="M371" s="12" t="s">
        <v>0</v>
      </c>
      <c r="N371" s="13" t="s">
        <v>1656</v>
      </c>
      <c r="O371" s="11" t="s">
        <v>0</v>
      </c>
      <c r="P371" s="11" t="s">
        <v>0</v>
      </c>
      <c r="Q371" s="11" t="s">
        <v>1306</v>
      </c>
      <c r="R371" s="11" t="s">
        <v>1882</v>
      </c>
      <c r="S371" s="11" t="s">
        <v>0</v>
      </c>
      <c r="T371" s="11" t="s">
        <v>1307</v>
      </c>
      <c r="U371" s="11" t="s">
        <v>1888</v>
      </c>
      <c r="V371" s="11" t="s">
        <v>1916</v>
      </c>
      <c r="W371" s="11" t="s">
        <v>0</v>
      </c>
      <c r="X371" s="11" t="s">
        <v>0</v>
      </c>
      <c r="Y371" s="11" t="s">
        <v>1942</v>
      </c>
      <c r="Z371" s="11" t="s">
        <v>1985</v>
      </c>
      <c r="AA371" s="11" t="s">
        <v>1985</v>
      </c>
      <c r="AB371" s="11" t="s">
        <v>2003</v>
      </c>
      <c r="AC371" s="11" t="s">
        <v>84</v>
      </c>
      <c r="AD371" s="11" t="s">
        <v>2082</v>
      </c>
      <c r="AE371" s="11" t="s">
        <v>13</v>
      </c>
    </row>
    <row r="372">
      <c r="B372" s="24" t="s">
        <v>1</v>
      </c>
      <c r="C372" s="12" t="s">
        <v>378</v>
      </c>
      <c r="D372" s="11" t="s">
        <v>931</v>
      </c>
      <c r="E372" s="11" t="s">
        <v>1219</v>
      </c>
      <c r="F372" s="12" t="s">
        <v>1</v>
      </c>
      <c r="G372" s="12" t="s">
        <v>0</v>
      </c>
      <c r="H372" s="12" t="s">
        <v>0</v>
      </c>
      <c r="I372" s="12" t="s">
        <v>1312</v>
      </c>
      <c r="J372" s="12" t="s">
        <v>1317</v>
      </c>
      <c r="K372" s="12" t="s">
        <v>1331</v>
      </c>
      <c r="L372" s="12" t="s">
        <v>1303</v>
      </c>
      <c r="M372" s="12" t="s">
        <v>0</v>
      </c>
      <c r="N372" s="13" t="s">
        <v>0</v>
      </c>
      <c r="O372" s="11" t="s">
        <v>0</v>
      </c>
      <c r="P372" s="11" t="s">
        <v>0</v>
      </c>
      <c r="Q372" s="11" t="s">
        <v>0</v>
      </c>
      <c r="R372" s="11" t="s">
        <v>0</v>
      </c>
      <c r="S372" s="11" t="s">
        <v>0</v>
      </c>
      <c r="T372" s="11" t="s">
        <v>1307</v>
      </c>
      <c r="U372" s="11" t="s">
        <v>1888</v>
      </c>
      <c r="V372" s="11" t="s">
        <v>0</v>
      </c>
      <c r="W372" s="11" t="s">
        <v>0</v>
      </c>
      <c r="X372" s="11" t="s">
        <v>0</v>
      </c>
      <c r="Y372" s="11" t="s">
        <v>0</v>
      </c>
      <c r="Z372" s="11" t="s">
        <v>1986</v>
      </c>
      <c r="AA372" s="11" t="s">
        <v>1986</v>
      </c>
      <c r="AB372" s="11" t="s">
        <v>2003</v>
      </c>
      <c r="AC372" s="11" t="s">
        <v>51</v>
      </c>
      <c r="AD372" s="11" t="s">
        <v>0</v>
      </c>
      <c r="AE372" s="11" t="s">
        <v>13</v>
      </c>
    </row>
    <row r="373">
      <c r="B373" s="24" t="s">
        <v>1</v>
      </c>
      <c r="C373" s="12" t="s">
        <v>379</v>
      </c>
      <c r="D373" s="11" t="s">
        <v>932</v>
      </c>
      <c r="E373" s="11" t="s">
        <v>1223</v>
      </c>
      <c r="F373" s="12" t="s">
        <v>1</v>
      </c>
      <c r="G373" s="12" t="s">
        <v>0</v>
      </c>
      <c r="H373" s="12" t="s">
        <v>0</v>
      </c>
      <c r="I373" s="12" t="s">
        <v>1312</v>
      </c>
      <c r="J373" s="12" t="s">
        <v>1317</v>
      </c>
      <c r="K373" s="12" t="s">
        <v>1331</v>
      </c>
      <c r="L373" s="12" t="s">
        <v>1303</v>
      </c>
      <c r="M373" s="12" t="s">
        <v>0</v>
      </c>
      <c r="N373" s="13" t="s">
        <v>0</v>
      </c>
      <c r="O373" s="11" t="s">
        <v>0</v>
      </c>
      <c r="P373" s="11" t="s">
        <v>0</v>
      </c>
      <c r="Q373" s="11" t="s">
        <v>0</v>
      </c>
      <c r="R373" s="11" t="s">
        <v>0</v>
      </c>
      <c r="S373" s="11" t="s">
        <v>0</v>
      </c>
      <c r="T373" s="11" t="s">
        <v>1307</v>
      </c>
      <c r="U373" s="11" t="s">
        <v>1888</v>
      </c>
      <c r="V373" s="11" t="s">
        <v>0</v>
      </c>
      <c r="W373" s="11" t="s">
        <v>0</v>
      </c>
      <c r="X373" s="11" t="s">
        <v>0</v>
      </c>
      <c r="Y373" s="11" t="s">
        <v>0</v>
      </c>
      <c r="Z373" s="11" t="s">
        <v>1986</v>
      </c>
      <c r="AA373" s="11" t="s">
        <v>1986</v>
      </c>
      <c r="AB373" s="11" t="s">
        <v>2003</v>
      </c>
      <c r="AC373" s="11" t="s">
        <v>67</v>
      </c>
      <c r="AD373" s="11" t="s">
        <v>0</v>
      </c>
      <c r="AE373" s="11" t="s">
        <v>13</v>
      </c>
    </row>
    <row r="374">
      <c r="B374" s="24" t="s">
        <v>1</v>
      </c>
      <c r="C374" s="12" t="s">
        <v>380</v>
      </c>
      <c r="D374" s="11" t="s">
        <v>933</v>
      </c>
      <c r="E374" s="11" t="s">
        <v>1224</v>
      </c>
      <c r="F374" s="12" t="s">
        <v>1</v>
      </c>
      <c r="G374" s="12" t="s">
        <v>0</v>
      </c>
      <c r="H374" s="12" t="s">
        <v>0</v>
      </c>
      <c r="I374" s="12" t="s">
        <v>1309</v>
      </c>
      <c r="J374" s="12" t="s">
        <v>1315</v>
      </c>
      <c r="K374" s="12" t="s">
        <v>1326</v>
      </c>
      <c r="L374" s="12" t="s">
        <v>1303</v>
      </c>
      <c r="M374" s="12" t="s">
        <v>0</v>
      </c>
      <c r="N374" s="13" t="s">
        <v>0</v>
      </c>
      <c r="O374" s="11" t="s">
        <v>0</v>
      </c>
      <c r="P374" s="11" t="s">
        <v>0</v>
      </c>
      <c r="Q374" s="11" t="s">
        <v>0</v>
      </c>
      <c r="R374" s="11" t="s">
        <v>0</v>
      </c>
      <c r="S374" s="11" t="s">
        <v>0</v>
      </c>
      <c r="T374" s="11" t="s">
        <v>1307</v>
      </c>
      <c r="U374" s="11" t="s">
        <v>1888</v>
      </c>
      <c r="V374" s="11" t="s">
        <v>0</v>
      </c>
      <c r="W374" s="11" t="s">
        <v>0</v>
      </c>
      <c r="X374" s="11" t="s">
        <v>0</v>
      </c>
      <c r="Y374" s="11" t="s">
        <v>0</v>
      </c>
      <c r="Z374" s="11" t="s">
        <v>1987</v>
      </c>
      <c r="AA374" s="11" t="s">
        <v>1987</v>
      </c>
      <c r="AB374" s="11" t="s">
        <v>2003</v>
      </c>
      <c r="AC374" s="11" t="s">
        <v>51</v>
      </c>
      <c r="AD374" s="11" t="s">
        <v>0</v>
      </c>
      <c r="AE374" s="11" t="s">
        <v>13</v>
      </c>
    </row>
    <row r="375">
      <c r="B375" s="24" t="s">
        <v>4</v>
      </c>
      <c r="C375" s="12" t="s">
        <v>381</v>
      </c>
      <c r="D375" s="11" t="s">
        <v>934</v>
      </c>
      <c r="E375" s="11" t="s">
        <v>1161</v>
      </c>
      <c r="F375" s="12" t="s">
        <v>4</v>
      </c>
      <c r="G375" s="12" t="s">
        <v>0</v>
      </c>
      <c r="H375" s="12" t="s">
        <v>0</v>
      </c>
      <c r="I375" s="12" t="s">
        <v>1310</v>
      </c>
      <c r="J375" s="12" t="s">
        <v>1320</v>
      </c>
      <c r="K375" s="12" t="s">
        <v>1332</v>
      </c>
      <c r="L375" s="12" t="s">
        <v>1303</v>
      </c>
      <c r="M375" s="12" t="s">
        <v>0</v>
      </c>
      <c r="N375" s="13" t="s">
        <v>1657</v>
      </c>
      <c r="O375" s="11" t="s">
        <v>0</v>
      </c>
      <c r="P375" s="11" t="s">
        <v>0</v>
      </c>
      <c r="Q375" s="11" t="s">
        <v>1306</v>
      </c>
      <c r="R375" s="11" t="s">
        <v>1882</v>
      </c>
      <c r="S375" s="11" t="s">
        <v>1306</v>
      </c>
      <c r="T375" s="11" t="s">
        <v>1307</v>
      </c>
      <c r="U375" s="11" t="s">
        <v>1888</v>
      </c>
      <c r="V375" s="11" t="s">
        <v>1917</v>
      </c>
      <c r="W375" s="11" t="s">
        <v>0</v>
      </c>
      <c r="X375" s="11" t="s">
        <v>0</v>
      </c>
      <c r="Y375" s="11" t="s">
        <v>0</v>
      </c>
      <c r="Z375" s="11" t="s">
        <v>1988</v>
      </c>
      <c r="AA375" s="11" t="s">
        <v>1988</v>
      </c>
      <c r="AB375" s="11" t="s">
        <v>2003</v>
      </c>
      <c r="AC375" s="11" t="s">
        <v>52</v>
      </c>
      <c r="AD375" s="11" t="s">
        <v>2083</v>
      </c>
      <c r="AE375" s="11" t="s">
        <v>13</v>
      </c>
    </row>
    <row r="376">
      <c r="B376" s="24" t="s">
        <v>8</v>
      </c>
      <c r="C376" s="12" t="s">
        <v>382</v>
      </c>
      <c r="D376" s="11" t="s">
        <v>935</v>
      </c>
      <c r="E376" s="11" t="s">
        <v>1162</v>
      </c>
      <c r="F376" s="12" t="s">
        <v>8</v>
      </c>
      <c r="G376" s="12" t="s">
        <v>1302</v>
      </c>
      <c r="H376" s="12" t="s">
        <v>1302</v>
      </c>
      <c r="I376" s="12" t="s">
        <v>1310</v>
      </c>
      <c r="J376" s="12" t="s">
        <v>1162</v>
      </c>
      <c r="K376" s="12" t="s">
        <v>1332</v>
      </c>
      <c r="L376" s="12" t="s">
        <v>1303</v>
      </c>
      <c r="M376" s="12" t="s">
        <v>0</v>
      </c>
      <c r="N376" s="13" t="s">
        <v>0</v>
      </c>
      <c r="O376" s="11" t="s">
        <v>0</v>
      </c>
      <c r="P376" s="11" t="s">
        <v>0</v>
      </c>
      <c r="Q376" s="11" t="s">
        <v>0</v>
      </c>
      <c r="R376" s="11" t="s">
        <v>0</v>
      </c>
      <c r="S376" s="11" t="s">
        <v>0</v>
      </c>
      <c r="T376" s="11" t="s">
        <v>1307</v>
      </c>
      <c r="U376" s="11" t="s">
        <v>1888</v>
      </c>
      <c r="V376" s="11" t="s">
        <v>0</v>
      </c>
      <c r="W376" s="11" t="s">
        <v>0</v>
      </c>
      <c r="X376" s="11" t="s">
        <v>0</v>
      </c>
      <c r="Y376" s="11" t="s">
        <v>0</v>
      </c>
      <c r="Z376" s="11" t="s">
        <v>1989</v>
      </c>
      <c r="AA376" s="11" t="s">
        <v>1989</v>
      </c>
      <c r="AB376" s="11" t="s">
        <v>2003</v>
      </c>
      <c r="AC376" s="11" t="s">
        <v>56</v>
      </c>
      <c r="AD376" s="11" t="s">
        <v>0</v>
      </c>
      <c r="AE376" s="11" t="s">
        <v>13</v>
      </c>
    </row>
    <row r="377">
      <c r="B377" s="24" t="s">
        <v>2</v>
      </c>
      <c r="C377" s="12" t="s">
        <v>383</v>
      </c>
      <c r="D377" s="11" t="s">
        <v>936</v>
      </c>
      <c r="E377" s="11" t="s">
        <v>1162</v>
      </c>
      <c r="F377" s="12" t="s">
        <v>2</v>
      </c>
      <c r="G377" s="12" t="s">
        <v>1302</v>
      </c>
      <c r="H377" s="12" t="s">
        <v>1302</v>
      </c>
      <c r="I377" s="12" t="s">
        <v>1310</v>
      </c>
      <c r="J377" s="12" t="s">
        <v>1162</v>
      </c>
      <c r="K377" s="12" t="s">
        <v>1332</v>
      </c>
      <c r="L377" s="12" t="s">
        <v>1303</v>
      </c>
      <c r="M377" s="12" t="s">
        <v>0</v>
      </c>
      <c r="N377" s="13" t="s">
        <v>0</v>
      </c>
      <c r="O377" s="11" t="s">
        <v>0</v>
      </c>
      <c r="P377" s="11" t="s">
        <v>0</v>
      </c>
      <c r="Q377" s="11" t="s">
        <v>0</v>
      </c>
      <c r="R377" s="11" t="s">
        <v>0</v>
      </c>
      <c r="S377" s="11" t="s">
        <v>0</v>
      </c>
      <c r="T377" s="11" t="s">
        <v>1307</v>
      </c>
      <c r="U377" s="11" t="s">
        <v>1888</v>
      </c>
      <c r="V377" s="11" t="s">
        <v>0</v>
      </c>
      <c r="W377" s="11" t="s">
        <v>0</v>
      </c>
      <c r="X377" s="11" t="s">
        <v>0</v>
      </c>
      <c r="Y377" s="11" t="s">
        <v>0</v>
      </c>
      <c r="Z377" s="11" t="s">
        <v>1978</v>
      </c>
      <c r="AA377" s="11" t="s">
        <v>1978</v>
      </c>
      <c r="AB377" s="11" t="s">
        <v>2003</v>
      </c>
      <c r="AC377" s="11" t="s">
        <v>51</v>
      </c>
      <c r="AD377" s="11" t="s">
        <v>0</v>
      </c>
      <c r="AE377" s="11" t="s">
        <v>13</v>
      </c>
    </row>
    <row r="378">
      <c r="B378" s="24" t="s">
        <v>8</v>
      </c>
      <c r="C378" s="12" t="s">
        <v>384</v>
      </c>
      <c r="D378" s="11" t="s">
        <v>937</v>
      </c>
      <c r="E378" s="11" t="s">
        <v>1162</v>
      </c>
      <c r="F378" s="12" t="s">
        <v>8</v>
      </c>
      <c r="G378" s="12" t="s">
        <v>1302</v>
      </c>
      <c r="H378" s="12" t="s">
        <v>1302</v>
      </c>
      <c r="I378" s="12" t="s">
        <v>1310</v>
      </c>
      <c r="J378" s="12" t="s">
        <v>1162</v>
      </c>
      <c r="K378" s="12" t="s">
        <v>1332</v>
      </c>
      <c r="L378" s="12" t="s">
        <v>1303</v>
      </c>
      <c r="M378" s="12" t="s">
        <v>0</v>
      </c>
      <c r="N378" s="13" t="s">
        <v>0</v>
      </c>
      <c r="O378" s="11" t="s">
        <v>0</v>
      </c>
      <c r="P378" s="11" t="s">
        <v>0</v>
      </c>
      <c r="Q378" s="11" t="s">
        <v>0</v>
      </c>
      <c r="R378" s="11" t="s">
        <v>0</v>
      </c>
      <c r="S378" s="11" t="s">
        <v>0</v>
      </c>
      <c r="T378" s="11" t="s">
        <v>1307</v>
      </c>
      <c r="U378" s="11" t="s">
        <v>1888</v>
      </c>
      <c r="V378" s="11" t="s">
        <v>0</v>
      </c>
      <c r="W378" s="11" t="s">
        <v>0</v>
      </c>
      <c r="X378" s="11" t="s">
        <v>0</v>
      </c>
      <c r="Y378" s="11" t="s">
        <v>0</v>
      </c>
      <c r="Z378" s="11" t="s">
        <v>1990</v>
      </c>
      <c r="AA378" s="11" t="s">
        <v>1990</v>
      </c>
      <c r="AB378" s="11" t="s">
        <v>2003</v>
      </c>
      <c r="AC378" s="11" t="s">
        <v>96</v>
      </c>
      <c r="AD378" s="11" t="s">
        <v>0</v>
      </c>
      <c r="AE378" s="11" t="s">
        <v>13</v>
      </c>
    </row>
    <row r="379">
      <c r="B379" s="24" t="s">
        <v>2</v>
      </c>
      <c r="C379" s="12" t="s">
        <v>385</v>
      </c>
      <c r="D379" s="11" t="s">
        <v>938</v>
      </c>
      <c r="E379" s="11" t="s">
        <v>1219</v>
      </c>
      <c r="F379" s="12" t="s">
        <v>2</v>
      </c>
      <c r="G379" s="12" t="s">
        <v>1302</v>
      </c>
      <c r="H379" s="12" t="s">
        <v>1302</v>
      </c>
      <c r="I379" s="12" t="s">
        <v>1312</v>
      </c>
      <c r="J379" s="12" t="s">
        <v>1317</v>
      </c>
      <c r="K379" s="12" t="s">
        <v>1331</v>
      </c>
      <c r="L379" s="12" t="s">
        <v>1303</v>
      </c>
      <c r="M379" s="12" t="s">
        <v>0</v>
      </c>
      <c r="N379" s="13" t="s">
        <v>0</v>
      </c>
      <c r="O379" s="11" t="s">
        <v>0</v>
      </c>
      <c r="P379" s="11" t="s">
        <v>0</v>
      </c>
      <c r="Q379" s="11" t="s">
        <v>0</v>
      </c>
      <c r="R379" s="11" t="s">
        <v>0</v>
      </c>
      <c r="S379" s="11" t="s">
        <v>0</v>
      </c>
      <c r="T379" s="11" t="s">
        <v>1307</v>
      </c>
      <c r="U379" s="11" t="s">
        <v>1888</v>
      </c>
      <c r="V379" s="11" t="s">
        <v>0</v>
      </c>
      <c r="W379" s="11" t="s">
        <v>0</v>
      </c>
      <c r="X379" s="11" t="s">
        <v>0</v>
      </c>
      <c r="Y379" s="11" t="s">
        <v>0</v>
      </c>
      <c r="Z379" s="11" t="s">
        <v>1991</v>
      </c>
      <c r="AA379" s="11" t="s">
        <v>1991</v>
      </c>
      <c r="AB379" s="11" t="s">
        <v>2003</v>
      </c>
      <c r="AC379" s="11" t="s">
        <v>60</v>
      </c>
      <c r="AD379" s="11" t="s">
        <v>0</v>
      </c>
      <c r="AE379" s="11" t="s">
        <v>13</v>
      </c>
    </row>
    <row r="380">
      <c r="B380" s="24" t="s">
        <v>4</v>
      </c>
      <c r="C380" s="12" t="s">
        <v>386</v>
      </c>
      <c r="D380" s="11" t="s">
        <v>939</v>
      </c>
      <c r="E380" s="11" t="s">
        <v>1162</v>
      </c>
      <c r="F380" s="12" t="s">
        <v>4</v>
      </c>
      <c r="G380" s="12" t="s">
        <v>1302</v>
      </c>
      <c r="H380" s="12" t="s">
        <v>1302</v>
      </c>
      <c r="I380" s="12" t="s">
        <v>1310</v>
      </c>
      <c r="J380" s="12" t="s">
        <v>1162</v>
      </c>
      <c r="K380" s="12" t="s">
        <v>1332</v>
      </c>
      <c r="L380" s="12" t="s">
        <v>1303</v>
      </c>
      <c r="M380" s="12" t="s">
        <v>0</v>
      </c>
      <c r="N380" s="13" t="s">
        <v>0</v>
      </c>
      <c r="O380" s="11" t="s">
        <v>0</v>
      </c>
      <c r="P380" s="11" t="s">
        <v>0</v>
      </c>
      <c r="Q380" s="11" t="s">
        <v>0</v>
      </c>
      <c r="R380" s="11" t="s">
        <v>0</v>
      </c>
      <c r="S380" s="11" t="s">
        <v>0</v>
      </c>
      <c r="T380" s="11" t="s">
        <v>1307</v>
      </c>
      <c r="U380" s="11" t="s">
        <v>1888</v>
      </c>
      <c r="V380" s="11" t="s">
        <v>0</v>
      </c>
      <c r="W380" s="11" t="s">
        <v>0</v>
      </c>
      <c r="X380" s="11" t="s">
        <v>0</v>
      </c>
      <c r="Y380" s="11" t="s">
        <v>0</v>
      </c>
      <c r="Z380" s="11" t="s">
        <v>1992</v>
      </c>
      <c r="AA380" s="11" t="s">
        <v>1992</v>
      </c>
      <c r="AB380" s="11" t="s">
        <v>2003</v>
      </c>
      <c r="AC380" s="11" t="s">
        <v>45</v>
      </c>
      <c r="AD380" s="11" t="s">
        <v>0</v>
      </c>
      <c r="AE380" s="11" t="s">
        <v>13</v>
      </c>
    </row>
    <row r="381">
      <c r="B381" s="24" t="s">
        <v>2</v>
      </c>
      <c r="C381" s="12" t="s">
        <v>387</v>
      </c>
      <c r="D381" s="11" t="s">
        <v>940</v>
      </c>
      <c r="E381" s="11" t="s">
        <v>1225</v>
      </c>
      <c r="F381" s="12" t="s">
        <v>2</v>
      </c>
      <c r="G381" s="12" t="s">
        <v>1302</v>
      </c>
      <c r="H381" s="12" t="s">
        <v>1302</v>
      </c>
      <c r="I381" s="12" t="s">
        <v>1310</v>
      </c>
      <c r="J381" s="12" t="s">
        <v>1316</v>
      </c>
      <c r="K381" s="12" t="s">
        <v>1262</v>
      </c>
      <c r="L381" s="12" t="s">
        <v>1303</v>
      </c>
      <c r="M381" s="12" t="s">
        <v>0</v>
      </c>
      <c r="N381" s="13" t="s">
        <v>0</v>
      </c>
      <c r="O381" s="11" t="s">
        <v>0</v>
      </c>
      <c r="P381" s="11" t="s">
        <v>0</v>
      </c>
      <c r="Q381" s="11" t="s">
        <v>0</v>
      </c>
      <c r="R381" s="11" t="s">
        <v>0</v>
      </c>
      <c r="S381" s="11" t="s">
        <v>0</v>
      </c>
      <c r="T381" s="11" t="s">
        <v>1307</v>
      </c>
      <c r="U381" s="11" t="s">
        <v>1888</v>
      </c>
      <c r="V381" s="11" t="s">
        <v>0</v>
      </c>
      <c r="W381" s="11" t="s">
        <v>0</v>
      </c>
      <c r="X381" s="11" t="s">
        <v>0</v>
      </c>
      <c r="Y381" s="11" t="s">
        <v>0</v>
      </c>
      <c r="Z381" s="11" t="s">
        <v>1993</v>
      </c>
      <c r="AA381" s="11" t="s">
        <v>1993</v>
      </c>
      <c r="AB381" s="11" t="s">
        <v>2003</v>
      </c>
      <c r="AC381" s="11" t="s">
        <v>49</v>
      </c>
      <c r="AD381" s="11" t="s">
        <v>2084</v>
      </c>
      <c r="AE381" s="11" t="s">
        <v>13</v>
      </c>
    </row>
    <row r="382">
      <c r="B382" s="24" t="s">
        <v>6</v>
      </c>
      <c r="C382" s="12" t="s">
        <v>388</v>
      </c>
      <c r="D382" s="11" t="s">
        <v>941</v>
      </c>
      <c r="E382" s="11" t="s">
        <v>1226</v>
      </c>
      <c r="F382" s="12" t="s">
        <v>6</v>
      </c>
      <c r="G382" s="12" t="s">
        <v>1302</v>
      </c>
      <c r="H382" s="12" t="s">
        <v>1302</v>
      </c>
      <c r="I382" s="12" t="s">
        <v>1311</v>
      </c>
      <c r="J382" s="12" t="s">
        <v>1322</v>
      </c>
      <c r="K382" s="12" t="s">
        <v>1326</v>
      </c>
      <c r="L382" s="12" t="s">
        <v>1303</v>
      </c>
      <c r="M382" s="12" t="s">
        <v>0</v>
      </c>
      <c r="N382" s="13" t="s">
        <v>1658</v>
      </c>
      <c r="O382" s="11" t="s">
        <v>0</v>
      </c>
      <c r="P382" s="11" t="s">
        <v>0</v>
      </c>
      <c r="Q382" s="11" t="s">
        <v>0</v>
      </c>
      <c r="R382" s="11" t="s">
        <v>0</v>
      </c>
      <c r="S382" s="11" t="s">
        <v>0</v>
      </c>
      <c r="T382" s="11" t="s">
        <v>0</v>
      </c>
      <c r="U382" s="11" t="s">
        <v>0</v>
      </c>
      <c r="V382" s="11" t="s">
        <v>0</v>
      </c>
      <c r="W382" s="11" t="s">
        <v>0</v>
      </c>
      <c r="X382" s="11" t="s">
        <v>0</v>
      </c>
      <c r="Y382" s="11" t="s">
        <v>0</v>
      </c>
      <c r="Z382" s="11" t="s">
        <v>0</v>
      </c>
      <c r="AA382" s="11" t="s">
        <v>0</v>
      </c>
      <c r="AB382" s="11" t="s">
        <v>0</v>
      </c>
      <c r="AC382" s="11" t="s">
        <v>0</v>
      </c>
      <c r="AD382" s="11" t="s">
        <v>0</v>
      </c>
      <c r="AE382" s="11" t="s">
        <v>2090</v>
      </c>
    </row>
    <row r="383">
      <c r="B383" s="24" t="s">
        <v>6</v>
      </c>
      <c r="C383" s="12" t="s">
        <v>389</v>
      </c>
      <c r="D383" s="11" t="s">
        <v>942</v>
      </c>
      <c r="E383" s="11" t="s">
        <v>1226</v>
      </c>
      <c r="F383" s="12" t="s">
        <v>6</v>
      </c>
      <c r="G383" s="12" t="s">
        <v>1302</v>
      </c>
      <c r="H383" s="12" t="s">
        <v>1302</v>
      </c>
      <c r="I383" s="12" t="s">
        <v>1311</v>
      </c>
      <c r="J383" s="12" t="s">
        <v>1322</v>
      </c>
      <c r="K383" s="12" t="s">
        <v>1326</v>
      </c>
      <c r="L383" s="12" t="s">
        <v>1303</v>
      </c>
      <c r="M383" s="12" t="s">
        <v>0</v>
      </c>
      <c r="N383" s="13" t="s">
        <v>1659</v>
      </c>
      <c r="O383" s="11" t="s">
        <v>0</v>
      </c>
      <c r="P383" s="11" t="s">
        <v>0</v>
      </c>
      <c r="Q383" s="11" t="s">
        <v>0</v>
      </c>
      <c r="R383" s="11" t="s">
        <v>0</v>
      </c>
      <c r="S383" s="11" t="s">
        <v>0</v>
      </c>
      <c r="T383" s="11" t="s">
        <v>0</v>
      </c>
      <c r="U383" s="11" t="s">
        <v>0</v>
      </c>
      <c r="V383" s="11" t="s">
        <v>0</v>
      </c>
      <c r="W383" s="11" t="s">
        <v>0</v>
      </c>
      <c r="X383" s="11" t="s">
        <v>0</v>
      </c>
      <c r="Y383" s="11" t="s">
        <v>0</v>
      </c>
      <c r="Z383" s="11" t="s">
        <v>0</v>
      </c>
      <c r="AA383" s="11" t="s">
        <v>0</v>
      </c>
      <c r="AB383" s="11" t="s">
        <v>0</v>
      </c>
      <c r="AC383" s="11" t="s">
        <v>0</v>
      </c>
      <c r="AD383" s="11" t="s">
        <v>0</v>
      </c>
      <c r="AE383" s="11" t="s">
        <v>2090</v>
      </c>
    </row>
    <row r="384">
      <c r="B384" s="24" t="s">
        <v>3</v>
      </c>
      <c r="C384" s="12" t="s">
        <v>390</v>
      </c>
      <c r="D384" s="11" t="s">
        <v>943</v>
      </c>
      <c r="E384" s="11" t="s">
        <v>1227</v>
      </c>
      <c r="F384" s="12" t="s">
        <v>3</v>
      </c>
      <c r="G384" s="12" t="s">
        <v>1302</v>
      </c>
      <c r="H384" s="12" t="s">
        <v>1302</v>
      </c>
      <c r="I384" s="12" t="s">
        <v>1311</v>
      </c>
      <c r="J384" s="12" t="s">
        <v>1322</v>
      </c>
      <c r="K384" s="12" t="s">
        <v>1326</v>
      </c>
      <c r="L384" s="12" t="s">
        <v>1303</v>
      </c>
      <c r="M384" s="12" t="s">
        <v>0</v>
      </c>
      <c r="N384" s="13" t="s">
        <v>1660</v>
      </c>
      <c r="O384" s="11" t="s">
        <v>0</v>
      </c>
      <c r="P384" s="11" t="s">
        <v>0</v>
      </c>
      <c r="Q384" s="11" t="s">
        <v>0</v>
      </c>
      <c r="R384" s="11" t="s">
        <v>0</v>
      </c>
      <c r="S384" s="11" t="s">
        <v>0</v>
      </c>
      <c r="T384" s="11" t="s">
        <v>0</v>
      </c>
      <c r="U384" s="11" t="s">
        <v>0</v>
      </c>
      <c r="V384" s="11" t="s">
        <v>0</v>
      </c>
      <c r="W384" s="11" t="s">
        <v>0</v>
      </c>
      <c r="X384" s="11" t="s">
        <v>0</v>
      </c>
      <c r="Y384" s="11" t="s">
        <v>0</v>
      </c>
      <c r="Z384" s="11" t="s">
        <v>0</v>
      </c>
      <c r="AA384" s="11" t="s">
        <v>0</v>
      </c>
      <c r="AB384" s="11" t="s">
        <v>0</v>
      </c>
      <c r="AC384" s="11" t="s">
        <v>0</v>
      </c>
      <c r="AD384" s="11" t="s">
        <v>0</v>
      </c>
      <c r="AE384" s="11" t="s">
        <v>2090</v>
      </c>
    </row>
    <row r="385">
      <c r="B385" s="24" t="s">
        <v>5</v>
      </c>
      <c r="C385" s="12" t="s">
        <v>391</v>
      </c>
      <c r="D385" s="11" t="s">
        <v>944</v>
      </c>
      <c r="E385" s="11" t="s">
        <v>1228</v>
      </c>
      <c r="F385" s="12" t="s">
        <v>5</v>
      </c>
      <c r="G385" s="12" t="s">
        <v>1302</v>
      </c>
      <c r="H385" s="12" t="s">
        <v>1302</v>
      </c>
      <c r="I385" s="12" t="s">
        <v>1311</v>
      </c>
      <c r="J385" s="12" t="s">
        <v>1322</v>
      </c>
      <c r="K385" s="12" t="s">
        <v>1326</v>
      </c>
      <c r="L385" s="12" t="s">
        <v>1303</v>
      </c>
      <c r="M385" s="12" t="s">
        <v>0</v>
      </c>
      <c r="N385" s="13" t="s">
        <v>1661</v>
      </c>
      <c r="O385" s="11" t="s">
        <v>0</v>
      </c>
      <c r="P385" s="11" t="s">
        <v>0</v>
      </c>
      <c r="Q385" s="11" t="s">
        <v>0</v>
      </c>
      <c r="R385" s="11" t="s">
        <v>0</v>
      </c>
      <c r="S385" s="11" t="s">
        <v>0</v>
      </c>
      <c r="T385" s="11" t="s">
        <v>0</v>
      </c>
      <c r="U385" s="11" t="s">
        <v>0</v>
      </c>
      <c r="V385" s="11" t="s">
        <v>0</v>
      </c>
      <c r="W385" s="11" t="s">
        <v>0</v>
      </c>
      <c r="X385" s="11" t="s">
        <v>0</v>
      </c>
      <c r="Y385" s="11" t="s">
        <v>0</v>
      </c>
      <c r="Z385" s="11" t="s">
        <v>0</v>
      </c>
      <c r="AA385" s="11" t="s">
        <v>0</v>
      </c>
      <c r="AB385" s="11" t="s">
        <v>0</v>
      </c>
      <c r="AC385" s="11" t="s">
        <v>0</v>
      </c>
      <c r="AD385" s="11" t="s">
        <v>0</v>
      </c>
      <c r="AE385" s="11" t="s">
        <v>2090</v>
      </c>
    </row>
    <row r="386">
      <c r="B386" s="24" t="s">
        <v>1</v>
      </c>
      <c r="C386" s="12" t="s">
        <v>392</v>
      </c>
      <c r="D386" s="11" t="s">
        <v>945</v>
      </c>
      <c r="E386" s="11" t="s">
        <v>1229</v>
      </c>
      <c r="F386" s="12" t="s">
        <v>1273</v>
      </c>
      <c r="G386" s="12" t="s">
        <v>1302</v>
      </c>
      <c r="H386" s="12" t="s">
        <v>1302</v>
      </c>
      <c r="I386" s="12" t="s">
        <v>1311</v>
      </c>
      <c r="J386" s="12" t="s">
        <v>1322</v>
      </c>
      <c r="K386" s="12" t="s">
        <v>1326</v>
      </c>
      <c r="L386" s="12" t="s">
        <v>1303</v>
      </c>
      <c r="M386" s="12" t="s">
        <v>0</v>
      </c>
      <c r="N386" s="13" t="s">
        <v>1662</v>
      </c>
      <c r="O386" s="11" t="s">
        <v>0</v>
      </c>
      <c r="P386" s="11" t="s">
        <v>0</v>
      </c>
      <c r="Q386" s="11" t="s">
        <v>0</v>
      </c>
      <c r="R386" s="11" t="s">
        <v>0</v>
      </c>
      <c r="S386" s="11" t="s">
        <v>0</v>
      </c>
      <c r="T386" s="11" t="s">
        <v>0</v>
      </c>
      <c r="U386" s="11" t="s">
        <v>0</v>
      </c>
      <c r="V386" s="11" t="s">
        <v>0</v>
      </c>
      <c r="W386" s="11" t="s">
        <v>0</v>
      </c>
      <c r="X386" s="11" t="s">
        <v>0</v>
      </c>
      <c r="Y386" s="11" t="s">
        <v>0</v>
      </c>
      <c r="Z386" s="11" t="s">
        <v>0</v>
      </c>
      <c r="AA386" s="11" t="s">
        <v>0</v>
      </c>
      <c r="AB386" s="11" t="s">
        <v>0</v>
      </c>
      <c r="AC386" s="11" t="s">
        <v>0</v>
      </c>
      <c r="AD386" s="11" t="s">
        <v>0</v>
      </c>
      <c r="AE386" s="11" t="s">
        <v>2090</v>
      </c>
    </row>
    <row r="387">
      <c r="B387" s="24" t="s">
        <v>8</v>
      </c>
      <c r="C387" s="12" t="s">
        <v>393</v>
      </c>
      <c r="D387" s="11" t="s">
        <v>946</v>
      </c>
      <c r="E387" s="11" t="s">
        <v>1230</v>
      </c>
      <c r="F387" s="12" t="s">
        <v>8</v>
      </c>
      <c r="G387" s="12" t="s">
        <v>1302</v>
      </c>
      <c r="H387" s="12" t="s">
        <v>1302</v>
      </c>
      <c r="I387" s="12" t="s">
        <v>1311</v>
      </c>
      <c r="J387" s="12" t="s">
        <v>1322</v>
      </c>
      <c r="K387" s="12" t="s">
        <v>1326</v>
      </c>
      <c r="L387" s="12" t="s">
        <v>1303</v>
      </c>
      <c r="M387" s="12" t="s">
        <v>0</v>
      </c>
      <c r="N387" s="13" t="s">
        <v>1663</v>
      </c>
      <c r="O387" s="11" t="s">
        <v>0</v>
      </c>
      <c r="P387" s="11" t="s">
        <v>0</v>
      </c>
      <c r="Q387" s="11" t="s">
        <v>0</v>
      </c>
      <c r="R387" s="11" t="s">
        <v>0</v>
      </c>
      <c r="S387" s="11" t="s">
        <v>0</v>
      </c>
      <c r="T387" s="11" t="s">
        <v>0</v>
      </c>
      <c r="U387" s="11" t="s">
        <v>0</v>
      </c>
      <c r="V387" s="11" t="s">
        <v>1918</v>
      </c>
      <c r="W387" s="11" t="s">
        <v>0</v>
      </c>
      <c r="X387" s="11" t="s">
        <v>0</v>
      </c>
      <c r="Y387" s="11" t="s">
        <v>0</v>
      </c>
      <c r="Z387" s="11" t="s">
        <v>0</v>
      </c>
      <c r="AA387" s="11" t="s">
        <v>0</v>
      </c>
      <c r="AB387" s="11" t="s">
        <v>0</v>
      </c>
      <c r="AC387" s="11" t="s">
        <v>0</v>
      </c>
      <c r="AD387" s="11" t="s">
        <v>0</v>
      </c>
      <c r="AE387" s="11" t="s">
        <v>2090</v>
      </c>
    </row>
    <row r="388">
      <c r="B388" s="24" t="s">
        <v>8</v>
      </c>
      <c r="C388" s="12" t="s">
        <v>394</v>
      </c>
      <c r="D388" s="11" t="s">
        <v>947</v>
      </c>
      <c r="E388" s="11" t="s">
        <v>1230</v>
      </c>
      <c r="F388" s="12" t="s">
        <v>8</v>
      </c>
      <c r="G388" s="12" t="s">
        <v>1302</v>
      </c>
      <c r="H388" s="12" t="s">
        <v>1302</v>
      </c>
      <c r="I388" s="12" t="s">
        <v>1311</v>
      </c>
      <c r="J388" s="12" t="s">
        <v>1322</v>
      </c>
      <c r="K388" s="12" t="s">
        <v>1326</v>
      </c>
      <c r="L388" s="12" t="s">
        <v>1303</v>
      </c>
      <c r="M388" s="12" t="s">
        <v>0</v>
      </c>
      <c r="N388" s="13" t="s">
        <v>1664</v>
      </c>
      <c r="O388" s="11" t="s">
        <v>0</v>
      </c>
      <c r="P388" s="11" t="s">
        <v>0</v>
      </c>
      <c r="Q388" s="11" t="s">
        <v>0</v>
      </c>
      <c r="R388" s="11" t="s">
        <v>0</v>
      </c>
      <c r="S388" s="11" t="s">
        <v>0</v>
      </c>
      <c r="T388" s="11" t="s">
        <v>0</v>
      </c>
      <c r="U388" s="11" t="s">
        <v>0</v>
      </c>
      <c r="V388" s="11" t="s">
        <v>0</v>
      </c>
      <c r="W388" s="11" t="s">
        <v>0</v>
      </c>
      <c r="X388" s="11" t="s">
        <v>0</v>
      </c>
      <c r="Y388" s="11" t="s">
        <v>0</v>
      </c>
      <c r="Z388" s="11" t="s">
        <v>0</v>
      </c>
      <c r="AA388" s="11" t="s">
        <v>0</v>
      </c>
      <c r="AB388" s="11" t="s">
        <v>0</v>
      </c>
      <c r="AC388" s="11" t="s">
        <v>0</v>
      </c>
      <c r="AD388" s="11" t="s">
        <v>0</v>
      </c>
      <c r="AE388" s="11" t="s">
        <v>2090</v>
      </c>
    </row>
    <row r="389">
      <c r="B389" s="24" t="s">
        <v>6</v>
      </c>
      <c r="C389" s="12" t="s">
        <v>395</v>
      </c>
      <c r="D389" s="11" t="s">
        <v>948</v>
      </c>
      <c r="E389" s="11" t="s">
        <v>1231</v>
      </c>
      <c r="F389" s="12" t="s">
        <v>6</v>
      </c>
      <c r="G389" s="12" t="s">
        <v>1302</v>
      </c>
      <c r="H389" s="12" t="s">
        <v>1302</v>
      </c>
      <c r="I389" s="12" t="s">
        <v>1310</v>
      </c>
      <c r="J389" s="12" t="s">
        <v>1163</v>
      </c>
      <c r="K389" s="12" t="s">
        <v>1332</v>
      </c>
      <c r="L389" s="12" t="s">
        <v>1303</v>
      </c>
      <c r="M389" s="12" t="s">
        <v>0</v>
      </c>
      <c r="N389" s="13" t="s">
        <v>1665</v>
      </c>
      <c r="O389" s="11" t="s">
        <v>0</v>
      </c>
      <c r="P389" s="11" t="s">
        <v>0</v>
      </c>
      <c r="Q389" s="11" t="s">
        <v>0</v>
      </c>
      <c r="R389" s="11" t="s">
        <v>0</v>
      </c>
      <c r="S389" s="11" t="s">
        <v>0</v>
      </c>
      <c r="T389" s="11" t="s">
        <v>0</v>
      </c>
      <c r="U389" s="11" t="s">
        <v>1888</v>
      </c>
      <c r="V389" s="11" t="s">
        <v>1919</v>
      </c>
      <c r="W389" s="11" t="s">
        <v>0</v>
      </c>
      <c r="X389" s="11" t="s">
        <v>0</v>
      </c>
      <c r="Y389" s="11" t="s">
        <v>0</v>
      </c>
      <c r="Z389" s="11" t="s">
        <v>1994</v>
      </c>
      <c r="AA389" s="11" t="s">
        <v>1994</v>
      </c>
      <c r="AB389" s="11" t="s">
        <v>2003</v>
      </c>
      <c r="AC389" s="11" t="s">
        <v>0</v>
      </c>
      <c r="AD389" s="11" t="s">
        <v>0</v>
      </c>
      <c r="AE389" s="11" t="s">
        <v>13</v>
      </c>
    </row>
    <row r="390">
      <c r="B390" s="24" t="s">
        <v>6</v>
      </c>
      <c r="C390" s="12" t="s">
        <v>396</v>
      </c>
      <c r="D390" s="11" t="s">
        <v>949</v>
      </c>
      <c r="E390" s="11" t="s">
        <v>1232</v>
      </c>
      <c r="F390" s="12" t="s">
        <v>6</v>
      </c>
      <c r="G390" s="12" t="s">
        <v>1302</v>
      </c>
      <c r="H390" s="12" t="s">
        <v>1302</v>
      </c>
      <c r="I390" s="12" t="s">
        <v>1311</v>
      </c>
      <c r="J390" s="12" t="s">
        <v>1322</v>
      </c>
      <c r="K390" s="12" t="s">
        <v>1326</v>
      </c>
      <c r="L390" s="12" t="s">
        <v>1303</v>
      </c>
      <c r="M390" s="12" t="s">
        <v>0</v>
      </c>
      <c r="N390" s="13" t="s">
        <v>1666</v>
      </c>
      <c r="O390" s="11" t="s">
        <v>0</v>
      </c>
      <c r="P390" s="11" t="s">
        <v>0</v>
      </c>
      <c r="Q390" s="11" t="s">
        <v>0</v>
      </c>
      <c r="R390" s="11" t="s">
        <v>0</v>
      </c>
      <c r="S390" s="11" t="s">
        <v>0</v>
      </c>
      <c r="T390" s="11" t="s">
        <v>1307</v>
      </c>
      <c r="U390" s="11" t="s">
        <v>1888</v>
      </c>
      <c r="V390" s="11" t="s">
        <v>1918</v>
      </c>
      <c r="W390" s="11" t="s">
        <v>0</v>
      </c>
      <c r="X390" s="11" t="s">
        <v>0</v>
      </c>
      <c r="Y390" s="11" t="s">
        <v>0</v>
      </c>
      <c r="Z390" s="11" t="s">
        <v>1946</v>
      </c>
      <c r="AA390" s="11" t="s">
        <v>1946</v>
      </c>
      <c r="AB390" s="11" t="s">
        <v>2003</v>
      </c>
      <c r="AC390" s="11" t="s">
        <v>44</v>
      </c>
      <c r="AD390" s="11" t="s">
        <v>0</v>
      </c>
      <c r="AE390" s="11" t="s">
        <v>13</v>
      </c>
    </row>
    <row r="391">
      <c r="B391" s="24" t="s">
        <v>2</v>
      </c>
      <c r="C391" s="12" t="s">
        <v>397</v>
      </c>
      <c r="D391" s="11" t="s">
        <v>950</v>
      </c>
      <c r="E391" s="11" t="s">
        <v>1233</v>
      </c>
      <c r="F391" s="12" t="s">
        <v>2</v>
      </c>
      <c r="G391" s="12" t="s">
        <v>1302</v>
      </c>
      <c r="H391" s="12" t="s">
        <v>1302</v>
      </c>
      <c r="I391" s="12" t="s">
        <v>1311</v>
      </c>
      <c r="J391" s="12" t="s">
        <v>1322</v>
      </c>
      <c r="K391" s="12" t="s">
        <v>1326</v>
      </c>
      <c r="L391" s="12" t="s">
        <v>1303</v>
      </c>
      <c r="M391" s="12" t="s">
        <v>0</v>
      </c>
      <c r="N391" s="13" t="s">
        <v>1667</v>
      </c>
      <c r="O391" s="11" t="s">
        <v>0</v>
      </c>
      <c r="P391" s="11" t="s">
        <v>0</v>
      </c>
      <c r="Q391" s="11" t="s">
        <v>0</v>
      </c>
      <c r="R391" s="11" t="s">
        <v>0</v>
      </c>
      <c r="S391" s="11" t="s">
        <v>0</v>
      </c>
      <c r="T391" s="11" t="s">
        <v>0</v>
      </c>
      <c r="U391" s="11" t="s">
        <v>0</v>
      </c>
      <c r="V391" s="11" t="s">
        <v>0</v>
      </c>
      <c r="W391" s="11" t="s">
        <v>0</v>
      </c>
      <c r="X391" s="11" t="s">
        <v>0</v>
      </c>
      <c r="Y391" s="11" t="s">
        <v>0</v>
      </c>
      <c r="Z391" s="11" t="s">
        <v>0</v>
      </c>
      <c r="AA391" s="11" t="s">
        <v>0</v>
      </c>
      <c r="AB391" s="11" t="s">
        <v>0</v>
      </c>
      <c r="AC391" s="11" t="s">
        <v>0</v>
      </c>
      <c r="AD391" s="11" t="s">
        <v>0</v>
      </c>
      <c r="AE391" s="11" t="s">
        <v>2090</v>
      </c>
    </row>
    <row r="392">
      <c r="B392" s="24" t="s">
        <v>2</v>
      </c>
      <c r="C392" s="12" t="s">
        <v>398</v>
      </c>
      <c r="D392" s="11" t="s">
        <v>951</v>
      </c>
      <c r="E392" s="11" t="s">
        <v>1233</v>
      </c>
      <c r="F392" s="12" t="s">
        <v>2</v>
      </c>
      <c r="G392" s="12" t="s">
        <v>1302</v>
      </c>
      <c r="H392" s="12" t="s">
        <v>1302</v>
      </c>
      <c r="I392" s="12" t="s">
        <v>1311</v>
      </c>
      <c r="J392" s="12" t="s">
        <v>1322</v>
      </c>
      <c r="K392" s="12" t="s">
        <v>1326</v>
      </c>
      <c r="L392" s="12" t="s">
        <v>1303</v>
      </c>
      <c r="M392" s="12" t="s">
        <v>0</v>
      </c>
      <c r="N392" s="13" t="s">
        <v>1668</v>
      </c>
      <c r="O392" s="11" t="s">
        <v>0</v>
      </c>
      <c r="P392" s="11" t="s">
        <v>0</v>
      </c>
      <c r="Q392" s="11" t="s">
        <v>0</v>
      </c>
      <c r="R392" s="11" t="s">
        <v>0</v>
      </c>
      <c r="S392" s="11" t="s">
        <v>0</v>
      </c>
      <c r="T392" s="11" t="s">
        <v>0</v>
      </c>
      <c r="U392" s="11" t="s">
        <v>0</v>
      </c>
      <c r="V392" s="11" t="s">
        <v>0</v>
      </c>
      <c r="W392" s="11" t="s">
        <v>0</v>
      </c>
      <c r="X392" s="11" t="s">
        <v>0</v>
      </c>
      <c r="Y392" s="11" t="s">
        <v>0</v>
      </c>
      <c r="Z392" s="11" t="s">
        <v>0</v>
      </c>
      <c r="AA392" s="11" t="s">
        <v>0</v>
      </c>
      <c r="AB392" s="11" t="s">
        <v>0</v>
      </c>
      <c r="AC392" s="11" t="s">
        <v>0</v>
      </c>
      <c r="AD392" s="11" t="s">
        <v>0</v>
      </c>
      <c r="AE392" s="11" t="s">
        <v>2090</v>
      </c>
    </row>
    <row r="393">
      <c r="B393" s="24" t="s">
        <v>7</v>
      </c>
      <c r="C393" s="12" t="s">
        <v>399</v>
      </c>
      <c r="D393" s="11" t="s">
        <v>952</v>
      </c>
      <c r="E393" s="11" t="s">
        <v>1234</v>
      </c>
      <c r="F393" s="12" t="s">
        <v>7</v>
      </c>
      <c r="G393" s="12" t="s">
        <v>1302</v>
      </c>
      <c r="H393" s="12" t="s">
        <v>1302</v>
      </c>
      <c r="I393" s="12" t="s">
        <v>1311</v>
      </c>
      <c r="J393" s="12" t="s">
        <v>1322</v>
      </c>
      <c r="K393" s="12" t="s">
        <v>1326</v>
      </c>
      <c r="L393" s="12" t="s">
        <v>1303</v>
      </c>
      <c r="M393" s="12" t="s">
        <v>0</v>
      </c>
      <c r="N393" s="13" t="s">
        <v>1669</v>
      </c>
      <c r="O393" s="11" t="s">
        <v>0</v>
      </c>
      <c r="P393" s="11" t="s">
        <v>0</v>
      </c>
      <c r="Q393" s="11" t="s">
        <v>0</v>
      </c>
      <c r="R393" s="11" t="s">
        <v>0</v>
      </c>
      <c r="S393" s="11" t="s">
        <v>0</v>
      </c>
      <c r="T393" s="11" t="s">
        <v>0</v>
      </c>
      <c r="U393" s="11" t="s">
        <v>0</v>
      </c>
      <c r="V393" s="11" t="s">
        <v>1918</v>
      </c>
      <c r="W393" s="11" t="s">
        <v>0</v>
      </c>
      <c r="X393" s="11" t="s">
        <v>0</v>
      </c>
      <c r="Y393" s="11" t="s">
        <v>0</v>
      </c>
      <c r="Z393" s="11" t="s">
        <v>0</v>
      </c>
      <c r="AA393" s="11" t="s">
        <v>0</v>
      </c>
      <c r="AB393" s="11" t="s">
        <v>0</v>
      </c>
      <c r="AC393" s="11" t="s">
        <v>0</v>
      </c>
      <c r="AD393" s="11" t="s">
        <v>0</v>
      </c>
      <c r="AE393" s="11" t="s">
        <v>2090</v>
      </c>
    </row>
    <row r="394">
      <c r="B394" s="24" t="s">
        <v>7</v>
      </c>
      <c r="C394" s="12" t="s">
        <v>400</v>
      </c>
      <c r="D394" s="11" t="s">
        <v>953</v>
      </c>
      <c r="E394" s="11" t="s">
        <v>1162</v>
      </c>
      <c r="F394" s="12" t="s">
        <v>7</v>
      </c>
      <c r="G394" s="12" t="s">
        <v>1302</v>
      </c>
      <c r="H394" s="12" t="s">
        <v>1302</v>
      </c>
      <c r="I394" s="12" t="s">
        <v>1311</v>
      </c>
      <c r="J394" s="12" t="s">
        <v>1322</v>
      </c>
      <c r="K394" s="12" t="s">
        <v>1326</v>
      </c>
      <c r="L394" s="12" t="s">
        <v>1303</v>
      </c>
      <c r="M394" s="12" t="s">
        <v>0</v>
      </c>
      <c r="N394" s="13" t="s">
        <v>1670</v>
      </c>
      <c r="O394" s="11" t="s">
        <v>0</v>
      </c>
      <c r="P394" s="11" t="s">
        <v>0</v>
      </c>
      <c r="Q394" s="11" t="s">
        <v>0</v>
      </c>
      <c r="R394" s="11" t="s">
        <v>0</v>
      </c>
      <c r="S394" s="11" t="s">
        <v>0</v>
      </c>
      <c r="T394" s="11" t="s">
        <v>0</v>
      </c>
      <c r="U394" s="11" t="s">
        <v>0</v>
      </c>
      <c r="V394" s="11" t="s">
        <v>0</v>
      </c>
      <c r="W394" s="11" t="s">
        <v>0</v>
      </c>
      <c r="X394" s="11" t="s">
        <v>0</v>
      </c>
      <c r="Y394" s="11" t="s">
        <v>0</v>
      </c>
      <c r="Z394" s="11" t="s">
        <v>0</v>
      </c>
      <c r="AA394" s="11" t="s">
        <v>0</v>
      </c>
      <c r="AB394" s="11" t="s">
        <v>0</v>
      </c>
      <c r="AC394" s="11" t="s">
        <v>0</v>
      </c>
      <c r="AD394" s="11" t="s">
        <v>0</v>
      </c>
      <c r="AE394" s="11" t="s">
        <v>2090</v>
      </c>
    </row>
    <row r="395">
      <c r="B395" s="24" t="s">
        <v>4</v>
      </c>
      <c r="C395" s="12" t="s">
        <v>401</v>
      </c>
      <c r="D395" s="11" t="s">
        <v>954</v>
      </c>
      <c r="E395" s="11" t="s">
        <v>1235</v>
      </c>
      <c r="F395" s="12" t="s">
        <v>4</v>
      </c>
      <c r="G395" s="12" t="s">
        <v>1302</v>
      </c>
      <c r="H395" s="12" t="s">
        <v>1302</v>
      </c>
      <c r="I395" s="12" t="s">
        <v>1311</v>
      </c>
      <c r="J395" s="12" t="s">
        <v>1322</v>
      </c>
      <c r="K395" s="12" t="s">
        <v>1326</v>
      </c>
      <c r="L395" s="12" t="s">
        <v>1303</v>
      </c>
      <c r="M395" s="12" t="s">
        <v>0</v>
      </c>
      <c r="N395" s="13" t="s">
        <v>1671</v>
      </c>
      <c r="O395" s="11" t="s">
        <v>0</v>
      </c>
      <c r="P395" s="11" t="s">
        <v>0</v>
      </c>
      <c r="Q395" s="11" t="s">
        <v>0</v>
      </c>
      <c r="R395" s="11" t="s">
        <v>0</v>
      </c>
      <c r="S395" s="11" t="s">
        <v>0</v>
      </c>
      <c r="T395" s="11" t="s">
        <v>0</v>
      </c>
      <c r="U395" s="11" t="s">
        <v>0</v>
      </c>
      <c r="V395" s="11" t="s">
        <v>0</v>
      </c>
      <c r="W395" s="11" t="s">
        <v>0</v>
      </c>
      <c r="X395" s="11" t="s">
        <v>0</v>
      </c>
      <c r="Y395" s="11" t="s">
        <v>0</v>
      </c>
      <c r="Z395" s="11" t="s">
        <v>0</v>
      </c>
      <c r="AA395" s="11" t="s">
        <v>0</v>
      </c>
      <c r="AB395" s="11" t="s">
        <v>0</v>
      </c>
      <c r="AC395" s="11" t="s">
        <v>0</v>
      </c>
      <c r="AD395" s="11" t="s">
        <v>0</v>
      </c>
      <c r="AE395" s="11" t="s">
        <v>2090</v>
      </c>
    </row>
    <row r="396">
      <c r="B396" s="24" t="s">
        <v>9</v>
      </c>
      <c r="C396" s="12" t="s">
        <v>402</v>
      </c>
      <c r="D396" s="11" t="s">
        <v>955</v>
      </c>
      <c r="E396" s="11" t="s">
        <v>1236</v>
      </c>
      <c r="F396" s="12" t="s">
        <v>9</v>
      </c>
      <c r="G396" s="12" t="s">
        <v>1302</v>
      </c>
      <c r="H396" s="12" t="s">
        <v>1302</v>
      </c>
      <c r="I396" s="12" t="s">
        <v>1311</v>
      </c>
      <c r="J396" s="12" t="s">
        <v>1322</v>
      </c>
      <c r="K396" s="12" t="s">
        <v>1326</v>
      </c>
      <c r="L396" s="12" t="s">
        <v>1303</v>
      </c>
      <c r="M396" s="12" t="s">
        <v>0</v>
      </c>
      <c r="N396" s="13" t="s">
        <v>1672</v>
      </c>
      <c r="O396" s="11" t="s">
        <v>0</v>
      </c>
      <c r="P396" s="11" t="s">
        <v>0</v>
      </c>
      <c r="Q396" s="11" t="s">
        <v>0</v>
      </c>
      <c r="R396" s="11" t="s">
        <v>0</v>
      </c>
      <c r="S396" s="11" t="s">
        <v>0</v>
      </c>
      <c r="T396" s="11" t="s">
        <v>0</v>
      </c>
      <c r="U396" s="11" t="s">
        <v>0</v>
      </c>
      <c r="V396" s="11" t="s">
        <v>0</v>
      </c>
      <c r="W396" s="11" t="s">
        <v>0</v>
      </c>
      <c r="X396" s="11" t="s">
        <v>0</v>
      </c>
      <c r="Y396" s="11" t="s">
        <v>0</v>
      </c>
      <c r="Z396" s="11" t="s">
        <v>0</v>
      </c>
      <c r="AA396" s="11" t="s">
        <v>0</v>
      </c>
      <c r="AB396" s="11" t="s">
        <v>0</v>
      </c>
      <c r="AC396" s="11" t="s">
        <v>0</v>
      </c>
      <c r="AD396" s="11" t="s">
        <v>0</v>
      </c>
      <c r="AE396" s="11" t="s">
        <v>2090</v>
      </c>
    </row>
    <row r="397">
      <c r="B397" s="24" t="s">
        <v>3</v>
      </c>
      <c r="C397" s="12" t="s">
        <v>403</v>
      </c>
      <c r="D397" s="11" t="s">
        <v>956</v>
      </c>
      <c r="E397" s="11" t="s">
        <v>1237</v>
      </c>
      <c r="F397" s="12" t="s">
        <v>3</v>
      </c>
      <c r="G397" s="12" t="s">
        <v>1302</v>
      </c>
      <c r="H397" s="12" t="s">
        <v>1302</v>
      </c>
      <c r="I397" s="12" t="s">
        <v>1313</v>
      </c>
      <c r="J397" s="12" t="s">
        <v>1323</v>
      </c>
      <c r="K397" s="12" t="s">
        <v>1326</v>
      </c>
      <c r="L397" s="12" t="s">
        <v>1303</v>
      </c>
      <c r="M397" s="12" t="s">
        <v>0</v>
      </c>
      <c r="N397" s="13" t="s">
        <v>1673</v>
      </c>
      <c r="O397" s="11" t="s">
        <v>0</v>
      </c>
      <c r="P397" s="11" t="s">
        <v>0</v>
      </c>
      <c r="Q397" s="11" t="s">
        <v>1306</v>
      </c>
      <c r="R397" s="11" t="s">
        <v>1883</v>
      </c>
      <c r="S397" s="11" t="s">
        <v>0</v>
      </c>
      <c r="T397" s="11" t="s">
        <v>1307</v>
      </c>
      <c r="U397" s="11" t="s">
        <v>1888</v>
      </c>
      <c r="V397" s="11" t="s">
        <v>1920</v>
      </c>
      <c r="W397" s="11" t="s">
        <v>0</v>
      </c>
      <c r="X397" s="11" t="s">
        <v>0</v>
      </c>
      <c r="Y397" s="11" t="s">
        <v>1943</v>
      </c>
      <c r="Z397" s="11" t="s">
        <v>1995</v>
      </c>
      <c r="AA397" s="11" t="s">
        <v>1995</v>
      </c>
      <c r="AB397" s="11" t="s">
        <v>2003</v>
      </c>
      <c r="AC397" s="11" t="s">
        <v>44</v>
      </c>
      <c r="AD397" s="11" t="s">
        <v>0</v>
      </c>
      <c r="AE397" s="11" t="s">
        <v>13</v>
      </c>
    </row>
    <row r="398">
      <c r="B398" s="24" t="s">
        <v>6</v>
      </c>
      <c r="C398" s="12" t="s">
        <v>404</v>
      </c>
      <c r="D398" s="11" t="s">
        <v>957</v>
      </c>
      <c r="E398" s="11" t="s">
        <v>1238</v>
      </c>
      <c r="F398" s="12" t="s">
        <v>6</v>
      </c>
      <c r="G398" s="12" t="s">
        <v>1302</v>
      </c>
      <c r="H398" s="12" t="s">
        <v>1302</v>
      </c>
      <c r="I398" s="12" t="s">
        <v>1313</v>
      </c>
      <c r="J398" s="12" t="s">
        <v>1324</v>
      </c>
      <c r="K398" s="12" t="s">
        <v>1326</v>
      </c>
      <c r="L398" s="12" t="s">
        <v>1303</v>
      </c>
      <c r="M398" s="12" t="s">
        <v>0</v>
      </c>
      <c r="N398" s="13" t="s">
        <v>1674</v>
      </c>
      <c r="O398" s="11" t="s">
        <v>0</v>
      </c>
      <c r="P398" s="11" t="s">
        <v>0</v>
      </c>
      <c r="Q398" s="11" t="s">
        <v>1306</v>
      </c>
      <c r="R398" s="11" t="s">
        <v>1883</v>
      </c>
      <c r="S398" s="11" t="s">
        <v>0</v>
      </c>
      <c r="T398" s="11" t="s">
        <v>1307</v>
      </c>
      <c r="U398" s="11" t="s">
        <v>1888</v>
      </c>
      <c r="V398" s="11" t="s">
        <v>1920</v>
      </c>
      <c r="W398" s="11" t="s">
        <v>0</v>
      </c>
      <c r="X398" s="11" t="s">
        <v>0</v>
      </c>
      <c r="Y398" s="11" t="s">
        <v>1944</v>
      </c>
      <c r="Z398" s="11" t="s">
        <v>1996</v>
      </c>
      <c r="AA398" s="11" t="s">
        <v>1996</v>
      </c>
      <c r="AB398" s="11" t="s">
        <v>2003</v>
      </c>
      <c r="AC398" s="11" t="s">
        <v>41</v>
      </c>
      <c r="AD398" s="11" t="s">
        <v>0</v>
      </c>
      <c r="AE398" s="11" t="s">
        <v>13</v>
      </c>
    </row>
    <row r="399">
      <c r="B399" s="24" t="s">
        <v>7</v>
      </c>
      <c r="C399" s="12" t="s">
        <v>405</v>
      </c>
      <c r="D399" s="11" t="s">
        <v>958</v>
      </c>
      <c r="E399" s="11" t="s">
        <v>1200</v>
      </c>
      <c r="F399" s="12" t="s">
        <v>7</v>
      </c>
      <c r="G399" s="12" t="s">
        <v>1302</v>
      </c>
      <c r="H399" s="12" t="s">
        <v>1302</v>
      </c>
      <c r="I399" s="12" t="s">
        <v>1313</v>
      </c>
      <c r="J399" s="12" t="s">
        <v>1324</v>
      </c>
      <c r="K399" s="12" t="s">
        <v>1326</v>
      </c>
      <c r="L399" s="12" t="s">
        <v>1303</v>
      </c>
      <c r="M399" s="12" t="s">
        <v>0</v>
      </c>
      <c r="N399" s="13" t="s">
        <v>1675</v>
      </c>
      <c r="O399" s="11" t="s">
        <v>0</v>
      </c>
      <c r="P399" s="11" t="s">
        <v>0</v>
      </c>
      <c r="Q399" s="11" t="s">
        <v>1306</v>
      </c>
      <c r="R399" s="11" t="s">
        <v>1883</v>
      </c>
      <c r="S399" s="11" t="s">
        <v>0</v>
      </c>
      <c r="T399" s="11" t="s">
        <v>1307</v>
      </c>
      <c r="U399" s="11" t="s">
        <v>1888</v>
      </c>
      <c r="V399" s="11" t="s">
        <v>1920</v>
      </c>
      <c r="W399" s="11" t="s">
        <v>0</v>
      </c>
      <c r="X399" s="11" t="s">
        <v>0</v>
      </c>
      <c r="Y399" s="11" t="s">
        <v>1945</v>
      </c>
      <c r="Z399" s="11" t="s">
        <v>1945</v>
      </c>
      <c r="AA399" s="11" t="s">
        <v>1945</v>
      </c>
      <c r="AB399" s="11" t="s">
        <v>2003</v>
      </c>
      <c r="AC399" s="11" t="s">
        <v>48</v>
      </c>
      <c r="AD399" s="11" t="s">
        <v>2085</v>
      </c>
      <c r="AE399" s="11" t="s">
        <v>13</v>
      </c>
    </row>
    <row r="400">
      <c r="B400" s="24" t="s">
        <v>5</v>
      </c>
      <c r="C400" s="12" t="s">
        <v>406</v>
      </c>
      <c r="D400" s="11" t="s">
        <v>959</v>
      </c>
      <c r="E400" s="11" t="s">
        <v>1179</v>
      </c>
      <c r="F400" s="12" t="s">
        <v>5</v>
      </c>
      <c r="G400" s="12" t="s">
        <v>1302</v>
      </c>
      <c r="H400" s="12" t="s">
        <v>1302</v>
      </c>
      <c r="I400" s="12" t="s">
        <v>1313</v>
      </c>
      <c r="J400" s="12" t="s">
        <v>1323</v>
      </c>
      <c r="K400" s="12" t="s">
        <v>1326</v>
      </c>
      <c r="L400" s="12" t="s">
        <v>1303</v>
      </c>
      <c r="M400" s="12" t="s">
        <v>0</v>
      </c>
      <c r="N400" s="13" t="s">
        <v>1676</v>
      </c>
      <c r="O400" s="11" t="s">
        <v>0</v>
      </c>
      <c r="P400" s="11" t="s">
        <v>0</v>
      </c>
      <c r="Q400" s="11" t="s">
        <v>1306</v>
      </c>
      <c r="R400" s="11" t="s">
        <v>1883</v>
      </c>
      <c r="S400" s="11" t="s">
        <v>0</v>
      </c>
      <c r="T400" s="11" t="s">
        <v>1307</v>
      </c>
      <c r="U400" s="11" t="s">
        <v>1888</v>
      </c>
      <c r="V400" s="11" t="s">
        <v>1920</v>
      </c>
      <c r="W400" s="11" t="s">
        <v>0</v>
      </c>
      <c r="X400" s="11" t="s">
        <v>0</v>
      </c>
      <c r="Y400" s="11" t="s">
        <v>1946</v>
      </c>
      <c r="Z400" s="11" t="s">
        <v>1946</v>
      </c>
      <c r="AA400" s="11" t="s">
        <v>1946</v>
      </c>
      <c r="AB400" s="11" t="s">
        <v>2003</v>
      </c>
      <c r="AC400" s="11" t="s">
        <v>49</v>
      </c>
      <c r="AD400" s="11" t="s">
        <v>0</v>
      </c>
      <c r="AE400" s="11" t="s">
        <v>13</v>
      </c>
    </row>
    <row r="401">
      <c r="B401" s="24" t="s">
        <v>5</v>
      </c>
      <c r="C401" s="12" t="s">
        <v>407</v>
      </c>
      <c r="D401" s="11" t="s">
        <v>960</v>
      </c>
      <c r="E401" s="11" t="s">
        <v>1239</v>
      </c>
      <c r="F401" s="12" t="s">
        <v>5</v>
      </c>
      <c r="G401" s="12" t="s">
        <v>1302</v>
      </c>
      <c r="H401" s="12" t="s">
        <v>1302</v>
      </c>
      <c r="I401" s="12" t="s">
        <v>1313</v>
      </c>
      <c r="J401" s="12" t="s">
        <v>1324</v>
      </c>
      <c r="K401" s="12" t="s">
        <v>1326</v>
      </c>
      <c r="L401" s="12" t="s">
        <v>1303</v>
      </c>
      <c r="M401" s="12" t="s">
        <v>0</v>
      </c>
      <c r="N401" s="13" t="s">
        <v>1677</v>
      </c>
      <c r="O401" s="11" t="s">
        <v>0</v>
      </c>
      <c r="P401" s="11" t="s">
        <v>0</v>
      </c>
      <c r="Q401" s="11" t="s">
        <v>1306</v>
      </c>
      <c r="R401" s="11" t="s">
        <v>1883</v>
      </c>
      <c r="S401" s="11" t="s">
        <v>0</v>
      </c>
      <c r="T401" s="11" t="s">
        <v>1307</v>
      </c>
      <c r="U401" s="11" t="s">
        <v>1890</v>
      </c>
      <c r="V401" s="11" t="s">
        <v>1920</v>
      </c>
      <c r="W401" s="11" t="s">
        <v>0</v>
      </c>
      <c r="X401" s="11" t="s">
        <v>0</v>
      </c>
      <c r="Y401" s="11" t="s">
        <v>0</v>
      </c>
      <c r="Z401" s="11" t="s">
        <v>0</v>
      </c>
      <c r="AA401" s="11" t="s">
        <v>0</v>
      </c>
      <c r="AB401" s="11" t="s">
        <v>0</v>
      </c>
      <c r="AC401" s="11" t="s">
        <v>0</v>
      </c>
      <c r="AD401" s="11" t="s">
        <v>0</v>
      </c>
      <c r="AE401" s="11" t="s">
        <v>13</v>
      </c>
    </row>
    <row r="402">
      <c r="B402" s="24" t="s">
        <v>4</v>
      </c>
      <c r="C402" s="12" t="s">
        <v>408</v>
      </c>
      <c r="D402" s="11" t="s">
        <v>961</v>
      </c>
      <c r="E402" s="11" t="s">
        <v>1240</v>
      </c>
      <c r="F402" s="12" t="s">
        <v>4</v>
      </c>
      <c r="G402" s="12" t="s">
        <v>1302</v>
      </c>
      <c r="H402" s="12" t="s">
        <v>1302</v>
      </c>
      <c r="I402" s="12" t="s">
        <v>1313</v>
      </c>
      <c r="J402" s="12" t="s">
        <v>1323</v>
      </c>
      <c r="K402" s="12" t="s">
        <v>1326</v>
      </c>
      <c r="L402" s="12" t="s">
        <v>1303</v>
      </c>
      <c r="M402" s="12" t="s">
        <v>0</v>
      </c>
      <c r="N402" s="13" t="s">
        <v>1678</v>
      </c>
      <c r="O402" s="11" t="s">
        <v>0</v>
      </c>
      <c r="P402" s="11" t="s">
        <v>0</v>
      </c>
      <c r="Q402" s="11" t="s">
        <v>1306</v>
      </c>
      <c r="R402" s="11" t="s">
        <v>1883</v>
      </c>
      <c r="S402" s="11" t="s">
        <v>0</v>
      </c>
      <c r="T402" s="11" t="s">
        <v>1307</v>
      </c>
      <c r="U402" s="11" t="s">
        <v>1888</v>
      </c>
      <c r="V402" s="11" t="s">
        <v>1920</v>
      </c>
      <c r="W402" s="11" t="s">
        <v>0</v>
      </c>
      <c r="X402" s="11" t="s">
        <v>0</v>
      </c>
      <c r="Y402" s="11" t="s">
        <v>1947</v>
      </c>
      <c r="Z402" s="11" t="s">
        <v>1947</v>
      </c>
      <c r="AA402" s="11" t="s">
        <v>1947</v>
      </c>
      <c r="AB402" s="11" t="s">
        <v>2003</v>
      </c>
      <c r="AC402" s="11" t="s">
        <v>60</v>
      </c>
      <c r="AD402" s="11" t="s">
        <v>0</v>
      </c>
      <c r="AE402" s="11" t="s">
        <v>13</v>
      </c>
    </row>
    <row r="403">
      <c r="B403" s="24" t="s">
        <v>2</v>
      </c>
      <c r="C403" s="12" t="s">
        <v>409</v>
      </c>
      <c r="D403" s="11" t="s">
        <v>962</v>
      </c>
      <c r="E403" s="11" t="s">
        <v>1241</v>
      </c>
      <c r="F403" s="12" t="s">
        <v>2</v>
      </c>
      <c r="G403" s="12" t="s">
        <v>1302</v>
      </c>
      <c r="H403" s="12" t="s">
        <v>1302</v>
      </c>
      <c r="I403" s="12" t="s">
        <v>1313</v>
      </c>
      <c r="J403" s="12" t="s">
        <v>1323</v>
      </c>
      <c r="K403" s="12" t="s">
        <v>1326</v>
      </c>
      <c r="L403" s="12" t="s">
        <v>1303</v>
      </c>
      <c r="M403" s="12" t="s">
        <v>0</v>
      </c>
      <c r="N403" s="13" t="s">
        <v>1679</v>
      </c>
      <c r="O403" s="11" t="s">
        <v>0</v>
      </c>
      <c r="P403" s="11" t="s">
        <v>0</v>
      </c>
      <c r="Q403" s="11" t="s">
        <v>1306</v>
      </c>
      <c r="R403" s="11" t="s">
        <v>1883</v>
      </c>
      <c r="S403" s="11" t="s">
        <v>0</v>
      </c>
      <c r="T403" s="11" t="s">
        <v>1307</v>
      </c>
      <c r="U403" s="11" t="s">
        <v>1888</v>
      </c>
      <c r="V403" s="11" t="s">
        <v>1920</v>
      </c>
      <c r="W403" s="11" t="s">
        <v>0</v>
      </c>
      <c r="X403" s="11" t="s">
        <v>0</v>
      </c>
      <c r="Y403" s="11" t="s">
        <v>1948</v>
      </c>
      <c r="Z403" s="11" t="s">
        <v>1948</v>
      </c>
      <c r="AA403" s="11" t="s">
        <v>1948</v>
      </c>
      <c r="AB403" s="11" t="s">
        <v>2003</v>
      </c>
      <c r="AC403" s="11" t="s">
        <v>52</v>
      </c>
      <c r="AD403" s="11" t="s">
        <v>2086</v>
      </c>
      <c r="AE403" s="11" t="s">
        <v>13</v>
      </c>
    </row>
    <row r="404">
      <c r="B404" s="24" t="s">
        <v>2</v>
      </c>
      <c r="C404" s="12" t="s">
        <v>410</v>
      </c>
      <c r="D404" s="11" t="s">
        <v>963</v>
      </c>
      <c r="E404" s="11" t="s">
        <v>0</v>
      </c>
      <c r="F404" s="12" t="s">
        <v>2</v>
      </c>
      <c r="G404" s="12" t="s">
        <v>1302</v>
      </c>
      <c r="H404" s="12" t="s">
        <v>1302</v>
      </c>
      <c r="I404" s="12" t="s">
        <v>1313</v>
      </c>
      <c r="J404" s="12" t="s">
        <v>0</v>
      </c>
      <c r="K404" s="12" t="s">
        <v>1326</v>
      </c>
      <c r="L404" s="12" t="s">
        <v>1303</v>
      </c>
      <c r="M404" s="12" t="s">
        <v>0</v>
      </c>
      <c r="N404" s="13" t="s">
        <v>1680</v>
      </c>
      <c r="O404" s="11" t="s">
        <v>0</v>
      </c>
      <c r="P404" s="11" t="s">
        <v>0</v>
      </c>
      <c r="Q404" s="11" t="s">
        <v>1306</v>
      </c>
      <c r="R404" s="11" t="s">
        <v>1883</v>
      </c>
      <c r="S404" s="11" t="s">
        <v>0</v>
      </c>
      <c r="T404" s="11" t="s">
        <v>1307</v>
      </c>
      <c r="U404" s="11" t="s">
        <v>1892</v>
      </c>
      <c r="V404" s="11" t="s">
        <v>1920</v>
      </c>
      <c r="W404" s="11" t="s">
        <v>0</v>
      </c>
      <c r="X404" s="11" t="s">
        <v>0</v>
      </c>
      <c r="Y404" s="11" t="s">
        <v>0</v>
      </c>
      <c r="Z404" s="11" t="s">
        <v>0</v>
      </c>
      <c r="AA404" s="11" t="s">
        <v>0</v>
      </c>
      <c r="AB404" s="11" t="s">
        <v>0</v>
      </c>
      <c r="AC404" s="11" t="s">
        <v>0</v>
      </c>
      <c r="AD404" s="11" t="s">
        <v>0</v>
      </c>
      <c r="AE404" s="11" t="s">
        <v>13</v>
      </c>
    </row>
    <row r="405">
      <c r="B405" s="24" t="s">
        <v>0</v>
      </c>
      <c r="C405" s="12" t="s">
        <v>411</v>
      </c>
      <c r="D405" s="11" t="s">
        <v>964</v>
      </c>
      <c r="E405" s="11" t="s">
        <v>1160</v>
      </c>
      <c r="F405" s="12" t="s">
        <v>4</v>
      </c>
      <c r="G405" s="12" t="s">
        <v>1302</v>
      </c>
      <c r="H405" s="12" t="s">
        <v>1302</v>
      </c>
      <c r="I405" s="12" t="s">
        <v>1311</v>
      </c>
      <c r="J405" s="12" t="s">
        <v>1319</v>
      </c>
      <c r="K405" s="12" t="s">
        <v>1326</v>
      </c>
      <c r="L405" s="12" t="s">
        <v>1303</v>
      </c>
      <c r="M405" s="12" t="s">
        <v>0</v>
      </c>
      <c r="N405" s="13" t="s">
        <v>1681</v>
      </c>
      <c r="O405" s="11" t="s">
        <v>1326</v>
      </c>
      <c r="P405" s="11" t="s">
        <v>0</v>
      </c>
      <c r="Q405" s="11" t="s">
        <v>1306</v>
      </c>
      <c r="R405" s="11" t="s">
        <v>1882</v>
      </c>
      <c r="S405" s="11" t="s">
        <v>1306</v>
      </c>
      <c r="T405" s="11" t="s">
        <v>1307</v>
      </c>
      <c r="U405" s="11" t="s">
        <v>1893</v>
      </c>
      <c r="V405" s="11" t="s">
        <v>1921</v>
      </c>
      <c r="W405" s="11" t="s">
        <v>1920</v>
      </c>
      <c r="X405" s="11" t="s">
        <v>0</v>
      </c>
      <c r="Y405" s="11" t="s">
        <v>1949</v>
      </c>
      <c r="Z405" s="11" t="s">
        <v>0</v>
      </c>
      <c r="AA405" s="11" t="s">
        <v>0</v>
      </c>
      <c r="AB405" s="11" t="s">
        <v>2003</v>
      </c>
      <c r="AC405" s="11" t="s">
        <v>0</v>
      </c>
      <c r="AD405" s="11" t="s">
        <v>2087</v>
      </c>
      <c r="AE405" s="11" t="s">
        <v>13</v>
      </c>
    </row>
    <row r="406">
      <c r="B406" s="24" t="s">
        <v>5</v>
      </c>
      <c r="C406" s="12" t="s">
        <v>412</v>
      </c>
      <c r="D406" s="11" t="s">
        <v>965</v>
      </c>
      <c r="E406" s="11" t="s">
        <v>1242</v>
      </c>
      <c r="F406" s="12" t="s">
        <v>5</v>
      </c>
      <c r="G406" s="12" t="s">
        <v>1302</v>
      </c>
      <c r="H406" s="12" t="s">
        <v>1302</v>
      </c>
      <c r="I406" s="12" t="s">
        <v>1312</v>
      </c>
      <c r="J406" s="12" t="s">
        <v>1317</v>
      </c>
      <c r="K406" s="12" t="s">
        <v>1328</v>
      </c>
      <c r="L406" s="12" t="s">
        <v>1303</v>
      </c>
      <c r="M406" s="12" t="s">
        <v>0</v>
      </c>
      <c r="N406" s="13" t="s">
        <v>1682</v>
      </c>
      <c r="O406" s="11" t="s">
        <v>0</v>
      </c>
      <c r="P406" s="11" t="s">
        <v>0</v>
      </c>
      <c r="Q406" s="11" t="s">
        <v>0</v>
      </c>
      <c r="R406" s="11" t="s">
        <v>0</v>
      </c>
      <c r="S406" s="11" t="s">
        <v>0</v>
      </c>
      <c r="T406" s="11" t="s">
        <v>1307</v>
      </c>
      <c r="U406" s="11" t="s">
        <v>1888</v>
      </c>
      <c r="V406" s="11" t="s">
        <v>0</v>
      </c>
      <c r="W406" s="11" t="s">
        <v>0</v>
      </c>
      <c r="X406" s="11" t="s">
        <v>0</v>
      </c>
      <c r="Y406" s="11" t="s">
        <v>0</v>
      </c>
      <c r="Z406" s="11" t="s">
        <v>1997</v>
      </c>
      <c r="AA406" s="11" t="s">
        <v>1997</v>
      </c>
      <c r="AB406" s="11" t="s">
        <v>2003</v>
      </c>
      <c r="AC406" s="11" t="s">
        <v>48</v>
      </c>
      <c r="AD406" s="11" t="s">
        <v>0</v>
      </c>
      <c r="AE406" s="11" t="s">
        <v>13</v>
      </c>
    </row>
    <row r="407">
      <c r="B407" s="24" t="s">
        <v>6</v>
      </c>
      <c r="C407" s="12" t="s">
        <v>413</v>
      </c>
      <c r="D407" s="11" t="s">
        <v>966</v>
      </c>
      <c r="E407" s="11" t="s">
        <v>1231</v>
      </c>
      <c r="F407" s="12" t="s">
        <v>6</v>
      </c>
      <c r="G407" s="12" t="s">
        <v>1302</v>
      </c>
      <c r="H407" s="12" t="s">
        <v>1302</v>
      </c>
      <c r="I407" s="12" t="s">
        <v>1310</v>
      </c>
      <c r="J407" s="12" t="s">
        <v>1163</v>
      </c>
      <c r="K407" s="12" t="s">
        <v>1332</v>
      </c>
      <c r="L407" s="12" t="s">
        <v>1303</v>
      </c>
      <c r="M407" s="12" t="s">
        <v>0</v>
      </c>
      <c r="N407" s="13" t="s">
        <v>1683</v>
      </c>
      <c r="O407" s="11" t="s">
        <v>0</v>
      </c>
      <c r="P407" s="11" t="s">
        <v>0</v>
      </c>
      <c r="Q407" s="11" t="s">
        <v>0</v>
      </c>
      <c r="R407" s="11" t="s">
        <v>0</v>
      </c>
      <c r="S407" s="11" t="s">
        <v>0</v>
      </c>
      <c r="T407" s="11" t="s">
        <v>0</v>
      </c>
      <c r="U407" s="11" t="s">
        <v>0</v>
      </c>
      <c r="V407" s="11" t="s">
        <v>0</v>
      </c>
      <c r="W407" s="11" t="s">
        <v>0</v>
      </c>
      <c r="X407" s="11" t="s">
        <v>0</v>
      </c>
      <c r="Y407" s="11" t="s">
        <v>0</v>
      </c>
      <c r="Z407" s="11" t="s">
        <v>0</v>
      </c>
      <c r="AA407" s="11" t="s">
        <v>0</v>
      </c>
      <c r="AB407" s="11" t="s">
        <v>0</v>
      </c>
      <c r="AC407" s="11" t="s">
        <v>0</v>
      </c>
      <c r="AD407" s="11" t="s">
        <v>0</v>
      </c>
      <c r="AE407" s="11" t="s">
        <v>2090</v>
      </c>
    </row>
    <row r="408">
      <c r="B408" s="24" t="s">
        <v>6</v>
      </c>
      <c r="C408" s="12" t="s">
        <v>414</v>
      </c>
      <c r="D408" s="11" t="s">
        <v>967</v>
      </c>
      <c r="E408" s="11" t="s">
        <v>1231</v>
      </c>
      <c r="F408" s="12" t="s">
        <v>6</v>
      </c>
      <c r="G408" s="12" t="s">
        <v>1302</v>
      </c>
      <c r="H408" s="12" t="s">
        <v>1302</v>
      </c>
      <c r="I408" s="12" t="s">
        <v>1310</v>
      </c>
      <c r="J408" s="12" t="s">
        <v>1163</v>
      </c>
      <c r="K408" s="12" t="s">
        <v>1332</v>
      </c>
      <c r="L408" s="12" t="s">
        <v>1303</v>
      </c>
      <c r="M408" s="12" t="s">
        <v>0</v>
      </c>
      <c r="N408" s="13" t="s">
        <v>1684</v>
      </c>
      <c r="O408" s="11" t="s">
        <v>0</v>
      </c>
      <c r="P408" s="11" t="s">
        <v>0</v>
      </c>
      <c r="Q408" s="11" t="s">
        <v>0</v>
      </c>
      <c r="R408" s="11" t="s">
        <v>0</v>
      </c>
      <c r="S408" s="11" t="s">
        <v>0</v>
      </c>
      <c r="T408" s="11" t="s">
        <v>0</v>
      </c>
      <c r="U408" s="11" t="s">
        <v>0</v>
      </c>
      <c r="V408" s="11" t="s">
        <v>0</v>
      </c>
      <c r="W408" s="11" t="s">
        <v>0</v>
      </c>
      <c r="X408" s="11" t="s">
        <v>0</v>
      </c>
      <c r="Y408" s="11" t="s">
        <v>0</v>
      </c>
      <c r="Z408" s="11" t="s">
        <v>0</v>
      </c>
      <c r="AA408" s="11" t="s">
        <v>0</v>
      </c>
      <c r="AB408" s="11" t="s">
        <v>0</v>
      </c>
      <c r="AC408" s="11" t="s">
        <v>0</v>
      </c>
      <c r="AD408" s="11" t="s">
        <v>0</v>
      </c>
      <c r="AE408" s="11" t="s">
        <v>2090</v>
      </c>
    </row>
    <row r="409">
      <c r="B409" s="24" t="s">
        <v>6</v>
      </c>
      <c r="C409" s="12" t="s">
        <v>415</v>
      </c>
      <c r="D409" s="11" t="s">
        <v>968</v>
      </c>
      <c r="E409" s="11" t="s">
        <v>1226</v>
      </c>
      <c r="F409" s="12" t="s">
        <v>6</v>
      </c>
      <c r="G409" s="12" t="s">
        <v>1302</v>
      </c>
      <c r="H409" s="12" t="s">
        <v>1302</v>
      </c>
      <c r="I409" s="12" t="s">
        <v>1311</v>
      </c>
      <c r="J409" s="12" t="s">
        <v>1322</v>
      </c>
      <c r="K409" s="12" t="s">
        <v>1326</v>
      </c>
      <c r="L409" s="12" t="s">
        <v>1303</v>
      </c>
      <c r="M409" s="12" t="s">
        <v>0</v>
      </c>
      <c r="N409" s="13" t="s">
        <v>1685</v>
      </c>
      <c r="O409" s="11" t="s">
        <v>0</v>
      </c>
      <c r="P409" s="11" t="s">
        <v>0</v>
      </c>
      <c r="Q409" s="11" t="s">
        <v>0</v>
      </c>
      <c r="R409" s="11" t="s">
        <v>0</v>
      </c>
      <c r="S409" s="11" t="s">
        <v>0</v>
      </c>
      <c r="T409" s="11" t="s">
        <v>0</v>
      </c>
      <c r="U409" s="11" t="s">
        <v>0</v>
      </c>
      <c r="V409" s="11" t="s">
        <v>0</v>
      </c>
      <c r="W409" s="11" t="s">
        <v>0</v>
      </c>
      <c r="X409" s="11" t="s">
        <v>0</v>
      </c>
      <c r="Y409" s="11" t="s">
        <v>0</v>
      </c>
      <c r="Z409" s="11" t="s">
        <v>0</v>
      </c>
      <c r="AA409" s="11" t="s">
        <v>0</v>
      </c>
      <c r="AB409" s="11" t="s">
        <v>0</v>
      </c>
      <c r="AC409" s="11" t="s">
        <v>0</v>
      </c>
      <c r="AD409" s="11" t="s">
        <v>0</v>
      </c>
      <c r="AE409" s="11" t="s">
        <v>2090</v>
      </c>
    </row>
    <row r="410">
      <c r="B410" s="24" t="s">
        <v>6</v>
      </c>
      <c r="C410" s="12" t="s">
        <v>416</v>
      </c>
      <c r="D410" s="11" t="s">
        <v>969</v>
      </c>
      <c r="E410" s="11" t="s">
        <v>1226</v>
      </c>
      <c r="F410" s="12" t="s">
        <v>6</v>
      </c>
      <c r="G410" s="12" t="s">
        <v>1302</v>
      </c>
      <c r="H410" s="12" t="s">
        <v>1302</v>
      </c>
      <c r="I410" s="12" t="s">
        <v>1311</v>
      </c>
      <c r="J410" s="12" t="s">
        <v>1322</v>
      </c>
      <c r="K410" s="12" t="s">
        <v>1326</v>
      </c>
      <c r="L410" s="12" t="s">
        <v>1303</v>
      </c>
      <c r="M410" s="12" t="s">
        <v>0</v>
      </c>
      <c r="N410" s="13" t="s">
        <v>1686</v>
      </c>
      <c r="O410" s="11" t="s">
        <v>0</v>
      </c>
      <c r="P410" s="11" t="s">
        <v>0</v>
      </c>
      <c r="Q410" s="11" t="s">
        <v>0</v>
      </c>
      <c r="R410" s="11" t="s">
        <v>0</v>
      </c>
      <c r="S410" s="11" t="s">
        <v>0</v>
      </c>
      <c r="T410" s="11" t="s">
        <v>0</v>
      </c>
      <c r="U410" s="11" t="s">
        <v>0</v>
      </c>
      <c r="V410" s="11" t="s">
        <v>0</v>
      </c>
      <c r="W410" s="11" t="s">
        <v>0</v>
      </c>
      <c r="X410" s="11" t="s">
        <v>0</v>
      </c>
      <c r="Y410" s="11" t="s">
        <v>0</v>
      </c>
      <c r="Z410" s="11" t="s">
        <v>0</v>
      </c>
      <c r="AA410" s="11" t="s">
        <v>0</v>
      </c>
      <c r="AB410" s="11" t="s">
        <v>0</v>
      </c>
      <c r="AC410" s="11" t="s">
        <v>0</v>
      </c>
      <c r="AD410" s="11" t="s">
        <v>0</v>
      </c>
      <c r="AE410" s="11" t="s">
        <v>2090</v>
      </c>
    </row>
    <row r="411">
      <c r="B411" s="24" t="s">
        <v>6</v>
      </c>
      <c r="C411" s="12" t="s">
        <v>417</v>
      </c>
      <c r="D411" s="11" t="s">
        <v>970</v>
      </c>
      <c r="E411" s="11" t="s">
        <v>1226</v>
      </c>
      <c r="F411" s="12" t="s">
        <v>6</v>
      </c>
      <c r="G411" s="12" t="s">
        <v>1302</v>
      </c>
      <c r="H411" s="12" t="s">
        <v>1302</v>
      </c>
      <c r="I411" s="12" t="s">
        <v>1311</v>
      </c>
      <c r="J411" s="12" t="s">
        <v>1322</v>
      </c>
      <c r="K411" s="12" t="s">
        <v>1326</v>
      </c>
      <c r="L411" s="12" t="s">
        <v>1303</v>
      </c>
      <c r="M411" s="12" t="s">
        <v>0</v>
      </c>
      <c r="N411" s="13" t="s">
        <v>1687</v>
      </c>
      <c r="O411" s="11" t="s">
        <v>0</v>
      </c>
      <c r="P411" s="11" t="s">
        <v>0</v>
      </c>
      <c r="Q411" s="11" t="s">
        <v>0</v>
      </c>
      <c r="R411" s="11" t="s">
        <v>0</v>
      </c>
      <c r="S411" s="11" t="s">
        <v>0</v>
      </c>
      <c r="T411" s="11" t="s">
        <v>0</v>
      </c>
      <c r="U411" s="11" t="s">
        <v>0</v>
      </c>
      <c r="V411" s="11" t="s">
        <v>0</v>
      </c>
      <c r="W411" s="11" t="s">
        <v>0</v>
      </c>
      <c r="X411" s="11" t="s">
        <v>0</v>
      </c>
      <c r="Y411" s="11" t="s">
        <v>0</v>
      </c>
      <c r="Z411" s="11" t="s">
        <v>0</v>
      </c>
      <c r="AA411" s="11" t="s">
        <v>0</v>
      </c>
      <c r="AB411" s="11" t="s">
        <v>0</v>
      </c>
      <c r="AC411" s="11" t="s">
        <v>0</v>
      </c>
      <c r="AD411" s="11" t="s">
        <v>0</v>
      </c>
      <c r="AE411" s="11" t="s">
        <v>2090</v>
      </c>
    </row>
    <row r="412">
      <c r="B412" s="24" t="s">
        <v>6</v>
      </c>
      <c r="C412" s="12" t="s">
        <v>418</v>
      </c>
      <c r="D412" s="11" t="s">
        <v>971</v>
      </c>
      <c r="E412" s="11" t="s">
        <v>1226</v>
      </c>
      <c r="F412" s="12" t="s">
        <v>6</v>
      </c>
      <c r="G412" s="12" t="s">
        <v>1302</v>
      </c>
      <c r="H412" s="12" t="s">
        <v>1302</v>
      </c>
      <c r="I412" s="12" t="s">
        <v>1311</v>
      </c>
      <c r="J412" s="12" t="s">
        <v>1322</v>
      </c>
      <c r="K412" s="12" t="s">
        <v>1326</v>
      </c>
      <c r="L412" s="12" t="s">
        <v>1303</v>
      </c>
      <c r="M412" s="12" t="s">
        <v>0</v>
      </c>
      <c r="N412" s="13" t="s">
        <v>1688</v>
      </c>
      <c r="O412" s="11" t="s">
        <v>0</v>
      </c>
      <c r="P412" s="11" t="s">
        <v>0</v>
      </c>
      <c r="Q412" s="11" t="s">
        <v>0</v>
      </c>
      <c r="R412" s="11" t="s">
        <v>0</v>
      </c>
      <c r="S412" s="11" t="s">
        <v>0</v>
      </c>
      <c r="T412" s="11" t="s">
        <v>0</v>
      </c>
      <c r="U412" s="11" t="s">
        <v>0</v>
      </c>
      <c r="V412" s="11" t="s">
        <v>0</v>
      </c>
      <c r="W412" s="11" t="s">
        <v>0</v>
      </c>
      <c r="X412" s="11" t="s">
        <v>0</v>
      </c>
      <c r="Y412" s="11" t="s">
        <v>0</v>
      </c>
      <c r="Z412" s="11" t="s">
        <v>0</v>
      </c>
      <c r="AA412" s="11" t="s">
        <v>0</v>
      </c>
      <c r="AB412" s="11" t="s">
        <v>0</v>
      </c>
      <c r="AC412" s="11" t="s">
        <v>0</v>
      </c>
      <c r="AD412" s="11" t="s">
        <v>0</v>
      </c>
      <c r="AE412" s="11" t="s">
        <v>2090</v>
      </c>
    </row>
    <row r="413">
      <c r="B413" s="24" t="s">
        <v>6</v>
      </c>
      <c r="C413" s="12" t="s">
        <v>419</v>
      </c>
      <c r="D413" s="11" t="s">
        <v>972</v>
      </c>
      <c r="E413" s="11" t="s">
        <v>1226</v>
      </c>
      <c r="F413" s="12" t="s">
        <v>6</v>
      </c>
      <c r="G413" s="12" t="s">
        <v>1302</v>
      </c>
      <c r="H413" s="12" t="s">
        <v>1302</v>
      </c>
      <c r="I413" s="12" t="s">
        <v>1311</v>
      </c>
      <c r="J413" s="12" t="s">
        <v>1322</v>
      </c>
      <c r="K413" s="12" t="s">
        <v>1326</v>
      </c>
      <c r="L413" s="12" t="s">
        <v>1303</v>
      </c>
      <c r="M413" s="12" t="s">
        <v>0</v>
      </c>
      <c r="N413" s="13" t="s">
        <v>1689</v>
      </c>
      <c r="O413" s="11" t="s">
        <v>0</v>
      </c>
      <c r="P413" s="11" t="s">
        <v>0</v>
      </c>
      <c r="Q413" s="11" t="s">
        <v>0</v>
      </c>
      <c r="R413" s="11" t="s">
        <v>0</v>
      </c>
      <c r="S413" s="11" t="s">
        <v>0</v>
      </c>
      <c r="T413" s="11" t="s">
        <v>0</v>
      </c>
      <c r="U413" s="11" t="s">
        <v>0</v>
      </c>
      <c r="V413" s="11" t="s">
        <v>0</v>
      </c>
      <c r="W413" s="11" t="s">
        <v>0</v>
      </c>
      <c r="X413" s="11" t="s">
        <v>0</v>
      </c>
      <c r="Y413" s="11" t="s">
        <v>0</v>
      </c>
      <c r="Z413" s="11" t="s">
        <v>0</v>
      </c>
      <c r="AA413" s="11" t="s">
        <v>0</v>
      </c>
      <c r="AB413" s="11" t="s">
        <v>0</v>
      </c>
      <c r="AC413" s="11" t="s">
        <v>0</v>
      </c>
      <c r="AD413" s="11" t="s">
        <v>0</v>
      </c>
      <c r="AE413" s="11" t="s">
        <v>2090</v>
      </c>
    </row>
    <row r="414">
      <c r="B414" s="24" t="s">
        <v>6</v>
      </c>
      <c r="C414" s="12" t="s">
        <v>420</v>
      </c>
      <c r="D414" s="11" t="s">
        <v>973</v>
      </c>
      <c r="E414" s="11" t="s">
        <v>1226</v>
      </c>
      <c r="F414" s="12" t="s">
        <v>6</v>
      </c>
      <c r="G414" s="12" t="s">
        <v>1302</v>
      </c>
      <c r="H414" s="12" t="s">
        <v>1302</v>
      </c>
      <c r="I414" s="12" t="s">
        <v>1311</v>
      </c>
      <c r="J414" s="12" t="s">
        <v>1322</v>
      </c>
      <c r="K414" s="12" t="s">
        <v>1326</v>
      </c>
      <c r="L414" s="12" t="s">
        <v>1303</v>
      </c>
      <c r="M414" s="12" t="s">
        <v>0</v>
      </c>
      <c r="N414" s="13" t="s">
        <v>1690</v>
      </c>
      <c r="O414" s="11" t="s">
        <v>0</v>
      </c>
      <c r="P414" s="11" t="s">
        <v>0</v>
      </c>
      <c r="Q414" s="11" t="s">
        <v>0</v>
      </c>
      <c r="R414" s="11" t="s">
        <v>0</v>
      </c>
      <c r="S414" s="11" t="s">
        <v>0</v>
      </c>
      <c r="T414" s="11" t="s">
        <v>0</v>
      </c>
      <c r="U414" s="11" t="s">
        <v>0</v>
      </c>
      <c r="V414" s="11" t="s">
        <v>0</v>
      </c>
      <c r="W414" s="11" t="s">
        <v>0</v>
      </c>
      <c r="X414" s="11" t="s">
        <v>0</v>
      </c>
      <c r="Y414" s="11" t="s">
        <v>0</v>
      </c>
      <c r="Z414" s="11" t="s">
        <v>0</v>
      </c>
      <c r="AA414" s="11" t="s">
        <v>0</v>
      </c>
      <c r="AB414" s="11" t="s">
        <v>0</v>
      </c>
      <c r="AC414" s="11" t="s">
        <v>0</v>
      </c>
      <c r="AD414" s="11" t="s">
        <v>0</v>
      </c>
      <c r="AE414" s="11" t="s">
        <v>2090</v>
      </c>
    </row>
    <row r="415">
      <c r="B415" s="24" t="s">
        <v>6</v>
      </c>
      <c r="C415" s="12" t="s">
        <v>421</v>
      </c>
      <c r="D415" s="11" t="s">
        <v>974</v>
      </c>
      <c r="E415" s="11" t="s">
        <v>1162</v>
      </c>
      <c r="F415" s="12" t="s">
        <v>6</v>
      </c>
      <c r="G415" s="12" t="s">
        <v>1302</v>
      </c>
      <c r="H415" s="12" t="s">
        <v>1302</v>
      </c>
      <c r="I415" s="12" t="s">
        <v>1310</v>
      </c>
      <c r="J415" s="12" t="s">
        <v>1162</v>
      </c>
      <c r="K415" s="12" t="s">
        <v>1332</v>
      </c>
      <c r="L415" s="12" t="s">
        <v>1303</v>
      </c>
      <c r="M415" s="12" t="s">
        <v>0</v>
      </c>
      <c r="N415" s="13" t="s">
        <v>1691</v>
      </c>
      <c r="O415" s="11" t="s">
        <v>0</v>
      </c>
      <c r="P415" s="11" t="s">
        <v>0</v>
      </c>
      <c r="Q415" s="11" t="s">
        <v>0</v>
      </c>
      <c r="R415" s="11" t="s">
        <v>0</v>
      </c>
      <c r="S415" s="11" t="s">
        <v>0</v>
      </c>
      <c r="T415" s="11" t="s">
        <v>0</v>
      </c>
      <c r="U415" s="11" t="s">
        <v>0</v>
      </c>
      <c r="V415" s="11" t="s">
        <v>0</v>
      </c>
      <c r="W415" s="11" t="s">
        <v>0</v>
      </c>
      <c r="X415" s="11" t="s">
        <v>0</v>
      </c>
      <c r="Y415" s="11" t="s">
        <v>0</v>
      </c>
      <c r="Z415" s="11" t="s">
        <v>0</v>
      </c>
      <c r="AA415" s="11" t="s">
        <v>0</v>
      </c>
      <c r="AB415" s="11" t="s">
        <v>0</v>
      </c>
      <c r="AC415" s="11" t="s">
        <v>0</v>
      </c>
      <c r="AD415" s="11" t="s">
        <v>0</v>
      </c>
      <c r="AE415" s="11" t="s">
        <v>2090</v>
      </c>
    </row>
    <row r="416">
      <c r="B416" s="24" t="s">
        <v>6</v>
      </c>
      <c r="C416" s="12" t="s">
        <v>422</v>
      </c>
      <c r="D416" s="11" t="s">
        <v>975</v>
      </c>
      <c r="E416" s="11" t="s">
        <v>1162</v>
      </c>
      <c r="F416" s="12" t="s">
        <v>6</v>
      </c>
      <c r="G416" s="12" t="s">
        <v>1302</v>
      </c>
      <c r="H416" s="12" t="s">
        <v>1302</v>
      </c>
      <c r="I416" s="12" t="s">
        <v>1310</v>
      </c>
      <c r="J416" s="12" t="s">
        <v>1162</v>
      </c>
      <c r="K416" s="12" t="s">
        <v>1332</v>
      </c>
      <c r="L416" s="12" t="s">
        <v>1303</v>
      </c>
      <c r="M416" s="12" t="s">
        <v>0</v>
      </c>
      <c r="N416" s="13" t="s">
        <v>1692</v>
      </c>
      <c r="O416" s="11" t="s">
        <v>0</v>
      </c>
      <c r="P416" s="11" t="s">
        <v>0</v>
      </c>
      <c r="Q416" s="11" t="s">
        <v>0</v>
      </c>
      <c r="R416" s="11" t="s">
        <v>0</v>
      </c>
      <c r="S416" s="11" t="s">
        <v>0</v>
      </c>
      <c r="T416" s="11" t="s">
        <v>0</v>
      </c>
      <c r="U416" s="11" t="s">
        <v>0</v>
      </c>
      <c r="V416" s="11" t="s">
        <v>0</v>
      </c>
      <c r="W416" s="11" t="s">
        <v>0</v>
      </c>
      <c r="X416" s="11" t="s">
        <v>0</v>
      </c>
      <c r="Y416" s="11" t="s">
        <v>0</v>
      </c>
      <c r="Z416" s="11" t="s">
        <v>0</v>
      </c>
      <c r="AA416" s="11" t="s">
        <v>0</v>
      </c>
      <c r="AB416" s="11" t="s">
        <v>0</v>
      </c>
      <c r="AC416" s="11" t="s">
        <v>0</v>
      </c>
      <c r="AD416" s="11" t="s">
        <v>0</v>
      </c>
      <c r="AE416" s="11" t="s">
        <v>2090</v>
      </c>
    </row>
    <row r="417">
      <c r="B417" s="24" t="s">
        <v>6</v>
      </c>
      <c r="C417" s="12" t="s">
        <v>423</v>
      </c>
      <c r="D417" s="11" t="s">
        <v>976</v>
      </c>
      <c r="E417" s="11" t="s">
        <v>1161</v>
      </c>
      <c r="F417" s="12" t="s">
        <v>6</v>
      </c>
      <c r="G417" s="12" t="s">
        <v>1302</v>
      </c>
      <c r="H417" s="12" t="s">
        <v>1302</v>
      </c>
      <c r="I417" s="12" t="s">
        <v>1310</v>
      </c>
      <c r="J417" s="12" t="s">
        <v>1320</v>
      </c>
      <c r="K417" s="12" t="s">
        <v>1332</v>
      </c>
      <c r="L417" s="12" t="s">
        <v>1303</v>
      </c>
      <c r="M417" s="12" t="s">
        <v>0</v>
      </c>
      <c r="N417" s="13" t="s">
        <v>1693</v>
      </c>
      <c r="O417" s="11" t="s">
        <v>0</v>
      </c>
      <c r="P417" s="11" t="s">
        <v>0</v>
      </c>
      <c r="Q417" s="11" t="s">
        <v>0</v>
      </c>
      <c r="R417" s="11" t="s">
        <v>0</v>
      </c>
      <c r="S417" s="11" t="s">
        <v>0</v>
      </c>
      <c r="T417" s="11" t="s">
        <v>0</v>
      </c>
      <c r="U417" s="11" t="s">
        <v>0</v>
      </c>
      <c r="V417" s="11" t="s">
        <v>0</v>
      </c>
      <c r="W417" s="11" t="s">
        <v>0</v>
      </c>
      <c r="X417" s="11" t="s">
        <v>0</v>
      </c>
      <c r="Y417" s="11" t="s">
        <v>0</v>
      </c>
      <c r="Z417" s="11" t="s">
        <v>0</v>
      </c>
      <c r="AA417" s="11" t="s">
        <v>0</v>
      </c>
      <c r="AB417" s="11" t="s">
        <v>0</v>
      </c>
      <c r="AC417" s="11" t="s">
        <v>0</v>
      </c>
      <c r="AD417" s="11" t="s">
        <v>0</v>
      </c>
      <c r="AE417" s="11" t="s">
        <v>2090</v>
      </c>
    </row>
    <row r="418">
      <c r="B418" s="24" t="s">
        <v>6</v>
      </c>
      <c r="C418" s="12" t="s">
        <v>424</v>
      </c>
      <c r="D418" s="11" t="s">
        <v>977</v>
      </c>
      <c r="E418" s="11" t="s">
        <v>1161</v>
      </c>
      <c r="F418" s="12" t="s">
        <v>6</v>
      </c>
      <c r="G418" s="12" t="s">
        <v>1302</v>
      </c>
      <c r="H418" s="12" t="s">
        <v>1302</v>
      </c>
      <c r="I418" s="12" t="s">
        <v>1310</v>
      </c>
      <c r="J418" s="12" t="s">
        <v>1320</v>
      </c>
      <c r="K418" s="12" t="s">
        <v>1332</v>
      </c>
      <c r="L418" s="12" t="s">
        <v>1303</v>
      </c>
      <c r="M418" s="12" t="s">
        <v>0</v>
      </c>
      <c r="N418" s="13" t="s">
        <v>1694</v>
      </c>
      <c r="O418" s="11" t="s">
        <v>0</v>
      </c>
      <c r="P418" s="11" t="s">
        <v>0</v>
      </c>
      <c r="Q418" s="11" t="s">
        <v>0</v>
      </c>
      <c r="R418" s="11" t="s">
        <v>0</v>
      </c>
      <c r="S418" s="11" t="s">
        <v>0</v>
      </c>
      <c r="T418" s="11" t="s">
        <v>0</v>
      </c>
      <c r="U418" s="11" t="s">
        <v>0</v>
      </c>
      <c r="V418" s="11" t="s">
        <v>0</v>
      </c>
      <c r="W418" s="11" t="s">
        <v>0</v>
      </c>
      <c r="X418" s="11" t="s">
        <v>0</v>
      </c>
      <c r="Y418" s="11" t="s">
        <v>0</v>
      </c>
      <c r="Z418" s="11" t="s">
        <v>0</v>
      </c>
      <c r="AA418" s="11" t="s">
        <v>0</v>
      </c>
      <c r="AB418" s="11" t="s">
        <v>0</v>
      </c>
      <c r="AC418" s="11" t="s">
        <v>0</v>
      </c>
      <c r="AD418" s="11" t="s">
        <v>0</v>
      </c>
      <c r="AE418" s="11" t="s">
        <v>2090</v>
      </c>
    </row>
    <row r="419">
      <c r="B419" s="24" t="s">
        <v>6</v>
      </c>
      <c r="C419" s="12" t="s">
        <v>425</v>
      </c>
      <c r="D419" s="11" t="s">
        <v>978</v>
      </c>
      <c r="E419" s="11" t="s">
        <v>1243</v>
      </c>
      <c r="F419" s="12" t="s">
        <v>6</v>
      </c>
      <c r="G419" s="12" t="s">
        <v>1302</v>
      </c>
      <c r="H419" s="12" t="s">
        <v>1302</v>
      </c>
      <c r="I419" s="12" t="s">
        <v>1310</v>
      </c>
      <c r="J419" s="12" t="s">
        <v>1316</v>
      </c>
      <c r="K419" s="12" t="s">
        <v>1334</v>
      </c>
      <c r="L419" s="12" t="s">
        <v>1303</v>
      </c>
      <c r="M419" s="12" t="s">
        <v>0</v>
      </c>
      <c r="N419" s="13" t="s">
        <v>1695</v>
      </c>
      <c r="O419" s="11" t="s">
        <v>0</v>
      </c>
      <c r="P419" s="11" t="s">
        <v>0</v>
      </c>
      <c r="Q419" s="11" t="s">
        <v>0</v>
      </c>
      <c r="R419" s="11" t="s">
        <v>0</v>
      </c>
      <c r="S419" s="11" t="s">
        <v>0</v>
      </c>
      <c r="T419" s="11" t="s">
        <v>0</v>
      </c>
      <c r="U419" s="11" t="s">
        <v>1890</v>
      </c>
      <c r="V419" s="11" t="s">
        <v>0</v>
      </c>
      <c r="W419" s="11" t="s">
        <v>0</v>
      </c>
      <c r="X419" s="11" t="s">
        <v>0</v>
      </c>
      <c r="Y419" s="11" t="s">
        <v>0</v>
      </c>
      <c r="Z419" s="11" t="s">
        <v>0</v>
      </c>
      <c r="AA419" s="11" t="s">
        <v>0</v>
      </c>
      <c r="AB419" s="11" t="s">
        <v>0</v>
      </c>
      <c r="AC419" s="11" t="s">
        <v>0</v>
      </c>
      <c r="AD419" s="11" t="s">
        <v>2088</v>
      </c>
      <c r="AE419" s="11" t="s">
        <v>13</v>
      </c>
    </row>
    <row r="420">
      <c r="B420" s="24" t="s">
        <v>6</v>
      </c>
      <c r="C420" s="12" t="s">
        <v>426</v>
      </c>
      <c r="D420" s="11" t="s">
        <v>979</v>
      </c>
      <c r="E420" s="11" t="s">
        <v>1243</v>
      </c>
      <c r="F420" s="12" t="s">
        <v>6</v>
      </c>
      <c r="G420" s="12" t="s">
        <v>1302</v>
      </c>
      <c r="H420" s="12" t="s">
        <v>1302</v>
      </c>
      <c r="I420" s="12" t="s">
        <v>1310</v>
      </c>
      <c r="J420" s="12" t="s">
        <v>1316</v>
      </c>
      <c r="K420" s="12" t="s">
        <v>1334</v>
      </c>
      <c r="L420" s="12" t="s">
        <v>1303</v>
      </c>
      <c r="M420" s="12" t="s">
        <v>0</v>
      </c>
      <c r="N420" s="13" t="s">
        <v>1696</v>
      </c>
      <c r="O420" s="11" t="s">
        <v>0</v>
      </c>
      <c r="P420" s="11" t="s">
        <v>0</v>
      </c>
      <c r="Q420" s="11" t="s">
        <v>0</v>
      </c>
      <c r="R420" s="11" t="s">
        <v>0</v>
      </c>
      <c r="S420" s="11" t="s">
        <v>0</v>
      </c>
      <c r="T420" s="11" t="s">
        <v>0</v>
      </c>
      <c r="U420" s="11" t="s">
        <v>1890</v>
      </c>
      <c r="V420" s="11" t="s">
        <v>0</v>
      </c>
      <c r="W420" s="11" t="s">
        <v>0</v>
      </c>
      <c r="X420" s="11" t="s">
        <v>0</v>
      </c>
      <c r="Y420" s="11" t="s">
        <v>0</v>
      </c>
      <c r="Z420" s="11" t="s">
        <v>0</v>
      </c>
      <c r="AA420" s="11" t="s">
        <v>0</v>
      </c>
      <c r="AB420" s="11" t="s">
        <v>0</v>
      </c>
      <c r="AC420" s="11" t="s">
        <v>0</v>
      </c>
      <c r="AD420" s="11" t="s">
        <v>2088</v>
      </c>
      <c r="AE420" s="11" t="s">
        <v>13</v>
      </c>
    </row>
    <row r="421">
      <c r="B421" s="24" t="s">
        <v>6</v>
      </c>
      <c r="C421" s="12" t="s">
        <v>427</v>
      </c>
      <c r="D421" s="11" t="s">
        <v>980</v>
      </c>
      <c r="E421" s="11" t="s">
        <v>1178</v>
      </c>
      <c r="F421" s="12" t="s">
        <v>6</v>
      </c>
      <c r="G421" s="12" t="s">
        <v>1302</v>
      </c>
      <c r="H421" s="12" t="s">
        <v>1302</v>
      </c>
      <c r="I421" s="12" t="s">
        <v>1310</v>
      </c>
      <c r="J421" s="12" t="s">
        <v>1316</v>
      </c>
      <c r="K421" s="12" t="s">
        <v>1178</v>
      </c>
      <c r="L421" s="12" t="s">
        <v>1303</v>
      </c>
      <c r="M421" s="12" t="s">
        <v>0</v>
      </c>
      <c r="N421" s="13" t="s">
        <v>1697</v>
      </c>
      <c r="O421" s="11" t="s">
        <v>0</v>
      </c>
      <c r="P421" s="11" t="s">
        <v>0</v>
      </c>
      <c r="Q421" s="11" t="s">
        <v>0</v>
      </c>
      <c r="R421" s="11" t="s">
        <v>0</v>
      </c>
      <c r="S421" s="11" t="s">
        <v>0</v>
      </c>
      <c r="T421" s="11" t="s">
        <v>0</v>
      </c>
      <c r="U421" s="11" t="s">
        <v>0</v>
      </c>
      <c r="V421" s="11" t="s">
        <v>0</v>
      </c>
      <c r="W421" s="11" t="s">
        <v>0</v>
      </c>
      <c r="X421" s="11" t="s">
        <v>0</v>
      </c>
      <c r="Y421" s="11" t="s">
        <v>0</v>
      </c>
      <c r="Z421" s="11" t="s">
        <v>0</v>
      </c>
      <c r="AA421" s="11" t="s">
        <v>0</v>
      </c>
      <c r="AB421" s="11" t="s">
        <v>0</v>
      </c>
      <c r="AC421" s="11" t="s">
        <v>0</v>
      </c>
      <c r="AD421" s="11" t="s">
        <v>0</v>
      </c>
      <c r="AE421" s="11" t="s">
        <v>2090</v>
      </c>
    </row>
    <row r="422">
      <c r="B422" s="24" t="s">
        <v>6</v>
      </c>
      <c r="C422" s="12" t="s">
        <v>428</v>
      </c>
      <c r="D422" s="11" t="s">
        <v>981</v>
      </c>
      <c r="E422" s="11" t="s">
        <v>1178</v>
      </c>
      <c r="F422" s="12" t="s">
        <v>6</v>
      </c>
      <c r="G422" s="12" t="s">
        <v>1302</v>
      </c>
      <c r="H422" s="12" t="s">
        <v>1302</v>
      </c>
      <c r="I422" s="12" t="s">
        <v>1310</v>
      </c>
      <c r="J422" s="12" t="s">
        <v>1316</v>
      </c>
      <c r="K422" s="12" t="s">
        <v>1178</v>
      </c>
      <c r="L422" s="12" t="s">
        <v>1303</v>
      </c>
      <c r="M422" s="12" t="s">
        <v>0</v>
      </c>
      <c r="N422" s="13" t="s">
        <v>1698</v>
      </c>
      <c r="O422" s="11" t="s">
        <v>0</v>
      </c>
      <c r="P422" s="11" t="s">
        <v>0</v>
      </c>
      <c r="Q422" s="11" t="s">
        <v>0</v>
      </c>
      <c r="R422" s="11" t="s">
        <v>0</v>
      </c>
      <c r="S422" s="11" t="s">
        <v>0</v>
      </c>
      <c r="T422" s="11" t="s">
        <v>0</v>
      </c>
      <c r="U422" s="11" t="s">
        <v>0</v>
      </c>
      <c r="V422" s="11" t="s">
        <v>0</v>
      </c>
      <c r="W422" s="11" t="s">
        <v>0</v>
      </c>
      <c r="X422" s="11" t="s">
        <v>0</v>
      </c>
      <c r="Y422" s="11" t="s">
        <v>0</v>
      </c>
      <c r="Z422" s="11" t="s">
        <v>0</v>
      </c>
      <c r="AA422" s="11" t="s">
        <v>0</v>
      </c>
      <c r="AB422" s="11" t="s">
        <v>0</v>
      </c>
      <c r="AC422" s="11" t="s">
        <v>0</v>
      </c>
      <c r="AD422" s="11" t="s">
        <v>0</v>
      </c>
      <c r="AE422" s="11" t="s">
        <v>2090</v>
      </c>
    </row>
    <row r="423">
      <c r="B423" s="24" t="s">
        <v>3</v>
      </c>
      <c r="C423" s="12" t="s">
        <v>429</v>
      </c>
      <c r="D423" s="11" t="s">
        <v>982</v>
      </c>
      <c r="E423" s="11" t="s">
        <v>1227</v>
      </c>
      <c r="F423" s="12" t="s">
        <v>3</v>
      </c>
      <c r="G423" s="12" t="s">
        <v>1302</v>
      </c>
      <c r="H423" s="12" t="s">
        <v>1302</v>
      </c>
      <c r="I423" s="12" t="s">
        <v>1311</v>
      </c>
      <c r="J423" s="12" t="s">
        <v>1322</v>
      </c>
      <c r="K423" s="12" t="s">
        <v>1326</v>
      </c>
      <c r="L423" s="12" t="s">
        <v>1303</v>
      </c>
      <c r="M423" s="12" t="s">
        <v>0</v>
      </c>
      <c r="N423" s="13" t="s">
        <v>1699</v>
      </c>
      <c r="O423" s="11" t="s">
        <v>0</v>
      </c>
      <c r="P423" s="11" t="s">
        <v>0</v>
      </c>
      <c r="Q423" s="11" t="s">
        <v>0</v>
      </c>
      <c r="R423" s="11" t="s">
        <v>0</v>
      </c>
      <c r="S423" s="11" t="s">
        <v>0</v>
      </c>
      <c r="T423" s="11" t="s">
        <v>0</v>
      </c>
      <c r="U423" s="11" t="s">
        <v>0</v>
      </c>
      <c r="V423" s="11" t="s">
        <v>0</v>
      </c>
      <c r="W423" s="11" t="s">
        <v>0</v>
      </c>
      <c r="X423" s="11" t="s">
        <v>0</v>
      </c>
      <c r="Y423" s="11" t="s">
        <v>0</v>
      </c>
      <c r="Z423" s="11" t="s">
        <v>0</v>
      </c>
      <c r="AA423" s="11" t="s">
        <v>0</v>
      </c>
      <c r="AB423" s="11" t="s">
        <v>0</v>
      </c>
      <c r="AC423" s="11" t="s">
        <v>0</v>
      </c>
      <c r="AD423" s="11" t="s">
        <v>0</v>
      </c>
      <c r="AE423" s="11" t="s">
        <v>2090</v>
      </c>
    </row>
    <row r="424">
      <c r="B424" s="24" t="s">
        <v>3</v>
      </c>
      <c r="C424" s="12" t="s">
        <v>430</v>
      </c>
      <c r="D424" s="11" t="s">
        <v>983</v>
      </c>
      <c r="E424" s="11" t="s">
        <v>1227</v>
      </c>
      <c r="F424" s="12" t="s">
        <v>3</v>
      </c>
      <c r="G424" s="12" t="s">
        <v>1302</v>
      </c>
      <c r="H424" s="12" t="s">
        <v>1302</v>
      </c>
      <c r="I424" s="12" t="s">
        <v>1311</v>
      </c>
      <c r="J424" s="12" t="s">
        <v>1322</v>
      </c>
      <c r="K424" s="12" t="s">
        <v>1326</v>
      </c>
      <c r="L424" s="12" t="s">
        <v>1303</v>
      </c>
      <c r="M424" s="12" t="s">
        <v>0</v>
      </c>
      <c r="N424" s="13" t="s">
        <v>1700</v>
      </c>
      <c r="O424" s="11" t="s">
        <v>0</v>
      </c>
      <c r="P424" s="11" t="s">
        <v>0</v>
      </c>
      <c r="Q424" s="11" t="s">
        <v>0</v>
      </c>
      <c r="R424" s="11" t="s">
        <v>0</v>
      </c>
      <c r="S424" s="11" t="s">
        <v>0</v>
      </c>
      <c r="T424" s="11" t="s">
        <v>0</v>
      </c>
      <c r="U424" s="11" t="s">
        <v>0</v>
      </c>
      <c r="V424" s="11" t="s">
        <v>0</v>
      </c>
      <c r="W424" s="11" t="s">
        <v>0</v>
      </c>
      <c r="X424" s="11" t="s">
        <v>0</v>
      </c>
      <c r="Y424" s="11" t="s">
        <v>0</v>
      </c>
      <c r="Z424" s="11" t="s">
        <v>0</v>
      </c>
      <c r="AA424" s="11" t="s">
        <v>0</v>
      </c>
      <c r="AB424" s="11" t="s">
        <v>0</v>
      </c>
      <c r="AC424" s="11" t="s">
        <v>0</v>
      </c>
      <c r="AD424" s="11" t="s">
        <v>0</v>
      </c>
      <c r="AE424" s="11" t="s">
        <v>2090</v>
      </c>
    </row>
    <row r="425">
      <c r="B425" s="24" t="s">
        <v>3</v>
      </c>
      <c r="C425" s="12" t="s">
        <v>431</v>
      </c>
      <c r="D425" s="11" t="s">
        <v>984</v>
      </c>
      <c r="E425" s="11" t="s">
        <v>1227</v>
      </c>
      <c r="F425" s="12" t="s">
        <v>3</v>
      </c>
      <c r="G425" s="12" t="s">
        <v>1302</v>
      </c>
      <c r="H425" s="12" t="s">
        <v>1302</v>
      </c>
      <c r="I425" s="12" t="s">
        <v>1311</v>
      </c>
      <c r="J425" s="12" t="s">
        <v>1322</v>
      </c>
      <c r="K425" s="12" t="s">
        <v>1326</v>
      </c>
      <c r="L425" s="12" t="s">
        <v>1303</v>
      </c>
      <c r="M425" s="12" t="s">
        <v>0</v>
      </c>
      <c r="N425" s="13" t="s">
        <v>1701</v>
      </c>
      <c r="O425" s="11" t="s">
        <v>0</v>
      </c>
      <c r="P425" s="11" t="s">
        <v>0</v>
      </c>
      <c r="Q425" s="11" t="s">
        <v>0</v>
      </c>
      <c r="R425" s="11" t="s">
        <v>0</v>
      </c>
      <c r="S425" s="11" t="s">
        <v>0</v>
      </c>
      <c r="T425" s="11" t="s">
        <v>0</v>
      </c>
      <c r="U425" s="11" t="s">
        <v>0</v>
      </c>
      <c r="V425" s="11" t="s">
        <v>0</v>
      </c>
      <c r="W425" s="11" t="s">
        <v>0</v>
      </c>
      <c r="X425" s="11" t="s">
        <v>0</v>
      </c>
      <c r="Y425" s="11" t="s">
        <v>0</v>
      </c>
      <c r="Z425" s="11" t="s">
        <v>0</v>
      </c>
      <c r="AA425" s="11" t="s">
        <v>0</v>
      </c>
      <c r="AB425" s="11" t="s">
        <v>0</v>
      </c>
      <c r="AC425" s="11" t="s">
        <v>0</v>
      </c>
      <c r="AD425" s="11" t="s">
        <v>0</v>
      </c>
      <c r="AE425" s="11" t="s">
        <v>2090</v>
      </c>
    </row>
    <row r="426">
      <c r="B426" s="24" t="s">
        <v>3</v>
      </c>
      <c r="C426" s="12" t="s">
        <v>432</v>
      </c>
      <c r="D426" s="11" t="s">
        <v>985</v>
      </c>
      <c r="E426" s="11" t="s">
        <v>1231</v>
      </c>
      <c r="F426" s="12" t="s">
        <v>3</v>
      </c>
      <c r="G426" s="12" t="s">
        <v>1302</v>
      </c>
      <c r="H426" s="12" t="s">
        <v>1302</v>
      </c>
      <c r="I426" s="12" t="s">
        <v>1310</v>
      </c>
      <c r="J426" s="12" t="s">
        <v>1163</v>
      </c>
      <c r="K426" s="12" t="s">
        <v>1332</v>
      </c>
      <c r="L426" s="12" t="s">
        <v>1303</v>
      </c>
      <c r="M426" s="12" t="s">
        <v>0</v>
      </c>
      <c r="N426" s="13" t="s">
        <v>1702</v>
      </c>
      <c r="O426" s="11" t="s">
        <v>0</v>
      </c>
      <c r="P426" s="11" t="s">
        <v>0</v>
      </c>
      <c r="Q426" s="11" t="s">
        <v>0</v>
      </c>
      <c r="R426" s="11" t="s">
        <v>0</v>
      </c>
      <c r="S426" s="11" t="s">
        <v>0</v>
      </c>
      <c r="T426" s="11" t="s">
        <v>0</v>
      </c>
      <c r="U426" s="11" t="s">
        <v>0</v>
      </c>
      <c r="V426" s="11" t="s">
        <v>0</v>
      </c>
      <c r="W426" s="11" t="s">
        <v>0</v>
      </c>
      <c r="X426" s="11" t="s">
        <v>0</v>
      </c>
      <c r="Y426" s="11" t="s">
        <v>0</v>
      </c>
      <c r="Z426" s="11" t="s">
        <v>0</v>
      </c>
      <c r="AA426" s="11" t="s">
        <v>0</v>
      </c>
      <c r="AB426" s="11" t="s">
        <v>0</v>
      </c>
      <c r="AC426" s="11" t="s">
        <v>0</v>
      </c>
      <c r="AD426" s="11" t="s">
        <v>0</v>
      </c>
      <c r="AE426" s="11" t="s">
        <v>2090</v>
      </c>
    </row>
    <row r="427">
      <c r="B427" s="24" t="s">
        <v>3</v>
      </c>
      <c r="C427" s="12" t="s">
        <v>433</v>
      </c>
      <c r="D427" s="11" t="s">
        <v>986</v>
      </c>
      <c r="E427" s="11" t="s">
        <v>1162</v>
      </c>
      <c r="F427" s="12" t="s">
        <v>3</v>
      </c>
      <c r="G427" s="12" t="s">
        <v>1302</v>
      </c>
      <c r="H427" s="12" t="s">
        <v>1302</v>
      </c>
      <c r="I427" s="12" t="s">
        <v>1310</v>
      </c>
      <c r="J427" s="12" t="s">
        <v>1162</v>
      </c>
      <c r="K427" s="12" t="s">
        <v>1332</v>
      </c>
      <c r="L427" s="12" t="s">
        <v>1303</v>
      </c>
      <c r="M427" s="12" t="s">
        <v>0</v>
      </c>
      <c r="N427" s="13" t="s">
        <v>1703</v>
      </c>
      <c r="O427" s="11" t="s">
        <v>0</v>
      </c>
      <c r="P427" s="11" t="s">
        <v>0</v>
      </c>
      <c r="Q427" s="11" t="s">
        <v>0</v>
      </c>
      <c r="R427" s="11" t="s">
        <v>0</v>
      </c>
      <c r="S427" s="11" t="s">
        <v>0</v>
      </c>
      <c r="T427" s="11" t="s">
        <v>0</v>
      </c>
      <c r="U427" s="11" t="s">
        <v>0</v>
      </c>
      <c r="V427" s="11" t="s">
        <v>0</v>
      </c>
      <c r="W427" s="11" t="s">
        <v>0</v>
      </c>
      <c r="X427" s="11" t="s">
        <v>0</v>
      </c>
      <c r="Y427" s="11" t="s">
        <v>0</v>
      </c>
      <c r="Z427" s="11" t="s">
        <v>0</v>
      </c>
      <c r="AA427" s="11" t="s">
        <v>0</v>
      </c>
      <c r="AB427" s="11" t="s">
        <v>0</v>
      </c>
      <c r="AC427" s="11" t="s">
        <v>0</v>
      </c>
      <c r="AD427" s="11" t="s">
        <v>0</v>
      </c>
      <c r="AE427" s="11" t="s">
        <v>2090</v>
      </c>
    </row>
    <row r="428">
      <c r="B428" s="24" t="s">
        <v>3</v>
      </c>
      <c r="C428" s="12" t="s">
        <v>434</v>
      </c>
      <c r="D428" s="11" t="s">
        <v>987</v>
      </c>
      <c r="E428" s="11" t="s">
        <v>1161</v>
      </c>
      <c r="F428" s="12" t="s">
        <v>3</v>
      </c>
      <c r="G428" s="12" t="s">
        <v>1302</v>
      </c>
      <c r="H428" s="12" t="s">
        <v>1302</v>
      </c>
      <c r="I428" s="12" t="s">
        <v>1310</v>
      </c>
      <c r="J428" s="12" t="s">
        <v>1320</v>
      </c>
      <c r="K428" s="12" t="s">
        <v>1332</v>
      </c>
      <c r="L428" s="12" t="s">
        <v>1303</v>
      </c>
      <c r="M428" s="12" t="s">
        <v>0</v>
      </c>
      <c r="N428" s="13" t="s">
        <v>1704</v>
      </c>
      <c r="O428" s="11" t="s">
        <v>0</v>
      </c>
      <c r="P428" s="11" t="s">
        <v>0</v>
      </c>
      <c r="Q428" s="11" t="s">
        <v>0</v>
      </c>
      <c r="R428" s="11" t="s">
        <v>0</v>
      </c>
      <c r="S428" s="11" t="s">
        <v>0</v>
      </c>
      <c r="T428" s="11" t="s">
        <v>0</v>
      </c>
      <c r="U428" s="11" t="s">
        <v>0</v>
      </c>
      <c r="V428" s="11" t="s">
        <v>0</v>
      </c>
      <c r="W428" s="11" t="s">
        <v>0</v>
      </c>
      <c r="X428" s="11" t="s">
        <v>0</v>
      </c>
      <c r="Y428" s="11" t="s">
        <v>0</v>
      </c>
      <c r="Z428" s="11" t="s">
        <v>0</v>
      </c>
      <c r="AA428" s="11" t="s">
        <v>0</v>
      </c>
      <c r="AB428" s="11" t="s">
        <v>0</v>
      </c>
      <c r="AC428" s="11" t="s">
        <v>0</v>
      </c>
      <c r="AD428" s="11" t="s">
        <v>0</v>
      </c>
      <c r="AE428" s="11" t="s">
        <v>2090</v>
      </c>
    </row>
    <row r="429">
      <c r="B429" s="24" t="s">
        <v>3</v>
      </c>
      <c r="C429" s="12" t="s">
        <v>435</v>
      </c>
      <c r="D429" s="11" t="s">
        <v>988</v>
      </c>
      <c r="E429" s="11" t="s">
        <v>1243</v>
      </c>
      <c r="F429" s="12" t="s">
        <v>3</v>
      </c>
      <c r="G429" s="12" t="s">
        <v>1302</v>
      </c>
      <c r="H429" s="12" t="s">
        <v>1302</v>
      </c>
      <c r="I429" s="12" t="s">
        <v>1310</v>
      </c>
      <c r="J429" s="12" t="s">
        <v>1316</v>
      </c>
      <c r="K429" s="12" t="s">
        <v>1334</v>
      </c>
      <c r="L429" s="12" t="s">
        <v>1303</v>
      </c>
      <c r="M429" s="12" t="s">
        <v>0</v>
      </c>
      <c r="N429" s="13" t="s">
        <v>1705</v>
      </c>
      <c r="O429" s="11" t="s">
        <v>0</v>
      </c>
      <c r="P429" s="11" t="s">
        <v>0</v>
      </c>
      <c r="Q429" s="11" t="s">
        <v>0</v>
      </c>
      <c r="R429" s="11" t="s">
        <v>0</v>
      </c>
      <c r="S429" s="11" t="s">
        <v>0</v>
      </c>
      <c r="T429" s="11" t="s">
        <v>0</v>
      </c>
      <c r="U429" s="11" t="s">
        <v>0</v>
      </c>
      <c r="V429" s="11" t="s">
        <v>0</v>
      </c>
      <c r="W429" s="11" t="s">
        <v>0</v>
      </c>
      <c r="X429" s="11" t="s">
        <v>0</v>
      </c>
      <c r="Y429" s="11" t="s">
        <v>0</v>
      </c>
      <c r="Z429" s="11" t="s">
        <v>0</v>
      </c>
      <c r="AA429" s="11" t="s">
        <v>0</v>
      </c>
      <c r="AB429" s="11" t="s">
        <v>0</v>
      </c>
      <c r="AC429" s="11" t="s">
        <v>0</v>
      </c>
      <c r="AD429" s="11" t="s">
        <v>0</v>
      </c>
      <c r="AE429" s="11" t="s">
        <v>2090</v>
      </c>
    </row>
    <row r="430">
      <c r="B430" s="24" t="s">
        <v>3</v>
      </c>
      <c r="C430" s="12" t="s">
        <v>436</v>
      </c>
      <c r="D430" s="11" t="s">
        <v>989</v>
      </c>
      <c r="E430" s="11" t="s">
        <v>1178</v>
      </c>
      <c r="F430" s="12" t="s">
        <v>3</v>
      </c>
      <c r="G430" s="12" t="s">
        <v>1302</v>
      </c>
      <c r="H430" s="12" t="s">
        <v>1302</v>
      </c>
      <c r="I430" s="12" t="s">
        <v>1310</v>
      </c>
      <c r="J430" s="12" t="s">
        <v>1316</v>
      </c>
      <c r="K430" s="12" t="s">
        <v>1178</v>
      </c>
      <c r="L430" s="12" t="s">
        <v>1303</v>
      </c>
      <c r="M430" s="12" t="s">
        <v>0</v>
      </c>
      <c r="N430" s="13" t="s">
        <v>1706</v>
      </c>
      <c r="O430" s="11" t="s">
        <v>0</v>
      </c>
      <c r="P430" s="11" t="s">
        <v>0</v>
      </c>
      <c r="Q430" s="11" t="s">
        <v>0</v>
      </c>
      <c r="R430" s="11" t="s">
        <v>0</v>
      </c>
      <c r="S430" s="11" t="s">
        <v>0</v>
      </c>
      <c r="T430" s="11" t="s">
        <v>0</v>
      </c>
      <c r="U430" s="11" t="s">
        <v>0</v>
      </c>
      <c r="V430" s="11" t="s">
        <v>0</v>
      </c>
      <c r="W430" s="11" t="s">
        <v>0</v>
      </c>
      <c r="X430" s="11" t="s">
        <v>0</v>
      </c>
      <c r="Y430" s="11" t="s">
        <v>0</v>
      </c>
      <c r="Z430" s="11" t="s">
        <v>0</v>
      </c>
      <c r="AA430" s="11" t="s">
        <v>0</v>
      </c>
      <c r="AB430" s="11" t="s">
        <v>0</v>
      </c>
      <c r="AC430" s="11" t="s">
        <v>0</v>
      </c>
      <c r="AD430" s="11" t="s">
        <v>0</v>
      </c>
      <c r="AE430" s="11" t="s">
        <v>2090</v>
      </c>
    </row>
    <row r="431">
      <c r="B431" s="24" t="s">
        <v>5</v>
      </c>
      <c r="C431" s="12" t="s">
        <v>437</v>
      </c>
      <c r="D431" s="11" t="s">
        <v>990</v>
      </c>
      <c r="E431" s="11" t="s">
        <v>1243</v>
      </c>
      <c r="F431" s="12" t="s">
        <v>5</v>
      </c>
      <c r="G431" s="12" t="s">
        <v>1302</v>
      </c>
      <c r="H431" s="12" t="s">
        <v>1302</v>
      </c>
      <c r="I431" s="12" t="s">
        <v>1310</v>
      </c>
      <c r="J431" s="12" t="s">
        <v>1316</v>
      </c>
      <c r="K431" s="12" t="s">
        <v>1334</v>
      </c>
      <c r="L431" s="12" t="s">
        <v>1303</v>
      </c>
      <c r="M431" s="12" t="s">
        <v>0</v>
      </c>
      <c r="N431" s="13" t="s">
        <v>1707</v>
      </c>
      <c r="O431" s="11" t="s">
        <v>0</v>
      </c>
      <c r="P431" s="11" t="s">
        <v>0</v>
      </c>
      <c r="Q431" s="11" t="s">
        <v>0</v>
      </c>
      <c r="R431" s="11" t="s">
        <v>0</v>
      </c>
      <c r="S431" s="11" t="s">
        <v>0</v>
      </c>
      <c r="T431" s="11" t="s">
        <v>0</v>
      </c>
      <c r="U431" s="11" t="s">
        <v>0</v>
      </c>
      <c r="V431" s="11" t="s">
        <v>0</v>
      </c>
      <c r="W431" s="11" t="s">
        <v>0</v>
      </c>
      <c r="X431" s="11" t="s">
        <v>0</v>
      </c>
      <c r="Y431" s="11" t="s">
        <v>0</v>
      </c>
      <c r="Z431" s="11" t="s">
        <v>0</v>
      </c>
      <c r="AA431" s="11" t="s">
        <v>0</v>
      </c>
      <c r="AB431" s="11" t="s">
        <v>0</v>
      </c>
      <c r="AC431" s="11" t="s">
        <v>0</v>
      </c>
      <c r="AD431" s="11" t="s">
        <v>0</v>
      </c>
      <c r="AE431" s="11" t="s">
        <v>2090</v>
      </c>
    </row>
    <row r="432">
      <c r="B432" s="24" t="s">
        <v>5</v>
      </c>
      <c r="C432" s="12" t="s">
        <v>438</v>
      </c>
      <c r="D432" s="11" t="s">
        <v>991</v>
      </c>
      <c r="E432" s="11" t="s">
        <v>1228</v>
      </c>
      <c r="F432" s="12" t="s">
        <v>5</v>
      </c>
      <c r="G432" s="12" t="s">
        <v>1302</v>
      </c>
      <c r="H432" s="12" t="s">
        <v>1302</v>
      </c>
      <c r="I432" s="12" t="s">
        <v>1311</v>
      </c>
      <c r="J432" s="12" t="s">
        <v>1322</v>
      </c>
      <c r="K432" s="12" t="s">
        <v>1326</v>
      </c>
      <c r="L432" s="12" t="s">
        <v>1303</v>
      </c>
      <c r="M432" s="12" t="s">
        <v>0</v>
      </c>
      <c r="N432" s="13" t="s">
        <v>1708</v>
      </c>
      <c r="O432" s="11" t="s">
        <v>0</v>
      </c>
      <c r="P432" s="11" t="s">
        <v>0</v>
      </c>
      <c r="Q432" s="11" t="s">
        <v>0</v>
      </c>
      <c r="R432" s="11" t="s">
        <v>0</v>
      </c>
      <c r="S432" s="11" t="s">
        <v>0</v>
      </c>
      <c r="T432" s="11" t="s">
        <v>0</v>
      </c>
      <c r="U432" s="11" t="s">
        <v>0</v>
      </c>
      <c r="V432" s="11" t="s">
        <v>0</v>
      </c>
      <c r="W432" s="11" t="s">
        <v>0</v>
      </c>
      <c r="X432" s="11" t="s">
        <v>0</v>
      </c>
      <c r="Y432" s="11" t="s">
        <v>0</v>
      </c>
      <c r="Z432" s="11" t="s">
        <v>0</v>
      </c>
      <c r="AA432" s="11" t="s">
        <v>0</v>
      </c>
      <c r="AB432" s="11" t="s">
        <v>0</v>
      </c>
      <c r="AC432" s="11" t="s">
        <v>0</v>
      </c>
      <c r="AD432" s="11" t="s">
        <v>0</v>
      </c>
      <c r="AE432" s="11" t="s">
        <v>2090</v>
      </c>
    </row>
    <row r="433">
      <c r="B433" s="24" t="s">
        <v>5</v>
      </c>
      <c r="C433" s="12" t="s">
        <v>439</v>
      </c>
      <c r="D433" s="11" t="s">
        <v>992</v>
      </c>
      <c r="E433" s="11" t="s">
        <v>1228</v>
      </c>
      <c r="F433" s="12" t="s">
        <v>5</v>
      </c>
      <c r="G433" s="12" t="s">
        <v>1302</v>
      </c>
      <c r="H433" s="12" t="s">
        <v>1302</v>
      </c>
      <c r="I433" s="12" t="s">
        <v>1311</v>
      </c>
      <c r="J433" s="12" t="s">
        <v>1322</v>
      </c>
      <c r="K433" s="12" t="s">
        <v>1326</v>
      </c>
      <c r="L433" s="12" t="s">
        <v>1303</v>
      </c>
      <c r="M433" s="12" t="s">
        <v>0</v>
      </c>
      <c r="N433" s="13" t="s">
        <v>1709</v>
      </c>
      <c r="O433" s="11" t="s">
        <v>0</v>
      </c>
      <c r="P433" s="11" t="s">
        <v>0</v>
      </c>
      <c r="Q433" s="11" t="s">
        <v>0</v>
      </c>
      <c r="R433" s="11" t="s">
        <v>0</v>
      </c>
      <c r="S433" s="11" t="s">
        <v>0</v>
      </c>
      <c r="T433" s="11" t="s">
        <v>0</v>
      </c>
      <c r="U433" s="11" t="s">
        <v>0</v>
      </c>
      <c r="V433" s="11" t="s">
        <v>0</v>
      </c>
      <c r="W433" s="11" t="s">
        <v>0</v>
      </c>
      <c r="X433" s="11" t="s">
        <v>0</v>
      </c>
      <c r="Y433" s="11" t="s">
        <v>0</v>
      </c>
      <c r="Z433" s="11" t="s">
        <v>0</v>
      </c>
      <c r="AA433" s="11" t="s">
        <v>0</v>
      </c>
      <c r="AB433" s="11" t="s">
        <v>0</v>
      </c>
      <c r="AC433" s="11" t="s">
        <v>0</v>
      </c>
      <c r="AD433" s="11" t="s">
        <v>0</v>
      </c>
      <c r="AE433" s="11" t="s">
        <v>2090</v>
      </c>
    </row>
    <row r="434">
      <c r="B434" s="24" t="s">
        <v>5</v>
      </c>
      <c r="C434" s="12" t="s">
        <v>440</v>
      </c>
      <c r="D434" s="11" t="s">
        <v>993</v>
      </c>
      <c r="E434" s="11" t="s">
        <v>1162</v>
      </c>
      <c r="F434" s="12" t="s">
        <v>5</v>
      </c>
      <c r="G434" s="12" t="s">
        <v>1302</v>
      </c>
      <c r="H434" s="12" t="s">
        <v>1302</v>
      </c>
      <c r="I434" s="12" t="s">
        <v>1310</v>
      </c>
      <c r="J434" s="12" t="s">
        <v>1162</v>
      </c>
      <c r="K434" s="12" t="s">
        <v>1332</v>
      </c>
      <c r="L434" s="12" t="s">
        <v>1303</v>
      </c>
      <c r="M434" s="12" t="s">
        <v>0</v>
      </c>
      <c r="N434" s="13" t="s">
        <v>1710</v>
      </c>
      <c r="O434" s="11" t="s">
        <v>0</v>
      </c>
      <c r="P434" s="11" t="s">
        <v>0</v>
      </c>
      <c r="Q434" s="11" t="s">
        <v>0</v>
      </c>
      <c r="R434" s="11" t="s">
        <v>0</v>
      </c>
      <c r="S434" s="11" t="s">
        <v>0</v>
      </c>
      <c r="T434" s="11" t="s">
        <v>0</v>
      </c>
      <c r="U434" s="11" t="s">
        <v>0</v>
      </c>
      <c r="V434" s="11" t="s">
        <v>0</v>
      </c>
      <c r="W434" s="11" t="s">
        <v>0</v>
      </c>
      <c r="X434" s="11" t="s">
        <v>0</v>
      </c>
      <c r="Y434" s="11" t="s">
        <v>0</v>
      </c>
      <c r="Z434" s="11" t="s">
        <v>0</v>
      </c>
      <c r="AA434" s="11" t="s">
        <v>0</v>
      </c>
      <c r="AB434" s="11" t="s">
        <v>0</v>
      </c>
      <c r="AC434" s="11" t="s">
        <v>0</v>
      </c>
      <c r="AD434" s="11" t="s">
        <v>0</v>
      </c>
      <c r="AE434" s="11" t="s">
        <v>2090</v>
      </c>
    </row>
    <row r="435">
      <c r="B435" s="24" t="s">
        <v>5</v>
      </c>
      <c r="C435" s="12" t="s">
        <v>441</v>
      </c>
      <c r="D435" s="11" t="s">
        <v>994</v>
      </c>
      <c r="E435" s="11" t="s">
        <v>1161</v>
      </c>
      <c r="F435" s="12" t="s">
        <v>5</v>
      </c>
      <c r="G435" s="12" t="s">
        <v>1302</v>
      </c>
      <c r="H435" s="12" t="s">
        <v>1302</v>
      </c>
      <c r="I435" s="12" t="s">
        <v>1310</v>
      </c>
      <c r="J435" s="12" t="s">
        <v>1320</v>
      </c>
      <c r="K435" s="12" t="s">
        <v>1332</v>
      </c>
      <c r="L435" s="12" t="s">
        <v>1303</v>
      </c>
      <c r="M435" s="12" t="s">
        <v>0</v>
      </c>
      <c r="N435" s="13" t="s">
        <v>1711</v>
      </c>
      <c r="O435" s="11" t="s">
        <v>0</v>
      </c>
      <c r="P435" s="11" t="s">
        <v>0</v>
      </c>
      <c r="Q435" s="11" t="s">
        <v>0</v>
      </c>
      <c r="R435" s="11" t="s">
        <v>0</v>
      </c>
      <c r="S435" s="11" t="s">
        <v>0</v>
      </c>
      <c r="T435" s="11" t="s">
        <v>0</v>
      </c>
      <c r="U435" s="11" t="s">
        <v>0</v>
      </c>
      <c r="V435" s="11" t="s">
        <v>0</v>
      </c>
      <c r="W435" s="11" t="s">
        <v>0</v>
      </c>
      <c r="X435" s="11" t="s">
        <v>0</v>
      </c>
      <c r="Y435" s="11" t="s">
        <v>0</v>
      </c>
      <c r="Z435" s="11" t="s">
        <v>0</v>
      </c>
      <c r="AA435" s="11" t="s">
        <v>0</v>
      </c>
      <c r="AB435" s="11" t="s">
        <v>0</v>
      </c>
      <c r="AC435" s="11" t="s">
        <v>0</v>
      </c>
      <c r="AD435" s="11" t="s">
        <v>0</v>
      </c>
      <c r="AE435" s="11" t="s">
        <v>2090</v>
      </c>
    </row>
    <row r="436">
      <c r="B436" s="24" t="s">
        <v>5</v>
      </c>
      <c r="C436" s="12" t="s">
        <v>442</v>
      </c>
      <c r="D436" s="11" t="s">
        <v>995</v>
      </c>
      <c r="E436" s="11" t="s">
        <v>1178</v>
      </c>
      <c r="F436" s="12" t="s">
        <v>5</v>
      </c>
      <c r="G436" s="12" t="s">
        <v>1302</v>
      </c>
      <c r="H436" s="12" t="s">
        <v>1302</v>
      </c>
      <c r="I436" s="12" t="s">
        <v>1310</v>
      </c>
      <c r="J436" s="12" t="s">
        <v>1316</v>
      </c>
      <c r="K436" s="12" t="s">
        <v>1178</v>
      </c>
      <c r="L436" s="12" t="s">
        <v>1303</v>
      </c>
      <c r="M436" s="12" t="s">
        <v>0</v>
      </c>
      <c r="N436" s="13" t="s">
        <v>1712</v>
      </c>
      <c r="O436" s="11" t="s">
        <v>0</v>
      </c>
      <c r="P436" s="11" t="s">
        <v>0</v>
      </c>
      <c r="Q436" s="11" t="s">
        <v>0</v>
      </c>
      <c r="R436" s="11" t="s">
        <v>0</v>
      </c>
      <c r="S436" s="11" t="s">
        <v>0</v>
      </c>
      <c r="T436" s="11" t="s">
        <v>0</v>
      </c>
      <c r="U436" s="11" t="s">
        <v>0</v>
      </c>
      <c r="V436" s="11" t="s">
        <v>0</v>
      </c>
      <c r="W436" s="11" t="s">
        <v>0</v>
      </c>
      <c r="X436" s="11" t="s">
        <v>0</v>
      </c>
      <c r="Y436" s="11" t="s">
        <v>0</v>
      </c>
      <c r="Z436" s="11" t="s">
        <v>0</v>
      </c>
      <c r="AA436" s="11" t="s">
        <v>0</v>
      </c>
      <c r="AB436" s="11" t="s">
        <v>0</v>
      </c>
      <c r="AC436" s="11" t="s">
        <v>0</v>
      </c>
      <c r="AD436" s="11" t="s">
        <v>0</v>
      </c>
      <c r="AE436" s="11" t="s">
        <v>2090</v>
      </c>
    </row>
    <row r="437">
      <c r="B437" s="24" t="s">
        <v>5</v>
      </c>
      <c r="C437" s="12" t="s">
        <v>443</v>
      </c>
      <c r="D437" s="11" t="s">
        <v>834</v>
      </c>
      <c r="E437" s="11" t="s">
        <v>1228</v>
      </c>
      <c r="F437" s="12" t="s">
        <v>5</v>
      </c>
      <c r="G437" s="12" t="s">
        <v>1302</v>
      </c>
      <c r="H437" s="12" t="s">
        <v>1302</v>
      </c>
      <c r="I437" s="12" t="s">
        <v>1311</v>
      </c>
      <c r="J437" s="12" t="s">
        <v>1322</v>
      </c>
      <c r="K437" s="12" t="s">
        <v>1326</v>
      </c>
      <c r="L437" s="12" t="s">
        <v>1303</v>
      </c>
      <c r="M437" s="12" t="s">
        <v>0</v>
      </c>
      <c r="N437" s="13" t="s">
        <v>1713</v>
      </c>
      <c r="O437" s="11" t="s">
        <v>0</v>
      </c>
      <c r="P437" s="11" t="s">
        <v>0</v>
      </c>
      <c r="Q437" s="11" t="s">
        <v>0</v>
      </c>
      <c r="R437" s="11" t="s">
        <v>0</v>
      </c>
      <c r="S437" s="11" t="s">
        <v>0</v>
      </c>
      <c r="T437" s="11" t="s">
        <v>0</v>
      </c>
      <c r="U437" s="11" t="s">
        <v>0</v>
      </c>
      <c r="V437" s="11" t="s">
        <v>0</v>
      </c>
      <c r="W437" s="11" t="s">
        <v>0</v>
      </c>
      <c r="X437" s="11" t="s">
        <v>0</v>
      </c>
      <c r="Y437" s="11" t="s">
        <v>0</v>
      </c>
      <c r="Z437" s="11" t="s">
        <v>0</v>
      </c>
      <c r="AA437" s="11" t="s">
        <v>0</v>
      </c>
      <c r="AB437" s="11" t="s">
        <v>0</v>
      </c>
      <c r="AC437" s="11" t="s">
        <v>0</v>
      </c>
      <c r="AD437" s="11" t="s">
        <v>0</v>
      </c>
      <c r="AE437" s="11" t="s">
        <v>2090</v>
      </c>
    </row>
    <row r="438">
      <c r="B438" s="24" t="s">
        <v>5</v>
      </c>
      <c r="C438" s="12" t="s">
        <v>444</v>
      </c>
      <c r="D438" s="11" t="s">
        <v>996</v>
      </c>
      <c r="E438" s="11" t="s">
        <v>1231</v>
      </c>
      <c r="F438" s="12" t="s">
        <v>5</v>
      </c>
      <c r="G438" s="12" t="s">
        <v>1302</v>
      </c>
      <c r="H438" s="12" t="s">
        <v>1302</v>
      </c>
      <c r="I438" s="12" t="s">
        <v>1310</v>
      </c>
      <c r="J438" s="12" t="s">
        <v>1163</v>
      </c>
      <c r="K438" s="12" t="s">
        <v>1332</v>
      </c>
      <c r="L438" s="12" t="s">
        <v>1303</v>
      </c>
      <c r="M438" s="12" t="s">
        <v>0</v>
      </c>
      <c r="N438" s="13" t="s">
        <v>1714</v>
      </c>
      <c r="O438" s="11" t="s">
        <v>0</v>
      </c>
      <c r="P438" s="11" t="s">
        <v>0</v>
      </c>
      <c r="Q438" s="11" t="s">
        <v>0</v>
      </c>
      <c r="R438" s="11" t="s">
        <v>0</v>
      </c>
      <c r="S438" s="11" t="s">
        <v>0</v>
      </c>
      <c r="T438" s="11" t="s">
        <v>0</v>
      </c>
      <c r="U438" s="11" t="s">
        <v>0</v>
      </c>
      <c r="V438" s="11" t="s">
        <v>0</v>
      </c>
      <c r="W438" s="11" t="s">
        <v>0</v>
      </c>
      <c r="X438" s="11" t="s">
        <v>0</v>
      </c>
      <c r="Y438" s="11" t="s">
        <v>0</v>
      </c>
      <c r="Z438" s="11" t="s">
        <v>0</v>
      </c>
      <c r="AA438" s="11" t="s">
        <v>0</v>
      </c>
      <c r="AB438" s="11" t="s">
        <v>0</v>
      </c>
      <c r="AC438" s="11" t="s">
        <v>0</v>
      </c>
      <c r="AD438" s="11" t="s">
        <v>0</v>
      </c>
      <c r="AE438" s="11" t="s">
        <v>2090</v>
      </c>
    </row>
    <row r="439">
      <c r="B439" s="24" t="s">
        <v>8</v>
      </c>
      <c r="C439" s="12" t="s">
        <v>445</v>
      </c>
      <c r="D439" s="11" t="s">
        <v>997</v>
      </c>
      <c r="E439" s="11" t="s">
        <v>1230</v>
      </c>
      <c r="F439" s="12" t="s">
        <v>8</v>
      </c>
      <c r="G439" s="12" t="s">
        <v>1302</v>
      </c>
      <c r="H439" s="12" t="s">
        <v>1302</v>
      </c>
      <c r="I439" s="12" t="s">
        <v>1311</v>
      </c>
      <c r="J439" s="12" t="s">
        <v>1322</v>
      </c>
      <c r="K439" s="12" t="s">
        <v>1326</v>
      </c>
      <c r="L439" s="12" t="s">
        <v>1303</v>
      </c>
      <c r="M439" s="12" t="s">
        <v>0</v>
      </c>
      <c r="N439" s="13" t="s">
        <v>1715</v>
      </c>
      <c r="O439" s="11" t="s">
        <v>0</v>
      </c>
      <c r="P439" s="11" t="s">
        <v>0</v>
      </c>
      <c r="Q439" s="11" t="s">
        <v>0</v>
      </c>
      <c r="R439" s="11" t="s">
        <v>0</v>
      </c>
      <c r="S439" s="11" t="s">
        <v>0</v>
      </c>
      <c r="T439" s="11" t="s">
        <v>0</v>
      </c>
      <c r="U439" s="11" t="s">
        <v>0</v>
      </c>
      <c r="V439" s="11" t="s">
        <v>0</v>
      </c>
      <c r="W439" s="11" t="s">
        <v>0</v>
      </c>
      <c r="X439" s="11" t="s">
        <v>0</v>
      </c>
      <c r="Y439" s="11" t="s">
        <v>0</v>
      </c>
      <c r="Z439" s="11" t="s">
        <v>0</v>
      </c>
      <c r="AA439" s="11" t="s">
        <v>0</v>
      </c>
      <c r="AB439" s="11" t="s">
        <v>0</v>
      </c>
      <c r="AC439" s="11" t="s">
        <v>0</v>
      </c>
      <c r="AD439" s="11" t="s">
        <v>0</v>
      </c>
      <c r="AE439" s="11" t="s">
        <v>2090</v>
      </c>
    </row>
    <row r="440">
      <c r="B440" s="24" t="s">
        <v>8</v>
      </c>
      <c r="C440" s="12" t="s">
        <v>446</v>
      </c>
      <c r="D440" s="11" t="s">
        <v>998</v>
      </c>
      <c r="E440" s="11" t="s">
        <v>1230</v>
      </c>
      <c r="F440" s="12" t="s">
        <v>8</v>
      </c>
      <c r="G440" s="12" t="s">
        <v>1302</v>
      </c>
      <c r="H440" s="12" t="s">
        <v>1302</v>
      </c>
      <c r="I440" s="12" t="s">
        <v>1311</v>
      </c>
      <c r="J440" s="12" t="s">
        <v>1322</v>
      </c>
      <c r="K440" s="12" t="s">
        <v>1326</v>
      </c>
      <c r="L440" s="12" t="s">
        <v>1303</v>
      </c>
      <c r="M440" s="12" t="s">
        <v>0</v>
      </c>
      <c r="N440" s="13" t="s">
        <v>1716</v>
      </c>
      <c r="O440" s="11" t="s">
        <v>0</v>
      </c>
      <c r="P440" s="11" t="s">
        <v>0</v>
      </c>
      <c r="Q440" s="11" t="s">
        <v>0</v>
      </c>
      <c r="R440" s="11" t="s">
        <v>0</v>
      </c>
      <c r="S440" s="11" t="s">
        <v>0</v>
      </c>
      <c r="T440" s="11" t="s">
        <v>0</v>
      </c>
      <c r="U440" s="11" t="s">
        <v>0</v>
      </c>
      <c r="V440" s="11" t="s">
        <v>0</v>
      </c>
      <c r="W440" s="11" t="s">
        <v>0</v>
      </c>
      <c r="X440" s="11" t="s">
        <v>0</v>
      </c>
      <c r="Y440" s="11" t="s">
        <v>0</v>
      </c>
      <c r="Z440" s="11" t="s">
        <v>0</v>
      </c>
      <c r="AA440" s="11" t="s">
        <v>0</v>
      </c>
      <c r="AB440" s="11" t="s">
        <v>0</v>
      </c>
      <c r="AC440" s="11" t="s">
        <v>0</v>
      </c>
      <c r="AD440" s="11" t="s">
        <v>0</v>
      </c>
      <c r="AE440" s="11" t="s">
        <v>2090</v>
      </c>
    </row>
    <row r="441">
      <c r="B441" s="24" t="s">
        <v>8</v>
      </c>
      <c r="C441" s="12" t="s">
        <v>447</v>
      </c>
      <c r="D441" s="11" t="s">
        <v>999</v>
      </c>
      <c r="E441" s="11" t="s">
        <v>1230</v>
      </c>
      <c r="F441" s="12" t="s">
        <v>8</v>
      </c>
      <c r="G441" s="12" t="s">
        <v>1302</v>
      </c>
      <c r="H441" s="12" t="s">
        <v>1302</v>
      </c>
      <c r="I441" s="12" t="s">
        <v>1311</v>
      </c>
      <c r="J441" s="12" t="s">
        <v>1322</v>
      </c>
      <c r="K441" s="12" t="s">
        <v>1326</v>
      </c>
      <c r="L441" s="12" t="s">
        <v>1303</v>
      </c>
      <c r="M441" s="12" t="s">
        <v>0</v>
      </c>
      <c r="N441" s="13" t="s">
        <v>1717</v>
      </c>
      <c r="O441" s="11" t="s">
        <v>0</v>
      </c>
      <c r="P441" s="11" t="s">
        <v>0</v>
      </c>
      <c r="Q441" s="11" t="s">
        <v>0</v>
      </c>
      <c r="R441" s="11" t="s">
        <v>0</v>
      </c>
      <c r="S441" s="11" t="s">
        <v>0</v>
      </c>
      <c r="T441" s="11" t="s">
        <v>0</v>
      </c>
      <c r="U441" s="11" t="s">
        <v>0</v>
      </c>
      <c r="V441" s="11" t="s">
        <v>0</v>
      </c>
      <c r="W441" s="11" t="s">
        <v>0</v>
      </c>
      <c r="X441" s="11" t="s">
        <v>0</v>
      </c>
      <c r="Y441" s="11" t="s">
        <v>0</v>
      </c>
      <c r="Z441" s="11" t="s">
        <v>0</v>
      </c>
      <c r="AA441" s="11" t="s">
        <v>0</v>
      </c>
      <c r="AB441" s="11" t="s">
        <v>0</v>
      </c>
      <c r="AC441" s="11" t="s">
        <v>0</v>
      </c>
      <c r="AD441" s="11" t="s">
        <v>0</v>
      </c>
      <c r="AE441" s="11" t="s">
        <v>2090</v>
      </c>
    </row>
    <row r="442">
      <c r="B442" s="24" t="s">
        <v>8</v>
      </c>
      <c r="C442" s="12" t="s">
        <v>448</v>
      </c>
      <c r="D442" s="11" t="s">
        <v>1000</v>
      </c>
      <c r="E442" s="11" t="s">
        <v>1230</v>
      </c>
      <c r="F442" s="12" t="s">
        <v>8</v>
      </c>
      <c r="G442" s="12" t="s">
        <v>1302</v>
      </c>
      <c r="H442" s="12" t="s">
        <v>1302</v>
      </c>
      <c r="I442" s="12" t="s">
        <v>1311</v>
      </c>
      <c r="J442" s="12" t="s">
        <v>1322</v>
      </c>
      <c r="K442" s="12" t="s">
        <v>1326</v>
      </c>
      <c r="L442" s="12" t="s">
        <v>1303</v>
      </c>
      <c r="M442" s="12" t="s">
        <v>0</v>
      </c>
      <c r="N442" s="13" t="s">
        <v>1718</v>
      </c>
      <c r="O442" s="11" t="s">
        <v>0</v>
      </c>
      <c r="P442" s="11" t="s">
        <v>0</v>
      </c>
      <c r="Q442" s="11" t="s">
        <v>0</v>
      </c>
      <c r="R442" s="11" t="s">
        <v>0</v>
      </c>
      <c r="S442" s="11" t="s">
        <v>0</v>
      </c>
      <c r="T442" s="11" t="s">
        <v>0</v>
      </c>
      <c r="U442" s="11" t="s">
        <v>1888</v>
      </c>
      <c r="V442" s="11" t="s">
        <v>0</v>
      </c>
      <c r="W442" s="11" t="s">
        <v>0</v>
      </c>
      <c r="X442" s="11" t="s">
        <v>0</v>
      </c>
      <c r="Y442" s="11" t="s">
        <v>1950</v>
      </c>
      <c r="Z442" s="11" t="s">
        <v>0</v>
      </c>
      <c r="AA442" s="11" t="s">
        <v>0</v>
      </c>
      <c r="AB442" s="11" t="s">
        <v>0</v>
      </c>
      <c r="AC442" s="11" t="s">
        <v>0</v>
      </c>
      <c r="AD442" s="11" t="s">
        <v>0</v>
      </c>
      <c r="AE442" s="11" t="s">
        <v>13</v>
      </c>
    </row>
    <row r="443">
      <c r="B443" s="24" t="s">
        <v>8</v>
      </c>
      <c r="C443" s="12" t="s">
        <v>449</v>
      </c>
      <c r="D443" s="11" t="s">
        <v>1001</v>
      </c>
      <c r="E443" s="11" t="s">
        <v>1230</v>
      </c>
      <c r="F443" s="12" t="s">
        <v>8</v>
      </c>
      <c r="G443" s="12" t="s">
        <v>1302</v>
      </c>
      <c r="H443" s="12" t="s">
        <v>1302</v>
      </c>
      <c r="I443" s="12" t="s">
        <v>1311</v>
      </c>
      <c r="J443" s="12" t="s">
        <v>1322</v>
      </c>
      <c r="K443" s="12" t="s">
        <v>1326</v>
      </c>
      <c r="L443" s="12" t="s">
        <v>1303</v>
      </c>
      <c r="M443" s="12" t="s">
        <v>0</v>
      </c>
      <c r="N443" s="13" t="s">
        <v>1719</v>
      </c>
      <c r="O443" s="11" t="s">
        <v>0</v>
      </c>
      <c r="P443" s="11" t="s">
        <v>0</v>
      </c>
      <c r="Q443" s="11" t="s">
        <v>0</v>
      </c>
      <c r="R443" s="11" t="s">
        <v>0</v>
      </c>
      <c r="S443" s="11" t="s">
        <v>0</v>
      </c>
      <c r="T443" s="11" t="s">
        <v>0</v>
      </c>
      <c r="U443" s="11" t="s">
        <v>0</v>
      </c>
      <c r="V443" s="11" t="s">
        <v>0</v>
      </c>
      <c r="W443" s="11" t="s">
        <v>0</v>
      </c>
      <c r="X443" s="11" t="s">
        <v>0</v>
      </c>
      <c r="Y443" s="11" t="s">
        <v>0</v>
      </c>
      <c r="Z443" s="11" t="s">
        <v>0</v>
      </c>
      <c r="AA443" s="11" t="s">
        <v>0</v>
      </c>
      <c r="AB443" s="11" t="s">
        <v>0</v>
      </c>
      <c r="AC443" s="11" t="s">
        <v>0</v>
      </c>
      <c r="AD443" s="11" t="s">
        <v>0</v>
      </c>
      <c r="AE443" s="11" t="s">
        <v>2090</v>
      </c>
    </row>
    <row r="444">
      <c r="B444" s="24" t="s">
        <v>8</v>
      </c>
      <c r="C444" s="12" t="s">
        <v>450</v>
      </c>
      <c r="D444" s="11" t="s">
        <v>1002</v>
      </c>
      <c r="E444" s="11" t="s">
        <v>1230</v>
      </c>
      <c r="F444" s="12" t="s">
        <v>8</v>
      </c>
      <c r="G444" s="12" t="s">
        <v>1302</v>
      </c>
      <c r="H444" s="12" t="s">
        <v>1302</v>
      </c>
      <c r="I444" s="12" t="s">
        <v>1311</v>
      </c>
      <c r="J444" s="12" t="s">
        <v>1322</v>
      </c>
      <c r="K444" s="12" t="s">
        <v>1326</v>
      </c>
      <c r="L444" s="12" t="s">
        <v>1303</v>
      </c>
      <c r="M444" s="12" t="s">
        <v>0</v>
      </c>
      <c r="N444" s="13" t="s">
        <v>1720</v>
      </c>
      <c r="O444" s="11" t="s">
        <v>0</v>
      </c>
      <c r="P444" s="11" t="s">
        <v>0</v>
      </c>
      <c r="Q444" s="11" t="s">
        <v>0</v>
      </c>
      <c r="R444" s="11" t="s">
        <v>0</v>
      </c>
      <c r="S444" s="11" t="s">
        <v>0</v>
      </c>
      <c r="T444" s="11" t="s">
        <v>0</v>
      </c>
      <c r="U444" s="11" t="s">
        <v>0</v>
      </c>
      <c r="V444" s="11" t="s">
        <v>0</v>
      </c>
      <c r="W444" s="11" t="s">
        <v>0</v>
      </c>
      <c r="X444" s="11" t="s">
        <v>0</v>
      </c>
      <c r="Y444" s="11" t="s">
        <v>0</v>
      </c>
      <c r="Z444" s="11" t="s">
        <v>0</v>
      </c>
      <c r="AA444" s="11" t="s">
        <v>0</v>
      </c>
      <c r="AB444" s="11" t="s">
        <v>0</v>
      </c>
      <c r="AC444" s="11" t="s">
        <v>0</v>
      </c>
      <c r="AD444" s="11" t="s">
        <v>0</v>
      </c>
      <c r="AE444" s="11" t="s">
        <v>2090</v>
      </c>
    </row>
    <row r="445">
      <c r="B445" s="24" t="s">
        <v>8</v>
      </c>
      <c r="C445" s="12" t="s">
        <v>451</v>
      </c>
      <c r="D445" s="11" t="s">
        <v>1003</v>
      </c>
      <c r="E445" s="11" t="s">
        <v>1161</v>
      </c>
      <c r="F445" s="12" t="s">
        <v>8</v>
      </c>
      <c r="G445" s="12" t="s">
        <v>1302</v>
      </c>
      <c r="H445" s="12" t="s">
        <v>1302</v>
      </c>
      <c r="I445" s="12" t="s">
        <v>1310</v>
      </c>
      <c r="J445" s="12" t="s">
        <v>1320</v>
      </c>
      <c r="K445" s="12" t="s">
        <v>1332</v>
      </c>
      <c r="L445" s="12" t="s">
        <v>1303</v>
      </c>
      <c r="M445" s="12" t="s">
        <v>0</v>
      </c>
      <c r="N445" s="13" t="s">
        <v>1721</v>
      </c>
      <c r="O445" s="11" t="s">
        <v>0</v>
      </c>
      <c r="P445" s="11" t="s">
        <v>0</v>
      </c>
      <c r="Q445" s="11" t="s">
        <v>0</v>
      </c>
      <c r="R445" s="11" t="s">
        <v>0</v>
      </c>
      <c r="S445" s="11" t="s">
        <v>0</v>
      </c>
      <c r="T445" s="11" t="s">
        <v>0</v>
      </c>
      <c r="U445" s="11" t="s">
        <v>0</v>
      </c>
      <c r="V445" s="11" t="s">
        <v>0</v>
      </c>
      <c r="W445" s="11" t="s">
        <v>0</v>
      </c>
      <c r="X445" s="11" t="s">
        <v>0</v>
      </c>
      <c r="Y445" s="11" t="s">
        <v>0</v>
      </c>
      <c r="Z445" s="11" t="s">
        <v>0</v>
      </c>
      <c r="AA445" s="11" t="s">
        <v>0</v>
      </c>
      <c r="AB445" s="11" t="s">
        <v>0</v>
      </c>
      <c r="AC445" s="11" t="s">
        <v>0</v>
      </c>
      <c r="AD445" s="11" t="s">
        <v>0</v>
      </c>
      <c r="AE445" s="11" t="s">
        <v>2090</v>
      </c>
    </row>
    <row r="446">
      <c r="B446" s="24" t="s">
        <v>7</v>
      </c>
      <c r="C446" s="12" t="s">
        <v>452</v>
      </c>
      <c r="D446" s="11" t="s">
        <v>1004</v>
      </c>
      <c r="E446" s="11" t="s">
        <v>1234</v>
      </c>
      <c r="F446" s="12" t="s">
        <v>7</v>
      </c>
      <c r="G446" s="12" t="s">
        <v>1302</v>
      </c>
      <c r="H446" s="12" t="s">
        <v>1302</v>
      </c>
      <c r="I446" s="12" t="s">
        <v>1311</v>
      </c>
      <c r="J446" s="12" t="s">
        <v>1322</v>
      </c>
      <c r="K446" s="12" t="s">
        <v>1326</v>
      </c>
      <c r="L446" s="12" t="s">
        <v>1303</v>
      </c>
      <c r="M446" s="12" t="s">
        <v>0</v>
      </c>
      <c r="N446" s="13" t="s">
        <v>1722</v>
      </c>
      <c r="O446" s="11" t="s">
        <v>0</v>
      </c>
      <c r="P446" s="11" t="s">
        <v>0</v>
      </c>
      <c r="Q446" s="11" t="s">
        <v>0</v>
      </c>
      <c r="R446" s="11" t="s">
        <v>0</v>
      </c>
      <c r="S446" s="11" t="s">
        <v>0</v>
      </c>
      <c r="T446" s="11" t="s">
        <v>0</v>
      </c>
      <c r="U446" s="11" t="s">
        <v>0</v>
      </c>
      <c r="V446" s="11" t="s">
        <v>0</v>
      </c>
      <c r="W446" s="11" t="s">
        <v>0</v>
      </c>
      <c r="X446" s="11" t="s">
        <v>0</v>
      </c>
      <c r="Y446" s="11" t="s">
        <v>0</v>
      </c>
      <c r="Z446" s="11" t="s">
        <v>0</v>
      </c>
      <c r="AA446" s="11" t="s">
        <v>0</v>
      </c>
      <c r="AB446" s="11" t="s">
        <v>0</v>
      </c>
      <c r="AC446" s="11" t="s">
        <v>0</v>
      </c>
      <c r="AD446" s="11" t="s">
        <v>0</v>
      </c>
      <c r="AE446" s="11" t="s">
        <v>2090</v>
      </c>
    </row>
    <row r="447">
      <c r="B447" s="24" t="s">
        <v>2</v>
      </c>
      <c r="C447" s="12" t="s">
        <v>453</v>
      </c>
      <c r="D447" s="11" t="s">
        <v>1005</v>
      </c>
      <c r="E447" s="11" t="s">
        <v>1244</v>
      </c>
      <c r="F447" s="12" t="s">
        <v>2</v>
      </c>
      <c r="G447" s="12" t="s">
        <v>1302</v>
      </c>
      <c r="H447" s="12" t="s">
        <v>1302</v>
      </c>
      <c r="I447" s="12" t="s">
        <v>1310</v>
      </c>
      <c r="J447" s="12" t="s">
        <v>1162</v>
      </c>
      <c r="K447" s="12" t="s">
        <v>0</v>
      </c>
      <c r="L447" s="12" t="s">
        <v>1303</v>
      </c>
      <c r="M447" s="12" t="s">
        <v>0</v>
      </c>
      <c r="N447" s="13" t="s">
        <v>1723</v>
      </c>
      <c r="O447" s="11" t="s">
        <v>0</v>
      </c>
      <c r="P447" s="11" t="s">
        <v>0</v>
      </c>
      <c r="Q447" s="11" t="s">
        <v>0</v>
      </c>
      <c r="R447" s="11" t="s">
        <v>0</v>
      </c>
      <c r="S447" s="11" t="s">
        <v>0</v>
      </c>
      <c r="T447" s="11" t="s">
        <v>0</v>
      </c>
      <c r="U447" s="11" t="s">
        <v>0</v>
      </c>
      <c r="V447" s="11" t="s">
        <v>0</v>
      </c>
      <c r="W447" s="11" t="s">
        <v>0</v>
      </c>
      <c r="X447" s="11" t="s">
        <v>0</v>
      </c>
      <c r="Y447" s="11" t="s">
        <v>0</v>
      </c>
      <c r="Z447" s="11" t="s">
        <v>0</v>
      </c>
      <c r="AA447" s="11" t="s">
        <v>0</v>
      </c>
      <c r="AB447" s="11" t="s">
        <v>0</v>
      </c>
      <c r="AC447" s="11" t="s">
        <v>0</v>
      </c>
      <c r="AD447" s="11" t="s">
        <v>2068</v>
      </c>
      <c r="AE447" s="11" t="s">
        <v>2090</v>
      </c>
    </row>
    <row r="448">
      <c r="B448" s="24" t="s">
        <v>6</v>
      </c>
      <c r="C448" s="12" t="s">
        <v>454</v>
      </c>
      <c r="D448" s="11" t="s">
        <v>1006</v>
      </c>
      <c r="E448" s="11" t="s">
        <v>1245</v>
      </c>
      <c r="F448" s="12" t="s">
        <v>6</v>
      </c>
      <c r="G448" s="12" t="s">
        <v>1303</v>
      </c>
      <c r="H448" s="12" t="s">
        <v>1307</v>
      </c>
      <c r="I448" s="12" t="s">
        <v>0</v>
      </c>
      <c r="J448" s="12" t="s">
        <v>0</v>
      </c>
      <c r="K448" s="12" t="s">
        <v>0</v>
      </c>
      <c r="L448" s="12" t="s">
        <v>1303</v>
      </c>
      <c r="M448" s="12" t="s">
        <v>0</v>
      </c>
      <c r="N448" s="13" t="s">
        <v>1724</v>
      </c>
      <c r="O448" s="11" t="s">
        <v>0</v>
      </c>
      <c r="P448" s="11" t="s">
        <v>0</v>
      </c>
      <c r="Q448" s="11" t="s">
        <v>0</v>
      </c>
      <c r="R448" s="11" t="s">
        <v>0</v>
      </c>
      <c r="S448" s="11" t="s">
        <v>0</v>
      </c>
      <c r="T448" s="11" t="s">
        <v>0</v>
      </c>
      <c r="U448" s="11" t="s">
        <v>0</v>
      </c>
      <c r="V448" s="11" t="s">
        <v>0</v>
      </c>
      <c r="W448" s="11" t="s">
        <v>0</v>
      </c>
      <c r="X448" s="11" t="s">
        <v>0</v>
      </c>
      <c r="Y448" s="11" t="s">
        <v>0</v>
      </c>
      <c r="Z448" s="11" t="s">
        <v>0</v>
      </c>
      <c r="AA448" s="11" t="s">
        <v>0</v>
      </c>
      <c r="AB448" s="11" t="s">
        <v>0</v>
      </c>
      <c r="AC448" s="11" t="s">
        <v>0</v>
      </c>
      <c r="AD448" s="11" t="s">
        <v>2068</v>
      </c>
      <c r="AE448" s="11" t="s">
        <v>2090</v>
      </c>
    </row>
    <row r="449">
      <c r="B449" s="24" t="s">
        <v>2</v>
      </c>
      <c r="C449" s="12" t="s">
        <v>455</v>
      </c>
      <c r="D449" s="11" t="s">
        <v>1007</v>
      </c>
      <c r="E449" s="11" t="s">
        <v>1246</v>
      </c>
      <c r="F449" s="12" t="s">
        <v>2</v>
      </c>
      <c r="G449" s="12" t="s">
        <v>1302</v>
      </c>
      <c r="H449" s="12" t="s">
        <v>1302</v>
      </c>
      <c r="I449" s="12" t="s">
        <v>1310</v>
      </c>
      <c r="J449" s="12" t="s">
        <v>1316</v>
      </c>
      <c r="K449" s="12" t="s">
        <v>1329</v>
      </c>
      <c r="L449" s="12" t="s">
        <v>1303</v>
      </c>
      <c r="M449" s="12" t="s">
        <v>0</v>
      </c>
      <c r="N449" s="13" t="s">
        <v>1725</v>
      </c>
      <c r="O449" s="11" t="s">
        <v>0</v>
      </c>
      <c r="P449" s="11" t="s">
        <v>0</v>
      </c>
      <c r="Q449" s="11" t="s">
        <v>0</v>
      </c>
      <c r="R449" s="11" t="s">
        <v>0</v>
      </c>
      <c r="S449" s="11" t="s">
        <v>0</v>
      </c>
      <c r="T449" s="11" t="s">
        <v>1307</v>
      </c>
      <c r="U449" s="11" t="s">
        <v>1888</v>
      </c>
      <c r="V449" s="11" t="s">
        <v>0</v>
      </c>
      <c r="W449" s="11" t="s">
        <v>0</v>
      </c>
      <c r="X449" s="11" t="s">
        <v>0</v>
      </c>
      <c r="Y449" s="11" t="s">
        <v>0</v>
      </c>
      <c r="Z449" s="11" t="s">
        <v>1947</v>
      </c>
      <c r="AA449" s="11" t="s">
        <v>1947</v>
      </c>
      <c r="AB449" s="11" t="s">
        <v>2003</v>
      </c>
      <c r="AC449" s="11" t="s">
        <v>44</v>
      </c>
      <c r="AD449" s="11" t="s">
        <v>2068</v>
      </c>
      <c r="AE449" s="11" t="s">
        <v>13</v>
      </c>
    </row>
    <row r="450">
      <c r="B450" s="24" t="s">
        <v>6</v>
      </c>
      <c r="C450" s="12" t="s">
        <v>456</v>
      </c>
      <c r="D450" s="11" t="s">
        <v>1008</v>
      </c>
      <c r="E450" s="11" t="s">
        <v>1231</v>
      </c>
      <c r="F450" s="12" t="s">
        <v>6</v>
      </c>
      <c r="G450" s="12" t="s">
        <v>1302</v>
      </c>
      <c r="H450" s="12" t="s">
        <v>1302</v>
      </c>
      <c r="I450" s="12" t="s">
        <v>1310</v>
      </c>
      <c r="J450" s="12" t="s">
        <v>1163</v>
      </c>
      <c r="K450" s="12" t="s">
        <v>1332</v>
      </c>
      <c r="L450" s="12" t="s">
        <v>1303</v>
      </c>
      <c r="M450" s="12" t="s">
        <v>0</v>
      </c>
      <c r="N450" s="13" t="s">
        <v>1726</v>
      </c>
      <c r="O450" s="11" t="s">
        <v>0</v>
      </c>
      <c r="P450" s="11" t="s">
        <v>0</v>
      </c>
      <c r="Q450" s="11" t="s">
        <v>0</v>
      </c>
      <c r="R450" s="11" t="s">
        <v>0</v>
      </c>
      <c r="S450" s="11" t="s">
        <v>0</v>
      </c>
      <c r="T450" s="11" t="s">
        <v>0</v>
      </c>
      <c r="U450" s="11" t="s">
        <v>0</v>
      </c>
      <c r="V450" s="11" t="s">
        <v>0</v>
      </c>
      <c r="W450" s="11" t="s">
        <v>0</v>
      </c>
      <c r="X450" s="11" t="s">
        <v>0</v>
      </c>
      <c r="Y450" s="11" t="s">
        <v>0</v>
      </c>
      <c r="Z450" s="11" t="s">
        <v>0</v>
      </c>
      <c r="AA450" s="11" t="s">
        <v>0</v>
      </c>
      <c r="AB450" s="11" t="s">
        <v>0</v>
      </c>
      <c r="AC450" s="11" t="s">
        <v>0</v>
      </c>
      <c r="AD450" s="11" t="s">
        <v>0</v>
      </c>
      <c r="AE450" s="11" t="s">
        <v>2090</v>
      </c>
    </row>
    <row r="451">
      <c r="B451" s="24" t="s">
        <v>6</v>
      </c>
      <c r="C451" s="12" t="s">
        <v>457</v>
      </c>
      <c r="D451" s="11" t="s">
        <v>1009</v>
      </c>
      <c r="E451" s="11" t="s">
        <v>1232</v>
      </c>
      <c r="F451" s="12" t="s">
        <v>6</v>
      </c>
      <c r="G451" s="12" t="s">
        <v>1302</v>
      </c>
      <c r="H451" s="12" t="s">
        <v>1302</v>
      </c>
      <c r="I451" s="12" t="s">
        <v>1311</v>
      </c>
      <c r="J451" s="12" t="s">
        <v>1322</v>
      </c>
      <c r="K451" s="12" t="s">
        <v>1326</v>
      </c>
      <c r="L451" s="12" t="s">
        <v>1303</v>
      </c>
      <c r="M451" s="12" t="s">
        <v>0</v>
      </c>
      <c r="N451" s="13" t="s">
        <v>1727</v>
      </c>
      <c r="O451" s="11" t="s">
        <v>0</v>
      </c>
      <c r="P451" s="11" t="s">
        <v>0</v>
      </c>
      <c r="Q451" s="11" t="s">
        <v>0</v>
      </c>
      <c r="R451" s="11" t="s">
        <v>0</v>
      </c>
      <c r="S451" s="11" t="s">
        <v>0</v>
      </c>
      <c r="T451" s="11" t="s">
        <v>0</v>
      </c>
      <c r="U451" s="11" t="s">
        <v>0</v>
      </c>
      <c r="V451" s="11" t="s">
        <v>0</v>
      </c>
      <c r="W451" s="11" t="s">
        <v>0</v>
      </c>
      <c r="X451" s="11" t="s">
        <v>0</v>
      </c>
      <c r="Y451" s="11" t="s">
        <v>0</v>
      </c>
      <c r="Z451" s="11" t="s">
        <v>0</v>
      </c>
      <c r="AA451" s="11" t="s">
        <v>0</v>
      </c>
      <c r="AB451" s="11" t="s">
        <v>0</v>
      </c>
      <c r="AC451" s="11" t="s">
        <v>0</v>
      </c>
      <c r="AD451" s="11" t="s">
        <v>0</v>
      </c>
      <c r="AE451" s="11" t="s">
        <v>2090</v>
      </c>
    </row>
    <row r="452">
      <c r="B452" s="24" t="s">
        <v>6</v>
      </c>
      <c r="C452" s="12" t="s">
        <v>458</v>
      </c>
      <c r="D452" s="11" t="s">
        <v>1010</v>
      </c>
      <c r="E452" s="11" t="s">
        <v>1232</v>
      </c>
      <c r="F452" s="12" t="s">
        <v>6</v>
      </c>
      <c r="G452" s="12" t="s">
        <v>1302</v>
      </c>
      <c r="H452" s="12" t="s">
        <v>1302</v>
      </c>
      <c r="I452" s="12" t="s">
        <v>1311</v>
      </c>
      <c r="J452" s="12" t="s">
        <v>1322</v>
      </c>
      <c r="K452" s="12" t="s">
        <v>1326</v>
      </c>
      <c r="L452" s="12" t="s">
        <v>1303</v>
      </c>
      <c r="M452" s="12" t="s">
        <v>0</v>
      </c>
      <c r="N452" s="13" t="s">
        <v>1728</v>
      </c>
      <c r="O452" s="11" t="s">
        <v>0</v>
      </c>
      <c r="P452" s="11" t="s">
        <v>0</v>
      </c>
      <c r="Q452" s="11" t="s">
        <v>0</v>
      </c>
      <c r="R452" s="11" t="s">
        <v>0</v>
      </c>
      <c r="S452" s="11" t="s">
        <v>0</v>
      </c>
      <c r="T452" s="11" t="s">
        <v>0</v>
      </c>
      <c r="U452" s="11" t="s">
        <v>0</v>
      </c>
      <c r="V452" s="11" t="s">
        <v>0</v>
      </c>
      <c r="W452" s="11" t="s">
        <v>0</v>
      </c>
      <c r="X452" s="11" t="s">
        <v>0</v>
      </c>
      <c r="Y452" s="11" t="s">
        <v>0</v>
      </c>
      <c r="Z452" s="11" t="s">
        <v>0</v>
      </c>
      <c r="AA452" s="11" t="s">
        <v>0</v>
      </c>
      <c r="AB452" s="11" t="s">
        <v>0</v>
      </c>
      <c r="AC452" s="11" t="s">
        <v>0</v>
      </c>
      <c r="AD452" s="11" t="s">
        <v>0</v>
      </c>
      <c r="AE452" s="11" t="s">
        <v>2090</v>
      </c>
    </row>
    <row r="453">
      <c r="B453" s="24" t="s">
        <v>6</v>
      </c>
      <c r="C453" s="12" t="s">
        <v>459</v>
      </c>
      <c r="D453" s="11" t="s">
        <v>1011</v>
      </c>
      <c r="E453" s="11" t="s">
        <v>1232</v>
      </c>
      <c r="F453" s="12" t="s">
        <v>6</v>
      </c>
      <c r="G453" s="12" t="s">
        <v>1302</v>
      </c>
      <c r="H453" s="12" t="s">
        <v>1302</v>
      </c>
      <c r="I453" s="12" t="s">
        <v>1311</v>
      </c>
      <c r="J453" s="12" t="s">
        <v>1322</v>
      </c>
      <c r="K453" s="12" t="s">
        <v>1326</v>
      </c>
      <c r="L453" s="12" t="s">
        <v>1303</v>
      </c>
      <c r="M453" s="12" t="s">
        <v>0</v>
      </c>
      <c r="N453" s="13" t="s">
        <v>1729</v>
      </c>
      <c r="O453" s="11" t="s">
        <v>0</v>
      </c>
      <c r="P453" s="11" t="s">
        <v>0</v>
      </c>
      <c r="Q453" s="11" t="s">
        <v>0</v>
      </c>
      <c r="R453" s="11" t="s">
        <v>0</v>
      </c>
      <c r="S453" s="11" t="s">
        <v>0</v>
      </c>
      <c r="T453" s="11" t="s">
        <v>0</v>
      </c>
      <c r="U453" s="11" t="s">
        <v>0</v>
      </c>
      <c r="V453" s="11" t="s">
        <v>0</v>
      </c>
      <c r="W453" s="11" t="s">
        <v>0</v>
      </c>
      <c r="X453" s="11" t="s">
        <v>0</v>
      </c>
      <c r="Y453" s="11" t="s">
        <v>0</v>
      </c>
      <c r="Z453" s="11" t="s">
        <v>0</v>
      </c>
      <c r="AA453" s="11" t="s">
        <v>0</v>
      </c>
      <c r="AB453" s="11" t="s">
        <v>0</v>
      </c>
      <c r="AC453" s="11" t="s">
        <v>0</v>
      </c>
      <c r="AD453" s="11" t="s">
        <v>0</v>
      </c>
      <c r="AE453" s="11" t="s">
        <v>2090</v>
      </c>
    </row>
    <row r="454">
      <c r="B454" s="24" t="s">
        <v>6</v>
      </c>
      <c r="C454" s="12" t="s">
        <v>460</v>
      </c>
      <c r="D454" s="11" t="s">
        <v>1012</v>
      </c>
      <c r="E454" s="11" t="s">
        <v>1232</v>
      </c>
      <c r="F454" s="12" t="s">
        <v>6</v>
      </c>
      <c r="G454" s="12" t="s">
        <v>1302</v>
      </c>
      <c r="H454" s="12" t="s">
        <v>1302</v>
      </c>
      <c r="I454" s="12" t="s">
        <v>1311</v>
      </c>
      <c r="J454" s="12" t="s">
        <v>1322</v>
      </c>
      <c r="K454" s="12" t="s">
        <v>1326</v>
      </c>
      <c r="L454" s="12" t="s">
        <v>1303</v>
      </c>
      <c r="M454" s="12" t="s">
        <v>0</v>
      </c>
      <c r="N454" s="13" t="s">
        <v>1730</v>
      </c>
      <c r="O454" s="11" t="s">
        <v>0</v>
      </c>
      <c r="P454" s="11" t="s">
        <v>0</v>
      </c>
      <c r="Q454" s="11" t="s">
        <v>0</v>
      </c>
      <c r="R454" s="11" t="s">
        <v>0</v>
      </c>
      <c r="S454" s="11" t="s">
        <v>0</v>
      </c>
      <c r="T454" s="11" t="s">
        <v>0</v>
      </c>
      <c r="U454" s="11" t="s">
        <v>0</v>
      </c>
      <c r="V454" s="11" t="s">
        <v>0</v>
      </c>
      <c r="W454" s="11" t="s">
        <v>0</v>
      </c>
      <c r="X454" s="11" t="s">
        <v>0</v>
      </c>
      <c r="Y454" s="11" t="s">
        <v>0</v>
      </c>
      <c r="Z454" s="11" t="s">
        <v>0</v>
      </c>
      <c r="AA454" s="11" t="s">
        <v>0</v>
      </c>
      <c r="AB454" s="11" t="s">
        <v>0</v>
      </c>
      <c r="AC454" s="11" t="s">
        <v>0</v>
      </c>
      <c r="AD454" s="11" t="s">
        <v>0</v>
      </c>
      <c r="AE454" s="11" t="s">
        <v>2090</v>
      </c>
    </row>
    <row r="455">
      <c r="B455" s="24" t="s">
        <v>6</v>
      </c>
      <c r="C455" s="12" t="s">
        <v>461</v>
      </c>
      <c r="D455" s="11" t="s">
        <v>1013</v>
      </c>
      <c r="E455" s="11" t="s">
        <v>1232</v>
      </c>
      <c r="F455" s="12" t="s">
        <v>6</v>
      </c>
      <c r="G455" s="12" t="s">
        <v>1302</v>
      </c>
      <c r="H455" s="12" t="s">
        <v>1302</v>
      </c>
      <c r="I455" s="12" t="s">
        <v>1311</v>
      </c>
      <c r="J455" s="12" t="s">
        <v>1322</v>
      </c>
      <c r="K455" s="12" t="s">
        <v>1326</v>
      </c>
      <c r="L455" s="12" t="s">
        <v>1303</v>
      </c>
      <c r="M455" s="12" t="s">
        <v>0</v>
      </c>
      <c r="N455" s="13" t="s">
        <v>1731</v>
      </c>
      <c r="O455" s="11" t="s">
        <v>0</v>
      </c>
      <c r="P455" s="11" t="s">
        <v>0</v>
      </c>
      <c r="Q455" s="11" t="s">
        <v>0</v>
      </c>
      <c r="R455" s="11" t="s">
        <v>0</v>
      </c>
      <c r="S455" s="11" t="s">
        <v>0</v>
      </c>
      <c r="T455" s="11" t="s">
        <v>0</v>
      </c>
      <c r="U455" s="11" t="s">
        <v>0</v>
      </c>
      <c r="V455" s="11" t="s">
        <v>0</v>
      </c>
      <c r="W455" s="11" t="s">
        <v>0</v>
      </c>
      <c r="X455" s="11" t="s">
        <v>0</v>
      </c>
      <c r="Y455" s="11" t="s">
        <v>0</v>
      </c>
      <c r="Z455" s="11" t="s">
        <v>0</v>
      </c>
      <c r="AA455" s="11" t="s">
        <v>0</v>
      </c>
      <c r="AB455" s="11" t="s">
        <v>0</v>
      </c>
      <c r="AC455" s="11" t="s">
        <v>0</v>
      </c>
      <c r="AD455" s="11" t="s">
        <v>0</v>
      </c>
      <c r="AE455" s="11" t="s">
        <v>2090</v>
      </c>
    </row>
    <row r="456">
      <c r="B456" s="24" t="s">
        <v>6</v>
      </c>
      <c r="C456" s="12" t="s">
        <v>462</v>
      </c>
      <c r="D456" s="11" t="s">
        <v>1014</v>
      </c>
      <c r="E456" s="11" t="s">
        <v>1164</v>
      </c>
      <c r="F456" s="12" t="s">
        <v>6</v>
      </c>
      <c r="G456" s="12" t="s">
        <v>1302</v>
      </c>
      <c r="H456" s="12" t="s">
        <v>1302</v>
      </c>
      <c r="I456" s="12" t="s">
        <v>1310</v>
      </c>
      <c r="J456" s="12" t="s">
        <v>1316</v>
      </c>
      <c r="K456" s="12" t="s">
        <v>1334</v>
      </c>
      <c r="L456" s="12" t="s">
        <v>1303</v>
      </c>
      <c r="M456" s="12" t="s">
        <v>0</v>
      </c>
      <c r="N456" s="13" t="s">
        <v>1732</v>
      </c>
      <c r="O456" s="11" t="s">
        <v>0</v>
      </c>
      <c r="P456" s="11" t="s">
        <v>0</v>
      </c>
      <c r="Q456" s="11" t="s">
        <v>0</v>
      </c>
      <c r="R456" s="11" t="s">
        <v>0</v>
      </c>
      <c r="S456" s="11" t="s">
        <v>0</v>
      </c>
      <c r="T456" s="11" t="s">
        <v>0</v>
      </c>
      <c r="U456" s="11" t="s">
        <v>1893</v>
      </c>
      <c r="V456" s="11" t="s">
        <v>0</v>
      </c>
      <c r="W456" s="11" t="s">
        <v>0</v>
      </c>
      <c r="X456" s="11" t="s">
        <v>0</v>
      </c>
      <c r="Y456" s="11" t="s">
        <v>0</v>
      </c>
      <c r="Z456" s="11" t="s">
        <v>0</v>
      </c>
      <c r="AA456" s="11" t="s">
        <v>0</v>
      </c>
      <c r="AB456" s="11" t="s">
        <v>0</v>
      </c>
      <c r="AC456" s="11" t="s">
        <v>0</v>
      </c>
      <c r="AD456" s="11" t="s">
        <v>0</v>
      </c>
      <c r="AE456" s="11" t="s">
        <v>13</v>
      </c>
    </row>
    <row r="457">
      <c r="B457" s="24" t="s">
        <v>6</v>
      </c>
      <c r="C457" s="12" t="s">
        <v>463</v>
      </c>
      <c r="D457" s="11" t="s">
        <v>1015</v>
      </c>
      <c r="E457" s="11" t="s">
        <v>1164</v>
      </c>
      <c r="F457" s="12" t="s">
        <v>6</v>
      </c>
      <c r="G457" s="12" t="s">
        <v>1302</v>
      </c>
      <c r="H457" s="12" t="s">
        <v>1302</v>
      </c>
      <c r="I457" s="12" t="s">
        <v>1310</v>
      </c>
      <c r="J457" s="12" t="s">
        <v>1316</v>
      </c>
      <c r="K457" s="12" t="s">
        <v>1334</v>
      </c>
      <c r="L457" s="12" t="s">
        <v>1303</v>
      </c>
      <c r="M457" s="12" t="s">
        <v>0</v>
      </c>
      <c r="N457" s="13" t="s">
        <v>1733</v>
      </c>
      <c r="O457" s="11" t="s">
        <v>0</v>
      </c>
      <c r="P457" s="11" t="s">
        <v>0</v>
      </c>
      <c r="Q457" s="11" t="s">
        <v>0</v>
      </c>
      <c r="R457" s="11" t="s">
        <v>0</v>
      </c>
      <c r="S457" s="11" t="s">
        <v>0</v>
      </c>
      <c r="T457" s="11" t="s">
        <v>0</v>
      </c>
      <c r="U457" s="11" t="s">
        <v>0</v>
      </c>
      <c r="V457" s="11" t="s">
        <v>0</v>
      </c>
      <c r="W457" s="11" t="s">
        <v>0</v>
      </c>
      <c r="X457" s="11" t="s">
        <v>0</v>
      </c>
      <c r="Y457" s="11" t="s">
        <v>0</v>
      </c>
      <c r="Z457" s="11" t="s">
        <v>0</v>
      </c>
      <c r="AA457" s="11" t="s">
        <v>0</v>
      </c>
      <c r="AB457" s="11" t="s">
        <v>0</v>
      </c>
      <c r="AC457" s="11" t="s">
        <v>0</v>
      </c>
      <c r="AD457" s="11" t="s">
        <v>0</v>
      </c>
      <c r="AE457" s="11" t="s">
        <v>2090</v>
      </c>
    </row>
    <row r="458">
      <c r="B458" s="24" t="s">
        <v>6</v>
      </c>
      <c r="C458" s="12" t="s">
        <v>464</v>
      </c>
      <c r="D458" s="11" t="s">
        <v>1016</v>
      </c>
      <c r="E458" s="11" t="s">
        <v>1231</v>
      </c>
      <c r="F458" s="12" t="s">
        <v>6</v>
      </c>
      <c r="G458" s="12" t="s">
        <v>1302</v>
      </c>
      <c r="H458" s="12" t="s">
        <v>1302</v>
      </c>
      <c r="I458" s="12" t="s">
        <v>1310</v>
      </c>
      <c r="J458" s="12" t="s">
        <v>1163</v>
      </c>
      <c r="K458" s="12" t="s">
        <v>1332</v>
      </c>
      <c r="L458" s="12" t="s">
        <v>1303</v>
      </c>
      <c r="M458" s="12" t="s">
        <v>0</v>
      </c>
      <c r="N458" s="13" t="s">
        <v>1734</v>
      </c>
      <c r="O458" s="11" t="s">
        <v>0</v>
      </c>
      <c r="P458" s="11" t="s">
        <v>0</v>
      </c>
      <c r="Q458" s="11" t="s">
        <v>0</v>
      </c>
      <c r="R458" s="11" t="s">
        <v>0</v>
      </c>
      <c r="S458" s="11" t="s">
        <v>0</v>
      </c>
      <c r="T458" s="11" t="s">
        <v>0</v>
      </c>
      <c r="U458" s="11" t="s">
        <v>0</v>
      </c>
      <c r="V458" s="11" t="s">
        <v>0</v>
      </c>
      <c r="W458" s="11" t="s">
        <v>0</v>
      </c>
      <c r="X458" s="11" t="s">
        <v>0</v>
      </c>
      <c r="Y458" s="11" t="s">
        <v>0</v>
      </c>
      <c r="Z458" s="11" t="s">
        <v>0</v>
      </c>
      <c r="AA458" s="11" t="s">
        <v>0</v>
      </c>
      <c r="AB458" s="11" t="s">
        <v>0</v>
      </c>
      <c r="AC458" s="11" t="s">
        <v>0</v>
      </c>
      <c r="AD458" s="11" t="s">
        <v>0</v>
      </c>
      <c r="AE458" s="11" t="s">
        <v>2090</v>
      </c>
    </row>
    <row r="459">
      <c r="B459" s="24" t="s">
        <v>6</v>
      </c>
      <c r="C459" s="12" t="s">
        <v>465</v>
      </c>
      <c r="D459" s="11" t="s">
        <v>1017</v>
      </c>
      <c r="E459" s="11" t="s">
        <v>1231</v>
      </c>
      <c r="F459" s="12" t="s">
        <v>6</v>
      </c>
      <c r="G459" s="12" t="s">
        <v>1302</v>
      </c>
      <c r="H459" s="12" t="s">
        <v>1302</v>
      </c>
      <c r="I459" s="12" t="s">
        <v>1310</v>
      </c>
      <c r="J459" s="12" t="s">
        <v>1163</v>
      </c>
      <c r="K459" s="12" t="s">
        <v>1332</v>
      </c>
      <c r="L459" s="12" t="s">
        <v>1303</v>
      </c>
      <c r="M459" s="12" t="s">
        <v>0</v>
      </c>
      <c r="N459" s="13" t="s">
        <v>1734</v>
      </c>
      <c r="O459" s="11" t="s">
        <v>0</v>
      </c>
      <c r="P459" s="11" t="s">
        <v>0</v>
      </c>
      <c r="Q459" s="11" t="s">
        <v>0</v>
      </c>
      <c r="R459" s="11" t="s">
        <v>0</v>
      </c>
      <c r="S459" s="11" t="s">
        <v>0</v>
      </c>
      <c r="T459" s="11" t="s">
        <v>0</v>
      </c>
      <c r="U459" s="11" t="s">
        <v>0</v>
      </c>
      <c r="V459" s="11" t="s">
        <v>0</v>
      </c>
      <c r="W459" s="11" t="s">
        <v>0</v>
      </c>
      <c r="X459" s="11" t="s">
        <v>0</v>
      </c>
      <c r="Y459" s="11" t="s">
        <v>0</v>
      </c>
      <c r="Z459" s="11" t="s">
        <v>0</v>
      </c>
      <c r="AA459" s="11" t="s">
        <v>0</v>
      </c>
      <c r="AB459" s="11" t="s">
        <v>0</v>
      </c>
      <c r="AC459" s="11" t="s">
        <v>0</v>
      </c>
      <c r="AD459" s="11" t="s">
        <v>0</v>
      </c>
      <c r="AE459" s="11" t="s">
        <v>2090</v>
      </c>
    </row>
    <row r="460">
      <c r="B460" s="24" t="s">
        <v>6</v>
      </c>
      <c r="C460" s="12" t="s">
        <v>466</v>
      </c>
      <c r="D460" s="11" t="s">
        <v>1018</v>
      </c>
      <c r="E460" s="11" t="s">
        <v>1232</v>
      </c>
      <c r="F460" s="12" t="s">
        <v>6</v>
      </c>
      <c r="G460" s="12" t="s">
        <v>1302</v>
      </c>
      <c r="H460" s="12" t="s">
        <v>1302</v>
      </c>
      <c r="I460" s="12" t="s">
        <v>1311</v>
      </c>
      <c r="J460" s="12" t="s">
        <v>1322</v>
      </c>
      <c r="K460" s="12" t="s">
        <v>1326</v>
      </c>
      <c r="L460" s="12" t="s">
        <v>1303</v>
      </c>
      <c r="M460" s="12" t="s">
        <v>0</v>
      </c>
      <c r="N460" s="13" t="s">
        <v>1735</v>
      </c>
      <c r="O460" s="11" t="s">
        <v>0</v>
      </c>
      <c r="P460" s="11" t="s">
        <v>0</v>
      </c>
      <c r="Q460" s="11" t="s">
        <v>0</v>
      </c>
      <c r="R460" s="11" t="s">
        <v>0</v>
      </c>
      <c r="S460" s="11" t="s">
        <v>0</v>
      </c>
      <c r="T460" s="11" t="s">
        <v>0</v>
      </c>
      <c r="U460" s="11" t="s">
        <v>0</v>
      </c>
      <c r="V460" s="11" t="s">
        <v>0</v>
      </c>
      <c r="W460" s="11" t="s">
        <v>0</v>
      </c>
      <c r="X460" s="11" t="s">
        <v>0</v>
      </c>
      <c r="Y460" s="11" t="s">
        <v>0</v>
      </c>
      <c r="Z460" s="11" t="s">
        <v>0</v>
      </c>
      <c r="AA460" s="11" t="s">
        <v>0</v>
      </c>
      <c r="AB460" s="11" t="s">
        <v>0</v>
      </c>
      <c r="AC460" s="11" t="s">
        <v>0</v>
      </c>
      <c r="AD460" s="11" t="s">
        <v>0</v>
      </c>
      <c r="AE460" s="11" t="s">
        <v>2090</v>
      </c>
    </row>
    <row r="461">
      <c r="B461" s="24" t="s">
        <v>6</v>
      </c>
      <c r="C461" s="12" t="s">
        <v>467</v>
      </c>
      <c r="D461" s="11" t="s">
        <v>1019</v>
      </c>
      <c r="E461" s="11" t="s">
        <v>1162</v>
      </c>
      <c r="F461" s="12" t="s">
        <v>6</v>
      </c>
      <c r="G461" s="12" t="s">
        <v>1302</v>
      </c>
      <c r="H461" s="12" t="s">
        <v>1302</v>
      </c>
      <c r="I461" s="12" t="s">
        <v>1310</v>
      </c>
      <c r="J461" s="12" t="s">
        <v>1162</v>
      </c>
      <c r="K461" s="12" t="s">
        <v>1332</v>
      </c>
      <c r="L461" s="12" t="s">
        <v>1303</v>
      </c>
      <c r="M461" s="12" t="s">
        <v>0</v>
      </c>
      <c r="N461" s="13" t="s">
        <v>1736</v>
      </c>
      <c r="O461" s="11" t="s">
        <v>0</v>
      </c>
      <c r="P461" s="11" t="s">
        <v>0</v>
      </c>
      <c r="Q461" s="11" t="s">
        <v>0</v>
      </c>
      <c r="R461" s="11" t="s">
        <v>0</v>
      </c>
      <c r="S461" s="11" t="s">
        <v>0</v>
      </c>
      <c r="T461" s="11" t="s">
        <v>0</v>
      </c>
      <c r="U461" s="11" t="s">
        <v>0</v>
      </c>
      <c r="V461" s="11" t="s">
        <v>0</v>
      </c>
      <c r="W461" s="11" t="s">
        <v>0</v>
      </c>
      <c r="X461" s="11" t="s">
        <v>0</v>
      </c>
      <c r="Y461" s="11" t="s">
        <v>0</v>
      </c>
      <c r="Z461" s="11" t="s">
        <v>0</v>
      </c>
      <c r="AA461" s="11" t="s">
        <v>0</v>
      </c>
      <c r="AB461" s="11" t="s">
        <v>0</v>
      </c>
      <c r="AC461" s="11" t="s">
        <v>0</v>
      </c>
      <c r="AD461" s="11" t="s">
        <v>0</v>
      </c>
      <c r="AE461" s="11" t="s">
        <v>2090</v>
      </c>
    </row>
    <row r="462">
      <c r="B462" s="24" t="s">
        <v>6</v>
      </c>
      <c r="C462" s="12" t="s">
        <v>468</v>
      </c>
      <c r="D462" s="11" t="s">
        <v>1020</v>
      </c>
      <c r="E462" s="11" t="s">
        <v>1162</v>
      </c>
      <c r="F462" s="12" t="s">
        <v>6</v>
      </c>
      <c r="G462" s="12" t="s">
        <v>1302</v>
      </c>
      <c r="H462" s="12" t="s">
        <v>1302</v>
      </c>
      <c r="I462" s="12" t="s">
        <v>1310</v>
      </c>
      <c r="J462" s="12" t="s">
        <v>1162</v>
      </c>
      <c r="K462" s="12" t="s">
        <v>1332</v>
      </c>
      <c r="L462" s="12" t="s">
        <v>1303</v>
      </c>
      <c r="M462" s="12" t="s">
        <v>0</v>
      </c>
      <c r="N462" s="13" t="s">
        <v>1737</v>
      </c>
      <c r="O462" s="11" t="s">
        <v>0</v>
      </c>
      <c r="P462" s="11" t="s">
        <v>0</v>
      </c>
      <c r="Q462" s="11" t="s">
        <v>0</v>
      </c>
      <c r="R462" s="11" t="s">
        <v>0</v>
      </c>
      <c r="S462" s="11" t="s">
        <v>0</v>
      </c>
      <c r="T462" s="11" t="s">
        <v>0</v>
      </c>
      <c r="U462" s="11" t="s">
        <v>0</v>
      </c>
      <c r="V462" s="11" t="s">
        <v>0</v>
      </c>
      <c r="W462" s="11" t="s">
        <v>0</v>
      </c>
      <c r="X462" s="11" t="s">
        <v>0</v>
      </c>
      <c r="Y462" s="11" t="s">
        <v>0</v>
      </c>
      <c r="Z462" s="11" t="s">
        <v>0</v>
      </c>
      <c r="AA462" s="11" t="s">
        <v>0</v>
      </c>
      <c r="AB462" s="11" t="s">
        <v>0</v>
      </c>
      <c r="AC462" s="11" t="s">
        <v>0</v>
      </c>
      <c r="AD462" s="11" t="s">
        <v>0</v>
      </c>
      <c r="AE462" s="11" t="s">
        <v>2090</v>
      </c>
    </row>
    <row r="463">
      <c r="B463" s="24" t="s">
        <v>6</v>
      </c>
      <c r="C463" s="12" t="s">
        <v>469</v>
      </c>
      <c r="D463" s="11" t="s">
        <v>1021</v>
      </c>
      <c r="E463" s="11" t="s">
        <v>1247</v>
      </c>
      <c r="F463" s="12" t="s">
        <v>6</v>
      </c>
      <c r="G463" s="12" t="s">
        <v>1302</v>
      </c>
      <c r="H463" s="12" t="s">
        <v>1302</v>
      </c>
      <c r="I463" s="12" t="s">
        <v>1310</v>
      </c>
      <c r="J463" s="12" t="s">
        <v>1316</v>
      </c>
      <c r="K463" s="12" t="s">
        <v>1329</v>
      </c>
      <c r="L463" s="12" t="s">
        <v>1303</v>
      </c>
      <c r="M463" s="12" t="s">
        <v>0</v>
      </c>
      <c r="N463" s="13" t="s">
        <v>1738</v>
      </c>
      <c r="O463" s="11" t="s">
        <v>0</v>
      </c>
      <c r="P463" s="11" t="s">
        <v>0</v>
      </c>
      <c r="Q463" s="11" t="s">
        <v>0</v>
      </c>
      <c r="R463" s="11" t="s">
        <v>0</v>
      </c>
      <c r="S463" s="11" t="s">
        <v>0</v>
      </c>
      <c r="T463" s="11" t="s">
        <v>0</v>
      </c>
      <c r="U463" s="11" t="s">
        <v>0</v>
      </c>
      <c r="V463" s="11" t="s">
        <v>0</v>
      </c>
      <c r="W463" s="11" t="s">
        <v>0</v>
      </c>
      <c r="X463" s="11" t="s">
        <v>0</v>
      </c>
      <c r="Y463" s="11" t="s">
        <v>0</v>
      </c>
      <c r="Z463" s="11" t="s">
        <v>0</v>
      </c>
      <c r="AA463" s="11" t="s">
        <v>0</v>
      </c>
      <c r="AB463" s="11" t="s">
        <v>0</v>
      </c>
      <c r="AC463" s="11" t="s">
        <v>0</v>
      </c>
      <c r="AD463" s="11" t="s">
        <v>0</v>
      </c>
      <c r="AE463" s="11" t="s">
        <v>2090</v>
      </c>
    </row>
    <row r="464">
      <c r="B464" s="24" t="s">
        <v>6</v>
      </c>
      <c r="C464" s="12" t="s">
        <v>470</v>
      </c>
      <c r="D464" s="11" t="s">
        <v>1022</v>
      </c>
      <c r="E464" s="11" t="s">
        <v>1247</v>
      </c>
      <c r="F464" s="12" t="s">
        <v>6</v>
      </c>
      <c r="G464" s="12" t="s">
        <v>1302</v>
      </c>
      <c r="H464" s="12" t="s">
        <v>1302</v>
      </c>
      <c r="I464" s="12" t="s">
        <v>1310</v>
      </c>
      <c r="J464" s="12" t="s">
        <v>1316</v>
      </c>
      <c r="K464" s="12" t="s">
        <v>1329</v>
      </c>
      <c r="L464" s="12" t="s">
        <v>1303</v>
      </c>
      <c r="M464" s="12" t="s">
        <v>0</v>
      </c>
      <c r="N464" s="13" t="s">
        <v>1739</v>
      </c>
      <c r="O464" s="11" t="s">
        <v>0</v>
      </c>
      <c r="P464" s="11" t="s">
        <v>0</v>
      </c>
      <c r="Q464" s="11" t="s">
        <v>0</v>
      </c>
      <c r="R464" s="11" t="s">
        <v>0</v>
      </c>
      <c r="S464" s="11" t="s">
        <v>0</v>
      </c>
      <c r="T464" s="11" t="s">
        <v>0</v>
      </c>
      <c r="U464" s="11" t="s">
        <v>0</v>
      </c>
      <c r="V464" s="11" t="s">
        <v>0</v>
      </c>
      <c r="W464" s="11" t="s">
        <v>0</v>
      </c>
      <c r="X464" s="11" t="s">
        <v>0</v>
      </c>
      <c r="Y464" s="11" t="s">
        <v>0</v>
      </c>
      <c r="Z464" s="11" t="s">
        <v>0</v>
      </c>
      <c r="AA464" s="11" t="s">
        <v>0</v>
      </c>
      <c r="AB464" s="11" t="s">
        <v>0</v>
      </c>
      <c r="AC464" s="11" t="s">
        <v>0</v>
      </c>
      <c r="AD464" s="11" t="s">
        <v>0</v>
      </c>
      <c r="AE464" s="11" t="s">
        <v>2090</v>
      </c>
    </row>
    <row r="465">
      <c r="B465" s="24" t="s">
        <v>6</v>
      </c>
      <c r="C465" s="12" t="s">
        <v>471</v>
      </c>
      <c r="D465" s="11" t="s">
        <v>1023</v>
      </c>
      <c r="E465" s="11" t="s">
        <v>1232</v>
      </c>
      <c r="F465" s="12" t="s">
        <v>6</v>
      </c>
      <c r="G465" s="12" t="s">
        <v>1302</v>
      </c>
      <c r="H465" s="12" t="s">
        <v>1302</v>
      </c>
      <c r="I465" s="12" t="s">
        <v>1311</v>
      </c>
      <c r="J465" s="12" t="s">
        <v>1322</v>
      </c>
      <c r="K465" s="12" t="s">
        <v>1326</v>
      </c>
      <c r="L465" s="12" t="s">
        <v>1303</v>
      </c>
      <c r="M465" s="12" t="s">
        <v>0</v>
      </c>
      <c r="N465" s="13" t="s">
        <v>1740</v>
      </c>
      <c r="O465" s="11" t="s">
        <v>0</v>
      </c>
      <c r="P465" s="11" t="s">
        <v>0</v>
      </c>
      <c r="Q465" s="11" t="s">
        <v>0</v>
      </c>
      <c r="R465" s="11" t="s">
        <v>0</v>
      </c>
      <c r="S465" s="11" t="s">
        <v>0</v>
      </c>
      <c r="T465" s="11" t="s">
        <v>0</v>
      </c>
      <c r="U465" s="11" t="s">
        <v>0</v>
      </c>
      <c r="V465" s="11" t="s">
        <v>0</v>
      </c>
      <c r="W465" s="11" t="s">
        <v>0</v>
      </c>
      <c r="X465" s="11" t="s">
        <v>0</v>
      </c>
      <c r="Y465" s="11" t="s">
        <v>0</v>
      </c>
      <c r="Z465" s="11" t="s">
        <v>0</v>
      </c>
      <c r="AA465" s="11" t="s">
        <v>0</v>
      </c>
      <c r="AB465" s="11" t="s">
        <v>0</v>
      </c>
      <c r="AC465" s="11" t="s">
        <v>0</v>
      </c>
      <c r="AD465" s="11" t="s">
        <v>0</v>
      </c>
      <c r="AE465" s="11" t="s">
        <v>2090</v>
      </c>
    </row>
    <row r="466">
      <c r="B466" s="24" t="s">
        <v>5</v>
      </c>
      <c r="C466" s="12" t="s">
        <v>472</v>
      </c>
      <c r="D466" s="11" t="s">
        <v>1024</v>
      </c>
      <c r="E466" s="11" t="s">
        <v>1228</v>
      </c>
      <c r="F466" s="12" t="s">
        <v>5</v>
      </c>
      <c r="G466" s="12" t="s">
        <v>1302</v>
      </c>
      <c r="H466" s="12" t="s">
        <v>1302</v>
      </c>
      <c r="I466" s="12" t="s">
        <v>1311</v>
      </c>
      <c r="J466" s="12" t="s">
        <v>1322</v>
      </c>
      <c r="K466" s="12" t="s">
        <v>1326</v>
      </c>
      <c r="L466" s="12" t="s">
        <v>1303</v>
      </c>
      <c r="M466" s="12" t="s">
        <v>0</v>
      </c>
      <c r="N466" s="13" t="s">
        <v>1741</v>
      </c>
      <c r="O466" s="11" t="s">
        <v>0</v>
      </c>
      <c r="P466" s="11" t="s">
        <v>0</v>
      </c>
      <c r="Q466" s="11" t="s">
        <v>0</v>
      </c>
      <c r="R466" s="11" t="s">
        <v>0</v>
      </c>
      <c r="S466" s="11" t="s">
        <v>0</v>
      </c>
      <c r="T466" s="11" t="s">
        <v>0</v>
      </c>
      <c r="U466" s="11" t="s">
        <v>0</v>
      </c>
      <c r="V466" s="11" t="s">
        <v>0</v>
      </c>
      <c r="W466" s="11" t="s">
        <v>0</v>
      </c>
      <c r="X466" s="11" t="s">
        <v>0</v>
      </c>
      <c r="Y466" s="11" t="s">
        <v>0</v>
      </c>
      <c r="Z466" s="11" t="s">
        <v>0</v>
      </c>
      <c r="AA466" s="11" t="s">
        <v>0</v>
      </c>
      <c r="AB466" s="11" t="s">
        <v>0</v>
      </c>
      <c r="AC466" s="11" t="s">
        <v>0</v>
      </c>
      <c r="AD466" s="11" t="s">
        <v>0</v>
      </c>
      <c r="AE466" s="11" t="s">
        <v>2090</v>
      </c>
    </row>
    <row r="467">
      <c r="B467" s="24" t="s">
        <v>5</v>
      </c>
      <c r="C467" s="12" t="s">
        <v>473</v>
      </c>
      <c r="D467" s="11" t="s">
        <v>1025</v>
      </c>
      <c r="E467" s="11" t="s">
        <v>1228</v>
      </c>
      <c r="F467" s="12" t="s">
        <v>5</v>
      </c>
      <c r="G467" s="12" t="s">
        <v>1302</v>
      </c>
      <c r="H467" s="12" t="s">
        <v>1302</v>
      </c>
      <c r="I467" s="12" t="s">
        <v>1311</v>
      </c>
      <c r="J467" s="12" t="s">
        <v>1322</v>
      </c>
      <c r="K467" s="12" t="s">
        <v>1326</v>
      </c>
      <c r="L467" s="12" t="s">
        <v>1303</v>
      </c>
      <c r="M467" s="12" t="s">
        <v>0</v>
      </c>
      <c r="N467" s="13" t="s">
        <v>1742</v>
      </c>
      <c r="O467" s="11" t="s">
        <v>0</v>
      </c>
      <c r="P467" s="11" t="s">
        <v>0</v>
      </c>
      <c r="Q467" s="11" t="s">
        <v>0</v>
      </c>
      <c r="R467" s="11" t="s">
        <v>0</v>
      </c>
      <c r="S467" s="11" t="s">
        <v>0</v>
      </c>
      <c r="T467" s="11" t="s">
        <v>0</v>
      </c>
      <c r="U467" s="11" t="s">
        <v>0</v>
      </c>
      <c r="V467" s="11" t="s">
        <v>0</v>
      </c>
      <c r="W467" s="11" t="s">
        <v>0</v>
      </c>
      <c r="X467" s="11" t="s">
        <v>0</v>
      </c>
      <c r="Y467" s="11" t="s">
        <v>0</v>
      </c>
      <c r="Z467" s="11" t="s">
        <v>0</v>
      </c>
      <c r="AA467" s="11" t="s">
        <v>0</v>
      </c>
      <c r="AB467" s="11" t="s">
        <v>0</v>
      </c>
      <c r="AC467" s="11" t="s">
        <v>0</v>
      </c>
      <c r="AD467" s="11" t="s">
        <v>0</v>
      </c>
      <c r="AE467" s="11" t="s">
        <v>2090</v>
      </c>
    </row>
    <row r="468">
      <c r="B468" s="24" t="s">
        <v>5</v>
      </c>
      <c r="C468" s="12" t="s">
        <v>474</v>
      </c>
      <c r="D468" s="11" t="s">
        <v>1026</v>
      </c>
      <c r="E468" s="11" t="s">
        <v>1228</v>
      </c>
      <c r="F468" s="12" t="s">
        <v>5</v>
      </c>
      <c r="G468" s="12" t="s">
        <v>1302</v>
      </c>
      <c r="H468" s="12" t="s">
        <v>1302</v>
      </c>
      <c r="I468" s="12" t="s">
        <v>1311</v>
      </c>
      <c r="J468" s="12" t="s">
        <v>1322</v>
      </c>
      <c r="K468" s="12" t="s">
        <v>1326</v>
      </c>
      <c r="L468" s="12" t="s">
        <v>1303</v>
      </c>
      <c r="M468" s="12" t="s">
        <v>0</v>
      </c>
      <c r="N468" s="13" t="s">
        <v>1743</v>
      </c>
      <c r="O468" s="11" t="s">
        <v>0</v>
      </c>
      <c r="P468" s="11" t="s">
        <v>0</v>
      </c>
      <c r="Q468" s="11" t="s">
        <v>0</v>
      </c>
      <c r="R468" s="11" t="s">
        <v>0</v>
      </c>
      <c r="S468" s="11" t="s">
        <v>0</v>
      </c>
      <c r="T468" s="11" t="s">
        <v>0</v>
      </c>
      <c r="U468" s="11" t="s">
        <v>0</v>
      </c>
      <c r="V468" s="11" t="s">
        <v>0</v>
      </c>
      <c r="W468" s="11" t="s">
        <v>0</v>
      </c>
      <c r="X468" s="11" t="s">
        <v>0</v>
      </c>
      <c r="Y468" s="11" t="s">
        <v>0</v>
      </c>
      <c r="Z468" s="11" t="s">
        <v>0</v>
      </c>
      <c r="AA468" s="11" t="s">
        <v>0</v>
      </c>
      <c r="AB468" s="11" t="s">
        <v>0</v>
      </c>
      <c r="AC468" s="11" t="s">
        <v>0</v>
      </c>
      <c r="AD468" s="11" t="s">
        <v>0</v>
      </c>
      <c r="AE468" s="11" t="s">
        <v>2090</v>
      </c>
    </row>
    <row r="469">
      <c r="B469" s="24" t="s">
        <v>5</v>
      </c>
      <c r="C469" s="12" t="s">
        <v>475</v>
      </c>
      <c r="D469" s="11" t="s">
        <v>1027</v>
      </c>
      <c r="E469" s="11" t="s">
        <v>1164</v>
      </c>
      <c r="F469" s="12" t="s">
        <v>5</v>
      </c>
      <c r="G469" s="12" t="s">
        <v>1302</v>
      </c>
      <c r="H469" s="12" t="s">
        <v>1302</v>
      </c>
      <c r="I469" s="12" t="s">
        <v>1310</v>
      </c>
      <c r="J469" s="12" t="s">
        <v>1316</v>
      </c>
      <c r="K469" s="12" t="s">
        <v>1334</v>
      </c>
      <c r="L469" s="12" t="s">
        <v>1303</v>
      </c>
      <c r="M469" s="12" t="s">
        <v>0</v>
      </c>
      <c r="N469" s="13" t="s">
        <v>1744</v>
      </c>
      <c r="O469" s="11" t="s">
        <v>0</v>
      </c>
      <c r="P469" s="11" t="s">
        <v>0</v>
      </c>
      <c r="Q469" s="11" t="s">
        <v>0</v>
      </c>
      <c r="R469" s="11" t="s">
        <v>0</v>
      </c>
      <c r="S469" s="11" t="s">
        <v>0</v>
      </c>
      <c r="T469" s="11" t="s">
        <v>0</v>
      </c>
      <c r="U469" s="11" t="s">
        <v>0</v>
      </c>
      <c r="V469" s="11" t="s">
        <v>0</v>
      </c>
      <c r="W469" s="11" t="s">
        <v>0</v>
      </c>
      <c r="X469" s="11" t="s">
        <v>0</v>
      </c>
      <c r="Y469" s="11" t="s">
        <v>0</v>
      </c>
      <c r="Z469" s="11" t="s">
        <v>0</v>
      </c>
      <c r="AA469" s="11" t="s">
        <v>0</v>
      </c>
      <c r="AB469" s="11" t="s">
        <v>0</v>
      </c>
      <c r="AC469" s="11" t="s">
        <v>0</v>
      </c>
      <c r="AD469" s="11" t="s">
        <v>0</v>
      </c>
      <c r="AE469" s="11" t="s">
        <v>2090</v>
      </c>
    </row>
    <row r="470">
      <c r="B470" s="24" t="s">
        <v>2</v>
      </c>
      <c r="C470" s="12" t="s">
        <v>476</v>
      </c>
      <c r="D470" s="11" t="s">
        <v>1028</v>
      </c>
      <c r="E470" s="11" t="s">
        <v>1233</v>
      </c>
      <c r="F470" s="12" t="s">
        <v>2</v>
      </c>
      <c r="G470" s="12" t="s">
        <v>1302</v>
      </c>
      <c r="H470" s="12" t="s">
        <v>1302</v>
      </c>
      <c r="I470" s="12" t="s">
        <v>1311</v>
      </c>
      <c r="J470" s="12" t="s">
        <v>1322</v>
      </c>
      <c r="K470" s="12" t="s">
        <v>1326</v>
      </c>
      <c r="L470" s="12" t="s">
        <v>1303</v>
      </c>
      <c r="M470" s="12" t="s">
        <v>0</v>
      </c>
      <c r="N470" s="13" t="s">
        <v>1745</v>
      </c>
      <c r="O470" s="11" t="s">
        <v>0</v>
      </c>
      <c r="P470" s="11" t="s">
        <v>0</v>
      </c>
      <c r="Q470" s="11" t="s">
        <v>0</v>
      </c>
      <c r="R470" s="11" t="s">
        <v>0</v>
      </c>
      <c r="S470" s="11" t="s">
        <v>0</v>
      </c>
      <c r="T470" s="11" t="s">
        <v>0</v>
      </c>
      <c r="U470" s="11" t="s">
        <v>0</v>
      </c>
      <c r="V470" s="11" t="s">
        <v>0</v>
      </c>
      <c r="W470" s="11" t="s">
        <v>0</v>
      </c>
      <c r="X470" s="11" t="s">
        <v>0</v>
      </c>
      <c r="Y470" s="11" t="s">
        <v>0</v>
      </c>
      <c r="Z470" s="11" t="s">
        <v>0</v>
      </c>
      <c r="AA470" s="11" t="s">
        <v>0</v>
      </c>
      <c r="AB470" s="11" t="s">
        <v>0</v>
      </c>
      <c r="AC470" s="11" t="s">
        <v>0</v>
      </c>
      <c r="AD470" s="11" t="s">
        <v>0</v>
      </c>
      <c r="AE470" s="11" t="s">
        <v>2090</v>
      </c>
    </row>
    <row r="471">
      <c r="B471" s="24" t="s">
        <v>2</v>
      </c>
      <c r="C471" s="12" t="s">
        <v>477</v>
      </c>
      <c r="D471" s="11" t="s">
        <v>1029</v>
      </c>
      <c r="E471" s="11" t="s">
        <v>1233</v>
      </c>
      <c r="F471" s="12" t="s">
        <v>2</v>
      </c>
      <c r="G471" s="12" t="s">
        <v>1302</v>
      </c>
      <c r="H471" s="12" t="s">
        <v>1302</v>
      </c>
      <c r="I471" s="12" t="s">
        <v>1311</v>
      </c>
      <c r="J471" s="12" t="s">
        <v>1322</v>
      </c>
      <c r="K471" s="12" t="s">
        <v>1326</v>
      </c>
      <c r="L471" s="12" t="s">
        <v>1303</v>
      </c>
      <c r="M471" s="12" t="s">
        <v>0</v>
      </c>
      <c r="N471" s="13" t="s">
        <v>1746</v>
      </c>
      <c r="O471" s="11" t="s">
        <v>0</v>
      </c>
      <c r="P471" s="11" t="s">
        <v>0</v>
      </c>
      <c r="Q471" s="11" t="s">
        <v>0</v>
      </c>
      <c r="R471" s="11" t="s">
        <v>0</v>
      </c>
      <c r="S471" s="11" t="s">
        <v>0</v>
      </c>
      <c r="T471" s="11" t="s">
        <v>0</v>
      </c>
      <c r="U471" s="11" t="s">
        <v>0</v>
      </c>
      <c r="V471" s="11" t="s">
        <v>0</v>
      </c>
      <c r="W471" s="11" t="s">
        <v>0</v>
      </c>
      <c r="X471" s="11" t="s">
        <v>0</v>
      </c>
      <c r="Y471" s="11" t="s">
        <v>0</v>
      </c>
      <c r="Z471" s="11" t="s">
        <v>0</v>
      </c>
      <c r="AA471" s="11" t="s">
        <v>0</v>
      </c>
      <c r="AB471" s="11" t="s">
        <v>0</v>
      </c>
      <c r="AC471" s="11" t="s">
        <v>0</v>
      </c>
      <c r="AD471" s="11" t="s">
        <v>0</v>
      </c>
      <c r="AE471" s="11" t="s">
        <v>2090</v>
      </c>
    </row>
    <row r="472">
      <c r="B472" s="24" t="s">
        <v>2</v>
      </c>
      <c r="C472" s="12" t="s">
        <v>478</v>
      </c>
      <c r="D472" s="11" t="s">
        <v>1030</v>
      </c>
      <c r="E472" s="11" t="s">
        <v>1233</v>
      </c>
      <c r="F472" s="12" t="s">
        <v>2</v>
      </c>
      <c r="G472" s="12" t="s">
        <v>1302</v>
      </c>
      <c r="H472" s="12" t="s">
        <v>1302</v>
      </c>
      <c r="I472" s="12" t="s">
        <v>1311</v>
      </c>
      <c r="J472" s="12" t="s">
        <v>1322</v>
      </c>
      <c r="K472" s="12" t="s">
        <v>1326</v>
      </c>
      <c r="L472" s="12" t="s">
        <v>1303</v>
      </c>
      <c r="M472" s="12" t="s">
        <v>0</v>
      </c>
      <c r="N472" s="13" t="s">
        <v>1747</v>
      </c>
      <c r="O472" s="11" t="s">
        <v>0</v>
      </c>
      <c r="P472" s="11" t="s">
        <v>0</v>
      </c>
      <c r="Q472" s="11" t="s">
        <v>0</v>
      </c>
      <c r="R472" s="11" t="s">
        <v>0</v>
      </c>
      <c r="S472" s="11" t="s">
        <v>0</v>
      </c>
      <c r="T472" s="11" t="s">
        <v>0</v>
      </c>
      <c r="U472" s="11" t="s">
        <v>0</v>
      </c>
      <c r="V472" s="11" t="s">
        <v>0</v>
      </c>
      <c r="W472" s="11" t="s">
        <v>0</v>
      </c>
      <c r="X472" s="11" t="s">
        <v>0</v>
      </c>
      <c r="Y472" s="11" t="s">
        <v>0</v>
      </c>
      <c r="Z472" s="11" t="s">
        <v>0</v>
      </c>
      <c r="AA472" s="11" t="s">
        <v>0</v>
      </c>
      <c r="AB472" s="11" t="s">
        <v>0</v>
      </c>
      <c r="AC472" s="11" t="s">
        <v>0</v>
      </c>
      <c r="AD472" s="11" t="s">
        <v>0</v>
      </c>
      <c r="AE472" s="11" t="s">
        <v>2090</v>
      </c>
    </row>
    <row r="473">
      <c r="B473" s="24" t="s">
        <v>2</v>
      </c>
      <c r="C473" s="12" t="s">
        <v>479</v>
      </c>
      <c r="D473" s="11" t="s">
        <v>1031</v>
      </c>
      <c r="E473" s="11" t="s">
        <v>1233</v>
      </c>
      <c r="F473" s="12" t="s">
        <v>2</v>
      </c>
      <c r="G473" s="12" t="s">
        <v>1302</v>
      </c>
      <c r="H473" s="12" t="s">
        <v>1302</v>
      </c>
      <c r="I473" s="12" t="s">
        <v>1311</v>
      </c>
      <c r="J473" s="12" t="s">
        <v>1322</v>
      </c>
      <c r="K473" s="12" t="s">
        <v>1326</v>
      </c>
      <c r="L473" s="12" t="s">
        <v>1303</v>
      </c>
      <c r="M473" s="12" t="s">
        <v>0</v>
      </c>
      <c r="N473" s="13" t="s">
        <v>1748</v>
      </c>
      <c r="O473" s="11" t="s">
        <v>0</v>
      </c>
      <c r="P473" s="11" t="s">
        <v>0</v>
      </c>
      <c r="Q473" s="11" t="s">
        <v>0</v>
      </c>
      <c r="R473" s="11" t="s">
        <v>0</v>
      </c>
      <c r="S473" s="11" t="s">
        <v>0</v>
      </c>
      <c r="T473" s="11" t="s">
        <v>0</v>
      </c>
      <c r="U473" s="11" t="s">
        <v>0</v>
      </c>
      <c r="V473" s="11" t="s">
        <v>0</v>
      </c>
      <c r="W473" s="11" t="s">
        <v>0</v>
      </c>
      <c r="X473" s="11" t="s">
        <v>0</v>
      </c>
      <c r="Y473" s="11" t="s">
        <v>0</v>
      </c>
      <c r="Z473" s="11" t="s">
        <v>0</v>
      </c>
      <c r="AA473" s="11" t="s">
        <v>0</v>
      </c>
      <c r="AB473" s="11" t="s">
        <v>0</v>
      </c>
      <c r="AC473" s="11" t="s">
        <v>0</v>
      </c>
      <c r="AD473" s="11" t="s">
        <v>0</v>
      </c>
      <c r="AE473" s="11" t="s">
        <v>2090</v>
      </c>
    </row>
    <row r="474">
      <c r="B474" s="24" t="s">
        <v>2</v>
      </c>
      <c r="C474" s="12" t="s">
        <v>480</v>
      </c>
      <c r="D474" s="11" t="s">
        <v>1032</v>
      </c>
      <c r="E474" s="11" t="s">
        <v>1178</v>
      </c>
      <c r="F474" s="12" t="s">
        <v>2</v>
      </c>
      <c r="G474" s="12" t="s">
        <v>1302</v>
      </c>
      <c r="H474" s="12" t="s">
        <v>1302</v>
      </c>
      <c r="I474" s="12" t="s">
        <v>1310</v>
      </c>
      <c r="J474" s="12" t="s">
        <v>1316</v>
      </c>
      <c r="K474" s="12" t="s">
        <v>1178</v>
      </c>
      <c r="L474" s="12" t="s">
        <v>1303</v>
      </c>
      <c r="M474" s="12" t="s">
        <v>0</v>
      </c>
      <c r="N474" s="13" t="s">
        <v>1749</v>
      </c>
      <c r="O474" s="11" t="s">
        <v>0</v>
      </c>
      <c r="P474" s="11" t="s">
        <v>0</v>
      </c>
      <c r="Q474" s="11" t="s">
        <v>0</v>
      </c>
      <c r="R474" s="11" t="s">
        <v>0</v>
      </c>
      <c r="S474" s="11" t="s">
        <v>0</v>
      </c>
      <c r="T474" s="11" t="s">
        <v>0</v>
      </c>
      <c r="U474" s="11" t="s">
        <v>0</v>
      </c>
      <c r="V474" s="11" t="s">
        <v>0</v>
      </c>
      <c r="W474" s="11" t="s">
        <v>0</v>
      </c>
      <c r="X474" s="11" t="s">
        <v>0</v>
      </c>
      <c r="Y474" s="11" t="s">
        <v>0</v>
      </c>
      <c r="Z474" s="11" t="s">
        <v>0</v>
      </c>
      <c r="AA474" s="11" t="s">
        <v>0</v>
      </c>
      <c r="AB474" s="11" t="s">
        <v>0</v>
      </c>
      <c r="AC474" s="11" t="s">
        <v>0</v>
      </c>
      <c r="AD474" s="11" t="s">
        <v>0</v>
      </c>
      <c r="AE474" s="11" t="s">
        <v>2090</v>
      </c>
    </row>
    <row r="475">
      <c r="B475" s="24" t="s">
        <v>2</v>
      </c>
      <c r="C475" s="12" t="s">
        <v>481</v>
      </c>
      <c r="D475" s="11" t="s">
        <v>1033</v>
      </c>
      <c r="E475" s="11" t="s">
        <v>1162</v>
      </c>
      <c r="F475" s="12" t="s">
        <v>2</v>
      </c>
      <c r="G475" s="12" t="s">
        <v>1302</v>
      </c>
      <c r="H475" s="12" t="s">
        <v>1302</v>
      </c>
      <c r="I475" s="12" t="s">
        <v>1310</v>
      </c>
      <c r="J475" s="12" t="s">
        <v>1162</v>
      </c>
      <c r="K475" s="12" t="s">
        <v>1332</v>
      </c>
      <c r="L475" s="12" t="s">
        <v>1303</v>
      </c>
      <c r="M475" s="12" t="s">
        <v>0</v>
      </c>
      <c r="N475" s="13" t="s">
        <v>1448</v>
      </c>
      <c r="O475" s="11" t="s">
        <v>0</v>
      </c>
      <c r="P475" s="11" t="s">
        <v>0</v>
      </c>
      <c r="Q475" s="11" t="s">
        <v>0</v>
      </c>
      <c r="R475" s="11" t="s">
        <v>0</v>
      </c>
      <c r="S475" s="11" t="s">
        <v>0</v>
      </c>
      <c r="T475" s="11" t="s">
        <v>0</v>
      </c>
      <c r="U475" s="11" t="s">
        <v>0</v>
      </c>
      <c r="V475" s="11" t="s">
        <v>0</v>
      </c>
      <c r="W475" s="11" t="s">
        <v>0</v>
      </c>
      <c r="X475" s="11" t="s">
        <v>0</v>
      </c>
      <c r="Y475" s="11" t="s">
        <v>0</v>
      </c>
      <c r="Z475" s="11" t="s">
        <v>0</v>
      </c>
      <c r="AA475" s="11" t="s">
        <v>0</v>
      </c>
      <c r="AB475" s="11" t="s">
        <v>0</v>
      </c>
      <c r="AC475" s="11" t="s">
        <v>0</v>
      </c>
      <c r="AD475" s="11" t="s">
        <v>0</v>
      </c>
      <c r="AE475" s="11" t="s">
        <v>2090</v>
      </c>
    </row>
    <row r="476">
      <c r="B476" s="24" t="s">
        <v>2</v>
      </c>
      <c r="C476" s="12" t="s">
        <v>482</v>
      </c>
      <c r="D476" s="11" t="s">
        <v>1034</v>
      </c>
      <c r="E476" s="11" t="s">
        <v>1221</v>
      </c>
      <c r="F476" s="12" t="s">
        <v>2</v>
      </c>
      <c r="G476" s="12" t="s">
        <v>1302</v>
      </c>
      <c r="H476" s="12" t="s">
        <v>1302</v>
      </c>
      <c r="I476" s="12" t="s">
        <v>1310</v>
      </c>
      <c r="J476" s="12" t="s">
        <v>1163</v>
      </c>
      <c r="K476" s="12" t="s">
        <v>1332</v>
      </c>
      <c r="L476" s="12" t="s">
        <v>1303</v>
      </c>
      <c r="M476" s="12" t="s">
        <v>0</v>
      </c>
      <c r="N476" s="13" t="s">
        <v>1750</v>
      </c>
      <c r="O476" s="11" t="s">
        <v>0</v>
      </c>
      <c r="P476" s="11" t="s">
        <v>0</v>
      </c>
      <c r="Q476" s="11" t="s">
        <v>0</v>
      </c>
      <c r="R476" s="11" t="s">
        <v>0</v>
      </c>
      <c r="S476" s="11" t="s">
        <v>0</v>
      </c>
      <c r="T476" s="11" t="s">
        <v>0</v>
      </c>
      <c r="U476" s="11" t="s">
        <v>0</v>
      </c>
      <c r="V476" s="11" t="s">
        <v>0</v>
      </c>
      <c r="W476" s="11" t="s">
        <v>0</v>
      </c>
      <c r="X476" s="11" t="s">
        <v>0</v>
      </c>
      <c r="Y476" s="11" t="s">
        <v>0</v>
      </c>
      <c r="Z476" s="11" t="s">
        <v>0</v>
      </c>
      <c r="AA476" s="11" t="s">
        <v>0</v>
      </c>
      <c r="AB476" s="11" t="s">
        <v>0</v>
      </c>
      <c r="AC476" s="11" t="s">
        <v>0</v>
      </c>
      <c r="AD476" s="11" t="s">
        <v>0</v>
      </c>
      <c r="AE476" s="11" t="s">
        <v>2090</v>
      </c>
    </row>
    <row r="477">
      <c r="B477" s="24" t="s">
        <v>2</v>
      </c>
      <c r="C477" s="12" t="s">
        <v>483</v>
      </c>
      <c r="D477" s="11" t="s">
        <v>1035</v>
      </c>
      <c r="E477" s="11" t="s">
        <v>1233</v>
      </c>
      <c r="F477" s="12" t="s">
        <v>2</v>
      </c>
      <c r="G477" s="12" t="s">
        <v>1302</v>
      </c>
      <c r="H477" s="12" t="s">
        <v>1302</v>
      </c>
      <c r="I477" s="12" t="s">
        <v>1311</v>
      </c>
      <c r="J477" s="12" t="s">
        <v>1322</v>
      </c>
      <c r="K477" s="12" t="s">
        <v>1326</v>
      </c>
      <c r="L477" s="12" t="s">
        <v>1303</v>
      </c>
      <c r="M477" s="12" t="s">
        <v>0</v>
      </c>
      <c r="N477" s="13" t="s">
        <v>1751</v>
      </c>
      <c r="O477" s="11" t="s">
        <v>0</v>
      </c>
      <c r="P477" s="11" t="s">
        <v>0</v>
      </c>
      <c r="Q477" s="11" t="s">
        <v>0</v>
      </c>
      <c r="R477" s="11" t="s">
        <v>0</v>
      </c>
      <c r="S477" s="11" t="s">
        <v>0</v>
      </c>
      <c r="T477" s="11" t="s">
        <v>0</v>
      </c>
      <c r="U477" s="11" t="s">
        <v>0</v>
      </c>
      <c r="V477" s="11" t="s">
        <v>0</v>
      </c>
      <c r="W477" s="11" t="s">
        <v>0</v>
      </c>
      <c r="X477" s="11" t="s">
        <v>0</v>
      </c>
      <c r="Y477" s="11" t="s">
        <v>0</v>
      </c>
      <c r="Z477" s="11" t="s">
        <v>0</v>
      </c>
      <c r="AA477" s="11" t="s">
        <v>0</v>
      </c>
      <c r="AB477" s="11" t="s">
        <v>0</v>
      </c>
      <c r="AC477" s="11" t="s">
        <v>0</v>
      </c>
      <c r="AD477" s="11" t="s">
        <v>0</v>
      </c>
      <c r="AE477" s="11" t="s">
        <v>2090</v>
      </c>
    </row>
    <row r="478">
      <c r="B478" s="24" t="s">
        <v>7</v>
      </c>
      <c r="C478" s="12" t="s">
        <v>484</v>
      </c>
      <c r="D478" s="11" t="s">
        <v>952</v>
      </c>
      <c r="E478" s="11" t="s">
        <v>1231</v>
      </c>
      <c r="F478" s="12" t="s">
        <v>7</v>
      </c>
      <c r="G478" s="12" t="s">
        <v>1302</v>
      </c>
      <c r="H478" s="12" t="s">
        <v>1302</v>
      </c>
      <c r="I478" s="12" t="s">
        <v>1310</v>
      </c>
      <c r="J478" s="12" t="s">
        <v>1163</v>
      </c>
      <c r="K478" s="12" t="s">
        <v>1332</v>
      </c>
      <c r="L478" s="12" t="s">
        <v>1303</v>
      </c>
      <c r="M478" s="12" t="s">
        <v>0</v>
      </c>
      <c r="N478" s="13" t="s">
        <v>1669</v>
      </c>
      <c r="O478" s="11" t="s">
        <v>0</v>
      </c>
      <c r="P478" s="11" t="s">
        <v>0</v>
      </c>
      <c r="Q478" s="11" t="s">
        <v>0</v>
      </c>
      <c r="R478" s="11" t="s">
        <v>0</v>
      </c>
      <c r="S478" s="11" t="s">
        <v>0</v>
      </c>
      <c r="T478" s="11" t="s">
        <v>0</v>
      </c>
      <c r="U478" s="11" t="s">
        <v>0</v>
      </c>
      <c r="V478" s="11" t="s">
        <v>0</v>
      </c>
      <c r="W478" s="11" t="s">
        <v>0</v>
      </c>
      <c r="X478" s="11" t="s">
        <v>0</v>
      </c>
      <c r="Y478" s="11" t="s">
        <v>0</v>
      </c>
      <c r="Z478" s="11" t="s">
        <v>0</v>
      </c>
      <c r="AA478" s="11" t="s">
        <v>0</v>
      </c>
      <c r="AB478" s="11" t="s">
        <v>0</v>
      </c>
      <c r="AC478" s="11" t="s">
        <v>0</v>
      </c>
      <c r="AD478" s="11" t="s">
        <v>0</v>
      </c>
      <c r="AE478" s="11" t="s">
        <v>2090</v>
      </c>
    </row>
    <row r="479">
      <c r="B479" s="24" t="s">
        <v>7</v>
      </c>
      <c r="C479" s="12" t="s">
        <v>485</v>
      </c>
      <c r="D479" s="11" t="s">
        <v>953</v>
      </c>
      <c r="E479" s="11" t="s">
        <v>1162</v>
      </c>
      <c r="F479" s="12" t="s">
        <v>7</v>
      </c>
      <c r="G479" s="12" t="s">
        <v>1302</v>
      </c>
      <c r="H479" s="12" t="s">
        <v>1302</v>
      </c>
      <c r="I479" s="12" t="s">
        <v>1310</v>
      </c>
      <c r="J479" s="12" t="s">
        <v>1162</v>
      </c>
      <c r="K479" s="12" t="s">
        <v>1332</v>
      </c>
      <c r="L479" s="12" t="s">
        <v>1303</v>
      </c>
      <c r="M479" s="12" t="s">
        <v>0</v>
      </c>
      <c r="N479" s="13" t="s">
        <v>1670</v>
      </c>
      <c r="O479" s="11" t="s">
        <v>0</v>
      </c>
      <c r="P479" s="11" t="s">
        <v>0</v>
      </c>
      <c r="Q479" s="11" t="s">
        <v>0</v>
      </c>
      <c r="R479" s="11" t="s">
        <v>0</v>
      </c>
      <c r="S479" s="11" t="s">
        <v>0</v>
      </c>
      <c r="T479" s="11" t="s">
        <v>0</v>
      </c>
      <c r="U479" s="11" t="s">
        <v>0</v>
      </c>
      <c r="V479" s="11" t="s">
        <v>0</v>
      </c>
      <c r="W479" s="11" t="s">
        <v>0</v>
      </c>
      <c r="X479" s="11" t="s">
        <v>0</v>
      </c>
      <c r="Y479" s="11" t="s">
        <v>0</v>
      </c>
      <c r="Z479" s="11" t="s">
        <v>0</v>
      </c>
      <c r="AA479" s="11" t="s">
        <v>0</v>
      </c>
      <c r="AB479" s="11" t="s">
        <v>0</v>
      </c>
      <c r="AC479" s="11" t="s">
        <v>0</v>
      </c>
      <c r="AD479" s="11" t="s">
        <v>0</v>
      </c>
      <c r="AE479" s="11" t="s">
        <v>2090</v>
      </c>
    </row>
    <row r="480">
      <c r="B480" s="24" t="s">
        <v>1</v>
      </c>
      <c r="C480" s="12" t="s">
        <v>486</v>
      </c>
      <c r="D480" s="11" t="s">
        <v>1036</v>
      </c>
      <c r="E480" s="11" t="s">
        <v>1131</v>
      </c>
      <c r="F480" s="12" t="s">
        <v>1273</v>
      </c>
      <c r="G480" s="12" t="s">
        <v>1302</v>
      </c>
      <c r="H480" s="12" t="s">
        <v>1302</v>
      </c>
      <c r="I480" s="12" t="s">
        <v>1310</v>
      </c>
      <c r="J480" s="12" t="s">
        <v>1316</v>
      </c>
      <c r="K480" s="12" t="s">
        <v>1262</v>
      </c>
      <c r="L480" s="12" t="s">
        <v>1303</v>
      </c>
      <c r="M480" s="12" t="s">
        <v>0</v>
      </c>
      <c r="N480" s="13" t="s">
        <v>1752</v>
      </c>
      <c r="O480" s="11" t="s">
        <v>0</v>
      </c>
      <c r="P480" s="11" t="s">
        <v>0</v>
      </c>
      <c r="Q480" s="11" t="s">
        <v>0</v>
      </c>
      <c r="R480" s="11" t="s">
        <v>0</v>
      </c>
      <c r="S480" s="11" t="s">
        <v>0</v>
      </c>
      <c r="T480" s="11" t="s">
        <v>0</v>
      </c>
      <c r="U480" s="11" t="s">
        <v>1893</v>
      </c>
      <c r="V480" s="11" t="s">
        <v>0</v>
      </c>
      <c r="W480" s="11" t="s">
        <v>0</v>
      </c>
      <c r="X480" s="11" t="s">
        <v>0</v>
      </c>
      <c r="Y480" s="11" t="s">
        <v>0</v>
      </c>
      <c r="Z480" s="11" t="s">
        <v>1994</v>
      </c>
      <c r="AA480" s="11" t="s">
        <v>1994</v>
      </c>
      <c r="AB480" s="11" t="s">
        <v>2003</v>
      </c>
      <c r="AC480" s="11" t="s">
        <v>0</v>
      </c>
      <c r="AD480" s="11" t="s">
        <v>0</v>
      </c>
      <c r="AE480" s="11" t="s">
        <v>13</v>
      </c>
    </row>
    <row r="481">
      <c r="B481" s="24" t="s">
        <v>2</v>
      </c>
      <c r="C481" s="12" t="s">
        <v>487</v>
      </c>
      <c r="D481" s="11" t="s">
        <v>1037</v>
      </c>
      <c r="E481" s="11" t="s">
        <v>1248</v>
      </c>
      <c r="F481" s="12" t="s">
        <v>2</v>
      </c>
      <c r="G481" s="12" t="s">
        <v>1302</v>
      </c>
      <c r="H481" s="12" t="s">
        <v>1302</v>
      </c>
      <c r="I481" s="12" t="s">
        <v>1310</v>
      </c>
      <c r="J481" s="12" t="s">
        <v>1316</v>
      </c>
      <c r="K481" s="12" t="s">
        <v>1334</v>
      </c>
      <c r="L481" s="12" t="s">
        <v>1303</v>
      </c>
      <c r="M481" s="12" t="s">
        <v>0</v>
      </c>
      <c r="N481" s="13" t="s">
        <v>1753</v>
      </c>
      <c r="O481" s="11" t="s">
        <v>0</v>
      </c>
      <c r="P481" s="11" t="s">
        <v>0</v>
      </c>
      <c r="Q481" s="11" t="s">
        <v>0</v>
      </c>
      <c r="R481" s="11" t="s">
        <v>0</v>
      </c>
      <c r="S481" s="11" t="s">
        <v>0</v>
      </c>
      <c r="T481" s="11" t="s">
        <v>1307</v>
      </c>
      <c r="U481" s="11" t="s">
        <v>1888</v>
      </c>
      <c r="V481" s="11" t="s">
        <v>0</v>
      </c>
      <c r="W481" s="11" t="s">
        <v>0</v>
      </c>
      <c r="X481" s="11" t="s">
        <v>0</v>
      </c>
      <c r="Y481" s="11" t="s">
        <v>0</v>
      </c>
      <c r="Z481" s="11" t="s">
        <v>1996</v>
      </c>
      <c r="AA481" s="11" t="s">
        <v>1996</v>
      </c>
      <c r="AB481" s="11" t="s">
        <v>2003</v>
      </c>
      <c r="AC481" s="11" t="s">
        <v>50</v>
      </c>
      <c r="AD481" s="11" t="s">
        <v>0</v>
      </c>
      <c r="AE481" s="11" t="s">
        <v>13</v>
      </c>
    </row>
    <row r="482">
      <c r="B482" s="24" t="s">
        <v>7</v>
      </c>
      <c r="C482" s="12" t="s">
        <v>488</v>
      </c>
      <c r="D482" s="11" t="s">
        <v>1038</v>
      </c>
      <c r="E482" s="11" t="s">
        <v>1248</v>
      </c>
      <c r="F482" s="12" t="s">
        <v>7</v>
      </c>
      <c r="G482" s="12" t="s">
        <v>1302</v>
      </c>
      <c r="H482" s="12" t="s">
        <v>1302</v>
      </c>
      <c r="I482" s="12" t="s">
        <v>1310</v>
      </c>
      <c r="J482" s="12" t="s">
        <v>1316</v>
      </c>
      <c r="K482" s="12" t="s">
        <v>1334</v>
      </c>
      <c r="L482" s="12" t="s">
        <v>1303</v>
      </c>
      <c r="M482" s="12" t="s">
        <v>0</v>
      </c>
      <c r="N482" s="13" t="s">
        <v>1754</v>
      </c>
      <c r="O482" s="11" t="s">
        <v>0</v>
      </c>
      <c r="P482" s="11" t="s">
        <v>0</v>
      </c>
      <c r="Q482" s="11" t="s">
        <v>0</v>
      </c>
      <c r="R482" s="11" t="s">
        <v>0</v>
      </c>
      <c r="S482" s="11" t="s">
        <v>0</v>
      </c>
      <c r="T482" s="11" t="s">
        <v>0</v>
      </c>
      <c r="U482" s="11" t="s">
        <v>0</v>
      </c>
      <c r="V482" s="11" t="s">
        <v>0</v>
      </c>
      <c r="W482" s="11" t="s">
        <v>0</v>
      </c>
      <c r="X482" s="11" t="s">
        <v>0</v>
      </c>
      <c r="Y482" s="11" t="s">
        <v>0</v>
      </c>
      <c r="Z482" s="11" t="s">
        <v>0</v>
      </c>
      <c r="AA482" s="11" t="s">
        <v>0</v>
      </c>
      <c r="AB482" s="11" t="s">
        <v>0</v>
      </c>
      <c r="AC482" s="11" t="s">
        <v>0</v>
      </c>
      <c r="AD482" s="11" t="s">
        <v>0</v>
      </c>
      <c r="AE482" s="11" t="s">
        <v>2090</v>
      </c>
    </row>
    <row r="483">
      <c r="B483" s="24" t="s">
        <v>6</v>
      </c>
      <c r="C483" s="12" t="s">
        <v>489</v>
      </c>
      <c r="D483" s="11" t="s">
        <v>1039</v>
      </c>
      <c r="E483" s="11" t="s">
        <v>1141</v>
      </c>
      <c r="F483" s="12" t="s">
        <v>6</v>
      </c>
      <c r="G483" s="12" t="s">
        <v>1302</v>
      </c>
      <c r="H483" s="12" t="s">
        <v>1302</v>
      </c>
      <c r="I483" s="12" t="s">
        <v>1310</v>
      </c>
      <c r="J483" s="12" t="s">
        <v>1316</v>
      </c>
      <c r="K483" s="12" t="s">
        <v>1330</v>
      </c>
      <c r="L483" s="12" t="s">
        <v>1303</v>
      </c>
      <c r="M483" s="12" t="s">
        <v>0</v>
      </c>
      <c r="N483" s="13" t="s">
        <v>1755</v>
      </c>
      <c r="O483" s="11" t="s">
        <v>0</v>
      </c>
      <c r="P483" s="11" t="s">
        <v>0</v>
      </c>
      <c r="Q483" s="11" t="s">
        <v>0</v>
      </c>
      <c r="R483" s="11" t="s">
        <v>0</v>
      </c>
      <c r="S483" s="11" t="s">
        <v>0</v>
      </c>
      <c r="T483" s="11" t="s">
        <v>0</v>
      </c>
      <c r="U483" s="11" t="s">
        <v>0</v>
      </c>
      <c r="V483" s="11" t="s">
        <v>0</v>
      </c>
      <c r="W483" s="11" t="s">
        <v>0</v>
      </c>
      <c r="X483" s="11" t="s">
        <v>0</v>
      </c>
      <c r="Y483" s="11" t="s">
        <v>0</v>
      </c>
      <c r="Z483" s="11" t="s">
        <v>0</v>
      </c>
      <c r="AA483" s="11" t="s">
        <v>0</v>
      </c>
      <c r="AB483" s="11" t="s">
        <v>0</v>
      </c>
      <c r="AC483" s="11" t="s">
        <v>0</v>
      </c>
      <c r="AD483" s="11" t="s">
        <v>0</v>
      </c>
      <c r="AE483" s="11" t="s">
        <v>2090</v>
      </c>
    </row>
    <row r="484">
      <c r="B484" s="24" t="s">
        <v>5</v>
      </c>
      <c r="C484" s="12" t="s">
        <v>490</v>
      </c>
      <c r="D484" s="11" t="s">
        <v>1040</v>
      </c>
      <c r="E484" s="11" t="s">
        <v>1141</v>
      </c>
      <c r="F484" s="12" t="s">
        <v>5</v>
      </c>
      <c r="G484" s="12" t="s">
        <v>1302</v>
      </c>
      <c r="H484" s="12" t="s">
        <v>1302</v>
      </c>
      <c r="I484" s="12" t="s">
        <v>1310</v>
      </c>
      <c r="J484" s="12" t="s">
        <v>1316</v>
      </c>
      <c r="K484" s="12" t="s">
        <v>1330</v>
      </c>
      <c r="L484" s="12" t="s">
        <v>1303</v>
      </c>
      <c r="M484" s="12" t="s">
        <v>0</v>
      </c>
      <c r="N484" s="13" t="s">
        <v>1756</v>
      </c>
      <c r="O484" s="11" t="s">
        <v>0</v>
      </c>
      <c r="P484" s="11" t="s">
        <v>0</v>
      </c>
      <c r="Q484" s="11" t="s">
        <v>0</v>
      </c>
      <c r="R484" s="11" t="s">
        <v>0</v>
      </c>
      <c r="S484" s="11" t="s">
        <v>0</v>
      </c>
      <c r="T484" s="11" t="s">
        <v>0</v>
      </c>
      <c r="U484" s="11" t="s">
        <v>0</v>
      </c>
      <c r="V484" s="11" t="s">
        <v>0</v>
      </c>
      <c r="W484" s="11" t="s">
        <v>0</v>
      </c>
      <c r="X484" s="11" t="s">
        <v>0</v>
      </c>
      <c r="Y484" s="11" t="s">
        <v>0</v>
      </c>
      <c r="Z484" s="11" t="s">
        <v>0</v>
      </c>
      <c r="AA484" s="11" t="s">
        <v>0</v>
      </c>
      <c r="AB484" s="11" t="s">
        <v>0</v>
      </c>
      <c r="AC484" s="11" t="s">
        <v>0</v>
      </c>
      <c r="AD484" s="11" t="s">
        <v>0</v>
      </c>
      <c r="AE484" s="11" t="s">
        <v>2090</v>
      </c>
    </row>
    <row r="485">
      <c r="B485" s="24" t="s">
        <v>5</v>
      </c>
      <c r="C485" s="12" t="s">
        <v>491</v>
      </c>
      <c r="D485" s="11" t="s">
        <v>1041</v>
      </c>
      <c r="E485" s="11" t="s">
        <v>1141</v>
      </c>
      <c r="F485" s="12" t="s">
        <v>5</v>
      </c>
      <c r="G485" s="12" t="s">
        <v>1302</v>
      </c>
      <c r="H485" s="12" t="s">
        <v>1302</v>
      </c>
      <c r="I485" s="12" t="s">
        <v>1310</v>
      </c>
      <c r="J485" s="12" t="s">
        <v>1316</v>
      </c>
      <c r="K485" s="12" t="s">
        <v>1330</v>
      </c>
      <c r="L485" s="12" t="s">
        <v>1303</v>
      </c>
      <c r="M485" s="12" t="s">
        <v>0</v>
      </c>
      <c r="N485" s="13" t="s">
        <v>1757</v>
      </c>
      <c r="O485" s="11" t="s">
        <v>0</v>
      </c>
      <c r="P485" s="11" t="s">
        <v>0</v>
      </c>
      <c r="Q485" s="11" t="s">
        <v>0</v>
      </c>
      <c r="R485" s="11" t="s">
        <v>0</v>
      </c>
      <c r="S485" s="11" t="s">
        <v>0</v>
      </c>
      <c r="T485" s="11" t="s">
        <v>0</v>
      </c>
      <c r="U485" s="11" t="s">
        <v>0</v>
      </c>
      <c r="V485" s="11" t="s">
        <v>0</v>
      </c>
      <c r="W485" s="11" t="s">
        <v>0</v>
      </c>
      <c r="X485" s="11" t="s">
        <v>0</v>
      </c>
      <c r="Y485" s="11" t="s">
        <v>0</v>
      </c>
      <c r="Z485" s="11" t="s">
        <v>0</v>
      </c>
      <c r="AA485" s="11" t="s">
        <v>0</v>
      </c>
      <c r="AB485" s="11" t="s">
        <v>0</v>
      </c>
      <c r="AC485" s="11" t="s">
        <v>0</v>
      </c>
      <c r="AD485" s="11" t="s">
        <v>0</v>
      </c>
      <c r="AE485" s="11" t="s">
        <v>2090</v>
      </c>
    </row>
    <row r="486">
      <c r="B486" s="24" t="s">
        <v>5</v>
      </c>
      <c r="C486" s="12" t="s">
        <v>492</v>
      </c>
      <c r="D486" s="11" t="s">
        <v>1042</v>
      </c>
      <c r="E486" s="11" t="s">
        <v>1141</v>
      </c>
      <c r="F486" s="12" t="s">
        <v>5</v>
      </c>
      <c r="G486" s="12" t="s">
        <v>1302</v>
      </c>
      <c r="H486" s="12" t="s">
        <v>1302</v>
      </c>
      <c r="I486" s="12" t="s">
        <v>1310</v>
      </c>
      <c r="J486" s="12" t="s">
        <v>1316</v>
      </c>
      <c r="K486" s="12" t="s">
        <v>1330</v>
      </c>
      <c r="L486" s="12" t="s">
        <v>1303</v>
      </c>
      <c r="M486" s="12" t="s">
        <v>0</v>
      </c>
      <c r="N486" s="13" t="s">
        <v>1758</v>
      </c>
      <c r="O486" s="11" t="s">
        <v>0</v>
      </c>
      <c r="P486" s="11" t="s">
        <v>0</v>
      </c>
      <c r="Q486" s="11" t="s">
        <v>0</v>
      </c>
      <c r="R486" s="11" t="s">
        <v>0</v>
      </c>
      <c r="S486" s="11" t="s">
        <v>0</v>
      </c>
      <c r="T486" s="11" t="s">
        <v>0</v>
      </c>
      <c r="U486" s="11" t="s">
        <v>0</v>
      </c>
      <c r="V486" s="11" t="s">
        <v>0</v>
      </c>
      <c r="W486" s="11" t="s">
        <v>0</v>
      </c>
      <c r="X486" s="11" t="s">
        <v>0</v>
      </c>
      <c r="Y486" s="11" t="s">
        <v>0</v>
      </c>
      <c r="Z486" s="11" t="s">
        <v>0</v>
      </c>
      <c r="AA486" s="11" t="s">
        <v>0</v>
      </c>
      <c r="AB486" s="11" t="s">
        <v>0</v>
      </c>
      <c r="AC486" s="11" t="s">
        <v>0</v>
      </c>
      <c r="AD486" s="11" t="s">
        <v>0</v>
      </c>
      <c r="AE486" s="11" t="s">
        <v>2090</v>
      </c>
    </row>
    <row r="487">
      <c r="B487" s="24" t="s">
        <v>5</v>
      </c>
      <c r="C487" s="12" t="s">
        <v>493</v>
      </c>
      <c r="D487" s="11" t="s">
        <v>1043</v>
      </c>
      <c r="E487" s="11" t="s">
        <v>1141</v>
      </c>
      <c r="F487" s="12" t="s">
        <v>5</v>
      </c>
      <c r="G487" s="12" t="s">
        <v>1302</v>
      </c>
      <c r="H487" s="12" t="s">
        <v>1302</v>
      </c>
      <c r="I487" s="12" t="s">
        <v>1310</v>
      </c>
      <c r="J487" s="12" t="s">
        <v>1316</v>
      </c>
      <c r="K487" s="12" t="s">
        <v>1330</v>
      </c>
      <c r="L487" s="12" t="s">
        <v>1303</v>
      </c>
      <c r="M487" s="12" t="s">
        <v>0</v>
      </c>
      <c r="N487" s="13" t="s">
        <v>1759</v>
      </c>
      <c r="O487" s="11" t="s">
        <v>0</v>
      </c>
      <c r="P487" s="11" t="s">
        <v>0</v>
      </c>
      <c r="Q487" s="11" t="s">
        <v>0</v>
      </c>
      <c r="R487" s="11" t="s">
        <v>0</v>
      </c>
      <c r="S487" s="11" t="s">
        <v>0</v>
      </c>
      <c r="T487" s="11" t="s">
        <v>0</v>
      </c>
      <c r="U487" s="11" t="s">
        <v>0</v>
      </c>
      <c r="V487" s="11" t="s">
        <v>0</v>
      </c>
      <c r="W487" s="11" t="s">
        <v>0</v>
      </c>
      <c r="X487" s="11" t="s">
        <v>0</v>
      </c>
      <c r="Y487" s="11" t="s">
        <v>0</v>
      </c>
      <c r="Z487" s="11" t="s">
        <v>0</v>
      </c>
      <c r="AA487" s="11" t="s">
        <v>0</v>
      </c>
      <c r="AB487" s="11" t="s">
        <v>0</v>
      </c>
      <c r="AC487" s="11" t="s">
        <v>0</v>
      </c>
      <c r="AD487" s="11" t="s">
        <v>0</v>
      </c>
      <c r="AE487" s="11" t="s">
        <v>2090</v>
      </c>
    </row>
    <row r="488">
      <c r="B488" s="24" t="s">
        <v>5</v>
      </c>
      <c r="C488" s="12" t="s">
        <v>494</v>
      </c>
      <c r="D488" s="11" t="s">
        <v>1044</v>
      </c>
      <c r="E488" s="11" t="s">
        <v>1141</v>
      </c>
      <c r="F488" s="12" t="s">
        <v>5</v>
      </c>
      <c r="G488" s="12" t="s">
        <v>1302</v>
      </c>
      <c r="H488" s="12" t="s">
        <v>1302</v>
      </c>
      <c r="I488" s="12" t="s">
        <v>1310</v>
      </c>
      <c r="J488" s="12" t="s">
        <v>1316</v>
      </c>
      <c r="K488" s="12" t="s">
        <v>1330</v>
      </c>
      <c r="L488" s="12" t="s">
        <v>1303</v>
      </c>
      <c r="M488" s="12" t="s">
        <v>0</v>
      </c>
      <c r="N488" s="13" t="s">
        <v>1760</v>
      </c>
      <c r="O488" s="11" t="s">
        <v>0</v>
      </c>
      <c r="P488" s="11" t="s">
        <v>0</v>
      </c>
      <c r="Q488" s="11" t="s">
        <v>0</v>
      </c>
      <c r="R488" s="11" t="s">
        <v>0</v>
      </c>
      <c r="S488" s="11" t="s">
        <v>0</v>
      </c>
      <c r="T488" s="11" t="s">
        <v>0</v>
      </c>
      <c r="U488" s="11" t="s">
        <v>1888</v>
      </c>
      <c r="V488" s="11" t="s">
        <v>0</v>
      </c>
      <c r="W488" s="11" t="s">
        <v>0</v>
      </c>
      <c r="X488" s="11" t="s">
        <v>0</v>
      </c>
      <c r="Y488" s="11" t="s">
        <v>0</v>
      </c>
      <c r="Z488" s="11" t="s">
        <v>0</v>
      </c>
      <c r="AA488" s="11" t="s">
        <v>0</v>
      </c>
      <c r="AB488" s="11" t="s">
        <v>2003</v>
      </c>
      <c r="AC488" s="11" t="s">
        <v>0</v>
      </c>
      <c r="AD488" s="11" t="s">
        <v>0</v>
      </c>
      <c r="AE488" s="11" t="s">
        <v>13</v>
      </c>
    </row>
    <row r="489">
      <c r="B489" s="24" t="s">
        <v>5</v>
      </c>
      <c r="C489" s="12" t="s">
        <v>495</v>
      </c>
      <c r="D489" s="11" t="s">
        <v>1045</v>
      </c>
      <c r="E489" s="11" t="s">
        <v>1141</v>
      </c>
      <c r="F489" s="12" t="s">
        <v>5</v>
      </c>
      <c r="G489" s="12" t="s">
        <v>1302</v>
      </c>
      <c r="H489" s="12" t="s">
        <v>1302</v>
      </c>
      <c r="I489" s="12" t="s">
        <v>1310</v>
      </c>
      <c r="J489" s="12" t="s">
        <v>1316</v>
      </c>
      <c r="K489" s="12" t="s">
        <v>1330</v>
      </c>
      <c r="L489" s="12" t="s">
        <v>1303</v>
      </c>
      <c r="M489" s="12" t="s">
        <v>0</v>
      </c>
      <c r="N489" s="13" t="s">
        <v>1761</v>
      </c>
      <c r="O489" s="11" t="s">
        <v>0</v>
      </c>
      <c r="P489" s="11" t="s">
        <v>0</v>
      </c>
      <c r="Q489" s="11" t="s">
        <v>0</v>
      </c>
      <c r="R489" s="11" t="s">
        <v>0</v>
      </c>
      <c r="S489" s="11" t="s">
        <v>0</v>
      </c>
      <c r="T489" s="11" t="s">
        <v>0</v>
      </c>
      <c r="U489" s="11" t="s">
        <v>0</v>
      </c>
      <c r="V489" s="11" t="s">
        <v>0</v>
      </c>
      <c r="W489" s="11" t="s">
        <v>0</v>
      </c>
      <c r="X489" s="11" t="s">
        <v>0</v>
      </c>
      <c r="Y489" s="11" t="s">
        <v>0</v>
      </c>
      <c r="Z489" s="11" t="s">
        <v>0</v>
      </c>
      <c r="AA489" s="11" t="s">
        <v>0</v>
      </c>
      <c r="AB489" s="11" t="s">
        <v>0</v>
      </c>
      <c r="AC489" s="11" t="s">
        <v>0</v>
      </c>
      <c r="AD489" s="11" t="s">
        <v>0</v>
      </c>
      <c r="AE489" s="11" t="s">
        <v>2090</v>
      </c>
    </row>
    <row r="490">
      <c r="B490" s="24" t="s">
        <v>5</v>
      </c>
      <c r="C490" s="12" t="s">
        <v>496</v>
      </c>
      <c r="D490" s="11" t="s">
        <v>1046</v>
      </c>
      <c r="E490" s="11" t="s">
        <v>1141</v>
      </c>
      <c r="F490" s="12" t="s">
        <v>5</v>
      </c>
      <c r="G490" s="12" t="s">
        <v>1302</v>
      </c>
      <c r="H490" s="12" t="s">
        <v>1302</v>
      </c>
      <c r="I490" s="12" t="s">
        <v>1310</v>
      </c>
      <c r="J490" s="12" t="s">
        <v>1316</v>
      </c>
      <c r="K490" s="12" t="s">
        <v>1330</v>
      </c>
      <c r="L490" s="12" t="s">
        <v>1303</v>
      </c>
      <c r="M490" s="12" t="s">
        <v>0</v>
      </c>
      <c r="N490" s="13" t="s">
        <v>1762</v>
      </c>
      <c r="O490" s="11" t="s">
        <v>0</v>
      </c>
      <c r="P490" s="11" t="s">
        <v>0</v>
      </c>
      <c r="Q490" s="11" t="s">
        <v>0</v>
      </c>
      <c r="R490" s="11" t="s">
        <v>0</v>
      </c>
      <c r="S490" s="11" t="s">
        <v>0</v>
      </c>
      <c r="T490" s="11" t="s">
        <v>0</v>
      </c>
      <c r="U490" s="11" t="s">
        <v>0</v>
      </c>
      <c r="V490" s="11" t="s">
        <v>0</v>
      </c>
      <c r="W490" s="11" t="s">
        <v>0</v>
      </c>
      <c r="X490" s="11" t="s">
        <v>0</v>
      </c>
      <c r="Y490" s="11" t="s">
        <v>0</v>
      </c>
      <c r="Z490" s="11" t="s">
        <v>0</v>
      </c>
      <c r="AA490" s="11" t="s">
        <v>0</v>
      </c>
      <c r="AB490" s="11" t="s">
        <v>0</v>
      </c>
      <c r="AC490" s="11" t="s">
        <v>0</v>
      </c>
      <c r="AD490" s="11" t="s">
        <v>0</v>
      </c>
      <c r="AE490" s="11" t="s">
        <v>2090</v>
      </c>
    </row>
    <row r="491">
      <c r="B491" s="24" t="s">
        <v>5</v>
      </c>
      <c r="C491" s="12" t="s">
        <v>497</v>
      </c>
      <c r="D491" s="11" t="s">
        <v>1047</v>
      </c>
      <c r="E491" s="11" t="s">
        <v>1141</v>
      </c>
      <c r="F491" s="12" t="s">
        <v>5</v>
      </c>
      <c r="G491" s="12" t="s">
        <v>1302</v>
      </c>
      <c r="H491" s="12" t="s">
        <v>1302</v>
      </c>
      <c r="I491" s="12" t="s">
        <v>1310</v>
      </c>
      <c r="J491" s="12" t="s">
        <v>1316</v>
      </c>
      <c r="K491" s="12" t="s">
        <v>1330</v>
      </c>
      <c r="L491" s="12" t="s">
        <v>1303</v>
      </c>
      <c r="M491" s="12" t="s">
        <v>0</v>
      </c>
      <c r="N491" s="13" t="s">
        <v>1763</v>
      </c>
      <c r="O491" s="11" t="s">
        <v>0</v>
      </c>
      <c r="P491" s="11" t="s">
        <v>0</v>
      </c>
      <c r="Q491" s="11" t="s">
        <v>0</v>
      </c>
      <c r="R491" s="11" t="s">
        <v>0</v>
      </c>
      <c r="S491" s="11" t="s">
        <v>0</v>
      </c>
      <c r="T491" s="11" t="s">
        <v>0</v>
      </c>
      <c r="U491" s="11" t="s">
        <v>0</v>
      </c>
      <c r="V491" s="11" t="s">
        <v>0</v>
      </c>
      <c r="W491" s="11" t="s">
        <v>0</v>
      </c>
      <c r="X491" s="11" t="s">
        <v>0</v>
      </c>
      <c r="Y491" s="11" t="s">
        <v>0</v>
      </c>
      <c r="Z491" s="11" t="s">
        <v>0</v>
      </c>
      <c r="AA491" s="11" t="s">
        <v>0</v>
      </c>
      <c r="AB491" s="11" t="s">
        <v>0</v>
      </c>
      <c r="AC491" s="11" t="s">
        <v>0</v>
      </c>
      <c r="AD491" s="11" t="s">
        <v>0</v>
      </c>
      <c r="AE491" s="11" t="s">
        <v>2090</v>
      </c>
    </row>
    <row r="492">
      <c r="B492" s="24" t="s">
        <v>5</v>
      </c>
      <c r="C492" s="12" t="s">
        <v>498</v>
      </c>
      <c r="D492" s="11" t="s">
        <v>1048</v>
      </c>
      <c r="E492" s="11" t="s">
        <v>1141</v>
      </c>
      <c r="F492" s="12" t="s">
        <v>5</v>
      </c>
      <c r="G492" s="12" t="s">
        <v>1302</v>
      </c>
      <c r="H492" s="12" t="s">
        <v>1302</v>
      </c>
      <c r="I492" s="12" t="s">
        <v>1310</v>
      </c>
      <c r="J492" s="12" t="s">
        <v>1316</v>
      </c>
      <c r="K492" s="12" t="s">
        <v>1330</v>
      </c>
      <c r="L492" s="12" t="s">
        <v>1303</v>
      </c>
      <c r="M492" s="12" t="s">
        <v>0</v>
      </c>
      <c r="N492" s="13" t="s">
        <v>1764</v>
      </c>
      <c r="O492" s="11" t="s">
        <v>0</v>
      </c>
      <c r="P492" s="11" t="s">
        <v>0</v>
      </c>
      <c r="Q492" s="11" t="s">
        <v>0</v>
      </c>
      <c r="R492" s="11" t="s">
        <v>0</v>
      </c>
      <c r="S492" s="11" t="s">
        <v>0</v>
      </c>
      <c r="T492" s="11" t="s">
        <v>0</v>
      </c>
      <c r="U492" s="11" t="s">
        <v>0</v>
      </c>
      <c r="V492" s="11" t="s">
        <v>0</v>
      </c>
      <c r="W492" s="11" t="s">
        <v>0</v>
      </c>
      <c r="X492" s="11" t="s">
        <v>0</v>
      </c>
      <c r="Y492" s="11" t="s">
        <v>0</v>
      </c>
      <c r="Z492" s="11" t="s">
        <v>0</v>
      </c>
      <c r="AA492" s="11" t="s">
        <v>0</v>
      </c>
      <c r="AB492" s="11" t="s">
        <v>0</v>
      </c>
      <c r="AC492" s="11" t="s">
        <v>0</v>
      </c>
      <c r="AD492" s="11" t="s">
        <v>0</v>
      </c>
      <c r="AE492" s="11" t="s">
        <v>2090</v>
      </c>
    </row>
    <row r="493">
      <c r="B493" s="24" t="s">
        <v>5</v>
      </c>
      <c r="C493" s="12" t="s">
        <v>499</v>
      </c>
      <c r="D493" s="11" t="s">
        <v>1049</v>
      </c>
      <c r="E493" s="11" t="s">
        <v>1141</v>
      </c>
      <c r="F493" s="12" t="s">
        <v>5</v>
      </c>
      <c r="G493" s="12" t="s">
        <v>1302</v>
      </c>
      <c r="H493" s="12" t="s">
        <v>1302</v>
      </c>
      <c r="I493" s="12" t="s">
        <v>1310</v>
      </c>
      <c r="J493" s="12" t="s">
        <v>1316</v>
      </c>
      <c r="K493" s="12" t="s">
        <v>1330</v>
      </c>
      <c r="L493" s="12" t="s">
        <v>1303</v>
      </c>
      <c r="M493" s="12" t="s">
        <v>0</v>
      </c>
      <c r="N493" s="13" t="s">
        <v>1765</v>
      </c>
      <c r="O493" s="11" t="s">
        <v>0</v>
      </c>
      <c r="P493" s="11" t="s">
        <v>0</v>
      </c>
      <c r="Q493" s="11" t="s">
        <v>0</v>
      </c>
      <c r="R493" s="11" t="s">
        <v>0</v>
      </c>
      <c r="S493" s="11" t="s">
        <v>0</v>
      </c>
      <c r="T493" s="11" t="s">
        <v>0</v>
      </c>
      <c r="U493" s="11" t="s">
        <v>0</v>
      </c>
      <c r="V493" s="11" t="s">
        <v>0</v>
      </c>
      <c r="W493" s="11" t="s">
        <v>0</v>
      </c>
      <c r="X493" s="11" t="s">
        <v>0</v>
      </c>
      <c r="Y493" s="11" t="s">
        <v>0</v>
      </c>
      <c r="Z493" s="11" t="s">
        <v>0</v>
      </c>
      <c r="AA493" s="11" t="s">
        <v>0</v>
      </c>
      <c r="AB493" s="11" t="s">
        <v>0</v>
      </c>
      <c r="AC493" s="11" t="s">
        <v>0</v>
      </c>
      <c r="AD493" s="11" t="s">
        <v>0</v>
      </c>
      <c r="AE493" s="11" t="s">
        <v>2090</v>
      </c>
    </row>
    <row r="494">
      <c r="B494" s="24" t="s">
        <v>5</v>
      </c>
      <c r="C494" s="12" t="s">
        <v>500</v>
      </c>
      <c r="D494" s="11" t="s">
        <v>1050</v>
      </c>
      <c r="E494" s="11" t="s">
        <v>1141</v>
      </c>
      <c r="F494" s="12" t="s">
        <v>5</v>
      </c>
      <c r="G494" s="12" t="s">
        <v>1302</v>
      </c>
      <c r="H494" s="12" t="s">
        <v>1302</v>
      </c>
      <c r="I494" s="12" t="s">
        <v>1310</v>
      </c>
      <c r="J494" s="12" t="s">
        <v>1316</v>
      </c>
      <c r="K494" s="12" t="s">
        <v>1330</v>
      </c>
      <c r="L494" s="12" t="s">
        <v>1303</v>
      </c>
      <c r="M494" s="12" t="s">
        <v>0</v>
      </c>
      <c r="N494" s="13" t="s">
        <v>1766</v>
      </c>
      <c r="O494" s="11" t="s">
        <v>0</v>
      </c>
      <c r="P494" s="11" t="s">
        <v>0</v>
      </c>
      <c r="Q494" s="11" t="s">
        <v>0</v>
      </c>
      <c r="R494" s="11" t="s">
        <v>0</v>
      </c>
      <c r="S494" s="11" t="s">
        <v>0</v>
      </c>
      <c r="T494" s="11" t="s">
        <v>0</v>
      </c>
      <c r="U494" s="11" t="s">
        <v>0</v>
      </c>
      <c r="V494" s="11" t="s">
        <v>0</v>
      </c>
      <c r="W494" s="11" t="s">
        <v>0</v>
      </c>
      <c r="X494" s="11" t="s">
        <v>0</v>
      </c>
      <c r="Y494" s="11" t="s">
        <v>0</v>
      </c>
      <c r="Z494" s="11" t="s">
        <v>0</v>
      </c>
      <c r="AA494" s="11" t="s">
        <v>0</v>
      </c>
      <c r="AB494" s="11" t="s">
        <v>0</v>
      </c>
      <c r="AC494" s="11" t="s">
        <v>0</v>
      </c>
      <c r="AD494" s="11" t="s">
        <v>0</v>
      </c>
      <c r="AE494" s="11" t="s">
        <v>2090</v>
      </c>
    </row>
    <row r="495">
      <c r="B495" s="24" t="s">
        <v>5</v>
      </c>
      <c r="C495" s="12" t="s">
        <v>501</v>
      </c>
      <c r="D495" s="11" t="s">
        <v>1051</v>
      </c>
      <c r="E495" s="11" t="s">
        <v>1141</v>
      </c>
      <c r="F495" s="12" t="s">
        <v>5</v>
      </c>
      <c r="G495" s="12" t="s">
        <v>1302</v>
      </c>
      <c r="H495" s="12" t="s">
        <v>1302</v>
      </c>
      <c r="I495" s="12" t="s">
        <v>1310</v>
      </c>
      <c r="J495" s="12" t="s">
        <v>1316</v>
      </c>
      <c r="K495" s="12" t="s">
        <v>1330</v>
      </c>
      <c r="L495" s="12" t="s">
        <v>1303</v>
      </c>
      <c r="M495" s="12" t="s">
        <v>0</v>
      </c>
      <c r="N495" s="13" t="s">
        <v>1767</v>
      </c>
      <c r="O495" s="11" t="s">
        <v>0</v>
      </c>
      <c r="P495" s="11" t="s">
        <v>0</v>
      </c>
      <c r="Q495" s="11" t="s">
        <v>0</v>
      </c>
      <c r="R495" s="11" t="s">
        <v>0</v>
      </c>
      <c r="S495" s="11" t="s">
        <v>0</v>
      </c>
      <c r="T495" s="11" t="s">
        <v>0</v>
      </c>
      <c r="U495" s="11" t="s">
        <v>0</v>
      </c>
      <c r="V495" s="11" t="s">
        <v>0</v>
      </c>
      <c r="W495" s="11" t="s">
        <v>0</v>
      </c>
      <c r="X495" s="11" t="s">
        <v>0</v>
      </c>
      <c r="Y495" s="11" t="s">
        <v>0</v>
      </c>
      <c r="Z495" s="11" t="s">
        <v>0</v>
      </c>
      <c r="AA495" s="11" t="s">
        <v>0</v>
      </c>
      <c r="AB495" s="11" t="s">
        <v>0</v>
      </c>
      <c r="AC495" s="11" t="s">
        <v>0</v>
      </c>
      <c r="AD495" s="11" t="s">
        <v>0</v>
      </c>
      <c r="AE495" s="11" t="s">
        <v>2090</v>
      </c>
    </row>
    <row r="496">
      <c r="B496" s="24" t="s">
        <v>5</v>
      </c>
      <c r="C496" s="12" t="s">
        <v>502</v>
      </c>
      <c r="D496" s="11" t="s">
        <v>1052</v>
      </c>
      <c r="E496" s="11" t="s">
        <v>1141</v>
      </c>
      <c r="F496" s="12" t="s">
        <v>5</v>
      </c>
      <c r="G496" s="12" t="s">
        <v>1302</v>
      </c>
      <c r="H496" s="12" t="s">
        <v>1302</v>
      </c>
      <c r="I496" s="12" t="s">
        <v>1310</v>
      </c>
      <c r="J496" s="12" t="s">
        <v>1316</v>
      </c>
      <c r="K496" s="12" t="s">
        <v>1330</v>
      </c>
      <c r="L496" s="12" t="s">
        <v>1303</v>
      </c>
      <c r="M496" s="12" t="s">
        <v>0</v>
      </c>
      <c r="N496" s="13" t="s">
        <v>1768</v>
      </c>
      <c r="O496" s="11" t="s">
        <v>0</v>
      </c>
      <c r="P496" s="11" t="s">
        <v>0</v>
      </c>
      <c r="Q496" s="11" t="s">
        <v>0</v>
      </c>
      <c r="R496" s="11" t="s">
        <v>0</v>
      </c>
      <c r="S496" s="11" t="s">
        <v>0</v>
      </c>
      <c r="T496" s="11" t="s">
        <v>0</v>
      </c>
      <c r="U496" s="11" t="s">
        <v>0</v>
      </c>
      <c r="V496" s="11" t="s">
        <v>0</v>
      </c>
      <c r="W496" s="11" t="s">
        <v>0</v>
      </c>
      <c r="X496" s="11" t="s">
        <v>0</v>
      </c>
      <c r="Y496" s="11" t="s">
        <v>0</v>
      </c>
      <c r="Z496" s="11" t="s">
        <v>0</v>
      </c>
      <c r="AA496" s="11" t="s">
        <v>0</v>
      </c>
      <c r="AB496" s="11" t="s">
        <v>0</v>
      </c>
      <c r="AC496" s="11" t="s">
        <v>0</v>
      </c>
      <c r="AD496" s="11" t="s">
        <v>0</v>
      </c>
      <c r="AE496" s="11" t="s">
        <v>2090</v>
      </c>
    </row>
    <row r="497">
      <c r="B497" s="24" t="s">
        <v>5</v>
      </c>
      <c r="C497" s="12" t="s">
        <v>503</v>
      </c>
      <c r="D497" s="11" t="s">
        <v>1053</v>
      </c>
      <c r="E497" s="11" t="s">
        <v>1141</v>
      </c>
      <c r="F497" s="12" t="s">
        <v>5</v>
      </c>
      <c r="G497" s="12" t="s">
        <v>1302</v>
      </c>
      <c r="H497" s="12" t="s">
        <v>1302</v>
      </c>
      <c r="I497" s="12" t="s">
        <v>1310</v>
      </c>
      <c r="J497" s="12" t="s">
        <v>1316</v>
      </c>
      <c r="K497" s="12" t="s">
        <v>1330</v>
      </c>
      <c r="L497" s="12" t="s">
        <v>1303</v>
      </c>
      <c r="M497" s="12" t="s">
        <v>0</v>
      </c>
      <c r="N497" s="13" t="s">
        <v>1769</v>
      </c>
      <c r="O497" s="11" t="s">
        <v>0</v>
      </c>
      <c r="P497" s="11" t="s">
        <v>0</v>
      </c>
      <c r="Q497" s="11" t="s">
        <v>0</v>
      </c>
      <c r="R497" s="11" t="s">
        <v>0</v>
      </c>
      <c r="S497" s="11" t="s">
        <v>0</v>
      </c>
      <c r="T497" s="11" t="s">
        <v>0</v>
      </c>
      <c r="U497" s="11" t="s">
        <v>0</v>
      </c>
      <c r="V497" s="11" t="s">
        <v>0</v>
      </c>
      <c r="W497" s="11" t="s">
        <v>0</v>
      </c>
      <c r="X497" s="11" t="s">
        <v>0</v>
      </c>
      <c r="Y497" s="11" t="s">
        <v>0</v>
      </c>
      <c r="Z497" s="11" t="s">
        <v>0</v>
      </c>
      <c r="AA497" s="11" t="s">
        <v>0</v>
      </c>
      <c r="AB497" s="11" t="s">
        <v>0</v>
      </c>
      <c r="AC497" s="11" t="s">
        <v>0</v>
      </c>
      <c r="AD497" s="11" t="s">
        <v>0</v>
      </c>
      <c r="AE497" s="11" t="s">
        <v>2090</v>
      </c>
    </row>
    <row r="498">
      <c r="B498" s="24" t="s">
        <v>5</v>
      </c>
      <c r="C498" s="12" t="s">
        <v>504</v>
      </c>
      <c r="D498" s="11" t="s">
        <v>1054</v>
      </c>
      <c r="E498" s="11" t="s">
        <v>1141</v>
      </c>
      <c r="F498" s="12" t="s">
        <v>5</v>
      </c>
      <c r="G498" s="12" t="s">
        <v>1302</v>
      </c>
      <c r="H498" s="12" t="s">
        <v>1302</v>
      </c>
      <c r="I498" s="12" t="s">
        <v>1310</v>
      </c>
      <c r="J498" s="12" t="s">
        <v>1316</v>
      </c>
      <c r="K498" s="12" t="s">
        <v>1330</v>
      </c>
      <c r="L498" s="12" t="s">
        <v>1303</v>
      </c>
      <c r="M498" s="12" t="s">
        <v>0</v>
      </c>
      <c r="N498" s="13" t="s">
        <v>1770</v>
      </c>
      <c r="O498" s="11" t="s">
        <v>0</v>
      </c>
      <c r="P498" s="11" t="s">
        <v>0</v>
      </c>
      <c r="Q498" s="11" t="s">
        <v>0</v>
      </c>
      <c r="R498" s="11" t="s">
        <v>0</v>
      </c>
      <c r="S498" s="11" t="s">
        <v>0</v>
      </c>
      <c r="T498" s="11" t="s">
        <v>0</v>
      </c>
      <c r="U498" s="11" t="s">
        <v>0</v>
      </c>
      <c r="V498" s="11" t="s">
        <v>0</v>
      </c>
      <c r="W498" s="11" t="s">
        <v>0</v>
      </c>
      <c r="X498" s="11" t="s">
        <v>0</v>
      </c>
      <c r="Y498" s="11" t="s">
        <v>0</v>
      </c>
      <c r="Z498" s="11" t="s">
        <v>0</v>
      </c>
      <c r="AA498" s="11" t="s">
        <v>0</v>
      </c>
      <c r="AB498" s="11" t="s">
        <v>0</v>
      </c>
      <c r="AC498" s="11" t="s">
        <v>0</v>
      </c>
      <c r="AD498" s="11" t="s">
        <v>0</v>
      </c>
      <c r="AE498" s="11" t="s">
        <v>2090</v>
      </c>
    </row>
    <row r="499">
      <c r="B499" s="24" t="s">
        <v>2</v>
      </c>
      <c r="C499" s="12" t="s">
        <v>505</v>
      </c>
      <c r="D499" s="11" t="s">
        <v>1055</v>
      </c>
      <c r="E499" s="11" t="s">
        <v>1249</v>
      </c>
      <c r="F499" s="12" t="s">
        <v>2</v>
      </c>
      <c r="G499" s="12" t="s">
        <v>1302</v>
      </c>
      <c r="H499" s="12" t="s">
        <v>1302</v>
      </c>
      <c r="I499" s="12" t="s">
        <v>1312</v>
      </c>
      <c r="J499" s="12" t="s">
        <v>1318</v>
      </c>
      <c r="K499" s="12" t="s">
        <v>1326</v>
      </c>
      <c r="L499" s="12" t="s">
        <v>1303</v>
      </c>
      <c r="M499" s="12" t="s">
        <v>0</v>
      </c>
      <c r="N499" s="13" t="s">
        <v>1771</v>
      </c>
      <c r="O499" s="11" t="s">
        <v>0</v>
      </c>
      <c r="P499" s="11" t="s">
        <v>0</v>
      </c>
      <c r="Q499" s="11" t="s">
        <v>0</v>
      </c>
      <c r="R499" s="11" t="s">
        <v>0</v>
      </c>
      <c r="S499" s="11" t="s">
        <v>0</v>
      </c>
      <c r="T499" s="11" t="s">
        <v>0</v>
      </c>
      <c r="U499" s="11" t="s">
        <v>0</v>
      </c>
      <c r="V499" s="11" t="s">
        <v>0</v>
      </c>
      <c r="W499" s="11" t="s">
        <v>0</v>
      </c>
      <c r="X499" s="11" t="s">
        <v>0</v>
      </c>
      <c r="Y499" s="11" t="s">
        <v>0</v>
      </c>
      <c r="Z499" s="11" t="s">
        <v>0</v>
      </c>
      <c r="AA499" s="11" t="s">
        <v>0</v>
      </c>
      <c r="AB499" s="11" t="s">
        <v>0</v>
      </c>
      <c r="AC499" s="11" t="s">
        <v>0</v>
      </c>
      <c r="AD499" s="11" t="s">
        <v>0</v>
      </c>
      <c r="AE499" s="11" t="s">
        <v>2090</v>
      </c>
    </row>
    <row r="500">
      <c r="B500" s="24" t="s">
        <v>3</v>
      </c>
      <c r="C500" s="12" t="s">
        <v>506</v>
      </c>
      <c r="D500" s="11" t="s">
        <v>1056</v>
      </c>
      <c r="E500" s="11" t="s">
        <v>1178</v>
      </c>
      <c r="F500" s="12" t="s">
        <v>3</v>
      </c>
      <c r="G500" s="12" t="s">
        <v>1302</v>
      </c>
      <c r="H500" s="12" t="s">
        <v>1302</v>
      </c>
      <c r="I500" s="12" t="s">
        <v>1310</v>
      </c>
      <c r="J500" s="12" t="s">
        <v>1316</v>
      </c>
      <c r="K500" s="12" t="s">
        <v>1178</v>
      </c>
      <c r="L500" s="12" t="s">
        <v>1303</v>
      </c>
      <c r="M500" s="12" t="s">
        <v>0</v>
      </c>
      <c r="N500" s="13" t="s">
        <v>1772</v>
      </c>
      <c r="O500" s="11" t="s">
        <v>0</v>
      </c>
      <c r="P500" s="11" t="s">
        <v>0</v>
      </c>
      <c r="Q500" s="11" t="s">
        <v>0</v>
      </c>
      <c r="R500" s="11" t="s">
        <v>0</v>
      </c>
      <c r="S500" s="11" t="s">
        <v>0</v>
      </c>
      <c r="T500" s="11" t="s">
        <v>1307</v>
      </c>
      <c r="U500" s="11" t="s">
        <v>1888</v>
      </c>
      <c r="V500" s="11" t="s">
        <v>0</v>
      </c>
      <c r="W500" s="11" t="s">
        <v>0</v>
      </c>
      <c r="X500" s="11" t="s">
        <v>0</v>
      </c>
      <c r="Y500" s="11" t="s">
        <v>0</v>
      </c>
      <c r="Z500" s="11" t="s">
        <v>1995</v>
      </c>
      <c r="AA500" s="11" t="s">
        <v>1995</v>
      </c>
      <c r="AB500" s="11" t="s">
        <v>2003</v>
      </c>
      <c r="AC500" s="11" t="s">
        <v>47</v>
      </c>
      <c r="AD500" s="11" t="s">
        <v>0</v>
      </c>
      <c r="AE500" s="11" t="s">
        <v>13</v>
      </c>
    </row>
    <row r="501">
      <c r="B501" s="24" t="s">
        <v>8</v>
      </c>
      <c r="C501" s="12" t="s">
        <v>507</v>
      </c>
      <c r="D501" s="11" t="s">
        <v>1057</v>
      </c>
      <c r="E501" s="11" t="s">
        <v>1250</v>
      </c>
      <c r="F501" s="12" t="s">
        <v>8</v>
      </c>
      <c r="G501" s="12" t="s">
        <v>1302</v>
      </c>
      <c r="H501" s="12" t="s">
        <v>1302</v>
      </c>
      <c r="I501" s="12" t="s">
        <v>1310</v>
      </c>
      <c r="J501" s="12" t="s">
        <v>1316</v>
      </c>
      <c r="K501" s="12" t="s">
        <v>1262</v>
      </c>
      <c r="L501" s="12" t="s">
        <v>1303</v>
      </c>
      <c r="M501" s="12" t="s">
        <v>0</v>
      </c>
      <c r="N501" s="13" t="s">
        <v>1773</v>
      </c>
      <c r="O501" s="11" t="s">
        <v>0</v>
      </c>
      <c r="P501" s="11" t="s">
        <v>0</v>
      </c>
      <c r="Q501" s="11" t="s">
        <v>0</v>
      </c>
      <c r="R501" s="11" t="s">
        <v>0</v>
      </c>
      <c r="S501" s="11" t="s">
        <v>0</v>
      </c>
      <c r="T501" s="11" t="s">
        <v>1307</v>
      </c>
      <c r="U501" s="11" t="s">
        <v>1888</v>
      </c>
      <c r="V501" s="11" t="s">
        <v>0</v>
      </c>
      <c r="W501" s="11" t="s">
        <v>0</v>
      </c>
      <c r="X501" s="11" t="s">
        <v>0</v>
      </c>
      <c r="Y501" s="11" t="s">
        <v>0</v>
      </c>
      <c r="Z501" s="11" t="s">
        <v>1998</v>
      </c>
      <c r="AA501" s="11" t="s">
        <v>1998</v>
      </c>
      <c r="AB501" s="11" t="s">
        <v>2003</v>
      </c>
      <c r="AC501" s="11" t="s">
        <v>45</v>
      </c>
      <c r="AD501" s="11" t="s">
        <v>0</v>
      </c>
      <c r="AE501" s="11" t="s">
        <v>13</v>
      </c>
    </row>
    <row r="502">
      <c r="B502" s="24" t="s">
        <v>4</v>
      </c>
      <c r="C502" s="12" t="s">
        <v>508</v>
      </c>
      <c r="D502" s="11" t="s">
        <v>1058</v>
      </c>
      <c r="E502" s="11" t="s">
        <v>1251</v>
      </c>
      <c r="F502" s="12" t="s">
        <v>4</v>
      </c>
      <c r="G502" s="12" t="s">
        <v>1302</v>
      </c>
      <c r="H502" s="12" t="s">
        <v>1302</v>
      </c>
      <c r="I502" s="12" t="s">
        <v>1311</v>
      </c>
      <c r="J502" s="12" t="s">
        <v>1319</v>
      </c>
      <c r="K502" s="12" t="s">
        <v>1326</v>
      </c>
      <c r="L502" s="12" t="s">
        <v>1303</v>
      </c>
      <c r="M502" s="12" t="s">
        <v>0</v>
      </c>
      <c r="N502" s="13" t="s">
        <v>1774</v>
      </c>
      <c r="O502" s="11" t="s">
        <v>0</v>
      </c>
      <c r="P502" s="11" t="s">
        <v>0</v>
      </c>
      <c r="Q502" s="11" t="s">
        <v>0</v>
      </c>
      <c r="R502" s="11" t="s">
        <v>0</v>
      </c>
      <c r="S502" s="11" t="s">
        <v>0</v>
      </c>
      <c r="T502" s="11" t="s">
        <v>1307</v>
      </c>
      <c r="U502" s="11" t="s">
        <v>1888</v>
      </c>
      <c r="V502" s="11" t="s">
        <v>0</v>
      </c>
      <c r="W502" s="11" t="s">
        <v>0</v>
      </c>
      <c r="X502" s="11" t="s">
        <v>0</v>
      </c>
      <c r="Y502" s="11" t="s">
        <v>0</v>
      </c>
      <c r="Z502" s="11" t="s">
        <v>1998</v>
      </c>
      <c r="AA502" s="11" t="s">
        <v>1998</v>
      </c>
      <c r="AB502" s="11" t="s">
        <v>2003</v>
      </c>
      <c r="AC502" s="11" t="s">
        <v>47</v>
      </c>
      <c r="AD502" s="11" t="s">
        <v>0</v>
      </c>
      <c r="AE502" s="11" t="s">
        <v>13</v>
      </c>
    </row>
    <row r="503">
      <c r="B503" s="24" t="s">
        <v>5</v>
      </c>
      <c r="C503" s="12" t="s">
        <v>509</v>
      </c>
      <c r="D503" s="11" t="s">
        <v>1059</v>
      </c>
      <c r="E503" s="11" t="s">
        <v>0</v>
      </c>
      <c r="F503" s="12" t="s">
        <v>5</v>
      </c>
      <c r="G503" s="12" t="s">
        <v>1302</v>
      </c>
      <c r="H503" s="12" t="s">
        <v>1302</v>
      </c>
      <c r="I503" s="12" t="s">
        <v>1313</v>
      </c>
      <c r="J503" s="12" t="s">
        <v>0</v>
      </c>
      <c r="K503" s="12" t="s">
        <v>1326</v>
      </c>
      <c r="L503" s="12" t="s">
        <v>1303</v>
      </c>
      <c r="M503" s="12" t="s">
        <v>0</v>
      </c>
      <c r="N503" s="13" t="s">
        <v>1775</v>
      </c>
      <c r="O503" s="11" t="s">
        <v>0</v>
      </c>
      <c r="P503" s="11" t="s">
        <v>0</v>
      </c>
      <c r="Q503" s="11" t="s">
        <v>1306</v>
      </c>
      <c r="R503" s="11" t="s">
        <v>1883</v>
      </c>
      <c r="S503" s="11" t="s">
        <v>0</v>
      </c>
      <c r="T503" s="11" t="s">
        <v>1307</v>
      </c>
      <c r="U503" s="11" t="s">
        <v>0</v>
      </c>
      <c r="V503" s="11" t="s">
        <v>1922</v>
      </c>
      <c r="W503" s="11" t="s">
        <v>0</v>
      </c>
      <c r="X503" s="11" t="s">
        <v>0</v>
      </c>
      <c r="Y503" s="11" t="s">
        <v>0</v>
      </c>
      <c r="Z503" s="11" t="s">
        <v>0</v>
      </c>
      <c r="AA503" s="11" t="s">
        <v>0</v>
      </c>
      <c r="AB503" s="11" t="s">
        <v>0</v>
      </c>
      <c r="AC503" s="11" t="s">
        <v>0</v>
      </c>
      <c r="AD503" s="11" t="s">
        <v>0</v>
      </c>
      <c r="AE503" s="11" t="s">
        <v>2090</v>
      </c>
    </row>
    <row r="504">
      <c r="B504" s="24" t="s">
        <v>3</v>
      </c>
      <c r="C504" s="12" t="s">
        <v>510</v>
      </c>
      <c r="D504" s="11" t="s">
        <v>1060</v>
      </c>
      <c r="E504" s="11" t="s">
        <v>0</v>
      </c>
      <c r="F504" s="12" t="s">
        <v>3</v>
      </c>
      <c r="G504" s="12" t="s">
        <v>1302</v>
      </c>
      <c r="H504" s="12" t="s">
        <v>1302</v>
      </c>
      <c r="I504" s="12" t="s">
        <v>1313</v>
      </c>
      <c r="J504" s="12" t="s">
        <v>1324</v>
      </c>
      <c r="K504" s="12" t="s">
        <v>1326</v>
      </c>
      <c r="L504" s="12" t="s">
        <v>1303</v>
      </c>
      <c r="M504" s="12" t="s">
        <v>0</v>
      </c>
      <c r="N504" s="13" t="s">
        <v>1776</v>
      </c>
      <c r="O504" s="11" t="s">
        <v>0</v>
      </c>
      <c r="P504" s="11" t="s">
        <v>0</v>
      </c>
      <c r="Q504" s="11" t="s">
        <v>1306</v>
      </c>
      <c r="R504" s="11" t="s">
        <v>1883</v>
      </c>
      <c r="S504" s="11" t="s">
        <v>0</v>
      </c>
      <c r="T504" s="11" t="s">
        <v>1307</v>
      </c>
      <c r="U504" s="11" t="s">
        <v>1888</v>
      </c>
      <c r="V504" s="11" t="s">
        <v>1922</v>
      </c>
      <c r="W504" s="11" t="s">
        <v>0</v>
      </c>
      <c r="X504" s="11" t="s">
        <v>0</v>
      </c>
      <c r="Y504" s="11" t="s">
        <v>1951</v>
      </c>
      <c r="Z504" s="11" t="s">
        <v>1951</v>
      </c>
      <c r="AA504" s="11" t="s">
        <v>1951</v>
      </c>
      <c r="AB504" s="11" t="s">
        <v>2003</v>
      </c>
      <c r="AC504" s="11" t="s">
        <v>65</v>
      </c>
      <c r="AD504" s="11" t="s">
        <v>0</v>
      </c>
      <c r="AE504" s="11" t="s">
        <v>13</v>
      </c>
    </row>
    <row r="505">
      <c r="B505" s="24" t="s">
        <v>3</v>
      </c>
      <c r="C505" s="12" t="s">
        <v>511</v>
      </c>
      <c r="D505" s="11" t="s">
        <v>1061</v>
      </c>
      <c r="E505" s="11" t="s">
        <v>0</v>
      </c>
      <c r="F505" s="12" t="s">
        <v>3</v>
      </c>
      <c r="G505" s="12" t="s">
        <v>1302</v>
      </c>
      <c r="H505" s="12" t="s">
        <v>1302</v>
      </c>
      <c r="I505" s="12" t="s">
        <v>1313</v>
      </c>
      <c r="J505" s="12" t="s">
        <v>0</v>
      </c>
      <c r="K505" s="12" t="s">
        <v>1326</v>
      </c>
      <c r="L505" s="12" t="s">
        <v>1303</v>
      </c>
      <c r="M505" s="12" t="s">
        <v>0</v>
      </c>
      <c r="N505" s="13" t="s">
        <v>1777</v>
      </c>
      <c r="O505" s="11" t="s">
        <v>0</v>
      </c>
      <c r="P505" s="11" t="s">
        <v>0</v>
      </c>
      <c r="Q505" s="11" t="s">
        <v>1306</v>
      </c>
      <c r="R505" s="11" t="s">
        <v>1883</v>
      </c>
      <c r="S505" s="11" t="s">
        <v>0</v>
      </c>
      <c r="T505" s="11" t="s">
        <v>1307</v>
      </c>
      <c r="U505" s="11" t="s">
        <v>0</v>
      </c>
      <c r="V505" s="11" t="s">
        <v>1922</v>
      </c>
      <c r="W505" s="11" t="s">
        <v>0</v>
      </c>
      <c r="X505" s="11" t="s">
        <v>0</v>
      </c>
      <c r="Y505" s="11" t="s">
        <v>0</v>
      </c>
      <c r="Z505" s="11" t="s">
        <v>0</v>
      </c>
      <c r="AA505" s="11" t="s">
        <v>0</v>
      </c>
      <c r="AB505" s="11" t="s">
        <v>0</v>
      </c>
      <c r="AC505" s="11" t="s">
        <v>0</v>
      </c>
      <c r="AD505" s="11" t="s">
        <v>0</v>
      </c>
      <c r="AE505" s="11" t="s">
        <v>2090</v>
      </c>
    </row>
    <row r="506">
      <c r="B506" s="24" t="s">
        <v>2</v>
      </c>
      <c r="C506" s="12" t="s">
        <v>512</v>
      </c>
      <c r="D506" s="11" t="s">
        <v>1062</v>
      </c>
      <c r="E506" s="11" t="s">
        <v>1252</v>
      </c>
      <c r="F506" s="12" t="s">
        <v>2</v>
      </c>
      <c r="G506" s="12" t="s">
        <v>1302</v>
      </c>
      <c r="H506" s="12" t="s">
        <v>1302</v>
      </c>
      <c r="I506" s="12" t="s">
        <v>1313</v>
      </c>
      <c r="J506" s="12" t="s">
        <v>1323</v>
      </c>
      <c r="K506" s="12" t="s">
        <v>1326</v>
      </c>
      <c r="L506" s="12" t="s">
        <v>1303</v>
      </c>
      <c r="M506" s="12" t="s">
        <v>0</v>
      </c>
      <c r="N506" s="13" t="s">
        <v>1778</v>
      </c>
      <c r="O506" s="11" t="s">
        <v>0</v>
      </c>
      <c r="P506" s="11" t="s">
        <v>0</v>
      </c>
      <c r="Q506" s="11" t="s">
        <v>1306</v>
      </c>
      <c r="R506" s="11" t="s">
        <v>1883</v>
      </c>
      <c r="S506" s="11" t="s">
        <v>0</v>
      </c>
      <c r="T506" s="11" t="s">
        <v>1307</v>
      </c>
      <c r="U506" s="11" t="s">
        <v>1888</v>
      </c>
      <c r="V506" s="11" t="s">
        <v>1922</v>
      </c>
      <c r="W506" s="11" t="s">
        <v>0</v>
      </c>
      <c r="X506" s="11" t="s">
        <v>0</v>
      </c>
      <c r="Y506" s="11" t="s">
        <v>1952</v>
      </c>
      <c r="Z506" s="11" t="s">
        <v>1952</v>
      </c>
      <c r="AA506" s="11" t="s">
        <v>1952</v>
      </c>
      <c r="AB506" s="11" t="s">
        <v>2003</v>
      </c>
      <c r="AC506" s="11" t="s">
        <v>48</v>
      </c>
      <c r="AD506" s="11" t="s">
        <v>0</v>
      </c>
      <c r="AE506" s="11" t="s">
        <v>13</v>
      </c>
    </row>
    <row r="507">
      <c r="B507" s="24" t="s">
        <v>2</v>
      </c>
      <c r="C507" s="12" t="s">
        <v>513</v>
      </c>
      <c r="D507" s="11" t="s">
        <v>1063</v>
      </c>
      <c r="E507" s="11" t="s">
        <v>1241</v>
      </c>
      <c r="F507" s="12" t="s">
        <v>2</v>
      </c>
      <c r="G507" s="12" t="s">
        <v>1302</v>
      </c>
      <c r="H507" s="12" t="s">
        <v>1302</v>
      </c>
      <c r="I507" s="12" t="s">
        <v>1313</v>
      </c>
      <c r="J507" s="12" t="s">
        <v>1323</v>
      </c>
      <c r="K507" s="12" t="s">
        <v>1326</v>
      </c>
      <c r="L507" s="12" t="s">
        <v>1303</v>
      </c>
      <c r="M507" s="12" t="s">
        <v>0</v>
      </c>
      <c r="N507" s="13" t="s">
        <v>1779</v>
      </c>
      <c r="O507" s="11" t="s">
        <v>0</v>
      </c>
      <c r="P507" s="11" t="s">
        <v>0</v>
      </c>
      <c r="Q507" s="11" t="s">
        <v>1306</v>
      </c>
      <c r="R507" s="11" t="s">
        <v>1883</v>
      </c>
      <c r="S507" s="11" t="s">
        <v>0</v>
      </c>
      <c r="T507" s="11" t="s">
        <v>1307</v>
      </c>
      <c r="U507" s="11" t="s">
        <v>1888</v>
      </c>
      <c r="V507" s="11" t="s">
        <v>1922</v>
      </c>
      <c r="W507" s="11" t="s">
        <v>0</v>
      </c>
      <c r="X507" s="11" t="s">
        <v>0</v>
      </c>
      <c r="Y507" s="11" t="s">
        <v>1951</v>
      </c>
      <c r="Z507" s="11" t="s">
        <v>1951</v>
      </c>
      <c r="AA507" s="11" t="s">
        <v>1951</v>
      </c>
      <c r="AB507" s="11" t="s">
        <v>2003</v>
      </c>
      <c r="AC507" s="11" t="s">
        <v>42</v>
      </c>
      <c r="AD507" s="11" t="s">
        <v>0</v>
      </c>
      <c r="AE507" s="11" t="s">
        <v>13</v>
      </c>
    </row>
    <row r="508">
      <c r="B508" s="24" t="s">
        <v>4</v>
      </c>
      <c r="C508" s="12" t="s">
        <v>514</v>
      </c>
      <c r="D508" s="11" t="s">
        <v>1064</v>
      </c>
      <c r="E508" s="11" t="s">
        <v>0</v>
      </c>
      <c r="F508" s="12" t="s">
        <v>4</v>
      </c>
      <c r="G508" s="12" t="s">
        <v>1302</v>
      </c>
      <c r="H508" s="12" t="s">
        <v>1302</v>
      </c>
      <c r="I508" s="12" t="s">
        <v>1313</v>
      </c>
      <c r="J508" s="12" t="s">
        <v>1323</v>
      </c>
      <c r="K508" s="12" t="s">
        <v>1326</v>
      </c>
      <c r="L508" s="12" t="s">
        <v>1303</v>
      </c>
      <c r="M508" s="12" t="s">
        <v>0</v>
      </c>
      <c r="N508" s="13" t="s">
        <v>1780</v>
      </c>
      <c r="O508" s="11" t="s">
        <v>0</v>
      </c>
      <c r="P508" s="11" t="s">
        <v>0</v>
      </c>
      <c r="Q508" s="11" t="s">
        <v>1306</v>
      </c>
      <c r="R508" s="11" t="s">
        <v>1883</v>
      </c>
      <c r="S508" s="11" t="s">
        <v>0</v>
      </c>
      <c r="T508" s="11" t="s">
        <v>1307</v>
      </c>
      <c r="U508" s="11" t="s">
        <v>1888</v>
      </c>
      <c r="V508" s="11" t="s">
        <v>1923</v>
      </c>
      <c r="W508" s="11" t="s">
        <v>0</v>
      </c>
      <c r="X508" s="11" t="s">
        <v>0</v>
      </c>
      <c r="Y508" s="11" t="s">
        <v>1953</v>
      </c>
      <c r="Z508" s="11" t="s">
        <v>0</v>
      </c>
      <c r="AA508" s="11" t="s">
        <v>0</v>
      </c>
      <c r="AB508" s="11" t="s">
        <v>2003</v>
      </c>
      <c r="AC508" s="11" t="s">
        <v>0</v>
      </c>
      <c r="AD508" s="11" t="s">
        <v>0</v>
      </c>
      <c r="AE508" s="11" t="s">
        <v>13</v>
      </c>
    </row>
    <row r="509">
      <c r="B509" s="24" t="s">
        <v>3</v>
      </c>
      <c r="C509" s="12" t="s">
        <v>514</v>
      </c>
      <c r="D509" s="11" t="s">
        <v>1065</v>
      </c>
      <c r="E509" s="11" t="s">
        <v>1253</v>
      </c>
      <c r="F509" s="12" t="s">
        <v>3</v>
      </c>
      <c r="G509" s="12" t="s">
        <v>1302</v>
      </c>
      <c r="H509" s="12" t="s">
        <v>1302</v>
      </c>
      <c r="I509" s="12" t="s">
        <v>1312</v>
      </c>
      <c r="J509" s="12" t="s">
        <v>1318</v>
      </c>
      <c r="K509" s="12" t="s">
        <v>1326</v>
      </c>
      <c r="L509" s="12" t="s">
        <v>1303</v>
      </c>
      <c r="M509" s="12" t="s">
        <v>0</v>
      </c>
      <c r="N509" s="13" t="s">
        <v>1781</v>
      </c>
      <c r="O509" s="11" t="s">
        <v>0</v>
      </c>
      <c r="P509" s="11" t="s">
        <v>0</v>
      </c>
      <c r="Q509" s="11" t="s">
        <v>0</v>
      </c>
      <c r="R509" s="11" t="s">
        <v>0</v>
      </c>
      <c r="S509" s="11" t="s">
        <v>0</v>
      </c>
      <c r="T509" s="11" t="s">
        <v>0</v>
      </c>
      <c r="U509" s="11" t="s">
        <v>0</v>
      </c>
      <c r="V509" s="11" t="s">
        <v>0</v>
      </c>
      <c r="W509" s="11" t="s">
        <v>0</v>
      </c>
      <c r="X509" s="11" t="s">
        <v>0</v>
      </c>
      <c r="Y509" s="11" t="s">
        <v>0</v>
      </c>
      <c r="Z509" s="11" t="s">
        <v>0</v>
      </c>
      <c r="AA509" s="11" t="s">
        <v>0</v>
      </c>
      <c r="AB509" s="11" t="s">
        <v>0</v>
      </c>
      <c r="AC509" s="11" t="s">
        <v>0</v>
      </c>
      <c r="AD509" s="11" t="s">
        <v>0</v>
      </c>
      <c r="AE509" s="11" t="s">
        <v>2090</v>
      </c>
    </row>
    <row r="510">
      <c r="B510" s="24" t="s">
        <v>3</v>
      </c>
      <c r="C510" s="12" t="s">
        <v>515</v>
      </c>
      <c r="D510" s="11" t="s">
        <v>1066</v>
      </c>
      <c r="E510" s="11" t="s">
        <v>1253</v>
      </c>
      <c r="F510" s="12" t="s">
        <v>3</v>
      </c>
      <c r="G510" s="12" t="s">
        <v>1302</v>
      </c>
      <c r="H510" s="12" t="s">
        <v>1302</v>
      </c>
      <c r="I510" s="12" t="s">
        <v>1312</v>
      </c>
      <c r="J510" s="12" t="s">
        <v>1318</v>
      </c>
      <c r="K510" s="12" t="s">
        <v>1326</v>
      </c>
      <c r="L510" s="12" t="s">
        <v>1303</v>
      </c>
      <c r="M510" s="12" t="s">
        <v>0</v>
      </c>
      <c r="N510" s="13" t="s">
        <v>1782</v>
      </c>
      <c r="O510" s="11" t="s">
        <v>0</v>
      </c>
      <c r="P510" s="11" t="s">
        <v>0</v>
      </c>
      <c r="Q510" s="11" t="s">
        <v>0</v>
      </c>
      <c r="R510" s="11" t="s">
        <v>0</v>
      </c>
      <c r="S510" s="11" t="s">
        <v>0</v>
      </c>
      <c r="T510" s="11" t="s">
        <v>0</v>
      </c>
      <c r="U510" s="11" t="s">
        <v>0</v>
      </c>
      <c r="V510" s="11" t="s">
        <v>0</v>
      </c>
      <c r="W510" s="11" t="s">
        <v>0</v>
      </c>
      <c r="X510" s="11" t="s">
        <v>0</v>
      </c>
      <c r="Y510" s="11" t="s">
        <v>0</v>
      </c>
      <c r="Z510" s="11" t="s">
        <v>0</v>
      </c>
      <c r="AA510" s="11" t="s">
        <v>0</v>
      </c>
      <c r="AB510" s="11" t="s">
        <v>0</v>
      </c>
      <c r="AC510" s="11" t="s">
        <v>0</v>
      </c>
      <c r="AD510" s="11" t="s">
        <v>0</v>
      </c>
      <c r="AE510" s="11" t="s">
        <v>0</v>
      </c>
    </row>
    <row r="511">
      <c r="B511" s="24" t="s">
        <v>3</v>
      </c>
      <c r="C511" s="12" t="s">
        <v>516</v>
      </c>
      <c r="D511" s="11" t="s">
        <v>1067</v>
      </c>
      <c r="E511" s="11" t="s">
        <v>1253</v>
      </c>
      <c r="F511" s="12" t="s">
        <v>3</v>
      </c>
      <c r="G511" s="12" t="s">
        <v>1302</v>
      </c>
      <c r="H511" s="12" t="s">
        <v>1302</v>
      </c>
      <c r="I511" s="12" t="s">
        <v>1312</v>
      </c>
      <c r="J511" s="12" t="s">
        <v>1318</v>
      </c>
      <c r="K511" s="12" t="s">
        <v>1326</v>
      </c>
      <c r="L511" s="12" t="s">
        <v>1303</v>
      </c>
      <c r="M511" s="12" t="s">
        <v>0</v>
      </c>
      <c r="N511" s="13" t="s">
        <v>1783</v>
      </c>
      <c r="O511" s="11" t="s">
        <v>0</v>
      </c>
      <c r="P511" s="11" t="s">
        <v>0</v>
      </c>
      <c r="Q511" s="11" t="s">
        <v>0</v>
      </c>
      <c r="R511" s="11" t="s">
        <v>0</v>
      </c>
      <c r="S511" s="11" t="s">
        <v>0</v>
      </c>
      <c r="T511" s="11" t="s">
        <v>0</v>
      </c>
      <c r="U511" s="11" t="s">
        <v>0</v>
      </c>
      <c r="V511" s="11" t="s">
        <v>0</v>
      </c>
      <c r="W511" s="11" t="s">
        <v>0</v>
      </c>
      <c r="X511" s="11" t="s">
        <v>0</v>
      </c>
      <c r="Y511" s="11" t="s">
        <v>0</v>
      </c>
      <c r="Z511" s="11" t="s">
        <v>0</v>
      </c>
      <c r="AA511" s="11" t="s">
        <v>0</v>
      </c>
      <c r="AB511" s="11" t="s">
        <v>0</v>
      </c>
      <c r="AC511" s="11" t="s">
        <v>0</v>
      </c>
      <c r="AD511" s="11" t="s">
        <v>0</v>
      </c>
      <c r="AE511" s="11" t="s">
        <v>0</v>
      </c>
    </row>
    <row r="512">
      <c r="B512" s="24" t="s">
        <v>2</v>
      </c>
      <c r="C512" s="12" t="s">
        <v>517</v>
      </c>
      <c r="D512" s="11" t="s">
        <v>1068</v>
      </c>
      <c r="E512" s="11" t="s">
        <v>1253</v>
      </c>
      <c r="F512" s="12" t="s">
        <v>2</v>
      </c>
      <c r="G512" s="12" t="s">
        <v>1302</v>
      </c>
      <c r="H512" s="12" t="s">
        <v>1302</v>
      </c>
      <c r="I512" s="12" t="s">
        <v>1312</v>
      </c>
      <c r="J512" s="12" t="s">
        <v>1318</v>
      </c>
      <c r="K512" s="12" t="s">
        <v>1326</v>
      </c>
      <c r="L512" s="12" t="s">
        <v>1303</v>
      </c>
      <c r="M512" s="12" t="s">
        <v>0</v>
      </c>
      <c r="N512" s="13" t="s">
        <v>1784</v>
      </c>
      <c r="O512" s="11" t="s">
        <v>0</v>
      </c>
      <c r="P512" s="11" t="s">
        <v>0</v>
      </c>
      <c r="Q512" s="11" t="s">
        <v>0</v>
      </c>
      <c r="R512" s="11" t="s">
        <v>0</v>
      </c>
      <c r="S512" s="11" t="s">
        <v>0</v>
      </c>
      <c r="T512" s="11" t="s">
        <v>0</v>
      </c>
      <c r="U512" s="11" t="s">
        <v>0</v>
      </c>
      <c r="V512" s="11" t="s">
        <v>0</v>
      </c>
      <c r="W512" s="11" t="s">
        <v>0</v>
      </c>
      <c r="X512" s="11" t="s">
        <v>0</v>
      </c>
      <c r="Y512" s="11" t="s">
        <v>0</v>
      </c>
      <c r="Z512" s="11" t="s">
        <v>0</v>
      </c>
      <c r="AA512" s="11" t="s">
        <v>0</v>
      </c>
      <c r="AB512" s="11" t="s">
        <v>0</v>
      </c>
      <c r="AC512" s="11" t="s">
        <v>0</v>
      </c>
      <c r="AD512" s="11" t="s">
        <v>0</v>
      </c>
      <c r="AE512" s="11" t="s">
        <v>0</v>
      </c>
    </row>
    <row r="513">
      <c r="B513" s="24" t="s">
        <v>2</v>
      </c>
      <c r="C513" s="12" t="s">
        <v>518</v>
      </c>
      <c r="D513" s="11" t="s">
        <v>1069</v>
      </c>
      <c r="E513" s="11" t="s">
        <v>1253</v>
      </c>
      <c r="F513" s="12" t="s">
        <v>2</v>
      </c>
      <c r="G513" s="12" t="s">
        <v>1302</v>
      </c>
      <c r="H513" s="12" t="s">
        <v>1302</v>
      </c>
      <c r="I513" s="12" t="s">
        <v>1312</v>
      </c>
      <c r="J513" s="12" t="s">
        <v>1318</v>
      </c>
      <c r="K513" s="12" t="s">
        <v>1326</v>
      </c>
      <c r="L513" s="12" t="s">
        <v>1303</v>
      </c>
      <c r="M513" s="12" t="s">
        <v>0</v>
      </c>
      <c r="N513" s="13" t="s">
        <v>1785</v>
      </c>
      <c r="O513" s="11" t="s">
        <v>0</v>
      </c>
      <c r="P513" s="11" t="s">
        <v>0</v>
      </c>
      <c r="Q513" s="11" t="s">
        <v>0</v>
      </c>
      <c r="R513" s="11" t="s">
        <v>0</v>
      </c>
      <c r="S513" s="11" t="s">
        <v>0</v>
      </c>
      <c r="T513" s="11" t="s">
        <v>0</v>
      </c>
      <c r="U513" s="11" t="s">
        <v>0</v>
      </c>
      <c r="V513" s="11" t="s">
        <v>0</v>
      </c>
      <c r="W513" s="11" t="s">
        <v>0</v>
      </c>
      <c r="X513" s="11" t="s">
        <v>0</v>
      </c>
      <c r="Y513" s="11" t="s">
        <v>0</v>
      </c>
      <c r="Z513" s="11" t="s">
        <v>0</v>
      </c>
      <c r="AA513" s="11" t="s">
        <v>0</v>
      </c>
      <c r="AB513" s="11" t="s">
        <v>0</v>
      </c>
      <c r="AC513" s="11" t="s">
        <v>0</v>
      </c>
      <c r="AD513" s="11" t="s">
        <v>0</v>
      </c>
      <c r="AE513" s="11" t="s">
        <v>0</v>
      </c>
    </row>
    <row r="514">
      <c r="B514" s="24" t="s">
        <v>6</v>
      </c>
      <c r="C514" s="12" t="s">
        <v>519</v>
      </c>
      <c r="D514" s="11" t="s">
        <v>1070</v>
      </c>
      <c r="E514" s="11" t="s">
        <v>1253</v>
      </c>
      <c r="F514" s="12" t="s">
        <v>6</v>
      </c>
      <c r="G514" s="12" t="s">
        <v>1302</v>
      </c>
      <c r="H514" s="12" t="s">
        <v>1302</v>
      </c>
      <c r="I514" s="12" t="s">
        <v>1312</v>
      </c>
      <c r="J514" s="12" t="s">
        <v>1318</v>
      </c>
      <c r="K514" s="12" t="s">
        <v>1326</v>
      </c>
      <c r="L514" s="12" t="s">
        <v>1303</v>
      </c>
      <c r="M514" s="12" t="s">
        <v>0</v>
      </c>
      <c r="N514" s="13" t="s">
        <v>1786</v>
      </c>
      <c r="O514" s="11" t="s">
        <v>0</v>
      </c>
      <c r="P514" s="11" t="s">
        <v>0</v>
      </c>
      <c r="Q514" s="11" t="s">
        <v>0</v>
      </c>
      <c r="R514" s="11" t="s">
        <v>0</v>
      </c>
      <c r="S514" s="11" t="s">
        <v>0</v>
      </c>
      <c r="T514" s="11" t="s">
        <v>0</v>
      </c>
      <c r="U514" s="11" t="s">
        <v>0</v>
      </c>
      <c r="V514" s="11" t="s">
        <v>0</v>
      </c>
      <c r="W514" s="11" t="s">
        <v>0</v>
      </c>
      <c r="X514" s="11" t="s">
        <v>0</v>
      </c>
      <c r="Y514" s="11" t="s">
        <v>0</v>
      </c>
      <c r="Z514" s="11" t="s">
        <v>0</v>
      </c>
      <c r="AA514" s="11" t="s">
        <v>0</v>
      </c>
      <c r="AB514" s="11" t="s">
        <v>0</v>
      </c>
      <c r="AC514" s="11" t="s">
        <v>0</v>
      </c>
      <c r="AD514" s="11" t="s">
        <v>0</v>
      </c>
      <c r="AE514" s="11" t="s">
        <v>0</v>
      </c>
    </row>
    <row r="515">
      <c r="B515" s="24" t="s">
        <v>5</v>
      </c>
      <c r="C515" s="12" t="s">
        <v>520</v>
      </c>
      <c r="D515" s="11" t="s">
        <v>1071</v>
      </c>
      <c r="E515" s="11" t="s">
        <v>1253</v>
      </c>
      <c r="F515" s="12" t="s">
        <v>5</v>
      </c>
      <c r="G515" s="12" t="s">
        <v>1302</v>
      </c>
      <c r="H515" s="12" t="s">
        <v>1302</v>
      </c>
      <c r="I515" s="12" t="s">
        <v>1312</v>
      </c>
      <c r="J515" s="12" t="s">
        <v>1318</v>
      </c>
      <c r="K515" s="12" t="s">
        <v>1326</v>
      </c>
      <c r="L515" s="12" t="s">
        <v>1303</v>
      </c>
      <c r="M515" s="12" t="s">
        <v>0</v>
      </c>
      <c r="N515" s="13" t="s">
        <v>1787</v>
      </c>
      <c r="O515" s="11" t="s">
        <v>0</v>
      </c>
      <c r="P515" s="11" t="s">
        <v>0</v>
      </c>
      <c r="Q515" s="11" t="s">
        <v>0</v>
      </c>
      <c r="R515" s="11" t="s">
        <v>0</v>
      </c>
      <c r="S515" s="11" t="s">
        <v>0</v>
      </c>
      <c r="T515" s="11" t="s">
        <v>0</v>
      </c>
      <c r="U515" s="11" t="s">
        <v>1888</v>
      </c>
      <c r="V515" s="11" t="s">
        <v>0</v>
      </c>
      <c r="W515" s="11" t="s">
        <v>0</v>
      </c>
      <c r="X515" s="11" t="s">
        <v>0</v>
      </c>
      <c r="Y515" s="11" t="s">
        <v>1954</v>
      </c>
      <c r="Z515" s="11" t="s">
        <v>0</v>
      </c>
      <c r="AA515" s="11" t="s">
        <v>0</v>
      </c>
      <c r="AB515" s="11" t="s">
        <v>0</v>
      </c>
      <c r="AC515" s="11" t="s">
        <v>0</v>
      </c>
      <c r="AD515" s="11" t="s">
        <v>0</v>
      </c>
      <c r="AE515" s="11" t="s">
        <v>0</v>
      </c>
    </row>
    <row r="516">
      <c r="B516" s="24" t="s">
        <v>5</v>
      </c>
      <c r="C516" s="12" t="s">
        <v>521</v>
      </c>
      <c r="D516" s="11" t="s">
        <v>1072</v>
      </c>
      <c r="E516" s="11" t="s">
        <v>1253</v>
      </c>
      <c r="F516" s="12" t="s">
        <v>5</v>
      </c>
      <c r="G516" s="12" t="s">
        <v>1302</v>
      </c>
      <c r="H516" s="12" t="s">
        <v>1302</v>
      </c>
      <c r="I516" s="12" t="s">
        <v>1312</v>
      </c>
      <c r="J516" s="12" t="s">
        <v>1318</v>
      </c>
      <c r="K516" s="12" t="s">
        <v>1326</v>
      </c>
      <c r="L516" s="12" t="s">
        <v>1303</v>
      </c>
      <c r="M516" s="12" t="s">
        <v>0</v>
      </c>
      <c r="N516" s="13" t="s">
        <v>1788</v>
      </c>
      <c r="O516" s="11" t="s">
        <v>0</v>
      </c>
      <c r="P516" s="11" t="s">
        <v>0</v>
      </c>
      <c r="Q516" s="11" t="s">
        <v>0</v>
      </c>
      <c r="R516" s="11" t="s">
        <v>0</v>
      </c>
      <c r="S516" s="11" t="s">
        <v>0</v>
      </c>
      <c r="T516" s="11" t="s">
        <v>0</v>
      </c>
      <c r="U516" s="11" t="s">
        <v>0</v>
      </c>
      <c r="V516" s="11" t="s">
        <v>0</v>
      </c>
      <c r="W516" s="11" t="s">
        <v>0</v>
      </c>
      <c r="X516" s="11" t="s">
        <v>0</v>
      </c>
      <c r="Y516" s="11" t="s">
        <v>0</v>
      </c>
      <c r="Z516" s="11" t="s">
        <v>0</v>
      </c>
      <c r="AA516" s="11" t="s">
        <v>0</v>
      </c>
      <c r="AB516" s="11" t="s">
        <v>0</v>
      </c>
      <c r="AC516" s="11" t="s">
        <v>0</v>
      </c>
      <c r="AD516" s="11" t="s">
        <v>0</v>
      </c>
      <c r="AE516" s="11" t="s">
        <v>0</v>
      </c>
    </row>
    <row r="517">
      <c r="B517" s="24" t="s">
        <v>5</v>
      </c>
      <c r="C517" s="12" t="s">
        <v>522</v>
      </c>
      <c r="D517" s="11" t="s">
        <v>1073</v>
      </c>
      <c r="E517" s="11" t="s">
        <v>1253</v>
      </c>
      <c r="F517" s="12" t="s">
        <v>5</v>
      </c>
      <c r="G517" s="12" t="s">
        <v>1302</v>
      </c>
      <c r="H517" s="12" t="s">
        <v>1302</v>
      </c>
      <c r="I517" s="12" t="s">
        <v>1312</v>
      </c>
      <c r="J517" s="12" t="s">
        <v>1318</v>
      </c>
      <c r="K517" s="12" t="s">
        <v>1326</v>
      </c>
      <c r="L517" s="12" t="s">
        <v>1303</v>
      </c>
      <c r="M517" s="12" t="s">
        <v>0</v>
      </c>
      <c r="N517" s="13" t="s">
        <v>1789</v>
      </c>
      <c r="O517" s="11" t="s">
        <v>0</v>
      </c>
      <c r="P517" s="11" t="s">
        <v>0</v>
      </c>
      <c r="Q517" s="11" t="s">
        <v>0</v>
      </c>
      <c r="R517" s="11" t="s">
        <v>0</v>
      </c>
      <c r="S517" s="11" t="s">
        <v>0</v>
      </c>
      <c r="T517" s="11" t="s">
        <v>0</v>
      </c>
      <c r="U517" s="11" t="s">
        <v>1888</v>
      </c>
      <c r="V517" s="11" t="s">
        <v>0</v>
      </c>
      <c r="W517" s="11" t="s">
        <v>0</v>
      </c>
      <c r="X517" s="11" t="s">
        <v>0</v>
      </c>
      <c r="Y517" s="11" t="s">
        <v>0</v>
      </c>
      <c r="Z517" s="11" t="s">
        <v>0</v>
      </c>
      <c r="AA517" s="11" t="s">
        <v>2001</v>
      </c>
      <c r="AB517" s="11" t="s">
        <v>0</v>
      </c>
      <c r="AC517" s="11" t="s">
        <v>0</v>
      </c>
      <c r="AD517" s="11" t="s">
        <v>0</v>
      </c>
      <c r="AE517" s="11" t="s">
        <v>0</v>
      </c>
    </row>
    <row r="518">
      <c r="B518" s="24" t="s">
        <v>5</v>
      </c>
      <c r="C518" s="12" t="s">
        <v>523</v>
      </c>
      <c r="D518" s="11" t="s">
        <v>1074</v>
      </c>
      <c r="E518" s="11" t="s">
        <v>1253</v>
      </c>
      <c r="F518" s="12" t="s">
        <v>5</v>
      </c>
      <c r="G518" s="12" t="s">
        <v>1302</v>
      </c>
      <c r="H518" s="12" t="s">
        <v>1302</v>
      </c>
      <c r="I518" s="12" t="s">
        <v>1312</v>
      </c>
      <c r="J518" s="12" t="s">
        <v>1318</v>
      </c>
      <c r="K518" s="12" t="s">
        <v>1326</v>
      </c>
      <c r="L518" s="12" t="s">
        <v>1303</v>
      </c>
      <c r="M518" s="12" t="s">
        <v>0</v>
      </c>
      <c r="N518" s="13" t="s">
        <v>1790</v>
      </c>
      <c r="O518" s="11" t="s">
        <v>0</v>
      </c>
      <c r="P518" s="11" t="s">
        <v>0</v>
      </c>
      <c r="Q518" s="11" t="s">
        <v>0</v>
      </c>
      <c r="R518" s="11" t="s">
        <v>0</v>
      </c>
      <c r="S518" s="11" t="s">
        <v>0</v>
      </c>
      <c r="T518" s="11" t="s">
        <v>0</v>
      </c>
      <c r="U518" s="11" t="s">
        <v>0</v>
      </c>
      <c r="V518" s="11" t="s">
        <v>0</v>
      </c>
      <c r="W518" s="11" t="s">
        <v>0</v>
      </c>
      <c r="X518" s="11" t="s">
        <v>0</v>
      </c>
      <c r="Y518" s="11" t="s">
        <v>0</v>
      </c>
      <c r="Z518" s="11" t="s">
        <v>0</v>
      </c>
      <c r="AA518" s="11" t="s">
        <v>0</v>
      </c>
      <c r="AB518" s="11" t="s">
        <v>0</v>
      </c>
      <c r="AC518" s="11" t="s">
        <v>0</v>
      </c>
      <c r="AD518" s="11" t="s">
        <v>0</v>
      </c>
      <c r="AE518" s="11" t="s">
        <v>0</v>
      </c>
    </row>
    <row r="519">
      <c r="B519" s="24" t="s">
        <v>5</v>
      </c>
      <c r="C519" s="12" t="s">
        <v>524</v>
      </c>
      <c r="D519" s="11" t="s">
        <v>1075</v>
      </c>
      <c r="E519" s="11" t="s">
        <v>1253</v>
      </c>
      <c r="F519" s="12" t="s">
        <v>5</v>
      </c>
      <c r="G519" s="12" t="s">
        <v>1302</v>
      </c>
      <c r="H519" s="12" t="s">
        <v>1302</v>
      </c>
      <c r="I519" s="12" t="s">
        <v>1312</v>
      </c>
      <c r="J519" s="12" t="s">
        <v>1318</v>
      </c>
      <c r="K519" s="12" t="s">
        <v>1326</v>
      </c>
      <c r="L519" s="12" t="s">
        <v>1303</v>
      </c>
      <c r="M519" s="12" t="s">
        <v>0</v>
      </c>
      <c r="N519" s="13" t="s">
        <v>1791</v>
      </c>
      <c r="O519" s="11" t="s">
        <v>0</v>
      </c>
      <c r="P519" s="11" t="s">
        <v>0</v>
      </c>
      <c r="Q519" s="11" t="s">
        <v>0</v>
      </c>
      <c r="R519" s="11" t="s">
        <v>0</v>
      </c>
      <c r="S519" s="11" t="s">
        <v>0</v>
      </c>
      <c r="T519" s="11" t="s">
        <v>0</v>
      </c>
      <c r="U519" s="11" t="s">
        <v>0</v>
      </c>
      <c r="V519" s="11" t="s">
        <v>0</v>
      </c>
      <c r="W519" s="11" t="s">
        <v>0</v>
      </c>
      <c r="X519" s="11" t="s">
        <v>0</v>
      </c>
      <c r="Y519" s="11" t="s">
        <v>0</v>
      </c>
      <c r="Z519" s="11" t="s">
        <v>0</v>
      </c>
      <c r="AA519" s="11" t="s">
        <v>0</v>
      </c>
      <c r="AB519" s="11" t="s">
        <v>0</v>
      </c>
      <c r="AC519" s="11" t="s">
        <v>0</v>
      </c>
      <c r="AD519" s="11" t="s">
        <v>0</v>
      </c>
      <c r="AE519" s="11" t="s">
        <v>0</v>
      </c>
    </row>
    <row r="520">
      <c r="B520" s="24" t="s">
        <v>4</v>
      </c>
      <c r="C520" s="12" t="s">
        <v>525</v>
      </c>
      <c r="D520" s="11" t="s">
        <v>1076</v>
      </c>
      <c r="E520" s="11" t="s">
        <v>1253</v>
      </c>
      <c r="F520" s="12" t="s">
        <v>4</v>
      </c>
      <c r="G520" s="12" t="s">
        <v>1302</v>
      </c>
      <c r="H520" s="12" t="s">
        <v>1302</v>
      </c>
      <c r="I520" s="12" t="s">
        <v>1312</v>
      </c>
      <c r="J520" s="12" t="s">
        <v>1318</v>
      </c>
      <c r="K520" s="12" t="s">
        <v>1326</v>
      </c>
      <c r="L520" s="12" t="s">
        <v>1303</v>
      </c>
      <c r="M520" s="12" t="s">
        <v>0</v>
      </c>
      <c r="N520" s="13" t="s">
        <v>1792</v>
      </c>
      <c r="O520" s="11" t="s">
        <v>0</v>
      </c>
      <c r="P520" s="11" t="s">
        <v>0</v>
      </c>
      <c r="Q520" s="11" t="s">
        <v>0</v>
      </c>
      <c r="R520" s="11" t="s">
        <v>0</v>
      </c>
      <c r="S520" s="11" t="s">
        <v>0</v>
      </c>
      <c r="T520" s="11" t="s">
        <v>0</v>
      </c>
      <c r="U520" s="11" t="s">
        <v>0</v>
      </c>
      <c r="V520" s="11" t="s">
        <v>0</v>
      </c>
      <c r="W520" s="11" t="s">
        <v>0</v>
      </c>
      <c r="X520" s="11" t="s">
        <v>0</v>
      </c>
      <c r="Y520" s="11" t="s">
        <v>0</v>
      </c>
      <c r="Z520" s="11" t="s">
        <v>0</v>
      </c>
      <c r="AA520" s="11" t="s">
        <v>0</v>
      </c>
      <c r="AB520" s="11" t="s">
        <v>0</v>
      </c>
      <c r="AC520" s="11" t="s">
        <v>0</v>
      </c>
      <c r="AD520" s="11" t="s">
        <v>0</v>
      </c>
      <c r="AE520" s="11" t="s">
        <v>0</v>
      </c>
    </row>
    <row r="521">
      <c r="B521" s="24" t="s">
        <v>4</v>
      </c>
      <c r="C521" s="12" t="s">
        <v>526</v>
      </c>
      <c r="D521" s="11" t="s">
        <v>1077</v>
      </c>
      <c r="E521" s="11" t="s">
        <v>1253</v>
      </c>
      <c r="F521" s="12" t="s">
        <v>4</v>
      </c>
      <c r="G521" s="12" t="s">
        <v>1302</v>
      </c>
      <c r="H521" s="12" t="s">
        <v>1302</v>
      </c>
      <c r="I521" s="12" t="s">
        <v>1312</v>
      </c>
      <c r="J521" s="12" t="s">
        <v>1318</v>
      </c>
      <c r="K521" s="12" t="s">
        <v>1326</v>
      </c>
      <c r="L521" s="12" t="s">
        <v>1303</v>
      </c>
      <c r="M521" s="12" t="s">
        <v>0</v>
      </c>
      <c r="N521" s="13" t="s">
        <v>1793</v>
      </c>
      <c r="O521" s="11" t="s">
        <v>0</v>
      </c>
      <c r="P521" s="11" t="s">
        <v>0</v>
      </c>
      <c r="Q521" s="11" t="s">
        <v>0</v>
      </c>
      <c r="R521" s="11" t="s">
        <v>0</v>
      </c>
      <c r="S521" s="11" t="s">
        <v>0</v>
      </c>
      <c r="T521" s="11" t="s">
        <v>0</v>
      </c>
      <c r="U521" s="11" t="s">
        <v>0</v>
      </c>
      <c r="V521" s="11" t="s">
        <v>0</v>
      </c>
      <c r="W521" s="11" t="s">
        <v>0</v>
      </c>
      <c r="X521" s="11" t="s">
        <v>0</v>
      </c>
      <c r="Y521" s="11" t="s">
        <v>0</v>
      </c>
      <c r="Z521" s="11" t="s">
        <v>0</v>
      </c>
      <c r="AA521" s="11" t="s">
        <v>0</v>
      </c>
      <c r="AB521" s="11" t="s">
        <v>0</v>
      </c>
      <c r="AC521" s="11" t="s">
        <v>0</v>
      </c>
      <c r="AD521" s="11" t="s">
        <v>0</v>
      </c>
      <c r="AE521" s="11" t="s">
        <v>0</v>
      </c>
    </row>
    <row r="522">
      <c r="B522" s="24" t="s">
        <v>4</v>
      </c>
      <c r="C522" s="12" t="s">
        <v>527</v>
      </c>
      <c r="D522" s="11" t="s">
        <v>1078</v>
      </c>
      <c r="E522" s="11" t="s">
        <v>1253</v>
      </c>
      <c r="F522" s="12" t="s">
        <v>4</v>
      </c>
      <c r="G522" s="12" t="s">
        <v>1302</v>
      </c>
      <c r="H522" s="12" t="s">
        <v>1302</v>
      </c>
      <c r="I522" s="12" t="s">
        <v>1312</v>
      </c>
      <c r="J522" s="12" t="s">
        <v>1318</v>
      </c>
      <c r="K522" s="12" t="s">
        <v>1326</v>
      </c>
      <c r="L522" s="12" t="s">
        <v>1303</v>
      </c>
      <c r="M522" s="12" t="s">
        <v>0</v>
      </c>
      <c r="N522" s="13" t="s">
        <v>1794</v>
      </c>
      <c r="O522" s="11" t="s">
        <v>0</v>
      </c>
      <c r="P522" s="11" t="s">
        <v>0</v>
      </c>
      <c r="Q522" s="11" t="s">
        <v>0</v>
      </c>
      <c r="R522" s="11" t="s">
        <v>0</v>
      </c>
      <c r="S522" s="11" t="s">
        <v>0</v>
      </c>
      <c r="T522" s="11" t="s">
        <v>0</v>
      </c>
      <c r="U522" s="11" t="s">
        <v>0</v>
      </c>
      <c r="V522" s="11" t="s">
        <v>0</v>
      </c>
      <c r="W522" s="11" t="s">
        <v>0</v>
      </c>
      <c r="X522" s="11" t="s">
        <v>0</v>
      </c>
      <c r="Y522" s="11" t="s">
        <v>0</v>
      </c>
      <c r="Z522" s="11" t="s">
        <v>0</v>
      </c>
      <c r="AA522" s="11" t="s">
        <v>0</v>
      </c>
      <c r="AB522" s="11" t="s">
        <v>0</v>
      </c>
      <c r="AC522" s="11" t="s">
        <v>0</v>
      </c>
      <c r="AD522" s="11" t="s">
        <v>0</v>
      </c>
      <c r="AE522" s="11" t="s">
        <v>0</v>
      </c>
    </row>
    <row r="523">
      <c r="B523" s="24" t="s">
        <v>4</v>
      </c>
      <c r="C523" s="12" t="s">
        <v>528</v>
      </c>
      <c r="D523" s="11" t="s">
        <v>1079</v>
      </c>
      <c r="E523" s="11" t="s">
        <v>1253</v>
      </c>
      <c r="F523" s="12" t="s">
        <v>4</v>
      </c>
      <c r="G523" s="12" t="s">
        <v>1302</v>
      </c>
      <c r="H523" s="12" t="s">
        <v>1302</v>
      </c>
      <c r="I523" s="12" t="s">
        <v>1312</v>
      </c>
      <c r="J523" s="12" t="s">
        <v>1318</v>
      </c>
      <c r="K523" s="12" t="s">
        <v>1326</v>
      </c>
      <c r="L523" s="12" t="s">
        <v>1303</v>
      </c>
      <c r="M523" s="12" t="s">
        <v>0</v>
      </c>
      <c r="N523" s="13" t="s">
        <v>1795</v>
      </c>
      <c r="O523" s="11" t="s">
        <v>0</v>
      </c>
      <c r="P523" s="11" t="s">
        <v>0</v>
      </c>
      <c r="Q523" s="11" t="s">
        <v>0</v>
      </c>
      <c r="R523" s="11" t="s">
        <v>0</v>
      </c>
      <c r="S523" s="11" t="s">
        <v>0</v>
      </c>
      <c r="T523" s="11" t="s">
        <v>0</v>
      </c>
      <c r="U523" s="11" t="s">
        <v>1888</v>
      </c>
      <c r="V523" s="11" t="s">
        <v>0</v>
      </c>
      <c r="W523" s="11" t="s">
        <v>0</v>
      </c>
      <c r="X523" s="11" t="s">
        <v>0</v>
      </c>
      <c r="Y523" s="11" t="s">
        <v>1955</v>
      </c>
      <c r="Z523" s="11" t="s">
        <v>1955</v>
      </c>
      <c r="AA523" s="11" t="s">
        <v>1955</v>
      </c>
      <c r="AB523" s="11" t="s">
        <v>0</v>
      </c>
      <c r="AC523" s="11" t="s">
        <v>0</v>
      </c>
      <c r="AD523" s="11" t="s">
        <v>0</v>
      </c>
      <c r="AE523" s="11" t="s">
        <v>0</v>
      </c>
    </row>
    <row r="524">
      <c r="B524" s="24" t="s">
        <v>4</v>
      </c>
      <c r="C524" s="12" t="s">
        <v>529</v>
      </c>
      <c r="D524" s="11" t="s">
        <v>1080</v>
      </c>
      <c r="E524" s="11" t="s">
        <v>1253</v>
      </c>
      <c r="F524" s="12" t="s">
        <v>4</v>
      </c>
      <c r="G524" s="12" t="s">
        <v>1302</v>
      </c>
      <c r="H524" s="12" t="s">
        <v>1302</v>
      </c>
      <c r="I524" s="12" t="s">
        <v>1312</v>
      </c>
      <c r="J524" s="12" t="s">
        <v>1318</v>
      </c>
      <c r="K524" s="12" t="s">
        <v>1326</v>
      </c>
      <c r="L524" s="12" t="s">
        <v>1303</v>
      </c>
      <c r="M524" s="12" t="s">
        <v>0</v>
      </c>
      <c r="N524" s="13" t="s">
        <v>1796</v>
      </c>
      <c r="O524" s="11" t="s">
        <v>0</v>
      </c>
      <c r="P524" s="11" t="s">
        <v>0</v>
      </c>
      <c r="Q524" s="11" t="s">
        <v>0</v>
      </c>
      <c r="R524" s="11" t="s">
        <v>0</v>
      </c>
      <c r="S524" s="11" t="s">
        <v>0</v>
      </c>
      <c r="T524" s="11" t="s">
        <v>0</v>
      </c>
      <c r="U524" s="11" t="s">
        <v>0</v>
      </c>
      <c r="V524" s="11" t="s">
        <v>0</v>
      </c>
      <c r="W524" s="11" t="s">
        <v>0</v>
      </c>
      <c r="X524" s="11" t="s">
        <v>0</v>
      </c>
      <c r="Y524" s="11" t="s">
        <v>0</v>
      </c>
      <c r="Z524" s="11" t="s">
        <v>0</v>
      </c>
      <c r="AA524" s="11" t="s">
        <v>0</v>
      </c>
      <c r="AB524" s="11" t="s">
        <v>0</v>
      </c>
      <c r="AC524" s="11" t="s">
        <v>0</v>
      </c>
      <c r="AD524" s="11" t="s">
        <v>0</v>
      </c>
      <c r="AE524" s="11" t="s">
        <v>0</v>
      </c>
    </row>
    <row r="525">
      <c r="B525" s="24" t="s">
        <v>4</v>
      </c>
      <c r="C525" s="12" t="s">
        <v>530</v>
      </c>
      <c r="D525" s="11" t="s">
        <v>1081</v>
      </c>
      <c r="E525" s="11" t="s">
        <v>1253</v>
      </c>
      <c r="F525" s="12" t="s">
        <v>4</v>
      </c>
      <c r="G525" s="12" t="s">
        <v>1302</v>
      </c>
      <c r="H525" s="12" t="s">
        <v>1302</v>
      </c>
      <c r="I525" s="12" t="s">
        <v>1312</v>
      </c>
      <c r="J525" s="12" t="s">
        <v>1318</v>
      </c>
      <c r="K525" s="12" t="s">
        <v>1326</v>
      </c>
      <c r="L525" s="12" t="s">
        <v>1303</v>
      </c>
      <c r="M525" s="12" t="s">
        <v>0</v>
      </c>
      <c r="N525" s="13" t="s">
        <v>1797</v>
      </c>
      <c r="O525" s="11" t="s">
        <v>0</v>
      </c>
      <c r="P525" s="11" t="s">
        <v>0</v>
      </c>
      <c r="Q525" s="11" t="s">
        <v>0</v>
      </c>
      <c r="R525" s="11" t="s">
        <v>0</v>
      </c>
      <c r="S525" s="11" t="s">
        <v>0</v>
      </c>
      <c r="T525" s="11" t="s">
        <v>0</v>
      </c>
      <c r="U525" s="11" t="s">
        <v>0</v>
      </c>
      <c r="V525" s="11" t="s">
        <v>0</v>
      </c>
      <c r="W525" s="11" t="s">
        <v>0</v>
      </c>
      <c r="X525" s="11" t="s">
        <v>0</v>
      </c>
      <c r="Y525" s="11" t="s">
        <v>0</v>
      </c>
      <c r="Z525" s="11" t="s">
        <v>0</v>
      </c>
      <c r="AA525" s="11" t="s">
        <v>0</v>
      </c>
      <c r="AB525" s="11" t="s">
        <v>0</v>
      </c>
      <c r="AC525" s="11" t="s">
        <v>0</v>
      </c>
      <c r="AD525" s="11" t="s">
        <v>0</v>
      </c>
      <c r="AE525" s="11" t="s">
        <v>0</v>
      </c>
    </row>
    <row r="526">
      <c r="B526" s="24" t="s">
        <v>7</v>
      </c>
      <c r="C526" s="12" t="s">
        <v>531</v>
      </c>
      <c r="D526" s="11" t="s">
        <v>1082</v>
      </c>
      <c r="E526" s="11" t="s">
        <v>1253</v>
      </c>
      <c r="F526" s="12" t="s">
        <v>7</v>
      </c>
      <c r="G526" s="12" t="s">
        <v>1302</v>
      </c>
      <c r="H526" s="12" t="s">
        <v>1302</v>
      </c>
      <c r="I526" s="12" t="s">
        <v>1312</v>
      </c>
      <c r="J526" s="12" t="s">
        <v>1318</v>
      </c>
      <c r="K526" s="12" t="s">
        <v>1326</v>
      </c>
      <c r="L526" s="12" t="s">
        <v>1303</v>
      </c>
      <c r="M526" s="12" t="s">
        <v>0</v>
      </c>
      <c r="N526" s="13" t="s">
        <v>1798</v>
      </c>
      <c r="O526" s="11" t="s">
        <v>0</v>
      </c>
      <c r="P526" s="11" t="s">
        <v>0</v>
      </c>
      <c r="Q526" s="11" t="s">
        <v>0</v>
      </c>
      <c r="R526" s="11" t="s">
        <v>0</v>
      </c>
      <c r="S526" s="11" t="s">
        <v>0</v>
      </c>
      <c r="T526" s="11" t="s">
        <v>0</v>
      </c>
      <c r="U526" s="11" t="s">
        <v>0</v>
      </c>
      <c r="V526" s="11" t="s">
        <v>0</v>
      </c>
      <c r="W526" s="11" t="s">
        <v>0</v>
      </c>
      <c r="X526" s="11" t="s">
        <v>0</v>
      </c>
      <c r="Y526" s="11" t="s">
        <v>0</v>
      </c>
      <c r="Z526" s="11" t="s">
        <v>0</v>
      </c>
      <c r="AA526" s="11" t="s">
        <v>0</v>
      </c>
      <c r="AB526" s="11" t="s">
        <v>0</v>
      </c>
      <c r="AC526" s="11" t="s">
        <v>0</v>
      </c>
      <c r="AD526" s="11" t="s">
        <v>0</v>
      </c>
      <c r="AE526" s="11" t="s">
        <v>0</v>
      </c>
    </row>
    <row r="527">
      <c r="B527" s="24" t="s">
        <v>7</v>
      </c>
      <c r="C527" s="12" t="s">
        <v>532</v>
      </c>
      <c r="D527" s="11" t="s">
        <v>1083</v>
      </c>
      <c r="E527" s="11" t="s">
        <v>1253</v>
      </c>
      <c r="F527" s="12" t="s">
        <v>7</v>
      </c>
      <c r="G527" s="12" t="s">
        <v>1302</v>
      </c>
      <c r="H527" s="12" t="s">
        <v>1302</v>
      </c>
      <c r="I527" s="12" t="s">
        <v>1312</v>
      </c>
      <c r="J527" s="12" t="s">
        <v>1318</v>
      </c>
      <c r="K527" s="12" t="s">
        <v>1326</v>
      </c>
      <c r="L527" s="12" t="s">
        <v>1303</v>
      </c>
      <c r="M527" s="12" t="s">
        <v>0</v>
      </c>
      <c r="N527" s="13" t="s">
        <v>1799</v>
      </c>
      <c r="O527" s="11" t="s">
        <v>0</v>
      </c>
      <c r="P527" s="11" t="s">
        <v>0</v>
      </c>
      <c r="Q527" s="11" t="s">
        <v>0</v>
      </c>
      <c r="R527" s="11" t="s">
        <v>0</v>
      </c>
      <c r="S527" s="11" t="s">
        <v>0</v>
      </c>
      <c r="T527" s="11" t="s">
        <v>0</v>
      </c>
      <c r="U527" s="11" t="s">
        <v>0</v>
      </c>
      <c r="V527" s="11" t="s">
        <v>0</v>
      </c>
      <c r="W527" s="11" t="s">
        <v>0</v>
      </c>
      <c r="X527" s="11" t="s">
        <v>0</v>
      </c>
      <c r="Y527" s="11" t="s">
        <v>0</v>
      </c>
      <c r="Z527" s="11" t="s">
        <v>0</v>
      </c>
      <c r="AA527" s="11" t="s">
        <v>0</v>
      </c>
      <c r="AB527" s="11" t="s">
        <v>0</v>
      </c>
      <c r="AC527" s="11" t="s">
        <v>0</v>
      </c>
      <c r="AD527" s="11" t="s">
        <v>0</v>
      </c>
      <c r="AE527" s="11" t="s">
        <v>0</v>
      </c>
    </row>
    <row r="528">
      <c r="B528" s="24" t="s">
        <v>7</v>
      </c>
      <c r="C528" s="12" t="s">
        <v>533</v>
      </c>
      <c r="D528" s="11" t="s">
        <v>1084</v>
      </c>
      <c r="E528" s="11" t="s">
        <v>1253</v>
      </c>
      <c r="F528" s="12" t="s">
        <v>7</v>
      </c>
      <c r="G528" s="12" t="s">
        <v>1302</v>
      </c>
      <c r="H528" s="12" t="s">
        <v>1302</v>
      </c>
      <c r="I528" s="12" t="s">
        <v>1312</v>
      </c>
      <c r="J528" s="12" t="s">
        <v>1318</v>
      </c>
      <c r="K528" s="12" t="s">
        <v>1326</v>
      </c>
      <c r="L528" s="12" t="s">
        <v>1303</v>
      </c>
      <c r="M528" s="12" t="s">
        <v>0</v>
      </c>
      <c r="N528" s="13" t="s">
        <v>1800</v>
      </c>
      <c r="O528" s="11" t="s">
        <v>0</v>
      </c>
      <c r="P528" s="11" t="s">
        <v>0</v>
      </c>
      <c r="Q528" s="11" t="s">
        <v>0</v>
      </c>
      <c r="R528" s="11" t="s">
        <v>0</v>
      </c>
      <c r="S528" s="11" t="s">
        <v>0</v>
      </c>
      <c r="T528" s="11" t="s">
        <v>0</v>
      </c>
      <c r="U528" s="11" t="s">
        <v>0</v>
      </c>
      <c r="V528" s="11" t="s">
        <v>0</v>
      </c>
      <c r="W528" s="11" t="s">
        <v>0</v>
      </c>
      <c r="X528" s="11" t="s">
        <v>0</v>
      </c>
      <c r="Y528" s="11" t="s">
        <v>0</v>
      </c>
      <c r="Z528" s="11" t="s">
        <v>0</v>
      </c>
      <c r="AA528" s="11" t="s">
        <v>0</v>
      </c>
      <c r="AB528" s="11" t="s">
        <v>0</v>
      </c>
      <c r="AC528" s="11" t="s">
        <v>0</v>
      </c>
      <c r="AD528" s="11" t="s">
        <v>0</v>
      </c>
      <c r="AE528" s="11" t="s">
        <v>0</v>
      </c>
    </row>
    <row r="529">
      <c r="B529" s="24" t="s">
        <v>6</v>
      </c>
      <c r="C529" s="12" t="s">
        <v>534</v>
      </c>
      <c r="D529" s="11" t="s">
        <v>0</v>
      </c>
      <c r="E529" s="11" t="s">
        <v>1254</v>
      </c>
      <c r="F529" s="12" t="s">
        <v>6</v>
      </c>
      <c r="G529" s="12" t="s">
        <v>1302</v>
      </c>
      <c r="H529" s="12" t="s">
        <v>1302</v>
      </c>
      <c r="I529" s="12" t="s">
        <v>1312</v>
      </c>
      <c r="J529" s="12" t="s">
        <v>1318</v>
      </c>
      <c r="K529" s="12" t="s">
        <v>1326</v>
      </c>
      <c r="L529" s="12" t="s">
        <v>1303</v>
      </c>
      <c r="M529" s="12" t="s">
        <v>0</v>
      </c>
      <c r="N529" s="13" t="s">
        <v>1801</v>
      </c>
      <c r="O529" s="11" t="s">
        <v>0</v>
      </c>
      <c r="P529" s="11" t="s">
        <v>0</v>
      </c>
      <c r="Q529" s="11" t="s">
        <v>0</v>
      </c>
      <c r="R529" s="11" t="s">
        <v>0</v>
      </c>
      <c r="S529" s="11" t="s">
        <v>0</v>
      </c>
      <c r="T529" s="11" t="s">
        <v>0</v>
      </c>
      <c r="U529" s="11" t="s">
        <v>0</v>
      </c>
      <c r="V529" s="11" t="s">
        <v>0</v>
      </c>
      <c r="W529" s="11" t="s">
        <v>0</v>
      </c>
      <c r="X529" s="11" t="s">
        <v>0</v>
      </c>
      <c r="Y529" s="11" t="s">
        <v>0</v>
      </c>
      <c r="Z529" s="11" t="s">
        <v>0</v>
      </c>
      <c r="AA529" s="11" t="s">
        <v>0</v>
      </c>
      <c r="AB529" s="11" t="s">
        <v>0</v>
      </c>
      <c r="AC529" s="11" t="s">
        <v>0</v>
      </c>
      <c r="AD529" s="11" t="s">
        <v>0</v>
      </c>
      <c r="AE529" s="11" t="s">
        <v>0</v>
      </c>
    </row>
    <row r="530">
      <c r="B530" s="24" t="s">
        <v>1</v>
      </c>
      <c r="C530" s="12" t="s">
        <v>535</v>
      </c>
      <c r="D530" s="11" t="s">
        <v>621</v>
      </c>
      <c r="E530" s="11" t="s">
        <v>1255</v>
      </c>
      <c r="F530" s="12" t="s">
        <v>0</v>
      </c>
      <c r="G530" s="12" t="s">
        <v>1302</v>
      </c>
      <c r="H530" s="12" t="s">
        <v>1302</v>
      </c>
      <c r="I530" s="12" t="s">
        <v>1312</v>
      </c>
      <c r="J530" s="12" t="s">
        <v>1318</v>
      </c>
      <c r="K530" s="12" t="s">
        <v>1326</v>
      </c>
      <c r="L530" s="12" t="s">
        <v>1303</v>
      </c>
      <c r="M530" s="12" t="s">
        <v>0</v>
      </c>
      <c r="N530" s="13" t="s">
        <v>1802</v>
      </c>
      <c r="O530" s="11" t="s">
        <v>0</v>
      </c>
      <c r="P530" s="11" t="s">
        <v>0</v>
      </c>
      <c r="Q530" s="11" t="s">
        <v>0</v>
      </c>
      <c r="R530" s="11" t="s">
        <v>0</v>
      </c>
      <c r="S530" s="11" t="s">
        <v>0</v>
      </c>
      <c r="T530" s="11" t="s">
        <v>0</v>
      </c>
      <c r="U530" s="11" t="s">
        <v>0</v>
      </c>
      <c r="V530" s="11" t="s">
        <v>0</v>
      </c>
      <c r="W530" s="11" t="s">
        <v>0</v>
      </c>
      <c r="X530" s="11" t="s">
        <v>0</v>
      </c>
      <c r="Y530" s="11" t="s">
        <v>0</v>
      </c>
      <c r="Z530" s="11" t="s">
        <v>0</v>
      </c>
      <c r="AA530" s="11" t="s">
        <v>0</v>
      </c>
      <c r="AB530" s="11" t="s">
        <v>0</v>
      </c>
      <c r="AC530" s="11" t="s">
        <v>0</v>
      </c>
      <c r="AD530" s="11" t="s">
        <v>0</v>
      </c>
      <c r="AE530" s="11" t="s">
        <v>0</v>
      </c>
    </row>
    <row r="531">
      <c r="B531" s="24" t="s">
        <v>1</v>
      </c>
      <c r="C531" s="12" t="s">
        <v>536</v>
      </c>
      <c r="D531" s="11" t="s">
        <v>1085</v>
      </c>
      <c r="E531" s="11" t="s">
        <v>1256</v>
      </c>
      <c r="F531" s="12" t="s">
        <v>0</v>
      </c>
      <c r="G531" s="12" t="s">
        <v>1302</v>
      </c>
      <c r="H531" s="12" t="s">
        <v>1302</v>
      </c>
      <c r="I531" s="12" t="s">
        <v>1312</v>
      </c>
      <c r="J531" s="12" t="s">
        <v>1318</v>
      </c>
      <c r="K531" s="12" t="s">
        <v>1326</v>
      </c>
      <c r="L531" s="12" t="s">
        <v>1303</v>
      </c>
      <c r="M531" s="12" t="s">
        <v>0</v>
      </c>
      <c r="N531" s="13" t="s">
        <v>1803</v>
      </c>
      <c r="O531" s="11" t="s">
        <v>0</v>
      </c>
      <c r="P531" s="11" t="s">
        <v>0</v>
      </c>
      <c r="Q531" s="11" t="s">
        <v>0</v>
      </c>
      <c r="R531" s="11" t="s">
        <v>0</v>
      </c>
      <c r="S531" s="11" t="s">
        <v>0</v>
      </c>
      <c r="T531" s="11" t="s">
        <v>0</v>
      </c>
      <c r="U531" s="11" t="s">
        <v>0</v>
      </c>
      <c r="V531" s="11" t="s">
        <v>0</v>
      </c>
      <c r="W531" s="11" t="s">
        <v>0</v>
      </c>
      <c r="X531" s="11" t="s">
        <v>0</v>
      </c>
      <c r="Y531" s="11" t="s">
        <v>0</v>
      </c>
      <c r="Z531" s="11" t="s">
        <v>0</v>
      </c>
      <c r="AA531" s="11" t="s">
        <v>0</v>
      </c>
      <c r="AB531" s="11" t="s">
        <v>0</v>
      </c>
      <c r="AC531" s="11" t="s">
        <v>0</v>
      </c>
      <c r="AD531" s="11" t="s">
        <v>0</v>
      </c>
      <c r="AE531" s="11" t="s">
        <v>0</v>
      </c>
    </row>
    <row r="532">
      <c r="B532" s="24" t="s">
        <v>1</v>
      </c>
      <c r="C532" s="12" t="s">
        <v>537</v>
      </c>
      <c r="D532" s="11" t="s">
        <v>0</v>
      </c>
      <c r="E532" s="11" t="s">
        <v>1257</v>
      </c>
      <c r="F532" s="12" t="s">
        <v>0</v>
      </c>
      <c r="G532" s="12" t="s">
        <v>1302</v>
      </c>
      <c r="H532" s="12" t="s">
        <v>1302</v>
      </c>
      <c r="I532" s="12" t="s">
        <v>0</v>
      </c>
      <c r="J532" s="12" t="s">
        <v>0</v>
      </c>
      <c r="K532" s="12" t="s">
        <v>0</v>
      </c>
      <c r="L532" s="12" t="s">
        <v>1303</v>
      </c>
      <c r="M532" s="12" t="s">
        <v>0</v>
      </c>
      <c r="N532" s="13" t="s">
        <v>1804</v>
      </c>
      <c r="O532" s="11" t="s">
        <v>0</v>
      </c>
      <c r="P532" s="11" t="s">
        <v>0</v>
      </c>
      <c r="Q532" s="11" t="s">
        <v>0</v>
      </c>
      <c r="R532" s="11" t="s">
        <v>0</v>
      </c>
      <c r="S532" s="11" t="s">
        <v>0</v>
      </c>
      <c r="T532" s="11" t="s">
        <v>0</v>
      </c>
      <c r="U532" s="11" t="s">
        <v>0</v>
      </c>
      <c r="V532" s="11" t="s">
        <v>0</v>
      </c>
      <c r="W532" s="11" t="s">
        <v>0</v>
      </c>
      <c r="X532" s="11" t="s">
        <v>0</v>
      </c>
      <c r="Y532" s="11" t="s">
        <v>0</v>
      </c>
      <c r="Z532" s="11" t="s">
        <v>0</v>
      </c>
      <c r="AA532" s="11" t="s">
        <v>0</v>
      </c>
      <c r="AB532" s="11" t="s">
        <v>0</v>
      </c>
      <c r="AC532" s="11" t="s">
        <v>0</v>
      </c>
      <c r="AD532" s="11" t="s">
        <v>0</v>
      </c>
      <c r="AE532" s="11" t="s">
        <v>0</v>
      </c>
    </row>
    <row r="533">
      <c r="B533" s="24" t="s">
        <v>1</v>
      </c>
      <c r="C533" s="12" t="s">
        <v>538</v>
      </c>
      <c r="D533" s="11" t="s">
        <v>0</v>
      </c>
      <c r="E533" s="11" t="s">
        <v>1258</v>
      </c>
      <c r="F533" s="12" t="s">
        <v>1</v>
      </c>
      <c r="G533" s="12" t="s">
        <v>1302</v>
      </c>
      <c r="H533" s="12" t="s">
        <v>1302</v>
      </c>
      <c r="I533" s="12" t="s">
        <v>1312</v>
      </c>
      <c r="J533" s="12" t="s">
        <v>1317</v>
      </c>
      <c r="K533" s="12" t="s">
        <v>1328</v>
      </c>
      <c r="L533" s="12" t="s">
        <v>1303</v>
      </c>
      <c r="M533" s="12" t="s">
        <v>0</v>
      </c>
      <c r="N533" s="13" t="s">
        <v>1805</v>
      </c>
      <c r="O533" s="11" t="s">
        <v>0</v>
      </c>
      <c r="P533" s="11" t="s">
        <v>0</v>
      </c>
      <c r="Q533" s="11" t="s">
        <v>0</v>
      </c>
      <c r="R533" s="11" t="s">
        <v>0</v>
      </c>
      <c r="S533" s="11" t="s">
        <v>0</v>
      </c>
      <c r="T533" s="11" t="s">
        <v>0</v>
      </c>
      <c r="U533" s="11" t="s">
        <v>0</v>
      </c>
      <c r="V533" s="11" t="s">
        <v>0</v>
      </c>
      <c r="W533" s="11" t="s">
        <v>0</v>
      </c>
      <c r="X533" s="11" t="s">
        <v>0</v>
      </c>
      <c r="Y533" s="11" t="s">
        <v>0</v>
      </c>
      <c r="Z533" s="11" t="s">
        <v>0</v>
      </c>
      <c r="AA533" s="11" t="s">
        <v>0</v>
      </c>
      <c r="AB533" s="11" t="s">
        <v>0</v>
      </c>
      <c r="AC533" s="11" t="s">
        <v>0</v>
      </c>
      <c r="AD533" s="11" t="s">
        <v>0</v>
      </c>
      <c r="AE533" s="11" t="s">
        <v>0</v>
      </c>
    </row>
    <row r="534">
      <c r="B534" s="24" t="s">
        <v>4</v>
      </c>
      <c r="C534" s="12" t="s">
        <v>539</v>
      </c>
      <c r="D534" s="11" t="s">
        <v>1086</v>
      </c>
      <c r="E534" s="11" t="s">
        <v>1259</v>
      </c>
      <c r="F534" s="12" t="s">
        <v>4</v>
      </c>
      <c r="G534" s="12" t="s">
        <v>1302</v>
      </c>
      <c r="H534" s="12" t="s">
        <v>1302</v>
      </c>
      <c r="I534" s="12" t="s">
        <v>1312</v>
      </c>
      <c r="J534" s="12" t="s">
        <v>1317</v>
      </c>
      <c r="K534" s="12" t="s">
        <v>1331</v>
      </c>
      <c r="L534" s="12" t="s">
        <v>1303</v>
      </c>
      <c r="M534" s="12" t="s">
        <v>0</v>
      </c>
      <c r="N534" s="13" t="s">
        <v>1806</v>
      </c>
      <c r="O534" s="11" t="s">
        <v>0</v>
      </c>
      <c r="P534" s="11" t="s">
        <v>0</v>
      </c>
      <c r="Q534" s="11" t="s">
        <v>0</v>
      </c>
      <c r="R534" s="11" t="s">
        <v>0</v>
      </c>
      <c r="S534" s="11" t="s">
        <v>0</v>
      </c>
      <c r="T534" s="11" t="s">
        <v>1307</v>
      </c>
      <c r="U534" s="11" t="s">
        <v>1888</v>
      </c>
      <c r="V534" s="11" t="s">
        <v>0</v>
      </c>
      <c r="W534" s="11" t="s">
        <v>0</v>
      </c>
      <c r="X534" s="11" t="s">
        <v>0</v>
      </c>
      <c r="Y534" s="11" t="s">
        <v>0</v>
      </c>
      <c r="Z534" s="11" t="s">
        <v>1962</v>
      </c>
      <c r="AA534" s="11" t="s">
        <v>1962</v>
      </c>
      <c r="AB534" s="11" t="s">
        <v>2003</v>
      </c>
      <c r="AC534" s="11" t="s">
        <v>54</v>
      </c>
      <c r="AD534" s="11" t="s">
        <v>0</v>
      </c>
      <c r="AE534" s="11" t="s">
        <v>0</v>
      </c>
    </row>
    <row r="535">
      <c r="B535" s="24" t="s">
        <v>4</v>
      </c>
      <c r="C535" s="12" t="s">
        <v>540</v>
      </c>
      <c r="D535" s="11" t="s">
        <v>1087</v>
      </c>
      <c r="E535" s="11" t="s">
        <v>1178</v>
      </c>
      <c r="F535" s="12" t="s">
        <v>4</v>
      </c>
      <c r="G535" s="12" t="s">
        <v>1302</v>
      </c>
      <c r="H535" s="12" t="s">
        <v>1302</v>
      </c>
      <c r="I535" s="12" t="s">
        <v>1310</v>
      </c>
      <c r="J535" s="12" t="s">
        <v>1321</v>
      </c>
      <c r="K535" s="12" t="s">
        <v>1178</v>
      </c>
      <c r="L535" s="12" t="s">
        <v>1303</v>
      </c>
      <c r="M535" s="12" t="s">
        <v>0</v>
      </c>
      <c r="N535" s="13" t="s">
        <v>1807</v>
      </c>
      <c r="O535" s="11" t="s">
        <v>0</v>
      </c>
      <c r="P535" s="11" t="s">
        <v>0</v>
      </c>
      <c r="Q535" s="11" t="s">
        <v>0</v>
      </c>
      <c r="R535" s="11" t="s">
        <v>0</v>
      </c>
      <c r="S535" s="11" t="s">
        <v>0</v>
      </c>
      <c r="T535" s="11" t="s">
        <v>1307</v>
      </c>
      <c r="U535" s="11" t="s">
        <v>1888</v>
      </c>
      <c r="V535" s="11" t="s">
        <v>0</v>
      </c>
      <c r="W535" s="11" t="s">
        <v>0</v>
      </c>
      <c r="X535" s="11" t="s">
        <v>0</v>
      </c>
      <c r="Y535" s="11" t="s">
        <v>0</v>
      </c>
      <c r="Z535" s="11" t="s">
        <v>1962</v>
      </c>
      <c r="AA535" s="11" t="s">
        <v>1962</v>
      </c>
      <c r="AB535" s="11" t="s">
        <v>2003</v>
      </c>
      <c r="AC535" s="11" t="s">
        <v>43</v>
      </c>
      <c r="AD535" s="11" t="s">
        <v>0</v>
      </c>
      <c r="AE535" s="11" t="s">
        <v>0</v>
      </c>
    </row>
    <row r="536">
      <c r="B536" s="24" t="s">
        <v>1</v>
      </c>
      <c r="C536" s="12" t="s">
        <v>541</v>
      </c>
      <c r="D536" s="11" t="s">
        <v>1088</v>
      </c>
      <c r="E536" s="11" t="s">
        <v>1164</v>
      </c>
      <c r="F536" s="12" t="s">
        <v>1273</v>
      </c>
      <c r="G536" s="12" t="s">
        <v>1302</v>
      </c>
      <c r="H536" s="12" t="s">
        <v>1302</v>
      </c>
      <c r="I536" s="12" t="s">
        <v>1311</v>
      </c>
      <c r="J536" s="12" t="s">
        <v>1319</v>
      </c>
      <c r="K536" s="12" t="s">
        <v>1326</v>
      </c>
      <c r="L536" s="12" t="s">
        <v>1303</v>
      </c>
      <c r="M536" s="12" t="s">
        <v>0</v>
      </c>
      <c r="N536" s="13" t="s">
        <v>1808</v>
      </c>
      <c r="O536" s="11" t="s">
        <v>0</v>
      </c>
      <c r="P536" s="11" t="s">
        <v>0</v>
      </c>
      <c r="Q536" s="11" t="s">
        <v>0</v>
      </c>
      <c r="R536" s="11" t="s">
        <v>0</v>
      </c>
      <c r="S536" s="11" t="s">
        <v>0</v>
      </c>
      <c r="T536" s="11" t="s">
        <v>1307</v>
      </c>
      <c r="U536" s="11" t="s">
        <v>1888</v>
      </c>
      <c r="V536" s="11" t="s">
        <v>0</v>
      </c>
      <c r="W536" s="11" t="s">
        <v>0</v>
      </c>
      <c r="X536" s="11" t="s">
        <v>0</v>
      </c>
      <c r="Y536" s="11" t="s">
        <v>0</v>
      </c>
      <c r="Z536" s="11" t="s">
        <v>1962</v>
      </c>
      <c r="AA536" s="11" t="s">
        <v>1962</v>
      </c>
      <c r="AB536" s="11" t="s">
        <v>2003</v>
      </c>
      <c r="AC536" s="11" t="s">
        <v>42</v>
      </c>
      <c r="AD536" s="11" t="s">
        <v>0</v>
      </c>
      <c r="AE536" s="11" t="s">
        <v>0</v>
      </c>
    </row>
    <row r="537">
      <c r="B537" s="24" t="s">
        <v>6</v>
      </c>
      <c r="C537" s="12" t="s">
        <v>542</v>
      </c>
      <c r="D537" s="11" t="s">
        <v>871</v>
      </c>
      <c r="E537" s="11" t="s">
        <v>1178</v>
      </c>
      <c r="F537" s="12" t="s">
        <v>6</v>
      </c>
      <c r="G537" s="12" t="s">
        <v>1302</v>
      </c>
      <c r="H537" s="12" t="s">
        <v>1302</v>
      </c>
      <c r="I537" s="12" t="s">
        <v>1310</v>
      </c>
      <c r="J537" s="12" t="s">
        <v>1321</v>
      </c>
      <c r="K537" s="12" t="s">
        <v>1178</v>
      </c>
      <c r="L537" s="12" t="s">
        <v>1303</v>
      </c>
      <c r="M537" s="12" t="s">
        <v>0</v>
      </c>
      <c r="N537" s="13" t="s">
        <v>1809</v>
      </c>
      <c r="O537" s="11" t="s">
        <v>0</v>
      </c>
      <c r="P537" s="11" t="s">
        <v>0</v>
      </c>
      <c r="Q537" s="11" t="s">
        <v>0</v>
      </c>
      <c r="R537" s="11" t="s">
        <v>0</v>
      </c>
      <c r="S537" s="11" t="s">
        <v>0</v>
      </c>
      <c r="T537" s="11" t="s">
        <v>1307</v>
      </c>
      <c r="U537" s="11" t="s">
        <v>1888</v>
      </c>
      <c r="V537" s="11" t="s">
        <v>0</v>
      </c>
      <c r="W537" s="11" t="s">
        <v>0</v>
      </c>
      <c r="X537" s="11" t="s">
        <v>0</v>
      </c>
      <c r="Y537" s="11" t="s">
        <v>0</v>
      </c>
      <c r="Z537" s="11" t="s">
        <v>1952</v>
      </c>
      <c r="AA537" s="11" t="s">
        <v>1952</v>
      </c>
      <c r="AB537" s="11" t="s">
        <v>2003</v>
      </c>
      <c r="AC537" s="11" t="s">
        <v>57</v>
      </c>
      <c r="AD537" s="11" t="s">
        <v>0</v>
      </c>
      <c r="AE537" s="11" t="s">
        <v>0</v>
      </c>
    </row>
    <row r="538">
      <c r="B538" s="24" t="s">
        <v>5</v>
      </c>
      <c r="C538" s="12" t="s">
        <v>543</v>
      </c>
      <c r="D538" s="11" t="s">
        <v>1089</v>
      </c>
      <c r="E538" s="11" t="s">
        <v>1139</v>
      </c>
      <c r="F538" s="12" t="s">
        <v>5</v>
      </c>
      <c r="G538" s="12" t="s">
        <v>1302</v>
      </c>
      <c r="H538" s="12" t="s">
        <v>1302</v>
      </c>
      <c r="I538" s="12" t="s">
        <v>1312</v>
      </c>
      <c r="J538" s="12" t="s">
        <v>1317</v>
      </c>
      <c r="K538" s="12" t="s">
        <v>1327</v>
      </c>
      <c r="L538" s="12" t="s">
        <v>1303</v>
      </c>
      <c r="M538" s="12" t="s">
        <v>0</v>
      </c>
      <c r="N538" s="13" t="s">
        <v>1810</v>
      </c>
      <c r="O538" s="11" t="s">
        <v>0</v>
      </c>
      <c r="P538" s="11" t="s">
        <v>0</v>
      </c>
      <c r="Q538" s="11" t="s">
        <v>0</v>
      </c>
      <c r="R538" s="11" t="s">
        <v>0</v>
      </c>
      <c r="S538" s="11" t="s">
        <v>0</v>
      </c>
      <c r="T538" s="11" t="s">
        <v>0</v>
      </c>
      <c r="U538" s="11" t="s">
        <v>0</v>
      </c>
      <c r="V538" s="11" t="s">
        <v>0</v>
      </c>
      <c r="W538" s="11" t="s">
        <v>0</v>
      </c>
      <c r="X538" s="11" t="s">
        <v>0</v>
      </c>
      <c r="Y538" s="11" t="s">
        <v>0</v>
      </c>
      <c r="Z538" s="11" t="s">
        <v>0</v>
      </c>
      <c r="AA538" s="11" t="s">
        <v>0</v>
      </c>
      <c r="AB538" s="11" t="s">
        <v>0</v>
      </c>
      <c r="AC538" s="11" t="s">
        <v>0</v>
      </c>
      <c r="AD538" s="11" t="s">
        <v>0</v>
      </c>
      <c r="AE538" s="11" t="s">
        <v>0</v>
      </c>
    </row>
    <row r="539">
      <c r="B539" s="24" t="s">
        <v>7</v>
      </c>
      <c r="C539" s="12" t="s">
        <v>544</v>
      </c>
      <c r="D539" s="11" t="s">
        <v>1090</v>
      </c>
      <c r="E539" s="11" t="s">
        <v>1164</v>
      </c>
      <c r="F539" s="12" t="s">
        <v>7</v>
      </c>
      <c r="G539" s="12" t="s">
        <v>1302</v>
      </c>
      <c r="H539" s="12" t="s">
        <v>1302</v>
      </c>
      <c r="I539" s="12" t="s">
        <v>1310</v>
      </c>
      <c r="J539" s="12" t="s">
        <v>1321</v>
      </c>
      <c r="K539" s="12" t="s">
        <v>1334</v>
      </c>
      <c r="L539" s="12" t="s">
        <v>1303</v>
      </c>
      <c r="M539" s="12" t="s">
        <v>0</v>
      </c>
      <c r="N539" s="13" t="s">
        <v>1811</v>
      </c>
      <c r="O539" s="11" t="s">
        <v>0</v>
      </c>
      <c r="P539" s="11" t="s">
        <v>0</v>
      </c>
      <c r="Q539" s="11" t="s">
        <v>0</v>
      </c>
      <c r="R539" s="11" t="s">
        <v>0</v>
      </c>
      <c r="S539" s="11" t="s">
        <v>0</v>
      </c>
      <c r="T539" s="11" t="s">
        <v>0</v>
      </c>
      <c r="U539" s="11" t="s">
        <v>0</v>
      </c>
      <c r="V539" s="11" t="s">
        <v>0</v>
      </c>
      <c r="W539" s="11" t="s">
        <v>0</v>
      </c>
      <c r="X539" s="11" t="s">
        <v>0</v>
      </c>
      <c r="Y539" s="11" t="s">
        <v>0</v>
      </c>
      <c r="Z539" s="11" t="s">
        <v>0</v>
      </c>
      <c r="AA539" s="11" t="s">
        <v>0</v>
      </c>
      <c r="AB539" s="11" t="s">
        <v>0</v>
      </c>
      <c r="AC539" s="11" t="s">
        <v>0</v>
      </c>
      <c r="AD539" s="11" t="s">
        <v>0</v>
      </c>
      <c r="AE539" s="11" t="s">
        <v>0</v>
      </c>
    </row>
    <row r="540">
      <c r="B540" s="24" t="s">
        <v>2</v>
      </c>
      <c r="C540" s="12" t="s">
        <v>545</v>
      </c>
      <c r="D540" s="11" t="s">
        <v>936</v>
      </c>
      <c r="E540" s="11" t="s">
        <v>1162</v>
      </c>
      <c r="F540" s="12" t="s">
        <v>2</v>
      </c>
      <c r="G540" s="12" t="s">
        <v>1302</v>
      </c>
      <c r="H540" s="12" t="s">
        <v>1302</v>
      </c>
      <c r="I540" s="12" t="s">
        <v>1310</v>
      </c>
      <c r="J540" s="12" t="s">
        <v>1162</v>
      </c>
      <c r="K540" s="12" t="s">
        <v>1326</v>
      </c>
      <c r="L540" s="12" t="s">
        <v>1303</v>
      </c>
      <c r="M540" s="12" t="s">
        <v>0</v>
      </c>
      <c r="N540" s="13" t="s">
        <v>1812</v>
      </c>
      <c r="O540" s="11" t="s">
        <v>0</v>
      </c>
      <c r="P540" s="11" t="s">
        <v>0</v>
      </c>
      <c r="Q540" s="11" t="s">
        <v>0</v>
      </c>
      <c r="R540" s="11" t="s">
        <v>0</v>
      </c>
      <c r="S540" s="11" t="s">
        <v>0</v>
      </c>
      <c r="T540" s="11" t="s">
        <v>0</v>
      </c>
      <c r="U540" s="11" t="s">
        <v>0</v>
      </c>
      <c r="V540" s="11" t="s">
        <v>0</v>
      </c>
      <c r="W540" s="11" t="s">
        <v>0</v>
      </c>
      <c r="X540" s="11" t="s">
        <v>0</v>
      </c>
      <c r="Y540" s="11" t="s">
        <v>0</v>
      </c>
      <c r="Z540" s="11" t="s">
        <v>0</v>
      </c>
      <c r="AA540" s="11" t="s">
        <v>0</v>
      </c>
      <c r="AB540" s="11" t="s">
        <v>0</v>
      </c>
      <c r="AC540" s="11" t="s">
        <v>0</v>
      </c>
      <c r="AD540" s="11" t="s">
        <v>2089</v>
      </c>
      <c r="AE540" s="11" t="s">
        <v>0</v>
      </c>
    </row>
    <row r="541">
      <c r="B541" s="24" t="s">
        <v>2</v>
      </c>
      <c r="C541" s="12" t="s">
        <v>546</v>
      </c>
      <c r="D541" s="11" t="s">
        <v>1091</v>
      </c>
      <c r="E541" s="11" t="s">
        <v>1161</v>
      </c>
      <c r="F541" s="12" t="s">
        <v>2</v>
      </c>
      <c r="G541" s="12" t="s">
        <v>1302</v>
      </c>
      <c r="H541" s="12" t="s">
        <v>1302</v>
      </c>
      <c r="I541" s="12" t="s">
        <v>1310</v>
      </c>
      <c r="J541" s="12" t="s">
        <v>1320</v>
      </c>
      <c r="K541" s="12" t="s">
        <v>1326</v>
      </c>
      <c r="L541" s="12" t="s">
        <v>1303</v>
      </c>
      <c r="M541" s="12" t="s">
        <v>0</v>
      </c>
      <c r="N541" s="13" t="s">
        <v>1813</v>
      </c>
      <c r="O541" s="11" t="s">
        <v>0</v>
      </c>
      <c r="P541" s="11" t="s">
        <v>0</v>
      </c>
      <c r="Q541" s="11" t="s">
        <v>0</v>
      </c>
      <c r="R541" s="11" t="s">
        <v>0</v>
      </c>
      <c r="S541" s="11" t="s">
        <v>0</v>
      </c>
      <c r="T541" s="11" t="s">
        <v>0</v>
      </c>
      <c r="U541" s="11" t="s">
        <v>0</v>
      </c>
      <c r="V541" s="11" t="s">
        <v>0</v>
      </c>
      <c r="W541" s="11" t="s">
        <v>0</v>
      </c>
      <c r="X541" s="11" t="s">
        <v>0</v>
      </c>
      <c r="Y541" s="11" t="s">
        <v>0</v>
      </c>
      <c r="Z541" s="11" t="s">
        <v>0</v>
      </c>
      <c r="AA541" s="11" t="s">
        <v>0</v>
      </c>
      <c r="AB541" s="11" t="s">
        <v>0</v>
      </c>
      <c r="AC541" s="11" t="s">
        <v>0</v>
      </c>
      <c r="AD541" s="11" t="s">
        <v>0</v>
      </c>
      <c r="AE541" s="11" t="s">
        <v>0</v>
      </c>
    </row>
    <row r="542">
      <c r="B542" s="24" t="s">
        <v>2</v>
      </c>
      <c r="C542" s="12" t="s">
        <v>547</v>
      </c>
      <c r="D542" s="11" t="s">
        <v>1092</v>
      </c>
      <c r="E542" s="11" t="s">
        <v>1260</v>
      </c>
      <c r="F542" s="12" t="s">
        <v>2</v>
      </c>
      <c r="G542" s="12" t="s">
        <v>1302</v>
      </c>
      <c r="H542" s="12" t="s">
        <v>1302</v>
      </c>
      <c r="I542" s="12" t="s">
        <v>1312</v>
      </c>
      <c r="J542" s="12" t="s">
        <v>1318</v>
      </c>
      <c r="K542" s="12" t="s">
        <v>1326</v>
      </c>
      <c r="L542" s="12" t="s">
        <v>1303</v>
      </c>
      <c r="M542" s="12" t="s">
        <v>0</v>
      </c>
      <c r="N542" s="13" t="s">
        <v>1814</v>
      </c>
      <c r="O542" s="11" t="s">
        <v>0</v>
      </c>
      <c r="P542" s="11" t="s">
        <v>0</v>
      </c>
      <c r="Q542" s="11" t="s">
        <v>0</v>
      </c>
      <c r="R542" s="11" t="s">
        <v>0</v>
      </c>
      <c r="S542" s="11" t="s">
        <v>0</v>
      </c>
      <c r="T542" s="11" t="s">
        <v>0</v>
      </c>
      <c r="U542" s="11" t="s">
        <v>0</v>
      </c>
      <c r="V542" s="11" t="s">
        <v>0</v>
      </c>
      <c r="W542" s="11" t="s">
        <v>0</v>
      </c>
      <c r="X542" s="11" t="s">
        <v>0</v>
      </c>
      <c r="Y542" s="11" t="s">
        <v>0</v>
      </c>
      <c r="Z542" s="11" t="s">
        <v>0</v>
      </c>
      <c r="AA542" s="11" t="s">
        <v>0</v>
      </c>
      <c r="AB542" s="11" t="s">
        <v>0</v>
      </c>
      <c r="AC542" s="11" t="s">
        <v>0</v>
      </c>
      <c r="AD542" s="11" t="s">
        <v>0</v>
      </c>
      <c r="AE542" s="11" t="s">
        <v>0</v>
      </c>
    </row>
    <row r="543">
      <c r="B543" s="24" t="s">
        <v>1</v>
      </c>
      <c r="C543" s="12" t="s">
        <v>548</v>
      </c>
      <c r="D543" s="11" t="s">
        <v>1093</v>
      </c>
      <c r="E543" s="11" t="s">
        <v>1163</v>
      </c>
      <c r="F543" s="12" t="s">
        <v>0</v>
      </c>
      <c r="G543" s="12" t="s">
        <v>1302</v>
      </c>
      <c r="H543" s="12" t="s">
        <v>1302</v>
      </c>
      <c r="I543" s="12" t="s">
        <v>1310</v>
      </c>
      <c r="J543" s="12" t="s">
        <v>1163</v>
      </c>
      <c r="K543" s="12" t="s">
        <v>1326</v>
      </c>
      <c r="L543" s="12" t="s">
        <v>1303</v>
      </c>
      <c r="M543" s="12" t="s">
        <v>0</v>
      </c>
      <c r="N543" s="13" t="s">
        <v>1815</v>
      </c>
      <c r="O543" s="11" t="s">
        <v>0</v>
      </c>
      <c r="P543" s="11" t="s">
        <v>0</v>
      </c>
      <c r="Q543" s="11" t="s">
        <v>0</v>
      </c>
      <c r="R543" s="11" t="s">
        <v>0</v>
      </c>
      <c r="S543" s="11" t="s">
        <v>0</v>
      </c>
      <c r="T543" s="11" t="s">
        <v>0</v>
      </c>
      <c r="U543" s="11" t="s">
        <v>0</v>
      </c>
      <c r="V543" s="11" t="s">
        <v>0</v>
      </c>
      <c r="W543" s="11" t="s">
        <v>0</v>
      </c>
      <c r="X543" s="11" t="s">
        <v>0</v>
      </c>
      <c r="Y543" s="11" t="s">
        <v>0</v>
      </c>
      <c r="Z543" s="11" t="s">
        <v>0</v>
      </c>
      <c r="AA543" s="11" t="s">
        <v>0</v>
      </c>
      <c r="AB543" s="11" t="s">
        <v>0</v>
      </c>
      <c r="AC543" s="11" t="s">
        <v>0</v>
      </c>
      <c r="AD543" s="11" t="s">
        <v>0</v>
      </c>
      <c r="AE543" s="11" t="s">
        <v>0</v>
      </c>
    </row>
    <row r="544">
      <c r="B544" s="24" t="s">
        <v>7</v>
      </c>
      <c r="C544" s="12" t="s">
        <v>549</v>
      </c>
      <c r="D544" s="11" t="s">
        <v>1094</v>
      </c>
      <c r="E544" s="11" t="s">
        <v>1261</v>
      </c>
      <c r="F544" s="12" t="s">
        <v>7</v>
      </c>
      <c r="G544" s="12" t="s">
        <v>1302</v>
      </c>
      <c r="H544" s="12" t="s">
        <v>1302</v>
      </c>
      <c r="I544" s="12" t="s">
        <v>1309</v>
      </c>
      <c r="J544" s="12" t="s">
        <v>1315</v>
      </c>
      <c r="K544" s="12" t="s">
        <v>1326</v>
      </c>
      <c r="L544" s="12" t="s">
        <v>1303</v>
      </c>
      <c r="M544" s="12" t="s">
        <v>0</v>
      </c>
      <c r="N544" s="13" t="s">
        <v>1816</v>
      </c>
      <c r="O544" s="11" t="s">
        <v>0</v>
      </c>
      <c r="P544" s="11" t="s">
        <v>0</v>
      </c>
      <c r="Q544" s="11" t="s">
        <v>0</v>
      </c>
      <c r="R544" s="11" t="s">
        <v>0</v>
      </c>
      <c r="S544" s="11" t="s">
        <v>0</v>
      </c>
      <c r="T544" s="11" t="s">
        <v>0</v>
      </c>
      <c r="U544" s="11" t="s">
        <v>0</v>
      </c>
      <c r="V544" s="11" t="s">
        <v>0</v>
      </c>
      <c r="W544" s="11" t="s">
        <v>0</v>
      </c>
      <c r="X544" s="11" t="s">
        <v>0</v>
      </c>
      <c r="Y544" s="11" t="s">
        <v>0</v>
      </c>
      <c r="Z544" s="11" t="s">
        <v>0</v>
      </c>
      <c r="AA544" s="11" t="s">
        <v>0</v>
      </c>
      <c r="AB544" s="11" t="s">
        <v>0</v>
      </c>
      <c r="AC544" s="11" t="s">
        <v>0</v>
      </c>
      <c r="AD544" s="11" t="s">
        <v>0</v>
      </c>
      <c r="AE544" s="11" t="s">
        <v>0</v>
      </c>
    </row>
    <row r="545">
      <c r="B545" s="24" t="s">
        <v>7</v>
      </c>
      <c r="C545" s="12" t="s">
        <v>550</v>
      </c>
      <c r="D545" s="11" t="s">
        <v>1095</v>
      </c>
      <c r="E545" s="11" t="s">
        <v>1262</v>
      </c>
      <c r="F545" s="12" t="s">
        <v>7</v>
      </c>
      <c r="G545" s="12" t="s">
        <v>1302</v>
      </c>
      <c r="H545" s="12" t="s">
        <v>1302</v>
      </c>
      <c r="I545" s="12" t="s">
        <v>1310</v>
      </c>
      <c r="J545" s="12" t="s">
        <v>1316</v>
      </c>
      <c r="K545" s="12" t="s">
        <v>1262</v>
      </c>
      <c r="L545" s="12" t="s">
        <v>1303</v>
      </c>
      <c r="M545" s="12" t="s">
        <v>0</v>
      </c>
      <c r="N545" s="13" t="s">
        <v>0</v>
      </c>
      <c r="O545" s="11" t="s">
        <v>0</v>
      </c>
      <c r="P545" s="11" t="s">
        <v>0</v>
      </c>
      <c r="Q545" s="11" t="s">
        <v>0</v>
      </c>
      <c r="R545" s="11" t="s">
        <v>0</v>
      </c>
      <c r="S545" s="11" t="s">
        <v>0</v>
      </c>
      <c r="T545" s="11" t="s">
        <v>0</v>
      </c>
      <c r="U545" s="11" t="s">
        <v>1888</v>
      </c>
      <c r="V545" s="11" t="s">
        <v>0</v>
      </c>
      <c r="W545" s="11" t="s">
        <v>0</v>
      </c>
      <c r="X545" s="11" t="s">
        <v>0</v>
      </c>
      <c r="Y545" s="11" t="s">
        <v>0</v>
      </c>
      <c r="Z545" s="11" t="s">
        <v>0</v>
      </c>
      <c r="AA545" s="11" t="s">
        <v>0</v>
      </c>
      <c r="AB545" s="11" t="s">
        <v>2003</v>
      </c>
      <c r="AC545" s="11" t="s">
        <v>0</v>
      </c>
      <c r="AD545" s="11" t="s">
        <v>0</v>
      </c>
      <c r="AE545" s="11" t="s">
        <v>0</v>
      </c>
    </row>
    <row r="546">
      <c r="B546" s="24" t="s">
        <v>6</v>
      </c>
      <c r="C546" s="12" t="s">
        <v>551</v>
      </c>
      <c r="D546" s="11" t="s">
        <v>1096</v>
      </c>
      <c r="E546" s="11" t="s">
        <v>1248</v>
      </c>
      <c r="F546" s="12" t="s">
        <v>6</v>
      </c>
      <c r="G546" s="12" t="s">
        <v>1302</v>
      </c>
      <c r="H546" s="12" t="s">
        <v>1302</v>
      </c>
      <c r="I546" s="12" t="s">
        <v>1310</v>
      </c>
      <c r="J546" s="12" t="s">
        <v>1316</v>
      </c>
      <c r="K546" s="12" t="s">
        <v>1334</v>
      </c>
      <c r="L546" s="12" t="s">
        <v>1303</v>
      </c>
      <c r="M546" s="12" t="s">
        <v>0</v>
      </c>
      <c r="N546" s="13" t="s">
        <v>0</v>
      </c>
      <c r="O546" s="11" t="s">
        <v>0</v>
      </c>
      <c r="P546" s="11" t="s">
        <v>0</v>
      </c>
      <c r="Q546" s="11" t="s">
        <v>0</v>
      </c>
      <c r="R546" s="11" t="s">
        <v>0</v>
      </c>
      <c r="S546" s="11" t="s">
        <v>0</v>
      </c>
      <c r="T546" s="11" t="s">
        <v>0</v>
      </c>
      <c r="U546" s="11" t="s">
        <v>1888</v>
      </c>
      <c r="V546" s="11" t="s">
        <v>0</v>
      </c>
      <c r="W546" s="11" t="s">
        <v>0</v>
      </c>
      <c r="X546" s="11" t="s">
        <v>0</v>
      </c>
      <c r="Y546" s="11" t="s">
        <v>0</v>
      </c>
      <c r="Z546" s="11" t="s">
        <v>0</v>
      </c>
      <c r="AA546" s="11" t="s">
        <v>0</v>
      </c>
      <c r="AB546" s="11" t="s">
        <v>2003</v>
      </c>
      <c r="AC546" s="11" t="s">
        <v>0</v>
      </c>
      <c r="AD546" s="11" t="s">
        <v>0</v>
      </c>
      <c r="AE546" s="11" t="s">
        <v>0</v>
      </c>
    </row>
    <row r="547">
      <c r="B547" s="24" t="s">
        <v>4</v>
      </c>
      <c r="C547" s="12" t="s">
        <v>552</v>
      </c>
      <c r="D547" s="11" t="s">
        <v>1097</v>
      </c>
      <c r="E547" s="11" t="s">
        <v>1213</v>
      </c>
      <c r="F547" s="12" t="s">
        <v>4</v>
      </c>
      <c r="G547" s="12" t="s">
        <v>1302</v>
      </c>
      <c r="H547" s="12" t="s">
        <v>1302</v>
      </c>
      <c r="I547" s="12" t="s">
        <v>1309</v>
      </c>
      <c r="J547" s="12" t="s">
        <v>1315</v>
      </c>
      <c r="K547" s="12" t="s">
        <v>1326</v>
      </c>
      <c r="L547" s="12" t="s">
        <v>1303</v>
      </c>
      <c r="M547" s="12" t="s">
        <v>0</v>
      </c>
      <c r="N547" s="13" t="s">
        <v>1817</v>
      </c>
      <c r="O547" s="11" t="s">
        <v>0</v>
      </c>
      <c r="P547" s="11" t="s">
        <v>0</v>
      </c>
      <c r="Q547" s="11" t="s">
        <v>0</v>
      </c>
      <c r="R547" s="11" t="s">
        <v>0</v>
      </c>
      <c r="S547" s="11" t="s">
        <v>0</v>
      </c>
      <c r="T547" s="11" t="s">
        <v>0</v>
      </c>
      <c r="U547" s="11" t="s">
        <v>0</v>
      </c>
      <c r="V547" s="11" t="s">
        <v>0</v>
      </c>
      <c r="W547" s="11" t="s">
        <v>0</v>
      </c>
      <c r="X547" s="11" t="s">
        <v>0</v>
      </c>
      <c r="Y547" s="11" t="s">
        <v>0</v>
      </c>
      <c r="Z547" s="11" t="s">
        <v>0</v>
      </c>
      <c r="AA547" s="11" t="s">
        <v>0</v>
      </c>
      <c r="AB547" s="11" t="s">
        <v>0</v>
      </c>
      <c r="AC547" s="11" t="s">
        <v>0</v>
      </c>
      <c r="AD547" s="11" t="s">
        <v>0</v>
      </c>
      <c r="AE547" s="11" t="s">
        <v>0</v>
      </c>
    </row>
    <row r="548">
      <c r="B548" s="24" t="s">
        <v>7</v>
      </c>
      <c r="C548" s="12" t="s">
        <v>553</v>
      </c>
      <c r="D548" s="11" t="s">
        <v>1098</v>
      </c>
      <c r="E548" s="11" t="s">
        <v>1213</v>
      </c>
      <c r="F548" s="12" t="s">
        <v>7</v>
      </c>
      <c r="G548" s="12" t="s">
        <v>1302</v>
      </c>
      <c r="H548" s="12" t="s">
        <v>1302</v>
      </c>
      <c r="I548" s="12" t="s">
        <v>1309</v>
      </c>
      <c r="J548" s="12" t="s">
        <v>1315</v>
      </c>
      <c r="K548" s="12" t="s">
        <v>1326</v>
      </c>
      <c r="L548" s="12" t="s">
        <v>1303</v>
      </c>
      <c r="M548" s="12" t="s">
        <v>0</v>
      </c>
      <c r="N548" s="13" t="s">
        <v>1818</v>
      </c>
      <c r="O548" s="11" t="s">
        <v>0</v>
      </c>
      <c r="P548" s="11" t="s">
        <v>0</v>
      </c>
      <c r="Q548" s="11" t="s">
        <v>0</v>
      </c>
      <c r="R548" s="11" t="s">
        <v>0</v>
      </c>
      <c r="S548" s="11" t="s">
        <v>0</v>
      </c>
      <c r="T548" s="11" t="s">
        <v>0</v>
      </c>
      <c r="U548" s="11" t="s">
        <v>0</v>
      </c>
      <c r="V548" s="11" t="s">
        <v>0</v>
      </c>
      <c r="W548" s="11" t="s">
        <v>0</v>
      </c>
      <c r="X548" s="11" t="s">
        <v>0</v>
      </c>
      <c r="Y548" s="11" t="s">
        <v>0</v>
      </c>
      <c r="Z548" s="11" t="s">
        <v>0</v>
      </c>
      <c r="AA548" s="11" t="s">
        <v>0</v>
      </c>
      <c r="AB548" s="11" t="s">
        <v>0</v>
      </c>
      <c r="AC548" s="11" t="s">
        <v>0</v>
      </c>
      <c r="AD548" s="11" t="s">
        <v>0</v>
      </c>
      <c r="AE548" s="11" t="s">
        <v>0</v>
      </c>
    </row>
    <row r="549">
      <c r="B549" s="24" t="s">
        <v>7</v>
      </c>
      <c r="C549" s="12" t="s">
        <v>554</v>
      </c>
      <c r="D549" s="11" t="s">
        <v>1099</v>
      </c>
      <c r="E549" s="11" t="s">
        <v>1213</v>
      </c>
      <c r="F549" s="12" t="s">
        <v>7</v>
      </c>
      <c r="G549" s="12" t="s">
        <v>1302</v>
      </c>
      <c r="H549" s="12" t="s">
        <v>1302</v>
      </c>
      <c r="I549" s="12" t="s">
        <v>1309</v>
      </c>
      <c r="J549" s="12" t="s">
        <v>1315</v>
      </c>
      <c r="K549" s="12" t="s">
        <v>1326</v>
      </c>
      <c r="L549" s="12" t="s">
        <v>1303</v>
      </c>
      <c r="M549" s="12" t="s">
        <v>0</v>
      </c>
      <c r="N549" s="13" t="s">
        <v>1819</v>
      </c>
      <c r="O549" s="11" t="s">
        <v>0</v>
      </c>
      <c r="P549" s="11" t="s">
        <v>0</v>
      </c>
      <c r="Q549" s="11" t="s">
        <v>0</v>
      </c>
      <c r="R549" s="11" t="s">
        <v>0</v>
      </c>
      <c r="S549" s="11" t="s">
        <v>0</v>
      </c>
      <c r="T549" s="11" t="s">
        <v>0</v>
      </c>
      <c r="U549" s="11" t="s">
        <v>0</v>
      </c>
      <c r="V549" s="11" t="s">
        <v>0</v>
      </c>
      <c r="W549" s="11" t="s">
        <v>0</v>
      </c>
      <c r="X549" s="11" t="s">
        <v>0</v>
      </c>
      <c r="Y549" s="11" t="s">
        <v>0</v>
      </c>
      <c r="Z549" s="11" t="s">
        <v>0</v>
      </c>
      <c r="AA549" s="11" t="s">
        <v>0</v>
      </c>
      <c r="AB549" s="11" t="s">
        <v>0</v>
      </c>
      <c r="AC549" s="11" t="s">
        <v>0</v>
      </c>
      <c r="AD549" s="11" t="s">
        <v>0</v>
      </c>
      <c r="AE549" s="11" t="s">
        <v>0</v>
      </c>
    </row>
    <row r="550">
      <c r="B550" s="24" t="s">
        <v>5</v>
      </c>
      <c r="C550" s="12" t="s">
        <v>555</v>
      </c>
      <c r="D550" s="11" t="s">
        <v>1100</v>
      </c>
      <c r="E550" s="11" t="s">
        <v>1213</v>
      </c>
      <c r="F550" s="12" t="s">
        <v>5</v>
      </c>
      <c r="G550" s="12" t="s">
        <v>1302</v>
      </c>
      <c r="H550" s="12" t="s">
        <v>1302</v>
      </c>
      <c r="I550" s="12" t="s">
        <v>1309</v>
      </c>
      <c r="J550" s="12" t="s">
        <v>1315</v>
      </c>
      <c r="K550" s="12" t="s">
        <v>1326</v>
      </c>
      <c r="L550" s="12" t="s">
        <v>1303</v>
      </c>
      <c r="M550" s="12" t="s">
        <v>0</v>
      </c>
      <c r="N550" s="13" t="s">
        <v>1820</v>
      </c>
      <c r="O550" s="11" t="s">
        <v>0</v>
      </c>
      <c r="P550" s="11" t="s">
        <v>0</v>
      </c>
      <c r="Q550" s="11" t="s">
        <v>0</v>
      </c>
      <c r="R550" s="11" t="s">
        <v>0</v>
      </c>
      <c r="S550" s="11" t="s">
        <v>0</v>
      </c>
      <c r="T550" s="11" t="s">
        <v>0</v>
      </c>
      <c r="U550" s="11" t="s">
        <v>0</v>
      </c>
      <c r="V550" s="11" t="s">
        <v>0</v>
      </c>
      <c r="W550" s="11" t="s">
        <v>0</v>
      </c>
      <c r="X550" s="11" t="s">
        <v>0</v>
      </c>
      <c r="Y550" s="11" t="s">
        <v>0</v>
      </c>
      <c r="Z550" s="11" t="s">
        <v>0</v>
      </c>
      <c r="AA550" s="11" t="s">
        <v>0</v>
      </c>
      <c r="AB550" s="11" t="s">
        <v>0</v>
      </c>
      <c r="AC550" s="11" t="s">
        <v>0</v>
      </c>
      <c r="AD550" s="11" t="s">
        <v>0</v>
      </c>
      <c r="AE550" s="11" t="s">
        <v>0</v>
      </c>
    </row>
    <row r="551">
      <c r="B551" s="24" t="s">
        <v>3</v>
      </c>
      <c r="C551" s="12" t="s">
        <v>556</v>
      </c>
      <c r="D551" s="11" t="s">
        <v>1101</v>
      </c>
      <c r="E551" s="11" t="s">
        <v>1261</v>
      </c>
      <c r="F551" s="12" t="s">
        <v>3</v>
      </c>
      <c r="G551" s="12" t="s">
        <v>1302</v>
      </c>
      <c r="H551" s="12" t="s">
        <v>1302</v>
      </c>
      <c r="I551" s="12" t="s">
        <v>1309</v>
      </c>
      <c r="J551" s="12" t="s">
        <v>1315</v>
      </c>
      <c r="K551" s="12" t="s">
        <v>1326</v>
      </c>
      <c r="L551" s="12" t="s">
        <v>1303</v>
      </c>
      <c r="M551" s="12" t="s">
        <v>0</v>
      </c>
      <c r="N551" s="13" t="s">
        <v>1821</v>
      </c>
      <c r="O551" s="11" t="s">
        <v>0</v>
      </c>
      <c r="P551" s="11" t="s">
        <v>0</v>
      </c>
      <c r="Q551" s="11" t="s">
        <v>0</v>
      </c>
      <c r="R551" s="11" t="s">
        <v>0</v>
      </c>
      <c r="S551" s="11" t="s">
        <v>0</v>
      </c>
      <c r="T551" s="11" t="s">
        <v>0</v>
      </c>
      <c r="U551" s="11" t="s">
        <v>0</v>
      </c>
      <c r="V551" s="11" t="s">
        <v>0</v>
      </c>
      <c r="W551" s="11" t="s">
        <v>0</v>
      </c>
      <c r="X551" s="11" t="s">
        <v>0</v>
      </c>
      <c r="Y551" s="11" t="s">
        <v>0</v>
      </c>
      <c r="Z551" s="11" t="s">
        <v>0</v>
      </c>
      <c r="AA551" s="11" t="s">
        <v>0</v>
      </c>
      <c r="AB551" s="11" t="s">
        <v>0</v>
      </c>
      <c r="AC551" s="11" t="s">
        <v>0</v>
      </c>
      <c r="AD551" s="11" t="s">
        <v>0</v>
      </c>
      <c r="AE551" s="11" t="s">
        <v>0</v>
      </c>
    </row>
    <row r="552">
      <c r="B552" s="24" t="s">
        <v>5</v>
      </c>
      <c r="C552" s="12" t="s">
        <v>557</v>
      </c>
      <c r="D552" s="11" t="s">
        <v>1102</v>
      </c>
      <c r="E552" s="11" t="s">
        <v>1213</v>
      </c>
      <c r="F552" s="12" t="s">
        <v>5</v>
      </c>
      <c r="G552" s="12" t="s">
        <v>1302</v>
      </c>
      <c r="H552" s="12" t="s">
        <v>1302</v>
      </c>
      <c r="I552" s="12" t="s">
        <v>1309</v>
      </c>
      <c r="J552" s="12" t="s">
        <v>1315</v>
      </c>
      <c r="K552" s="12" t="s">
        <v>1326</v>
      </c>
      <c r="L552" s="12" t="s">
        <v>1303</v>
      </c>
      <c r="M552" s="12" t="s">
        <v>0</v>
      </c>
      <c r="N552" s="13" t="s">
        <v>1822</v>
      </c>
      <c r="O552" s="11" t="s">
        <v>0</v>
      </c>
      <c r="P552" s="11" t="s">
        <v>0</v>
      </c>
      <c r="Q552" s="11" t="s">
        <v>0</v>
      </c>
      <c r="R552" s="11" t="s">
        <v>0</v>
      </c>
      <c r="S552" s="11" t="s">
        <v>0</v>
      </c>
      <c r="T552" s="11" t="s">
        <v>0</v>
      </c>
      <c r="U552" s="11" t="s">
        <v>0</v>
      </c>
      <c r="V552" s="11" t="s">
        <v>0</v>
      </c>
      <c r="W552" s="11" t="s">
        <v>0</v>
      </c>
      <c r="X552" s="11" t="s">
        <v>0</v>
      </c>
      <c r="Y552" s="11" t="s">
        <v>0</v>
      </c>
      <c r="Z552" s="11" t="s">
        <v>0</v>
      </c>
      <c r="AA552" s="11" t="s">
        <v>0</v>
      </c>
      <c r="AB552" s="11" t="s">
        <v>0</v>
      </c>
      <c r="AC552" s="11" t="s">
        <v>0</v>
      </c>
      <c r="AD552" s="11" t="s">
        <v>0</v>
      </c>
      <c r="AE552" s="11" t="s">
        <v>0</v>
      </c>
    </row>
    <row r="553">
      <c r="B553" s="24" t="s">
        <v>5</v>
      </c>
      <c r="C553" s="12" t="s">
        <v>558</v>
      </c>
      <c r="D553" s="11" t="s">
        <v>1103</v>
      </c>
      <c r="E553" s="11" t="s">
        <v>1263</v>
      </c>
      <c r="F553" s="12" t="s">
        <v>5</v>
      </c>
      <c r="G553" s="12" t="s">
        <v>1302</v>
      </c>
      <c r="H553" s="12" t="s">
        <v>1302</v>
      </c>
      <c r="I553" s="12" t="s">
        <v>1309</v>
      </c>
      <c r="J553" s="12" t="s">
        <v>1315</v>
      </c>
      <c r="K553" s="12" t="s">
        <v>1326</v>
      </c>
      <c r="L553" s="12" t="s">
        <v>1303</v>
      </c>
      <c r="M553" s="12" t="s">
        <v>0</v>
      </c>
      <c r="N553" s="13" t="s">
        <v>1823</v>
      </c>
      <c r="O553" s="11" t="s">
        <v>0</v>
      </c>
      <c r="P553" s="11" t="s">
        <v>0</v>
      </c>
      <c r="Q553" s="11" t="s">
        <v>0</v>
      </c>
      <c r="R553" s="11" t="s">
        <v>0</v>
      </c>
      <c r="S553" s="11" t="s">
        <v>0</v>
      </c>
      <c r="T553" s="11" t="s">
        <v>0</v>
      </c>
      <c r="U553" s="11" t="s">
        <v>1888</v>
      </c>
      <c r="V553" s="11" t="s">
        <v>0</v>
      </c>
      <c r="W553" s="11" t="s">
        <v>0</v>
      </c>
      <c r="X553" s="11" t="s">
        <v>0</v>
      </c>
      <c r="Y553" s="11" t="s">
        <v>0</v>
      </c>
      <c r="Z553" s="11" t="s">
        <v>0</v>
      </c>
      <c r="AA553" s="11" t="s">
        <v>0</v>
      </c>
      <c r="AB553" s="11" t="s">
        <v>0</v>
      </c>
      <c r="AC553" s="11" t="s">
        <v>0</v>
      </c>
      <c r="AD553" s="11" t="s">
        <v>0</v>
      </c>
      <c r="AE553" s="11" t="s">
        <v>0</v>
      </c>
    </row>
    <row r="554">
      <c r="B554" s="24" t="s">
        <v>1</v>
      </c>
      <c r="C554" s="12" t="s">
        <v>559</v>
      </c>
      <c r="D554" s="11" t="s">
        <v>1104</v>
      </c>
      <c r="E554" s="11" t="s">
        <v>1264</v>
      </c>
      <c r="F554" s="12" t="s">
        <v>1</v>
      </c>
      <c r="G554" s="12" t="s">
        <v>1302</v>
      </c>
      <c r="H554" s="12" t="s">
        <v>1302</v>
      </c>
      <c r="I554" s="12" t="s">
        <v>1309</v>
      </c>
      <c r="J554" s="12" t="s">
        <v>1315</v>
      </c>
      <c r="K554" s="12" t="s">
        <v>1326</v>
      </c>
      <c r="L554" s="12" t="s">
        <v>1303</v>
      </c>
      <c r="M554" s="12" t="s">
        <v>0</v>
      </c>
      <c r="N554" s="13" t="s">
        <v>1824</v>
      </c>
      <c r="O554" s="11" t="s">
        <v>0</v>
      </c>
      <c r="P554" s="11" t="s">
        <v>0</v>
      </c>
      <c r="Q554" s="11" t="s">
        <v>0</v>
      </c>
      <c r="R554" s="11" t="s">
        <v>0</v>
      </c>
      <c r="S554" s="11" t="s">
        <v>0</v>
      </c>
      <c r="T554" s="11" t="s">
        <v>0</v>
      </c>
      <c r="U554" s="11" t="s">
        <v>1888</v>
      </c>
      <c r="V554" s="11" t="s">
        <v>0</v>
      </c>
      <c r="W554" s="11" t="s">
        <v>0</v>
      </c>
      <c r="X554" s="11" t="s">
        <v>0</v>
      </c>
      <c r="Y554" s="11" t="s">
        <v>1956</v>
      </c>
      <c r="Z554" s="11" t="s">
        <v>1956</v>
      </c>
      <c r="AA554" s="11" t="s">
        <v>1956</v>
      </c>
      <c r="AB554" s="11" t="s">
        <v>2003</v>
      </c>
      <c r="AC554" s="11" t="s">
        <v>0</v>
      </c>
      <c r="AD554" s="11" t="s">
        <v>0</v>
      </c>
      <c r="AE554" s="11" t="s">
        <v>0</v>
      </c>
    </row>
    <row r="555">
      <c r="B555" s="24" t="s">
        <v>5</v>
      </c>
      <c r="C555" s="12" t="s">
        <v>560</v>
      </c>
      <c r="D555" s="11" t="s">
        <v>1105</v>
      </c>
      <c r="E555" s="11" t="s">
        <v>1265</v>
      </c>
      <c r="F555" s="12" t="s">
        <v>5</v>
      </c>
      <c r="G555" s="12" t="s">
        <v>1302</v>
      </c>
      <c r="H555" s="12" t="s">
        <v>1302</v>
      </c>
      <c r="I555" s="12" t="s">
        <v>1309</v>
      </c>
      <c r="J555" s="12" t="s">
        <v>1315</v>
      </c>
      <c r="K555" s="12" t="s">
        <v>1326</v>
      </c>
      <c r="L555" s="12" t="s">
        <v>1303</v>
      </c>
      <c r="M555" s="12" t="s">
        <v>0</v>
      </c>
      <c r="N555" s="13" t="s">
        <v>1825</v>
      </c>
      <c r="O555" s="11" t="s">
        <v>0</v>
      </c>
      <c r="P555" s="11" t="s">
        <v>0</v>
      </c>
      <c r="Q555" s="11" t="s">
        <v>0</v>
      </c>
      <c r="R555" s="11" t="s">
        <v>0</v>
      </c>
      <c r="S555" s="11" t="s">
        <v>0</v>
      </c>
      <c r="T555" s="11" t="s">
        <v>0</v>
      </c>
      <c r="U555" s="11" t="s">
        <v>0</v>
      </c>
      <c r="V555" s="11" t="s">
        <v>0</v>
      </c>
      <c r="W555" s="11" t="s">
        <v>0</v>
      </c>
      <c r="X555" s="11" t="s">
        <v>0</v>
      </c>
      <c r="Y555" s="11" t="s">
        <v>0</v>
      </c>
      <c r="Z555" s="11" t="s">
        <v>0</v>
      </c>
      <c r="AA555" s="11" t="s">
        <v>0</v>
      </c>
      <c r="AB555" s="11" t="s">
        <v>0</v>
      </c>
      <c r="AC555" s="11" t="s">
        <v>0</v>
      </c>
      <c r="AD555" s="11" t="s">
        <v>0</v>
      </c>
      <c r="AE555" s="11" t="s">
        <v>0</v>
      </c>
    </row>
    <row r="556">
      <c r="B556" s="24" t="s">
        <v>9</v>
      </c>
      <c r="C556" s="12" t="s">
        <v>561</v>
      </c>
      <c r="D556" s="11" t="s">
        <v>1106</v>
      </c>
      <c r="E556" s="11" t="s">
        <v>1213</v>
      </c>
      <c r="F556" s="12" t="s">
        <v>9</v>
      </c>
      <c r="G556" s="12" t="s">
        <v>1302</v>
      </c>
      <c r="H556" s="12" t="s">
        <v>1302</v>
      </c>
      <c r="I556" s="12" t="s">
        <v>1309</v>
      </c>
      <c r="J556" s="12" t="s">
        <v>1315</v>
      </c>
      <c r="K556" s="12" t="s">
        <v>1326</v>
      </c>
      <c r="L556" s="12" t="s">
        <v>1303</v>
      </c>
      <c r="M556" s="12" t="s">
        <v>0</v>
      </c>
      <c r="N556" s="13" t="s">
        <v>1826</v>
      </c>
      <c r="O556" s="11" t="s">
        <v>0</v>
      </c>
      <c r="P556" s="11" t="s">
        <v>0</v>
      </c>
      <c r="Q556" s="11" t="s">
        <v>0</v>
      </c>
      <c r="R556" s="11" t="s">
        <v>0</v>
      </c>
      <c r="S556" s="11" t="s">
        <v>0</v>
      </c>
      <c r="T556" s="11" t="s">
        <v>0</v>
      </c>
      <c r="U556" s="11" t="s">
        <v>0</v>
      </c>
      <c r="V556" s="11" t="s">
        <v>0</v>
      </c>
      <c r="W556" s="11" t="s">
        <v>0</v>
      </c>
      <c r="X556" s="11" t="s">
        <v>0</v>
      </c>
      <c r="Y556" s="11" t="s">
        <v>0</v>
      </c>
      <c r="Z556" s="11" t="s">
        <v>0</v>
      </c>
      <c r="AA556" s="11" t="s">
        <v>0</v>
      </c>
      <c r="AB556" s="11" t="s">
        <v>0</v>
      </c>
      <c r="AC556" s="11" t="s">
        <v>0</v>
      </c>
      <c r="AD556" s="11" t="s">
        <v>0</v>
      </c>
      <c r="AE556" s="11" t="s">
        <v>0</v>
      </c>
    </row>
    <row r="557">
      <c r="B557" s="24" t="s">
        <v>5</v>
      </c>
      <c r="C557" s="12" t="s">
        <v>562</v>
      </c>
      <c r="D557" s="11" t="s">
        <v>1107</v>
      </c>
      <c r="E557" s="11" t="s">
        <v>1263</v>
      </c>
      <c r="F557" s="12" t="s">
        <v>5</v>
      </c>
      <c r="G557" s="12" t="s">
        <v>1302</v>
      </c>
      <c r="H557" s="12" t="s">
        <v>1302</v>
      </c>
      <c r="I557" s="12" t="s">
        <v>1309</v>
      </c>
      <c r="J557" s="12" t="s">
        <v>1315</v>
      </c>
      <c r="K557" s="12" t="s">
        <v>1326</v>
      </c>
      <c r="L557" s="12" t="s">
        <v>1303</v>
      </c>
      <c r="M557" s="12" t="s">
        <v>0</v>
      </c>
      <c r="N557" s="13" t="s">
        <v>1827</v>
      </c>
      <c r="O557" s="11" t="s">
        <v>0</v>
      </c>
      <c r="P557" s="11" t="s">
        <v>0</v>
      </c>
      <c r="Q557" s="11" t="s">
        <v>0</v>
      </c>
      <c r="R557" s="11" t="s">
        <v>0</v>
      </c>
      <c r="S557" s="11" t="s">
        <v>0</v>
      </c>
      <c r="T557" s="11" t="s">
        <v>0</v>
      </c>
      <c r="U557" s="11" t="s">
        <v>0</v>
      </c>
      <c r="V557" s="11" t="s">
        <v>0</v>
      </c>
      <c r="W557" s="11" t="s">
        <v>0</v>
      </c>
      <c r="X557" s="11" t="s">
        <v>0</v>
      </c>
      <c r="Y557" s="11" t="s">
        <v>0</v>
      </c>
      <c r="Z557" s="11" t="s">
        <v>0</v>
      </c>
      <c r="AA557" s="11" t="s">
        <v>0</v>
      </c>
      <c r="AB557" s="11" t="s">
        <v>0</v>
      </c>
      <c r="AC557" s="11" t="s">
        <v>0</v>
      </c>
      <c r="AD557" s="11" t="s">
        <v>0</v>
      </c>
      <c r="AE557" s="11" t="s">
        <v>0</v>
      </c>
    </row>
    <row r="558">
      <c r="B558" s="24" t="s">
        <v>5</v>
      </c>
      <c r="C558" s="12" t="s">
        <v>563</v>
      </c>
      <c r="D558" s="11" t="s">
        <v>1108</v>
      </c>
      <c r="E558" s="11" t="s">
        <v>1263</v>
      </c>
      <c r="F558" s="12" t="s">
        <v>5</v>
      </c>
      <c r="G558" s="12" t="s">
        <v>1302</v>
      </c>
      <c r="H558" s="12" t="s">
        <v>1302</v>
      </c>
      <c r="I558" s="12" t="s">
        <v>1309</v>
      </c>
      <c r="J558" s="12" t="s">
        <v>1315</v>
      </c>
      <c r="K558" s="12" t="s">
        <v>1326</v>
      </c>
      <c r="L558" s="12" t="s">
        <v>1303</v>
      </c>
      <c r="M558" s="12" t="s">
        <v>0</v>
      </c>
      <c r="N558" s="13" t="s">
        <v>1828</v>
      </c>
      <c r="O558" s="11" t="s">
        <v>0</v>
      </c>
      <c r="P558" s="11" t="s">
        <v>0</v>
      </c>
      <c r="Q558" s="11" t="s">
        <v>0</v>
      </c>
      <c r="R558" s="11" t="s">
        <v>0</v>
      </c>
      <c r="S558" s="11" t="s">
        <v>0</v>
      </c>
      <c r="T558" s="11" t="s">
        <v>0</v>
      </c>
      <c r="U558" s="11" t="s">
        <v>0</v>
      </c>
      <c r="V558" s="11" t="s">
        <v>0</v>
      </c>
      <c r="W558" s="11" t="s">
        <v>0</v>
      </c>
      <c r="X558" s="11" t="s">
        <v>0</v>
      </c>
      <c r="Y558" s="11" t="s">
        <v>0</v>
      </c>
      <c r="Z558" s="11" t="s">
        <v>0</v>
      </c>
      <c r="AA558" s="11" t="s">
        <v>0</v>
      </c>
      <c r="AB558" s="11" t="s">
        <v>0</v>
      </c>
      <c r="AC558" s="11" t="s">
        <v>0</v>
      </c>
      <c r="AD558" s="11" t="s">
        <v>0</v>
      </c>
      <c r="AE558" s="11" t="s">
        <v>0</v>
      </c>
    </row>
    <row r="559">
      <c r="B559" s="24" t="s">
        <v>5</v>
      </c>
      <c r="C559" s="12" t="s">
        <v>564</v>
      </c>
      <c r="D559" s="11" t="s">
        <v>1109</v>
      </c>
      <c r="E559" s="11" t="s">
        <v>1266</v>
      </c>
      <c r="F559" s="12" t="s">
        <v>5</v>
      </c>
      <c r="G559" s="12" t="s">
        <v>1302</v>
      </c>
      <c r="H559" s="12" t="s">
        <v>1302</v>
      </c>
      <c r="I559" s="12" t="s">
        <v>1309</v>
      </c>
      <c r="J559" s="12" t="s">
        <v>1315</v>
      </c>
      <c r="K559" s="12" t="s">
        <v>1326</v>
      </c>
      <c r="L559" s="12" t="s">
        <v>1303</v>
      </c>
      <c r="M559" s="12" t="s">
        <v>0</v>
      </c>
      <c r="N559" s="13" t="s">
        <v>1827</v>
      </c>
      <c r="O559" s="11" t="s">
        <v>0</v>
      </c>
      <c r="P559" s="11" t="s">
        <v>0</v>
      </c>
      <c r="Q559" s="11" t="s">
        <v>0</v>
      </c>
      <c r="R559" s="11" t="s">
        <v>0</v>
      </c>
      <c r="S559" s="11" t="s">
        <v>0</v>
      </c>
      <c r="T559" s="11" t="s">
        <v>0</v>
      </c>
      <c r="U559" s="11" t="s">
        <v>0</v>
      </c>
      <c r="V559" s="11" t="s">
        <v>0</v>
      </c>
      <c r="W559" s="11" t="s">
        <v>0</v>
      </c>
      <c r="X559" s="11" t="s">
        <v>0</v>
      </c>
      <c r="Y559" s="11" t="s">
        <v>0</v>
      </c>
      <c r="Z559" s="11" t="s">
        <v>0</v>
      </c>
      <c r="AA559" s="11" t="s">
        <v>0</v>
      </c>
      <c r="AB559" s="11" t="s">
        <v>0</v>
      </c>
      <c r="AC559" s="11" t="s">
        <v>0</v>
      </c>
      <c r="AD559" s="11" t="s">
        <v>0</v>
      </c>
      <c r="AE559" s="11" t="s">
        <v>0</v>
      </c>
    </row>
    <row r="560">
      <c r="B560" s="24" t="s">
        <v>2</v>
      </c>
      <c r="C560" s="12" t="s">
        <v>565</v>
      </c>
      <c r="D560" s="11" t="s">
        <v>1110</v>
      </c>
      <c r="E560" s="11" t="s">
        <v>1267</v>
      </c>
      <c r="F560" s="12" t="s">
        <v>2</v>
      </c>
      <c r="G560" s="12" t="s">
        <v>1302</v>
      </c>
      <c r="H560" s="12" t="s">
        <v>1302</v>
      </c>
      <c r="I560" s="12" t="s">
        <v>1309</v>
      </c>
      <c r="J560" s="12" t="s">
        <v>1315</v>
      </c>
      <c r="K560" s="12" t="s">
        <v>1326</v>
      </c>
      <c r="L560" s="12" t="s">
        <v>1303</v>
      </c>
      <c r="M560" s="12" t="s">
        <v>0</v>
      </c>
      <c r="N560" s="13" t="s">
        <v>1829</v>
      </c>
      <c r="O560" s="11" t="s">
        <v>0</v>
      </c>
      <c r="P560" s="11" t="s">
        <v>0</v>
      </c>
      <c r="Q560" s="11" t="s">
        <v>0</v>
      </c>
      <c r="R560" s="11" t="s">
        <v>0</v>
      </c>
      <c r="S560" s="11" t="s">
        <v>0</v>
      </c>
      <c r="T560" s="11" t="s">
        <v>0</v>
      </c>
      <c r="U560" s="11" t="s">
        <v>0</v>
      </c>
      <c r="V560" s="11" t="s">
        <v>0</v>
      </c>
      <c r="W560" s="11" t="s">
        <v>0</v>
      </c>
      <c r="X560" s="11" t="s">
        <v>0</v>
      </c>
      <c r="Y560" s="11" t="s">
        <v>0</v>
      </c>
      <c r="Z560" s="11" t="s">
        <v>0</v>
      </c>
      <c r="AA560" s="11" t="s">
        <v>0</v>
      </c>
      <c r="AB560" s="11" t="s">
        <v>0</v>
      </c>
      <c r="AC560" s="11" t="s">
        <v>0</v>
      </c>
      <c r="AD560" s="11" t="s">
        <v>0</v>
      </c>
      <c r="AE560" s="11" t="s">
        <v>0</v>
      </c>
    </row>
    <row r="561">
      <c r="B561" s="24" t="s">
        <v>5</v>
      </c>
      <c r="C561" s="12" t="s">
        <v>566</v>
      </c>
      <c r="D561" s="11" t="s">
        <v>1111</v>
      </c>
      <c r="E561" s="11" t="s">
        <v>1263</v>
      </c>
      <c r="F561" s="12" t="s">
        <v>5</v>
      </c>
      <c r="G561" s="12" t="s">
        <v>1302</v>
      </c>
      <c r="H561" s="12" t="s">
        <v>1302</v>
      </c>
      <c r="I561" s="12" t="s">
        <v>1309</v>
      </c>
      <c r="J561" s="12" t="s">
        <v>1315</v>
      </c>
      <c r="K561" s="12" t="s">
        <v>1326</v>
      </c>
      <c r="L561" s="12" t="s">
        <v>1303</v>
      </c>
      <c r="M561" s="12" t="s">
        <v>0</v>
      </c>
      <c r="N561" s="13" t="s">
        <v>1830</v>
      </c>
      <c r="O561" s="11" t="s">
        <v>0</v>
      </c>
      <c r="P561" s="11" t="s">
        <v>0</v>
      </c>
      <c r="Q561" s="11" t="s">
        <v>0</v>
      </c>
      <c r="R561" s="11" t="s">
        <v>0</v>
      </c>
      <c r="S561" s="11" t="s">
        <v>0</v>
      </c>
      <c r="T561" s="11" t="s">
        <v>0</v>
      </c>
      <c r="U561" s="11" t="s">
        <v>0</v>
      </c>
      <c r="V561" s="11" t="s">
        <v>0</v>
      </c>
      <c r="W561" s="11" t="s">
        <v>0</v>
      </c>
      <c r="X561" s="11" t="s">
        <v>0</v>
      </c>
      <c r="Y561" s="11" t="s">
        <v>0</v>
      </c>
      <c r="Z561" s="11" t="s">
        <v>0</v>
      </c>
      <c r="AA561" s="11" t="s">
        <v>0</v>
      </c>
      <c r="AB561" s="11" t="s">
        <v>0</v>
      </c>
      <c r="AC561" s="11" t="s">
        <v>0</v>
      </c>
      <c r="AD561" s="11" t="s">
        <v>0</v>
      </c>
      <c r="AE561" s="11" t="s">
        <v>0</v>
      </c>
    </row>
    <row r="562">
      <c r="B562" s="24" t="s">
        <v>5</v>
      </c>
      <c r="C562" s="12" t="s">
        <v>567</v>
      </c>
      <c r="D562" s="11" t="s">
        <v>1112</v>
      </c>
      <c r="E562" s="11" t="s">
        <v>1213</v>
      </c>
      <c r="F562" s="12" t="s">
        <v>5</v>
      </c>
      <c r="G562" s="12" t="s">
        <v>1302</v>
      </c>
      <c r="H562" s="12" t="s">
        <v>1302</v>
      </c>
      <c r="I562" s="12" t="s">
        <v>1309</v>
      </c>
      <c r="J562" s="12" t="s">
        <v>1315</v>
      </c>
      <c r="K562" s="12" t="s">
        <v>1326</v>
      </c>
      <c r="L562" s="12" t="s">
        <v>1303</v>
      </c>
      <c r="M562" s="12" t="s">
        <v>0</v>
      </c>
      <c r="N562" s="13" t="s">
        <v>1831</v>
      </c>
      <c r="O562" s="11" t="s">
        <v>0</v>
      </c>
      <c r="P562" s="11" t="s">
        <v>0</v>
      </c>
      <c r="Q562" s="11" t="s">
        <v>0</v>
      </c>
      <c r="R562" s="11" t="s">
        <v>0</v>
      </c>
      <c r="S562" s="11" t="s">
        <v>0</v>
      </c>
      <c r="T562" s="11" t="s">
        <v>0</v>
      </c>
      <c r="U562" s="11" t="s">
        <v>0</v>
      </c>
      <c r="V562" s="11" t="s">
        <v>0</v>
      </c>
      <c r="W562" s="11" t="s">
        <v>0</v>
      </c>
      <c r="X562" s="11" t="s">
        <v>0</v>
      </c>
      <c r="Y562" s="11" t="s">
        <v>0</v>
      </c>
      <c r="Z562" s="11" t="s">
        <v>0</v>
      </c>
      <c r="AA562" s="11" t="s">
        <v>0</v>
      </c>
      <c r="AB562" s="11" t="s">
        <v>0</v>
      </c>
      <c r="AC562" s="11" t="s">
        <v>0</v>
      </c>
      <c r="AD562" s="11" t="s">
        <v>0</v>
      </c>
      <c r="AE562" s="11" t="s">
        <v>0</v>
      </c>
    </row>
    <row r="563">
      <c r="B563" s="24" t="s">
        <v>6</v>
      </c>
      <c r="C563" s="12" t="s">
        <v>568</v>
      </c>
      <c r="D563" s="11" t="s">
        <v>1113</v>
      </c>
      <c r="E563" s="11" t="s">
        <v>1268</v>
      </c>
      <c r="F563" s="12" t="s">
        <v>6</v>
      </c>
      <c r="G563" s="12" t="s">
        <v>1302</v>
      </c>
      <c r="H563" s="12" t="s">
        <v>1302</v>
      </c>
      <c r="I563" s="12" t="s">
        <v>1309</v>
      </c>
      <c r="J563" s="12" t="s">
        <v>1315</v>
      </c>
      <c r="K563" s="12" t="s">
        <v>1326</v>
      </c>
      <c r="L563" s="12" t="s">
        <v>1303</v>
      </c>
      <c r="M563" s="12" t="s">
        <v>0</v>
      </c>
      <c r="N563" s="13" t="s">
        <v>1832</v>
      </c>
      <c r="O563" s="11" t="s">
        <v>0</v>
      </c>
      <c r="P563" s="11" t="s">
        <v>0</v>
      </c>
      <c r="Q563" s="11" t="s">
        <v>0</v>
      </c>
      <c r="R563" s="11" t="s">
        <v>0</v>
      </c>
      <c r="S563" s="11" t="s">
        <v>0</v>
      </c>
      <c r="T563" s="11" t="s">
        <v>0</v>
      </c>
      <c r="U563" s="11" t="s">
        <v>0</v>
      </c>
      <c r="V563" s="11" t="s">
        <v>0</v>
      </c>
      <c r="W563" s="11" t="s">
        <v>0</v>
      </c>
      <c r="X563" s="11" t="s">
        <v>0</v>
      </c>
      <c r="Y563" s="11" t="s">
        <v>0</v>
      </c>
      <c r="Z563" s="11" t="s">
        <v>0</v>
      </c>
      <c r="AA563" s="11" t="s">
        <v>0</v>
      </c>
      <c r="AB563" s="11" t="s">
        <v>0</v>
      </c>
      <c r="AC563" s="11" t="s">
        <v>0</v>
      </c>
      <c r="AD563" s="11" t="s">
        <v>0</v>
      </c>
      <c r="AE563" s="11" t="s">
        <v>0</v>
      </c>
    </row>
    <row r="564">
      <c r="B564" s="24" t="s">
        <v>7</v>
      </c>
      <c r="C564" s="12" t="s">
        <v>569</v>
      </c>
      <c r="D564" s="11" t="s">
        <v>1114</v>
      </c>
      <c r="E564" s="11" t="s">
        <v>1213</v>
      </c>
      <c r="F564" s="12" t="s">
        <v>7</v>
      </c>
      <c r="G564" s="12" t="s">
        <v>1302</v>
      </c>
      <c r="H564" s="12" t="s">
        <v>1302</v>
      </c>
      <c r="I564" s="12" t="s">
        <v>1309</v>
      </c>
      <c r="J564" s="12" t="s">
        <v>1315</v>
      </c>
      <c r="K564" s="12" t="s">
        <v>1326</v>
      </c>
      <c r="L564" s="12" t="s">
        <v>1303</v>
      </c>
      <c r="M564" s="12" t="s">
        <v>0</v>
      </c>
      <c r="N564" s="13" t="s">
        <v>1833</v>
      </c>
      <c r="O564" s="11" t="s">
        <v>0</v>
      </c>
      <c r="P564" s="11" t="s">
        <v>0</v>
      </c>
      <c r="Q564" s="11" t="s">
        <v>0</v>
      </c>
      <c r="R564" s="11" t="s">
        <v>0</v>
      </c>
      <c r="S564" s="11" t="s">
        <v>0</v>
      </c>
      <c r="T564" s="11" t="s">
        <v>0</v>
      </c>
      <c r="U564" s="11" t="s">
        <v>0</v>
      </c>
      <c r="V564" s="11" t="s">
        <v>0</v>
      </c>
      <c r="W564" s="11" t="s">
        <v>0</v>
      </c>
      <c r="X564" s="11" t="s">
        <v>0</v>
      </c>
      <c r="Y564" s="11" t="s">
        <v>0</v>
      </c>
      <c r="Z564" s="11" t="s">
        <v>0</v>
      </c>
      <c r="AA564" s="11" t="s">
        <v>0</v>
      </c>
      <c r="AB564" s="11" t="s">
        <v>0</v>
      </c>
      <c r="AC564" s="11" t="s">
        <v>0</v>
      </c>
      <c r="AD564" s="11" t="s">
        <v>0</v>
      </c>
      <c r="AE564" s="11" t="s">
        <v>0</v>
      </c>
    </row>
    <row r="565">
      <c r="B565" s="24" t="s">
        <v>1</v>
      </c>
      <c r="C565" s="12" t="s">
        <v>570</v>
      </c>
      <c r="D565" s="11" t="s">
        <v>1116</v>
      </c>
      <c r="E565" s="11" t="s">
        <v>1270</v>
      </c>
      <c r="F565" s="12" t="s">
        <v>1</v>
      </c>
      <c r="G565" s="12" t="s">
        <v>1302</v>
      </c>
      <c r="H565" s="12" t="s">
        <v>1302</v>
      </c>
      <c r="I565" s="12" t="s">
        <v>1309</v>
      </c>
      <c r="J565" s="12" t="s">
        <v>1315</v>
      </c>
      <c r="K565" s="12" t="s">
        <v>1326</v>
      </c>
      <c r="L565" s="12" t="s">
        <v>1303</v>
      </c>
      <c r="M565" s="12" t="s">
        <v>0</v>
      </c>
      <c r="N565" s="13" t="s">
        <v>0</v>
      </c>
      <c r="O565" s="11" t="s">
        <v>0</v>
      </c>
      <c r="P565" s="11" t="s">
        <v>0</v>
      </c>
      <c r="Q565" s="11" t="s">
        <v>0</v>
      </c>
      <c r="R565" s="11" t="s">
        <v>0</v>
      </c>
      <c r="S565" s="11" t="s">
        <v>0</v>
      </c>
      <c r="T565" s="11" t="s">
        <v>0</v>
      </c>
      <c r="U565" s="11" t="s">
        <v>1888</v>
      </c>
      <c r="V565" s="11" t="s">
        <v>0</v>
      </c>
      <c r="W565" s="11" t="s">
        <v>0</v>
      </c>
      <c r="X565" s="11" t="s">
        <v>0</v>
      </c>
      <c r="Y565" s="11" t="s">
        <v>0</v>
      </c>
      <c r="Z565" s="11" t="s">
        <v>1954</v>
      </c>
      <c r="AA565" s="11" t="s">
        <v>1954</v>
      </c>
      <c r="AB565" s="11" t="s">
        <v>0</v>
      </c>
      <c r="AC565" s="11" t="s">
        <v>0</v>
      </c>
      <c r="AD565" s="11" t="s">
        <v>0</v>
      </c>
      <c r="AE565" s="11" t="s">
        <v>0</v>
      </c>
    </row>
    <row r="566">
      <c r="B566" s="24" t="s">
        <v>7</v>
      </c>
      <c r="C566" s="12" t="s">
        <v>571</v>
      </c>
      <c r="D566" s="11" t="s">
        <v>2325</v>
      </c>
      <c r="E566" s="11" t="s">
        <v>2328</v>
      </c>
      <c r="F566" s="12" t="s">
        <v>7</v>
      </c>
      <c r="G566" s="12" t="s">
        <v>1302</v>
      </c>
      <c r="H566" s="12" t="s">
        <v>1302</v>
      </c>
      <c r="I566" s="12" t="s">
        <v>1310</v>
      </c>
      <c r="J566" s="12" t="s">
        <v>1163</v>
      </c>
      <c r="K566" s="12" t="s">
        <v>1332</v>
      </c>
      <c r="L566" s="12" t="s">
        <v>1303</v>
      </c>
      <c r="M566" s="12" t="s">
        <v>0</v>
      </c>
      <c r="N566" s="13" t="s">
        <v>2331</v>
      </c>
      <c r="O566" s="11" t="s">
        <v>0</v>
      </c>
      <c r="P566" s="11" t="s">
        <v>0</v>
      </c>
      <c r="Q566" s="11" t="s">
        <v>0</v>
      </c>
      <c r="R566" s="11" t="s">
        <v>0</v>
      </c>
      <c r="S566" s="11" t="s">
        <v>0</v>
      </c>
      <c r="T566" s="11" t="s">
        <v>0</v>
      </c>
      <c r="U566" s="11" t="s">
        <v>1888</v>
      </c>
      <c r="V566" s="11" t="s">
        <v>0</v>
      </c>
      <c r="W566" s="11" t="s">
        <v>0</v>
      </c>
      <c r="X566" s="11" t="s">
        <v>0</v>
      </c>
      <c r="Y566" s="11" t="s">
        <v>0</v>
      </c>
      <c r="Z566" s="11" t="s">
        <v>2334</v>
      </c>
      <c r="AA566" s="11" t="s">
        <v>2334</v>
      </c>
      <c r="AB566" s="11" t="s">
        <v>2003</v>
      </c>
      <c r="AC566" s="11" t="s">
        <v>36</v>
      </c>
      <c r="AD566" s="11" t="s">
        <v>0</v>
      </c>
      <c r="AE566" s="11" t="s">
        <v>0</v>
      </c>
    </row>
    <row r="567">
      <c r="B567" s="24" t="s">
        <v>2</v>
      </c>
      <c r="C567" s="12" t="s">
        <v>2322</v>
      </c>
      <c r="D567" s="11" t="s">
        <v>2326</v>
      </c>
      <c r="E567" s="11" t="s">
        <v>2329</v>
      </c>
      <c r="F567" s="12" t="s">
        <v>2</v>
      </c>
      <c r="G567" s="12" t="s">
        <v>1302</v>
      </c>
      <c r="H567" s="12" t="s">
        <v>1302</v>
      </c>
      <c r="I567" s="12" t="s">
        <v>1310</v>
      </c>
      <c r="J567" s="12" t="s">
        <v>1163</v>
      </c>
      <c r="K567" s="12" t="s">
        <v>1332</v>
      </c>
      <c r="L567" s="12" t="s">
        <v>1303</v>
      </c>
      <c r="M567" s="12" t="s">
        <v>0</v>
      </c>
      <c r="N567" s="13" t="s">
        <v>2332</v>
      </c>
      <c r="O567" s="11" t="s">
        <v>0</v>
      </c>
      <c r="P567" s="11" t="s">
        <v>0</v>
      </c>
      <c r="Q567" s="11" t="s">
        <v>0</v>
      </c>
      <c r="R567" s="11" t="s">
        <v>0</v>
      </c>
      <c r="S567" s="11" t="s">
        <v>0</v>
      </c>
      <c r="T567" s="11" t="s">
        <v>0</v>
      </c>
      <c r="U567" s="11" t="s">
        <v>1888</v>
      </c>
      <c r="V567" s="11" t="s">
        <v>0</v>
      </c>
      <c r="W567" s="11" t="s">
        <v>0</v>
      </c>
      <c r="X567" s="11" t="s">
        <v>0</v>
      </c>
      <c r="Y567" s="11" t="s">
        <v>0</v>
      </c>
      <c r="Z567" s="11" t="s">
        <v>2334</v>
      </c>
      <c r="AA567" s="11" t="s">
        <v>2334</v>
      </c>
      <c r="AB567" s="11" t="s">
        <v>2003</v>
      </c>
      <c r="AC567" s="11" t="s">
        <v>35</v>
      </c>
      <c r="AD567" s="11" t="s">
        <v>0</v>
      </c>
      <c r="AE567" s="11" t="s">
        <v>0</v>
      </c>
    </row>
    <row r="568">
      <c r="B568" s="24" t="s">
        <v>4</v>
      </c>
      <c r="C568" s="12" t="s">
        <v>2323</v>
      </c>
      <c r="D568" s="11" t="s">
        <v>2327</v>
      </c>
      <c r="E568" s="11" t="s">
        <v>2330</v>
      </c>
      <c r="F568" s="12" t="s">
        <v>4</v>
      </c>
      <c r="G568" s="12" t="s">
        <v>1302</v>
      </c>
      <c r="H568" s="12" t="s">
        <v>1302</v>
      </c>
      <c r="I568" s="12" t="s">
        <v>1310</v>
      </c>
      <c r="J568" s="12" t="s">
        <v>1163</v>
      </c>
      <c r="K568" s="12" t="s">
        <v>1332</v>
      </c>
      <c r="L568" s="12" t="s">
        <v>1303</v>
      </c>
      <c r="M568" s="12" t="s">
        <v>0</v>
      </c>
      <c r="N568" s="13" t="s">
        <v>2333</v>
      </c>
      <c r="O568" s="11" t="s">
        <v>0</v>
      </c>
      <c r="P568" s="11" t="s">
        <v>0</v>
      </c>
      <c r="Q568" s="11" t="s">
        <v>0</v>
      </c>
      <c r="R568" s="11" t="s">
        <v>0</v>
      </c>
      <c r="S568" s="11" t="s">
        <v>0</v>
      </c>
      <c r="T568" s="11" t="s">
        <v>0</v>
      </c>
      <c r="U568" s="11" t="s">
        <v>1888</v>
      </c>
      <c r="V568" s="11" t="s">
        <v>0</v>
      </c>
      <c r="W568" s="11" t="s">
        <v>0</v>
      </c>
      <c r="X568" s="11" t="s">
        <v>0</v>
      </c>
      <c r="Y568" s="11" t="s">
        <v>0</v>
      </c>
      <c r="Z568" s="11" t="s">
        <v>2334</v>
      </c>
      <c r="AA568" s="11" t="s">
        <v>2334</v>
      </c>
      <c r="AB568" s="11" t="s">
        <v>2003</v>
      </c>
      <c r="AC568" s="11" t="s">
        <v>41</v>
      </c>
      <c r="AD568" s="11" t="s">
        <v>0</v>
      </c>
      <c r="AE568" s="11" t="s">
        <v>0</v>
      </c>
    </row>
    <row r="569">
      <c r="B569" s="24" t="s">
        <v>3</v>
      </c>
      <c r="C569" s="12" t="s">
        <v>2324</v>
      </c>
      <c r="D569" s="11" t="s">
        <v>2337</v>
      </c>
      <c r="E569" s="11" t="s">
        <v>2340</v>
      </c>
      <c r="F569" s="12" t="s">
        <v>3</v>
      </c>
      <c r="G569" s="12" t="s">
        <v>1302</v>
      </c>
      <c r="H569" s="12" t="s">
        <v>1302</v>
      </c>
      <c r="I569" s="12" t="s">
        <v>1310</v>
      </c>
      <c r="J569" s="12" t="s">
        <v>1163</v>
      </c>
      <c r="K569" s="12" t="s">
        <v>1332</v>
      </c>
      <c r="L569" s="12" t="s">
        <v>1303</v>
      </c>
      <c r="M569" s="12" t="s">
        <v>0</v>
      </c>
      <c r="N569" s="13" t="s">
        <v>2331</v>
      </c>
      <c r="O569" s="11" t="s">
        <v>0</v>
      </c>
      <c r="P569" s="11" t="s">
        <v>0</v>
      </c>
      <c r="Q569" s="11" t="s">
        <v>0</v>
      </c>
      <c r="R569" s="11" t="s">
        <v>0</v>
      </c>
      <c r="S569" s="11" t="s">
        <v>0</v>
      </c>
      <c r="T569" s="11" t="s">
        <v>0</v>
      </c>
      <c r="U569" s="11" t="s">
        <v>1888</v>
      </c>
      <c r="V569" s="11" t="s">
        <v>0</v>
      </c>
      <c r="W569" s="11" t="s">
        <v>0</v>
      </c>
      <c r="X569" s="11" t="s">
        <v>0</v>
      </c>
      <c r="Y569" s="11" t="s">
        <v>0</v>
      </c>
      <c r="Z569" s="11" t="s">
        <v>0</v>
      </c>
      <c r="AA569" s="11" t="s">
        <v>0</v>
      </c>
      <c r="AB569" s="11" t="s">
        <v>2003</v>
      </c>
      <c r="AC569" s="11" t="s">
        <v>0</v>
      </c>
      <c r="AD569" s="11" t="s">
        <v>0</v>
      </c>
      <c r="AE569" s="11" t="s">
        <v>0</v>
      </c>
    </row>
    <row r="570">
      <c r="B570" s="24" t="s">
        <v>5</v>
      </c>
      <c r="C570" s="12" t="s">
        <v>2335</v>
      </c>
      <c r="D570" s="11" t="s">
        <v>2338</v>
      </c>
      <c r="E570" s="11" t="s">
        <v>2340</v>
      </c>
      <c r="F570" s="12" t="s">
        <v>5</v>
      </c>
      <c r="G570" s="12" t="s">
        <v>1302</v>
      </c>
      <c r="H570" s="12" t="s">
        <v>1302</v>
      </c>
      <c r="I570" s="12" t="s">
        <v>1310</v>
      </c>
      <c r="J570" s="12" t="s">
        <v>1163</v>
      </c>
      <c r="K570" s="12" t="s">
        <v>1332</v>
      </c>
      <c r="L570" s="12" t="s">
        <v>1303</v>
      </c>
      <c r="M570" s="12" t="s">
        <v>0</v>
      </c>
      <c r="N570" s="13" t="s">
        <v>2332</v>
      </c>
      <c r="O570" s="11" t="s">
        <v>0</v>
      </c>
      <c r="P570" s="11" t="s">
        <v>0</v>
      </c>
      <c r="Q570" s="11" t="s">
        <v>0</v>
      </c>
      <c r="R570" s="11" t="s">
        <v>0</v>
      </c>
      <c r="S570" s="11" t="s">
        <v>0</v>
      </c>
      <c r="T570" s="11" t="s">
        <v>0</v>
      </c>
      <c r="U570" s="11" t="s">
        <v>1888</v>
      </c>
      <c r="V570" s="11" t="s">
        <v>0</v>
      </c>
      <c r="W570" s="11" t="s">
        <v>0</v>
      </c>
      <c r="X570" s="11" t="s">
        <v>0</v>
      </c>
      <c r="Y570" s="11" t="s">
        <v>0</v>
      </c>
      <c r="Z570" s="11" t="s">
        <v>0</v>
      </c>
      <c r="AA570" s="11" t="s">
        <v>0</v>
      </c>
      <c r="AB570" s="11" t="s">
        <v>2003</v>
      </c>
      <c r="AC570" s="11" t="s">
        <v>0</v>
      </c>
      <c r="AD570" s="11" t="s">
        <v>0</v>
      </c>
      <c r="AE570" s="11" t="s">
        <v>0</v>
      </c>
    </row>
    <row r="571">
      <c r="B571" s="24" t="s">
        <v>8</v>
      </c>
      <c r="C571" s="12" t="s">
        <v>2336</v>
      </c>
      <c r="D571" s="11" t="s">
        <v>2339</v>
      </c>
      <c r="E571" s="11" t="s">
        <v>2340</v>
      </c>
      <c r="F571" s="12" t="s">
        <v>8</v>
      </c>
      <c r="G571" s="12" t="s">
        <v>1302</v>
      </c>
      <c r="H571" s="12" t="s">
        <v>1302</v>
      </c>
      <c r="I571" s="12" t="s">
        <v>1310</v>
      </c>
      <c r="J571" s="12" t="s">
        <v>1163</v>
      </c>
      <c r="K571" s="12" t="s">
        <v>1332</v>
      </c>
      <c r="L571" s="12" t="s">
        <v>1303</v>
      </c>
      <c r="M571" s="12" t="s">
        <v>0</v>
      </c>
      <c r="N571" s="13" t="s">
        <v>2333</v>
      </c>
      <c r="O571" s="11" t="s">
        <v>0</v>
      </c>
      <c r="P571" s="11" t="s">
        <v>0</v>
      </c>
      <c r="Q571" s="11" t="s">
        <v>0</v>
      </c>
      <c r="R571" s="11" t="s">
        <v>0</v>
      </c>
      <c r="S571" s="11" t="s">
        <v>0</v>
      </c>
      <c r="T571" s="11" t="s">
        <v>0</v>
      </c>
      <c r="U571" s="11" t="s">
        <v>1888</v>
      </c>
      <c r="V571" s="11" t="s">
        <v>0</v>
      </c>
      <c r="W571" s="11" t="s">
        <v>0</v>
      </c>
      <c r="X571" s="11" t="s">
        <v>0</v>
      </c>
      <c r="Y571" s="11" t="s">
        <v>0</v>
      </c>
      <c r="Z571" s="11" t="s">
        <v>0</v>
      </c>
      <c r="AA571" s="11" t="s">
        <v>0</v>
      </c>
      <c r="AB571" s="11" t="s">
        <v>2003</v>
      </c>
      <c r="AC571" s="11" t="s">
        <v>0</v>
      </c>
      <c r="AD571" s="11" t="s">
        <v>0</v>
      </c>
      <c r="AE571" s="11" t="s">
        <v>0</v>
      </c>
    </row>
    <row r="572">
      <c r="B572" s="24" t="s">
        <v>8</v>
      </c>
      <c r="C572" s="12" t="s">
        <v>2341</v>
      </c>
      <c r="D572" s="11" t="s">
        <v>2342</v>
      </c>
      <c r="E572" s="11" t="s">
        <v>2340</v>
      </c>
      <c r="F572" s="12" t="s">
        <v>8</v>
      </c>
      <c r="G572" s="12" t="s">
        <v>1302</v>
      </c>
      <c r="H572" s="12" t="s">
        <v>1302</v>
      </c>
      <c r="I572" s="12" t="s">
        <v>1310</v>
      </c>
      <c r="J572" s="12" t="s">
        <v>1163</v>
      </c>
      <c r="K572" s="12" t="s">
        <v>1332</v>
      </c>
      <c r="L572" s="12" t="s">
        <v>1303</v>
      </c>
      <c r="M572" s="12" t="s">
        <v>0</v>
      </c>
      <c r="N572" s="13" t="s">
        <v>2343</v>
      </c>
      <c r="O572" s="11" t="s">
        <v>0</v>
      </c>
      <c r="P572" s="11" t="s">
        <v>0</v>
      </c>
      <c r="Q572" s="11" t="s">
        <v>0</v>
      </c>
      <c r="R572" s="11" t="s">
        <v>0</v>
      </c>
      <c r="S572" s="11" t="s">
        <v>0</v>
      </c>
      <c r="T572" s="11" t="s">
        <v>0</v>
      </c>
      <c r="U572" s="11" t="s">
        <v>1888</v>
      </c>
      <c r="V572" s="11" t="s">
        <v>0</v>
      </c>
      <c r="W572" s="11" t="s">
        <v>0</v>
      </c>
      <c r="X572" s="11" t="s">
        <v>0</v>
      </c>
      <c r="Y572" s="11" t="s">
        <v>0</v>
      </c>
      <c r="Z572" s="11" t="s">
        <v>2344</v>
      </c>
      <c r="AA572" s="11" t="s">
        <v>2344</v>
      </c>
      <c r="AB572" s="11" t="s">
        <v>2003</v>
      </c>
      <c r="AC572" s="11" t="s">
        <v>0</v>
      </c>
      <c r="AD572" s="11" t="s">
        <v>0</v>
      </c>
      <c r="AE572" s="11" t="s">
        <v>0</v>
      </c>
    </row>
  </sheetData>
  <autoFilter ref="B1:AE501"/>
  <conditionalFormatting sqref="C51 C71:C72 C366:C367 J51:K51 J71:K72 U72:U75 U219:U348 U386:U388 U390:U395 U438:U443 U445:U447 U449:U456 U459 U462:U464 U468:U474 U476:U479 U481:U498">
    <cfRule type="expression" dxfId="1" priority="192">
      <formula>$Q51:$Q365="APOYO"</formula>
    </cfRule>
    <cfRule type="expression" dxfId="0" priority="193">
      <formula>$G51:$G365="Sí"</formula>
    </cfRule>
  </conditionalFormatting>
  <conditionalFormatting sqref="C67:C70 J67:K70 J366:J367 J370 J373 U70:U71 V396:V403 V502:V507">
    <cfRule type="expression" dxfId="1" priority="59">
      <formula>$Q67:$Q382="APOYO"</formula>
    </cfRule>
    <cfRule type="expression" dxfId="0" priority="60">
      <formula>$G67:$G382="Sí"</formula>
    </cfRule>
  </conditionalFormatting>
  <conditionalFormatting sqref="C73:C76 C220:C340 C341:J348 C349:C356 C368:C377 C379:C403 C405:C501 C502:O507 D396:O396 D397:I397 D398:O403 F404 J73:K76 J219:K260 J330:J340 K397:O397 L341:T348 N330:N340 O330 P352:P354 Q330:T340 Q370:R370 Q396:S403 Q502:S507 T351 T357 T366:U367 T370:T373 T375:T380 T389 T405:T407 U215:U218 U508:U532 V341:AD341 V342:AA342 V343:AD348 W396:AA403 W502:AA507 AC342:AD342 AC396:AD403 AC502:AD507">
    <cfRule type="expression" dxfId="0" priority="239">
      <formula>$G73:$G386="Sí"</formula>
    </cfRule>
    <cfRule type="expression" dxfId="1" priority="238">
      <formula>$Q73:$Q386="APOYO"</formula>
    </cfRule>
  </conditionalFormatting>
  <conditionalFormatting sqref="C77:C162 D365:O365 D378:K378 D386:O387 D388:H388 D389:O395 D404 D449:H449 D450:O454 D455:J456 D459:O459 D462:O464 D468:E468 D469:O472 D473:H474 D476:O476 D477 D478:F481 D482:J501 E438:O443 E445:O445 E446:H448 F457:F458 F460:F461 F475 F477:H477 G468:J468 G478:H480 G481:J481 I446:O447 J77:K162 L366:L367 L388:O388 L448:O449 L455:O456 L468:O468 L477:O477 L481:O501 M378:O378 N473:O474 N478:O480 Q365:T365 Q378:S378 Q386:S395 Q438:S443 Q445:S456 Q459:S459 Q462:S464 Q468:S474 Q476:S501 U162:U178 U355:U356 U358:U365 V359 V363 V365:AD365 V366:V377 V378:AA378 V379:V385 V405:V437 V444 V457:V458 V460:V461 V465:V467 V475 W386:AA395 W438:AA443 W445:AA456 W459:AA459 W462:AA464 W468:AA474 W476:AA501 Y374 AC378:AD378 AC386:AD395 AC438:AD443 AC445:AD456 AC459:AD459 AC462:AD464 AC468:AD474 AC476:AD501">
    <cfRule type="expression" dxfId="0" priority="58">
      <formula>$G77:$G396="Sí"</formula>
    </cfRule>
    <cfRule type="expression" dxfId="1" priority="57">
      <formula>$Q77:$Q396="APOYO"</formula>
    </cfRule>
  </conditionalFormatting>
  <conditionalFormatting sqref="C191:C210 J191:K210">
    <cfRule type="expression" dxfId="1" priority="285">
      <formula>$Q191:$Q508="APOYO"</formula>
    </cfRule>
    <cfRule type="expression" dxfId="0" priority="284">
      <formula>$G191:$G508="Sí"</formula>
    </cfRule>
  </conditionalFormatting>
  <conditionalFormatting sqref="C33:G33 J33:S33 U33:AD33 V386:V395 V438:V443 V445:V456 V459 V462:V464 V468:V474 V476:V501 AB219 AB334 AB508:AB532">
    <cfRule type="expression" dxfId="0" priority="136">
      <formula>$G33:$G354="Sí"</formula>
    </cfRule>
    <cfRule type="expression" dxfId="1" priority="135">
      <formula>$Q33:$Q354="APOYO"</formula>
    </cfRule>
  </conditionalFormatting>
  <conditionalFormatting sqref="C34:H34 J34:S34 U76:U161 V34:AD34 V508:V533 AB342 AB351 AB357 AB370:AB371 AB373:AB385 AB389 AB396:AB399 AB401:AB402 AB404 AB408:AB437 AB444 AB457:AB458 AB460:AB461 AB465:AB467 AB475">
    <cfRule type="expression" dxfId="0" priority="140">
      <formula>$G34:$G354="Sí"</formula>
    </cfRule>
    <cfRule type="expression" dxfId="1" priority="139">
      <formula>$Q34:$Q354="APOYO"</formula>
    </cfRule>
  </conditionalFormatting>
  <conditionalFormatting sqref="C6:S6 C25:H25 J25:S25 U6:U10 U25:AD25 U26:U31 W6:Y6 AB6:AD6">
    <cfRule type="expression" dxfId="1" priority="198">
      <formula>$Q6:$Q329="APOYO"</formula>
    </cfRule>
    <cfRule type="expression" dxfId="0" priority="199">
      <formula>$G6:$G329="Sí"</formula>
    </cfRule>
  </conditionalFormatting>
  <conditionalFormatting sqref="C45:T46 D355:O364 D366:F367 I366:I367 K366:K367 M366:O367 Q355:T356 Q358:T364 Q366:S367 T368:T369 T381:T385 T408:T437 T444 T457:T458 T460:T461 T465:T467 T475 V45:AD46 V355:AD356 V357:AA357 V358:AD358 V360:AD362 V364:AD364 W359:AD359 W363:AD363 W366:AA367 AC357:AD357 AC366:AD367">
    <cfRule type="expression" dxfId="1" priority="211">
      <formula>$Q45:$Q363="APOYO"</formula>
    </cfRule>
    <cfRule type="expression" dxfId="0" priority="210">
      <formula>$G45:$G363="Sí"</formula>
    </cfRule>
  </conditionalFormatting>
  <conditionalFormatting sqref="C47:T47 C48:S48 C180:C181 D368:F370 D371:K372 D373:I373 D374:K377 D379:O385 D405:O417 D418:J419 D420:O427 D428:J428 D429:O429 D430:J430 D431:O437 D438:D443 D444:O444 D445:D448 D457:E458 D460:E461 D465:O467 D475:E475 E477 F468 G366:H369 G370:I370 G457:O458 G460:O461 G475:O475 I368:O369 I388:K388 I404 I448:K449 I473:M474 I477:K477 I478:L479 I480:J480 J180:K180 L370:M370 L371:O377 L378 L418:O419 L428:O428 L430:O430 L480 M478:M480 O370 P378 Q368:S369 Q371:S377 Q379:S385 Q405:S437 Q444:S444 Q457:S458 Q460:S461 Q465:S467 Q475:S475 S370 U51:U65 U181:U189 U210:U214 V47:AD48 W368:AA369 W370:X370 W371:AA373 W374:X374 W375:Y377 W379:AA385 W405:AA437 W444:AA444 W457:AA458 W460:AA461 W465:AA467 W475:AA475 Z370:AA370 Z374:AA377 AC368:AD377 AC379:AD385 AC405:AD437 AC444:AD444 AC457:AD458 AC460:AD461 AC465:AD467 AC475:AD475">
    <cfRule type="expression" dxfId="0" priority="213">
      <formula>$G47:$G364="Sí"</formula>
    </cfRule>
    <cfRule type="expression" dxfId="1" priority="212">
      <formula>$Q47:$Q364="APOYO"</formula>
    </cfRule>
  </conditionalFormatting>
  <conditionalFormatting sqref="D85:E86 F101 F171:F172 G85:I86 L85:T86 V85:AD86 Z93:AA93 AD404">
    <cfRule type="expression" dxfId="1" priority="162">
      <formula>$Q85:$Q347="APOYO"</formula>
    </cfRule>
    <cfRule type="expression" dxfId="0" priority="163">
      <formula>$G85:$G347="Sí"</formula>
    </cfRule>
  </conditionalFormatting>
  <conditionalFormatting sqref="D111:E112 D129:I132 L129:T132 V129:AD132">
    <cfRule type="expression" dxfId="1" priority="215">
      <formula>$Q111:$Q364="APOYO"</formula>
    </cfRule>
    <cfRule type="expression" dxfId="0" priority="214">
      <formula>$G111:$G364="Sí"</formula>
    </cfRule>
  </conditionalFormatting>
  <conditionalFormatting sqref="D113:E113 G113 I113 L113:S113 V113:AD113">
    <cfRule type="expression" dxfId="1" priority="182">
      <formula>$Q113:$Q365="APOYO"</formula>
    </cfRule>
    <cfRule type="expression" dxfId="0" priority="183">
      <formula>$G113:$G365="Sí"</formula>
    </cfRule>
  </conditionalFormatting>
  <conditionalFormatting sqref="D171:E171 G171:I171 L171:T171 V171:AD171">
    <cfRule type="expression" dxfId="1" priority="158">
      <formula>$Q171:$Q354="APOYO"</formula>
    </cfRule>
    <cfRule type="expression" dxfId="0" priority="159">
      <formula>$G171:$G354="Sí"</formula>
    </cfRule>
  </conditionalFormatting>
  <conditionalFormatting sqref="D172:E172 D173:I180 G172:I172 L172:T179 L180:S180 V172:AD179 V180:AA180 AC180:AD180">
    <cfRule type="expression" dxfId="1" priority="216">
      <formula>$Q172:$Q354="APOYO"</formula>
    </cfRule>
    <cfRule type="expression" dxfId="0" priority="217">
      <formula>$G172:$G354="Sí"</formula>
    </cfRule>
  </conditionalFormatting>
  <conditionalFormatting sqref="D508:E533 L508:O533 Q508:S533 W508:AA533 AC508:AD533">
    <cfRule type="expression" dxfId="1" priority="25">
      <formula>$Q508:$Q826="APOYO"</formula>
    </cfRule>
    <cfRule type="expression" dxfId="0" priority="26">
      <formula>$G508:$G826="Sí"</formula>
    </cfRule>
  </conditionalFormatting>
  <conditionalFormatting sqref="D97:F100 D101:E101 D102:F106 D139:I139 G97:I106 G111:G112 I111:I112 L97:T106 L111:T112 L139:T139 V97:AD106 V111:AD112 V139:AD139">
    <cfRule type="expression" dxfId="0" priority="168">
      <formula>$G97:$G354="Sí"</formula>
    </cfRule>
    <cfRule type="expression" dxfId="1" priority="169">
      <formula>$Q97:$Q354="APOYO"</formula>
    </cfRule>
  </conditionalFormatting>
  <conditionalFormatting sqref="D114:F119 D120:E120 D121:F125 D126:E126 D127:I128 G114:I126 L114:T128 V114:AD120 V121:AA121 V122:AD128 AC121:AD121">
    <cfRule type="expression" dxfId="1" priority="201">
      <formula>$Q114:$Q368="APOYO"</formula>
    </cfRule>
    <cfRule type="expression" dxfId="0" priority="202">
      <formula>$G114:$G368="Sí"</formula>
    </cfRule>
  </conditionalFormatting>
  <conditionalFormatting sqref="D286:F286 D287:E287 D288:I300 D301:H303 D304:I307 D308:H308 D309:I309 D310:H311 D312:I340 G286:I287 L286:T307 L308:S308 L309:T309 L310:S311 L312:T329 L330:M340 O331:O338 O339:P340 P330:P338 V286:AD317 V318:AA318 V319:AD333 V334:AA334 V335:AD336 V337:AA337 V338:AD340 AC318:AD318 AC334:AD334 AC337:AD337">
    <cfRule type="expression" dxfId="1" priority="245">
      <formula>$Q286:$Q396="APOYO"</formula>
    </cfRule>
    <cfRule type="expression" dxfId="0" priority="244">
      <formula>$G286:$G396="Sí"</formula>
    </cfRule>
  </conditionalFormatting>
  <conditionalFormatting sqref="C35:C44 C49:T50 D35:G35 D36:S37 D38:H41 D42:T42 D43:S43 D44:T44 J35:S35 J38 J39:S40 J41:T41 L38:S38 U44:U45 V35:AD44 V49:AA49 V50:AD50 AC49:AD49">
    <cfRule type="expression" dxfId="0" priority="151">
      <formula>$G35:$G354="Sí"</formula>
    </cfRule>
  </conditionalFormatting>
  <conditionalFormatting sqref="C35:C44 C49:T50 D35:G35 D36:S37 D38:H41 D42:T42 D43:S43 D44:T44 J38 J39:S40 J41:T41 L38:S38 U44:U45 V35:AD44 V49:AA49 V50:AD50 AC49:AD49">
    <cfRule type="expression" dxfId="1" priority="138">
      <formula>$Q35:$Q354="APOYO"</formula>
    </cfRule>
  </conditionalFormatting>
  <conditionalFormatting sqref="C26:C32 D26:H26 D27:F27 D28:H28 D29:T29 D30:H32 J26:T26 J28 J30:S32 L28:T28 T63:T64 U32:AA32 V26:AD29 V30:AA30 V31:AD31 AC30:AD30 AC32:AD32">
    <cfRule type="expression" dxfId="1" priority="223">
      <formula>$Q26:$Q348="APOYO"</formula>
    </cfRule>
    <cfRule type="expression" dxfId="0" priority="218">
      <formula>$G26:$G348="Sí"</formula>
    </cfRule>
  </conditionalFormatting>
  <conditionalFormatting sqref="D51:I51 L51:T51 V51:AD51">
    <cfRule type="expression" dxfId="1" priority="115">
      <formula>$Q51:$Q329="APOYO"</formula>
    </cfRule>
    <cfRule type="expression" dxfId="0" priority="116">
      <formula>$G51:$G329="Sí"</formula>
    </cfRule>
  </conditionalFormatting>
  <conditionalFormatting sqref="D59:I59 L59:T59 V59:AD59">
    <cfRule type="expression" dxfId="1" priority="100">
      <formula>$Q59:$Q329="APOYO"</formula>
    </cfRule>
    <cfRule type="expression" dxfId="0" priority="101">
      <formula>$G59:$G329="Sí"</formula>
    </cfRule>
  </conditionalFormatting>
  <conditionalFormatting sqref="D60:I60 L60:T60 V60:AD60">
    <cfRule type="expression" dxfId="1" priority="107">
      <formula>$Q60:$Q329="APOYO"</formula>
    </cfRule>
    <cfRule type="expression" dxfId="0" priority="108">
      <formula>$G60:$G329="Sí"</formula>
    </cfRule>
  </conditionalFormatting>
  <conditionalFormatting sqref="D61:I61 D62:H62 D63:I63 L61:T62 L63:S63 T149 T151 V61:AD63">
    <cfRule type="expression" dxfId="1" priority="166">
      <formula>$Q61:$Q329="APOYO"</formula>
    </cfRule>
    <cfRule type="expression" dxfId="0" priority="167">
      <formula>$G61:$G329="Sí"</formula>
    </cfRule>
  </conditionalFormatting>
  <conditionalFormatting sqref="D64:I64 F84:F86 L64:S64 V64:AD64">
    <cfRule type="expression" dxfId="1" priority="102">
      <formula>$Q64:$Q329="APOYO"</formula>
    </cfRule>
    <cfRule type="expression" dxfId="0" priority="103">
      <formula>$G64:$G329="Sí"</formula>
    </cfRule>
  </conditionalFormatting>
  <conditionalFormatting sqref="D65:I65 L65:T65 V65:AD65 AB269 AB318 AB337 AB366:AB369 AB372 AB405:AB407 AB448 AB480 AB499:AB501 AB503 AB505:AB507">
    <cfRule type="expression" dxfId="1" priority="109">
      <formula>$Q65:$Q329="APOYO"</formula>
    </cfRule>
    <cfRule type="expression" dxfId="0" priority="110">
      <formula>$G65:$G329="Sí"</formula>
    </cfRule>
  </conditionalFormatting>
  <conditionalFormatting sqref="D87:I87 L87:T87 V87:AD87">
    <cfRule type="expression" dxfId="1" priority="130">
      <formula>$Q87:$Q348="APOYO"</formula>
    </cfRule>
    <cfRule type="expression" dxfId="0" priority="123">
      <formula>$G87:$G348="Sí"</formula>
    </cfRule>
  </conditionalFormatting>
  <conditionalFormatting sqref="D95:I95 L95:T95 V95:AD95">
    <cfRule type="expression" dxfId="0" priority="145">
      <formula>$G95:$G354="Sí"</formula>
    </cfRule>
    <cfRule type="expression" dxfId="1" priority="146">
      <formula>$Q95:$Q354="APOYO"</formula>
    </cfRule>
  </conditionalFormatting>
  <conditionalFormatting sqref="D96:I96 L96:T96 V96:AD96">
    <cfRule type="expression" dxfId="0" priority="156">
      <formula>$G96:$G354="Sí"</formula>
    </cfRule>
    <cfRule type="expression" dxfId="1" priority="157">
      <formula>$Q96:$Q354="APOYO"</formula>
    </cfRule>
  </conditionalFormatting>
  <conditionalFormatting sqref="D107:I108 L107:T108 V107:AD108">
    <cfRule type="expression" dxfId="0" priority="219">
      <formula>$G107:$G363="Sí"</formula>
    </cfRule>
    <cfRule type="expression" dxfId="1" priority="220">
      <formula>$Q107:$Q363="APOYO"</formula>
    </cfRule>
  </conditionalFormatting>
  <conditionalFormatting sqref="D109:I110 L109:T110 V109:AD110">
    <cfRule type="expression" dxfId="0" priority="174">
      <formula>$G109:$G364="Sí"</formula>
    </cfRule>
    <cfRule type="expression" dxfId="1" priority="175">
      <formula>$Q109:$Q364="APOYO"</formula>
    </cfRule>
  </conditionalFormatting>
  <conditionalFormatting sqref="D133:I134 L133:T134 V133:AD134">
    <cfRule type="expression" dxfId="1" priority="235">
      <formula>$Q133:$Q385="APOYO"</formula>
    </cfRule>
    <cfRule type="expression" dxfId="0" priority="234">
      <formula>$G133:$G385="Sí"</formula>
    </cfRule>
  </conditionalFormatting>
  <conditionalFormatting sqref="D135:I138 L135:T138 O336:O340 V135:AD138">
    <cfRule type="expression" dxfId="0" priority="232">
      <formula>$G135:$G386="Sí"</formula>
    </cfRule>
    <cfRule type="expression" dxfId="1" priority="233">
      <formula>$Q135:$Q386="APOYO"</formula>
    </cfRule>
  </conditionalFormatting>
  <conditionalFormatting sqref="D140:I140 L140:T140 V140:AD140">
    <cfRule type="expression" dxfId="0" priority="112">
      <formula>$G140:$G329="Sí"</formula>
    </cfRule>
    <cfRule type="expression" dxfId="1" priority="111">
      <formula>$Q140:$Q329="APOYO"</formula>
    </cfRule>
  </conditionalFormatting>
  <conditionalFormatting sqref="D160:I161 L160:S161 W160:AD161">
    <cfRule type="expression" dxfId="1" priority="91">
      <formula>$Q160:$Q347="APOYO"</formula>
    </cfRule>
    <cfRule type="expression" dxfId="0" priority="92">
      <formula>$G160:$G347="Sí"</formula>
    </cfRule>
  </conditionalFormatting>
  <conditionalFormatting sqref="D162:I162">
    <cfRule type="expression" dxfId="0" priority="132">
      <formula>$G162:$G348="Sí"</formula>
    </cfRule>
    <cfRule type="expression" dxfId="1" priority="131">
      <formula>$Q162:$Q348="APOYO"</formula>
    </cfRule>
  </conditionalFormatting>
  <conditionalFormatting sqref="D170:I170 L170:T170 V170:AD170">
    <cfRule type="expression" dxfId="0" priority="148">
      <formula>$G170:$G354="Sí"</formula>
    </cfRule>
    <cfRule type="expression" dxfId="1" priority="147">
      <formula>$Q170:$Q354="APOYO"</formula>
    </cfRule>
  </conditionalFormatting>
  <conditionalFormatting sqref="D181:I182 D187:G187 D188:I188 I187 I265:I273 L181:T182 L187:T188 V181:AD182 V187:AD188">
    <cfRule type="expression" dxfId="1" priority="170">
      <formula>$Q181:$Q362="APOYO"</formula>
    </cfRule>
    <cfRule type="expression" dxfId="0" priority="171">
      <formula>$G181:$G362="Sí"</formula>
    </cfRule>
  </conditionalFormatting>
  <conditionalFormatting sqref="D183:I184 I301:I303 I308 I310:I311 L183:T184 V183:AD184">
    <cfRule type="expression" dxfId="0" priority="177">
      <formula>$G183:$G363="Sí"</formula>
    </cfRule>
    <cfRule type="expression" dxfId="1" priority="176">
      <formula>$Q183:$Q363="APOYO"</formula>
    </cfRule>
  </conditionalFormatting>
  <conditionalFormatting sqref="D185:I186 L185:T186 V185:AD186">
    <cfRule type="expression" dxfId="1" priority="186">
      <formula>$Q185:$Q364="APOYO"</formula>
    </cfRule>
    <cfRule type="expression" dxfId="0" priority="187">
      <formula>$G185:$G364="Sí"</formula>
    </cfRule>
  </conditionalFormatting>
  <conditionalFormatting sqref="D189:I189 D209:I210 L209:S209 V189:AD189 V209:AD210">
    <cfRule type="expression" dxfId="1" priority="75">
      <formula>$Q189:$Q365="APOYO"</formula>
    </cfRule>
    <cfRule type="expression" dxfId="0" priority="76">
      <formula>$G189:$G365="Sí"</formula>
    </cfRule>
  </conditionalFormatting>
  <conditionalFormatting sqref="D212:I212 D219:I230 L212:T212 L219:T230 V212:AD212 V219:AA220 V221:AD230 AC219:AD220">
    <cfRule type="expression" dxfId="1" priority="104">
      <formula>$Q212:$Q329="APOYO"</formula>
    </cfRule>
    <cfRule type="expression" dxfId="0" priority="105">
      <formula>$G212:$G329="Sí"</formula>
    </cfRule>
  </conditionalFormatting>
  <conditionalFormatting sqref="D213:I218 D231:I232 L213:T218 L231:T232 V213:AD218 V231:AD232">
    <cfRule type="expression" dxfId="1" priority="121">
      <formula>$Q213:$Q329="APOYO"</formula>
    </cfRule>
    <cfRule type="expression" dxfId="0" priority="122">
      <formula>$G213:$G329="Sí"</formula>
    </cfRule>
  </conditionalFormatting>
  <conditionalFormatting sqref="D233:I233 L233:T233 V233:AD233">
    <cfRule type="expression" dxfId="1" priority="126">
      <formula>$Q233:$Q348="APOYO"</formula>
    </cfRule>
    <cfRule type="expression" dxfId="0" priority="127">
      <formula>$G233:$G348="Sí"</formula>
    </cfRule>
  </conditionalFormatting>
  <conditionalFormatting sqref="D241:I241 L241:T241 V241:AD241">
    <cfRule type="expression" dxfId="0" priority="94">
      <formula>$G241:$G354="Sí"</formula>
    </cfRule>
    <cfRule type="expression" dxfId="1" priority="93">
      <formula>$Q241:$Q354="APOYO"</formula>
    </cfRule>
  </conditionalFormatting>
  <conditionalFormatting sqref="D242:I242 L242:T242 V242:AD242 Y370">
    <cfRule type="expression" dxfId="0" priority="150">
      <formula>$G242:$G354="Sí"</formula>
    </cfRule>
    <cfRule type="expression" dxfId="1" priority="149">
      <formula>$Q242:$Q354="APOYO"</formula>
    </cfRule>
  </conditionalFormatting>
  <conditionalFormatting sqref="D243:I252 D257:I258 L243:T252 L257:S257 L258:T258 V243:AD252 V257:AD258">
    <cfRule type="expression" dxfId="1" priority="160">
      <formula>$Q243:$Q354="APOYO"</formula>
    </cfRule>
    <cfRule type="expression" dxfId="0" priority="161">
      <formula>$G243:$G354="Sí"</formula>
    </cfRule>
  </conditionalFormatting>
  <conditionalFormatting sqref="D255:I256 L255:T256 V255:AD256">
    <cfRule type="expression" dxfId="1" priority="188">
      <formula>$Q255:$Q364="APOYO"</formula>
    </cfRule>
    <cfRule type="expression" dxfId="0" priority="189">
      <formula>$G255:$G364="Sí"</formula>
    </cfRule>
  </conditionalFormatting>
  <conditionalFormatting sqref="D259:I259 L259:T259 V259:AD259">
    <cfRule type="expression" dxfId="0" priority="181">
      <formula>$G259:$G365="Sí"</formula>
    </cfRule>
    <cfRule type="expression" dxfId="1" priority="180">
      <formula>$Q259:$Q365="APOYO"</formula>
    </cfRule>
  </conditionalFormatting>
  <conditionalFormatting sqref="D260:I260 L260:T260 V260:AD260">
    <cfRule type="expression" dxfId="1" priority="203">
      <formula>$Q260:$Q368="APOYO"</formula>
    </cfRule>
    <cfRule type="expression" dxfId="0" priority="204">
      <formula>$G260:$G368="Sí"</formula>
    </cfRule>
  </conditionalFormatting>
  <conditionalFormatting sqref="D276:I279 L276:T279 V276:AD279">
    <cfRule type="expression" dxfId="0" priority="230">
      <formula>$G276:$G382="Sí"</formula>
    </cfRule>
    <cfRule type="expression" dxfId="1" priority="231">
      <formula>$Q276:$Q382="APOYO"</formula>
    </cfRule>
  </conditionalFormatting>
  <conditionalFormatting sqref="D280:I281 L280:T281 V280:AD281">
    <cfRule type="expression" dxfId="0" priority="97">
      <formula>$G280:$G385="Sí"</formula>
    </cfRule>
    <cfRule type="expression" dxfId="1" priority="229">
      <formula>$Q280:$Q385="APOYO"</formula>
    </cfRule>
  </conditionalFormatting>
  <conditionalFormatting sqref="D282:I285 L282:T285 V282:AD285">
    <cfRule type="expression" dxfId="0" priority="240">
      <formula>$G282:$G386="Sí"</formula>
    </cfRule>
    <cfRule type="expression" dxfId="1" priority="241">
      <formula>$Q282:$Q386="APOYO"</formula>
    </cfRule>
  </conditionalFormatting>
  <conditionalFormatting sqref="D534:I536">
    <cfRule type="expression" dxfId="1" priority="12">
      <formula>$Q534:$Q644="APOYO"</formula>
    </cfRule>
    <cfRule type="expression" dxfId="0" priority="11">
      <formula>$G534:$G644="Sí"</formula>
    </cfRule>
  </conditionalFormatting>
  <conditionalFormatting sqref="F111:F113 F120 S404">
    <cfRule type="expression" dxfId="0" priority="222">
      <formula>$G111:$G370="Sí"</formula>
    </cfRule>
    <cfRule type="expression" dxfId="1" priority="221">
      <formula>$Q111:$Q370="APOYO"</formula>
    </cfRule>
  </conditionalFormatting>
  <conditionalFormatting sqref="F126 L404">
    <cfRule type="expression" dxfId="1" priority="190">
      <formula>$Q126:$Q384="APOYO"</formula>
    </cfRule>
    <cfRule type="expression" dxfId="0" priority="191">
      <formula>$G126:$G384="Sí"</formula>
    </cfRule>
  </conditionalFormatting>
  <conditionalFormatting sqref="F192">
    <cfRule type="expression" dxfId="0" priority="247">
      <formula>$G192:$G453="Sí"</formula>
    </cfRule>
    <cfRule type="expression" dxfId="1" priority="246">
      <formula>$Q192:$Q453="APOYO"</formula>
    </cfRule>
  </conditionalFormatting>
  <conditionalFormatting sqref="F287">
    <cfRule type="expression" dxfId="0" priority="281">
      <formula>$G287:$G542="Sí"</formula>
    </cfRule>
    <cfRule type="expression" dxfId="1" priority="280">
      <formula>$Q287:$Q542="APOYO"</formula>
    </cfRule>
  </conditionalFormatting>
  <conditionalFormatting sqref="G27">
    <cfRule type="expression" dxfId="0" priority="35">
      <formula>$G27:$G284="Sí"</formula>
    </cfRule>
    <cfRule type="expression" dxfId="1" priority="36">
      <formula>$Q27:$Q284="APOYO"</formula>
    </cfRule>
  </conditionalFormatting>
  <conditionalFormatting sqref="G190">
    <cfRule type="expression" dxfId="0" priority="40">
      <formula>$G190:$G371="Sí"</formula>
    </cfRule>
    <cfRule type="expression" dxfId="1" priority="39">
      <formula>$Q190:$Q371="APOYO"</formula>
    </cfRule>
  </conditionalFormatting>
  <conditionalFormatting sqref="G404:H404">
    <cfRule type="expression" dxfId="0" priority="259">
      <formula>$G404:$G662="Sí"</formula>
    </cfRule>
    <cfRule type="expression" dxfId="1" priority="258">
      <formula>$Q404:$Q662="APOYO"</formula>
    </cfRule>
  </conditionalFormatting>
  <conditionalFormatting sqref="H33">
    <cfRule type="expression" dxfId="1" priority="48">
      <formula>$Q33:$Q355="APOYO"</formula>
    </cfRule>
    <cfRule type="expression" dxfId="0" priority="47">
      <formula>$G33:$G355="Sí"</formula>
    </cfRule>
  </conditionalFormatting>
  <conditionalFormatting sqref="H35">
    <cfRule type="expression" dxfId="1" priority="46">
      <formula>$Q35:$Q357="APOYO"</formula>
    </cfRule>
    <cfRule type="expression" dxfId="0" priority="45">
      <formula>$G35:$G357="Sí"</formula>
    </cfRule>
  </conditionalFormatting>
  <conditionalFormatting sqref="H111:H113">
    <cfRule type="expression" dxfId="1" priority="44">
      <formula>$Q111:$Q433="APOYO"</formula>
    </cfRule>
    <cfRule type="expression" dxfId="0" priority="43">
      <formula>$G111:$G433="Sí"</formula>
    </cfRule>
  </conditionalFormatting>
  <conditionalFormatting sqref="H187">
    <cfRule type="expression" dxfId="0" priority="41">
      <formula>$G187:$G510="Sí"</formula>
    </cfRule>
    <cfRule type="expression" dxfId="1" priority="42">
      <formula>$Q187:$Q510="APOYO"</formula>
    </cfRule>
  </conditionalFormatting>
  <conditionalFormatting sqref="H190">
    <cfRule type="expression" dxfId="0" priority="37">
      <formula>$G190:$G513="Sí"</formula>
    </cfRule>
    <cfRule type="expression" dxfId="1" priority="38">
      <formula>$Q190:$Q513="APOYO"</formula>
    </cfRule>
  </conditionalFormatting>
  <conditionalFormatting sqref="H509:J533">
    <cfRule type="expression" dxfId="0" priority="24">
      <formula>$G509:$G827="Sí"</formula>
    </cfRule>
    <cfRule type="expression" dxfId="1" priority="23">
      <formula>$Q509:$Q827="APOYO"</formula>
    </cfRule>
  </conditionalFormatting>
  <conditionalFormatting sqref="H27:T27">
    <cfRule type="expression" dxfId="0" priority="33">
      <formula>$G27:$G349="Sí"</formula>
    </cfRule>
    <cfRule type="expression" dxfId="1" priority="34">
      <formula>$Q27:$Q349="APOYO"</formula>
    </cfRule>
  </conditionalFormatting>
  <conditionalFormatting sqref="D205:I208 I25:I26 I28 L205:T207 L208:S208 V205:AD208">
    <cfRule type="expression" dxfId="0" priority="74">
      <formula>$G25:$G202="Sí"</formula>
    </cfRule>
    <cfRule type="expression" dxfId="1" priority="73">
      <formula>$Q25:$Q202="APOYO"</formula>
    </cfRule>
  </conditionalFormatting>
  <conditionalFormatting sqref="I41">
    <cfRule type="expression" dxfId="1" priority="207">
      <formula>$Q41:$Q368="APOYO"</formula>
    </cfRule>
    <cfRule type="expression" dxfId="0" priority="208">
      <formula>$G41:$G368="Sí"</formula>
    </cfRule>
  </conditionalFormatting>
  <conditionalFormatting sqref="I62">
    <cfRule type="expression" dxfId="0" priority="64">
      <formula>$G62:$G239="Sí"</formula>
    </cfRule>
    <cfRule type="expression" dxfId="1" priority="63">
      <formula>$Q62:$Q239="APOYO"</formula>
    </cfRule>
  </conditionalFormatting>
  <conditionalFormatting sqref="D190:F191 D192:E192 D193:I204 G191:I192 I190 L190:S197 L198:T204 V190:AD204">
    <cfRule type="expression" dxfId="1" priority="77">
      <formula>$Q190:$Q368="APOYO"</formula>
    </cfRule>
    <cfRule type="expression" dxfId="0" priority="78">
      <formula>$G190:$G368="Sí"</formula>
    </cfRule>
  </conditionalFormatting>
  <conditionalFormatting sqref="I23:I24 I30:I35 I38:I40 J13 U22:U23">
    <cfRule type="expression" dxfId="0" priority="96">
      <formula>$G13:$G338="Sí"</formula>
    </cfRule>
    <cfRule type="expression" dxfId="1" priority="95">
      <formula>$Q13:$Q338="APOYO"</formula>
    </cfRule>
  </conditionalFormatting>
  <conditionalFormatting sqref="J397">
    <cfRule type="expression" dxfId="1" priority="265">
      <formula>$Q397:$Q709="APOYO"</formula>
    </cfRule>
    <cfRule type="expression" dxfId="0" priority="264">
      <formula>$G397:$G709="Sí"</formula>
    </cfRule>
  </conditionalFormatting>
  <conditionalFormatting sqref="C52:C66 C182:C190 C211:C215 J52:K61 J63:K66 J181:K190 J211:K215 U66:U69">
    <cfRule type="expression" dxfId="1" priority="154">
      <formula>$Q52:$Q368="APOYO"</formula>
    </cfRule>
    <cfRule type="expression" dxfId="0" priority="155">
      <formula>$G52:$G368="Sí"</formula>
    </cfRule>
  </conditionalFormatting>
  <conditionalFormatting sqref="J62:K62">
    <cfRule type="expression" dxfId="0" priority="196">
      <formula>$G62:$G383="Sí"</formula>
    </cfRule>
    <cfRule type="expression" dxfId="1" priority="197">
      <formula>$Q62:$Q383="APOYO"</formula>
    </cfRule>
  </conditionalFormatting>
  <conditionalFormatting sqref="C216:C219 J216:K218 J261:K329 K330:K340 K418:K419 K428 K430 K455:K456 K468 K480:K501 U368:U385 U405:U437 U444 U448 U457:U458 U460:U461 U465:U467 U475 U480">
    <cfRule type="expression" dxfId="0" priority="292">
      <formula>$G216:$G528="Sí"</formula>
    </cfRule>
    <cfRule type="expression" dxfId="1" priority="293">
      <formula>$Q216:$Q528="APOYO"</formula>
    </cfRule>
  </conditionalFormatting>
  <conditionalFormatting sqref="J404:K404">
    <cfRule type="expression" dxfId="1" priority="254">
      <formula>$Q404:$Q714="APOYO"</formula>
    </cfRule>
    <cfRule type="expression" dxfId="0" priority="255">
      <formula>$G404:$G714="Sí"</formula>
    </cfRule>
  </conditionalFormatting>
  <conditionalFormatting sqref="J534:K536">
    <cfRule type="expression" dxfId="0" priority="17">
      <formula>$G534:$G846="Sí"</formula>
    </cfRule>
    <cfRule type="expression" dxfId="1" priority="18">
      <formula>$Q534:$Q846="APOYO"</formula>
    </cfRule>
  </conditionalFormatting>
  <conditionalFormatting sqref="J35:S35">
    <cfRule type="expression" dxfId="1" priority="137">
      <formula>$Q35:$Q354="APOYO"</formula>
    </cfRule>
  </conditionalFormatting>
  <conditionalFormatting sqref="C13:C20 C23:H24 D11:J12 D13:I13 D14:J20 J23:T23 J24:S24 L12:T20 U24 V11:AA11 V12:AD20 V23:AD24 AC11:AD11">
    <cfRule type="expression" dxfId="0" priority="129">
      <formula>$G11:$G335="Sí"</formula>
    </cfRule>
  </conditionalFormatting>
  <conditionalFormatting sqref="J23:T23">
    <cfRule type="expression" dxfId="1" priority="128">
      <formula>$Q23:$Q347="APOYO"</formula>
    </cfRule>
  </conditionalFormatting>
  <conditionalFormatting sqref="K7:K10 K28">
    <cfRule type="expression" dxfId="0" priority="153">
      <formula>$G6:$G329="Sí"</formula>
    </cfRule>
    <cfRule type="expression" dxfId="1" priority="152">
      <formula>$Q6:$Q329="APOYO"</formula>
    </cfRule>
  </conditionalFormatting>
  <conditionalFormatting sqref="K11">
    <cfRule type="expression" dxfId="0" priority="200">
      <formula>$G11:$G335="Sí"</formula>
    </cfRule>
  </conditionalFormatting>
  <conditionalFormatting sqref="K12:K20">
    <cfRule type="expression" dxfId="1" priority="224">
      <formula>$Q11:$Q336="APOYO"</formula>
    </cfRule>
    <cfRule type="expression" dxfId="0" priority="225">
      <formula>$G11:$G336="Sí"</formula>
    </cfRule>
  </conditionalFormatting>
  <conditionalFormatting sqref="K38">
    <cfRule type="expression" dxfId="1" priority="194">
      <formula>$Q37:$Q357="APOYO"</formula>
    </cfRule>
    <cfRule type="expression" dxfId="0" priority="195">
      <formula>$G37:$G357="Sí"</formula>
    </cfRule>
  </conditionalFormatting>
  <conditionalFormatting sqref="K341:K348">
    <cfRule type="expression" dxfId="0" priority="295">
      <formula>$G340:$G654="Sí"</formula>
    </cfRule>
    <cfRule type="expression" dxfId="1" priority="294">
      <formula>$Q340:$Q654="APOYO"</formula>
    </cfRule>
  </conditionalFormatting>
  <conditionalFormatting sqref="K370 K373">
    <cfRule type="expression" dxfId="1" priority="268">
      <formula>$Q370:$Q688="APOYO"</formula>
    </cfRule>
    <cfRule type="expression" dxfId="0" priority="269">
      <formula>$G370:$G688="Sí"</formula>
    </cfRule>
    <cfRule type="expression" dxfId="0" priority="271">
      <formula>$G370:$G688="Sí"</formula>
    </cfRule>
    <cfRule type="expression" dxfId="1" priority="270">
      <formula>$Q370:$Q688="APOYO"</formula>
    </cfRule>
  </conditionalFormatting>
  <conditionalFormatting sqref="K508:K533">
    <cfRule type="expression" dxfId="0" priority="266">
      <formula>$G508:$G819="Sí"</formula>
    </cfRule>
    <cfRule type="expression" dxfId="1" priority="267">
      <formula>$Q508:$Q819="APOYO"</formula>
    </cfRule>
  </conditionalFormatting>
  <conditionalFormatting sqref="K11:S11">
    <cfRule type="expression" dxfId="1" priority="173">
      <formula>$Q11:$Q335="APOYO"</formula>
    </cfRule>
  </conditionalFormatting>
  <conditionalFormatting sqref="L11:S11">
    <cfRule type="expression" dxfId="0" priority="172">
      <formula>$G11:$G335="Sí"</formula>
    </cfRule>
  </conditionalFormatting>
  <conditionalFormatting sqref="D88:I94 L88:S89 L90:T94 V88:AD92 V93:Y93 V94:AD94 AB93:AD93">
    <cfRule type="expression" dxfId="1" priority="144">
      <formula>$Q88:$Q348="APOYO"</formula>
    </cfRule>
    <cfRule type="expression" dxfId="0" priority="143">
      <formula>$G88:$G348="Sí"</formula>
    </cfRule>
  </conditionalFormatting>
  <conditionalFormatting sqref="L162:S162 W162:AD162">
    <cfRule type="expression" dxfId="0" priority="125">
      <formula>$G162:$G348="Sí"</formula>
    </cfRule>
    <cfRule type="expression" dxfId="1" priority="124">
      <formula>$Q162:$Q348="APOYO"</formula>
    </cfRule>
  </conditionalFormatting>
  <conditionalFormatting sqref="D261:F275 G261:I264 G265:H273 G274:I275 L261:S261 L262:T264 L265:S273 L274:T275 V261:AD268 V269:AA269 V270:AD275 AC269:AD269">
    <cfRule type="expression" dxfId="0" priority="114">
      <formula>$G261:$G368="Sí"</formula>
    </cfRule>
    <cfRule type="expression" dxfId="1" priority="113">
      <formula>$Q261:$Q368="APOYO"</formula>
    </cfRule>
  </conditionalFormatting>
  <conditionalFormatting sqref="L534:S536 V534:Y536 AC534:AD536">
    <cfRule type="expression" dxfId="0" priority="15">
      <formula>$G534:$G644="Sí"</formula>
    </cfRule>
    <cfRule type="expression" dxfId="1" priority="16">
      <formula>$Q534:$Q644="APOYO"</formula>
    </cfRule>
  </conditionalFormatting>
  <conditionalFormatting sqref="D52:I58 L52:T53 L54:S54 L55:T57 L58:S58 V52:AD58">
    <cfRule type="expression" dxfId="0" priority="165">
      <formula>$G52:$G329="Sí"</formula>
    </cfRule>
    <cfRule type="expression" dxfId="1" priority="164">
      <formula>$Q52:$Q329="APOYO"</formula>
    </cfRule>
  </conditionalFormatting>
  <conditionalFormatting sqref="D66:F83 D84:E84 G66:I84 L66:T69 L70:S70 L71:T80 L81:S81 L82:T84 T88:T89 V66:AD84">
    <cfRule type="expression" dxfId="1" priority="117">
      <formula>$Q66:$Q329="APOYO"</formula>
    </cfRule>
    <cfRule type="expression" dxfId="0" priority="118">
      <formula>$G66:$G329="Sí"</formula>
    </cfRule>
  </conditionalFormatting>
  <conditionalFormatting sqref="D141:I159 L141:T148 L149:S149 L150:T150 L151:S154 L155:T155 L156:S159 V141:AD159 V160:V166">
    <cfRule type="expression" dxfId="1" priority="119">
      <formula>$Q141:$Q329="APOYO"</formula>
    </cfRule>
    <cfRule type="expression" dxfId="0" priority="120">
      <formula>$G141:$G329="Sí"</formula>
    </cfRule>
  </conditionalFormatting>
  <conditionalFormatting sqref="L189:T189">
    <cfRule type="expression" dxfId="0" priority="185">
      <formula>$G189:$G365="Sí"</formula>
    </cfRule>
    <cfRule type="expression" dxfId="1" priority="184">
      <formula>$Q189:$Q365="APOYO"</formula>
    </cfRule>
  </conditionalFormatting>
  <conditionalFormatting sqref="D211:I211 L210:T211 V211:AD211">
    <cfRule type="expression" dxfId="1" priority="236">
      <formula>$Q210:$Q385="APOYO"</formula>
    </cfRule>
    <cfRule type="expression" dxfId="0" priority="237">
      <formula>$G210:$G385="Sí"</formula>
    </cfRule>
  </conditionalFormatting>
  <conditionalFormatting sqref="O331">
    <cfRule type="expression" dxfId="1" priority="263">
      <formula>$Q331:$Q582="APOYO"</formula>
    </cfRule>
    <cfRule type="expression" dxfId="0" priority="262">
      <formula>$G331:$G582="Sí"</formula>
    </cfRule>
  </conditionalFormatting>
  <conditionalFormatting sqref="P365">
    <cfRule type="expression" dxfId="0" priority="32">
      <formula>$G365:$G682="Sí"</formula>
    </cfRule>
    <cfRule type="expression" dxfId="1" priority="31">
      <formula>$Q365:$Q682="APOYO"</formula>
    </cfRule>
  </conditionalFormatting>
  <conditionalFormatting sqref="P366:P367 P508:P533">
    <cfRule type="expression" dxfId="0" priority="27">
      <formula>$G366:$G682="Sí"</formula>
    </cfRule>
    <cfRule type="expression" dxfId="1" priority="28">
      <formula>$Q366:$Q682="APOYO"</formula>
    </cfRule>
  </conditionalFormatting>
  <conditionalFormatting sqref="P386:P395 P438:P443 P445:P456 P459 P462:P464 P468:P474 P476:P501">
    <cfRule type="expression" dxfId="0" priority="282">
      <formula>$G386:$G703="Sí"</formula>
    </cfRule>
    <cfRule type="expression" dxfId="1" priority="283">
      <formula>$Q386:$Q703="APOYO"</formula>
    </cfRule>
  </conditionalFormatting>
  <conditionalFormatting sqref="P396:P403 P502:P507">
    <cfRule type="expression" dxfId="1" priority="297">
      <formula>$Q396:$Q707="APOYO"</formula>
    </cfRule>
    <cfRule type="expression" dxfId="0" priority="296">
      <formula>$G396:$G707="Sí"</formula>
    </cfRule>
  </conditionalFormatting>
  <conditionalFormatting sqref="C357:C365 C378 D349:O354 P368:P377 P379:P385 P405:P437 P444 P457:P458 P460:P461 P465:P467 P475 Q349:T350 Q351:S351 Q352:T354 V349:AD350 V351:AA351 V352:AD354 AC351:AD351">
    <cfRule type="expression" dxfId="0" priority="272">
      <formula>$G349:$G664="Sí"</formula>
    </cfRule>
    <cfRule type="expression" dxfId="1" priority="273">
      <formula>$Q349:$Q664="APOYO"</formula>
    </cfRule>
  </conditionalFormatting>
  <conditionalFormatting sqref="C7:J10 C11:C12 L7:T10 T6 T21:T22 T24:T25 T30:T40 V7:AD10">
    <cfRule type="expression" dxfId="0" priority="85">
      <formula>$G6:$G328="Sí"</formula>
    </cfRule>
    <cfRule type="expression" dxfId="1" priority="86">
      <formula>$Q6:$Q328="APOYO"</formula>
    </cfRule>
  </conditionalFormatting>
  <conditionalFormatting sqref="T11">
    <cfRule type="expression" dxfId="0" priority="83">
      <formula>$G11:$G333="Sí"</formula>
    </cfRule>
    <cfRule type="expression" dxfId="1" priority="84">
      <formula>$Q11:$Q333="APOYO"</formula>
    </cfRule>
  </conditionalFormatting>
  <conditionalFormatting sqref="T43">
    <cfRule type="expression" dxfId="0" priority="81">
      <formula>$G43:$G365="Sí"</formula>
    </cfRule>
    <cfRule type="expression" dxfId="1" priority="82">
      <formula>$Q43:$Q365="APOYO"</formula>
    </cfRule>
  </conditionalFormatting>
  <conditionalFormatting sqref="T48 T54 T58">
    <cfRule type="expression" dxfId="0" priority="79">
      <formula>$G48:$G372="Sí"</formula>
    </cfRule>
    <cfRule type="expression" dxfId="1" priority="80">
      <formula>$Q48:$Q372="APOYO"</formula>
    </cfRule>
  </conditionalFormatting>
  <conditionalFormatting sqref="T70 T81">
    <cfRule type="expression" dxfId="1" priority="243">
      <formula>$Q70:$Q397="APOYO"</formula>
    </cfRule>
    <cfRule type="expression" dxfId="0" priority="242">
      <formula>$G70:$G397="Sí"</formula>
    </cfRule>
  </conditionalFormatting>
  <conditionalFormatting sqref="T113">
    <cfRule type="expression" dxfId="0" priority="88">
      <formula>$G113:$G378="Sí"</formula>
    </cfRule>
    <cfRule type="expression" dxfId="1" priority="87">
      <formula>$Q113:$Q378="APOYO"</formula>
    </cfRule>
  </conditionalFormatting>
  <conditionalFormatting sqref="D163:I169 L163:T169 T152:T154 T156:T162 V167:AD169 W163:AD166">
    <cfRule type="expression" dxfId="1" priority="226">
      <formula>$Q152:$Q337="APOYO"</formula>
    </cfRule>
    <cfRule type="expression" dxfId="0" priority="227">
      <formula>$G152:$G337="Sí"</formula>
    </cfRule>
  </conditionalFormatting>
  <conditionalFormatting sqref="T180">
    <cfRule type="expression" dxfId="1" priority="61">
      <formula>$Q180:$Q365="APOYO"</formula>
    </cfRule>
    <cfRule type="expression" dxfId="0" priority="62">
      <formula>$G180:$G365="Sí"</formula>
    </cfRule>
  </conditionalFormatting>
  <conditionalFormatting sqref="T190:T197">
    <cfRule type="expression" dxfId="1" priority="289">
      <formula>$Q190:$Q515="APOYO"</formula>
    </cfRule>
    <cfRule type="expression" dxfId="0" priority="288">
      <formula>$G190:$G515="Sí"</formula>
    </cfRule>
  </conditionalFormatting>
  <conditionalFormatting sqref="T208:T209 T257 T261 T265:T273 T308 T310:T311 T386:T388 T390:T395 T438:T443 T445:T456 T459 T462:T464 T468:T474 T476:T507">
    <cfRule type="expression" dxfId="0" priority="248">
      <formula>$G208:$G528="Sí"</formula>
    </cfRule>
    <cfRule type="expression" dxfId="1" priority="249">
      <formula>$Q208:$Q528="APOYO"</formula>
    </cfRule>
  </conditionalFormatting>
  <conditionalFormatting sqref="T374">
    <cfRule type="expression" dxfId="0" priority="260">
      <formula>$G374:$G692="Sí"</formula>
    </cfRule>
    <cfRule type="expression" dxfId="1" priority="261">
      <formula>$Q374:$Q692="APOYO"</formula>
    </cfRule>
  </conditionalFormatting>
  <conditionalFormatting sqref="T396:T403">
    <cfRule type="expression" dxfId="1" priority="291">
      <formula>$Q396:$Q710="APOYO"</formula>
    </cfRule>
    <cfRule type="expression" dxfId="0" priority="290">
      <formula>$G396:$G710="Sí"</formula>
    </cfRule>
  </conditionalFormatting>
  <conditionalFormatting sqref="T404">
    <cfRule type="expression" dxfId="1" priority="253">
      <formula>$Q404:$Q720="APOYO"</formula>
    </cfRule>
    <cfRule type="expression" dxfId="0" priority="252">
      <formula>$G404:$G720="Sí"</formula>
    </cfRule>
  </conditionalFormatting>
  <conditionalFormatting sqref="T508:T532">
    <cfRule type="expression" dxfId="1" priority="287">
      <formula>$Q508:$Q827="APOYO"</formula>
    </cfRule>
    <cfRule type="expression" dxfId="0" priority="286">
      <formula>$G508:$G827="Sí"</formula>
    </cfRule>
  </conditionalFormatting>
  <conditionalFormatting sqref="T533:T536">
    <cfRule type="expression" dxfId="1" priority="4">
      <formula>$Q533:$Q643="APOYO"</formula>
    </cfRule>
    <cfRule type="expression" dxfId="0" priority="3">
      <formula>$G533:$G643="Sí"</formula>
    </cfRule>
  </conditionalFormatting>
  <conditionalFormatting sqref="C21:S22 U11:U20 V21:AD22">
    <cfRule type="expression" dxfId="0" priority="228">
      <formula>$G11:$G336="Sí"</formula>
    </cfRule>
    <cfRule type="expression" dxfId="1" priority="209">
      <formula>$Q11:$Q336="APOYO"</formula>
    </cfRule>
  </conditionalFormatting>
  <conditionalFormatting sqref="U21">
    <cfRule type="expression" dxfId="1" priority="98">
      <formula>$Q21:$Q347="APOYO"</formula>
    </cfRule>
    <cfRule type="expression" dxfId="0" priority="99">
      <formula>$G21:$G347="Sí"</formula>
    </cfRule>
  </conditionalFormatting>
  <conditionalFormatting sqref="U34:U43 U48:U49">
    <cfRule type="expression" dxfId="0" priority="90">
      <formula>$G34:$G354="Sí"</formula>
    </cfRule>
    <cfRule type="expression" dxfId="1" priority="89">
      <formula>$Q34:$Q354="APOYO"</formula>
    </cfRule>
  </conditionalFormatting>
  <conditionalFormatting sqref="C163:C179 G508:J508 J163:K179 U46:U47 U179:U180">
    <cfRule type="expression" dxfId="1" priority="71">
      <formula>$Q46:$Q364="APOYO"</formula>
    </cfRule>
    <cfRule type="expression" dxfId="0" priority="72">
      <formula>$G46:$G364="Sí"</formula>
    </cfRule>
  </conditionalFormatting>
  <conditionalFormatting sqref="U50">
    <cfRule type="expression" dxfId="0" priority="206">
      <formula>$G50:$G365="Sí"</formula>
    </cfRule>
    <cfRule type="expression" dxfId="1" priority="205">
      <formula>$Q50:$Q365="APOYO"</formula>
    </cfRule>
  </conditionalFormatting>
  <conditionalFormatting sqref="Q357:S357 U190:U209">
    <cfRule type="expression" dxfId="1" priority="29">
      <formula>$Q190:$Q508="APOYO"</formula>
    </cfRule>
    <cfRule type="expression" dxfId="0" priority="30">
      <formula>$G190:$G508="Sí"</formula>
    </cfRule>
  </conditionalFormatting>
  <conditionalFormatting sqref="P355:P364 U349:U354 U357 AB400 AB403 AB502 AB504">
    <cfRule type="expression" dxfId="1" priority="276">
      <formula>$Q349:$Q665="APOYO"</formula>
    </cfRule>
    <cfRule type="expression" dxfId="0" priority="277">
      <formula>$G349:$G665="Sí"</formula>
    </cfRule>
  </conditionalFormatting>
  <conditionalFormatting sqref="U389">
    <cfRule type="expression" dxfId="1" priority="274">
      <formula>$Q389:$Q701="APOYO"</formula>
    </cfRule>
    <cfRule type="expression" dxfId="0" priority="275">
      <formula>$G389:$G701="Sí"</formula>
    </cfRule>
  </conditionalFormatting>
  <conditionalFormatting sqref="U396:U403 U502:U507">
    <cfRule type="expression" dxfId="0" priority="299">
      <formula>$G396:$G704="Sí"</formula>
    </cfRule>
    <cfRule type="expression" dxfId="1" priority="298">
      <formula>$Q396:$Q704="APOYO"</formula>
    </cfRule>
  </conditionalFormatting>
  <conditionalFormatting sqref="U404">
    <cfRule type="expression" dxfId="0" priority="257">
      <formula>$G404:$G715="Sí"</formula>
    </cfRule>
    <cfRule type="expression" dxfId="1" priority="256">
      <formula>$Q404:$Q715="APOYO"</formula>
    </cfRule>
  </conditionalFormatting>
  <conditionalFormatting sqref="C508:C536 F508:F527 F528:G533 G509:G527 U499:U501">
    <cfRule type="expression" dxfId="0" priority="251">
      <formula>$G499:$G811="Sí"</formula>
    </cfRule>
    <cfRule type="expression" dxfId="1" priority="250">
      <formula>$Q499:$Q811="APOYO"</formula>
    </cfRule>
  </conditionalFormatting>
  <conditionalFormatting sqref="U533:U536">
    <cfRule type="expression" dxfId="1" priority="21">
      <formula>$Q533:$Q841="APOYO"</formula>
    </cfRule>
    <cfRule type="expression" dxfId="0" priority="22">
      <formula>$G533:$G841="Sí"</formula>
    </cfRule>
  </conditionalFormatting>
  <conditionalFormatting sqref="D234:I240 L234:T240 V6 V234:AD240">
    <cfRule type="expression" dxfId="1" priority="133">
      <formula>$Q6:$Q120="APOYO"</formula>
    </cfRule>
    <cfRule type="expression" dxfId="0" priority="134">
      <formula>$G6:$G120="Sí"</formula>
    </cfRule>
  </conditionalFormatting>
  <conditionalFormatting sqref="D253:I254 L253:T254 P349:P351 V253:Y253 V254:AD254 AB253:AD253">
    <cfRule type="expression" dxfId="0" priority="179">
      <formula>$G253:$G363="Sí"</formula>
    </cfRule>
    <cfRule type="expression" dxfId="1" priority="178">
      <formula>$Q253:$Q363="APOYO"</formula>
    </cfRule>
  </conditionalFormatting>
  <conditionalFormatting sqref="C13:C20 C23:H24 D11:J12 D13:I13 D14:J20 J24:S24 L12:T20 U24 V11:AA11 V12:AD20 V23:AD24 AC11:AD11">
    <cfRule type="expression" dxfId="1" priority="106">
      <formula>$Q11:$Q335="APOYO"</formula>
    </cfRule>
  </conditionalFormatting>
  <conditionalFormatting sqref="Z6:AA6">
    <cfRule type="expression" dxfId="0" priority="54">
      <formula>$G6:$G330="Sí"</formula>
    </cfRule>
    <cfRule type="expression" dxfId="1" priority="53">
      <formula>$Q6:$Q330="APOYO"</formula>
    </cfRule>
  </conditionalFormatting>
  <conditionalFormatting sqref="Z253:AA253">
    <cfRule type="expression" dxfId="0" priority="52">
      <formula>$G253:$G370="Sí"</formula>
    </cfRule>
    <cfRule type="expression" dxfId="1" priority="51">
      <formula>$Q253:$Q370="APOYO"</formula>
    </cfRule>
  </conditionalFormatting>
  <conditionalFormatting sqref="Z534:AA536">
    <cfRule type="expression" dxfId="1" priority="13">
      <formula>$Q534:$Q852="APOYO"</formula>
    </cfRule>
    <cfRule type="expression" dxfId="0" priority="14">
      <formula>$G534:$G852="Sí"</formula>
    </cfRule>
  </conditionalFormatting>
  <conditionalFormatting sqref="AB11">
    <cfRule type="expression" dxfId="0" priority="66">
      <formula>$G11:$G279="Sí"</formula>
    </cfRule>
    <cfRule type="expression" dxfId="1" priority="65">
      <formula>$Q11:$Q279="APOYO"</formula>
    </cfRule>
  </conditionalFormatting>
  <conditionalFormatting sqref="AB30">
    <cfRule type="expression" dxfId="1" priority="19">
      <formula>$Q30:$Q298="APOYO"</formula>
    </cfRule>
    <cfRule type="expression" dxfId="0" priority="20">
      <formula>$G30:$G298="Sí"</formula>
    </cfRule>
  </conditionalFormatting>
  <conditionalFormatting sqref="AB32">
    <cfRule type="expression" dxfId="1" priority="67">
      <formula>$Q32:$Q300="APOYO"</formula>
    </cfRule>
    <cfRule type="expression" dxfId="0" priority="68">
      <formula>$G32:$G300="Sí"</formula>
    </cfRule>
  </conditionalFormatting>
  <conditionalFormatting sqref="AB49">
    <cfRule type="expression" dxfId="1" priority="69">
      <formula>$Q49:$Q317="APOYO"</formula>
    </cfRule>
    <cfRule type="expression" dxfId="0" priority="70">
      <formula>$G49:$G317="Sí"</formula>
    </cfRule>
  </conditionalFormatting>
  <conditionalFormatting sqref="AB121">
    <cfRule type="expression" dxfId="0" priority="56">
      <formula>$G121:$G389="Sí"</formula>
    </cfRule>
    <cfRule type="expression" dxfId="1" priority="55">
      <formula>$Q121:$Q389="APOYO"</formula>
    </cfRule>
  </conditionalFormatting>
  <conditionalFormatting sqref="AB180">
    <cfRule type="expression" dxfId="1" priority="141">
      <formula>$Q180:$Q504="APOYO"</formula>
    </cfRule>
    <cfRule type="expression" dxfId="0" priority="142">
      <formula>$G180:$G504="Sí"</formula>
    </cfRule>
  </conditionalFormatting>
  <conditionalFormatting sqref="AB220">
    <cfRule type="expression" dxfId="1" priority="49">
      <formula>$Q220:$Q330="APOYO"</formula>
    </cfRule>
    <cfRule type="expression" dxfId="0" priority="50">
      <formula>$G220:$G330="Sí"</formula>
    </cfRule>
  </conditionalFormatting>
  <conditionalFormatting sqref="AB386:AB388 AB390:AB395 AB438:AB443 AB445:AB447 AB449:AB456 AB459 AB462:AB464 AB468:AB474 AB476:AB479 AB481:AB498">
    <cfRule type="expression" dxfId="1" priority="278">
      <formula>$Q386:$Q708="APOYO"</formula>
    </cfRule>
    <cfRule type="expression" dxfId="0" priority="279">
      <formula>$G386:$G708="Sí"</formula>
    </cfRule>
  </conditionalFormatting>
  <conditionalFormatting sqref="AB533:AB536">
    <cfRule type="expression" dxfId="0" priority="2">
      <formula>$G533:$G797="Sí"</formula>
    </cfRule>
    <cfRule type="expression" dxfId="1" priority="1">
      <formula>$Q533:$Q797="APOYO"</formula>
    </cfRule>
  </conditionalFormatting>
  <dataValidations count="1">
    <dataValidation type="date" allowBlank="false" showDropDown="false" showInputMessage="true" showErrorMessage="true" sqref="V6:AA354 V534:Y536 Y370">
      <formula1>46023</formula1>
      <formula2>46387</formula2>
    </dataValidation>
  </dataValidations>
  <hyperlinks>
    <hyperlink ref="N13" r:id="rId1"/>
    <hyperlink ref="N14" r:id="rId2"/>
    <hyperlink ref="N15" r:id="rId3"/>
    <hyperlink ref="N16" r:id="rId4"/>
    <hyperlink ref="N17" r:id="rId5"/>
    <hyperlink ref="O21" r:id="rId6"/>
    <hyperlink ref="O22" r:id="rId7"/>
    <hyperlink ref="N31" r:id="rId8"/>
    <hyperlink ref="N35" r:id="rId9"/>
    <hyperlink ref="N36" r:id="rId10"/>
    <hyperlink ref="N38" r:id="rId11"/>
    <hyperlink ref="N40" r:id="rId12"/>
    <hyperlink ref="N41" r:id="rId13"/>
    <hyperlink ref="N45" r:id="rId14"/>
    <hyperlink ref="N46" r:id="rId15"/>
    <hyperlink ref="AD46" r:id="rId16"/>
    <hyperlink ref="N58" r:id="rId17"/>
    <hyperlink ref="N59" r:id="rId18"/>
    <hyperlink ref="N60" r:id="rId19"/>
    <hyperlink ref="N63" r:id="rId20"/>
    <hyperlink ref="N65" r:id="rId21"/>
    <hyperlink ref="N112" r:id="rId22" display="arebaza@mpfn.gob.pe"/>
    <hyperlink ref="O114" r:id="rId23"/>
    <hyperlink ref="N132" r:id="rId24"/>
    <hyperlink ref="O143" r:id="rId25" display="servicedesk@pj.gob.pe."/>
    <hyperlink ref="O144" r:id="rId26" display="servicedesk@pj.gob.pe."/>
    <hyperlink ref="O145" r:id="rId27" display="servicedesk@pj.gob.pe."/>
    <hyperlink ref="O146" r:id="rId28" display="servicedesk@pj.gob.pe."/>
    <hyperlink ref="O147" r:id="rId29" display="servicedesk@pj.gob.pe."/>
    <hyperlink ref="O148" r:id="rId30" display="servicedesk@pj.gob.pe."/>
    <hyperlink ref="O149" r:id="rId31" display="servicedesk@pj.gob.pe."/>
    <hyperlink ref="O150" r:id="rId32" display="servicedesk@pj.gob.pe."/>
    <hyperlink ref="O151" r:id="rId33" display="servicedesk@pj.gob.pe."/>
    <hyperlink ref="O152" r:id="rId34" display="servicedesk@pj.gob.pe."/>
    <hyperlink ref="O153" r:id="rId35" display="servicedesk@pj.gob.pe."/>
    <hyperlink ref="O154" r:id="rId36" display="servicedesk@pj.gob.pe."/>
    <hyperlink ref="O155" r:id="rId37" display="servicedesk@pj.gob.pe."/>
    <hyperlink ref="O156" r:id="rId38" display="servicedesk@pj.gob.pe."/>
    <hyperlink ref="O157" r:id="rId39" display="servicedesk@pj.gob.pe."/>
    <hyperlink ref="O158" r:id="rId40" display="servicedesk@pj.gob.pe."/>
    <hyperlink ref="O159" r:id="rId41" display="servicedesk@pj.gob.pe."/>
    <hyperlink ref="O160" r:id="rId42" display="servicedesk@pj.gob.pe."/>
    <hyperlink ref="O161" r:id="rId43" display="servicedesk@pj.gob.pe."/>
    <hyperlink ref="O162" r:id="rId44" display="servicedesk@pj.gob.pe."/>
    <hyperlink ref="O163" r:id="rId45" display="servicedesk@pj.gob.pe."/>
    <hyperlink ref="O164" r:id="rId46" display="servicedesk@pj.gob.pe."/>
    <hyperlink ref="O165" r:id="rId47" display="servicedesk@pj.gob.pe."/>
    <hyperlink ref="O166" r:id="rId48" display="servicedesk@pj.gob.pe."/>
    <hyperlink ref="O167" r:id="rId49" display="servicedesk@pj.gob.pe."/>
    <hyperlink ref="O168" r:id="rId50" display="servicedesk@pj.gob.pe."/>
    <hyperlink ref="O169" r:id="rId51" display="servicedesk@pj.gob.pe."/>
    <hyperlink ref="O170" r:id="rId52" display="servicedesk@pj.gob.pe."/>
    <hyperlink ref="O171" r:id="rId53" display="servicedesk@pj.gob.pe."/>
    <hyperlink ref="O172" r:id="rId54" display="servicedesk@pj.gob.pe."/>
    <hyperlink ref="N173" r:id="rId55"/>
    <hyperlink ref="O173" r:id="rId56" display="servicedesk@pj.gob.pe."/>
    <hyperlink ref="N214" r:id="rId57"/>
    <hyperlink ref="N220" r:id="rId58"/>
    <hyperlink ref="N221" r:id="rId59"/>
    <hyperlink ref="O266" r:id="rId60"/>
    <hyperlink ref="N314" r:id="rId61"/>
    <hyperlink ref="N315" r:id="rId62" display="https://www.instagram.com/adrianaleoncantella/?hl=es"/>
    <hyperlink ref="N316" r:id="rId63"/>
    <hyperlink ref="N317" r:id="rId64"/>
    <hyperlink ref="N318" r:id="rId65"/>
    <hyperlink ref="N319" r:id="rId66"/>
    <hyperlink ref="N320" r:id="rId67"/>
    <hyperlink ref="N321" r:id="rId68"/>
    <hyperlink ref="N322" r:id="rId69"/>
    <hyperlink ref="N323" r:id="rId70" display="https://www.linkedin.com/in/claudiacisneros/"/>
    <hyperlink ref="N324" r:id="rId71"/>
    <hyperlink ref="N325" r:id="rId72"/>
    <hyperlink ref="N327" r:id="rId73" display="https://www.linkedin.com/in/lorena-alvarez-46b9a795/"/>
    <hyperlink ref="N328" r:id="rId74"/>
    <hyperlink ref="N329" r:id="rId75"/>
    <hyperlink ref="N330" r:id="rId76"/>
    <hyperlink ref="O331" r:id="rId77"/>
    <hyperlink ref="N332" r:id="rId78"/>
    <hyperlink ref="N334" r:id="rId79"/>
    <hyperlink ref="O336" r:id="rId80"/>
    <hyperlink ref="N338" r:id="rId81"/>
    <hyperlink ref="O339" r:id="rId82"/>
    <hyperlink ref="N340" r:id="rId83"/>
    <hyperlink ref="O340" r:id="rId84" display="mesadepartes.fpedv.maynas@gmail.com"/>
    <hyperlink ref="O341" r:id="rId85"/>
    <hyperlink ref="N342" r:id="rId86"/>
    <hyperlink ref="O342" r:id="rId87"/>
    <hyperlink ref="O343" r:id="rId88"/>
    <hyperlink ref="O344" r:id="rId89"/>
    <hyperlink ref="N345" r:id="rId90"/>
    <hyperlink ref="O346" r:id="rId91"/>
    <hyperlink ref="O347" r:id="rId92"/>
    <hyperlink ref="O348" r:id="rId93"/>
    <hyperlink ref="N349" r:id="rId94"/>
    <hyperlink ref="N350" r:id="rId95"/>
    <hyperlink ref="N351" r:id="rId96"/>
    <hyperlink ref="O352" r:id="rId97"/>
    <hyperlink ref="O353" r:id="rId98"/>
    <hyperlink ref="O354" r:id="rId99"/>
    <hyperlink ref="O355" r:id="rId100"/>
    <hyperlink ref="O356" r:id="rId101"/>
    <hyperlink ref="O357" r:id="rId102"/>
    <hyperlink ref="O358" r:id="rId103"/>
    <hyperlink ref="O359" r:id="rId104"/>
    <hyperlink ref="O360" r:id="rId105"/>
    <hyperlink ref="O361" r:id="rId106"/>
    <hyperlink ref="O362" r:id="rId107"/>
    <hyperlink ref="O363" r:id="rId108"/>
    <hyperlink ref="O364" r:id="rId109"/>
    <hyperlink ref="O365" r:id="rId110"/>
    <hyperlink ref="N384" r:id="rId111"/>
    <hyperlink ref="N385" r:id="rId112" display="metacalidaddevida@hotmail.com_x000a_(066) 302683"/>
    <hyperlink ref="N390" r:id="rId113"/>
    <hyperlink ref="N391" r:id="rId114"/>
    <hyperlink ref="N394" r:id="rId115"/>
    <hyperlink ref="N395" r:id="rId116"/>
    <hyperlink ref="N430" r:id="rId117"/>
    <hyperlink ref="N431" r:id="rId118"/>
    <hyperlink ref="N432" r:id="rId119"/>
    <hyperlink ref="N433" r:id="rId120"/>
    <hyperlink ref="N434" r:id="rId121"/>
    <hyperlink ref="N435" r:id="rId122"/>
    <hyperlink ref="N437" r:id="rId123"/>
    <hyperlink ref="N449" r:id="rId124" display="930480207pomalopezpatricia@hotmail.com"/>
    <hyperlink ref="N465" r:id="rId125"/>
    <hyperlink ref="N466" r:id="rId126"/>
    <hyperlink ref="N469" r:id="rId127"/>
    <hyperlink ref="N470" r:id="rId128"/>
    <hyperlink ref="N471" r:id="rId129"/>
    <hyperlink ref="N473" r:id="rId130"/>
    <hyperlink ref="N474" r:id="rId131"/>
    <hyperlink ref="N475" r:id="rId132"/>
    <hyperlink ref="N476" r:id="rId133"/>
    <hyperlink ref="N483" r:id="rId134"/>
    <hyperlink ref="N484" r:id="rId135"/>
    <hyperlink ref="N485" r:id="rId136"/>
    <hyperlink ref="N486" r:id="rId137"/>
    <hyperlink ref="N487" r:id="rId138"/>
    <hyperlink ref="N488" r:id="rId139"/>
    <hyperlink ref="N489" r:id="rId140"/>
    <hyperlink ref="N490" r:id="rId141"/>
    <hyperlink ref="N491" r:id="rId142"/>
    <hyperlink ref="N492" r:id="rId143"/>
    <hyperlink ref="N493" r:id="rId144"/>
    <hyperlink ref="N495" r:id="rId145"/>
    <hyperlink ref="N496" r:id="rId146"/>
    <hyperlink ref="N530" r:id="rId147"/>
    <hyperlink ref="N532" r:id="rId148"/>
    <hyperlink ref="N533" r:id="rId1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B1:AD370"/>
  <sheetViews>
    <sheetView zoomScale="43" zoomScaleNormal="77" workbookViewId="0">
      <selection activeCell="F77" sqref="F77"/>
    </sheetView>
  </sheetViews>
  <sheetFormatPr baseColWidth="10" defaultColWidth="10.81640625" defaultRowHeight="14"/>
  <cols>
    <col min="1" max="1" width="2.54296875" style="11" customWidth="true"/>
    <col min="2" max="2" width="13.26953125" style="12" customWidth="true"/>
    <col min="3" max="3" width="27.26953125" style="11" customWidth="true"/>
    <col min="4" max="4" width="35" style="11" customWidth="true"/>
    <col min="5" max="5" width="42.453125" style="12" customWidth="true"/>
    <col min="6" max="7" width="27.1796875" style="12" customWidth="true"/>
    <col min="8" max="10" width="36.453125" style="12" customWidth="true"/>
    <col min="11" max="11" width="21.81640625" style="12" customWidth="true"/>
    <col min="12" max="12" width="45.453125" style="13" customWidth="true"/>
    <col min="13" max="13" width="28" style="11" customWidth="true"/>
    <col min="14" max="14" width="34.54296875" style="11" customWidth="true"/>
    <col min="15" max="15" width="10.26953125" style="11" customWidth="true"/>
    <col min="16" max="16" width="11.453125" style="11" customWidth="true"/>
    <col min="17" max="17" width="8.1796875" style="11" customWidth="true"/>
    <col min="18" max="19" width="18" style="11" customWidth="true"/>
    <col min="20" max="20" width="26.54296875" style="11" bestFit="true" customWidth="true"/>
    <col min="21" max="21" width="27" style="11" customWidth="true"/>
    <col min="22" max="22" width="24.453125" style="11" customWidth="true"/>
    <col min="23" max="23" width="26.1796875" style="11" customWidth="true"/>
    <col min="24" max="24" width="30" style="11" bestFit="true" customWidth="true"/>
    <col min="25" max="25" width="27.1796875" style="11" bestFit="true" customWidth="true"/>
    <col min="26" max="26" width="27.1796875" style="11" customWidth="true"/>
    <col min="27" max="27" width="15.453125" style="11" customWidth="true"/>
    <col min="28" max="28" width="29.54296875" style="11" customWidth="true"/>
    <col min="29" max="29" width="36" style="11" customWidth="true"/>
    <col min="30" max="16384" width="10.81640625" style="11" customWidth="true"/>
  </cols>
  <sheetData>
    <row r="1">
      <c r="B1" s="12" t="s">
        <v>0</v>
      </c>
      <c r="C1" s="11" t="s">
        <v>10</v>
      </c>
      <c r="D1" s="11" t="s">
        <v>0</v>
      </c>
      <c r="E1" s="12" t="s">
        <v>0</v>
      </c>
      <c r="F1" s="12" t="s">
        <v>0</v>
      </c>
      <c r="G1" s="12" t="s">
        <v>0</v>
      </c>
      <c r="H1" s="12" t="s">
        <v>0</v>
      </c>
      <c r="I1" s="12" t="s">
        <v>0</v>
      </c>
      <c r="J1" s="12" t="s">
        <v>0</v>
      </c>
      <c r="K1" s="12" t="s">
        <v>0</v>
      </c>
      <c r="L1" s="13" t="s">
        <v>0</v>
      </c>
      <c r="M1" s="11" t="s">
        <v>0</v>
      </c>
      <c r="N1" s="11" t="s">
        <v>0</v>
      </c>
      <c r="O1" s="11" t="s">
        <v>0</v>
      </c>
      <c r="P1" s="11" t="s">
        <v>0</v>
      </c>
      <c r="Q1" s="11" t="s">
        <v>0</v>
      </c>
      <c r="R1" s="11" t="s">
        <v>0</v>
      </c>
      <c r="S1" s="11" t="s">
        <v>0</v>
      </c>
      <c r="T1" s="11" t="s">
        <v>0</v>
      </c>
      <c r="U1" s="11" t="s">
        <v>0</v>
      </c>
      <c r="V1" s="11" t="s">
        <v>0</v>
      </c>
      <c r="W1" s="11" t="s">
        <v>0</v>
      </c>
      <c r="X1" s="11" t="s">
        <v>0</v>
      </c>
      <c r="Y1" s="11" t="s">
        <v>0</v>
      </c>
      <c r="Z1" s="11" t="s">
        <v>0</v>
      </c>
      <c r="AA1" s="11" t="s">
        <v>0</v>
      </c>
      <c r="AB1" s="11" t="s">
        <v>0</v>
      </c>
      <c r="AC1" s="11" t="s">
        <v>0</v>
      </c>
      <c r="AD1" s="11" t="s">
        <v>0</v>
      </c>
    </row>
    <row r="2">
      <c r="B2" s="12" t="s">
        <v>0</v>
      </c>
      <c r="C2" s="11" t="s">
        <v>11</v>
      </c>
      <c r="D2" s="11" t="s">
        <v>0</v>
      </c>
      <c r="E2" s="12" t="s">
        <v>1117</v>
      </c>
      <c r="F2" s="12" t="s">
        <v>0</v>
      </c>
      <c r="G2" s="12" t="s">
        <v>0</v>
      </c>
      <c r="H2" s="12" t="s">
        <v>0</v>
      </c>
      <c r="I2" s="12" t="s">
        <v>0</v>
      </c>
      <c r="J2" s="12" t="s">
        <v>0</v>
      </c>
      <c r="K2" s="12" t="s">
        <v>0</v>
      </c>
      <c r="L2" s="13" t="s">
        <v>0</v>
      </c>
      <c r="M2" s="11" t="s">
        <v>0</v>
      </c>
      <c r="N2" s="11" t="s">
        <v>0</v>
      </c>
      <c r="O2" s="11" t="s">
        <v>0</v>
      </c>
      <c r="P2" s="11" t="s">
        <v>0</v>
      </c>
      <c r="Q2" s="11" t="s">
        <v>0</v>
      </c>
      <c r="R2" s="11" t="s">
        <v>0</v>
      </c>
      <c r="S2" s="11" t="s">
        <v>0</v>
      </c>
      <c r="T2" s="11" t="s">
        <v>0</v>
      </c>
      <c r="U2" s="11" t="s">
        <v>0</v>
      </c>
      <c r="V2" s="11" t="s">
        <v>0</v>
      </c>
      <c r="W2" s="11" t="s">
        <v>0</v>
      </c>
      <c r="X2" s="11" t="s">
        <v>0</v>
      </c>
      <c r="Y2" s="11" t="s">
        <v>0</v>
      </c>
      <c r="Z2" s="11" t="s">
        <v>0</v>
      </c>
      <c r="AA2" s="11" t="s">
        <v>0</v>
      </c>
      <c r="AB2" s="11" t="s">
        <v>0</v>
      </c>
      <c r="AC2" s="11" t="s">
        <v>0</v>
      </c>
      <c r="AD2" s="11" t="s">
        <v>0</v>
      </c>
    </row>
    <row r="3">
      <c r="B3" s="12" t="s">
        <v>0</v>
      </c>
      <c r="C3" s="11" t="s">
        <v>0</v>
      </c>
      <c r="D3" s="11" t="s">
        <v>0</v>
      </c>
      <c r="E3" s="12" t="s">
        <v>1118</v>
      </c>
      <c r="F3" s="12" t="s">
        <v>0</v>
      </c>
      <c r="G3" s="12" t="s">
        <v>0</v>
      </c>
      <c r="H3" s="12" t="s">
        <v>0</v>
      </c>
      <c r="I3" s="12" t="s">
        <v>0</v>
      </c>
      <c r="J3" s="12" t="s">
        <v>0</v>
      </c>
      <c r="K3" s="12" t="s">
        <v>0</v>
      </c>
      <c r="L3" s="13" t="s">
        <v>0</v>
      </c>
      <c r="M3" s="11" t="s">
        <v>0</v>
      </c>
      <c r="N3" s="11" t="s">
        <v>0</v>
      </c>
      <c r="O3" s="11" t="s">
        <v>0</v>
      </c>
      <c r="P3" s="11" t="s">
        <v>0</v>
      </c>
      <c r="Q3" s="11" t="s">
        <v>0</v>
      </c>
      <c r="R3" s="11" t="s">
        <v>0</v>
      </c>
      <c r="S3" s="11" t="s">
        <v>0</v>
      </c>
      <c r="T3" s="11" t="s">
        <v>0</v>
      </c>
      <c r="U3" s="11" t="s">
        <v>0</v>
      </c>
      <c r="V3" s="11" t="s">
        <v>0</v>
      </c>
      <c r="W3" s="11" t="s">
        <v>0</v>
      </c>
      <c r="X3" s="11" t="s">
        <v>0</v>
      </c>
      <c r="Y3" s="11" t="s">
        <v>0</v>
      </c>
      <c r="Z3" s="11" t="s">
        <v>0</v>
      </c>
      <c r="AA3" s="11" t="s">
        <v>0</v>
      </c>
      <c r="AB3" s="11" t="s">
        <v>0</v>
      </c>
      <c r="AC3" s="11" t="s">
        <v>0</v>
      </c>
      <c r="AD3" s="11" t="s">
        <v>0</v>
      </c>
    </row>
    <row r="4">
      <c r="B4" s="12" t="s">
        <v>0</v>
      </c>
      <c r="C4" s="11" t="s">
        <v>0</v>
      </c>
      <c r="D4" s="11" t="s">
        <v>0</v>
      </c>
      <c r="E4" s="12" t="s">
        <v>1119</v>
      </c>
      <c r="F4" s="12" t="s">
        <v>0</v>
      </c>
      <c r="G4" s="12" t="s">
        <v>0</v>
      </c>
      <c r="H4" s="12" t="s">
        <v>0</v>
      </c>
      <c r="I4" s="12" t="s">
        <v>0</v>
      </c>
      <c r="J4" s="12" t="s">
        <v>0</v>
      </c>
      <c r="K4" s="12" t="s">
        <v>0</v>
      </c>
      <c r="L4" s="13" t="s">
        <v>0</v>
      </c>
      <c r="M4" s="11" t="s">
        <v>0</v>
      </c>
      <c r="N4" s="11" t="s">
        <v>0</v>
      </c>
      <c r="O4" s="11" t="s">
        <v>0</v>
      </c>
      <c r="P4" s="11" t="s">
        <v>0</v>
      </c>
      <c r="Q4" s="11" t="s">
        <v>0</v>
      </c>
      <c r="R4" s="11" t="s">
        <v>0</v>
      </c>
      <c r="S4" s="11" t="s">
        <v>0</v>
      </c>
      <c r="T4" s="11" t="s">
        <v>0</v>
      </c>
      <c r="U4" s="11" t="s">
        <v>0</v>
      </c>
      <c r="V4" s="11" t="s">
        <v>0</v>
      </c>
      <c r="W4" s="11" t="s">
        <v>0</v>
      </c>
      <c r="X4" s="11" t="s">
        <v>0</v>
      </c>
      <c r="Y4" s="11" t="s">
        <v>0</v>
      </c>
      <c r="Z4" s="11" t="s">
        <v>0</v>
      </c>
      <c r="AA4" s="11" t="s">
        <v>0</v>
      </c>
      <c r="AB4" s="11" t="s">
        <v>0</v>
      </c>
      <c r="AC4" s="11" t="s">
        <v>0</v>
      </c>
      <c r="AD4" s="11" t="s">
        <v>0</v>
      </c>
    </row>
    <row r="5">
      <c r="B5" s="12" t="s">
        <v>0</v>
      </c>
      <c r="C5" s="11" t="s">
        <v>0</v>
      </c>
      <c r="D5" s="11" t="s">
        <v>0</v>
      </c>
      <c r="E5" s="12" t="s">
        <v>2147</v>
      </c>
      <c r="F5" s="12" t="s">
        <v>0</v>
      </c>
      <c r="G5" s="12" t="s">
        <v>0</v>
      </c>
      <c r="H5" s="12" t="s">
        <v>0</v>
      </c>
      <c r="I5" s="12" t="s">
        <v>0</v>
      </c>
      <c r="J5" s="12" t="s">
        <v>0</v>
      </c>
      <c r="K5" s="12" t="s">
        <v>0</v>
      </c>
      <c r="L5" s="13" t="s">
        <v>0</v>
      </c>
      <c r="M5" s="11" t="s">
        <v>0</v>
      </c>
      <c r="N5" s="11" t="s">
        <v>0</v>
      </c>
      <c r="O5" s="11" t="s">
        <v>0</v>
      </c>
      <c r="P5" s="11" t="s">
        <v>0</v>
      </c>
      <c r="Q5" s="11" t="s">
        <v>0</v>
      </c>
      <c r="R5" s="11" t="s">
        <v>0</v>
      </c>
      <c r="S5" s="11" t="s">
        <v>0</v>
      </c>
      <c r="T5" s="11" t="s">
        <v>0</v>
      </c>
      <c r="U5" s="11" t="s">
        <v>0</v>
      </c>
      <c r="V5" s="11" t="s">
        <v>0</v>
      </c>
      <c r="W5" s="11" t="s">
        <v>0</v>
      </c>
      <c r="X5" s="11" t="s">
        <v>0</v>
      </c>
      <c r="Y5" s="11" t="s">
        <v>0</v>
      </c>
      <c r="Z5" s="11" t="s">
        <v>0</v>
      </c>
      <c r="AA5" s="11" t="s">
        <v>0</v>
      </c>
      <c r="AB5" s="11" t="s">
        <v>0</v>
      </c>
      <c r="AC5" s="11" t="s">
        <v>0</v>
      </c>
      <c r="AD5" s="11" t="s">
        <v>0</v>
      </c>
    </row>
    <row r="6">
      <c r="B6" s="12" t="s">
        <v>0</v>
      </c>
      <c r="C6" s="11" t="s">
        <v>12</v>
      </c>
      <c r="D6" s="11" t="s">
        <v>572</v>
      </c>
      <c r="E6" s="12" t="s">
        <v>1120</v>
      </c>
      <c r="F6" s="12" t="s">
        <v>1271</v>
      </c>
      <c r="G6" s="12" t="s">
        <v>1301</v>
      </c>
      <c r="H6" s="12" t="s">
        <v>1305</v>
      </c>
      <c r="I6" s="12" t="s">
        <v>2176</v>
      </c>
      <c r="J6" s="12" t="s">
        <v>1335</v>
      </c>
      <c r="K6" s="12" t="s">
        <v>2178</v>
      </c>
      <c r="L6" s="13" t="s">
        <v>1305</v>
      </c>
      <c r="M6" s="11" t="s">
        <v>1336</v>
      </c>
      <c r="N6" s="11" t="s">
        <v>1834</v>
      </c>
      <c r="O6" s="11" t="s">
        <v>1866</v>
      </c>
      <c r="P6" s="11" t="s">
        <v>1879</v>
      </c>
      <c r="Q6" s="11" t="s">
        <v>1881</v>
      </c>
      <c r="R6" s="11" t="s">
        <v>1884</v>
      </c>
      <c r="S6" s="11" t="s">
        <v>1885</v>
      </c>
      <c r="T6" s="11" t="s">
        <v>2251</v>
      </c>
      <c r="U6" s="11" t="s">
        <v>1895</v>
      </c>
      <c r="V6" s="11" t="s">
        <v>1924</v>
      </c>
      <c r="W6" s="11" t="s">
        <v>1934</v>
      </c>
      <c r="X6" s="11" t="s">
        <v>1936</v>
      </c>
      <c r="Y6" s="11" t="s">
        <v>1957</v>
      </c>
      <c r="Z6" s="11" t="s">
        <v>1999</v>
      </c>
      <c r="AA6" s="11" t="s">
        <v>2002</v>
      </c>
      <c r="AB6" s="11" t="s">
        <v>2264</v>
      </c>
      <c r="AC6" s="11" t="s">
        <v>2004</v>
      </c>
      <c r="AD6" s="11" t="s">
        <v>2005</v>
      </c>
    </row>
    <row r="7">
      <c r="B7" s="12" t="s">
        <v>0</v>
      </c>
      <c r="C7" s="11" t="s">
        <v>13</v>
      </c>
      <c r="D7" s="11" t="s">
        <v>2091</v>
      </c>
      <c r="E7" s="12" t="s">
        <v>1125</v>
      </c>
      <c r="F7" s="12" t="s">
        <v>1</v>
      </c>
      <c r="G7" s="12" t="s">
        <v>1302</v>
      </c>
      <c r="H7" s="12" t="s">
        <v>1302</v>
      </c>
      <c r="I7" s="12" t="s">
        <v>1309</v>
      </c>
      <c r="J7" s="12" t="s">
        <v>2177</v>
      </c>
      <c r="K7" s="12" t="s">
        <v>2179</v>
      </c>
      <c r="L7" s="13" t="s">
        <v>0</v>
      </c>
      <c r="M7" s="11" t="s">
        <v>2181</v>
      </c>
      <c r="N7" s="11" t="s">
        <v>1326</v>
      </c>
      <c r="O7" s="11" t="s">
        <v>1868</v>
      </c>
      <c r="P7" s="11" t="s">
        <v>1307</v>
      </c>
      <c r="Q7" s="11" t="s">
        <v>1882</v>
      </c>
      <c r="R7" s="11" t="s">
        <v>1307</v>
      </c>
      <c r="S7" s="11" t="s">
        <v>1307</v>
      </c>
      <c r="T7" s="11" t="s">
        <v>1890</v>
      </c>
      <c r="U7" s="11" t="s">
        <v>2252</v>
      </c>
      <c r="V7" s="11" t="s">
        <v>2256</v>
      </c>
      <c r="W7" s="11" t="s">
        <v>0</v>
      </c>
      <c r="X7" s="11" t="s">
        <v>0</v>
      </c>
      <c r="Y7" s="11" t="s">
        <v>0</v>
      </c>
      <c r="Z7" s="11" t="s">
        <v>0</v>
      </c>
      <c r="AA7" s="11" t="s">
        <v>0</v>
      </c>
      <c r="AB7" s="11" t="s">
        <v>0</v>
      </c>
      <c r="AC7" s="11" t="s">
        <v>0</v>
      </c>
      <c r="AD7" s="11" t="s">
        <v>2266</v>
      </c>
    </row>
    <row r="8">
      <c r="B8" s="12" t="s">
        <v>0</v>
      </c>
      <c r="C8" s="11" t="s">
        <v>14</v>
      </c>
      <c r="D8" s="11" t="s">
        <v>2092</v>
      </c>
      <c r="E8" s="12" t="s">
        <v>1126</v>
      </c>
      <c r="F8" s="12" t="s">
        <v>1</v>
      </c>
      <c r="G8" s="12" t="s">
        <v>1304</v>
      </c>
      <c r="H8" s="12" t="s">
        <v>1306</v>
      </c>
      <c r="I8" s="12" t="s">
        <v>1309</v>
      </c>
      <c r="J8" s="12" t="s">
        <v>2177</v>
      </c>
      <c r="K8" s="12" t="s">
        <v>2180</v>
      </c>
      <c r="L8" s="13" t="s">
        <v>0</v>
      </c>
      <c r="M8" s="11" t="s">
        <v>2182</v>
      </c>
      <c r="N8" s="11" t="s">
        <v>1326</v>
      </c>
      <c r="O8" s="11" t="s">
        <v>1868</v>
      </c>
      <c r="P8" s="11" t="s">
        <v>1307</v>
      </c>
      <c r="Q8" s="11" t="s">
        <v>1882</v>
      </c>
      <c r="R8" s="11" t="s">
        <v>1307</v>
      </c>
      <c r="S8" s="11" t="s">
        <v>1307</v>
      </c>
      <c r="T8" s="11" t="s">
        <v>1890</v>
      </c>
      <c r="U8" s="11" t="s">
        <v>2252</v>
      </c>
      <c r="V8" s="11" t="s">
        <v>2256</v>
      </c>
      <c r="W8" s="11" t="s">
        <v>2259</v>
      </c>
      <c r="X8" s="11" t="s">
        <v>0</v>
      </c>
      <c r="Y8" s="11" t="s">
        <v>0</v>
      </c>
      <c r="Z8" s="11" t="s">
        <v>0</v>
      </c>
      <c r="AA8" s="11" t="s">
        <v>0</v>
      </c>
      <c r="AB8" s="11" t="s">
        <v>0</v>
      </c>
      <c r="AC8" s="11" t="s">
        <v>0</v>
      </c>
      <c r="AD8" s="11" t="s">
        <v>2267</v>
      </c>
    </row>
    <row r="9">
      <c r="B9" s="12" t="s">
        <v>0</v>
      </c>
      <c r="C9" s="11" t="s">
        <v>15</v>
      </c>
      <c r="D9" s="11" t="s">
        <v>2093</v>
      </c>
      <c r="E9" s="12" t="s">
        <v>2148</v>
      </c>
      <c r="F9" s="12" t="s">
        <v>6</v>
      </c>
      <c r="G9" s="12" t="s">
        <v>1304</v>
      </c>
      <c r="H9" s="12" t="s">
        <v>1306</v>
      </c>
      <c r="I9" s="12" t="s">
        <v>1309</v>
      </c>
      <c r="J9" s="12" t="s">
        <v>2177</v>
      </c>
      <c r="K9" s="12" t="s">
        <v>2180</v>
      </c>
      <c r="L9" s="13" t="s">
        <v>1307</v>
      </c>
      <c r="M9" s="11" t="s">
        <v>2183</v>
      </c>
      <c r="N9" s="11" t="s">
        <v>1326</v>
      </c>
      <c r="O9" s="11" t="s">
        <v>1869</v>
      </c>
      <c r="P9" s="11" t="s">
        <v>1306</v>
      </c>
      <c r="Q9" s="11" t="s">
        <v>1883</v>
      </c>
      <c r="R9" s="11" t="s">
        <v>1307</v>
      </c>
      <c r="S9" s="11" t="s">
        <v>1307</v>
      </c>
      <c r="T9" s="11" t="s">
        <v>1893</v>
      </c>
      <c r="U9" s="11" t="s">
        <v>2253</v>
      </c>
      <c r="V9" s="11" t="s">
        <v>1959</v>
      </c>
      <c r="W9" s="11" t="s">
        <v>2261</v>
      </c>
      <c r="X9" s="11" t="s">
        <v>2263</v>
      </c>
      <c r="Y9" s="11" t="s">
        <v>0</v>
      </c>
      <c r="Z9" s="11" t="s">
        <v>0</v>
      </c>
      <c r="AA9" s="11" t="s">
        <v>0</v>
      </c>
      <c r="AB9" s="11" t="s">
        <v>2265</v>
      </c>
      <c r="AC9" s="11" t="s">
        <v>0</v>
      </c>
      <c r="AD9" s="11" t="s">
        <v>2268</v>
      </c>
    </row>
    <row r="10">
      <c r="B10" s="12" t="s">
        <v>0</v>
      </c>
      <c r="C10" s="11" t="s">
        <v>16</v>
      </c>
      <c r="D10" s="11" t="s">
        <v>2094</v>
      </c>
      <c r="E10" s="12" t="s">
        <v>2149</v>
      </c>
      <c r="F10" s="12" t="s">
        <v>1</v>
      </c>
      <c r="G10" s="12" t="s">
        <v>2175</v>
      </c>
      <c r="H10" s="12" t="s">
        <v>1306</v>
      </c>
      <c r="I10" s="12" t="s">
        <v>1309</v>
      </c>
      <c r="J10" s="12" t="s">
        <v>2177</v>
      </c>
      <c r="K10" s="12" t="s">
        <v>2180</v>
      </c>
      <c r="L10" s="13" t="s">
        <v>0</v>
      </c>
      <c r="M10" s="11" t="s">
        <v>2184</v>
      </c>
      <c r="N10" s="11" t="s">
        <v>1326</v>
      </c>
      <c r="O10" s="11" t="s">
        <v>1869</v>
      </c>
      <c r="P10" s="11" t="s">
        <v>1306</v>
      </c>
      <c r="Q10" s="11" t="s">
        <v>1883</v>
      </c>
      <c r="R10" s="11" t="s">
        <v>0</v>
      </c>
      <c r="S10" s="11" t="s">
        <v>1307</v>
      </c>
      <c r="T10" s="11" t="s">
        <v>1890</v>
      </c>
      <c r="U10" s="11" t="s">
        <v>1971</v>
      </c>
      <c r="V10" s="11" t="s">
        <v>2256</v>
      </c>
      <c r="W10" s="11" t="s">
        <v>0</v>
      </c>
      <c r="X10" s="11" t="s">
        <v>0</v>
      </c>
      <c r="Y10" s="11" t="s">
        <v>0</v>
      </c>
      <c r="Z10" s="11" t="s">
        <v>0</v>
      </c>
      <c r="AA10" s="11" t="s">
        <v>0</v>
      </c>
      <c r="AB10" s="11" t="s">
        <v>0</v>
      </c>
      <c r="AC10" s="11" t="s">
        <v>0</v>
      </c>
      <c r="AD10" s="11" t="s">
        <v>2269</v>
      </c>
    </row>
    <row r="11">
      <c r="B11" s="12" t="s">
        <v>0</v>
      </c>
      <c r="C11" s="11" t="s">
        <v>17</v>
      </c>
      <c r="D11" s="11" t="s">
        <v>1115</v>
      </c>
      <c r="E11" s="12" t="s">
        <v>2150</v>
      </c>
      <c r="F11" s="12" t="s">
        <v>1</v>
      </c>
      <c r="G11" s="12" t="s">
        <v>2175</v>
      </c>
      <c r="H11" s="12" t="s">
        <v>1306</v>
      </c>
      <c r="I11" s="12" t="s">
        <v>1309</v>
      </c>
      <c r="J11" s="12" t="s">
        <v>2177</v>
      </c>
      <c r="K11" s="12" t="s">
        <v>2179</v>
      </c>
      <c r="L11" s="13" t="s">
        <v>1306</v>
      </c>
      <c r="M11" s="11" t="s">
        <v>2185</v>
      </c>
      <c r="N11" s="11" t="s">
        <v>1326</v>
      </c>
      <c r="O11" s="11" t="s">
        <v>1867</v>
      </c>
      <c r="P11" s="11" t="s">
        <v>1307</v>
      </c>
      <c r="Q11" s="11" t="s">
        <v>1882</v>
      </c>
      <c r="R11" s="11" t="s">
        <v>1307</v>
      </c>
      <c r="S11" s="11" t="s">
        <v>1307</v>
      </c>
      <c r="T11" s="11" t="s">
        <v>1893</v>
      </c>
      <c r="U11" s="11" t="s">
        <v>2252</v>
      </c>
      <c r="V11" s="11" t="s">
        <v>1968</v>
      </c>
      <c r="W11" s="11" t="s">
        <v>2261</v>
      </c>
      <c r="X11" s="11" t="s">
        <v>2254</v>
      </c>
      <c r="Y11" s="11" t="s">
        <v>0</v>
      </c>
      <c r="Z11" s="11" t="s">
        <v>0</v>
      </c>
      <c r="AA11" s="11" t="s">
        <v>0</v>
      </c>
      <c r="AB11" s="11" t="s">
        <v>0</v>
      </c>
      <c r="AC11" s="11" t="s">
        <v>0</v>
      </c>
      <c r="AD11" s="11" t="s">
        <v>2270</v>
      </c>
    </row>
    <row r="12">
      <c r="B12" s="12" t="s">
        <v>0</v>
      </c>
      <c r="C12" s="11" t="s">
        <v>18</v>
      </c>
      <c r="D12" s="11" t="s">
        <v>2095</v>
      </c>
      <c r="E12" s="12" t="s">
        <v>2150</v>
      </c>
      <c r="F12" s="12" t="s">
        <v>0</v>
      </c>
      <c r="G12" s="12" t="s">
        <v>0</v>
      </c>
      <c r="H12" s="12" t="s">
        <v>0</v>
      </c>
      <c r="I12" s="12" t="s">
        <v>0</v>
      </c>
      <c r="J12" s="12" t="s">
        <v>0</v>
      </c>
      <c r="K12" s="12" t="s">
        <v>0</v>
      </c>
      <c r="L12" s="13" t="s">
        <v>1307</v>
      </c>
      <c r="M12" s="11" t="s">
        <v>2186</v>
      </c>
      <c r="N12" s="11" t="s">
        <v>0</v>
      </c>
      <c r="O12" s="11" t="s">
        <v>0</v>
      </c>
      <c r="P12" s="11" t="s">
        <v>0</v>
      </c>
      <c r="Q12" s="11" t="s">
        <v>0</v>
      </c>
      <c r="R12" s="11" t="s">
        <v>0</v>
      </c>
      <c r="S12" s="11" t="s">
        <v>0</v>
      </c>
      <c r="T12" s="11" t="s">
        <v>1893</v>
      </c>
      <c r="U12" s="11" t="s">
        <v>0</v>
      </c>
      <c r="V12" s="11" t="s">
        <v>0</v>
      </c>
      <c r="W12" s="11" t="s">
        <v>0</v>
      </c>
      <c r="X12" s="11" t="s">
        <v>2263</v>
      </c>
      <c r="Y12" s="11" t="s">
        <v>0</v>
      </c>
      <c r="Z12" s="11" t="s">
        <v>0</v>
      </c>
      <c r="AA12" s="11" t="s">
        <v>0</v>
      </c>
      <c r="AB12" s="11" t="s">
        <v>2265</v>
      </c>
      <c r="AC12" s="11" t="s">
        <v>0</v>
      </c>
      <c r="AD12" s="11" t="s">
        <v>2271</v>
      </c>
    </row>
    <row r="13">
      <c r="B13" s="12" t="s">
        <v>0</v>
      </c>
      <c r="C13" s="11" t="s">
        <v>19</v>
      </c>
      <c r="D13" s="11" t="s">
        <v>2096</v>
      </c>
      <c r="E13" s="12" t="s">
        <v>2151</v>
      </c>
      <c r="F13" s="12" t="s">
        <v>2</v>
      </c>
      <c r="G13" s="12" t="s">
        <v>1302</v>
      </c>
      <c r="H13" s="12" t="s">
        <v>1302</v>
      </c>
      <c r="I13" s="12" t="s">
        <v>1309</v>
      </c>
      <c r="J13" s="12" t="s">
        <v>2177</v>
      </c>
      <c r="K13" s="12" t="s">
        <v>2180</v>
      </c>
      <c r="L13" s="13" t="s">
        <v>0</v>
      </c>
      <c r="M13" s="11" t="s">
        <v>2187</v>
      </c>
      <c r="N13" s="11" t="s">
        <v>1326</v>
      </c>
      <c r="O13" s="11" t="s">
        <v>1867</v>
      </c>
      <c r="P13" s="11" t="s">
        <v>1307</v>
      </c>
      <c r="Q13" s="11" t="s">
        <v>1882</v>
      </c>
      <c r="R13" s="11" t="s">
        <v>1307</v>
      </c>
      <c r="S13" s="11" t="s">
        <v>1307</v>
      </c>
      <c r="T13" s="11" t="s">
        <v>1890</v>
      </c>
      <c r="U13" s="11" t="s">
        <v>2252</v>
      </c>
      <c r="V13" s="11" t="s">
        <v>2256</v>
      </c>
      <c r="W13" s="11" t="s">
        <v>2259</v>
      </c>
      <c r="X13" s="11" t="s">
        <v>0</v>
      </c>
      <c r="Y13" s="11" t="s">
        <v>0</v>
      </c>
      <c r="Z13" s="11" t="s">
        <v>0</v>
      </c>
      <c r="AA13" s="11" t="s">
        <v>0</v>
      </c>
      <c r="AB13" s="11" t="s">
        <v>0</v>
      </c>
      <c r="AC13" s="11" t="s">
        <v>0</v>
      </c>
      <c r="AD13" s="11" t="s">
        <v>2272</v>
      </c>
    </row>
    <row r="14">
      <c r="B14" s="12" t="s">
        <v>0</v>
      </c>
      <c r="C14" s="11" t="s">
        <v>20</v>
      </c>
      <c r="D14" s="11" t="s">
        <v>2097</v>
      </c>
      <c r="E14" s="12" t="s">
        <v>2152</v>
      </c>
      <c r="F14" s="12" t="s">
        <v>1274</v>
      </c>
      <c r="G14" s="12" t="s">
        <v>1304</v>
      </c>
      <c r="H14" s="12" t="s">
        <v>1306</v>
      </c>
      <c r="I14" s="12" t="s">
        <v>1309</v>
      </c>
      <c r="J14" s="12" t="s">
        <v>2177</v>
      </c>
      <c r="K14" s="12" t="s">
        <v>2179</v>
      </c>
      <c r="L14" s="13" t="s">
        <v>0</v>
      </c>
      <c r="M14" s="11" t="s">
        <v>2188</v>
      </c>
      <c r="N14" s="11" t="s">
        <v>1326</v>
      </c>
      <c r="O14" s="11" t="s">
        <v>1869</v>
      </c>
      <c r="P14" s="11" t="s">
        <v>1306</v>
      </c>
      <c r="Q14" s="11" t="s">
        <v>1883</v>
      </c>
      <c r="R14" s="11" t="s">
        <v>1307</v>
      </c>
      <c r="S14" s="11" t="s">
        <v>1307</v>
      </c>
      <c r="T14" s="11" t="s">
        <v>1890</v>
      </c>
      <c r="U14" s="11" t="s">
        <v>2253</v>
      </c>
      <c r="V14" s="11" t="s">
        <v>2256</v>
      </c>
      <c r="W14" s="11" t="s">
        <v>2261</v>
      </c>
      <c r="X14" s="11" t="s">
        <v>0</v>
      </c>
      <c r="Y14" s="11" t="s">
        <v>0</v>
      </c>
      <c r="Z14" s="11" t="s">
        <v>0</v>
      </c>
      <c r="AA14" s="11" t="s">
        <v>0</v>
      </c>
      <c r="AB14" s="11" t="s">
        <v>0</v>
      </c>
      <c r="AC14" s="11" t="s">
        <v>0</v>
      </c>
      <c r="AD14" s="11" t="s">
        <v>2273</v>
      </c>
    </row>
    <row r="15">
      <c r="B15" s="12" t="s">
        <v>0</v>
      </c>
      <c r="C15" s="11" t="s">
        <v>21</v>
      </c>
      <c r="D15" s="11" t="s">
        <v>2098</v>
      </c>
      <c r="E15" s="12" t="s">
        <v>1131</v>
      </c>
      <c r="F15" s="12" t="s">
        <v>1</v>
      </c>
      <c r="G15" s="12" t="s">
        <v>1304</v>
      </c>
      <c r="H15" s="12" t="s">
        <v>1306</v>
      </c>
      <c r="I15" s="12" t="s">
        <v>1312</v>
      </c>
      <c r="J15" s="12" t="s">
        <v>2177</v>
      </c>
      <c r="K15" s="12" t="s">
        <v>2180</v>
      </c>
      <c r="L15" s="13" t="s">
        <v>1307</v>
      </c>
      <c r="M15" s="11" t="s">
        <v>2189</v>
      </c>
      <c r="N15" s="11" t="s">
        <v>1836</v>
      </c>
      <c r="O15" s="11" t="s">
        <v>1870</v>
      </c>
      <c r="P15" s="11" t="s">
        <v>1307</v>
      </c>
      <c r="Q15" s="11" t="s">
        <v>1882</v>
      </c>
      <c r="R15" s="11" t="s">
        <v>1307</v>
      </c>
      <c r="S15" s="11" t="s">
        <v>1307</v>
      </c>
      <c r="T15" s="11" t="s">
        <v>1893</v>
      </c>
      <c r="U15" s="11" t="s">
        <v>2252</v>
      </c>
      <c r="V15" s="11" t="s">
        <v>0</v>
      </c>
      <c r="W15" s="11" t="s">
        <v>0</v>
      </c>
      <c r="X15" s="11" t="s">
        <v>2263</v>
      </c>
      <c r="Y15" s="11" t="s">
        <v>0</v>
      </c>
      <c r="Z15" s="11" t="s">
        <v>0</v>
      </c>
      <c r="AA15" s="11" t="s">
        <v>0</v>
      </c>
      <c r="AB15" s="11" t="s">
        <v>2265</v>
      </c>
      <c r="AC15" s="11" t="s">
        <v>0</v>
      </c>
      <c r="AD15" s="11" t="s">
        <v>2274</v>
      </c>
    </row>
    <row r="16">
      <c r="B16" s="12" t="s">
        <v>0</v>
      </c>
      <c r="C16" s="11" t="s">
        <v>22</v>
      </c>
      <c r="D16" s="11" t="s">
        <v>2099</v>
      </c>
      <c r="E16" s="12" t="s">
        <v>1135</v>
      </c>
      <c r="F16" s="12" t="s">
        <v>1</v>
      </c>
      <c r="G16" s="12" t="s">
        <v>1302</v>
      </c>
      <c r="H16" s="12" t="s">
        <v>1302</v>
      </c>
      <c r="I16" s="12" t="s">
        <v>1312</v>
      </c>
      <c r="J16" s="12" t="s">
        <v>2177</v>
      </c>
      <c r="K16" s="12" t="s">
        <v>2179</v>
      </c>
      <c r="L16" s="13" t="s">
        <v>0</v>
      </c>
      <c r="M16" s="11" t="s">
        <v>2190</v>
      </c>
      <c r="N16" s="11" t="s">
        <v>1326</v>
      </c>
      <c r="O16" s="11" t="s">
        <v>1871</v>
      </c>
      <c r="P16" s="11" t="s">
        <v>1306</v>
      </c>
      <c r="Q16" s="11" t="s">
        <v>1883</v>
      </c>
      <c r="R16" s="11" t="s">
        <v>1307</v>
      </c>
      <c r="S16" s="11" t="s">
        <v>1307</v>
      </c>
      <c r="T16" s="11" t="s">
        <v>1890</v>
      </c>
      <c r="U16" s="11" t="s">
        <v>2253</v>
      </c>
      <c r="V16" s="11" t="s">
        <v>2256</v>
      </c>
      <c r="W16" s="11" t="s">
        <v>0</v>
      </c>
      <c r="X16" s="11" t="s">
        <v>0</v>
      </c>
      <c r="Y16" s="11" t="s">
        <v>0</v>
      </c>
      <c r="Z16" s="11" t="s">
        <v>0</v>
      </c>
      <c r="AA16" s="11" t="s">
        <v>0</v>
      </c>
      <c r="AB16" s="11" t="s">
        <v>0</v>
      </c>
      <c r="AC16" s="11" t="s">
        <v>0</v>
      </c>
      <c r="AD16" s="11" t="s">
        <v>2275</v>
      </c>
    </row>
    <row r="17">
      <c r="B17" s="12" t="s">
        <v>0</v>
      </c>
      <c r="C17" s="11" t="s">
        <v>23</v>
      </c>
      <c r="D17" s="11" t="s">
        <v>2100</v>
      </c>
      <c r="E17" s="12" t="s">
        <v>1137</v>
      </c>
      <c r="F17" s="12" t="s">
        <v>8</v>
      </c>
      <c r="G17" s="12" t="s">
        <v>2175</v>
      </c>
      <c r="H17" s="12" t="s">
        <v>1306</v>
      </c>
      <c r="I17" s="12" t="s">
        <v>1312</v>
      </c>
      <c r="J17" s="12" t="s">
        <v>2177</v>
      </c>
      <c r="K17" s="12" t="s">
        <v>2180</v>
      </c>
      <c r="L17" s="13" t="s">
        <v>0</v>
      </c>
      <c r="M17" s="11" t="s">
        <v>2191</v>
      </c>
      <c r="N17" s="11" t="s">
        <v>2236</v>
      </c>
      <c r="O17" s="11" t="s">
        <v>1869</v>
      </c>
      <c r="P17" s="11" t="s">
        <v>1306</v>
      </c>
      <c r="Q17" s="11" t="s">
        <v>1883</v>
      </c>
      <c r="R17" s="11" t="s">
        <v>1307</v>
      </c>
      <c r="S17" s="11" t="s">
        <v>1307</v>
      </c>
      <c r="T17" s="11" t="s">
        <v>1890</v>
      </c>
      <c r="U17" s="11" t="s">
        <v>2253</v>
      </c>
      <c r="V17" s="11" t="s">
        <v>2256</v>
      </c>
      <c r="W17" s="11" t="s">
        <v>1959</v>
      </c>
      <c r="X17" s="11" t="s">
        <v>0</v>
      </c>
      <c r="Y17" s="11" t="s">
        <v>0</v>
      </c>
      <c r="Z17" s="11" t="s">
        <v>0</v>
      </c>
      <c r="AA17" s="11" t="s">
        <v>0</v>
      </c>
      <c r="AB17" s="11" t="s">
        <v>0</v>
      </c>
      <c r="AC17" s="11" t="s">
        <v>0</v>
      </c>
      <c r="AD17" s="11" t="s">
        <v>2221</v>
      </c>
    </row>
    <row r="18">
      <c r="B18" s="12" t="s">
        <v>0</v>
      </c>
      <c r="C18" s="11" t="s">
        <v>24</v>
      </c>
      <c r="D18" s="11" t="s">
        <v>2101</v>
      </c>
      <c r="E18" s="12" t="s">
        <v>1137</v>
      </c>
      <c r="F18" s="12" t="s">
        <v>6</v>
      </c>
      <c r="G18" s="12" t="s">
        <v>1302</v>
      </c>
      <c r="H18" s="12" t="s">
        <v>1302</v>
      </c>
      <c r="I18" s="12" t="s">
        <v>1312</v>
      </c>
      <c r="J18" s="12" t="s">
        <v>2177</v>
      </c>
      <c r="K18" s="12" t="s">
        <v>2179</v>
      </c>
      <c r="L18" s="13" t="s">
        <v>0</v>
      </c>
      <c r="M18" s="11" t="s">
        <v>2192</v>
      </c>
      <c r="N18" s="11" t="s">
        <v>2237</v>
      </c>
      <c r="O18" s="11" t="s">
        <v>1871</v>
      </c>
      <c r="P18" s="11" t="s">
        <v>1306</v>
      </c>
      <c r="Q18" s="11" t="s">
        <v>1883</v>
      </c>
      <c r="R18" s="11" t="s">
        <v>1307</v>
      </c>
      <c r="S18" s="11" t="s">
        <v>1307</v>
      </c>
      <c r="T18" s="11" t="s">
        <v>1890</v>
      </c>
      <c r="U18" s="11" t="s">
        <v>2253</v>
      </c>
      <c r="V18" s="11" t="s">
        <v>2256</v>
      </c>
      <c r="W18" s="11" t="s">
        <v>1959</v>
      </c>
      <c r="X18" s="11" t="s">
        <v>0</v>
      </c>
      <c r="Y18" s="11" t="s">
        <v>0</v>
      </c>
      <c r="Z18" s="11" t="s">
        <v>0</v>
      </c>
      <c r="AA18" s="11" t="s">
        <v>0</v>
      </c>
      <c r="AB18" s="11" t="s">
        <v>0</v>
      </c>
      <c r="AC18" s="11" t="s">
        <v>0</v>
      </c>
      <c r="AD18" s="11" t="s">
        <v>2221</v>
      </c>
    </row>
    <row r="19">
      <c r="B19" s="12" t="s">
        <v>0</v>
      </c>
      <c r="C19" s="11" t="s">
        <v>25</v>
      </c>
      <c r="D19" s="11" t="s">
        <v>2102</v>
      </c>
      <c r="E19" s="12" t="s">
        <v>1137</v>
      </c>
      <c r="F19" s="12" t="s">
        <v>1273</v>
      </c>
      <c r="G19" s="12" t="s">
        <v>1302</v>
      </c>
      <c r="H19" s="12" t="s">
        <v>1302</v>
      </c>
      <c r="I19" s="12" t="s">
        <v>1312</v>
      </c>
      <c r="J19" s="12" t="s">
        <v>2177</v>
      </c>
      <c r="K19" s="12" t="s">
        <v>2180</v>
      </c>
      <c r="L19" s="13" t="s">
        <v>0</v>
      </c>
      <c r="M19" s="11" t="s">
        <v>2193</v>
      </c>
      <c r="N19" s="11" t="s">
        <v>2238</v>
      </c>
      <c r="O19" s="11" t="s">
        <v>1869</v>
      </c>
      <c r="P19" s="11" t="s">
        <v>1306</v>
      </c>
      <c r="Q19" s="11" t="s">
        <v>1883</v>
      </c>
      <c r="R19" s="11" t="s">
        <v>0</v>
      </c>
      <c r="S19" s="11" t="s">
        <v>1306</v>
      </c>
      <c r="T19" s="11" t="s">
        <v>1890</v>
      </c>
      <c r="U19" s="11" t="s">
        <v>1959</v>
      </c>
      <c r="V19" s="11" t="s">
        <v>1968</v>
      </c>
      <c r="W19" s="11" t="s">
        <v>2259</v>
      </c>
      <c r="X19" s="11" t="s">
        <v>0</v>
      </c>
      <c r="Y19" s="11" t="s">
        <v>0</v>
      </c>
      <c r="Z19" s="11" t="s">
        <v>0</v>
      </c>
      <c r="AA19" s="11" t="s">
        <v>0</v>
      </c>
      <c r="AB19" s="11" t="s">
        <v>0</v>
      </c>
      <c r="AC19" s="11" t="s">
        <v>0</v>
      </c>
      <c r="AD19" s="11" t="s">
        <v>2221</v>
      </c>
    </row>
    <row r="20">
      <c r="B20" s="12" t="s">
        <v>0</v>
      </c>
      <c r="C20" s="11" t="s">
        <v>26</v>
      </c>
      <c r="D20" s="11" t="s">
        <v>2103</v>
      </c>
      <c r="E20" s="12" t="s">
        <v>1137</v>
      </c>
      <c r="F20" s="12" t="s">
        <v>1274</v>
      </c>
      <c r="G20" s="12" t="s">
        <v>1304</v>
      </c>
      <c r="H20" s="12" t="s">
        <v>1306</v>
      </c>
      <c r="I20" s="12" t="s">
        <v>1312</v>
      </c>
      <c r="J20" s="12" t="s">
        <v>2177</v>
      </c>
      <c r="K20" s="12" t="s">
        <v>2180</v>
      </c>
      <c r="L20" s="13" t="s">
        <v>0</v>
      </c>
      <c r="M20" s="11" t="s">
        <v>2194</v>
      </c>
      <c r="N20" s="11" t="s">
        <v>2239</v>
      </c>
      <c r="O20" s="11" t="s">
        <v>1871</v>
      </c>
      <c r="P20" s="11" t="s">
        <v>1306</v>
      </c>
      <c r="Q20" s="11" t="s">
        <v>1883</v>
      </c>
      <c r="R20" s="11" t="s">
        <v>1307</v>
      </c>
      <c r="S20" s="11" t="s">
        <v>1307</v>
      </c>
      <c r="T20" s="11" t="s">
        <v>1893</v>
      </c>
      <c r="U20" s="11" t="s">
        <v>2253</v>
      </c>
      <c r="V20" s="11" t="s">
        <v>2256</v>
      </c>
      <c r="W20" s="11" t="s">
        <v>1959</v>
      </c>
      <c r="X20" s="11" t="s">
        <v>2263</v>
      </c>
      <c r="Y20" s="11" t="s">
        <v>0</v>
      </c>
      <c r="Z20" s="11" t="s">
        <v>0</v>
      </c>
      <c r="AA20" s="11" t="s">
        <v>0</v>
      </c>
      <c r="AB20" s="11" t="s">
        <v>0</v>
      </c>
      <c r="AC20" s="11" t="s">
        <v>0</v>
      </c>
      <c r="AD20" s="11" t="s">
        <v>2276</v>
      </c>
    </row>
    <row r="21">
      <c r="B21" s="12" t="s">
        <v>0</v>
      </c>
      <c r="C21" s="11" t="s">
        <v>27</v>
      </c>
      <c r="D21" s="11" t="s">
        <v>2104</v>
      </c>
      <c r="E21" s="12" t="s">
        <v>1137</v>
      </c>
      <c r="F21" s="12" t="s">
        <v>1274</v>
      </c>
      <c r="G21" s="12" t="s">
        <v>1304</v>
      </c>
      <c r="H21" s="12" t="s">
        <v>1306</v>
      </c>
      <c r="I21" s="12" t="s">
        <v>1312</v>
      </c>
      <c r="J21" s="12" t="s">
        <v>2177</v>
      </c>
      <c r="K21" s="12" t="s">
        <v>2180</v>
      </c>
      <c r="L21" s="13" t="s">
        <v>0</v>
      </c>
      <c r="M21" s="11" t="s">
        <v>2194</v>
      </c>
      <c r="N21" s="11" t="s">
        <v>2240</v>
      </c>
      <c r="O21" s="11" t="s">
        <v>1871</v>
      </c>
      <c r="P21" s="11" t="s">
        <v>1306</v>
      </c>
      <c r="Q21" s="11" t="s">
        <v>1883</v>
      </c>
      <c r="R21" s="11" t="s">
        <v>1307</v>
      </c>
      <c r="S21" s="11" t="s">
        <v>1307</v>
      </c>
      <c r="T21" s="11" t="s">
        <v>1893</v>
      </c>
      <c r="U21" s="11" t="s">
        <v>2254</v>
      </c>
      <c r="V21" s="11" t="s">
        <v>0</v>
      </c>
      <c r="W21" s="11" t="s">
        <v>0</v>
      </c>
      <c r="X21" s="11" t="s">
        <v>2263</v>
      </c>
      <c r="Y21" s="11" t="s">
        <v>0</v>
      </c>
      <c r="Z21" s="11" t="s">
        <v>0</v>
      </c>
      <c r="AA21" s="11" t="s">
        <v>0</v>
      </c>
      <c r="AB21" s="11" t="s">
        <v>0</v>
      </c>
      <c r="AC21" s="11" t="s">
        <v>0</v>
      </c>
      <c r="AD21" s="11" t="s">
        <v>2277</v>
      </c>
    </row>
    <row r="22">
      <c r="B22" s="12" t="s">
        <v>0</v>
      </c>
      <c r="C22" s="11" t="s">
        <v>28</v>
      </c>
      <c r="D22" s="11" t="s">
        <v>2105</v>
      </c>
      <c r="E22" s="12" t="s">
        <v>1138</v>
      </c>
      <c r="F22" s="12" t="s">
        <v>1273</v>
      </c>
      <c r="G22" s="12" t="s">
        <v>1304</v>
      </c>
      <c r="H22" s="12" t="s">
        <v>1306</v>
      </c>
      <c r="I22" s="12" t="s">
        <v>1312</v>
      </c>
      <c r="J22" s="12" t="s">
        <v>2177</v>
      </c>
      <c r="K22" s="12" t="s">
        <v>2180</v>
      </c>
      <c r="L22" s="13" t="s">
        <v>0</v>
      </c>
      <c r="M22" s="11" t="s">
        <v>1365</v>
      </c>
      <c r="N22" s="11" t="s">
        <v>1326</v>
      </c>
      <c r="O22" s="11" t="s">
        <v>1871</v>
      </c>
      <c r="P22" s="11" t="s">
        <v>1306</v>
      </c>
      <c r="Q22" s="11" t="s">
        <v>1883</v>
      </c>
      <c r="R22" s="11" t="s">
        <v>1307</v>
      </c>
      <c r="S22" s="11" t="s">
        <v>1307</v>
      </c>
      <c r="T22" s="11" t="s">
        <v>1890</v>
      </c>
      <c r="U22" s="11" t="s">
        <v>2253</v>
      </c>
      <c r="V22" s="11" t="s">
        <v>2256</v>
      </c>
      <c r="W22" s="11" t="s">
        <v>0</v>
      </c>
      <c r="X22" s="11" t="s">
        <v>0</v>
      </c>
      <c r="Y22" s="11" t="s">
        <v>0</v>
      </c>
      <c r="Z22" s="11" t="s">
        <v>0</v>
      </c>
      <c r="AA22" s="11" t="s">
        <v>0</v>
      </c>
      <c r="AB22" s="11" t="s">
        <v>0</v>
      </c>
      <c r="AC22" s="11" t="s">
        <v>0</v>
      </c>
      <c r="AD22" s="11" t="s">
        <v>2275</v>
      </c>
    </row>
    <row r="23">
      <c r="B23" s="12" t="s">
        <v>0</v>
      </c>
      <c r="C23" s="11" t="s">
        <v>29</v>
      </c>
      <c r="D23" s="11" t="s">
        <v>2106</v>
      </c>
      <c r="E23" s="12" t="s">
        <v>1139</v>
      </c>
      <c r="F23" s="12" t="s">
        <v>5</v>
      </c>
      <c r="G23" s="12" t="s">
        <v>1303</v>
      </c>
      <c r="H23" s="12" t="s">
        <v>1306</v>
      </c>
      <c r="I23" s="12" t="s">
        <v>1312</v>
      </c>
      <c r="J23" s="12" t="s">
        <v>2177</v>
      </c>
      <c r="K23" s="12" t="s">
        <v>2179</v>
      </c>
      <c r="L23" s="13" t="s">
        <v>0</v>
      </c>
      <c r="M23" s="11" t="s">
        <v>2195</v>
      </c>
      <c r="N23" s="11" t="s">
        <v>2241</v>
      </c>
      <c r="O23" s="11" t="s">
        <v>1871</v>
      </c>
      <c r="P23" s="11" t="s">
        <v>1306</v>
      </c>
      <c r="Q23" s="11" t="s">
        <v>1883</v>
      </c>
      <c r="R23" s="11" t="s">
        <v>1307</v>
      </c>
      <c r="S23" s="11" t="s">
        <v>1307</v>
      </c>
      <c r="T23" s="11" t="s">
        <v>1890</v>
      </c>
      <c r="U23" s="11" t="s">
        <v>2253</v>
      </c>
      <c r="V23" s="11" t="s">
        <v>2256</v>
      </c>
      <c r="W23" s="11" t="s">
        <v>1959</v>
      </c>
      <c r="X23" s="11" t="s">
        <v>0</v>
      </c>
      <c r="Y23" s="11" t="s">
        <v>0</v>
      </c>
      <c r="Z23" s="11" t="s">
        <v>0</v>
      </c>
      <c r="AA23" s="11" t="s">
        <v>0</v>
      </c>
      <c r="AB23" s="11" t="s">
        <v>0</v>
      </c>
      <c r="AC23" s="11" t="s">
        <v>0</v>
      </c>
      <c r="AD23" s="11" t="s">
        <v>2278</v>
      </c>
    </row>
    <row r="24">
      <c r="B24" s="12" t="s">
        <v>0</v>
      </c>
      <c r="C24" s="11" t="s">
        <v>30</v>
      </c>
      <c r="D24" s="11" t="s">
        <v>2107</v>
      </c>
      <c r="E24" s="12" t="s">
        <v>1139</v>
      </c>
      <c r="F24" s="12" t="s">
        <v>1</v>
      </c>
      <c r="G24" s="12" t="s">
        <v>1304</v>
      </c>
      <c r="H24" s="12" t="s">
        <v>1306</v>
      </c>
      <c r="I24" s="12" t="s">
        <v>1312</v>
      </c>
      <c r="J24" s="12" t="s">
        <v>2177</v>
      </c>
      <c r="K24" s="12" t="s">
        <v>2180</v>
      </c>
      <c r="L24" s="13" t="s">
        <v>0</v>
      </c>
      <c r="M24" s="11" t="s">
        <v>2196</v>
      </c>
      <c r="N24" s="11" t="s">
        <v>0</v>
      </c>
      <c r="O24" s="11" t="s">
        <v>1871</v>
      </c>
      <c r="P24" s="11" t="s">
        <v>1306</v>
      </c>
      <c r="Q24" s="11" t="s">
        <v>1883</v>
      </c>
      <c r="R24" s="11" t="s">
        <v>1307</v>
      </c>
      <c r="S24" s="11" t="s">
        <v>1307</v>
      </c>
      <c r="T24" s="11" t="s">
        <v>1890</v>
      </c>
      <c r="U24" s="11" t="s">
        <v>2253</v>
      </c>
      <c r="V24" s="11" t="s">
        <v>2256</v>
      </c>
      <c r="W24" s="11" t="s">
        <v>1959</v>
      </c>
      <c r="X24" s="11" t="s">
        <v>0</v>
      </c>
      <c r="Y24" s="11" t="s">
        <v>0</v>
      </c>
      <c r="Z24" s="11" t="s">
        <v>0</v>
      </c>
      <c r="AA24" s="11" t="s">
        <v>0</v>
      </c>
      <c r="AB24" s="11" t="s">
        <v>0</v>
      </c>
      <c r="AC24" s="11" t="s">
        <v>0</v>
      </c>
      <c r="AD24" s="11" t="s">
        <v>2278</v>
      </c>
    </row>
    <row r="25">
      <c r="B25" s="12" t="s">
        <v>0</v>
      </c>
      <c r="C25" s="11" t="s">
        <v>31</v>
      </c>
      <c r="D25" s="11" t="s">
        <v>2108</v>
      </c>
      <c r="E25" s="12" t="s">
        <v>2153</v>
      </c>
      <c r="F25" s="12" t="s">
        <v>7</v>
      </c>
      <c r="G25" s="12" t="s">
        <v>2175</v>
      </c>
      <c r="H25" s="12" t="s">
        <v>1306</v>
      </c>
      <c r="I25" s="12" t="s">
        <v>1312</v>
      </c>
      <c r="J25" s="12" t="s">
        <v>2177</v>
      </c>
      <c r="K25" s="12" t="s">
        <v>2180</v>
      </c>
      <c r="L25" s="13" t="s">
        <v>1307</v>
      </c>
      <c r="M25" s="11" t="s">
        <v>2197</v>
      </c>
      <c r="N25" s="11" t="s">
        <v>1326</v>
      </c>
      <c r="O25" s="11" t="s">
        <v>1872</v>
      </c>
      <c r="P25" s="11" t="s">
        <v>1306</v>
      </c>
      <c r="Q25" s="11" t="s">
        <v>1883</v>
      </c>
      <c r="R25" s="11" t="s">
        <v>1307</v>
      </c>
      <c r="S25" s="11" t="s">
        <v>1307</v>
      </c>
      <c r="T25" s="11" t="s">
        <v>1893</v>
      </c>
      <c r="U25" s="11" t="s">
        <v>2253</v>
      </c>
      <c r="V25" s="11" t="s">
        <v>2256</v>
      </c>
      <c r="W25" s="11" t="s">
        <v>0</v>
      </c>
      <c r="X25" s="11" t="s">
        <v>2263</v>
      </c>
      <c r="Y25" s="11" t="s">
        <v>0</v>
      </c>
      <c r="Z25" s="11" t="s">
        <v>0</v>
      </c>
      <c r="AA25" s="11" t="s">
        <v>0</v>
      </c>
      <c r="AB25" s="11" t="s">
        <v>2265</v>
      </c>
      <c r="AC25" s="11" t="s">
        <v>0</v>
      </c>
      <c r="AD25" s="11" t="s">
        <v>2274</v>
      </c>
    </row>
    <row r="26">
      <c r="B26" s="12" t="s">
        <v>0</v>
      </c>
      <c r="C26" s="11" t="s">
        <v>32</v>
      </c>
      <c r="D26" s="11" t="s">
        <v>2109</v>
      </c>
      <c r="E26" s="12" t="s">
        <v>2154</v>
      </c>
      <c r="F26" s="12" t="s">
        <v>8</v>
      </c>
      <c r="G26" s="12" t="s">
        <v>1304</v>
      </c>
      <c r="H26" s="12" t="s">
        <v>1306</v>
      </c>
      <c r="I26" s="12" t="s">
        <v>1312</v>
      </c>
      <c r="J26" s="12" t="s">
        <v>2177</v>
      </c>
      <c r="K26" s="12" t="s">
        <v>2180</v>
      </c>
      <c r="L26" s="13" t="s">
        <v>0</v>
      </c>
      <c r="M26" s="11" t="s">
        <v>2198</v>
      </c>
      <c r="N26" s="11" t="s">
        <v>1326</v>
      </c>
      <c r="O26" s="11" t="s">
        <v>1871</v>
      </c>
      <c r="P26" s="11" t="s">
        <v>1306</v>
      </c>
      <c r="Q26" s="11" t="s">
        <v>1883</v>
      </c>
      <c r="R26" s="11" t="s">
        <v>1307</v>
      </c>
      <c r="S26" s="11" t="s">
        <v>1307</v>
      </c>
      <c r="T26" s="11" t="s">
        <v>1890</v>
      </c>
      <c r="U26" s="11" t="s">
        <v>2253</v>
      </c>
      <c r="V26" s="11" t="s">
        <v>2256</v>
      </c>
      <c r="W26" s="11" t="s">
        <v>0</v>
      </c>
      <c r="X26" s="11" t="s">
        <v>0</v>
      </c>
      <c r="Y26" s="11" t="s">
        <v>0</v>
      </c>
      <c r="Z26" s="11" t="s">
        <v>0</v>
      </c>
      <c r="AA26" s="11" t="s">
        <v>0</v>
      </c>
      <c r="AB26" s="11" t="s">
        <v>0</v>
      </c>
      <c r="AC26" s="11" t="s">
        <v>0</v>
      </c>
      <c r="AD26" s="11" t="s">
        <v>2275</v>
      </c>
    </row>
    <row r="27">
      <c r="B27" s="12" t="s">
        <v>0</v>
      </c>
      <c r="C27" s="11" t="s">
        <v>33</v>
      </c>
      <c r="D27" s="11" t="s">
        <v>2110</v>
      </c>
      <c r="E27" s="12" t="s">
        <v>2155</v>
      </c>
      <c r="F27" s="12" t="s">
        <v>1</v>
      </c>
      <c r="G27" s="12" t="s">
        <v>1302</v>
      </c>
      <c r="H27" s="12" t="s">
        <v>1302</v>
      </c>
      <c r="I27" s="12" t="s">
        <v>1312</v>
      </c>
      <c r="J27" s="12" t="s">
        <v>2177</v>
      </c>
      <c r="K27" s="12" t="s">
        <v>2179</v>
      </c>
      <c r="L27" s="13" t="s">
        <v>0</v>
      </c>
      <c r="M27" s="11" t="s">
        <v>2199</v>
      </c>
      <c r="N27" s="11" t="s">
        <v>2242</v>
      </c>
      <c r="O27" s="11" t="s">
        <v>1871</v>
      </c>
      <c r="P27" s="11" t="s">
        <v>1306</v>
      </c>
      <c r="Q27" s="11" t="s">
        <v>1883</v>
      </c>
      <c r="R27" s="11" t="s">
        <v>1307</v>
      </c>
      <c r="S27" s="11" t="s">
        <v>1307</v>
      </c>
      <c r="T27" s="11" t="s">
        <v>1890</v>
      </c>
      <c r="U27" s="11" t="s">
        <v>2253</v>
      </c>
      <c r="V27" s="11" t="s">
        <v>2256</v>
      </c>
      <c r="W27" s="11" t="s">
        <v>0</v>
      </c>
      <c r="X27" s="11" t="s">
        <v>0</v>
      </c>
      <c r="Y27" s="11" t="s">
        <v>0</v>
      </c>
      <c r="Z27" s="11" t="s">
        <v>0</v>
      </c>
      <c r="AA27" s="11" t="s">
        <v>0</v>
      </c>
      <c r="AB27" s="11" t="s">
        <v>0</v>
      </c>
      <c r="AC27" s="11" t="s">
        <v>0</v>
      </c>
      <c r="AD27" s="11" t="s">
        <v>2275</v>
      </c>
    </row>
    <row r="28">
      <c r="B28" s="12" t="s">
        <v>0</v>
      </c>
      <c r="C28" s="11" t="s">
        <v>34</v>
      </c>
      <c r="D28" s="11" t="s">
        <v>2111</v>
      </c>
      <c r="E28" s="12" t="s">
        <v>2156</v>
      </c>
      <c r="F28" s="12" t="s">
        <v>1</v>
      </c>
      <c r="G28" s="12" t="s">
        <v>1302</v>
      </c>
      <c r="H28" s="12" t="s">
        <v>1302</v>
      </c>
      <c r="I28" s="12" t="s">
        <v>1312</v>
      </c>
      <c r="J28" s="12" t="s">
        <v>2177</v>
      </c>
      <c r="K28" s="12" t="s">
        <v>2180</v>
      </c>
      <c r="L28" s="13" t="s">
        <v>0</v>
      </c>
      <c r="M28" s="11" t="s">
        <v>2200</v>
      </c>
      <c r="N28" s="11" t="s">
        <v>1326</v>
      </c>
      <c r="O28" s="11" t="s">
        <v>1871</v>
      </c>
      <c r="P28" s="11" t="s">
        <v>1306</v>
      </c>
      <c r="Q28" s="11" t="s">
        <v>1883</v>
      </c>
      <c r="R28" s="11" t="s">
        <v>1307</v>
      </c>
      <c r="S28" s="11" t="s">
        <v>1307</v>
      </c>
      <c r="T28" s="11" t="s">
        <v>1890</v>
      </c>
      <c r="U28" s="11" t="s">
        <v>2253</v>
      </c>
      <c r="V28" s="11" t="s">
        <v>2256</v>
      </c>
      <c r="W28" s="11" t="s">
        <v>0</v>
      </c>
      <c r="X28" s="11" t="s">
        <v>0</v>
      </c>
      <c r="Y28" s="11" t="s">
        <v>0</v>
      </c>
      <c r="Z28" s="11" t="s">
        <v>0</v>
      </c>
      <c r="AA28" s="11" t="s">
        <v>0</v>
      </c>
      <c r="AB28" s="11" t="s">
        <v>0</v>
      </c>
      <c r="AC28" s="11" t="s">
        <v>0</v>
      </c>
      <c r="AD28" s="11" t="s">
        <v>2275</v>
      </c>
    </row>
    <row r="29">
      <c r="B29" s="12" t="s">
        <v>0</v>
      </c>
      <c r="C29" s="11" t="s">
        <v>35</v>
      </c>
      <c r="D29" s="11" t="s">
        <v>2112</v>
      </c>
      <c r="E29" s="12" t="s">
        <v>2157</v>
      </c>
      <c r="F29" s="12" t="s">
        <v>1272</v>
      </c>
      <c r="G29" s="12" t="s">
        <v>1304</v>
      </c>
      <c r="H29" s="12" t="s">
        <v>1306</v>
      </c>
      <c r="I29" s="12" t="s">
        <v>1312</v>
      </c>
      <c r="J29" s="12" t="s">
        <v>2177</v>
      </c>
      <c r="K29" s="12" t="s">
        <v>2179</v>
      </c>
      <c r="L29" s="13" t="s">
        <v>0</v>
      </c>
      <c r="M29" s="11" t="s">
        <v>2201</v>
      </c>
      <c r="N29" s="11" t="s">
        <v>1326</v>
      </c>
      <c r="O29" s="11" t="s">
        <v>1871</v>
      </c>
      <c r="P29" s="11" t="s">
        <v>1306</v>
      </c>
      <c r="Q29" s="11" t="s">
        <v>1883</v>
      </c>
      <c r="R29" s="11" t="s">
        <v>1307</v>
      </c>
      <c r="S29" s="11" t="s">
        <v>1307</v>
      </c>
      <c r="T29" s="11" t="s">
        <v>1890</v>
      </c>
      <c r="U29" s="11" t="s">
        <v>2253</v>
      </c>
      <c r="V29" s="11" t="s">
        <v>2256</v>
      </c>
      <c r="W29" s="11" t="s">
        <v>0</v>
      </c>
      <c r="X29" s="11" t="s">
        <v>0</v>
      </c>
      <c r="Y29" s="11" t="s">
        <v>0</v>
      </c>
      <c r="Z29" s="11" t="s">
        <v>0</v>
      </c>
      <c r="AA29" s="11" t="s">
        <v>0</v>
      </c>
      <c r="AB29" s="11" t="s">
        <v>0</v>
      </c>
      <c r="AC29" s="11" t="s">
        <v>0</v>
      </c>
      <c r="AD29" s="11" t="s">
        <v>2275</v>
      </c>
    </row>
    <row r="30">
      <c r="B30" s="12" t="s">
        <v>0</v>
      </c>
      <c r="C30" s="11" t="s">
        <v>36</v>
      </c>
      <c r="D30" s="11" t="s">
        <v>2113</v>
      </c>
      <c r="E30" s="12" t="s">
        <v>2158</v>
      </c>
      <c r="F30" s="12" t="s">
        <v>1276</v>
      </c>
      <c r="G30" s="12" t="s">
        <v>1302</v>
      </c>
      <c r="H30" s="12" t="s">
        <v>1302</v>
      </c>
      <c r="I30" s="12" t="s">
        <v>1312</v>
      </c>
      <c r="J30" s="12" t="s">
        <v>2177</v>
      </c>
      <c r="K30" s="12" t="s">
        <v>2180</v>
      </c>
      <c r="L30" s="13" t="s">
        <v>1307</v>
      </c>
      <c r="M30" s="11" t="s">
        <v>2202</v>
      </c>
      <c r="N30" s="11" t="s">
        <v>1326</v>
      </c>
      <c r="O30" s="11" t="s">
        <v>1871</v>
      </c>
      <c r="P30" s="11" t="s">
        <v>1306</v>
      </c>
      <c r="Q30" s="11" t="s">
        <v>1883</v>
      </c>
      <c r="R30" s="11" t="s">
        <v>1307</v>
      </c>
      <c r="S30" s="11" t="s">
        <v>1307</v>
      </c>
      <c r="T30" s="11" t="s">
        <v>1893</v>
      </c>
      <c r="U30" s="11" t="s">
        <v>2253</v>
      </c>
      <c r="V30" s="11" t="s">
        <v>0</v>
      </c>
      <c r="W30" s="11" t="s">
        <v>0</v>
      </c>
      <c r="X30" s="11" t="s">
        <v>2263</v>
      </c>
      <c r="Y30" s="11" t="s">
        <v>0</v>
      </c>
      <c r="Z30" s="11" t="s">
        <v>0</v>
      </c>
      <c r="AA30" s="11" t="s">
        <v>0</v>
      </c>
      <c r="AB30" s="11" t="s">
        <v>2265</v>
      </c>
      <c r="AC30" s="11" t="s">
        <v>0</v>
      </c>
      <c r="AD30" s="11" t="s">
        <v>2279</v>
      </c>
    </row>
    <row r="31">
      <c r="B31" s="12" t="s">
        <v>0</v>
      </c>
      <c r="C31" s="11" t="s">
        <v>37</v>
      </c>
      <c r="D31" s="11" t="s">
        <v>2114</v>
      </c>
      <c r="E31" s="12" t="s">
        <v>1161</v>
      </c>
      <c r="F31" s="12" t="s">
        <v>5</v>
      </c>
      <c r="G31" s="12" t="s">
        <v>2175</v>
      </c>
      <c r="H31" s="12" t="s">
        <v>1306</v>
      </c>
      <c r="I31" s="12" t="s">
        <v>1310</v>
      </c>
      <c r="J31" s="12" t="s">
        <v>2177</v>
      </c>
      <c r="K31" s="12" t="s">
        <v>2179</v>
      </c>
      <c r="L31" s="13" t="s">
        <v>1307</v>
      </c>
      <c r="M31" s="11" t="s">
        <v>2203</v>
      </c>
      <c r="N31" s="11" t="s">
        <v>1837</v>
      </c>
      <c r="O31" s="11" t="s">
        <v>1873</v>
      </c>
      <c r="P31" s="11" t="s">
        <v>1307</v>
      </c>
      <c r="Q31" s="11" t="s">
        <v>1882</v>
      </c>
      <c r="R31" s="11" t="s">
        <v>1307</v>
      </c>
      <c r="S31" s="11" t="s">
        <v>1307</v>
      </c>
      <c r="T31" s="11" t="s">
        <v>1893</v>
      </c>
      <c r="U31" s="11" t="s">
        <v>2252</v>
      </c>
      <c r="V31" s="11" t="s">
        <v>2256</v>
      </c>
      <c r="W31" s="11" t="s">
        <v>0</v>
      </c>
      <c r="X31" s="11" t="s">
        <v>2254</v>
      </c>
      <c r="Y31" s="11" t="s">
        <v>0</v>
      </c>
      <c r="Z31" s="11" t="s">
        <v>0</v>
      </c>
      <c r="AA31" s="11" t="s">
        <v>0</v>
      </c>
      <c r="AB31" s="11" t="s">
        <v>2265</v>
      </c>
      <c r="AC31" s="11" t="s">
        <v>0</v>
      </c>
      <c r="AD31" s="11" t="s">
        <v>2280</v>
      </c>
    </row>
    <row r="32">
      <c r="B32" s="12" t="s">
        <v>0</v>
      </c>
      <c r="C32" s="11" t="s">
        <v>38</v>
      </c>
      <c r="D32" s="11" t="s">
        <v>2115</v>
      </c>
      <c r="E32" s="12" t="s">
        <v>1161</v>
      </c>
      <c r="F32" s="12" t="s">
        <v>5</v>
      </c>
      <c r="G32" s="12" t="s">
        <v>1302</v>
      </c>
      <c r="H32" s="12" t="s">
        <v>1302</v>
      </c>
      <c r="I32" s="12" t="s">
        <v>1310</v>
      </c>
      <c r="J32" s="12" t="s">
        <v>2177</v>
      </c>
      <c r="K32" s="12" t="s">
        <v>2180</v>
      </c>
      <c r="L32" s="13" t="s">
        <v>0</v>
      </c>
      <c r="M32" s="11" t="s">
        <v>2204</v>
      </c>
      <c r="N32" s="11" t="s">
        <v>0</v>
      </c>
      <c r="O32" s="11" t="s">
        <v>0</v>
      </c>
      <c r="P32" s="11" t="s">
        <v>0</v>
      </c>
      <c r="Q32" s="11" t="s">
        <v>0</v>
      </c>
      <c r="R32" s="11" t="s">
        <v>0</v>
      </c>
      <c r="S32" s="11" t="s">
        <v>1307</v>
      </c>
      <c r="T32" s="11" t="s">
        <v>1893</v>
      </c>
      <c r="U32" s="11" t="s">
        <v>2255</v>
      </c>
      <c r="V32" s="11" t="s">
        <v>1959</v>
      </c>
      <c r="W32" s="11" t="s">
        <v>0</v>
      </c>
      <c r="X32" s="11" t="s">
        <v>2263</v>
      </c>
      <c r="Y32" s="11" t="s">
        <v>0</v>
      </c>
      <c r="Z32" s="11" t="s">
        <v>0</v>
      </c>
      <c r="AA32" s="11" t="s">
        <v>0</v>
      </c>
      <c r="AB32" s="11" t="s">
        <v>0</v>
      </c>
      <c r="AC32" s="11" t="s">
        <v>0</v>
      </c>
      <c r="AD32" s="11" t="s">
        <v>2281</v>
      </c>
    </row>
    <row r="33">
      <c r="B33" s="12" t="s">
        <v>0</v>
      </c>
      <c r="C33" s="11" t="s">
        <v>39</v>
      </c>
      <c r="D33" s="11" t="s">
        <v>2116</v>
      </c>
      <c r="E33" s="12" t="s">
        <v>2159</v>
      </c>
      <c r="F33" s="12" t="s">
        <v>3</v>
      </c>
      <c r="G33" s="12" t="s">
        <v>2175</v>
      </c>
      <c r="H33" s="12" t="s">
        <v>1306</v>
      </c>
      <c r="I33" s="12" t="s">
        <v>1310</v>
      </c>
      <c r="J33" s="12" t="s">
        <v>2177</v>
      </c>
      <c r="K33" s="12" t="s">
        <v>2180</v>
      </c>
      <c r="L33" s="13" t="s">
        <v>0</v>
      </c>
      <c r="M33" s="11" t="s">
        <v>2205</v>
      </c>
      <c r="N33" s="11" t="s">
        <v>2243</v>
      </c>
      <c r="O33" s="11" t="s">
        <v>1873</v>
      </c>
      <c r="P33" s="11" t="s">
        <v>1307</v>
      </c>
      <c r="Q33" s="11" t="s">
        <v>1882</v>
      </c>
      <c r="R33" s="11" t="s">
        <v>1307</v>
      </c>
      <c r="S33" s="11" t="s">
        <v>1307</v>
      </c>
      <c r="T33" s="11" t="s">
        <v>1892</v>
      </c>
      <c r="U33" s="11" t="s">
        <v>2252</v>
      </c>
      <c r="V33" s="11" t="s">
        <v>0</v>
      </c>
      <c r="W33" s="11" t="s">
        <v>0</v>
      </c>
      <c r="X33" s="11" t="s">
        <v>0</v>
      </c>
      <c r="Y33" s="11" t="s">
        <v>0</v>
      </c>
      <c r="Z33" s="11" t="s">
        <v>0</v>
      </c>
      <c r="AA33" s="11" t="s">
        <v>0</v>
      </c>
      <c r="AB33" s="11" t="s">
        <v>0</v>
      </c>
      <c r="AC33" s="11" t="s">
        <v>0</v>
      </c>
      <c r="AD33" s="11" t="s">
        <v>2282</v>
      </c>
    </row>
    <row r="34">
      <c r="B34" s="12" t="s">
        <v>0</v>
      </c>
      <c r="C34" s="11" t="s">
        <v>40</v>
      </c>
      <c r="D34" s="11" t="s">
        <v>2117</v>
      </c>
      <c r="E34" s="12" t="s">
        <v>1164</v>
      </c>
      <c r="F34" s="12" t="s">
        <v>2</v>
      </c>
      <c r="G34" s="12" t="s">
        <v>1304</v>
      </c>
      <c r="H34" s="12" t="s">
        <v>1306</v>
      </c>
      <c r="I34" s="12" t="s">
        <v>1311</v>
      </c>
      <c r="J34" s="12" t="s">
        <v>2177</v>
      </c>
      <c r="K34" s="12" t="s">
        <v>2179</v>
      </c>
      <c r="L34" s="13" t="s">
        <v>0</v>
      </c>
      <c r="M34" s="11" t="s">
        <v>2206</v>
      </c>
      <c r="N34" s="11" t="s">
        <v>1326</v>
      </c>
      <c r="O34" s="11" t="s">
        <v>1867</v>
      </c>
      <c r="P34" s="11" t="s">
        <v>1307</v>
      </c>
      <c r="Q34" s="11" t="s">
        <v>1882</v>
      </c>
      <c r="R34" s="11" t="s">
        <v>1307</v>
      </c>
      <c r="S34" s="11" t="s">
        <v>1307</v>
      </c>
      <c r="T34" s="11" t="s">
        <v>1890</v>
      </c>
      <c r="U34" s="11" t="s">
        <v>2252</v>
      </c>
      <c r="V34" s="11" t="s">
        <v>2256</v>
      </c>
      <c r="W34" s="11" t="s">
        <v>0</v>
      </c>
      <c r="X34" s="11" t="s">
        <v>0</v>
      </c>
      <c r="Y34" s="11" t="s">
        <v>0</v>
      </c>
      <c r="Z34" s="11" t="s">
        <v>0</v>
      </c>
      <c r="AA34" s="11" t="s">
        <v>0</v>
      </c>
      <c r="AB34" s="11" t="s">
        <v>0</v>
      </c>
      <c r="AC34" s="11" t="s">
        <v>0</v>
      </c>
      <c r="AD34" s="11" t="s">
        <v>2272</v>
      </c>
    </row>
    <row r="35">
      <c r="B35" s="12" t="s">
        <v>0</v>
      </c>
      <c r="C35" s="11" t="s">
        <v>41</v>
      </c>
      <c r="D35" s="11" t="s">
        <v>2118</v>
      </c>
      <c r="E35" s="12" t="s">
        <v>1164</v>
      </c>
      <c r="F35" s="12" t="s">
        <v>6</v>
      </c>
      <c r="G35" s="12" t="s">
        <v>1302</v>
      </c>
      <c r="H35" s="12" t="s">
        <v>1302</v>
      </c>
      <c r="I35" s="12" t="s">
        <v>1311</v>
      </c>
      <c r="J35" s="12" t="s">
        <v>2177</v>
      </c>
      <c r="K35" s="12" t="s">
        <v>2180</v>
      </c>
      <c r="L35" s="13" t="s">
        <v>0</v>
      </c>
      <c r="M35" s="11" t="s">
        <v>2207</v>
      </c>
      <c r="N35" s="11" t="s">
        <v>1326</v>
      </c>
      <c r="O35" s="11" t="s">
        <v>1867</v>
      </c>
      <c r="P35" s="11" t="s">
        <v>1307</v>
      </c>
      <c r="Q35" s="11" t="s">
        <v>1882</v>
      </c>
      <c r="R35" s="11" t="s">
        <v>0</v>
      </c>
      <c r="S35" s="11" t="s">
        <v>1306</v>
      </c>
      <c r="T35" s="11" t="s">
        <v>1890</v>
      </c>
      <c r="U35" s="11" t="s">
        <v>2256</v>
      </c>
      <c r="V35" s="11" t="s">
        <v>1959</v>
      </c>
      <c r="W35" s="11" t="s">
        <v>0</v>
      </c>
      <c r="X35" s="11" t="s">
        <v>0</v>
      </c>
      <c r="Y35" s="11" t="s">
        <v>0</v>
      </c>
      <c r="Z35" s="11" t="s">
        <v>0</v>
      </c>
      <c r="AA35" s="11" t="s">
        <v>0</v>
      </c>
      <c r="AB35" s="11" t="s">
        <v>0</v>
      </c>
      <c r="AC35" s="11" t="s">
        <v>0</v>
      </c>
      <c r="AD35" s="11" t="s">
        <v>2283</v>
      </c>
    </row>
    <row r="36">
      <c r="B36" s="12" t="s">
        <v>0</v>
      </c>
      <c r="C36" s="11" t="s">
        <v>42</v>
      </c>
      <c r="D36" s="11" t="s">
        <v>2119</v>
      </c>
      <c r="E36" s="12" t="s">
        <v>1164</v>
      </c>
      <c r="F36" s="12" t="s">
        <v>7</v>
      </c>
      <c r="G36" s="12" t="s">
        <v>1302</v>
      </c>
      <c r="H36" s="12" t="s">
        <v>1302</v>
      </c>
      <c r="I36" s="12" t="s">
        <v>1311</v>
      </c>
      <c r="J36" s="12" t="s">
        <v>2177</v>
      </c>
      <c r="K36" s="12" t="s">
        <v>2179</v>
      </c>
      <c r="L36" s="13" t="s">
        <v>0</v>
      </c>
      <c r="M36" s="11" t="s">
        <v>2208</v>
      </c>
      <c r="N36" s="11" t="s">
        <v>1326</v>
      </c>
      <c r="O36" s="11" t="s">
        <v>1867</v>
      </c>
      <c r="P36" s="11" t="s">
        <v>1307</v>
      </c>
      <c r="Q36" s="11" t="s">
        <v>1882</v>
      </c>
      <c r="R36" s="11" t="s">
        <v>0</v>
      </c>
      <c r="S36" s="11" t="s">
        <v>1306</v>
      </c>
      <c r="T36" s="11" t="s">
        <v>1890</v>
      </c>
      <c r="U36" s="11" t="s">
        <v>2256</v>
      </c>
      <c r="V36" s="11" t="s">
        <v>1959</v>
      </c>
      <c r="W36" s="11" t="s">
        <v>0</v>
      </c>
      <c r="X36" s="11" t="s">
        <v>0</v>
      </c>
      <c r="Y36" s="11" t="s">
        <v>0</v>
      </c>
      <c r="Z36" s="11" t="s">
        <v>0</v>
      </c>
      <c r="AA36" s="11" t="s">
        <v>0</v>
      </c>
      <c r="AB36" s="11" t="s">
        <v>0</v>
      </c>
      <c r="AC36" s="11" t="s">
        <v>0</v>
      </c>
      <c r="AD36" s="11" t="s">
        <v>2283</v>
      </c>
    </row>
    <row r="37">
      <c r="B37" s="12" t="s">
        <v>0</v>
      </c>
      <c r="C37" s="11" t="s">
        <v>43</v>
      </c>
      <c r="D37" s="11" t="s">
        <v>2120</v>
      </c>
      <c r="E37" s="12" t="s">
        <v>1164</v>
      </c>
      <c r="F37" s="12" t="s">
        <v>7</v>
      </c>
      <c r="G37" s="12" t="s">
        <v>1302</v>
      </c>
      <c r="H37" s="12" t="s">
        <v>1302</v>
      </c>
      <c r="I37" s="12" t="s">
        <v>1311</v>
      </c>
      <c r="J37" s="12" t="s">
        <v>2177</v>
      </c>
      <c r="K37" s="12" t="s">
        <v>2180</v>
      </c>
      <c r="L37" s="13" t="s">
        <v>0</v>
      </c>
      <c r="M37" s="11" t="s">
        <v>2209</v>
      </c>
      <c r="N37" s="11" t="s">
        <v>1326</v>
      </c>
      <c r="O37" s="11" t="s">
        <v>1867</v>
      </c>
      <c r="P37" s="11" t="s">
        <v>1307</v>
      </c>
      <c r="Q37" s="11" t="s">
        <v>1882</v>
      </c>
      <c r="R37" s="11" t="s">
        <v>0</v>
      </c>
      <c r="S37" s="11" t="s">
        <v>1307</v>
      </c>
      <c r="T37" s="11" t="s">
        <v>1890</v>
      </c>
      <c r="U37" s="11" t="s">
        <v>2256</v>
      </c>
      <c r="V37" s="11" t="s">
        <v>0</v>
      </c>
      <c r="W37" s="11" t="s">
        <v>0</v>
      </c>
      <c r="X37" s="11" t="s">
        <v>0</v>
      </c>
      <c r="Y37" s="11" t="s">
        <v>0</v>
      </c>
      <c r="Z37" s="11" t="s">
        <v>0</v>
      </c>
      <c r="AA37" s="11" t="s">
        <v>0</v>
      </c>
      <c r="AB37" s="11" t="s">
        <v>0</v>
      </c>
      <c r="AC37" s="11" t="s">
        <v>0</v>
      </c>
      <c r="AD37" s="11" t="s">
        <v>2284</v>
      </c>
    </row>
    <row r="38">
      <c r="B38" s="12" t="s">
        <v>0</v>
      </c>
      <c r="C38" s="11" t="s">
        <v>44</v>
      </c>
      <c r="D38" s="11" t="s">
        <v>2121</v>
      </c>
      <c r="E38" s="12" t="s">
        <v>1164</v>
      </c>
      <c r="F38" s="12" t="s">
        <v>2</v>
      </c>
      <c r="G38" s="12" t="s">
        <v>1302</v>
      </c>
      <c r="H38" s="12" t="s">
        <v>1302</v>
      </c>
      <c r="I38" s="12" t="s">
        <v>1311</v>
      </c>
      <c r="J38" s="12" t="s">
        <v>2177</v>
      </c>
      <c r="K38" s="12" t="s">
        <v>0</v>
      </c>
      <c r="L38" s="13" t="s">
        <v>0</v>
      </c>
      <c r="M38" s="11" t="s">
        <v>0</v>
      </c>
      <c r="N38" s="11" t="s">
        <v>2244</v>
      </c>
      <c r="O38" s="11" t="s">
        <v>0</v>
      </c>
      <c r="P38" s="11" t="s">
        <v>0</v>
      </c>
      <c r="Q38" s="11" t="s">
        <v>0</v>
      </c>
      <c r="R38" s="11" t="s">
        <v>0</v>
      </c>
      <c r="S38" s="11" t="s">
        <v>1307</v>
      </c>
      <c r="T38" s="11" t="s">
        <v>1891</v>
      </c>
      <c r="U38" s="11" t="s">
        <v>2256</v>
      </c>
      <c r="V38" s="11" t="s">
        <v>1959</v>
      </c>
      <c r="W38" s="11" t="s">
        <v>0</v>
      </c>
      <c r="X38" s="11" t="s">
        <v>0</v>
      </c>
      <c r="Y38" s="11" t="s">
        <v>0</v>
      </c>
      <c r="Z38" s="11" t="s">
        <v>0</v>
      </c>
      <c r="AA38" s="11" t="s">
        <v>0</v>
      </c>
      <c r="AB38" s="11" t="s">
        <v>0</v>
      </c>
      <c r="AC38" s="11" t="s">
        <v>0</v>
      </c>
      <c r="AD38" s="11" t="s">
        <v>2285</v>
      </c>
    </row>
    <row r="39">
      <c r="B39" s="12" t="s">
        <v>0</v>
      </c>
      <c r="C39" s="11" t="s">
        <v>45</v>
      </c>
      <c r="D39" s="11" t="s">
        <v>2122</v>
      </c>
      <c r="E39" s="12" t="s">
        <v>1164</v>
      </c>
      <c r="F39" s="12" t="s">
        <v>1273</v>
      </c>
      <c r="G39" s="12" t="s">
        <v>1302</v>
      </c>
      <c r="H39" s="12" t="s">
        <v>1302</v>
      </c>
      <c r="I39" s="12" t="s">
        <v>1311</v>
      </c>
      <c r="J39" s="12" t="s">
        <v>2177</v>
      </c>
      <c r="K39" s="12" t="s">
        <v>2179</v>
      </c>
      <c r="L39" s="13" t="s">
        <v>0</v>
      </c>
      <c r="M39" s="11" t="s">
        <v>2210</v>
      </c>
      <c r="N39" s="11" t="s">
        <v>1326</v>
      </c>
      <c r="O39" s="11" t="s">
        <v>1867</v>
      </c>
      <c r="P39" s="11" t="s">
        <v>1307</v>
      </c>
      <c r="Q39" s="11" t="s">
        <v>1882</v>
      </c>
      <c r="R39" s="11" t="s">
        <v>1307</v>
      </c>
      <c r="S39" s="11" t="s">
        <v>1307</v>
      </c>
      <c r="T39" s="11" t="s">
        <v>1890</v>
      </c>
      <c r="U39" s="11" t="s">
        <v>2252</v>
      </c>
      <c r="V39" s="11" t="s">
        <v>2256</v>
      </c>
      <c r="W39" s="11" t="s">
        <v>0</v>
      </c>
      <c r="X39" s="11" t="s">
        <v>0</v>
      </c>
      <c r="Y39" s="11" t="s">
        <v>0</v>
      </c>
      <c r="Z39" s="11" t="s">
        <v>0</v>
      </c>
      <c r="AA39" s="11" t="s">
        <v>0</v>
      </c>
      <c r="AB39" s="11" t="s">
        <v>0</v>
      </c>
      <c r="AC39" s="11" t="s">
        <v>0</v>
      </c>
      <c r="AD39" s="11" t="s">
        <v>2272</v>
      </c>
    </row>
    <row r="40">
      <c r="B40" s="12" t="s">
        <v>0</v>
      </c>
      <c r="C40" s="11" t="s">
        <v>46</v>
      </c>
      <c r="D40" s="11" t="s">
        <v>2123</v>
      </c>
      <c r="E40" s="12" t="s">
        <v>2160</v>
      </c>
      <c r="F40" s="12" t="s">
        <v>1273</v>
      </c>
      <c r="G40" s="12" t="s">
        <v>1304</v>
      </c>
      <c r="H40" s="12" t="s">
        <v>1306</v>
      </c>
      <c r="I40" s="12" t="s">
        <v>1311</v>
      </c>
      <c r="J40" s="12" t="s">
        <v>2177</v>
      </c>
      <c r="K40" s="12" t="s">
        <v>2180</v>
      </c>
      <c r="L40" s="13" t="s">
        <v>1307</v>
      </c>
      <c r="M40" s="11" t="s">
        <v>2211</v>
      </c>
      <c r="N40" s="11" t="s">
        <v>1326</v>
      </c>
      <c r="O40" s="11" t="s">
        <v>1870</v>
      </c>
      <c r="P40" s="11" t="s">
        <v>1307</v>
      </c>
      <c r="Q40" s="11" t="s">
        <v>1882</v>
      </c>
      <c r="R40" s="11" t="s">
        <v>1307</v>
      </c>
      <c r="S40" s="11" t="s">
        <v>1307</v>
      </c>
      <c r="T40" s="11" t="s">
        <v>1893</v>
      </c>
      <c r="U40" s="11" t="s">
        <v>2252</v>
      </c>
      <c r="V40" s="11" t="s">
        <v>2256</v>
      </c>
      <c r="W40" s="11" t="s">
        <v>0</v>
      </c>
      <c r="X40" s="11" t="s">
        <v>2263</v>
      </c>
      <c r="Y40" s="11" t="s">
        <v>0</v>
      </c>
      <c r="Z40" s="11" t="s">
        <v>0</v>
      </c>
      <c r="AA40" s="11" t="s">
        <v>0</v>
      </c>
      <c r="AB40" s="11" t="s">
        <v>2265</v>
      </c>
      <c r="AC40" s="11" t="s">
        <v>0</v>
      </c>
      <c r="AD40" s="11" t="s">
        <v>2286</v>
      </c>
    </row>
    <row r="41">
      <c r="B41" s="12" t="s">
        <v>0</v>
      </c>
      <c r="C41" s="11" t="s">
        <v>47</v>
      </c>
      <c r="D41" s="11" t="s">
        <v>2124</v>
      </c>
      <c r="E41" s="12" t="s">
        <v>2160</v>
      </c>
      <c r="F41" s="12" t="s">
        <v>4</v>
      </c>
      <c r="G41" s="12" t="s">
        <v>0</v>
      </c>
      <c r="H41" s="12" t="s">
        <v>0</v>
      </c>
      <c r="I41" s="12" t="s">
        <v>1311</v>
      </c>
      <c r="J41" s="12" t="s">
        <v>0</v>
      </c>
      <c r="K41" s="12" t="s">
        <v>2180</v>
      </c>
      <c r="L41" s="13" t="s">
        <v>1307</v>
      </c>
      <c r="M41" s="11" t="s">
        <v>2212</v>
      </c>
      <c r="N41" s="11" t="s">
        <v>0</v>
      </c>
      <c r="O41" s="11" t="s">
        <v>0</v>
      </c>
      <c r="P41" s="11" t="s">
        <v>0</v>
      </c>
      <c r="Q41" s="11" t="s">
        <v>0</v>
      </c>
      <c r="R41" s="11" t="s">
        <v>0</v>
      </c>
      <c r="S41" s="11" t="s">
        <v>1307</v>
      </c>
      <c r="T41" s="11" t="s">
        <v>1893</v>
      </c>
      <c r="U41" s="11" t="s">
        <v>0</v>
      </c>
      <c r="V41" s="11" t="s">
        <v>0</v>
      </c>
      <c r="W41" s="11" t="s">
        <v>0</v>
      </c>
      <c r="X41" s="11" t="s">
        <v>2263</v>
      </c>
      <c r="Y41" s="11" t="s">
        <v>0</v>
      </c>
      <c r="Z41" s="11" t="s">
        <v>0</v>
      </c>
      <c r="AA41" s="11" t="s">
        <v>0</v>
      </c>
      <c r="AB41" s="11" t="s">
        <v>2265</v>
      </c>
      <c r="AC41" s="11" t="s">
        <v>0</v>
      </c>
      <c r="AD41" s="11" t="s">
        <v>2287</v>
      </c>
    </row>
    <row r="42">
      <c r="B42" s="12" t="s">
        <v>0</v>
      </c>
      <c r="C42" s="11" t="s">
        <v>48</v>
      </c>
      <c r="D42" s="11" t="s">
        <v>2125</v>
      </c>
      <c r="E42" s="12" t="s">
        <v>1168</v>
      </c>
      <c r="F42" s="12" t="s">
        <v>1280</v>
      </c>
      <c r="G42" s="12" t="s">
        <v>1302</v>
      </c>
      <c r="H42" s="12" t="s">
        <v>1302</v>
      </c>
      <c r="I42" s="12" t="s">
        <v>1311</v>
      </c>
      <c r="J42" s="12" t="s">
        <v>2177</v>
      </c>
      <c r="K42" s="12" t="s">
        <v>2179</v>
      </c>
      <c r="L42" s="13" t="s">
        <v>0</v>
      </c>
      <c r="M42" s="11" t="s">
        <v>2213</v>
      </c>
      <c r="N42" s="11" t="s">
        <v>1326</v>
      </c>
      <c r="O42" s="11" t="s">
        <v>1871</v>
      </c>
      <c r="P42" s="11" t="s">
        <v>1306</v>
      </c>
      <c r="Q42" s="11" t="s">
        <v>1883</v>
      </c>
      <c r="R42" s="11" t="s">
        <v>1307</v>
      </c>
      <c r="S42" s="11" t="s">
        <v>1307</v>
      </c>
      <c r="T42" s="11" t="s">
        <v>1891</v>
      </c>
      <c r="U42" s="11" t="s">
        <v>2253</v>
      </c>
      <c r="V42" s="11" t="s">
        <v>2256</v>
      </c>
      <c r="W42" s="11" t="s">
        <v>1959</v>
      </c>
      <c r="X42" s="11" t="s">
        <v>2254</v>
      </c>
      <c r="Y42" s="11" t="s">
        <v>0</v>
      </c>
      <c r="Z42" s="11" t="s">
        <v>0</v>
      </c>
      <c r="AA42" s="11" t="s">
        <v>0</v>
      </c>
      <c r="AB42" s="11" t="s">
        <v>0</v>
      </c>
      <c r="AC42" s="11" t="s">
        <v>0</v>
      </c>
      <c r="AD42" s="11" t="s">
        <v>2288</v>
      </c>
    </row>
    <row r="43">
      <c r="B43" s="12" t="s">
        <v>0</v>
      </c>
      <c r="C43" s="11" t="s">
        <v>49</v>
      </c>
      <c r="D43" s="11" t="s">
        <v>2126</v>
      </c>
      <c r="E43" s="12" t="s">
        <v>2161</v>
      </c>
      <c r="F43" s="12" t="s">
        <v>6</v>
      </c>
      <c r="G43" s="12" t="s">
        <v>1302</v>
      </c>
      <c r="H43" s="12" t="s">
        <v>1302</v>
      </c>
      <c r="I43" s="12" t="s">
        <v>1311</v>
      </c>
      <c r="J43" s="12" t="s">
        <v>2177</v>
      </c>
      <c r="K43" s="12" t="s">
        <v>2180</v>
      </c>
      <c r="L43" s="13" t="s">
        <v>1307</v>
      </c>
      <c r="M43" s="11" t="s">
        <v>2214</v>
      </c>
      <c r="N43" s="11" t="s">
        <v>2245</v>
      </c>
      <c r="O43" s="11" t="s">
        <v>1871</v>
      </c>
      <c r="P43" s="11" t="s">
        <v>1306</v>
      </c>
      <c r="Q43" s="11" t="s">
        <v>1883</v>
      </c>
      <c r="R43" s="11" t="s">
        <v>1307</v>
      </c>
      <c r="S43" s="11" t="s">
        <v>1307</v>
      </c>
      <c r="T43" s="11" t="s">
        <v>1893</v>
      </c>
      <c r="U43" s="11" t="s">
        <v>2253</v>
      </c>
      <c r="V43" s="11" t="s">
        <v>2256</v>
      </c>
      <c r="W43" s="11" t="s">
        <v>0</v>
      </c>
      <c r="X43" s="11" t="s">
        <v>2263</v>
      </c>
      <c r="Y43" s="11" t="s">
        <v>0</v>
      </c>
      <c r="Z43" s="11" t="s">
        <v>0</v>
      </c>
      <c r="AA43" s="11" t="s">
        <v>0</v>
      </c>
      <c r="AB43" s="11" t="s">
        <v>2265</v>
      </c>
      <c r="AC43" s="11" t="s">
        <v>0</v>
      </c>
      <c r="AD43" s="11" t="s">
        <v>2274</v>
      </c>
    </row>
    <row r="44">
      <c r="B44" s="12" t="s">
        <v>0</v>
      </c>
      <c r="C44" s="11" t="s">
        <v>50</v>
      </c>
      <c r="D44" s="11" t="s">
        <v>2127</v>
      </c>
      <c r="E44" s="12" t="s">
        <v>1175</v>
      </c>
      <c r="F44" s="12" t="s">
        <v>5</v>
      </c>
      <c r="G44" s="12" t="s">
        <v>1302</v>
      </c>
      <c r="H44" s="12" t="s">
        <v>1302</v>
      </c>
      <c r="I44" s="12" t="s">
        <v>1311</v>
      </c>
      <c r="J44" s="12" t="s">
        <v>2177</v>
      </c>
      <c r="K44" s="12" t="s">
        <v>2179</v>
      </c>
      <c r="L44" s="13" t="s">
        <v>1307</v>
      </c>
      <c r="M44" s="11" t="s">
        <v>2215</v>
      </c>
      <c r="N44" s="11" t="s">
        <v>1326</v>
      </c>
      <c r="O44" s="11" t="s">
        <v>1876</v>
      </c>
      <c r="P44" s="11" t="s">
        <v>1306</v>
      </c>
      <c r="Q44" s="11" t="s">
        <v>1883</v>
      </c>
      <c r="R44" s="11" t="s">
        <v>1307</v>
      </c>
      <c r="S44" s="11" t="s">
        <v>1307</v>
      </c>
      <c r="T44" s="11" t="s">
        <v>1893</v>
      </c>
      <c r="U44" s="11" t="s">
        <v>2253</v>
      </c>
      <c r="V44" s="11" t="s">
        <v>0</v>
      </c>
      <c r="W44" s="11" t="s">
        <v>0</v>
      </c>
      <c r="X44" s="11" t="s">
        <v>2254</v>
      </c>
      <c r="Y44" s="11" t="s">
        <v>0</v>
      </c>
      <c r="Z44" s="11" t="s">
        <v>0</v>
      </c>
      <c r="AA44" s="11" t="s">
        <v>0</v>
      </c>
      <c r="AB44" s="11" t="s">
        <v>2265</v>
      </c>
      <c r="AC44" s="11" t="s">
        <v>0</v>
      </c>
      <c r="AD44" s="11" t="s">
        <v>2280</v>
      </c>
    </row>
    <row r="45">
      <c r="B45" s="12" t="s">
        <v>0</v>
      </c>
      <c r="C45" s="11" t="s">
        <v>51</v>
      </c>
      <c r="D45" s="11" t="s">
        <v>2128</v>
      </c>
      <c r="E45" s="12" t="s">
        <v>1175</v>
      </c>
      <c r="F45" s="12" t="s">
        <v>1273</v>
      </c>
      <c r="G45" s="12" t="s">
        <v>1304</v>
      </c>
      <c r="H45" s="12" t="s">
        <v>1306</v>
      </c>
      <c r="I45" s="12" t="s">
        <v>1311</v>
      </c>
      <c r="J45" s="12" t="s">
        <v>2177</v>
      </c>
      <c r="K45" s="12" t="s">
        <v>2180</v>
      </c>
      <c r="L45" s="13" t="s">
        <v>0</v>
      </c>
      <c r="M45" s="11" t="s">
        <v>2216</v>
      </c>
      <c r="N45" s="11" t="s">
        <v>1326</v>
      </c>
      <c r="O45" s="11" t="s">
        <v>1876</v>
      </c>
      <c r="P45" s="11" t="s">
        <v>1306</v>
      </c>
      <c r="Q45" s="11" t="s">
        <v>1883</v>
      </c>
      <c r="R45" s="11" t="s">
        <v>1307</v>
      </c>
      <c r="S45" s="11" t="s">
        <v>1307</v>
      </c>
      <c r="T45" s="11" t="s">
        <v>1890</v>
      </c>
      <c r="U45" s="11" t="s">
        <v>2253</v>
      </c>
      <c r="V45" s="11" t="s">
        <v>2256</v>
      </c>
      <c r="W45" s="11" t="s">
        <v>1959</v>
      </c>
      <c r="X45" s="11" t="s">
        <v>0</v>
      </c>
      <c r="Y45" s="11" t="s">
        <v>0</v>
      </c>
      <c r="Z45" s="11" t="s">
        <v>0</v>
      </c>
      <c r="AA45" s="11" t="s">
        <v>0</v>
      </c>
      <c r="AB45" s="11" t="s">
        <v>0</v>
      </c>
      <c r="AC45" s="11" t="s">
        <v>0</v>
      </c>
      <c r="AD45" s="11" t="s">
        <v>2289</v>
      </c>
    </row>
    <row r="46">
      <c r="B46" s="12" t="s">
        <v>0</v>
      </c>
      <c r="C46" s="11" t="s">
        <v>52</v>
      </c>
      <c r="D46" s="11" t="s">
        <v>2129</v>
      </c>
      <c r="E46" s="12" t="s">
        <v>1175</v>
      </c>
      <c r="F46" s="12" t="s">
        <v>8</v>
      </c>
      <c r="G46" s="12" t="s">
        <v>1304</v>
      </c>
      <c r="H46" s="12" t="s">
        <v>1306</v>
      </c>
      <c r="I46" s="12" t="s">
        <v>1311</v>
      </c>
      <c r="J46" s="12" t="s">
        <v>2177</v>
      </c>
      <c r="K46" s="12" t="s">
        <v>2179</v>
      </c>
      <c r="L46" s="13" t="s">
        <v>1307</v>
      </c>
      <c r="M46" s="11" t="s">
        <v>2217</v>
      </c>
      <c r="N46" s="11" t="s">
        <v>1326</v>
      </c>
      <c r="O46" s="11" t="s">
        <v>1876</v>
      </c>
      <c r="P46" s="11" t="s">
        <v>1306</v>
      </c>
      <c r="Q46" s="11" t="s">
        <v>1883</v>
      </c>
      <c r="R46" s="11" t="s">
        <v>1307</v>
      </c>
      <c r="S46" s="11" t="s">
        <v>1307</v>
      </c>
      <c r="T46" s="11" t="s">
        <v>1893</v>
      </c>
      <c r="U46" s="11" t="s">
        <v>2256</v>
      </c>
      <c r="V46" s="11" t="s">
        <v>0</v>
      </c>
      <c r="W46" s="11" t="s">
        <v>0</v>
      </c>
      <c r="X46" s="11" t="s">
        <v>2254</v>
      </c>
      <c r="Y46" s="11" t="s">
        <v>0</v>
      </c>
      <c r="Z46" s="11" t="s">
        <v>0</v>
      </c>
      <c r="AA46" s="11" t="s">
        <v>0</v>
      </c>
      <c r="AB46" s="11" t="s">
        <v>2265</v>
      </c>
      <c r="AC46" s="11" t="s">
        <v>0</v>
      </c>
      <c r="AD46" s="11" t="s">
        <v>2280</v>
      </c>
    </row>
    <row r="47">
      <c r="B47" s="12" t="s">
        <v>0</v>
      </c>
      <c r="C47" s="11" t="s">
        <v>53</v>
      </c>
      <c r="D47" s="11" t="s">
        <v>2130</v>
      </c>
      <c r="E47" s="12" t="s">
        <v>1176</v>
      </c>
      <c r="F47" s="12" t="s">
        <v>1</v>
      </c>
      <c r="G47" s="12" t="s">
        <v>2175</v>
      </c>
      <c r="H47" s="12" t="s">
        <v>1306</v>
      </c>
      <c r="I47" s="12" t="s">
        <v>1311</v>
      </c>
      <c r="J47" s="12" t="s">
        <v>2177</v>
      </c>
      <c r="K47" s="12" t="s">
        <v>2180</v>
      </c>
      <c r="L47" s="13" t="s">
        <v>1307</v>
      </c>
      <c r="M47" s="11" t="s">
        <v>2218</v>
      </c>
      <c r="N47" s="11" t="s">
        <v>1841</v>
      </c>
      <c r="O47" s="11" t="s">
        <v>1875</v>
      </c>
      <c r="P47" s="11" t="s">
        <v>1307</v>
      </c>
      <c r="Q47" s="11" t="s">
        <v>1882</v>
      </c>
      <c r="R47" s="11" t="s">
        <v>1307</v>
      </c>
      <c r="S47" s="11" t="s">
        <v>1307</v>
      </c>
      <c r="T47" s="11" t="s">
        <v>1893</v>
      </c>
      <c r="U47" s="11" t="s">
        <v>2252</v>
      </c>
      <c r="V47" s="11" t="s">
        <v>2260</v>
      </c>
      <c r="W47" s="11" t="s">
        <v>0</v>
      </c>
      <c r="X47" s="11" t="s">
        <v>2263</v>
      </c>
      <c r="Y47" s="11" t="s">
        <v>0</v>
      </c>
      <c r="Z47" s="11" t="s">
        <v>0</v>
      </c>
      <c r="AA47" s="11" t="s">
        <v>0</v>
      </c>
      <c r="AB47" s="11" t="s">
        <v>2265</v>
      </c>
      <c r="AC47" s="11" t="s">
        <v>0</v>
      </c>
      <c r="AD47" s="11" t="s">
        <v>2274</v>
      </c>
    </row>
    <row r="48">
      <c r="B48" s="12" t="s">
        <v>0</v>
      </c>
      <c r="C48" s="11" t="s">
        <v>54</v>
      </c>
      <c r="D48" s="11" t="s">
        <v>2131</v>
      </c>
      <c r="E48" s="12" t="s">
        <v>1178</v>
      </c>
      <c r="F48" s="12" t="s">
        <v>1</v>
      </c>
      <c r="G48" s="12" t="s">
        <v>2175</v>
      </c>
      <c r="H48" s="12" t="s">
        <v>1306</v>
      </c>
      <c r="I48" s="12" t="s">
        <v>1311</v>
      </c>
      <c r="J48" s="12" t="s">
        <v>2177</v>
      </c>
      <c r="K48" s="12" t="s">
        <v>2179</v>
      </c>
      <c r="L48" s="13" t="s">
        <v>0</v>
      </c>
      <c r="M48" s="11" t="s">
        <v>2219</v>
      </c>
      <c r="N48" s="11" t="s">
        <v>1842</v>
      </c>
      <c r="O48" s="11" t="s">
        <v>1875</v>
      </c>
      <c r="P48" s="11" t="s">
        <v>1307</v>
      </c>
      <c r="Q48" s="11" t="s">
        <v>1882</v>
      </c>
      <c r="R48" s="11" t="s">
        <v>1307</v>
      </c>
      <c r="S48" s="11" t="s">
        <v>1307</v>
      </c>
      <c r="T48" s="11" t="s">
        <v>1891</v>
      </c>
      <c r="U48" s="11" t="s">
        <v>2257</v>
      </c>
      <c r="V48" s="11" t="s">
        <v>2256</v>
      </c>
      <c r="W48" s="11" t="s">
        <v>2261</v>
      </c>
      <c r="X48" s="11" t="s">
        <v>2254</v>
      </c>
      <c r="Y48" s="11" t="s">
        <v>0</v>
      </c>
      <c r="Z48" s="11" t="s">
        <v>0</v>
      </c>
      <c r="AA48" s="11" t="s">
        <v>0</v>
      </c>
      <c r="AB48" s="11" t="s">
        <v>0</v>
      </c>
      <c r="AC48" s="11" t="s">
        <v>0</v>
      </c>
      <c r="AD48" s="11" t="s">
        <v>2288</v>
      </c>
    </row>
    <row r="49">
      <c r="B49" s="12" t="s">
        <v>0</v>
      </c>
      <c r="C49" s="11" t="s">
        <v>55</v>
      </c>
      <c r="D49" s="11" t="s">
        <v>931</v>
      </c>
      <c r="E49" s="12" t="s">
        <v>1219</v>
      </c>
      <c r="F49" s="12" t="s">
        <v>1</v>
      </c>
      <c r="G49" s="12" t="s">
        <v>1302</v>
      </c>
      <c r="H49" s="12" t="s">
        <v>1306</v>
      </c>
      <c r="I49" s="12" t="s">
        <v>1312</v>
      </c>
      <c r="J49" s="12" t="s">
        <v>2177</v>
      </c>
      <c r="K49" s="12" t="s">
        <v>2179</v>
      </c>
      <c r="L49" s="13" t="s">
        <v>0</v>
      </c>
      <c r="M49" s="11" t="s">
        <v>2220</v>
      </c>
      <c r="N49" s="11" t="s">
        <v>0</v>
      </c>
      <c r="O49" s="11" t="s">
        <v>1871</v>
      </c>
      <c r="P49" s="11" t="s">
        <v>1306</v>
      </c>
      <c r="Q49" s="11" t="s">
        <v>1882</v>
      </c>
      <c r="R49" s="11" t="s">
        <v>0</v>
      </c>
      <c r="S49" s="11" t="s">
        <v>1307</v>
      </c>
      <c r="T49" s="11" t="s">
        <v>1891</v>
      </c>
      <c r="U49" s="11" t="s">
        <v>1897</v>
      </c>
      <c r="V49" s="11" t="s">
        <v>2261</v>
      </c>
      <c r="W49" s="11" t="s">
        <v>0</v>
      </c>
      <c r="X49" s="11" t="s">
        <v>2254</v>
      </c>
      <c r="Y49" s="11" t="s">
        <v>0</v>
      </c>
      <c r="Z49" s="11" t="s">
        <v>0</v>
      </c>
      <c r="AA49" s="11" t="s">
        <v>0</v>
      </c>
      <c r="AB49" s="11" t="s">
        <v>0</v>
      </c>
      <c r="AC49" s="11" t="s">
        <v>0</v>
      </c>
      <c r="AD49" s="11" t="s">
        <v>2288</v>
      </c>
    </row>
    <row r="50">
      <c r="B50" s="12" t="s">
        <v>0</v>
      </c>
      <c r="C50" s="11" t="s">
        <v>56</v>
      </c>
      <c r="D50" s="11" t="s">
        <v>2132</v>
      </c>
      <c r="E50" s="12" t="s">
        <v>2162</v>
      </c>
      <c r="F50" s="12" t="s">
        <v>3</v>
      </c>
      <c r="G50" s="12" t="s">
        <v>1302</v>
      </c>
      <c r="H50" s="12" t="s">
        <v>1306</v>
      </c>
      <c r="I50" s="12" t="s">
        <v>1311</v>
      </c>
      <c r="J50" s="12" t="s">
        <v>2177</v>
      </c>
      <c r="K50" s="12" t="s">
        <v>2179</v>
      </c>
      <c r="L50" s="13" t="s">
        <v>1307</v>
      </c>
      <c r="M50" s="11" t="s">
        <v>2221</v>
      </c>
      <c r="N50" s="11" t="s">
        <v>2246</v>
      </c>
      <c r="O50" s="11" t="s">
        <v>1871</v>
      </c>
      <c r="P50" s="11" t="s">
        <v>1306</v>
      </c>
      <c r="Q50" s="11" t="s">
        <v>1882</v>
      </c>
      <c r="R50" s="11" t="s">
        <v>1307</v>
      </c>
      <c r="S50" s="11" t="s">
        <v>1307</v>
      </c>
      <c r="T50" s="11" t="s">
        <v>1893</v>
      </c>
      <c r="U50" s="11" t="s">
        <v>2258</v>
      </c>
      <c r="V50" s="11" t="s">
        <v>0</v>
      </c>
      <c r="W50" s="11" t="s">
        <v>0</v>
      </c>
      <c r="X50" s="11" t="s">
        <v>2254</v>
      </c>
      <c r="Y50" s="11" t="s">
        <v>0</v>
      </c>
      <c r="Z50" s="11" t="s">
        <v>0</v>
      </c>
      <c r="AA50" s="11" t="s">
        <v>0</v>
      </c>
      <c r="AB50" s="11" t="s">
        <v>2265</v>
      </c>
      <c r="AC50" s="11" t="s">
        <v>0</v>
      </c>
      <c r="AD50" s="11" t="s">
        <v>2290</v>
      </c>
    </row>
    <row r="51">
      <c r="B51" s="12" t="s">
        <v>0</v>
      </c>
      <c r="C51" s="11" t="s">
        <v>57</v>
      </c>
      <c r="D51" s="11" t="s">
        <v>2133</v>
      </c>
      <c r="E51" s="12" t="s">
        <v>2163</v>
      </c>
      <c r="F51" s="12" t="s">
        <v>1</v>
      </c>
      <c r="G51" s="12" t="s">
        <v>1302</v>
      </c>
      <c r="H51" s="12" t="s">
        <v>1306</v>
      </c>
      <c r="I51" s="12" t="s">
        <v>1312</v>
      </c>
      <c r="J51" s="12" t="s">
        <v>2177</v>
      </c>
      <c r="K51" s="12" t="s">
        <v>2180</v>
      </c>
      <c r="L51" s="13" t="s">
        <v>1307</v>
      </c>
      <c r="M51" s="11" t="s">
        <v>2222</v>
      </c>
      <c r="N51" s="11" t="s">
        <v>0</v>
      </c>
      <c r="O51" s="11" t="s">
        <v>1871</v>
      </c>
      <c r="P51" s="11" t="s">
        <v>1306</v>
      </c>
      <c r="Q51" s="11" t="s">
        <v>1882</v>
      </c>
      <c r="R51" s="11" t="s">
        <v>0</v>
      </c>
      <c r="S51" s="11" t="s">
        <v>1307</v>
      </c>
      <c r="T51" s="11" t="s">
        <v>1893</v>
      </c>
      <c r="U51" s="11" t="s">
        <v>0</v>
      </c>
      <c r="V51" s="11" t="s">
        <v>0</v>
      </c>
      <c r="W51" s="11" t="s">
        <v>0</v>
      </c>
      <c r="X51" s="11" t="s">
        <v>2263</v>
      </c>
      <c r="Y51" s="11" t="s">
        <v>0</v>
      </c>
      <c r="Z51" s="11" t="s">
        <v>0</v>
      </c>
      <c r="AA51" s="11" t="s">
        <v>0</v>
      </c>
      <c r="AB51" s="11" t="s">
        <v>2265</v>
      </c>
      <c r="AC51" s="11" t="s">
        <v>0</v>
      </c>
      <c r="AD51" s="11" t="s">
        <v>2268</v>
      </c>
    </row>
    <row r="52">
      <c r="B52" s="12" t="s">
        <v>0</v>
      </c>
      <c r="C52" s="11" t="s">
        <v>58</v>
      </c>
      <c r="D52" s="11" t="s">
        <v>2134</v>
      </c>
      <c r="E52" s="12" t="s">
        <v>2164</v>
      </c>
      <c r="F52" s="12" t="s">
        <v>1</v>
      </c>
      <c r="G52" s="12" t="s">
        <v>1302</v>
      </c>
      <c r="H52" s="12" t="s">
        <v>1306</v>
      </c>
      <c r="I52" s="12" t="s">
        <v>1312</v>
      </c>
      <c r="J52" s="12" t="s">
        <v>2177</v>
      </c>
      <c r="K52" s="12" t="s">
        <v>2180</v>
      </c>
      <c r="L52" s="13" t="s">
        <v>1307</v>
      </c>
      <c r="M52" s="11" t="s">
        <v>2223</v>
      </c>
      <c r="N52" s="11" t="s">
        <v>0</v>
      </c>
      <c r="O52" s="11" t="s">
        <v>1871</v>
      </c>
      <c r="P52" s="11" t="s">
        <v>1306</v>
      </c>
      <c r="Q52" s="11" t="s">
        <v>1882</v>
      </c>
      <c r="R52" s="11" t="s">
        <v>0</v>
      </c>
      <c r="S52" s="11" t="s">
        <v>1307</v>
      </c>
      <c r="T52" s="11" t="s">
        <v>1893</v>
      </c>
      <c r="U52" s="11" t="s">
        <v>1959</v>
      </c>
      <c r="V52" s="11" t="s">
        <v>2261</v>
      </c>
      <c r="W52" s="11" t="s">
        <v>0</v>
      </c>
      <c r="X52" s="11" t="s">
        <v>2263</v>
      </c>
      <c r="Y52" s="11" t="s">
        <v>0</v>
      </c>
      <c r="Z52" s="11" t="s">
        <v>0</v>
      </c>
      <c r="AA52" s="11" t="s">
        <v>0</v>
      </c>
      <c r="AB52" s="11" t="s">
        <v>2265</v>
      </c>
      <c r="AC52" s="11" t="s">
        <v>0</v>
      </c>
      <c r="AD52" s="11" t="s">
        <v>2291</v>
      </c>
    </row>
    <row r="53">
      <c r="B53" s="12" t="s">
        <v>0</v>
      </c>
      <c r="C53" s="11" t="s">
        <v>59</v>
      </c>
      <c r="D53" s="11" t="s">
        <v>2135</v>
      </c>
      <c r="E53" s="12" t="s">
        <v>2165</v>
      </c>
      <c r="F53" s="12" t="s">
        <v>8</v>
      </c>
      <c r="G53" s="12" t="s">
        <v>1302</v>
      </c>
      <c r="H53" s="12" t="s">
        <v>1306</v>
      </c>
      <c r="I53" s="12" t="s">
        <v>1311</v>
      </c>
      <c r="J53" s="12" t="s">
        <v>2177</v>
      </c>
      <c r="K53" s="12" t="s">
        <v>2180</v>
      </c>
      <c r="L53" s="13" t="s">
        <v>0</v>
      </c>
      <c r="M53" s="11" t="s">
        <v>2224</v>
      </c>
      <c r="N53" s="11" t="s">
        <v>2247</v>
      </c>
      <c r="O53" s="11" t="s">
        <v>1871</v>
      </c>
      <c r="P53" s="11" t="s">
        <v>1306</v>
      </c>
      <c r="Q53" s="11" t="s">
        <v>1882</v>
      </c>
      <c r="R53" s="11" t="s">
        <v>1307</v>
      </c>
      <c r="S53" s="11" t="s">
        <v>1307</v>
      </c>
      <c r="T53" s="11" t="s">
        <v>0</v>
      </c>
      <c r="U53" s="11" t="s">
        <v>2259</v>
      </c>
      <c r="V53" s="11" t="s">
        <v>0</v>
      </c>
      <c r="W53" s="11" t="s">
        <v>0</v>
      </c>
      <c r="X53" s="11" t="s">
        <v>0</v>
      </c>
      <c r="Y53" s="11" t="s">
        <v>0</v>
      </c>
      <c r="Z53" s="11" t="s">
        <v>0</v>
      </c>
      <c r="AA53" s="11" t="s">
        <v>0</v>
      </c>
      <c r="AB53" s="11" t="s">
        <v>0</v>
      </c>
      <c r="AC53" s="11" t="s">
        <v>0</v>
      </c>
      <c r="AD53" s="11" t="s">
        <v>0</v>
      </c>
    </row>
    <row r="54">
      <c r="B54" s="12" t="s">
        <v>0</v>
      </c>
      <c r="C54" s="11" t="s">
        <v>60</v>
      </c>
      <c r="D54" s="11" t="s">
        <v>2136</v>
      </c>
      <c r="E54" s="12" t="s">
        <v>2166</v>
      </c>
      <c r="F54" s="12" t="s">
        <v>6</v>
      </c>
      <c r="G54" s="12" t="s">
        <v>1302</v>
      </c>
      <c r="H54" s="12" t="s">
        <v>1306</v>
      </c>
      <c r="I54" s="12" t="s">
        <v>1309</v>
      </c>
      <c r="J54" s="12" t="s">
        <v>2177</v>
      </c>
      <c r="K54" s="12" t="s">
        <v>2180</v>
      </c>
      <c r="L54" s="13" t="s">
        <v>0</v>
      </c>
      <c r="M54" s="11" t="s">
        <v>2225</v>
      </c>
      <c r="N54" s="11" t="s">
        <v>0</v>
      </c>
      <c r="O54" s="11" t="s">
        <v>1871</v>
      </c>
      <c r="P54" s="11" t="s">
        <v>1306</v>
      </c>
      <c r="Q54" s="11" t="s">
        <v>1882</v>
      </c>
      <c r="R54" s="11" t="s">
        <v>1307</v>
      </c>
      <c r="S54" s="11" t="s">
        <v>1307</v>
      </c>
      <c r="T54" s="11" t="s">
        <v>0</v>
      </c>
      <c r="U54" s="11" t="s">
        <v>2259</v>
      </c>
      <c r="V54" s="11" t="s">
        <v>0</v>
      </c>
      <c r="W54" s="11" t="s">
        <v>0</v>
      </c>
      <c r="X54" s="11" t="s">
        <v>0</v>
      </c>
      <c r="Y54" s="11" t="s">
        <v>0</v>
      </c>
      <c r="Z54" s="11" t="s">
        <v>0</v>
      </c>
      <c r="AA54" s="11" t="s">
        <v>0</v>
      </c>
      <c r="AB54" s="11" t="s">
        <v>0</v>
      </c>
      <c r="AC54" s="11" t="s">
        <v>0</v>
      </c>
      <c r="AD54" s="11" t="s">
        <v>0</v>
      </c>
    </row>
    <row r="55">
      <c r="B55" s="12" t="s">
        <v>0</v>
      </c>
      <c r="C55" s="11" t="s">
        <v>61</v>
      </c>
      <c r="D55" s="11" t="s">
        <v>2137</v>
      </c>
      <c r="E55" s="12" t="s">
        <v>2167</v>
      </c>
      <c r="F55" s="12" t="s">
        <v>1</v>
      </c>
      <c r="G55" s="12" t="s">
        <v>1302</v>
      </c>
      <c r="H55" s="12" t="s">
        <v>1306</v>
      </c>
      <c r="I55" s="12" t="s">
        <v>1309</v>
      </c>
      <c r="J55" s="12" t="s">
        <v>2177</v>
      </c>
      <c r="K55" s="12" t="s">
        <v>2180</v>
      </c>
      <c r="L55" s="13" t="s">
        <v>0</v>
      </c>
      <c r="M55" s="11" t="s">
        <v>2226</v>
      </c>
      <c r="N55" s="11" t="s">
        <v>2248</v>
      </c>
      <c r="O55" s="11" t="s">
        <v>1871</v>
      </c>
      <c r="P55" s="11" t="s">
        <v>1306</v>
      </c>
      <c r="Q55" s="11" t="s">
        <v>1882</v>
      </c>
      <c r="R55" s="11" t="s">
        <v>1307</v>
      </c>
      <c r="S55" s="11" t="s">
        <v>1307</v>
      </c>
      <c r="T55" s="11" t="s">
        <v>0</v>
      </c>
      <c r="U55" s="11" t="s">
        <v>2259</v>
      </c>
      <c r="V55" s="11" t="s">
        <v>0</v>
      </c>
      <c r="W55" s="11" t="s">
        <v>0</v>
      </c>
      <c r="X55" s="11" t="s">
        <v>0</v>
      </c>
      <c r="Y55" s="11" t="s">
        <v>0</v>
      </c>
      <c r="Z55" s="11" t="s">
        <v>0</v>
      </c>
      <c r="AA55" s="11" t="s">
        <v>0</v>
      </c>
      <c r="AB55" s="11" t="s">
        <v>0</v>
      </c>
      <c r="AC55" s="11" t="s">
        <v>0</v>
      </c>
      <c r="AD55" s="11" t="s">
        <v>0</v>
      </c>
    </row>
    <row r="56">
      <c r="B56" s="12" t="s">
        <v>0</v>
      </c>
      <c r="C56" s="11" t="s">
        <v>62</v>
      </c>
      <c r="D56" s="11" t="s">
        <v>2138</v>
      </c>
      <c r="E56" s="12" t="s">
        <v>2167</v>
      </c>
      <c r="F56" s="12" t="s">
        <v>1</v>
      </c>
      <c r="G56" s="12" t="s">
        <v>1302</v>
      </c>
      <c r="H56" s="12" t="s">
        <v>1306</v>
      </c>
      <c r="I56" s="12" t="s">
        <v>1309</v>
      </c>
      <c r="J56" s="12" t="s">
        <v>2177</v>
      </c>
      <c r="K56" s="12" t="s">
        <v>2180</v>
      </c>
      <c r="L56" s="13" t="s">
        <v>0</v>
      </c>
      <c r="M56" s="11" t="s">
        <v>2227</v>
      </c>
      <c r="N56" s="11" t="s">
        <v>0</v>
      </c>
      <c r="O56" s="11" t="s">
        <v>0</v>
      </c>
      <c r="P56" s="11" t="s">
        <v>0</v>
      </c>
      <c r="Q56" s="11" t="s">
        <v>0</v>
      </c>
      <c r="R56" s="11" t="s">
        <v>0</v>
      </c>
      <c r="S56" s="11" t="s">
        <v>1307</v>
      </c>
      <c r="T56" s="11" t="s">
        <v>1893</v>
      </c>
      <c r="U56" s="11" t="s">
        <v>2259</v>
      </c>
      <c r="V56" s="11" t="s">
        <v>2262</v>
      </c>
      <c r="W56" s="11" t="s">
        <v>0</v>
      </c>
      <c r="X56" s="11" t="s">
        <v>2263</v>
      </c>
      <c r="Y56" s="11" t="s">
        <v>0</v>
      </c>
      <c r="Z56" s="11" t="s">
        <v>0</v>
      </c>
      <c r="AA56" s="11" t="s">
        <v>0</v>
      </c>
      <c r="AB56" s="11" t="s">
        <v>0</v>
      </c>
      <c r="AC56" s="11" t="s">
        <v>0</v>
      </c>
      <c r="AD56" s="11" t="s">
        <v>2292</v>
      </c>
    </row>
    <row r="57">
      <c r="B57" s="12" t="s">
        <v>0</v>
      </c>
      <c r="C57" s="11" t="s">
        <v>63</v>
      </c>
      <c r="D57" s="11" t="s">
        <v>2139</v>
      </c>
      <c r="E57" s="12" t="s">
        <v>2168</v>
      </c>
      <c r="F57" s="12" t="s">
        <v>1</v>
      </c>
      <c r="G57" s="12" t="s">
        <v>1302</v>
      </c>
      <c r="H57" s="12" t="s">
        <v>1306</v>
      </c>
      <c r="I57" s="12" t="s">
        <v>1311</v>
      </c>
      <c r="J57" s="12" t="s">
        <v>2177</v>
      </c>
      <c r="K57" s="12" t="s">
        <v>2180</v>
      </c>
      <c r="L57" s="13" t="s">
        <v>0</v>
      </c>
      <c r="M57" s="11" t="s">
        <v>0</v>
      </c>
      <c r="N57" s="11" t="s">
        <v>2249</v>
      </c>
      <c r="O57" s="11" t="s">
        <v>1871</v>
      </c>
      <c r="P57" s="11" t="s">
        <v>1306</v>
      </c>
      <c r="Q57" s="11" t="s">
        <v>1882</v>
      </c>
      <c r="R57" s="11" t="s">
        <v>1307</v>
      </c>
      <c r="S57" s="11" t="s">
        <v>1307</v>
      </c>
      <c r="T57" s="11" t="s">
        <v>1893</v>
      </c>
      <c r="U57" s="11" t="s">
        <v>2259</v>
      </c>
      <c r="V57" s="11" t="s">
        <v>0</v>
      </c>
      <c r="W57" s="11" t="s">
        <v>0</v>
      </c>
      <c r="X57" s="11" t="s">
        <v>2263</v>
      </c>
      <c r="Y57" s="11" t="s">
        <v>0</v>
      </c>
      <c r="Z57" s="11" t="s">
        <v>0</v>
      </c>
      <c r="AA57" s="11" t="s">
        <v>0</v>
      </c>
      <c r="AB57" s="11" t="s">
        <v>0</v>
      </c>
      <c r="AC57" s="11" t="s">
        <v>0</v>
      </c>
      <c r="AD57" s="11" t="s">
        <v>2274</v>
      </c>
    </row>
    <row r="58">
      <c r="B58" s="12" t="s">
        <v>0</v>
      </c>
      <c r="C58" s="11" t="s">
        <v>64</v>
      </c>
      <c r="D58" s="11" t="s">
        <v>915</v>
      </c>
      <c r="E58" s="12" t="s">
        <v>1209</v>
      </c>
      <c r="F58" s="12" t="s">
        <v>1</v>
      </c>
      <c r="G58" s="12" t="s">
        <v>1302</v>
      </c>
      <c r="H58" s="12" t="s">
        <v>1306</v>
      </c>
      <c r="I58" s="12" t="s">
        <v>1312</v>
      </c>
      <c r="J58" s="12" t="s">
        <v>2177</v>
      </c>
      <c r="K58" s="12" t="s">
        <v>2180</v>
      </c>
      <c r="L58" s="13" t="s">
        <v>0</v>
      </c>
      <c r="M58" s="11" t="s">
        <v>1855</v>
      </c>
      <c r="N58" s="11" t="s">
        <v>0</v>
      </c>
      <c r="O58" s="11" t="s">
        <v>1871</v>
      </c>
      <c r="P58" s="11" t="s">
        <v>1306</v>
      </c>
      <c r="Q58" s="11" t="s">
        <v>1882</v>
      </c>
      <c r="R58" s="11" t="s">
        <v>0</v>
      </c>
      <c r="S58" s="11" t="s">
        <v>0</v>
      </c>
      <c r="T58" s="11" t="s">
        <v>0</v>
      </c>
      <c r="U58" s="11" t="s">
        <v>2259</v>
      </c>
      <c r="V58" s="11" t="s">
        <v>0</v>
      </c>
      <c r="W58" s="11" t="s">
        <v>0</v>
      </c>
      <c r="X58" s="11" t="s">
        <v>0</v>
      </c>
      <c r="Y58" s="11" t="s">
        <v>0</v>
      </c>
      <c r="Z58" s="11" t="s">
        <v>0</v>
      </c>
      <c r="AA58" s="11" t="s">
        <v>0</v>
      </c>
      <c r="AB58" s="11" t="s">
        <v>0</v>
      </c>
      <c r="AC58" s="11" t="s">
        <v>0</v>
      </c>
      <c r="AD58" s="11" t="s">
        <v>0</v>
      </c>
    </row>
    <row r="59">
      <c r="B59" s="12" t="s">
        <v>0</v>
      </c>
      <c r="C59" s="11" t="s">
        <v>65</v>
      </c>
      <c r="D59" s="11" t="s">
        <v>916</v>
      </c>
      <c r="E59" s="12" t="s">
        <v>1210</v>
      </c>
      <c r="F59" s="12" t="s">
        <v>1274</v>
      </c>
      <c r="G59" s="12" t="s">
        <v>1302</v>
      </c>
      <c r="H59" s="12" t="s">
        <v>1306</v>
      </c>
      <c r="I59" s="12" t="s">
        <v>1311</v>
      </c>
      <c r="J59" s="12" t="s">
        <v>2177</v>
      </c>
      <c r="K59" s="12" t="s">
        <v>2180</v>
      </c>
      <c r="L59" s="13" t="s">
        <v>0</v>
      </c>
      <c r="M59" s="11" t="s">
        <v>1856</v>
      </c>
      <c r="N59" s="11" t="s">
        <v>0</v>
      </c>
      <c r="O59" s="11" t="s">
        <v>1871</v>
      </c>
      <c r="P59" s="11" t="s">
        <v>1306</v>
      </c>
      <c r="Q59" s="11" t="s">
        <v>1882</v>
      </c>
      <c r="R59" s="11" t="s">
        <v>1307</v>
      </c>
      <c r="S59" s="11" t="s">
        <v>1307</v>
      </c>
      <c r="T59" s="11" t="s">
        <v>0</v>
      </c>
      <c r="U59" s="11" t="s">
        <v>2259</v>
      </c>
      <c r="V59" s="11" t="s">
        <v>0</v>
      </c>
      <c r="W59" s="11" t="s">
        <v>0</v>
      </c>
      <c r="X59" s="11" t="s">
        <v>0</v>
      </c>
      <c r="Y59" s="11" t="s">
        <v>0</v>
      </c>
      <c r="Z59" s="11" t="s">
        <v>0</v>
      </c>
      <c r="AA59" s="11" t="s">
        <v>0</v>
      </c>
      <c r="AB59" s="11" t="s">
        <v>0</v>
      </c>
      <c r="AC59" s="11" t="s">
        <v>0</v>
      </c>
      <c r="AD59" s="11" t="s">
        <v>0</v>
      </c>
    </row>
    <row r="60">
      <c r="B60" s="12" t="s">
        <v>0</v>
      </c>
      <c r="C60" s="11" t="s">
        <v>66</v>
      </c>
      <c r="D60" s="11" t="s">
        <v>2140</v>
      </c>
      <c r="E60" s="12" t="s">
        <v>1221</v>
      </c>
      <c r="F60" s="12" t="s">
        <v>1</v>
      </c>
      <c r="G60" s="12" t="s">
        <v>1302</v>
      </c>
      <c r="H60" s="12" t="s">
        <v>1302</v>
      </c>
      <c r="I60" s="12" t="s">
        <v>1309</v>
      </c>
      <c r="J60" s="12" t="s">
        <v>2177</v>
      </c>
      <c r="K60" s="12" t="s">
        <v>2180</v>
      </c>
      <c r="L60" s="13" t="s">
        <v>0</v>
      </c>
      <c r="M60" s="11" t="s">
        <v>2228</v>
      </c>
      <c r="N60" s="11" t="s">
        <v>2250</v>
      </c>
      <c r="O60" s="11" t="s">
        <v>1871</v>
      </c>
      <c r="P60" s="11" t="s">
        <v>1306</v>
      </c>
      <c r="Q60" s="11" t="s">
        <v>1882</v>
      </c>
      <c r="R60" s="11" t="s">
        <v>1307</v>
      </c>
      <c r="S60" s="11" t="s">
        <v>1307</v>
      </c>
      <c r="T60" s="11" t="s">
        <v>0</v>
      </c>
      <c r="U60" s="11" t="s">
        <v>2259</v>
      </c>
      <c r="V60" s="11" t="s">
        <v>0</v>
      </c>
      <c r="W60" s="11" t="s">
        <v>0</v>
      </c>
      <c r="X60" s="11" t="s">
        <v>0</v>
      </c>
      <c r="Y60" s="11" t="s">
        <v>0</v>
      </c>
      <c r="Z60" s="11" t="s">
        <v>0</v>
      </c>
      <c r="AA60" s="11" t="s">
        <v>0</v>
      </c>
      <c r="AB60" s="11" t="s">
        <v>0</v>
      </c>
      <c r="AC60" s="11" t="s">
        <v>0</v>
      </c>
      <c r="AD60" s="11" t="s">
        <v>0</v>
      </c>
    </row>
    <row r="61">
      <c r="B61" s="12" t="s">
        <v>0</v>
      </c>
      <c r="C61" s="11" t="s">
        <v>67</v>
      </c>
      <c r="D61" s="11" t="s">
        <v>2141</v>
      </c>
      <c r="E61" s="12" t="s">
        <v>2169</v>
      </c>
      <c r="F61" s="12" t="s">
        <v>1292</v>
      </c>
      <c r="G61" s="12" t="s">
        <v>1302</v>
      </c>
      <c r="H61" s="12" t="s">
        <v>1302</v>
      </c>
      <c r="I61" s="12" t="s">
        <v>1311</v>
      </c>
      <c r="J61" s="12" t="s">
        <v>2177</v>
      </c>
      <c r="K61" s="12" t="s">
        <v>2179</v>
      </c>
      <c r="L61" s="13" t="s">
        <v>1307</v>
      </c>
      <c r="M61" s="11" t="s">
        <v>2229</v>
      </c>
      <c r="N61" s="11" t="s">
        <v>0</v>
      </c>
      <c r="O61" s="11" t="s">
        <v>0</v>
      </c>
      <c r="P61" s="11" t="s">
        <v>1306</v>
      </c>
      <c r="Q61" s="11" t="s">
        <v>1883</v>
      </c>
      <c r="R61" s="11" t="s">
        <v>1307</v>
      </c>
      <c r="S61" s="11" t="s">
        <v>1307</v>
      </c>
      <c r="T61" s="11" t="s">
        <v>1893</v>
      </c>
      <c r="U61" s="11" t="s">
        <v>2254</v>
      </c>
      <c r="V61" s="11" t="s">
        <v>0</v>
      </c>
      <c r="W61" s="11" t="s">
        <v>0</v>
      </c>
      <c r="X61" s="11" t="s">
        <v>2254</v>
      </c>
      <c r="Y61" s="11" t="s">
        <v>0</v>
      </c>
      <c r="Z61" s="11" t="s">
        <v>0</v>
      </c>
      <c r="AA61" s="11" t="s">
        <v>0</v>
      </c>
      <c r="AB61" s="11" t="s">
        <v>2265</v>
      </c>
      <c r="AC61" s="11" t="s">
        <v>0</v>
      </c>
      <c r="AD61" s="11" t="s">
        <v>0</v>
      </c>
    </row>
    <row r="62">
      <c r="B62" s="12" t="s">
        <v>0</v>
      </c>
      <c r="C62" s="11" t="s">
        <v>68</v>
      </c>
      <c r="D62" s="11" t="s">
        <v>2142</v>
      </c>
      <c r="E62" s="12" t="s">
        <v>2168</v>
      </c>
      <c r="F62" s="12" t="s">
        <v>1</v>
      </c>
      <c r="G62" s="12" t="s">
        <v>1302</v>
      </c>
      <c r="H62" s="12" t="s">
        <v>1306</v>
      </c>
      <c r="I62" s="12" t="s">
        <v>1311</v>
      </c>
      <c r="J62" s="12" t="s">
        <v>2177</v>
      </c>
      <c r="K62" s="12" t="s">
        <v>2179</v>
      </c>
      <c r="L62" s="13" t="s">
        <v>1307</v>
      </c>
      <c r="M62" s="11" t="s">
        <v>2230</v>
      </c>
      <c r="N62" s="11" t="s">
        <v>0</v>
      </c>
      <c r="O62" s="11" t="s">
        <v>0</v>
      </c>
      <c r="P62" s="11" t="s">
        <v>1306</v>
      </c>
      <c r="Q62" s="11" t="s">
        <v>1883</v>
      </c>
      <c r="R62" s="11" t="s">
        <v>1307</v>
      </c>
      <c r="S62" s="11" t="s">
        <v>1307</v>
      </c>
      <c r="T62" s="11" t="s">
        <v>1893</v>
      </c>
      <c r="U62" s="11" t="s">
        <v>2254</v>
      </c>
      <c r="V62" s="11" t="s">
        <v>0</v>
      </c>
      <c r="W62" s="11" t="s">
        <v>0</v>
      </c>
      <c r="X62" s="11" t="s">
        <v>2254</v>
      </c>
      <c r="Y62" s="11" t="s">
        <v>0</v>
      </c>
      <c r="Z62" s="11" t="s">
        <v>0</v>
      </c>
      <c r="AA62" s="11" t="s">
        <v>0</v>
      </c>
      <c r="AB62" s="11" t="s">
        <v>2265</v>
      </c>
      <c r="AC62" s="11" t="s">
        <v>0</v>
      </c>
      <c r="AD62" s="11" t="s">
        <v>0</v>
      </c>
    </row>
    <row r="63">
      <c r="B63" s="12" t="s">
        <v>0</v>
      </c>
      <c r="C63" s="11" t="s">
        <v>69</v>
      </c>
      <c r="D63" s="11" t="s">
        <v>2143</v>
      </c>
      <c r="E63" s="12" t="s">
        <v>2170</v>
      </c>
      <c r="F63" s="12" t="s">
        <v>1</v>
      </c>
      <c r="G63" s="12" t="s">
        <v>1302</v>
      </c>
      <c r="H63" s="12" t="s">
        <v>1302</v>
      </c>
      <c r="I63" s="12" t="s">
        <v>1309</v>
      </c>
      <c r="J63" s="12" t="s">
        <v>2177</v>
      </c>
      <c r="K63" s="12" t="s">
        <v>0</v>
      </c>
      <c r="L63" s="13" t="s">
        <v>0</v>
      </c>
      <c r="M63" s="11" t="s">
        <v>2231</v>
      </c>
      <c r="N63" s="11" t="s">
        <v>0</v>
      </c>
      <c r="O63" s="11" t="s">
        <v>0</v>
      </c>
      <c r="P63" s="11" t="s">
        <v>1306</v>
      </c>
      <c r="Q63" s="11" t="s">
        <v>1883</v>
      </c>
      <c r="R63" s="11" t="s">
        <v>1307</v>
      </c>
      <c r="S63" s="11" t="s">
        <v>1307</v>
      </c>
      <c r="T63" s="11" t="s">
        <v>0</v>
      </c>
      <c r="U63" s="11" t="s">
        <v>2259</v>
      </c>
      <c r="V63" s="11" t="s">
        <v>0</v>
      </c>
      <c r="W63" s="11" t="s">
        <v>0</v>
      </c>
      <c r="X63" s="11" t="s">
        <v>0</v>
      </c>
      <c r="Y63" s="11" t="s">
        <v>0</v>
      </c>
      <c r="Z63" s="11" t="s">
        <v>0</v>
      </c>
      <c r="AA63" s="11" t="s">
        <v>0</v>
      </c>
      <c r="AB63" s="11" t="s">
        <v>0</v>
      </c>
      <c r="AC63" s="11" t="s">
        <v>0</v>
      </c>
      <c r="AD63" s="11" t="s">
        <v>0</v>
      </c>
    </row>
    <row r="64">
      <c r="B64" s="12" t="s">
        <v>0</v>
      </c>
      <c r="C64" s="11" t="s">
        <v>70</v>
      </c>
      <c r="D64" s="11" t="s">
        <v>2144</v>
      </c>
      <c r="E64" s="12" t="s">
        <v>2171</v>
      </c>
      <c r="F64" s="12" t="s">
        <v>1</v>
      </c>
      <c r="G64" s="12" t="s">
        <v>1302</v>
      </c>
      <c r="H64" s="12" t="s">
        <v>1302</v>
      </c>
      <c r="I64" s="12" t="s">
        <v>1309</v>
      </c>
      <c r="J64" s="12" t="s">
        <v>2177</v>
      </c>
      <c r="K64" s="12" t="s">
        <v>0</v>
      </c>
      <c r="L64" s="13" t="s">
        <v>0</v>
      </c>
      <c r="M64" s="11" t="s">
        <v>2232</v>
      </c>
      <c r="N64" s="11" t="s">
        <v>0</v>
      </c>
      <c r="O64" s="11" t="s">
        <v>0</v>
      </c>
      <c r="P64" s="11" t="s">
        <v>1306</v>
      </c>
      <c r="Q64" s="11" t="s">
        <v>1883</v>
      </c>
      <c r="R64" s="11" t="s">
        <v>1307</v>
      </c>
      <c r="S64" s="11" t="s">
        <v>1307</v>
      </c>
      <c r="T64" s="11" t="s">
        <v>0</v>
      </c>
      <c r="U64" s="11" t="s">
        <v>2259</v>
      </c>
      <c r="V64" s="11" t="s">
        <v>0</v>
      </c>
      <c r="W64" s="11" t="s">
        <v>0</v>
      </c>
      <c r="X64" s="11" t="s">
        <v>0</v>
      </c>
      <c r="Y64" s="11" t="s">
        <v>0</v>
      </c>
      <c r="Z64" s="11" t="s">
        <v>0</v>
      </c>
      <c r="AA64" s="11" t="s">
        <v>0</v>
      </c>
      <c r="AB64" s="11" t="s">
        <v>0</v>
      </c>
      <c r="AC64" s="11" t="s">
        <v>0</v>
      </c>
      <c r="AD64" s="11" t="s">
        <v>0</v>
      </c>
    </row>
    <row r="65">
      <c r="B65" s="12" t="s">
        <v>0</v>
      </c>
      <c r="C65" s="11" t="s">
        <v>71</v>
      </c>
      <c r="D65" s="11" t="s">
        <v>2145</v>
      </c>
      <c r="E65" s="12" t="s">
        <v>2172</v>
      </c>
      <c r="F65" s="12" t="s">
        <v>1273</v>
      </c>
      <c r="G65" s="12" t="s">
        <v>1302</v>
      </c>
      <c r="H65" s="12" t="s">
        <v>1302</v>
      </c>
      <c r="I65" s="12" t="s">
        <v>1312</v>
      </c>
      <c r="J65" s="12" t="s">
        <v>2177</v>
      </c>
      <c r="K65" s="12" t="s">
        <v>0</v>
      </c>
      <c r="L65" s="13" t="s">
        <v>0</v>
      </c>
      <c r="M65" s="11" t="s">
        <v>1857</v>
      </c>
      <c r="N65" s="11" t="s">
        <v>0</v>
      </c>
      <c r="O65" s="11" t="s">
        <v>0</v>
      </c>
      <c r="P65" s="11" t="s">
        <v>1306</v>
      </c>
      <c r="Q65" s="11" t="s">
        <v>1883</v>
      </c>
      <c r="R65" s="11" t="s">
        <v>1307</v>
      </c>
      <c r="S65" s="11" t="s">
        <v>1307</v>
      </c>
      <c r="T65" s="11" t="s">
        <v>0</v>
      </c>
      <c r="U65" s="11" t="s">
        <v>2259</v>
      </c>
      <c r="V65" s="11" t="s">
        <v>0</v>
      </c>
      <c r="W65" s="11" t="s">
        <v>0</v>
      </c>
      <c r="X65" s="11" t="s">
        <v>0</v>
      </c>
      <c r="Y65" s="11" t="s">
        <v>0</v>
      </c>
      <c r="Z65" s="11" t="s">
        <v>0</v>
      </c>
      <c r="AA65" s="11" t="s">
        <v>0</v>
      </c>
      <c r="AB65" s="11" t="s">
        <v>0</v>
      </c>
      <c r="AC65" s="11" t="s">
        <v>0</v>
      </c>
      <c r="AD65" s="11" t="s">
        <v>0</v>
      </c>
    </row>
    <row r="66">
      <c r="B66" s="12" t="s">
        <v>0</v>
      </c>
      <c r="C66" s="11" t="s">
        <v>72</v>
      </c>
      <c r="D66" s="11" t="s">
        <v>918</v>
      </c>
      <c r="E66" s="12" t="s">
        <v>2173</v>
      </c>
      <c r="F66" s="12" t="s">
        <v>1272</v>
      </c>
      <c r="G66" s="12" t="s">
        <v>1302</v>
      </c>
      <c r="H66" s="12" t="s">
        <v>1302</v>
      </c>
      <c r="I66" s="12" t="s">
        <v>1312</v>
      </c>
      <c r="J66" s="12" t="s">
        <v>2177</v>
      </c>
      <c r="K66" s="12" t="s">
        <v>0</v>
      </c>
      <c r="L66" s="13" t="s">
        <v>0</v>
      </c>
      <c r="M66" s="11" t="s">
        <v>1858</v>
      </c>
      <c r="N66" s="11" t="s">
        <v>0</v>
      </c>
      <c r="O66" s="11" t="s">
        <v>0</v>
      </c>
      <c r="P66" s="11" t="s">
        <v>1306</v>
      </c>
      <c r="Q66" s="11" t="s">
        <v>1883</v>
      </c>
      <c r="R66" s="11" t="s">
        <v>1307</v>
      </c>
      <c r="S66" s="11" t="s">
        <v>1307</v>
      </c>
      <c r="T66" s="11" t="s">
        <v>0</v>
      </c>
      <c r="U66" s="11" t="s">
        <v>2259</v>
      </c>
      <c r="V66" s="11" t="s">
        <v>0</v>
      </c>
      <c r="W66" s="11" t="s">
        <v>0</v>
      </c>
      <c r="X66" s="11" t="s">
        <v>0</v>
      </c>
      <c r="Y66" s="11" t="s">
        <v>0</v>
      </c>
      <c r="Z66" s="11" t="s">
        <v>0</v>
      </c>
      <c r="AA66" s="11" t="s">
        <v>0</v>
      </c>
      <c r="AB66" s="11" t="s">
        <v>0</v>
      </c>
      <c r="AC66" s="11" t="s">
        <v>0</v>
      </c>
      <c r="AD66" s="11" t="s">
        <v>0</v>
      </c>
    </row>
    <row r="67">
      <c r="B67" s="12" t="s">
        <v>0</v>
      </c>
      <c r="C67" s="11" t="s">
        <v>73</v>
      </c>
      <c r="D67" s="11" t="s">
        <v>919</v>
      </c>
      <c r="E67" s="12" t="s">
        <v>2174</v>
      </c>
      <c r="F67" s="12" t="s">
        <v>1273</v>
      </c>
      <c r="G67" s="12" t="s">
        <v>1302</v>
      </c>
      <c r="H67" s="12" t="s">
        <v>1302</v>
      </c>
      <c r="I67" s="12" t="s">
        <v>1312</v>
      </c>
      <c r="J67" s="12" t="s">
        <v>2177</v>
      </c>
      <c r="K67" s="12" t="s">
        <v>0</v>
      </c>
      <c r="L67" s="13" t="s">
        <v>0</v>
      </c>
      <c r="M67" s="11" t="s">
        <v>1859</v>
      </c>
      <c r="N67" s="11" t="s">
        <v>0</v>
      </c>
      <c r="O67" s="11" t="s">
        <v>0</v>
      </c>
      <c r="P67" s="11" t="s">
        <v>1306</v>
      </c>
      <c r="Q67" s="11" t="s">
        <v>1883</v>
      </c>
      <c r="R67" s="11" t="s">
        <v>1307</v>
      </c>
      <c r="S67" s="11" t="s">
        <v>1307</v>
      </c>
      <c r="T67" s="11" t="s">
        <v>0</v>
      </c>
      <c r="U67" s="11" t="s">
        <v>2259</v>
      </c>
      <c r="V67" s="11" t="s">
        <v>0</v>
      </c>
      <c r="W67" s="11" t="s">
        <v>0</v>
      </c>
      <c r="X67" s="11" t="s">
        <v>0</v>
      </c>
      <c r="Y67" s="11" t="s">
        <v>0</v>
      </c>
      <c r="Z67" s="11" t="s">
        <v>0</v>
      </c>
      <c r="AA67" s="11" t="s">
        <v>0</v>
      </c>
      <c r="AB67" s="11" t="s">
        <v>0</v>
      </c>
      <c r="AC67" s="11" t="s">
        <v>0</v>
      </c>
      <c r="AD67" s="11" t="s">
        <v>0</v>
      </c>
    </row>
    <row r="68">
      <c r="B68" s="12" t="s">
        <v>0</v>
      </c>
      <c r="C68" s="11" t="s">
        <v>74</v>
      </c>
      <c r="D68" s="11" t="s">
        <v>920</v>
      </c>
      <c r="E68" s="12" t="s">
        <v>1214</v>
      </c>
      <c r="F68" s="12" t="s">
        <v>1273</v>
      </c>
      <c r="G68" s="12" t="s">
        <v>1302</v>
      </c>
      <c r="H68" s="12" t="s">
        <v>1302</v>
      </c>
      <c r="I68" s="12" t="s">
        <v>1312</v>
      </c>
      <c r="J68" s="12" t="s">
        <v>2177</v>
      </c>
      <c r="K68" s="12" t="s">
        <v>0</v>
      </c>
      <c r="L68" s="13" t="s">
        <v>0</v>
      </c>
      <c r="M68" s="11" t="s">
        <v>1860</v>
      </c>
      <c r="N68" s="11" t="s">
        <v>0</v>
      </c>
      <c r="O68" s="11" t="s">
        <v>0</v>
      </c>
      <c r="P68" s="11" t="s">
        <v>1306</v>
      </c>
      <c r="Q68" s="11" t="s">
        <v>1883</v>
      </c>
      <c r="R68" s="11" t="s">
        <v>1307</v>
      </c>
      <c r="S68" s="11" t="s">
        <v>1307</v>
      </c>
      <c r="T68" s="11" t="s">
        <v>0</v>
      </c>
      <c r="U68" s="11" t="s">
        <v>2259</v>
      </c>
      <c r="V68" s="11" t="s">
        <v>0</v>
      </c>
      <c r="W68" s="11" t="s">
        <v>0</v>
      </c>
      <c r="X68" s="11" t="s">
        <v>0</v>
      </c>
      <c r="Y68" s="11" t="s">
        <v>0</v>
      </c>
      <c r="Z68" s="11" t="s">
        <v>0</v>
      </c>
      <c r="AA68" s="11" t="s">
        <v>0</v>
      </c>
      <c r="AB68" s="11" t="s">
        <v>0</v>
      </c>
      <c r="AC68" s="11" t="s">
        <v>0</v>
      </c>
      <c r="AD68" s="11" t="s">
        <v>0</v>
      </c>
    </row>
    <row r="69">
      <c r="B69" s="12" t="s">
        <v>0</v>
      </c>
      <c r="C69" s="11" t="s">
        <v>75</v>
      </c>
      <c r="D69" s="11" t="s">
        <v>921</v>
      </c>
      <c r="E69" s="12" t="s">
        <v>1215</v>
      </c>
      <c r="F69" s="12" t="s">
        <v>1273</v>
      </c>
      <c r="G69" s="12" t="s">
        <v>1302</v>
      </c>
      <c r="H69" s="12" t="s">
        <v>1302</v>
      </c>
      <c r="I69" s="12" t="s">
        <v>1311</v>
      </c>
      <c r="J69" s="12" t="s">
        <v>2177</v>
      </c>
      <c r="K69" s="12" t="s">
        <v>0</v>
      </c>
      <c r="L69" s="13" t="s">
        <v>0</v>
      </c>
      <c r="M69" s="11" t="s">
        <v>1861</v>
      </c>
      <c r="N69" s="11" t="s">
        <v>0</v>
      </c>
      <c r="O69" s="11" t="s">
        <v>0</v>
      </c>
      <c r="P69" s="11" t="s">
        <v>1306</v>
      </c>
      <c r="Q69" s="11" t="s">
        <v>1883</v>
      </c>
      <c r="R69" s="11" t="s">
        <v>1307</v>
      </c>
      <c r="S69" s="11" t="s">
        <v>1307</v>
      </c>
      <c r="T69" s="11" t="s">
        <v>0</v>
      </c>
      <c r="U69" s="11" t="s">
        <v>2259</v>
      </c>
      <c r="V69" s="11" t="s">
        <v>0</v>
      </c>
      <c r="W69" s="11" t="s">
        <v>0</v>
      </c>
      <c r="X69" s="11" t="s">
        <v>0</v>
      </c>
      <c r="Y69" s="11" t="s">
        <v>0</v>
      </c>
      <c r="Z69" s="11" t="s">
        <v>0</v>
      </c>
      <c r="AA69" s="11" t="s">
        <v>0</v>
      </c>
      <c r="AB69" s="11" t="s">
        <v>0</v>
      </c>
      <c r="AC69" s="11" t="s">
        <v>0</v>
      </c>
      <c r="AD69" s="11" t="s">
        <v>0</v>
      </c>
    </row>
    <row r="70">
      <c r="B70" s="12" t="s">
        <v>0</v>
      </c>
      <c r="C70" s="11" t="s">
        <v>76</v>
      </c>
      <c r="D70" s="11" t="s">
        <v>922</v>
      </c>
      <c r="E70" s="12" t="s">
        <v>1216</v>
      </c>
      <c r="F70" s="12" t="s">
        <v>1</v>
      </c>
      <c r="G70" s="12" t="s">
        <v>1302</v>
      </c>
      <c r="H70" s="12" t="s">
        <v>1302</v>
      </c>
      <c r="I70" s="12" t="s">
        <v>1312</v>
      </c>
      <c r="J70" s="12" t="s">
        <v>2177</v>
      </c>
      <c r="K70" s="12" t="s">
        <v>0</v>
      </c>
      <c r="L70" s="13" t="s">
        <v>0</v>
      </c>
      <c r="M70" s="11" t="s">
        <v>1862</v>
      </c>
      <c r="N70" s="11" t="s">
        <v>0</v>
      </c>
      <c r="O70" s="11" t="s">
        <v>0</v>
      </c>
      <c r="P70" s="11" t="s">
        <v>1306</v>
      </c>
      <c r="Q70" s="11" t="s">
        <v>1883</v>
      </c>
      <c r="R70" s="11" t="s">
        <v>1307</v>
      </c>
      <c r="S70" s="11" t="s">
        <v>1307</v>
      </c>
      <c r="T70" s="11" t="s">
        <v>0</v>
      </c>
      <c r="U70" s="11" t="s">
        <v>2259</v>
      </c>
      <c r="V70" s="11" t="s">
        <v>0</v>
      </c>
      <c r="W70" s="11" t="s">
        <v>0</v>
      </c>
      <c r="X70" s="11" t="s">
        <v>0</v>
      </c>
      <c r="Y70" s="11" t="s">
        <v>0</v>
      </c>
      <c r="Z70" s="11" t="s">
        <v>0</v>
      </c>
      <c r="AA70" s="11" t="s">
        <v>0</v>
      </c>
      <c r="AB70" s="11" t="s">
        <v>0</v>
      </c>
      <c r="AC70" s="11" t="s">
        <v>0</v>
      </c>
      <c r="AD70" s="11" t="s">
        <v>0</v>
      </c>
    </row>
    <row r="71">
      <c r="B71" s="12" t="s">
        <v>0</v>
      </c>
      <c r="C71" s="11" t="s">
        <v>77</v>
      </c>
      <c r="D71" s="11" t="s">
        <v>2146</v>
      </c>
      <c r="E71" s="12" t="s">
        <v>1216</v>
      </c>
      <c r="F71" s="12" t="s">
        <v>1273</v>
      </c>
      <c r="G71" s="12" t="s">
        <v>0</v>
      </c>
      <c r="H71" s="12" t="s">
        <v>0</v>
      </c>
      <c r="I71" s="12" t="s">
        <v>0</v>
      </c>
      <c r="J71" s="12" t="s">
        <v>0</v>
      </c>
      <c r="K71" s="12" t="s">
        <v>2180</v>
      </c>
      <c r="L71" s="13" t="s">
        <v>1307</v>
      </c>
      <c r="M71" s="11" t="s">
        <v>2233</v>
      </c>
      <c r="N71" s="11" t="s">
        <v>0</v>
      </c>
      <c r="O71" s="11" t="s">
        <v>0</v>
      </c>
      <c r="P71" s="11" t="s">
        <v>0</v>
      </c>
      <c r="Q71" s="11" t="s">
        <v>0</v>
      </c>
      <c r="R71" s="11" t="s">
        <v>0</v>
      </c>
      <c r="S71" s="11" t="s">
        <v>1307</v>
      </c>
      <c r="T71" s="11" t="s">
        <v>1893</v>
      </c>
      <c r="U71" s="11" t="s">
        <v>0</v>
      </c>
      <c r="V71" s="11" t="s">
        <v>0</v>
      </c>
      <c r="W71" s="11" t="s">
        <v>0</v>
      </c>
      <c r="X71" s="11" t="s">
        <v>2263</v>
      </c>
      <c r="Y71" s="11" t="s">
        <v>0</v>
      </c>
      <c r="Z71" s="11" t="s">
        <v>0</v>
      </c>
      <c r="AA71" s="11" t="s">
        <v>0</v>
      </c>
      <c r="AB71" s="11" t="s">
        <v>2265</v>
      </c>
      <c r="AC71" s="11" t="s">
        <v>0</v>
      </c>
      <c r="AD71" s="11" t="s">
        <v>2293</v>
      </c>
    </row>
    <row r="72">
      <c r="B72" s="12" t="s">
        <v>0</v>
      </c>
      <c r="C72" s="11" t="s">
        <v>78</v>
      </c>
      <c r="D72" s="11" t="s">
        <v>923</v>
      </c>
      <c r="E72" s="12" t="s">
        <v>1217</v>
      </c>
      <c r="F72" s="12" t="s">
        <v>1</v>
      </c>
      <c r="G72" s="12" t="s">
        <v>1302</v>
      </c>
      <c r="H72" s="12" t="s">
        <v>1302</v>
      </c>
      <c r="I72" s="12" t="s">
        <v>1311</v>
      </c>
      <c r="J72" s="12" t="s">
        <v>2177</v>
      </c>
      <c r="K72" s="12" t="s">
        <v>0</v>
      </c>
      <c r="L72" s="13" t="s">
        <v>0</v>
      </c>
      <c r="M72" s="11" t="s">
        <v>2234</v>
      </c>
      <c r="N72" s="11" t="s">
        <v>0</v>
      </c>
      <c r="O72" s="11" t="s">
        <v>0</v>
      </c>
      <c r="P72" s="11" t="s">
        <v>1306</v>
      </c>
      <c r="Q72" s="11" t="s">
        <v>1883</v>
      </c>
      <c r="R72" s="11" t="s">
        <v>1307</v>
      </c>
      <c r="S72" s="11" t="s">
        <v>1307</v>
      </c>
      <c r="T72" s="11" t="s">
        <v>0</v>
      </c>
      <c r="U72" s="11" t="s">
        <v>2259</v>
      </c>
      <c r="V72" s="11" t="s">
        <v>0</v>
      </c>
      <c r="W72" s="11" t="s">
        <v>0</v>
      </c>
      <c r="X72" s="11" t="s">
        <v>0</v>
      </c>
      <c r="Y72" s="11" t="s">
        <v>0</v>
      </c>
      <c r="Z72" s="11" t="s">
        <v>0</v>
      </c>
      <c r="AA72" s="11" t="s">
        <v>0</v>
      </c>
      <c r="AB72" s="11" t="s">
        <v>0</v>
      </c>
      <c r="AC72" s="11" t="s">
        <v>0</v>
      </c>
      <c r="AD72" s="11" t="s">
        <v>0</v>
      </c>
    </row>
    <row r="73">
      <c r="B73" s="12" t="s">
        <v>0</v>
      </c>
      <c r="C73" s="11" t="s">
        <v>79</v>
      </c>
      <c r="D73" s="11" t="s">
        <v>924</v>
      </c>
      <c r="E73" s="12" t="s">
        <v>1218</v>
      </c>
      <c r="F73" s="12" t="s">
        <v>1</v>
      </c>
      <c r="G73" s="12" t="s">
        <v>1302</v>
      </c>
      <c r="H73" s="12" t="s">
        <v>1302</v>
      </c>
      <c r="I73" s="12" t="s">
        <v>1312</v>
      </c>
      <c r="J73" s="12" t="s">
        <v>2177</v>
      </c>
      <c r="K73" s="12" t="s">
        <v>0</v>
      </c>
      <c r="L73" s="13" t="s">
        <v>0</v>
      </c>
      <c r="M73" s="11" t="s">
        <v>1864</v>
      </c>
      <c r="N73" s="11" t="s">
        <v>0</v>
      </c>
      <c r="O73" s="11" t="s">
        <v>0</v>
      </c>
      <c r="P73" s="11" t="s">
        <v>1306</v>
      </c>
      <c r="Q73" s="11" t="s">
        <v>1883</v>
      </c>
      <c r="R73" s="11" t="s">
        <v>1307</v>
      </c>
      <c r="S73" s="11" t="s">
        <v>1307</v>
      </c>
      <c r="T73" s="11" t="s">
        <v>0</v>
      </c>
      <c r="U73" s="11" t="s">
        <v>2259</v>
      </c>
      <c r="V73" s="11" t="s">
        <v>0</v>
      </c>
      <c r="W73" s="11" t="s">
        <v>0</v>
      </c>
      <c r="X73" s="11" t="s">
        <v>0</v>
      </c>
      <c r="Y73" s="11" t="s">
        <v>0</v>
      </c>
      <c r="Z73" s="11" t="s">
        <v>0</v>
      </c>
      <c r="AA73" s="11" t="s">
        <v>0</v>
      </c>
      <c r="AB73" s="11" t="s">
        <v>0</v>
      </c>
      <c r="AC73" s="11" t="s">
        <v>0</v>
      </c>
      <c r="AD73" s="11" t="s">
        <v>0</v>
      </c>
    </row>
    <row r="74">
      <c r="B74" s="12" t="s">
        <v>0</v>
      </c>
      <c r="C74" s="11" t="s">
        <v>80</v>
      </c>
      <c r="D74" s="11" t="s">
        <v>925</v>
      </c>
      <c r="E74" s="12" t="s">
        <v>1219</v>
      </c>
      <c r="F74" s="12" t="s">
        <v>1</v>
      </c>
      <c r="G74" s="12" t="s">
        <v>1302</v>
      </c>
      <c r="H74" s="12" t="s">
        <v>1302</v>
      </c>
      <c r="I74" s="12" t="s">
        <v>1312</v>
      </c>
      <c r="J74" s="12" t="s">
        <v>2177</v>
      </c>
      <c r="K74" s="12" t="s">
        <v>0</v>
      </c>
      <c r="L74" s="13" t="s">
        <v>0</v>
      </c>
      <c r="M74" s="11" t="s">
        <v>2235</v>
      </c>
      <c r="N74" s="11" t="s">
        <v>0</v>
      </c>
      <c r="O74" s="11" t="s">
        <v>0</v>
      </c>
      <c r="P74" s="11" t="s">
        <v>1306</v>
      </c>
      <c r="Q74" s="11" t="s">
        <v>1883</v>
      </c>
      <c r="R74" s="11" t="s">
        <v>1307</v>
      </c>
      <c r="S74" s="11" t="s">
        <v>1307</v>
      </c>
      <c r="T74" s="11" t="s">
        <v>0</v>
      </c>
      <c r="U74" s="11" t="s">
        <v>2259</v>
      </c>
      <c r="V74" s="11" t="s">
        <v>0</v>
      </c>
      <c r="W74" s="11" t="s">
        <v>0</v>
      </c>
      <c r="X74" s="11" t="s">
        <v>0</v>
      </c>
      <c r="Y74" s="11" t="s">
        <v>0</v>
      </c>
      <c r="Z74" s="11" t="s">
        <v>0</v>
      </c>
      <c r="AA74" s="11" t="s">
        <v>0</v>
      </c>
      <c r="AB74" s="11" t="s">
        <v>0</v>
      </c>
      <c r="AC74" s="11" t="s">
        <v>0</v>
      </c>
      <c r="AD74" s="11" t="s">
        <v>0</v>
      </c>
    </row>
    <row r="75">
      <c r="B75" s="12" t="s">
        <v>0</v>
      </c>
      <c r="C75" s="11" t="s">
        <v>0</v>
      </c>
      <c r="D75" s="11" t="s">
        <v>0</v>
      </c>
      <c r="E75" s="12" t="s">
        <v>0</v>
      </c>
      <c r="F75" s="12" t="s">
        <v>0</v>
      </c>
      <c r="G75" s="12" t="s">
        <v>0</v>
      </c>
      <c r="H75" s="12" t="s">
        <v>0</v>
      </c>
      <c r="I75" s="12" t="s">
        <v>0</v>
      </c>
      <c r="J75" s="12" t="s">
        <v>0</v>
      </c>
      <c r="K75" s="12" t="s">
        <v>0</v>
      </c>
      <c r="L75" s="13" t="s">
        <v>0</v>
      </c>
      <c r="M75" s="11" t="s">
        <v>0</v>
      </c>
      <c r="N75" s="11" t="s">
        <v>0</v>
      </c>
      <c r="O75" s="11" t="s">
        <v>0</v>
      </c>
      <c r="P75" s="11" t="s">
        <v>0</v>
      </c>
      <c r="Q75" s="11" t="s">
        <v>0</v>
      </c>
      <c r="R75" s="11" t="s">
        <v>0</v>
      </c>
      <c r="S75" s="11" t="s">
        <v>0</v>
      </c>
      <c r="T75" s="11" t="s">
        <v>0</v>
      </c>
      <c r="U75" s="11" t="s">
        <v>0</v>
      </c>
      <c r="V75" s="11" t="s">
        <v>0</v>
      </c>
      <c r="W75" s="11" t="s">
        <v>0</v>
      </c>
      <c r="X75" s="11" t="s">
        <v>0</v>
      </c>
      <c r="Y75" s="11" t="s">
        <v>0</v>
      </c>
      <c r="Z75" s="11" t="s">
        <v>0</v>
      </c>
      <c r="AA75" s="11" t="s">
        <v>0</v>
      </c>
      <c r="AB75" s="11" t="s">
        <v>0</v>
      </c>
      <c r="AC75" s="11" t="s">
        <v>0</v>
      </c>
      <c r="AD75" s="11" t="s">
        <v>0</v>
      </c>
    </row>
    <row r="76">
      <c r="B76" s="12" t="s">
        <v>0</v>
      </c>
      <c r="C76" s="11" t="s">
        <v>0</v>
      </c>
      <c r="D76" s="11" t="s">
        <v>0</v>
      </c>
      <c r="E76" s="12" t="s">
        <v>0</v>
      </c>
      <c r="F76" s="12" t="s">
        <v>0</v>
      </c>
      <c r="G76" s="12" t="s">
        <v>0</v>
      </c>
      <c r="H76" s="12" t="s">
        <v>0</v>
      </c>
      <c r="I76" s="12" t="s">
        <v>0</v>
      </c>
      <c r="J76" s="12" t="s">
        <v>0</v>
      </c>
      <c r="K76" s="12" t="s">
        <v>0</v>
      </c>
      <c r="L76" s="13" t="s">
        <v>0</v>
      </c>
      <c r="M76" s="11" t="s">
        <v>0</v>
      </c>
      <c r="N76" s="11" t="s">
        <v>0</v>
      </c>
      <c r="O76" s="11" t="s">
        <v>0</v>
      </c>
      <c r="P76" s="11" t="s">
        <v>0</v>
      </c>
      <c r="Q76" s="11" t="s">
        <v>0</v>
      </c>
      <c r="R76" s="11" t="s">
        <v>0</v>
      </c>
      <c r="S76" s="11" t="s">
        <v>0</v>
      </c>
      <c r="T76" s="11" t="s">
        <v>0</v>
      </c>
      <c r="U76" s="11" t="s">
        <v>0</v>
      </c>
      <c r="V76" s="11" t="s">
        <v>0</v>
      </c>
      <c r="W76" s="11" t="s">
        <v>0</v>
      </c>
      <c r="X76" s="11" t="s">
        <v>0</v>
      </c>
      <c r="Y76" s="11" t="s">
        <v>0</v>
      </c>
      <c r="Z76" s="11" t="s">
        <v>0</v>
      </c>
      <c r="AA76" s="11" t="s">
        <v>0</v>
      </c>
      <c r="AB76" s="11" t="s">
        <v>0</v>
      </c>
      <c r="AC76" s="11" t="s">
        <v>0</v>
      </c>
      <c r="AD76" s="11" t="s">
        <v>0</v>
      </c>
    </row>
    <row r="77">
      <c r="B77" s="12" t="s">
        <v>0</v>
      </c>
      <c r="C77" s="11" t="s">
        <v>0</v>
      </c>
      <c r="D77" s="11" t="s">
        <v>0</v>
      </c>
      <c r="E77" s="12" t="s">
        <v>0</v>
      </c>
      <c r="F77" s="12" t="s">
        <v>0</v>
      </c>
      <c r="G77" s="12" t="s">
        <v>0</v>
      </c>
      <c r="H77" s="12" t="s">
        <v>0</v>
      </c>
      <c r="I77" s="12" t="s">
        <v>0</v>
      </c>
      <c r="J77" s="12" t="s">
        <v>0</v>
      </c>
      <c r="K77" s="12" t="s">
        <v>0</v>
      </c>
      <c r="L77" s="13" t="s">
        <v>0</v>
      </c>
      <c r="M77" s="11" t="s">
        <v>0</v>
      </c>
      <c r="N77" s="11" t="s">
        <v>0</v>
      </c>
      <c r="O77" s="11" t="s">
        <v>0</v>
      </c>
      <c r="P77" s="11" t="s">
        <v>0</v>
      </c>
      <c r="Q77" s="11" t="s">
        <v>0</v>
      </c>
      <c r="R77" s="11" t="s">
        <v>0</v>
      </c>
      <c r="S77" s="11" t="s">
        <v>0</v>
      </c>
      <c r="T77" s="11" t="s">
        <v>0</v>
      </c>
      <c r="U77" s="11" t="s">
        <v>0</v>
      </c>
      <c r="V77" s="11" t="s">
        <v>0</v>
      </c>
      <c r="W77" s="11" t="s">
        <v>0</v>
      </c>
      <c r="X77" s="11" t="s">
        <v>0</v>
      </c>
      <c r="Y77" s="11" t="s">
        <v>0</v>
      </c>
      <c r="Z77" s="11" t="s">
        <v>0</v>
      </c>
      <c r="AA77" s="11" t="s">
        <v>0</v>
      </c>
      <c r="AB77" s="11" t="s">
        <v>0</v>
      </c>
      <c r="AC77" s="11" t="s">
        <v>0</v>
      </c>
      <c r="AD77" s="11" t="s">
        <v>0</v>
      </c>
    </row>
    <row r="78">
      <c r="B78" s="12" t="s">
        <v>0</v>
      </c>
      <c r="C78" s="11" t="s">
        <v>0</v>
      </c>
      <c r="D78" s="11" t="s">
        <v>0</v>
      </c>
      <c r="E78" s="12" t="s">
        <v>0</v>
      </c>
      <c r="F78" s="12" t="s">
        <v>0</v>
      </c>
      <c r="G78" s="12" t="s">
        <v>0</v>
      </c>
      <c r="H78" s="12" t="s">
        <v>0</v>
      </c>
      <c r="I78" s="12" t="s">
        <v>0</v>
      </c>
      <c r="J78" s="12" t="s">
        <v>0</v>
      </c>
      <c r="K78" s="12" t="s">
        <v>0</v>
      </c>
      <c r="L78" s="13" t="s">
        <v>0</v>
      </c>
      <c r="M78" s="11" t="s">
        <v>0</v>
      </c>
      <c r="N78" s="11" t="s">
        <v>0</v>
      </c>
      <c r="O78" s="11" t="s">
        <v>0</v>
      </c>
      <c r="P78" s="11" t="s">
        <v>0</v>
      </c>
      <c r="Q78" s="11" t="s">
        <v>0</v>
      </c>
      <c r="R78" s="11" t="s">
        <v>0</v>
      </c>
      <c r="S78" s="11" t="s">
        <v>0</v>
      </c>
      <c r="T78" s="11" t="s">
        <v>0</v>
      </c>
      <c r="U78" s="11" t="s">
        <v>0</v>
      </c>
      <c r="V78" s="11" t="s">
        <v>0</v>
      </c>
      <c r="W78" s="11" t="s">
        <v>0</v>
      </c>
      <c r="X78" s="11" t="s">
        <v>0</v>
      </c>
      <c r="Y78" s="11" t="s">
        <v>0</v>
      </c>
      <c r="Z78" s="11" t="s">
        <v>0</v>
      </c>
      <c r="AA78" s="11" t="s">
        <v>0</v>
      </c>
      <c r="AB78" s="11" t="s">
        <v>0</v>
      </c>
      <c r="AC78" s="11" t="s">
        <v>0</v>
      </c>
      <c r="AD78" s="11" t="s">
        <v>0</v>
      </c>
    </row>
    <row r="79">
      <c r="B79" s="12" t="s">
        <v>0</v>
      </c>
      <c r="C79" s="11" t="s">
        <v>0</v>
      </c>
      <c r="D79" s="11" t="s">
        <v>0</v>
      </c>
      <c r="E79" s="12" t="s">
        <v>0</v>
      </c>
      <c r="F79" s="12" t="s">
        <v>0</v>
      </c>
      <c r="G79" s="12" t="s">
        <v>0</v>
      </c>
      <c r="H79" s="12" t="s">
        <v>0</v>
      </c>
      <c r="I79" s="12" t="s">
        <v>0</v>
      </c>
      <c r="J79" s="12" t="s">
        <v>0</v>
      </c>
      <c r="K79" s="12" t="s">
        <v>0</v>
      </c>
      <c r="L79" s="13" t="s">
        <v>0</v>
      </c>
      <c r="M79" s="11" t="s">
        <v>0</v>
      </c>
      <c r="N79" s="11" t="s">
        <v>0</v>
      </c>
      <c r="O79" s="11" t="s">
        <v>0</v>
      </c>
      <c r="P79" s="11" t="s">
        <v>0</v>
      </c>
      <c r="Q79" s="11" t="s">
        <v>0</v>
      </c>
      <c r="R79" s="11" t="s">
        <v>0</v>
      </c>
      <c r="S79" s="11" t="s">
        <v>0</v>
      </c>
      <c r="T79" s="11" t="s">
        <v>0</v>
      </c>
      <c r="U79" s="11" t="s">
        <v>0</v>
      </c>
      <c r="V79" s="11" t="s">
        <v>0</v>
      </c>
      <c r="W79" s="11" t="s">
        <v>0</v>
      </c>
      <c r="X79" s="11" t="s">
        <v>0</v>
      </c>
      <c r="Y79" s="11" t="s">
        <v>0</v>
      </c>
      <c r="Z79" s="11" t="s">
        <v>0</v>
      </c>
      <c r="AA79" s="11" t="s">
        <v>0</v>
      </c>
      <c r="AB79" s="11" t="s">
        <v>0</v>
      </c>
      <c r="AC79" s="11" t="s">
        <v>0</v>
      </c>
      <c r="AD79" s="11" t="s">
        <v>0</v>
      </c>
    </row>
    <row r="80">
      <c r="B80" s="12" t="s">
        <v>0</v>
      </c>
      <c r="C80" s="11" t="s">
        <v>0</v>
      </c>
      <c r="D80" s="11" t="s">
        <v>0</v>
      </c>
      <c r="E80" s="12" t="s">
        <v>0</v>
      </c>
      <c r="F80" s="12" t="s">
        <v>0</v>
      </c>
      <c r="G80" s="12" t="s">
        <v>0</v>
      </c>
      <c r="H80" s="12" t="s">
        <v>0</v>
      </c>
      <c r="I80" s="12" t="s">
        <v>0</v>
      </c>
      <c r="J80" s="12" t="s">
        <v>0</v>
      </c>
      <c r="K80" s="12" t="s">
        <v>0</v>
      </c>
      <c r="L80" s="13" t="s">
        <v>0</v>
      </c>
      <c r="M80" s="11" t="s">
        <v>0</v>
      </c>
      <c r="N80" s="11" t="s">
        <v>0</v>
      </c>
      <c r="O80" s="11" t="s">
        <v>0</v>
      </c>
      <c r="P80" s="11" t="s">
        <v>0</v>
      </c>
      <c r="Q80" s="11" t="s">
        <v>0</v>
      </c>
      <c r="R80" s="11" t="s">
        <v>0</v>
      </c>
      <c r="S80" s="11" t="s">
        <v>0</v>
      </c>
      <c r="T80" s="11" t="s">
        <v>0</v>
      </c>
      <c r="U80" s="11" t="s">
        <v>0</v>
      </c>
      <c r="V80" s="11" t="s">
        <v>0</v>
      </c>
      <c r="W80" s="11" t="s">
        <v>0</v>
      </c>
      <c r="X80" s="11" t="s">
        <v>0</v>
      </c>
      <c r="Y80" s="11" t="s">
        <v>0</v>
      </c>
      <c r="Z80" s="11" t="s">
        <v>0</v>
      </c>
      <c r="AA80" s="11" t="s">
        <v>0</v>
      </c>
      <c r="AB80" s="11" t="s">
        <v>0</v>
      </c>
      <c r="AC80" s="11" t="s">
        <v>0</v>
      </c>
      <c r="AD80" s="11" t="s">
        <v>0</v>
      </c>
    </row>
    <row r="81">
      <c r="B81" s="12" t="s">
        <v>0</v>
      </c>
      <c r="C81" s="11" t="s">
        <v>0</v>
      </c>
      <c r="D81" s="11" t="s">
        <v>0</v>
      </c>
      <c r="E81" s="12" t="s">
        <v>0</v>
      </c>
      <c r="F81" s="12" t="s">
        <v>0</v>
      </c>
      <c r="G81" s="12" t="s">
        <v>0</v>
      </c>
      <c r="H81" s="12" t="s">
        <v>0</v>
      </c>
      <c r="I81" s="12" t="s">
        <v>0</v>
      </c>
      <c r="J81" s="12" t="s">
        <v>0</v>
      </c>
      <c r="K81" s="12" t="s">
        <v>0</v>
      </c>
      <c r="L81" s="13" t="s">
        <v>0</v>
      </c>
      <c r="M81" s="11" t="s">
        <v>0</v>
      </c>
      <c r="N81" s="11" t="s">
        <v>0</v>
      </c>
      <c r="O81" s="11" t="s">
        <v>0</v>
      </c>
      <c r="P81" s="11" t="s">
        <v>0</v>
      </c>
      <c r="Q81" s="11" t="s">
        <v>0</v>
      </c>
      <c r="R81" s="11" t="s">
        <v>0</v>
      </c>
      <c r="S81" s="11" t="s">
        <v>0</v>
      </c>
      <c r="T81" s="11" t="s">
        <v>0</v>
      </c>
      <c r="U81" s="11" t="s">
        <v>0</v>
      </c>
      <c r="V81" s="11" t="s">
        <v>0</v>
      </c>
      <c r="W81" s="11" t="s">
        <v>0</v>
      </c>
      <c r="X81" s="11" t="s">
        <v>0</v>
      </c>
      <c r="Y81" s="11" t="s">
        <v>0</v>
      </c>
      <c r="Z81" s="11" t="s">
        <v>0</v>
      </c>
      <c r="AA81" s="11" t="s">
        <v>0</v>
      </c>
      <c r="AB81" s="11" t="s">
        <v>0</v>
      </c>
      <c r="AC81" s="11" t="s">
        <v>0</v>
      </c>
      <c r="AD81" s="11" t="s">
        <v>0</v>
      </c>
    </row>
    <row r="82">
      <c r="B82" s="12" t="s">
        <v>0</v>
      </c>
      <c r="C82" s="11" t="s">
        <v>0</v>
      </c>
      <c r="D82" s="11" t="s">
        <v>0</v>
      </c>
      <c r="E82" s="12" t="s">
        <v>0</v>
      </c>
      <c r="F82" s="12" t="s">
        <v>0</v>
      </c>
      <c r="G82" s="12" t="s">
        <v>0</v>
      </c>
      <c r="H82" s="12" t="s">
        <v>0</v>
      </c>
      <c r="I82" s="12" t="s">
        <v>0</v>
      </c>
      <c r="J82" s="12" t="s">
        <v>0</v>
      </c>
      <c r="K82" s="12" t="s">
        <v>0</v>
      </c>
      <c r="L82" s="13" t="s">
        <v>0</v>
      </c>
      <c r="M82" s="11" t="s">
        <v>0</v>
      </c>
      <c r="N82" s="11" t="s">
        <v>0</v>
      </c>
      <c r="O82" s="11" t="s">
        <v>0</v>
      </c>
      <c r="P82" s="11" t="s">
        <v>0</v>
      </c>
      <c r="Q82" s="11" t="s">
        <v>0</v>
      </c>
      <c r="R82" s="11" t="s">
        <v>0</v>
      </c>
      <c r="S82" s="11" t="s">
        <v>0</v>
      </c>
      <c r="T82" s="11" t="s">
        <v>0</v>
      </c>
      <c r="U82" s="11" t="s">
        <v>0</v>
      </c>
      <c r="V82" s="11" t="s">
        <v>0</v>
      </c>
      <c r="W82" s="11" t="s">
        <v>0</v>
      </c>
      <c r="X82" s="11" t="s">
        <v>0</v>
      </c>
      <c r="Y82" s="11" t="s">
        <v>0</v>
      </c>
      <c r="Z82" s="11" t="s">
        <v>0</v>
      </c>
      <c r="AA82" s="11" t="s">
        <v>0</v>
      </c>
      <c r="AB82" s="11" t="s">
        <v>0</v>
      </c>
      <c r="AC82" s="11" t="s">
        <v>0</v>
      </c>
      <c r="AD82" s="11" t="s">
        <v>0</v>
      </c>
    </row>
    <row r="83">
      <c r="B83" s="12" t="s">
        <v>0</v>
      </c>
      <c r="C83" s="11" t="s">
        <v>0</v>
      </c>
      <c r="D83" s="11" t="s">
        <v>0</v>
      </c>
      <c r="E83" s="12" t="s">
        <v>0</v>
      </c>
      <c r="F83" s="12" t="s">
        <v>0</v>
      </c>
      <c r="G83" s="12" t="s">
        <v>0</v>
      </c>
      <c r="H83" s="12" t="s">
        <v>0</v>
      </c>
      <c r="I83" s="12" t="s">
        <v>0</v>
      </c>
      <c r="J83" s="12" t="s">
        <v>0</v>
      </c>
      <c r="K83" s="12" t="s">
        <v>0</v>
      </c>
      <c r="L83" s="13" t="s">
        <v>0</v>
      </c>
      <c r="M83" s="11" t="s">
        <v>0</v>
      </c>
      <c r="N83" s="11" t="s">
        <v>0</v>
      </c>
      <c r="O83" s="11" t="s">
        <v>0</v>
      </c>
      <c r="P83" s="11" t="s">
        <v>0</v>
      </c>
      <c r="Q83" s="11" t="s">
        <v>0</v>
      </c>
      <c r="R83" s="11" t="s">
        <v>0</v>
      </c>
      <c r="S83" s="11" t="s">
        <v>0</v>
      </c>
      <c r="T83" s="11" t="s">
        <v>0</v>
      </c>
      <c r="U83" s="11" t="s">
        <v>0</v>
      </c>
      <c r="V83" s="11" t="s">
        <v>0</v>
      </c>
      <c r="W83" s="11" t="s">
        <v>0</v>
      </c>
      <c r="X83" s="11" t="s">
        <v>0</v>
      </c>
      <c r="Y83" s="11" t="s">
        <v>0</v>
      </c>
      <c r="Z83" s="11" t="s">
        <v>0</v>
      </c>
      <c r="AA83" s="11" t="s">
        <v>0</v>
      </c>
      <c r="AB83" s="11" t="s">
        <v>0</v>
      </c>
      <c r="AC83" s="11" t="s">
        <v>0</v>
      </c>
      <c r="AD83" s="11" t="s">
        <v>0</v>
      </c>
    </row>
    <row r="84">
      <c r="B84" s="12" t="s">
        <v>0</v>
      </c>
      <c r="C84" s="11" t="s">
        <v>0</v>
      </c>
      <c r="D84" s="11" t="s">
        <v>0</v>
      </c>
      <c r="E84" s="12" t="s">
        <v>0</v>
      </c>
      <c r="F84" s="12" t="s">
        <v>0</v>
      </c>
      <c r="G84" s="12" t="s">
        <v>0</v>
      </c>
      <c r="H84" s="12" t="s">
        <v>0</v>
      </c>
      <c r="I84" s="12" t="s">
        <v>0</v>
      </c>
      <c r="J84" s="12" t="s">
        <v>0</v>
      </c>
      <c r="K84" s="12" t="s">
        <v>0</v>
      </c>
      <c r="L84" s="13" t="s">
        <v>0</v>
      </c>
      <c r="M84" s="11" t="s">
        <v>0</v>
      </c>
      <c r="N84" s="11" t="s">
        <v>0</v>
      </c>
      <c r="O84" s="11" t="s">
        <v>0</v>
      </c>
      <c r="P84" s="11" t="s">
        <v>0</v>
      </c>
      <c r="Q84" s="11" t="s">
        <v>0</v>
      </c>
      <c r="R84" s="11" t="s">
        <v>0</v>
      </c>
      <c r="S84" s="11" t="s">
        <v>0</v>
      </c>
      <c r="T84" s="11" t="s">
        <v>0</v>
      </c>
      <c r="U84" s="11" t="s">
        <v>0</v>
      </c>
      <c r="V84" s="11" t="s">
        <v>0</v>
      </c>
      <c r="W84" s="11" t="s">
        <v>0</v>
      </c>
      <c r="X84" s="11" t="s">
        <v>0</v>
      </c>
      <c r="Y84" s="11" t="s">
        <v>0</v>
      </c>
      <c r="Z84" s="11" t="s">
        <v>0</v>
      </c>
      <c r="AA84" s="11" t="s">
        <v>0</v>
      </c>
      <c r="AB84" s="11" t="s">
        <v>0</v>
      </c>
      <c r="AC84" s="11" t="s">
        <v>0</v>
      </c>
      <c r="AD84" s="11" t="s">
        <v>0</v>
      </c>
    </row>
    <row r="85">
      <c r="B85" s="12" t="s">
        <v>0</v>
      </c>
      <c r="C85" s="11" t="s">
        <v>0</v>
      </c>
      <c r="D85" s="11" t="s">
        <v>0</v>
      </c>
      <c r="E85" s="12" t="s">
        <v>0</v>
      </c>
      <c r="F85" s="12" t="s">
        <v>0</v>
      </c>
      <c r="G85" s="12" t="s">
        <v>0</v>
      </c>
      <c r="H85" s="12" t="s">
        <v>0</v>
      </c>
      <c r="I85" s="12" t="s">
        <v>0</v>
      </c>
      <c r="J85" s="12" t="s">
        <v>0</v>
      </c>
      <c r="K85" s="12" t="s">
        <v>0</v>
      </c>
      <c r="L85" s="13" t="s">
        <v>0</v>
      </c>
      <c r="M85" s="11" t="s">
        <v>0</v>
      </c>
      <c r="N85" s="11" t="s">
        <v>0</v>
      </c>
      <c r="O85" s="11" t="s">
        <v>0</v>
      </c>
      <c r="P85" s="11" t="s">
        <v>0</v>
      </c>
      <c r="Q85" s="11" t="s">
        <v>0</v>
      </c>
      <c r="R85" s="11" t="s">
        <v>0</v>
      </c>
      <c r="S85" s="11" t="s">
        <v>0</v>
      </c>
      <c r="T85" s="11" t="s">
        <v>0</v>
      </c>
      <c r="U85" s="11" t="s">
        <v>0</v>
      </c>
      <c r="V85" s="11" t="s">
        <v>0</v>
      </c>
      <c r="W85" s="11" t="s">
        <v>0</v>
      </c>
      <c r="X85" s="11" t="s">
        <v>0</v>
      </c>
      <c r="Y85" s="11" t="s">
        <v>0</v>
      </c>
      <c r="Z85" s="11" t="s">
        <v>0</v>
      </c>
      <c r="AA85" s="11" t="s">
        <v>0</v>
      </c>
      <c r="AB85" s="11" t="s">
        <v>0</v>
      </c>
      <c r="AC85" s="11" t="s">
        <v>0</v>
      </c>
      <c r="AD85" s="11" t="s">
        <v>0</v>
      </c>
    </row>
    <row r="86">
      <c r="B86" s="12" t="s">
        <v>0</v>
      </c>
      <c r="C86" s="11" t="s">
        <v>0</v>
      </c>
      <c r="D86" s="11" t="s">
        <v>0</v>
      </c>
      <c r="E86" s="12" t="s">
        <v>0</v>
      </c>
      <c r="F86" s="12" t="s">
        <v>0</v>
      </c>
      <c r="G86" s="12" t="s">
        <v>0</v>
      </c>
      <c r="H86" s="12" t="s">
        <v>0</v>
      </c>
      <c r="I86" s="12" t="s">
        <v>0</v>
      </c>
      <c r="J86" s="12" t="s">
        <v>0</v>
      </c>
      <c r="K86" s="12" t="s">
        <v>0</v>
      </c>
      <c r="L86" s="13" t="s">
        <v>0</v>
      </c>
      <c r="M86" s="11" t="s">
        <v>0</v>
      </c>
      <c r="N86" s="11" t="s">
        <v>0</v>
      </c>
      <c r="O86" s="11" t="s">
        <v>0</v>
      </c>
      <c r="P86" s="11" t="s">
        <v>0</v>
      </c>
      <c r="Q86" s="11" t="s">
        <v>0</v>
      </c>
      <c r="R86" s="11" t="s">
        <v>0</v>
      </c>
      <c r="S86" s="11" t="s">
        <v>0</v>
      </c>
      <c r="T86" s="11" t="s">
        <v>0</v>
      </c>
      <c r="U86" s="11" t="s">
        <v>0</v>
      </c>
      <c r="V86" s="11" t="s">
        <v>0</v>
      </c>
      <c r="W86" s="11" t="s">
        <v>0</v>
      </c>
      <c r="X86" s="11" t="s">
        <v>0</v>
      </c>
      <c r="Y86" s="11" t="s">
        <v>0</v>
      </c>
      <c r="Z86" s="11" t="s">
        <v>0</v>
      </c>
      <c r="AA86" s="11" t="s">
        <v>0</v>
      </c>
      <c r="AB86" s="11" t="s">
        <v>0</v>
      </c>
      <c r="AC86" s="11" t="s">
        <v>0</v>
      </c>
      <c r="AD86" s="11" t="s">
        <v>0</v>
      </c>
    </row>
    <row r="87">
      <c r="B87" s="12" t="s">
        <v>0</v>
      </c>
      <c r="C87" s="11" t="s">
        <v>0</v>
      </c>
      <c r="D87" s="11" t="s">
        <v>0</v>
      </c>
      <c r="E87" s="12" t="s">
        <v>0</v>
      </c>
      <c r="F87" s="12" t="s">
        <v>0</v>
      </c>
      <c r="G87" s="12" t="s">
        <v>0</v>
      </c>
      <c r="H87" s="12" t="s">
        <v>0</v>
      </c>
      <c r="I87" s="12" t="s">
        <v>0</v>
      </c>
      <c r="J87" s="12" t="s">
        <v>0</v>
      </c>
      <c r="K87" s="12" t="s">
        <v>0</v>
      </c>
      <c r="L87" s="13" t="s">
        <v>0</v>
      </c>
      <c r="M87" s="11" t="s">
        <v>0</v>
      </c>
      <c r="N87" s="11" t="s">
        <v>0</v>
      </c>
      <c r="O87" s="11" t="s">
        <v>0</v>
      </c>
      <c r="P87" s="11" t="s">
        <v>0</v>
      </c>
      <c r="Q87" s="11" t="s">
        <v>0</v>
      </c>
      <c r="R87" s="11" t="s">
        <v>0</v>
      </c>
      <c r="S87" s="11" t="s">
        <v>0</v>
      </c>
      <c r="T87" s="11" t="s">
        <v>0</v>
      </c>
      <c r="U87" s="11" t="s">
        <v>0</v>
      </c>
      <c r="V87" s="11" t="s">
        <v>0</v>
      </c>
      <c r="W87" s="11" t="s">
        <v>0</v>
      </c>
      <c r="X87" s="11" t="s">
        <v>0</v>
      </c>
      <c r="Y87" s="11" t="s">
        <v>0</v>
      </c>
      <c r="Z87" s="11" t="s">
        <v>0</v>
      </c>
      <c r="AA87" s="11" t="s">
        <v>0</v>
      </c>
      <c r="AB87" s="11" t="s">
        <v>0</v>
      </c>
      <c r="AC87" s="11" t="s">
        <v>0</v>
      </c>
      <c r="AD87" s="11" t="s">
        <v>0</v>
      </c>
    </row>
    <row r="88">
      <c r="B88" s="12" t="s">
        <v>0</v>
      </c>
      <c r="C88" s="11" t="s">
        <v>0</v>
      </c>
      <c r="D88" s="11" t="s">
        <v>0</v>
      </c>
      <c r="E88" s="12" t="s">
        <v>0</v>
      </c>
      <c r="F88" s="12" t="s">
        <v>0</v>
      </c>
      <c r="G88" s="12" t="s">
        <v>0</v>
      </c>
      <c r="H88" s="12" t="s">
        <v>0</v>
      </c>
      <c r="I88" s="12" t="s">
        <v>0</v>
      </c>
      <c r="J88" s="12" t="s">
        <v>0</v>
      </c>
      <c r="K88" s="12" t="s">
        <v>0</v>
      </c>
      <c r="L88" s="13" t="s">
        <v>0</v>
      </c>
      <c r="M88" s="11" t="s">
        <v>0</v>
      </c>
      <c r="N88" s="11" t="s">
        <v>0</v>
      </c>
      <c r="O88" s="11" t="s">
        <v>0</v>
      </c>
      <c r="P88" s="11" t="s">
        <v>0</v>
      </c>
      <c r="Q88" s="11" t="s">
        <v>0</v>
      </c>
      <c r="R88" s="11" t="s">
        <v>0</v>
      </c>
      <c r="S88" s="11" t="s">
        <v>0</v>
      </c>
      <c r="T88" s="11" t="s">
        <v>0</v>
      </c>
      <c r="U88" s="11" t="s">
        <v>0</v>
      </c>
      <c r="V88" s="11" t="s">
        <v>0</v>
      </c>
      <c r="W88" s="11" t="s">
        <v>0</v>
      </c>
      <c r="X88" s="11" t="s">
        <v>0</v>
      </c>
      <c r="Y88" s="11" t="s">
        <v>0</v>
      </c>
      <c r="Z88" s="11" t="s">
        <v>0</v>
      </c>
      <c r="AA88" s="11" t="s">
        <v>0</v>
      </c>
      <c r="AB88" s="11" t="s">
        <v>0</v>
      </c>
      <c r="AC88" s="11" t="s">
        <v>0</v>
      </c>
      <c r="AD88" s="11" t="s">
        <v>0</v>
      </c>
    </row>
    <row r="89">
      <c r="B89" s="12" t="s">
        <v>0</v>
      </c>
      <c r="C89" s="11" t="s">
        <v>0</v>
      </c>
      <c r="D89" s="11" t="s">
        <v>0</v>
      </c>
      <c r="E89" s="12" t="s">
        <v>0</v>
      </c>
      <c r="F89" s="12" t="s">
        <v>0</v>
      </c>
      <c r="G89" s="12" t="s">
        <v>0</v>
      </c>
      <c r="H89" s="12" t="s">
        <v>0</v>
      </c>
      <c r="I89" s="12" t="s">
        <v>0</v>
      </c>
      <c r="J89" s="12" t="s">
        <v>0</v>
      </c>
      <c r="K89" s="12" t="s">
        <v>0</v>
      </c>
      <c r="L89" s="13" t="s">
        <v>0</v>
      </c>
      <c r="M89" s="11" t="s">
        <v>0</v>
      </c>
      <c r="N89" s="11" t="s">
        <v>0</v>
      </c>
      <c r="O89" s="11" t="s">
        <v>0</v>
      </c>
      <c r="P89" s="11" t="s">
        <v>0</v>
      </c>
      <c r="Q89" s="11" t="s">
        <v>0</v>
      </c>
      <c r="R89" s="11" t="s">
        <v>0</v>
      </c>
      <c r="S89" s="11" t="s">
        <v>0</v>
      </c>
      <c r="T89" s="11" t="s">
        <v>0</v>
      </c>
      <c r="U89" s="11" t="s">
        <v>0</v>
      </c>
      <c r="V89" s="11" t="s">
        <v>0</v>
      </c>
      <c r="W89" s="11" t="s">
        <v>0</v>
      </c>
      <c r="X89" s="11" t="s">
        <v>0</v>
      </c>
      <c r="Y89" s="11" t="s">
        <v>0</v>
      </c>
      <c r="Z89" s="11" t="s">
        <v>0</v>
      </c>
      <c r="AA89" s="11" t="s">
        <v>0</v>
      </c>
      <c r="AB89" s="11" t="s">
        <v>0</v>
      </c>
      <c r="AC89" s="11" t="s">
        <v>0</v>
      </c>
      <c r="AD89" s="11" t="s">
        <v>0</v>
      </c>
    </row>
    <row r="90">
      <c r="B90" s="12" t="s">
        <v>0</v>
      </c>
      <c r="C90" s="11" t="s">
        <v>0</v>
      </c>
      <c r="D90" s="11" t="s">
        <v>0</v>
      </c>
      <c r="E90" s="12" t="s">
        <v>0</v>
      </c>
      <c r="F90" s="12" t="s">
        <v>0</v>
      </c>
      <c r="G90" s="12" t="s">
        <v>0</v>
      </c>
      <c r="H90" s="12" t="s">
        <v>0</v>
      </c>
      <c r="I90" s="12" t="s">
        <v>0</v>
      </c>
      <c r="J90" s="12" t="s">
        <v>0</v>
      </c>
      <c r="K90" s="12" t="s">
        <v>0</v>
      </c>
      <c r="L90" s="13" t="s">
        <v>0</v>
      </c>
      <c r="M90" s="11" t="s">
        <v>0</v>
      </c>
      <c r="N90" s="11" t="s">
        <v>0</v>
      </c>
      <c r="O90" s="11" t="s">
        <v>0</v>
      </c>
      <c r="P90" s="11" t="s">
        <v>0</v>
      </c>
      <c r="Q90" s="11" t="s">
        <v>0</v>
      </c>
      <c r="R90" s="11" t="s">
        <v>0</v>
      </c>
      <c r="S90" s="11" t="s">
        <v>0</v>
      </c>
      <c r="T90" s="11" t="s">
        <v>0</v>
      </c>
      <c r="U90" s="11" t="s">
        <v>0</v>
      </c>
      <c r="V90" s="11" t="s">
        <v>0</v>
      </c>
      <c r="W90" s="11" t="s">
        <v>0</v>
      </c>
      <c r="X90" s="11" t="s">
        <v>0</v>
      </c>
      <c r="Y90" s="11" t="s">
        <v>0</v>
      </c>
      <c r="Z90" s="11" t="s">
        <v>0</v>
      </c>
      <c r="AA90" s="11" t="s">
        <v>0</v>
      </c>
      <c r="AB90" s="11" t="s">
        <v>0</v>
      </c>
      <c r="AC90" s="11" t="s">
        <v>0</v>
      </c>
      <c r="AD90" s="11" t="s">
        <v>0</v>
      </c>
    </row>
    <row r="91">
      <c r="B91" s="12" t="s">
        <v>0</v>
      </c>
      <c r="C91" s="11" t="s">
        <v>0</v>
      </c>
      <c r="D91" s="11" t="s">
        <v>0</v>
      </c>
      <c r="E91" s="12" t="s">
        <v>0</v>
      </c>
      <c r="F91" s="12" t="s">
        <v>0</v>
      </c>
      <c r="G91" s="12" t="s">
        <v>0</v>
      </c>
      <c r="H91" s="12" t="s">
        <v>0</v>
      </c>
      <c r="I91" s="12" t="s">
        <v>0</v>
      </c>
      <c r="J91" s="12" t="s">
        <v>0</v>
      </c>
      <c r="K91" s="12" t="s">
        <v>0</v>
      </c>
      <c r="L91" s="13" t="s">
        <v>0</v>
      </c>
      <c r="M91" s="11" t="s">
        <v>0</v>
      </c>
      <c r="N91" s="11" t="s">
        <v>0</v>
      </c>
      <c r="O91" s="11" t="s">
        <v>0</v>
      </c>
      <c r="P91" s="11" t="s">
        <v>0</v>
      </c>
      <c r="Q91" s="11" t="s">
        <v>0</v>
      </c>
      <c r="R91" s="11" t="s">
        <v>0</v>
      </c>
      <c r="S91" s="11" t="s">
        <v>0</v>
      </c>
      <c r="T91" s="11" t="s">
        <v>0</v>
      </c>
      <c r="U91" s="11" t="s">
        <v>0</v>
      </c>
      <c r="V91" s="11" t="s">
        <v>0</v>
      </c>
      <c r="W91" s="11" t="s">
        <v>0</v>
      </c>
      <c r="X91" s="11" t="s">
        <v>0</v>
      </c>
      <c r="Y91" s="11" t="s">
        <v>0</v>
      </c>
      <c r="Z91" s="11" t="s">
        <v>0</v>
      </c>
      <c r="AA91" s="11" t="s">
        <v>0</v>
      </c>
      <c r="AB91" s="11" t="s">
        <v>0</v>
      </c>
      <c r="AC91" s="11" t="s">
        <v>0</v>
      </c>
      <c r="AD91" s="11" t="s">
        <v>0</v>
      </c>
    </row>
    <row r="92">
      <c r="B92" s="12" t="s">
        <v>0</v>
      </c>
      <c r="C92" s="11" t="s">
        <v>0</v>
      </c>
      <c r="D92" s="11" t="s">
        <v>0</v>
      </c>
      <c r="E92" s="12" t="s">
        <v>0</v>
      </c>
      <c r="F92" s="12" t="s">
        <v>0</v>
      </c>
      <c r="G92" s="12" t="s">
        <v>0</v>
      </c>
      <c r="H92" s="12" t="s">
        <v>0</v>
      </c>
      <c r="I92" s="12" t="s">
        <v>0</v>
      </c>
      <c r="J92" s="12" t="s">
        <v>0</v>
      </c>
      <c r="K92" s="12" t="s">
        <v>0</v>
      </c>
      <c r="L92" s="13" t="s">
        <v>0</v>
      </c>
      <c r="M92" s="11" t="s">
        <v>0</v>
      </c>
      <c r="N92" s="11" t="s">
        <v>0</v>
      </c>
      <c r="O92" s="11" t="s">
        <v>0</v>
      </c>
      <c r="P92" s="11" t="s">
        <v>0</v>
      </c>
      <c r="Q92" s="11" t="s">
        <v>0</v>
      </c>
      <c r="R92" s="11" t="s">
        <v>0</v>
      </c>
      <c r="S92" s="11" t="s">
        <v>0</v>
      </c>
      <c r="T92" s="11" t="s">
        <v>0</v>
      </c>
      <c r="U92" s="11" t="s">
        <v>0</v>
      </c>
      <c r="V92" s="11" t="s">
        <v>0</v>
      </c>
      <c r="W92" s="11" t="s">
        <v>0</v>
      </c>
      <c r="X92" s="11" t="s">
        <v>0</v>
      </c>
      <c r="Y92" s="11" t="s">
        <v>0</v>
      </c>
      <c r="Z92" s="11" t="s">
        <v>0</v>
      </c>
      <c r="AA92" s="11" t="s">
        <v>0</v>
      </c>
      <c r="AB92" s="11" t="s">
        <v>0</v>
      </c>
      <c r="AC92" s="11" t="s">
        <v>0</v>
      </c>
      <c r="AD92" s="11" t="s">
        <v>0</v>
      </c>
    </row>
    <row r="93">
      <c r="B93" s="12" t="s">
        <v>0</v>
      </c>
      <c r="C93" s="11" t="s">
        <v>0</v>
      </c>
      <c r="D93" s="11" t="s">
        <v>0</v>
      </c>
      <c r="E93" s="12" t="s">
        <v>0</v>
      </c>
      <c r="F93" s="12" t="s">
        <v>0</v>
      </c>
      <c r="G93" s="12" t="s">
        <v>0</v>
      </c>
      <c r="H93" s="12" t="s">
        <v>0</v>
      </c>
      <c r="I93" s="12" t="s">
        <v>0</v>
      </c>
      <c r="J93" s="12" t="s">
        <v>0</v>
      </c>
      <c r="K93" s="12" t="s">
        <v>0</v>
      </c>
      <c r="L93" s="13" t="s">
        <v>0</v>
      </c>
      <c r="M93" s="11" t="s">
        <v>0</v>
      </c>
      <c r="N93" s="11" t="s">
        <v>0</v>
      </c>
      <c r="O93" s="11" t="s">
        <v>0</v>
      </c>
      <c r="P93" s="11" t="s">
        <v>0</v>
      </c>
      <c r="Q93" s="11" t="s">
        <v>0</v>
      </c>
      <c r="R93" s="11" t="s">
        <v>0</v>
      </c>
      <c r="S93" s="11" t="s">
        <v>0</v>
      </c>
      <c r="T93" s="11" t="s">
        <v>0</v>
      </c>
      <c r="U93" s="11" t="s">
        <v>0</v>
      </c>
      <c r="V93" s="11" t="s">
        <v>0</v>
      </c>
      <c r="W93" s="11" t="s">
        <v>0</v>
      </c>
      <c r="X93" s="11" t="s">
        <v>0</v>
      </c>
      <c r="Y93" s="11" t="s">
        <v>0</v>
      </c>
      <c r="Z93" s="11" t="s">
        <v>0</v>
      </c>
      <c r="AA93" s="11" t="s">
        <v>0</v>
      </c>
      <c r="AB93" s="11" t="s">
        <v>0</v>
      </c>
      <c r="AC93" s="11" t="s">
        <v>0</v>
      </c>
      <c r="AD93" s="11" t="s">
        <v>0</v>
      </c>
    </row>
    <row r="94">
      <c r="B94" s="12" t="s">
        <v>0</v>
      </c>
      <c r="C94" s="11" t="s">
        <v>0</v>
      </c>
      <c r="D94" s="11" t="s">
        <v>0</v>
      </c>
      <c r="E94" s="12" t="s">
        <v>0</v>
      </c>
      <c r="F94" s="12" t="s">
        <v>0</v>
      </c>
      <c r="G94" s="12" t="s">
        <v>0</v>
      </c>
      <c r="H94" s="12" t="s">
        <v>0</v>
      </c>
      <c r="I94" s="12" t="s">
        <v>0</v>
      </c>
      <c r="J94" s="12" t="s">
        <v>0</v>
      </c>
      <c r="K94" s="12" t="s">
        <v>0</v>
      </c>
      <c r="L94" s="13" t="s">
        <v>0</v>
      </c>
      <c r="M94" s="11" t="s">
        <v>0</v>
      </c>
      <c r="N94" s="11" t="s">
        <v>0</v>
      </c>
      <c r="O94" s="11" t="s">
        <v>0</v>
      </c>
      <c r="P94" s="11" t="s">
        <v>0</v>
      </c>
      <c r="Q94" s="11" t="s">
        <v>0</v>
      </c>
      <c r="R94" s="11" t="s">
        <v>0</v>
      </c>
      <c r="S94" s="11" t="s">
        <v>0</v>
      </c>
      <c r="T94" s="11" t="s">
        <v>0</v>
      </c>
      <c r="U94" s="11" t="s">
        <v>0</v>
      </c>
      <c r="V94" s="11" t="s">
        <v>0</v>
      </c>
      <c r="W94" s="11" t="s">
        <v>0</v>
      </c>
      <c r="X94" s="11" t="s">
        <v>0</v>
      </c>
      <c r="Y94" s="11" t="s">
        <v>0</v>
      </c>
      <c r="Z94" s="11" t="s">
        <v>0</v>
      </c>
      <c r="AA94" s="11" t="s">
        <v>0</v>
      </c>
      <c r="AB94" s="11" t="s">
        <v>0</v>
      </c>
      <c r="AC94" s="11" t="s">
        <v>0</v>
      </c>
      <c r="AD94" s="11" t="s">
        <v>0</v>
      </c>
    </row>
    <row r="95">
      <c r="B95" s="12" t="s">
        <v>0</v>
      </c>
      <c r="C95" s="11" t="s">
        <v>0</v>
      </c>
      <c r="D95" s="11" t="s">
        <v>0</v>
      </c>
      <c r="E95" s="12" t="s">
        <v>0</v>
      </c>
      <c r="F95" s="12" t="s">
        <v>0</v>
      </c>
      <c r="G95" s="12" t="s">
        <v>0</v>
      </c>
      <c r="H95" s="12" t="s">
        <v>0</v>
      </c>
      <c r="I95" s="12" t="s">
        <v>0</v>
      </c>
      <c r="J95" s="12" t="s">
        <v>0</v>
      </c>
      <c r="K95" s="12" t="s">
        <v>0</v>
      </c>
      <c r="L95" s="13" t="s">
        <v>0</v>
      </c>
      <c r="M95" s="11" t="s">
        <v>0</v>
      </c>
      <c r="N95" s="11" t="s">
        <v>0</v>
      </c>
      <c r="O95" s="11" t="s">
        <v>0</v>
      </c>
      <c r="P95" s="11" t="s">
        <v>0</v>
      </c>
      <c r="Q95" s="11" t="s">
        <v>0</v>
      </c>
      <c r="R95" s="11" t="s">
        <v>0</v>
      </c>
      <c r="S95" s="11" t="s">
        <v>0</v>
      </c>
      <c r="T95" s="11" t="s">
        <v>0</v>
      </c>
      <c r="U95" s="11" t="s">
        <v>0</v>
      </c>
      <c r="V95" s="11" t="s">
        <v>0</v>
      </c>
      <c r="W95" s="11" t="s">
        <v>0</v>
      </c>
      <c r="X95" s="11" t="s">
        <v>0</v>
      </c>
      <c r="Y95" s="11" t="s">
        <v>0</v>
      </c>
      <c r="Z95" s="11" t="s">
        <v>0</v>
      </c>
      <c r="AA95" s="11" t="s">
        <v>0</v>
      </c>
      <c r="AB95" s="11" t="s">
        <v>0</v>
      </c>
      <c r="AC95" s="11" t="s">
        <v>0</v>
      </c>
      <c r="AD95" s="11" t="s">
        <v>0</v>
      </c>
    </row>
    <row r="96">
      <c r="B96" s="12" t="s">
        <v>0</v>
      </c>
      <c r="C96" s="11" t="s">
        <v>0</v>
      </c>
      <c r="D96" s="11" t="s">
        <v>0</v>
      </c>
      <c r="E96" s="12" t="s">
        <v>0</v>
      </c>
      <c r="F96" s="12" t="s">
        <v>0</v>
      </c>
      <c r="G96" s="12" t="s">
        <v>0</v>
      </c>
      <c r="H96" s="12" t="s">
        <v>0</v>
      </c>
      <c r="I96" s="12" t="s">
        <v>0</v>
      </c>
      <c r="J96" s="12" t="s">
        <v>0</v>
      </c>
      <c r="K96" s="12" t="s">
        <v>0</v>
      </c>
      <c r="L96" s="13" t="s">
        <v>0</v>
      </c>
      <c r="M96" s="11" t="s">
        <v>0</v>
      </c>
      <c r="N96" s="11" t="s">
        <v>0</v>
      </c>
      <c r="O96" s="11" t="s">
        <v>0</v>
      </c>
      <c r="P96" s="11" t="s">
        <v>0</v>
      </c>
      <c r="Q96" s="11" t="s">
        <v>0</v>
      </c>
      <c r="R96" s="11" t="s">
        <v>0</v>
      </c>
      <c r="S96" s="11" t="s">
        <v>0</v>
      </c>
      <c r="T96" s="11" t="s">
        <v>0</v>
      </c>
      <c r="U96" s="11" t="s">
        <v>0</v>
      </c>
      <c r="V96" s="11" t="s">
        <v>0</v>
      </c>
      <c r="W96" s="11" t="s">
        <v>0</v>
      </c>
      <c r="X96" s="11" t="s">
        <v>0</v>
      </c>
      <c r="Y96" s="11" t="s">
        <v>0</v>
      </c>
      <c r="Z96" s="11" t="s">
        <v>0</v>
      </c>
      <c r="AA96" s="11" t="s">
        <v>0</v>
      </c>
      <c r="AB96" s="11" t="s">
        <v>0</v>
      </c>
      <c r="AC96" s="11" t="s">
        <v>0</v>
      </c>
      <c r="AD96" s="11" t="s">
        <v>0</v>
      </c>
    </row>
    <row r="97">
      <c r="B97" s="12" t="s">
        <v>0</v>
      </c>
      <c r="C97" s="11" t="s">
        <v>0</v>
      </c>
      <c r="D97" s="11" t="s">
        <v>0</v>
      </c>
      <c r="E97" s="12" t="s">
        <v>0</v>
      </c>
      <c r="F97" s="12" t="s">
        <v>0</v>
      </c>
      <c r="G97" s="12" t="s">
        <v>0</v>
      </c>
      <c r="H97" s="12" t="s">
        <v>0</v>
      </c>
      <c r="I97" s="12" t="s">
        <v>0</v>
      </c>
      <c r="J97" s="12" t="s">
        <v>0</v>
      </c>
      <c r="K97" s="12" t="s">
        <v>0</v>
      </c>
      <c r="L97" s="13" t="s">
        <v>0</v>
      </c>
      <c r="M97" s="11" t="s">
        <v>0</v>
      </c>
      <c r="N97" s="11" t="s">
        <v>0</v>
      </c>
      <c r="O97" s="11" t="s">
        <v>0</v>
      </c>
      <c r="P97" s="11" t="s">
        <v>0</v>
      </c>
      <c r="Q97" s="11" t="s">
        <v>0</v>
      </c>
      <c r="R97" s="11" t="s">
        <v>0</v>
      </c>
      <c r="S97" s="11" t="s">
        <v>0</v>
      </c>
      <c r="T97" s="11" t="s">
        <v>0</v>
      </c>
      <c r="U97" s="11" t="s">
        <v>0</v>
      </c>
      <c r="V97" s="11" t="s">
        <v>0</v>
      </c>
      <c r="W97" s="11" t="s">
        <v>0</v>
      </c>
      <c r="X97" s="11" t="s">
        <v>0</v>
      </c>
      <c r="Y97" s="11" t="s">
        <v>0</v>
      </c>
      <c r="Z97" s="11" t="s">
        <v>0</v>
      </c>
      <c r="AA97" s="11" t="s">
        <v>0</v>
      </c>
      <c r="AB97" s="11" t="s">
        <v>0</v>
      </c>
      <c r="AC97" s="11" t="s">
        <v>0</v>
      </c>
      <c r="AD97" s="11" t="s">
        <v>0</v>
      </c>
    </row>
    <row r="98">
      <c r="B98" s="12" t="s">
        <v>0</v>
      </c>
      <c r="C98" s="11" t="s">
        <v>0</v>
      </c>
      <c r="D98" s="11" t="s">
        <v>0</v>
      </c>
      <c r="E98" s="12" t="s">
        <v>0</v>
      </c>
      <c r="F98" s="12" t="s">
        <v>0</v>
      </c>
      <c r="G98" s="12" t="s">
        <v>0</v>
      </c>
      <c r="H98" s="12" t="s">
        <v>0</v>
      </c>
      <c r="I98" s="12" t="s">
        <v>0</v>
      </c>
      <c r="J98" s="12" t="s">
        <v>0</v>
      </c>
      <c r="K98" s="12" t="s">
        <v>0</v>
      </c>
      <c r="L98" s="13" t="s">
        <v>0</v>
      </c>
      <c r="M98" s="11" t="s">
        <v>0</v>
      </c>
      <c r="N98" s="11" t="s">
        <v>0</v>
      </c>
      <c r="O98" s="11" t="s">
        <v>0</v>
      </c>
      <c r="P98" s="11" t="s">
        <v>0</v>
      </c>
      <c r="Q98" s="11" t="s">
        <v>0</v>
      </c>
      <c r="R98" s="11" t="s">
        <v>0</v>
      </c>
      <c r="S98" s="11" t="s">
        <v>0</v>
      </c>
      <c r="T98" s="11" t="s">
        <v>0</v>
      </c>
      <c r="U98" s="11" t="s">
        <v>0</v>
      </c>
      <c r="V98" s="11" t="s">
        <v>0</v>
      </c>
      <c r="W98" s="11" t="s">
        <v>0</v>
      </c>
      <c r="X98" s="11" t="s">
        <v>0</v>
      </c>
      <c r="Y98" s="11" t="s">
        <v>0</v>
      </c>
      <c r="Z98" s="11" t="s">
        <v>0</v>
      </c>
      <c r="AA98" s="11" t="s">
        <v>0</v>
      </c>
      <c r="AB98" s="11" t="s">
        <v>0</v>
      </c>
      <c r="AC98" s="11" t="s">
        <v>0</v>
      </c>
      <c r="AD98" s="11" t="s">
        <v>0</v>
      </c>
    </row>
    <row r="99">
      <c r="B99" s="12" t="s">
        <v>0</v>
      </c>
      <c r="C99" s="11" t="s">
        <v>0</v>
      </c>
      <c r="D99" s="11" t="s">
        <v>0</v>
      </c>
      <c r="E99" s="12" t="s">
        <v>0</v>
      </c>
      <c r="F99" s="12" t="s">
        <v>0</v>
      </c>
      <c r="G99" s="12" t="s">
        <v>0</v>
      </c>
      <c r="H99" s="12" t="s">
        <v>0</v>
      </c>
      <c r="I99" s="12" t="s">
        <v>0</v>
      </c>
      <c r="J99" s="12" t="s">
        <v>0</v>
      </c>
      <c r="K99" s="12" t="s">
        <v>0</v>
      </c>
      <c r="L99" s="13" t="s">
        <v>0</v>
      </c>
      <c r="M99" s="11" t="s">
        <v>0</v>
      </c>
      <c r="N99" s="11" t="s">
        <v>0</v>
      </c>
      <c r="O99" s="11" t="s">
        <v>0</v>
      </c>
      <c r="P99" s="11" t="s">
        <v>0</v>
      </c>
      <c r="Q99" s="11" t="s">
        <v>0</v>
      </c>
      <c r="R99" s="11" t="s">
        <v>0</v>
      </c>
      <c r="S99" s="11" t="s">
        <v>0</v>
      </c>
      <c r="T99" s="11" t="s">
        <v>0</v>
      </c>
      <c r="U99" s="11" t="s">
        <v>0</v>
      </c>
      <c r="V99" s="11" t="s">
        <v>0</v>
      </c>
      <c r="W99" s="11" t="s">
        <v>0</v>
      </c>
      <c r="X99" s="11" t="s">
        <v>0</v>
      </c>
      <c r="Y99" s="11" t="s">
        <v>0</v>
      </c>
      <c r="Z99" s="11" t="s">
        <v>0</v>
      </c>
      <c r="AA99" s="11" t="s">
        <v>0</v>
      </c>
      <c r="AB99" s="11" t="s">
        <v>0</v>
      </c>
      <c r="AC99" s="11" t="s">
        <v>0</v>
      </c>
      <c r="AD99" s="11" t="s">
        <v>0</v>
      </c>
    </row>
    <row r="100">
      <c r="B100" s="12" t="s">
        <v>0</v>
      </c>
      <c r="C100" s="11" t="s">
        <v>0</v>
      </c>
      <c r="D100" s="11" t="s">
        <v>0</v>
      </c>
      <c r="E100" s="12" t="s">
        <v>0</v>
      </c>
      <c r="F100" s="12" t="s">
        <v>0</v>
      </c>
      <c r="G100" s="12" t="s">
        <v>0</v>
      </c>
      <c r="H100" s="12" t="s">
        <v>0</v>
      </c>
      <c r="I100" s="12" t="s">
        <v>0</v>
      </c>
      <c r="J100" s="12" t="s">
        <v>0</v>
      </c>
      <c r="K100" s="12" t="s">
        <v>0</v>
      </c>
      <c r="L100" s="13" t="s">
        <v>0</v>
      </c>
      <c r="M100" s="11" t="s">
        <v>0</v>
      </c>
      <c r="N100" s="11" t="s">
        <v>0</v>
      </c>
      <c r="O100" s="11" t="s">
        <v>0</v>
      </c>
      <c r="P100" s="11" t="s">
        <v>0</v>
      </c>
      <c r="Q100" s="11" t="s">
        <v>0</v>
      </c>
      <c r="R100" s="11" t="s">
        <v>0</v>
      </c>
      <c r="S100" s="11" t="s">
        <v>0</v>
      </c>
      <c r="T100" s="11" t="s">
        <v>0</v>
      </c>
      <c r="U100" s="11" t="s">
        <v>0</v>
      </c>
      <c r="V100" s="11" t="s">
        <v>0</v>
      </c>
      <c r="W100" s="11" t="s">
        <v>0</v>
      </c>
      <c r="X100" s="11" t="s">
        <v>0</v>
      </c>
      <c r="Y100" s="11" t="s">
        <v>0</v>
      </c>
      <c r="Z100" s="11" t="s">
        <v>0</v>
      </c>
      <c r="AA100" s="11" t="s">
        <v>0</v>
      </c>
      <c r="AB100" s="11" t="s">
        <v>0</v>
      </c>
      <c r="AC100" s="11" t="s">
        <v>0</v>
      </c>
      <c r="AD100" s="11" t="s">
        <v>0</v>
      </c>
    </row>
    <row r="101">
      <c r="B101" s="12" t="s">
        <v>0</v>
      </c>
      <c r="C101" s="11" t="s">
        <v>0</v>
      </c>
      <c r="D101" s="11" t="s">
        <v>0</v>
      </c>
      <c r="E101" s="12" t="s">
        <v>0</v>
      </c>
      <c r="F101" s="12" t="s">
        <v>0</v>
      </c>
      <c r="G101" s="12" t="s">
        <v>0</v>
      </c>
      <c r="H101" s="12" t="s">
        <v>0</v>
      </c>
      <c r="I101" s="12" t="s">
        <v>0</v>
      </c>
      <c r="J101" s="12" t="s">
        <v>0</v>
      </c>
      <c r="K101" s="12" t="s">
        <v>0</v>
      </c>
      <c r="L101" s="13" t="s">
        <v>0</v>
      </c>
      <c r="M101" s="11" t="s">
        <v>0</v>
      </c>
      <c r="N101" s="11" t="s">
        <v>0</v>
      </c>
      <c r="O101" s="11" t="s">
        <v>0</v>
      </c>
      <c r="P101" s="11" t="s">
        <v>0</v>
      </c>
      <c r="Q101" s="11" t="s">
        <v>0</v>
      </c>
      <c r="R101" s="11" t="s">
        <v>0</v>
      </c>
      <c r="S101" s="11" t="s">
        <v>0</v>
      </c>
      <c r="T101" s="11" t="s">
        <v>0</v>
      </c>
      <c r="U101" s="11" t="s">
        <v>0</v>
      </c>
      <c r="V101" s="11" t="s">
        <v>0</v>
      </c>
      <c r="W101" s="11" t="s">
        <v>0</v>
      </c>
      <c r="X101" s="11" t="s">
        <v>0</v>
      </c>
      <c r="Y101" s="11" t="s">
        <v>0</v>
      </c>
      <c r="Z101" s="11" t="s">
        <v>0</v>
      </c>
      <c r="AA101" s="11" t="s">
        <v>0</v>
      </c>
      <c r="AB101" s="11" t="s">
        <v>0</v>
      </c>
      <c r="AC101" s="11" t="s">
        <v>0</v>
      </c>
      <c r="AD101" s="11" t="s">
        <v>0</v>
      </c>
    </row>
    <row r="102">
      <c r="B102" s="12" t="s">
        <v>0</v>
      </c>
      <c r="C102" s="11" t="s">
        <v>0</v>
      </c>
      <c r="D102" s="11" t="s">
        <v>0</v>
      </c>
      <c r="E102" s="12" t="s">
        <v>0</v>
      </c>
      <c r="F102" s="12" t="s">
        <v>0</v>
      </c>
      <c r="G102" s="12" t="s">
        <v>0</v>
      </c>
      <c r="H102" s="12" t="s">
        <v>0</v>
      </c>
      <c r="I102" s="12" t="s">
        <v>0</v>
      </c>
      <c r="J102" s="12" t="s">
        <v>0</v>
      </c>
      <c r="K102" s="12" t="s">
        <v>0</v>
      </c>
      <c r="L102" s="13" t="s">
        <v>0</v>
      </c>
      <c r="M102" s="11" t="s">
        <v>0</v>
      </c>
      <c r="N102" s="11" t="s">
        <v>0</v>
      </c>
      <c r="O102" s="11" t="s">
        <v>0</v>
      </c>
      <c r="P102" s="11" t="s">
        <v>0</v>
      </c>
      <c r="Q102" s="11" t="s">
        <v>0</v>
      </c>
      <c r="R102" s="11" t="s">
        <v>0</v>
      </c>
      <c r="S102" s="11" t="s">
        <v>0</v>
      </c>
      <c r="T102" s="11" t="s">
        <v>0</v>
      </c>
      <c r="U102" s="11" t="s">
        <v>0</v>
      </c>
      <c r="V102" s="11" t="s">
        <v>0</v>
      </c>
      <c r="W102" s="11" t="s">
        <v>0</v>
      </c>
      <c r="X102" s="11" t="s">
        <v>0</v>
      </c>
      <c r="Y102" s="11" t="s">
        <v>0</v>
      </c>
      <c r="Z102" s="11" t="s">
        <v>0</v>
      </c>
      <c r="AA102" s="11" t="s">
        <v>0</v>
      </c>
      <c r="AB102" s="11" t="s">
        <v>0</v>
      </c>
      <c r="AC102" s="11" t="s">
        <v>0</v>
      </c>
      <c r="AD102" s="11" t="s">
        <v>0</v>
      </c>
    </row>
    <row r="103">
      <c r="B103" s="12" t="s">
        <v>0</v>
      </c>
      <c r="C103" s="11" t="s">
        <v>0</v>
      </c>
      <c r="D103" s="11" t="s">
        <v>0</v>
      </c>
      <c r="E103" s="12" t="s">
        <v>0</v>
      </c>
      <c r="F103" s="12" t="s">
        <v>0</v>
      </c>
      <c r="G103" s="12" t="s">
        <v>0</v>
      </c>
      <c r="H103" s="12" t="s">
        <v>0</v>
      </c>
      <c r="I103" s="12" t="s">
        <v>0</v>
      </c>
      <c r="J103" s="12" t="s">
        <v>0</v>
      </c>
      <c r="K103" s="12" t="s">
        <v>0</v>
      </c>
      <c r="L103" s="13" t="s">
        <v>0</v>
      </c>
      <c r="M103" s="11" t="s">
        <v>0</v>
      </c>
      <c r="N103" s="11" t="s">
        <v>0</v>
      </c>
      <c r="O103" s="11" t="s">
        <v>0</v>
      </c>
      <c r="P103" s="11" t="s">
        <v>0</v>
      </c>
      <c r="Q103" s="11" t="s">
        <v>0</v>
      </c>
      <c r="R103" s="11" t="s">
        <v>0</v>
      </c>
      <c r="S103" s="11" t="s">
        <v>0</v>
      </c>
      <c r="T103" s="11" t="s">
        <v>0</v>
      </c>
      <c r="U103" s="11" t="s">
        <v>0</v>
      </c>
      <c r="V103" s="11" t="s">
        <v>0</v>
      </c>
      <c r="W103" s="11" t="s">
        <v>0</v>
      </c>
      <c r="X103" s="11" t="s">
        <v>0</v>
      </c>
      <c r="Y103" s="11" t="s">
        <v>0</v>
      </c>
      <c r="Z103" s="11" t="s">
        <v>0</v>
      </c>
      <c r="AA103" s="11" t="s">
        <v>0</v>
      </c>
      <c r="AB103" s="11" t="s">
        <v>0</v>
      </c>
      <c r="AC103" s="11" t="s">
        <v>0</v>
      </c>
      <c r="AD103" s="11" t="s">
        <v>0</v>
      </c>
    </row>
    <row r="104">
      <c r="B104" s="12" t="s">
        <v>0</v>
      </c>
      <c r="C104" s="11" t="s">
        <v>0</v>
      </c>
      <c r="D104" s="11" t="s">
        <v>0</v>
      </c>
      <c r="E104" s="12" t="s">
        <v>0</v>
      </c>
      <c r="F104" s="12" t="s">
        <v>0</v>
      </c>
      <c r="G104" s="12" t="s">
        <v>0</v>
      </c>
      <c r="H104" s="12" t="s">
        <v>0</v>
      </c>
      <c r="I104" s="12" t="s">
        <v>0</v>
      </c>
      <c r="J104" s="12" t="s">
        <v>0</v>
      </c>
      <c r="K104" s="12" t="s">
        <v>0</v>
      </c>
      <c r="L104" s="13" t="s">
        <v>0</v>
      </c>
      <c r="M104" s="11" t="s">
        <v>0</v>
      </c>
      <c r="N104" s="11" t="s">
        <v>0</v>
      </c>
      <c r="O104" s="11" t="s">
        <v>0</v>
      </c>
      <c r="P104" s="11" t="s">
        <v>0</v>
      </c>
      <c r="Q104" s="11" t="s">
        <v>0</v>
      </c>
      <c r="R104" s="11" t="s">
        <v>0</v>
      </c>
      <c r="S104" s="11" t="s">
        <v>0</v>
      </c>
      <c r="T104" s="11" t="s">
        <v>0</v>
      </c>
      <c r="U104" s="11" t="s">
        <v>0</v>
      </c>
      <c r="V104" s="11" t="s">
        <v>0</v>
      </c>
      <c r="W104" s="11" t="s">
        <v>0</v>
      </c>
      <c r="X104" s="11" t="s">
        <v>0</v>
      </c>
      <c r="Y104" s="11" t="s">
        <v>0</v>
      </c>
      <c r="Z104" s="11" t="s">
        <v>0</v>
      </c>
      <c r="AA104" s="11" t="s">
        <v>0</v>
      </c>
      <c r="AB104" s="11" t="s">
        <v>0</v>
      </c>
      <c r="AC104" s="11" t="s">
        <v>0</v>
      </c>
      <c r="AD104" s="11" t="s">
        <v>0</v>
      </c>
    </row>
    <row r="105">
      <c r="B105" s="12" t="s">
        <v>0</v>
      </c>
      <c r="C105" s="11" t="s">
        <v>0</v>
      </c>
      <c r="D105" s="11" t="s">
        <v>0</v>
      </c>
      <c r="E105" s="12" t="s">
        <v>0</v>
      </c>
      <c r="F105" s="12" t="s">
        <v>0</v>
      </c>
      <c r="G105" s="12" t="s">
        <v>0</v>
      </c>
      <c r="H105" s="12" t="s">
        <v>0</v>
      </c>
      <c r="I105" s="12" t="s">
        <v>0</v>
      </c>
      <c r="J105" s="12" t="s">
        <v>0</v>
      </c>
      <c r="K105" s="12" t="s">
        <v>0</v>
      </c>
      <c r="L105" s="13" t="s">
        <v>0</v>
      </c>
      <c r="M105" s="11" t="s">
        <v>0</v>
      </c>
      <c r="N105" s="11" t="s">
        <v>0</v>
      </c>
      <c r="O105" s="11" t="s">
        <v>0</v>
      </c>
      <c r="P105" s="11" t="s">
        <v>0</v>
      </c>
      <c r="Q105" s="11" t="s">
        <v>0</v>
      </c>
      <c r="R105" s="11" t="s">
        <v>0</v>
      </c>
      <c r="S105" s="11" t="s">
        <v>0</v>
      </c>
      <c r="T105" s="11" t="s">
        <v>0</v>
      </c>
      <c r="U105" s="11" t="s">
        <v>0</v>
      </c>
      <c r="V105" s="11" t="s">
        <v>0</v>
      </c>
      <c r="W105" s="11" t="s">
        <v>0</v>
      </c>
      <c r="X105" s="11" t="s">
        <v>0</v>
      </c>
      <c r="Y105" s="11" t="s">
        <v>0</v>
      </c>
      <c r="Z105" s="11" t="s">
        <v>0</v>
      </c>
      <c r="AA105" s="11" t="s">
        <v>0</v>
      </c>
      <c r="AB105" s="11" t="s">
        <v>0</v>
      </c>
      <c r="AC105" s="11" t="s">
        <v>0</v>
      </c>
      <c r="AD105" s="11" t="s">
        <v>0</v>
      </c>
    </row>
    <row r="106">
      <c r="B106" s="12" t="s">
        <v>0</v>
      </c>
      <c r="C106" s="11" t="s">
        <v>0</v>
      </c>
      <c r="D106" s="11" t="s">
        <v>0</v>
      </c>
      <c r="E106" s="12" t="s">
        <v>0</v>
      </c>
      <c r="F106" s="12" t="s">
        <v>0</v>
      </c>
      <c r="G106" s="12" t="s">
        <v>0</v>
      </c>
      <c r="H106" s="12" t="s">
        <v>0</v>
      </c>
      <c r="I106" s="12" t="s">
        <v>0</v>
      </c>
      <c r="J106" s="12" t="s">
        <v>0</v>
      </c>
      <c r="K106" s="12" t="s">
        <v>0</v>
      </c>
      <c r="L106" s="13" t="s">
        <v>0</v>
      </c>
      <c r="M106" s="11" t="s">
        <v>0</v>
      </c>
      <c r="N106" s="11" t="s">
        <v>0</v>
      </c>
      <c r="O106" s="11" t="s">
        <v>0</v>
      </c>
      <c r="P106" s="11" t="s">
        <v>0</v>
      </c>
      <c r="Q106" s="11" t="s">
        <v>0</v>
      </c>
      <c r="R106" s="11" t="s">
        <v>0</v>
      </c>
      <c r="S106" s="11" t="s">
        <v>0</v>
      </c>
      <c r="T106" s="11" t="s">
        <v>0</v>
      </c>
      <c r="U106" s="11" t="s">
        <v>0</v>
      </c>
      <c r="V106" s="11" t="s">
        <v>0</v>
      </c>
      <c r="W106" s="11" t="s">
        <v>0</v>
      </c>
      <c r="X106" s="11" t="s">
        <v>0</v>
      </c>
      <c r="Y106" s="11" t="s">
        <v>0</v>
      </c>
      <c r="Z106" s="11" t="s">
        <v>0</v>
      </c>
      <c r="AA106" s="11" t="s">
        <v>0</v>
      </c>
      <c r="AB106" s="11" t="s">
        <v>0</v>
      </c>
      <c r="AC106" s="11" t="s">
        <v>0</v>
      </c>
      <c r="AD106" s="11" t="s">
        <v>0</v>
      </c>
    </row>
    <row r="107">
      <c r="B107" s="12" t="s">
        <v>0</v>
      </c>
      <c r="C107" s="11" t="s">
        <v>0</v>
      </c>
      <c r="D107" s="11" t="s">
        <v>0</v>
      </c>
      <c r="E107" s="12" t="s">
        <v>0</v>
      </c>
      <c r="F107" s="12" t="s">
        <v>0</v>
      </c>
      <c r="G107" s="12" t="s">
        <v>0</v>
      </c>
      <c r="H107" s="12" t="s">
        <v>0</v>
      </c>
      <c r="I107" s="12" t="s">
        <v>0</v>
      </c>
      <c r="J107" s="12" t="s">
        <v>0</v>
      </c>
      <c r="K107" s="12" t="s">
        <v>0</v>
      </c>
      <c r="L107" s="13" t="s">
        <v>0</v>
      </c>
      <c r="M107" s="11" t="s">
        <v>0</v>
      </c>
      <c r="N107" s="11" t="s">
        <v>0</v>
      </c>
      <c r="O107" s="11" t="s">
        <v>0</v>
      </c>
      <c r="P107" s="11" t="s">
        <v>0</v>
      </c>
      <c r="Q107" s="11" t="s">
        <v>0</v>
      </c>
      <c r="R107" s="11" t="s">
        <v>0</v>
      </c>
      <c r="S107" s="11" t="s">
        <v>0</v>
      </c>
      <c r="T107" s="11" t="s">
        <v>0</v>
      </c>
      <c r="U107" s="11" t="s">
        <v>0</v>
      </c>
      <c r="V107" s="11" t="s">
        <v>0</v>
      </c>
      <c r="W107" s="11" t="s">
        <v>0</v>
      </c>
      <c r="X107" s="11" t="s">
        <v>0</v>
      </c>
      <c r="Y107" s="11" t="s">
        <v>0</v>
      </c>
      <c r="Z107" s="11" t="s">
        <v>0</v>
      </c>
      <c r="AA107" s="11" t="s">
        <v>0</v>
      </c>
      <c r="AB107" s="11" t="s">
        <v>0</v>
      </c>
      <c r="AC107" s="11" t="s">
        <v>0</v>
      </c>
      <c r="AD107" s="11" t="s">
        <v>0</v>
      </c>
    </row>
    <row r="108">
      <c r="B108" s="12" t="s">
        <v>0</v>
      </c>
      <c r="C108" s="11" t="s">
        <v>0</v>
      </c>
      <c r="D108" s="11" t="s">
        <v>0</v>
      </c>
      <c r="E108" s="12" t="s">
        <v>0</v>
      </c>
      <c r="F108" s="12" t="s">
        <v>0</v>
      </c>
      <c r="G108" s="12" t="s">
        <v>0</v>
      </c>
      <c r="H108" s="12" t="s">
        <v>0</v>
      </c>
      <c r="I108" s="12" t="s">
        <v>0</v>
      </c>
      <c r="J108" s="12" t="s">
        <v>0</v>
      </c>
      <c r="K108" s="12" t="s">
        <v>0</v>
      </c>
      <c r="L108" s="13" t="s">
        <v>0</v>
      </c>
      <c r="M108" s="11" t="s">
        <v>0</v>
      </c>
      <c r="N108" s="11" t="s">
        <v>0</v>
      </c>
      <c r="O108" s="11" t="s">
        <v>0</v>
      </c>
      <c r="P108" s="11" t="s">
        <v>0</v>
      </c>
      <c r="Q108" s="11" t="s">
        <v>0</v>
      </c>
      <c r="R108" s="11" t="s">
        <v>0</v>
      </c>
      <c r="S108" s="11" t="s">
        <v>0</v>
      </c>
      <c r="T108" s="11" t="s">
        <v>0</v>
      </c>
      <c r="U108" s="11" t="s">
        <v>0</v>
      </c>
      <c r="V108" s="11" t="s">
        <v>0</v>
      </c>
      <c r="W108" s="11" t="s">
        <v>0</v>
      </c>
      <c r="X108" s="11" t="s">
        <v>0</v>
      </c>
      <c r="Y108" s="11" t="s">
        <v>0</v>
      </c>
      <c r="Z108" s="11" t="s">
        <v>0</v>
      </c>
      <c r="AA108" s="11" t="s">
        <v>0</v>
      </c>
      <c r="AB108" s="11" t="s">
        <v>0</v>
      </c>
      <c r="AC108" s="11" t="s">
        <v>0</v>
      </c>
      <c r="AD108" s="11" t="s">
        <v>0</v>
      </c>
    </row>
    <row r="109">
      <c r="B109" s="12" t="s">
        <v>0</v>
      </c>
      <c r="C109" s="11" t="s">
        <v>0</v>
      </c>
      <c r="D109" s="11" t="s">
        <v>0</v>
      </c>
      <c r="E109" s="12" t="s">
        <v>0</v>
      </c>
      <c r="F109" s="12" t="s">
        <v>0</v>
      </c>
      <c r="G109" s="12" t="s">
        <v>0</v>
      </c>
      <c r="H109" s="12" t="s">
        <v>0</v>
      </c>
      <c r="I109" s="12" t="s">
        <v>0</v>
      </c>
      <c r="J109" s="12" t="s">
        <v>0</v>
      </c>
      <c r="K109" s="12" t="s">
        <v>0</v>
      </c>
      <c r="L109" s="13" t="s">
        <v>0</v>
      </c>
      <c r="M109" s="11" t="s">
        <v>0</v>
      </c>
      <c r="N109" s="11" t="s">
        <v>0</v>
      </c>
      <c r="O109" s="11" t="s">
        <v>0</v>
      </c>
      <c r="P109" s="11" t="s">
        <v>0</v>
      </c>
      <c r="Q109" s="11" t="s">
        <v>0</v>
      </c>
      <c r="R109" s="11" t="s">
        <v>0</v>
      </c>
      <c r="S109" s="11" t="s">
        <v>0</v>
      </c>
      <c r="T109" s="11" t="s">
        <v>0</v>
      </c>
      <c r="U109" s="11" t="s">
        <v>0</v>
      </c>
      <c r="V109" s="11" t="s">
        <v>0</v>
      </c>
      <c r="W109" s="11" t="s">
        <v>0</v>
      </c>
      <c r="X109" s="11" t="s">
        <v>0</v>
      </c>
      <c r="Y109" s="11" t="s">
        <v>0</v>
      </c>
      <c r="Z109" s="11" t="s">
        <v>0</v>
      </c>
      <c r="AA109" s="11" t="s">
        <v>0</v>
      </c>
      <c r="AB109" s="11" t="s">
        <v>0</v>
      </c>
      <c r="AC109" s="11" t="s">
        <v>0</v>
      </c>
      <c r="AD109" s="11" t="s">
        <v>0</v>
      </c>
    </row>
    <row r="110">
      <c r="B110" s="12" t="s">
        <v>0</v>
      </c>
      <c r="C110" s="11" t="s">
        <v>0</v>
      </c>
      <c r="D110" s="11" t="s">
        <v>0</v>
      </c>
      <c r="E110" s="12" t="s">
        <v>0</v>
      </c>
      <c r="F110" s="12" t="s">
        <v>0</v>
      </c>
      <c r="G110" s="12" t="s">
        <v>0</v>
      </c>
      <c r="H110" s="12" t="s">
        <v>0</v>
      </c>
      <c r="I110" s="12" t="s">
        <v>0</v>
      </c>
      <c r="J110" s="12" t="s">
        <v>0</v>
      </c>
      <c r="K110" s="12" t="s">
        <v>0</v>
      </c>
      <c r="L110" s="13" t="s">
        <v>0</v>
      </c>
      <c r="M110" s="11" t="s">
        <v>0</v>
      </c>
      <c r="N110" s="11" t="s">
        <v>0</v>
      </c>
      <c r="O110" s="11" t="s">
        <v>0</v>
      </c>
      <c r="P110" s="11" t="s">
        <v>0</v>
      </c>
      <c r="Q110" s="11" t="s">
        <v>0</v>
      </c>
      <c r="R110" s="11" t="s">
        <v>0</v>
      </c>
      <c r="S110" s="11" t="s">
        <v>0</v>
      </c>
      <c r="T110" s="11" t="s">
        <v>0</v>
      </c>
      <c r="U110" s="11" t="s">
        <v>0</v>
      </c>
      <c r="V110" s="11" t="s">
        <v>0</v>
      </c>
      <c r="W110" s="11" t="s">
        <v>0</v>
      </c>
      <c r="X110" s="11" t="s">
        <v>0</v>
      </c>
      <c r="Y110" s="11" t="s">
        <v>0</v>
      </c>
      <c r="Z110" s="11" t="s">
        <v>0</v>
      </c>
      <c r="AA110" s="11" t="s">
        <v>0</v>
      </c>
      <c r="AB110" s="11" t="s">
        <v>0</v>
      </c>
      <c r="AC110" s="11" t="s">
        <v>0</v>
      </c>
      <c r="AD110" s="11" t="s">
        <v>0</v>
      </c>
    </row>
    <row r="111">
      <c r="B111" s="12" t="s">
        <v>0</v>
      </c>
      <c r="C111" s="11" t="s">
        <v>0</v>
      </c>
      <c r="D111" s="11" t="s">
        <v>0</v>
      </c>
      <c r="E111" s="12" t="s">
        <v>0</v>
      </c>
      <c r="F111" s="12" t="s">
        <v>0</v>
      </c>
      <c r="G111" s="12" t="s">
        <v>0</v>
      </c>
      <c r="H111" s="12" t="s">
        <v>0</v>
      </c>
      <c r="I111" s="12" t="s">
        <v>0</v>
      </c>
      <c r="J111" s="12" t="s">
        <v>0</v>
      </c>
      <c r="K111" s="12" t="s">
        <v>0</v>
      </c>
      <c r="L111" s="13" t="s">
        <v>0</v>
      </c>
      <c r="M111" s="11" t="s">
        <v>0</v>
      </c>
      <c r="N111" s="11" t="s">
        <v>0</v>
      </c>
      <c r="O111" s="11" t="s">
        <v>0</v>
      </c>
      <c r="P111" s="11" t="s">
        <v>0</v>
      </c>
      <c r="Q111" s="11" t="s">
        <v>0</v>
      </c>
      <c r="R111" s="11" t="s">
        <v>0</v>
      </c>
      <c r="S111" s="11" t="s">
        <v>0</v>
      </c>
      <c r="T111" s="11" t="s">
        <v>0</v>
      </c>
      <c r="U111" s="11" t="s">
        <v>0</v>
      </c>
      <c r="V111" s="11" t="s">
        <v>0</v>
      </c>
      <c r="W111" s="11" t="s">
        <v>0</v>
      </c>
      <c r="X111" s="11" t="s">
        <v>0</v>
      </c>
      <c r="Y111" s="11" t="s">
        <v>0</v>
      </c>
      <c r="Z111" s="11" t="s">
        <v>0</v>
      </c>
      <c r="AA111" s="11" t="s">
        <v>0</v>
      </c>
      <c r="AB111" s="11" t="s">
        <v>0</v>
      </c>
      <c r="AC111" s="11" t="s">
        <v>0</v>
      </c>
      <c r="AD111" s="11" t="s">
        <v>0</v>
      </c>
    </row>
    <row r="112">
      <c r="B112" s="12" t="s">
        <v>0</v>
      </c>
      <c r="C112" s="11" t="s">
        <v>0</v>
      </c>
      <c r="D112" s="11" t="s">
        <v>0</v>
      </c>
      <c r="E112" s="12" t="s">
        <v>0</v>
      </c>
      <c r="F112" s="12" t="s">
        <v>0</v>
      </c>
      <c r="G112" s="12" t="s">
        <v>0</v>
      </c>
      <c r="H112" s="12" t="s">
        <v>0</v>
      </c>
      <c r="I112" s="12" t="s">
        <v>0</v>
      </c>
      <c r="J112" s="12" t="s">
        <v>0</v>
      </c>
      <c r="K112" s="12" t="s">
        <v>0</v>
      </c>
      <c r="L112" s="13" t="s">
        <v>0</v>
      </c>
      <c r="M112" s="11" t="s">
        <v>0</v>
      </c>
      <c r="N112" s="11" t="s">
        <v>0</v>
      </c>
      <c r="O112" s="11" t="s">
        <v>0</v>
      </c>
      <c r="P112" s="11" t="s">
        <v>0</v>
      </c>
      <c r="Q112" s="11" t="s">
        <v>0</v>
      </c>
      <c r="R112" s="11" t="s">
        <v>0</v>
      </c>
      <c r="S112" s="11" t="s">
        <v>0</v>
      </c>
      <c r="T112" s="11" t="s">
        <v>0</v>
      </c>
      <c r="U112" s="11" t="s">
        <v>0</v>
      </c>
      <c r="V112" s="11" t="s">
        <v>0</v>
      </c>
      <c r="W112" s="11" t="s">
        <v>0</v>
      </c>
      <c r="X112" s="11" t="s">
        <v>0</v>
      </c>
      <c r="Y112" s="11" t="s">
        <v>0</v>
      </c>
      <c r="Z112" s="11" t="s">
        <v>0</v>
      </c>
      <c r="AA112" s="11" t="s">
        <v>0</v>
      </c>
      <c r="AB112" s="11" t="s">
        <v>0</v>
      </c>
      <c r="AC112" s="11" t="s">
        <v>0</v>
      </c>
      <c r="AD112" s="11" t="s">
        <v>0</v>
      </c>
    </row>
    <row r="113">
      <c r="B113" s="12" t="s">
        <v>0</v>
      </c>
      <c r="C113" s="11" t="s">
        <v>0</v>
      </c>
      <c r="D113" s="11" t="s">
        <v>0</v>
      </c>
      <c r="E113" s="12" t="s">
        <v>0</v>
      </c>
      <c r="F113" s="12" t="s">
        <v>0</v>
      </c>
      <c r="G113" s="12" t="s">
        <v>0</v>
      </c>
      <c r="H113" s="12" t="s">
        <v>0</v>
      </c>
      <c r="I113" s="12" t="s">
        <v>0</v>
      </c>
      <c r="J113" s="12" t="s">
        <v>0</v>
      </c>
      <c r="K113" s="12" t="s">
        <v>0</v>
      </c>
      <c r="L113" s="13" t="s">
        <v>0</v>
      </c>
      <c r="M113" s="11" t="s">
        <v>0</v>
      </c>
      <c r="N113" s="11" t="s">
        <v>0</v>
      </c>
      <c r="O113" s="11" t="s">
        <v>0</v>
      </c>
      <c r="P113" s="11" t="s">
        <v>0</v>
      </c>
      <c r="Q113" s="11" t="s">
        <v>0</v>
      </c>
      <c r="R113" s="11" t="s">
        <v>0</v>
      </c>
      <c r="S113" s="11" t="s">
        <v>0</v>
      </c>
      <c r="T113" s="11" t="s">
        <v>0</v>
      </c>
      <c r="U113" s="11" t="s">
        <v>0</v>
      </c>
      <c r="V113" s="11" t="s">
        <v>0</v>
      </c>
      <c r="W113" s="11" t="s">
        <v>0</v>
      </c>
      <c r="X113" s="11" t="s">
        <v>0</v>
      </c>
      <c r="Y113" s="11" t="s">
        <v>0</v>
      </c>
      <c r="Z113" s="11" t="s">
        <v>0</v>
      </c>
      <c r="AA113" s="11" t="s">
        <v>0</v>
      </c>
      <c r="AB113" s="11" t="s">
        <v>0</v>
      </c>
      <c r="AC113" s="11" t="s">
        <v>0</v>
      </c>
      <c r="AD113" s="11" t="s">
        <v>0</v>
      </c>
    </row>
    <row r="114">
      <c r="B114" s="12" t="s">
        <v>0</v>
      </c>
      <c r="C114" s="11" t="s">
        <v>0</v>
      </c>
      <c r="D114" s="11" t="s">
        <v>0</v>
      </c>
      <c r="E114" s="12" t="s">
        <v>0</v>
      </c>
      <c r="F114" s="12" t="s">
        <v>0</v>
      </c>
      <c r="G114" s="12" t="s">
        <v>0</v>
      </c>
      <c r="H114" s="12" t="s">
        <v>0</v>
      </c>
      <c r="I114" s="12" t="s">
        <v>0</v>
      </c>
      <c r="J114" s="12" t="s">
        <v>0</v>
      </c>
      <c r="K114" s="12" t="s">
        <v>0</v>
      </c>
      <c r="L114" s="13" t="s">
        <v>0</v>
      </c>
      <c r="M114" s="11" t="s">
        <v>0</v>
      </c>
      <c r="N114" s="11" t="s">
        <v>0</v>
      </c>
      <c r="O114" s="11" t="s">
        <v>0</v>
      </c>
      <c r="P114" s="11" t="s">
        <v>0</v>
      </c>
      <c r="Q114" s="11" t="s">
        <v>0</v>
      </c>
      <c r="R114" s="11" t="s">
        <v>0</v>
      </c>
      <c r="S114" s="11" t="s">
        <v>0</v>
      </c>
      <c r="T114" s="11" t="s">
        <v>0</v>
      </c>
      <c r="U114" s="11" t="s">
        <v>0</v>
      </c>
      <c r="V114" s="11" t="s">
        <v>0</v>
      </c>
      <c r="W114" s="11" t="s">
        <v>0</v>
      </c>
      <c r="X114" s="11" t="s">
        <v>0</v>
      </c>
      <c r="Y114" s="11" t="s">
        <v>0</v>
      </c>
      <c r="Z114" s="11" t="s">
        <v>0</v>
      </c>
      <c r="AA114" s="11" t="s">
        <v>0</v>
      </c>
      <c r="AB114" s="11" t="s">
        <v>0</v>
      </c>
      <c r="AC114" s="11" t="s">
        <v>0</v>
      </c>
      <c r="AD114" s="11" t="s">
        <v>0</v>
      </c>
    </row>
    <row r="115">
      <c r="B115" s="12" t="s">
        <v>0</v>
      </c>
      <c r="C115" s="11" t="s">
        <v>0</v>
      </c>
      <c r="D115" s="11" t="s">
        <v>0</v>
      </c>
      <c r="E115" s="12" t="s">
        <v>0</v>
      </c>
      <c r="F115" s="12" t="s">
        <v>0</v>
      </c>
      <c r="G115" s="12" t="s">
        <v>0</v>
      </c>
      <c r="H115" s="12" t="s">
        <v>0</v>
      </c>
      <c r="I115" s="12" t="s">
        <v>0</v>
      </c>
      <c r="J115" s="12" t="s">
        <v>0</v>
      </c>
      <c r="K115" s="12" t="s">
        <v>0</v>
      </c>
      <c r="L115" s="13" t="s">
        <v>0</v>
      </c>
      <c r="M115" s="11" t="s">
        <v>0</v>
      </c>
      <c r="N115" s="11" t="s">
        <v>0</v>
      </c>
      <c r="O115" s="11" t="s">
        <v>0</v>
      </c>
      <c r="P115" s="11" t="s">
        <v>0</v>
      </c>
      <c r="Q115" s="11" t="s">
        <v>0</v>
      </c>
      <c r="R115" s="11" t="s">
        <v>0</v>
      </c>
      <c r="S115" s="11" t="s">
        <v>0</v>
      </c>
      <c r="T115" s="11" t="s">
        <v>0</v>
      </c>
      <c r="U115" s="11" t="s">
        <v>0</v>
      </c>
      <c r="V115" s="11" t="s">
        <v>0</v>
      </c>
      <c r="W115" s="11" t="s">
        <v>0</v>
      </c>
      <c r="X115" s="11" t="s">
        <v>0</v>
      </c>
      <c r="Y115" s="11" t="s">
        <v>0</v>
      </c>
      <c r="Z115" s="11" t="s">
        <v>0</v>
      </c>
      <c r="AA115" s="11" t="s">
        <v>0</v>
      </c>
      <c r="AB115" s="11" t="s">
        <v>0</v>
      </c>
      <c r="AC115" s="11" t="s">
        <v>0</v>
      </c>
      <c r="AD115" s="11" t="s">
        <v>0</v>
      </c>
    </row>
    <row r="116">
      <c r="B116" s="12" t="s">
        <v>0</v>
      </c>
      <c r="C116" s="11" t="s">
        <v>0</v>
      </c>
      <c r="D116" s="11" t="s">
        <v>0</v>
      </c>
      <c r="E116" s="12" t="s">
        <v>0</v>
      </c>
      <c r="F116" s="12" t="s">
        <v>0</v>
      </c>
      <c r="G116" s="12" t="s">
        <v>0</v>
      </c>
      <c r="H116" s="12" t="s">
        <v>0</v>
      </c>
      <c r="I116" s="12" t="s">
        <v>0</v>
      </c>
      <c r="J116" s="12" t="s">
        <v>0</v>
      </c>
      <c r="K116" s="12" t="s">
        <v>0</v>
      </c>
      <c r="L116" s="13" t="s">
        <v>0</v>
      </c>
      <c r="M116" s="11" t="s">
        <v>0</v>
      </c>
      <c r="N116" s="11" t="s">
        <v>0</v>
      </c>
      <c r="O116" s="11" t="s">
        <v>0</v>
      </c>
      <c r="P116" s="11" t="s">
        <v>0</v>
      </c>
      <c r="Q116" s="11" t="s">
        <v>0</v>
      </c>
      <c r="R116" s="11" t="s">
        <v>0</v>
      </c>
      <c r="S116" s="11" t="s">
        <v>0</v>
      </c>
      <c r="T116" s="11" t="s">
        <v>0</v>
      </c>
      <c r="U116" s="11" t="s">
        <v>0</v>
      </c>
      <c r="V116" s="11" t="s">
        <v>0</v>
      </c>
      <c r="W116" s="11" t="s">
        <v>0</v>
      </c>
      <c r="X116" s="11" t="s">
        <v>0</v>
      </c>
      <c r="Y116" s="11" t="s">
        <v>0</v>
      </c>
      <c r="Z116" s="11" t="s">
        <v>0</v>
      </c>
      <c r="AA116" s="11" t="s">
        <v>0</v>
      </c>
      <c r="AB116" s="11" t="s">
        <v>0</v>
      </c>
      <c r="AC116" s="11" t="s">
        <v>0</v>
      </c>
      <c r="AD116" s="11" t="s">
        <v>0</v>
      </c>
    </row>
    <row r="117">
      <c r="B117" s="12" t="s">
        <v>0</v>
      </c>
      <c r="C117" s="11" t="s">
        <v>0</v>
      </c>
      <c r="D117" s="11" t="s">
        <v>0</v>
      </c>
      <c r="E117" s="12" t="s">
        <v>0</v>
      </c>
      <c r="F117" s="12" t="s">
        <v>0</v>
      </c>
      <c r="G117" s="12" t="s">
        <v>0</v>
      </c>
      <c r="H117" s="12" t="s">
        <v>0</v>
      </c>
      <c r="I117" s="12" t="s">
        <v>0</v>
      </c>
      <c r="J117" s="12" t="s">
        <v>0</v>
      </c>
      <c r="K117" s="12" t="s">
        <v>0</v>
      </c>
      <c r="L117" s="13" t="s">
        <v>0</v>
      </c>
      <c r="M117" s="11" t="s">
        <v>0</v>
      </c>
      <c r="N117" s="11" t="s">
        <v>0</v>
      </c>
      <c r="O117" s="11" t="s">
        <v>0</v>
      </c>
      <c r="P117" s="11" t="s">
        <v>0</v>
      </c>
      <c r="Q117" s="11" t="s">
        <v>0</v>
      </c>
      <c r="R117" s="11" t="s">
        <v>0</v>
      </c>
      <c r="S117" s="11" t="s">
        <v>0</v>
      </c>
      <c r="T117" s="11" t="s">
        <v>0</v>
      </c>
      <c r="U117" s="11" t="s">
        <v>0</v>
      </c>
      <c r="V117" s="11" t="s">
        <v>0</v>
      </c>
      <c r="W117" s="11" t="s">
        <v>0</v>
      </c>
      <c r="X117" s="11" t="s">
        <v>0</v>
      </c>
      <c r="Y117" s="11" t="s">
        <v>0</v>
      </c>
      <c r="Z117" s="11" t="s">
        <v>0</v>
      </c>
      <c r="AA117" s="11" t="s">
        <v>0</v>
      </c>
      <c r="AB117" s="11" t="s">
        <v>0</v>
      </c>
      <c r="AC117" s="11" t="s">
        <v>0</v>
      </c>
      <c r="AD117" s="11" t="s">
        <v>0</v>
      </c>
    </row>
    <row r="118">
      <c r="B118" s="12" t="s">
        <v>0</v>
      </c>
      <c r="C118" s="11" t="s">
        <v>0</v>
      </c>
      <c r="D118" s="11" t="s">
        <v>0</v>
      </c>
      <c r="E118" s="12" t="s">
        <v>0</v>
      </c>
      <c r="F118" s="12" t="s">
        <v>0</v>
      </c>
      <c r="G118" s="12" t="s">
        <v>0</v>
      </c>
      <c r="H118" s="12" t="s">
        <v>0</v>
      </c>
      <c r="I118" s="12" t="s">
        <v>0</v>
      </c>
      <c r="J118" s="12" t="s">
        <v>0</v>
      </c>
      <c r="K118" s="12" t="s">
        <v>0</v>
      </c>
      <c r="L118" s="13" t="s">
        <v>0</v>
      </c>
      <c r="M118" s="11" t="s">
        <v>0</v>
      </c>
      <c r="N118" s="11" t="s">
        <v>0</v>
      </c>
      <c r="O118" s="11" t="s">
        <v>0</v>
      </c>
      <c r="P118" s="11" t="s">
        <v>0</v>
      </c>
      <c r="Q118" s="11" t="s">
        <v>0</v>
      </c>
      <c r="R118" s="11" t="s">
        <v>0</v>
      </c>
      <c r="S118" s="11" t="s">
        <v>0</v>
      </c>
      <c r="T118" s="11" t="s">
        <v>0</v>
      </c>
      <c r="U118" s="11" t="s">
        <v>0</v>
      </c>
      <c r="V118" s="11" t="s">
        <v>0</v>
      </c>
      <c r="W118" s="11" t="s">
        <v>0</v>
      </c>
      <c r="X118" s="11" t="s">
        <v>0</v>
      </c>
      <c r="Y118" s="11" t="s">
        <v>0</v>
      </c>
      <c r="Z118" s="11" t="s">
        <v>0</v>
      </c>
      <c r="AA118" s="11" t="s">
        <v>0</v>
      </c>
      <c r="AB118" s="11" t="s">
        <v>0</v>
      </c>
      <c r="AC118" s="11" t="s">
        <v>0</v>
      </c>
      <c r="AD118" s="11" t="s">
        <v>0</v>
      </c>
    </row>
    <row r="119">
      <c r="B119" s="12" t="s">
        <v>0</v>
      </c>
      <c r="C119" s="11" t="s">
        <v>0</v>
      </c>
      <c r="D119" s="11" t="s">
        <v>0</v>
      </c>
      <c r="E119" s="12" t="s">
        <v>0</v>
      </c>
      <c r="F119" s="12" t="s">
        <v>0</v>
      </c>
      <c r="G119" s="12" t="s">
        <v>0</v>
      </c>
      <c r="H119" s="12" t="s">
        <v>0</v>
      </c>
      <c r="I119" s="12" t="s">
        <v>0</v>
      </c>
      <c r="J119" s="12" t="s">
        <v>0</v>
      </c>
      <c r="K119" s="12" t="s">
        <v>0</v>
      </c>
      <c r="L119" s="13" t="s">
        <v>0</v>
      </c>
      <c r="M119" s="11" t="s">
        <v>0</v>
      </c>
      <c r="N119" s="11" t="s">
        <v>0</v>
      </c>
      <c r="O119" s="11" t="s">
        <v>0</v>
      </c>
      <c r="P119" s="11" t="s">
        <v>0</v>
      </c>
      <c r="Q119" s="11" t="s">
        <v>0</v>
      </c>
      <c r="R119" s="11" t="s">
        <v>0</v>
      </c>
      <c r="S119" s="11" t="s">
        <v>0</v>
      </c>
      <c r="T119" s="11" t="s">
        <v>0</v>
      </c>
      <c r="U119" s="11" t="s">
        <v>0</v>
      </c>
      <c r="V119" s="11" t="s">
        <v>0</v>
      </c>
      <c r="W119" s="11" t="s">
        <v>0</v>
      </c>
      <c r="X119" s="11" t="s">
        <v>0</v>
      </c>
      <c r="Y119" s="11" t="s">
        <v>0</v>
      </c>
      <c r="Z119" s="11" t="s">
        <v>0</v>
      </c>
      <c r="AA119" s="11" t="s">
        <v>0</v>
      </c>
      <c r="AB119" s="11" t="s">
        <v>0</v>
      </c>
      <c r="AC119" s="11" t="s">
        <v>0</v>
      </c>
      <c r="AD119" s="11" t="s">
        <v>0</v>
      </c>
    </row>
    <row r="120">
      <c r="B120" s="12" t="s">
        <v>0</v>
      </c>
      <c r="C120" s="11" t="s">
        <v>0</v>
      </c>
      <c r="D120" s="11" t="s">
        <v>0</v>
      </c>
      <c r="E120" s="12" t="s">
        <v>0</v>
      </c>
      <c r="F120" s="12" t="s">
        <v>0</v>
      </c>
      <c r="G120" s="12" t="s">
        <v>0</v>
      </c>
      <c r="H120" s="12" t="s">
        <v>0</v>
      </c>
      <c r="I120" s="12" t="s">
        <v>0</v>
      </c>
      <c r="J120" s="12" t="s">
        <v>0</v>
      </c>
      <c r="K120" s="12" t="s">
        <v>0</v>
      </c>
      <c r="L120" s="13" t="s">
        <v>0</v>
      </c>
      <c r="M120" s="11" t="s">
        <v>0</v>
      </c>
      <c r="N120" s="11" t="s">
        <v>0</v>
      </c>
      <c r="O120" s="11" t="s">
        <v>0</v>
      </c>
      <c r="P120" s="11" t="s">
        <v>0</v>
      </c>
      <c r="Q120" s="11" t="s">
        <v>0</v>
      </c>
      <c r="R120" s="11" t="s">
        <v>0</v>
      </c>
      <c r="S120" s="11" t="s">
        <v>0</v>
      </c>
      <c r="T120" s="11" t="s">
        <v>0</v>
      </c>
      <c r="U120" s="11" t="s">
        <v>0</v>
      </c>
      <c r="V120" s="11" t="s">
        <v>0</v>
      </c>
      <c r="W120" s="11" t="s">
        <v>0</v>
      </c>
      <c r="X120" s="11" t="s">
        <v>0</v>
      </c>
      <c r="Y120" s="11" t="s">
        <v>0</v>
      </c>
      <c r="Z120" s="11" t="s">
        <v>0</v>
      </c>
      <c r="AA120" s="11" t="s">
        <v>0</v>
      </c>
      <c r="AB120" s="11" t="s">
        <v>0</v>
      </c>
      <c r="AC120" s="11" t="s">
        <v>0</v>
      </c>
      <c r="AD120" s="11" t="s">
        <v>0</v>
      </c>
    </row>
    <row r="121">
      <c r="B121" s="12" t="s">
        <v>0</v>
      </c>
      <c r="C121" s="11" t="s">
        <v>0</v>
      </c>
      <c r="D121" s="11" t="s">
        <v>0</v>
      </c>
      <c r="E121" s="12" t="s">
        <v>0</v>
      </c>
      <c r="F121" s="12" t="s">
        <v>0</v>
      </c>
      <c r="G121" s="12" t="s">
        <v>0</v>
      </c>
      <c r="H121" s="12" t="s">
        <v>0</v>
      </c>
      <c r="I121" s="12" t="s">
        <v>0</v>
      </c>
      <c r="J121" s="12" t="s">
        <v>0</v>
      </c>
      <c r="K121" s="12" t="s">
        <v>0</v>
      </c>
      <c r="L121" s="13" t="s">
        <v>0</v>
      </c>
      <c r="M121" s="11" t="s">
        <v>0</v>
      </c>
      <c r="N121" s="11" t="s">
        <v>0</v>
      </c>
      <c r="O121" s="11" t="s">
        <v>0</v>
      </c>
      <c r="P121" s="11" t="s">
        <v>0</v>
      </c>
      <c r="Q121" s="11" t="s">
        <v>0</v>
      </c>
      <c r="R121" s="11" t="s">
        <v>0</v>
      </c>
      <c r="S121" s="11" t="s">
        <v>0</v>
      </c>
      <c r="T121" s="11" t="s">
        <v>0</v>
      </c>
      <c r="U121" s="11" t="s">
        <v>0</v>
      </c>
      <c r="V121" s="11" t="s">
        <v>0</v>
      </c>
      <c r="W121" s="11" t="s">
        <v>0</v>
      </c>
      <c r="X121" s="11" t="s">
        <v>0</v>
      </c>
      <c r="Y121" s="11" t="s">
        <v>0</v>
      </c>
      <c r="Z121" s="11" t="s">
        <v>0</v>
      </c>
      <c r="AA121" s="11" t="s">
        <v>0</v>
      </c>
      <c r="AB121" s="11" t="s">
        <v>0</v>
      </c>
      <c r="AC121" s="11" t="s">
        <v>0</v>
      </c>
      <c r="AD121" s="11" t="s">
        <v>0</v>
      </c>
    </row>
    <row r="122">
      <c r="B122" s="12" t="s">
        <v>0</v>
      </c>
      <c r="C122" s="11" t="s">
        <v>0</v>
      </c>
      <c r="D122" s="11" t="s">
        <v>0</v>
      </c>
      <c r="E122" s="12" t="s">
        <v>0</v>
      </c>
      <c r="F122" s="12" t="s">
        <v>0</v>
      </c>
      <c r="G122" s="12" t="s">
        <v>0</v>
      </c>
      <c r="H122" s="12" t="s">
        <v>0</v>
      </c>
      <c r="I122" s="12" t="s">
        <v>0</v>
      </c>
      <c r="J122" s="12" t="s">
        <v>0</v>
      </c>
      <c r="K122" s="12" t="s">
        <v>0</v>
      </c>
      <c r="L122" s="13" t="s">
        <v>0</v>
      </c>
      <c r="M122" s="11" t="s">
        <v>0</v>
      </c>
      <c r="N122" s="11" t="s">
        <v>0</v>
      </c>
      <c r="O122" s="11" t="s">
        <v>0</v>
      </c>
      <c r="P122" s="11" t="s">
        <v>0</v>
      </c>
      <c r="Q122" s="11" t="s">
        <v>0</v>
      </c>
      <c r="R122" s="11" t="s">
        <v>0</v>
      </c>
      <c r="S122" s="11" t="s">
        <v>0</v>
      </c>
      <c r="T122" s="11" t="s">
        <v>0</v>
      </c>
      <c r="U122" s="11" t="s">
        <v>0</v>
      </c>
      <c r="V122" s="11" t="s">
        <v>0</v>
      </c>
      <c r="W122" s="11" t="s">
        <v>0</v>
      </c>
      <c r="X122" s="11" t="s">
        <v>0</v>
      </c>
      <c r="Y122" s="11" t="s">
        <v>0</v>
      </c>
      <c r="Z122" s="11" t="s">
        <v>0</v>
      </c>
      <c r="AA122" s="11" t="s">
        <v>0</v>
      </c>
      <c r="AB122" s="11" t="s">
        <v>0</v>
      </c>
      <c r="AC122" s="11" t="s">
        <v>0</v>
      </c>
      <c r="AD122" s="11" t="s">
        <v>0</v>
      </c>
    </row>
    <row r="123">
      <c r="B123" s="12" t="s">
        <v>0</v>
      </c>
      <c r="C123" s="11" t="s">
        <v>0</v>
      </c>
      <c r="D123" s="11" t="s">
        <v>0</v>
      </c>
      <c r="E123" s="12" t="s">
        <v>0</v>
      </c>
      <c r="F123" s="12" t="s">
        <v>0</v>
      </c>
      <c r="G123" s="12" t="s">
        <v>0</v>
      </c>
      <c r="H123" s="12" t="s">
        <v>0</v>
      </c>
      <c r="I123" s="12" t="s">
        <v>0</v>
      </c>
      <c r="J123" s="12" t="s">
        <v>0</v>
      </c>
      <c r="K123" s="12" t="s">
        <v>0</v>
      </c>
      <c r="L123" s="13" t="s">
        <v>0</v>
      </c>
      <c r="M123" s="11" t="s">
        <v>0</v>
      </c>
      <c r="N123" s="11" t="s">
        <v>0</v>
      </c>
      <c r="O123" s="11" t="s">
        <v>0</v>
      </c>
      <c r="P123" s="11" t="s">
        <v>0</v>
      </c>
      <c r="Q123" s="11" t="s">
        <v>0</v>
      </c>
      <c r="R123" s="11" t="s">
        <v>0</v>
      </c>
      <c r="S123" s="11" t="s">
        <v>0</v>
      </c>
      <c r="T123" s="11" t="s">
        <v>0</v>
      </c>
      <c r="U123" s="11" t="s">
        <v>0</v>
      </c>
      <c r="V123" s="11" t="s">
        <v>0</v>
      </c>
      <c r="W123" s="11" t="s">
        <v>0</v>
      </c>
      <c r="X123" s="11" t="s">
        <v>0</v>
      </c>
      <c r="Y123" s="11" t="s">
        <v>0</v>
      </c>
      <c r="Z123" s="11" t="s">
        <v>0</v>
      </c>
      <c r="AA123" s="11" t="s">
        <v>0</v>
      </c>
      <c r="AB123" s="11" t="s">
        <v>0</v>
      </c>
      <c r="AC123" s="11" t="s">
        <v>0</v>
      </c>
      <c r="AD123" s="11" t="s">
        <v>0</v>
      </c>
    </row>
    <row r="124">
      <c r="B124" s="12" t="s">
        <v>0</v>
      </c>
      <c r="C124" s="11" t="s">
        <v>0</v>
      </c>
      <c r="D124" s="11" t="s">
        <v>0</v>
      </c>
      <c r="E124" s="12" t="s">
        <v>0</v>
      </c>
      <c r="F124" s="12" t="s">
        <v>0</v>
      </c>
      <c r="G124" s="12" t="s">
        <v>0</v>
      </c>
      <c r="H124" s="12" t="s">
        <v>0</v>
      </c>
      <c r="I124" s="12" t="s">
        <v>0</v>
      </c>
      <c r="J124" s="12" t="s">
        <v>0</v>
      </c>
      <c r="K124" s="12" t="s">
        <v>0</v>
      </c>
      <c r="L124" s="13" t="s">
        <v>0</v>
      </c>
      <c r="M124" s="11" t="s">
        <v>0</v>
      </c>
      <c r="N124" s="11" t="s">
        <v>0</v>
      </c>
      <c r="O124" s="11" t="s">
        <v>0</v>
      </c>
      <c r="P124" s="11" t="s">
        <v>0</v>
      </c>
      <c r="Q124" s="11" t="s">
        <v>0</v>
      </c>
      <c r="R124" s="11" t="s">
        <v>0</v>
      </c>
      <c r="S124" s="11" t="s">
        <v>0</v>
      </c>
      <c r="T124" s="11" t="s">
        <v>0</v>
      </c>
      <c r="U124" s="11" t="s">
        <v>0</v>
      </c>
      <c r="V124" s="11" t="s">
        <v>0</v>
      </c>
      <c r="W124" s="11" t="s">
        <v>0</v>
      </c>
      <c r="X124" s="11" t="s">
        <v>0</v>
      </c>
      <c r="Y124" s="11" t="s">
        <v>0</v>
      </c>
      <c r="Z124" s="11" t="s">
        <v>0</v>
      </c>
      <c r="AA124" s="11" t="s">
        <v>0</v>
      </c>
      <c r="AB124" s="11" t="s">
        <v>0</v>
      </c>
      <c r="AC124" s="11" t="s">
        <v>0</v>
      </c>
      <c r="AD124" s="11" t="s">
        <v>0</v>
      </c>
    </row>
    <row r="125">
      <c r="B125" s="12" t="s">
        <v>0</v>
      </c>
      <c r="C125" s="11" t="s">
        <v>0</v>
      </c>
      <c r="D125" s="11" t="s">
        <v>0</v>
      </c>
      <c r="E125" s="12" t="s">
        <v>0</v>
      </c>
      <c r="F125" s="12" t="s">
        <v>0</v>
      </c>
      <c r="G125" s="12" t="s">
        <v>0</v>
      </c>
      <c r="H125" s="12" t="s">
        <v>0</v>
      </c>
      <c r="I125" s="12" t="s">
        <v>0</v>
      </c>
      <c r="J125" s="12" t="s">
        <v>0</v>
      </c>
      <c r="K125" s="12" t="s">
        <v>0</v>
      </c>
      <c r="L125" s="13" t="s">
        <v>0</v>
      </c>
      <c r="M125" s="11" t="s">
        <v>0</v>
      </c>
      <c r="N125" s="11" t="s">
        <v>0</v>
      </c>
      <c r="O125" s="11" t="s">
        <v>0</v>
      </c>
      <c r="P125" s="11" t="s">
        <v>0</v>
      </c>
      <c r="Q125" s="11" t="s">
        <v>0</v>
      </c>
      <c r="R125" s="11" t="s">
        <v>0</v>
      </c>
      <c r="S125" s="11" t="s">
        <v>0</v>
      </c>
      <c r="T125" s="11" t="s">
        <v>0</v>
      </c>
      <c r="U125" s="11" t="s">
        <v>0</v>
      </c>
      <c r="V125" s="11" t="s">
        <v>0</v>
      </c>
      <c r="W125" s="11" t="s">
        <v>0</v>
      </c>
      <c r="X125" s="11" t="s">
        <v>0</v>
      </c>
      <c r="Y125" s="11" t="s">
        <v>0</v>
      </c>
      <c r="Z125" s="11" t="s">
        <v>0</v>
      </c>
      <c r="AA125" s="11" t="s">
        <v>0</v>
      </c>
      <c r="AB125" s="11" t="s">
        <v>0</v>
      </c>
      <c r="AC125" s="11" t="s">
        <v>0</v>
      </c>
      <c r="AD125" s="11" t="s">
        <v>0</v>
      </c>
    </row>
    <row r="126">
      <c r="B126" s="12" t="s">
        <v>0</v>
      </c>
      <c r="C126" s="11" t="s">
        <v>0</v>
      </c>
      <c r="D126" s="11" t="s">
        <v>0</v>
      </c>
      <c r="E126" s="12" t="s">
        <v>0</v>
      </c>
      <c r="F126" s="12" t="s">
        <v>0</v>
      </c>
      <c r="G126" s="12" t="s">
        <v>0</v>
      </c>
      <c r="H126" s="12" t="s">
        <v>0</v>
      </c>
      <c r="I126" s="12" t="s">
        <v>0</v>
      </c>
      <c r="J126" s="12" t="s">
        <v>0</v>
      </c>
      <c r="K126" s="12" t="s">
        <v>0</v>
      </c>
      <c r="L126" s="13" t="s">
        <v>0</v>
      </c>
      <c r="M126" s="11" t="s">
        <v>0</v>
      </c>
      <c r="N126" s="11" t="s">
        <v>0</v>
      </c>
      <c r="O126" s="11" t="s">
        <v>0</v>
      </c>
      <c r="P126" s="11" t="s">
        <v>0</v>
      </c>
      <c r="Q126" s="11" t="s">
        <v>0</v>
      </c>
      <c r="R126" s="11" t="s">
        <v>0</v>
      </c>
      <c r="S126" s="11" t="s">
        <v>0</v>
      </c>
      <c r="T126" s="11" t="s">
        <v>0</v>
      </c>
      <c r="U126" s="11" t="s">
        <v>0</v>
      </c>
      <c r="V126" s="11" t="s">
        <v>0</v>
      </c>
      <c r="W126" s="11" t="s">
        <v>0</v>
      </c>
      <c r="X126" s="11" t="s">
        <v>0</v>
      </c>
      <c r="Y126" s="11" t="s">
        <v>0</v>
      </c>
      <c r="Z126" s="11" t="s">
        <v>0</v>
      </c>
      <c r="AA126" s="11" t="s">
        <v>0</v>
      </c>
      <c r="AB126" s="11" t="s">
        <v>0</v>
      </c>
      <c r="AC126" s="11" t="s">
        <v>0</v>
      </c>
      <c r="AD126" s="11" t="s">
        <v>0</v>
      </c>
    </row>
    <row r="127">
      <c r="B127" s="12" t="s">
        <v>0</v>
      </c>
      <c r="C127" s="11" t="s">
        <v>0</v>
      </c>
      <c r="D127" s="11" t="s">
        <v>0</v>
      </c>
      <c r="E127" s="12" t="s">
        <v>0</v>
      </c>
      <c r="F127" s="12" t="s">
        <v>0</v>
      </c>
      <c r="G127" s="12" t="s">
        <v>0</v>
      </c>
      <c r="H127" s="12" t="s">
        <v>0</v>
      </c>
      <c r="I127" s="12" t="s">
        <v>0</v>
      </c>
      <c r="J127" s="12" t="s">
        <v>0</v>
      </c>
      <c r="K127" s="12" t="s">
        <v>0</v>
      </c>
      <c r="L127" s="13" t="s">
        <v>0</v>
      </c>
      <c r="M127" s="11" t="s">
        <v>0</v>
      </c>
      <c r="N127" s="11" t="s">
        <v>0</v>
      </c>
      <c r="O127" s="11" t="s">
        <v>0</v>
      </c>
      <c r="P127" s="11" t="s">
        <v>0</v>
      </c>
      <c r="Q127" s="11" t="s">
        <v>0</v>
      </c>
      <c r="R127" s="11" t="s">
        <v>0</v>
      </c>
      <c r="S127" s="11" t="s">
        <v>0</v>
      </c>
      <c r="T127" s="11" t="s">
        <v>0</v>
      </c>
      <c r="U127" s="11" t="s">
        <v>0</v>
      </c>
      <c r="V127" s="11" t="s">
        <v>0</v>
      </c>
      <c r="W127" s="11" t="s">
        <v>0</v>
      </c>
      <c r="X127" s="11" t="s">
        <v>0</v>
      </c>
      <c r="Y127" s="11" t="s">
        <v>0</v>
      </c>
      <c r="Z127" s="11" t="s">
        <v>0</v>
      </c>
      <c r="AA127" s="11" t="s">
        <v>0</v>
      </c>
      <c r="AB127" s="11" t="s">
        <v>0</v>
      </c>
      <c r="AC127" s="11" t="s">
        <v>0</v>
      </c>
      <c r="AD127" s="11" t="s">
        <v>0</v>
      </c>
    </row>
    <row r="128">
      <c r="B128" s="12" t="s">
        <v>0</v>
      </c>
      <c r="C128" s="11" t="s">
        <v>0</v>
      </c>
      <c r="D128" s="11" t="s">
        <v>0</v>
      </c>
      <c r="E128" s="12" t="s">
        <v>0</v>
      </c>
      <c r="F128" s="12" t="s">
        <v>0</v>
      </c>
      <c r="G128" s="12" t="s">
        <v>0</v>
      </c>
      <c r="H128" s="12" t="s">
        <v>0</v>
      </c>
      <c r="I128" s="12" t="s">
        <v>0</v>
      </c>
      <c r="J128" s="12" t="s">
        <v>0</v>
      </c>
      <c r="K128" s="12" t="s">
        <v>0</v>
      </c>
      <c r="L128" s="13" t="s">
        <v>0</v>
      </c>
      <c r="M128" s="11" t="s">
        <v>0</v>
      </c>
      <c r="N128" s="11" t="s">
        <v>0</v>
      </c>
      <c r="O128" s="11" t="s">
        <v>0</v>
      </c>
      <c r="P128" s="11" t="s">
        <v>0</v>
      </c>
      <c r="Q128" s="11" t="s">
        <v>0</v>
      </c>
      <c r="R128" s="11" t="s">
        <v>0</v>
      </c>
      <c r="S128" s="11" t="s">
        <v>0</v>
      </c>
      <c r="T128" s="11" t="s">
        <v>0</v>
      </c>
      <c r="U128" s="11" t="s">
        <v>0</v>
      </c>
      <c r="V128" s="11" t="s">
        <v>0</v>
      </c>
      <c r="W128" s="11" t="s">
        <v>0</v>
      </c>
      <c r="X128" s="11" t="s">
        <v>0</v>
      </c>
      <c r="Y128" s="11" t="s">
        <v>0</v>
      </c>
      <c r="Z128" s="11" t="s">
        <v>0</v>
      </c>
      <c r="AA128" s="11" t="s">
        <v>0</v>
      </c>
      <c r="AB128" s="11" t="s">
        <v>0</v>
      </c>
      <c r="AC128" s="11" t="s">
        <v>0</v>
      </c>
      <c r="AD128" s="11" t="s">
        <v>0</v>
      </c>
    </row>
    <row r="129">
      <c r="B129" s="12" t="s">
        <v>0</v>
      </c>
      <c r="C129" s="11" t="s">
        <v>0</v>
      </c>
      <c r="D129" s="11" t="s">
        <v>0</v>
      </c>
      <c r="E129" s="12" t="s">
        <v>0</v>
      </c>
      <c r="F129" s="12" t="s">
        <v>0</v>
      </c>
      <c r="G129" s="12" t="s">
        <v>0</v>
      </c>
      <c r="H129" s="12" t="s">
        <v>0</v>
      </c>
      <c r="I129" s="12" t="s">
        <v>0</v>
      </c>
      <c r="J129" s="12" t="s">
        <v>0</v>
      </c>
      <c r="K129" s="12" t="s">
        <v>0</v>
      </c>
      <c r="L129" s="13" t="s">
        <v>0</v>
      </c>
      <c r="M129" s="11" t="s">
        <v>0</v>
      </c>
      <c r="N129" s="11" t="s">
        <v>0</v>
      </c>
      <c r="O129" s="11" t="s">
        <v>0</v>
      </c>
      <c r="P129" s="11" t="s">
        <v>0</v>
      </c>
      <c r="Q129" s="11" t="s">
        <v>0</v>
      </c>
      <c r="R129" s="11" t="s">
        <v>0</v>
      </c>
      <c r="S129" s="11" t="s">
        <v>0</v>
      </c>
      <c r="T129" s="11" t="s">
        <v>0</v>
      </c>
      <c r="U129" s="11" t="s">
        <v>0</v>
      </c>
      <c r="V129" s="11" t="s">
        <v>0</v>
      </c>
      <c r="W129" s="11" t="s">
        <v>0</v>
      </c>
      <c r="X129" s="11" t="s">
        <v>0</v>
      </c>
      <c r="Y129" s="11" t="s">
        <v>0</v>
      </c>
      <c r="Z129" s="11" t="s">
        <v>0</v>
      </c>
      <c r="AA129" s="11" t="s">
        <v>0</v>
      </c>
      <c r="AB129" s="11" t="s">
        <v>0</v>
      </c>
      <c r="AC129" s="11" t="s">
        <v>0</v>
      </c>
      <c r="AD129" s="11" t="s">
        <v>0</v>
      </c>
    </row>
    <row r="130">
      <c r="B130" s="12" t="s">
        <v>0</v>
      </c>
      <c r="C130" s="11" t="s">
        <v>0</v>
      </c>
      <c r="D130" s="11" t="s">
        <v>0</v>
      </c>
      <c r="E130" s="12" t="s">
        <v>0</v>
      </c>
      <c r="F130" s="12" t="s">
        <v>0</v>
      </c>
      <c r="G130" s="12" t="s">
        <v>0</v>
      </c>
      <c r="H130" s="12" t="s">
        <v>0</v>
      </c>
      <c r="I130" s="12" t="s">
        <v>0</v>
      </c>
      <c r="J130" s="12" t="s">
        <v>0</v>
      </c>
      <c r="K130" s="12" t="s">
        <v>0</v>
      </c>
      <c r="L130" s="13" t="s">
        <v>0</v>
      </c>
      <c r="M130" s="11" t="s">
        <v>0</v>
      </c>
      <c r="N130" s="11" t="s">
        <v>0</v>
      </c>
      <c r="O130" s="11" t="s">
        <v>0</v>
      </c>
      <c r="P130" s="11" t="s">
        <v>0</v>
      </c>
      <c r="Q130" s="11" t="s">
        <v>0</v>
      </c>
      <c r="R130" s="11" t="s">
        <v>0</v>
      </c>
      <c r="S130" s="11" t="s">
        <v>0</v>
      </c>
      <c r="T130" s="11" t="s">
        <v>0</v>
      </c>
      <c r="U130" s="11" t="s">
        <v>0</v>
      </c>
      <c r="V130" s="11" t="s">
        <v>0</v>
      </c>
      <c r="W130" s="11" t="s">
        <v>0</v>
      </c>
      <c r="X130" s="11" t="s">
        <v>0</v>
      </c>
      <c r="Y130" s="11" t="s">
        <v>0</v>
      </c>
      <c r="Z130" s="11" t="s">
        <v>0</v>
      </c>
      <c r="AA130" s="11" t="s">
        <v>0</v>
      </c>
      <c r="AB130" s="11" t="s">
        <v>0</v>
      </c>
      <c r="AC130" s="11" t="s">
        <v>0</v>
      </c>
      <c r="AD130" s="11" t="s">
        <v>0</v>
      </c>
    </row>
    <row r="131">
      <c r="B131" s="12" t="s">
        <v>0</v>
      </c>
      <c r="C131" s="11" t="s">
        <v>0</v>
      </c>
      <c r="D131" s="11" t="s">
        <v>0</v>
      </c>
      <c r="E131" s="12" t="s">
        <v>0</v>
      </c>
      <c r="F131" s="12" t="s">
        <v>0</v>
      </c>
      <c r="G131" s="12" t="s">
        <v>0</v>
      </c>
      <c r="H131" s="12" t="s">
        <v>0</v>
      </c>
      <c r="I131" s="12" t="s">
        <v>0</v>
      </c>
      <c r="J131" s="12" t="s">
        <v>0</v>
      </c>
      <c r="K131" s="12" t="s">
        <v>0</v>
      </c>
      <c r="L131" s="13" t="s">
        <v>0</v>
      </c>
      <c r="M131" s="11" t="s">
        <v>0</v>
      </c>
      <c r="N131" s="11" t="s">
        <v>0</v>
      </c>
      <c r="O131" s="11" t="s">
        <v>0</v>
      </c>
      <c r="P131" s="11" t="s">
        <v>0</v>
      </c>
      <c r="Q131" s="11" t="s">
        <v>0</v>
      </c>
      <c r="R131" s="11" t="s">
        <v>0</v>
      </c>
      <c r="S131" s="11" t="s">
        <v>0</v>
      </c>
      <c r="T131" s="11" t="s">
        <v>0</v>
      </c>
      <c r="U131" s="11" t="s">
        <v>0</v>
      </c>
      <c r="V131" s="11" t="s">
        <v>0</v>
      </c>
      <c r="W131" s="11" t="s">
        <v>0</v>
      </c>
      <c r="X131" s="11" t="s">
        <v>0</v>
      </c>
      <c r="Y131" s="11" t="s">
        <v>0</v>
      </c>
      <c r="Z131" s="11" t="s">
        <v>0</v>
      </c>
      <c r="AA131" s="11" t="s">
        <v>0</v>
      </c>
      <c r="AB131" s="11" t="s">
        <v>0</v>
      </c>
      <c r="AC131" s="11" t="s">
        <v>0</v>
      </c>
      <c r="AD131" s="11" t="s">
        <v>0</v>
      </c>
    </row>
    <row r="132">
      <c r="B132" s="12" t="s">
        <v>0</v>
      </c>
      <c r="C132" s="11" t="s">
        <v>0</v>
      </c>
      <c r="D132" s="11" t="s">
        <v>0</v>
      </c>
      <c r="E132" s="12" t="s">
        <v>0</v>
      </c>
      <c r="F132" s="12" t="s">
        <v>0</v>
      </c>
      <c r="G132" s="12" t="s">
        <v>0</v>
      </c>
      <c r="H132" s="12" t="s">
        <v>0</v>
      </c>
      <c r="I132" s="12" t="s">
        <v>0</v>
      </c>
      <c r="J132" s="12" t="s">
        <v>0</v>
      </c>
      <c r="K132" s="12" t="s">
        <v>0</v>
      </c>
      <c r="L132" s="13" t="s">
        <v>0</v>
      </c>
      <c r="M132" s="11" t="s">
        <v>0</v>
      </c>
      <c r="N132" s="11" t="s">
        <v>0</v>
      </c>
      <c r="O132" s="11" t="s">
        <v>0</v>
      </c>
      <c r="P132" s="11" t="s">
        <v>0</v>
      </c>
      <c r="Q132" s="11" t="s">
        <v>0</v>
      </c>
      <c r="R132" s="11" t="s">
        <v>0</v>
      </c>
      <c r="S132" s="11" t="s">
        <v>0</v>
      </c>
      <c r="T132" s="11" t="s">
        <v>0</v>
      </c>
      <c r="U132" s="11" t="s">
        <v>0</v>
      </c>
      <c r="V132" s="11" t="s">
        <v>0</v>
      </c>
      <c r="W132" s="11" t="s">
        <v>0</v>
      </c>
      <c r="X132" s="11" t="s">
        <v>0</v>
      </c>
      <c r="Y132" s="11" t="s">
        <v>0</v>
      </c>
      <c r="Z132" s="11" t="s">
        <v>0</v>
      </c>
      <c r="AA132" s="11" t="s">
        <v>0</v>
      </c>
      <c r="AB132" s="11" t="s">
        <v>0</v>
      </c>
      <c r="AC132" s="11" t="s">
        <v>0</v>
      </c>
      <c r="AD132" s="11" t="s">
        <v>0</v>
      </c>
    </row>
    <row r="133">
      <c r="B133" s="12" t="s">
        <v>0</v>
      </c>
      <c r="C133" s="11" t="s">
        <v>0</v>
      </c>
      <c r="D133" s="11" t="s">
        <v>0</v>
      </c>
      <c r="E133" s="12" t="s">
        <v>0</v>
      </c>
      <c r="F133" s="12" t="s">
        <v>0</v>
      </c>
      <c r="G133" s="12" t="s">
        <v>0</v>
      </c>
      <c r="H133" s="12" t="s">
        <v>0</v>
      </c>
      <c r="I133" s="12" t="s">
        <v>0</v>
      </c>
      <c r="J133" s="12" t="s">
        <v>0</v>
      </c>
      <c r="K133" s="12" t="s">
        <v>0</v>
      </c>
      <c r="L133" s="13" t="s">
        <v>0</v>
      </c>
      <c r="M133" s="11" t="s">
        <v>0</v>
      </c>
      <c r="N133" s="11" t="s">
        <v>0</v>
      </c>
      <c r="O133" s="11" t="s">
        <v>0</v>
      </c>
      <c r="P133" s="11" t="s">
        <v>0</v>
      </c>
      <c r="Q133" s="11" t="s">
        <v>0</v>
      </c>
      <c r="R133" s="11" t="s">
        <v>0</v>
      </c>
      <c r="S133" s="11" t="s">
        <v>0</v>
      </c>
      <c r="T133" s="11" t="s">
        <v>0</v>
      </c>
      <c r="U133" s="11" t="s">
        <v>0</v>
      </c>
      <c r="V133" s="11" t="s">
        <v>0</v>
      </c>
      <c r="W133" s="11" t="s">
        <v>0</v>
      </c>
      <c r="X133" s="11" t="s">
        <v>0</v>
      </c>
      <c r="Y133" s="11" t="s">
        <v>0</v>
      </c>
      <c r="Z133" s="11" t="s">
        <v>0</v>
      </c>
      <c r="AA133" s="11" t="s">
        <v>0</v>
      </c>
      <c r="AB133" s="11" t="s">
        <v>0</v>
      </c>
      <c r="AC133" s="11" t="s">
        <v>0</v>
      </c>
      <c r="AD133" s="11" t="s">
        <v>0</v>
      </c>
    </row>
    <row r="134">
      <c r="B134" s="12" t="s">
        <v>0</v>
      </c>
      <c r="C134" s="11" t="s">
        <v>0</v>
      </c>
      <c r="D134" s="11" t="s">
        <v>0</v>
      </c>
      <c r="E134" s="12" t="s">
        <v>0</v>
      </c>
      <c r="F134" s="12" t="s">
        <v>0</v>
      </c>
      <c r="G134" s="12" t="s">
        <v>0</v>
      </c>
      <c r="H134" s="12" t="s">
        <v>0</v>
      </c>
      <c r="I134" s="12" t="s">
        <v>0</v>
      </c>
      <c r="J134" s="12" t="s">
        <v>0</v>
      </c>
      <c r="K134" s="12" t="s">
        <v>0</v>
      </c>
      <c r="L134" s="13" t="s">
        <v>0</v>
      </c>
      <c r="M134" s="11" t="s">
        <v>0</v>
      </c>
      <c r="N134" s="11" t="s">
        <v>0</v>
      </c>
      <c r="O134" s="11" t="s">
        <v>0</v>
      </c>
      <c r="P134" s="11" t="s">
        <v>0</v>
      </c>
      <c r="Q134" s="11" t="s">
        <v>0</v>
      </c>
      <c r="R134" s="11" t="s">
        <v>0</v>
      </c>
      <c r="S134" s="11" t="s">
        <v>0</v>
      </c>
      <c r="T134" s="11" t="s">
        <v>0</v>
      </c>
      <c r="U134" s="11" t="s">
        <v>0</v>
      </c>
      <c r="V134" s="11" t="s">
        <v>0</v>
      </c>
      <c r="W134" s="11" t="s">
        <v>0</v>
      </c>
      <c r="X134" s="11" t="s">
        <v>0</v>
      </c>
      <c r="Y134" s="11" t="s">
        <v>0</v>
      </c>
      <c r="Z134" s="11" t="s">
        <v>0</v>
      </c>
      <c r="AA134" s="11" t="s">
        <v>0</v>
      </c>
      <c r="AB134" s="11" t="s">
        <v>0</v>
      </c>
      <c r="AC134" s="11" t="s">
        <v>0</v>
      </c>
      <c r="AD134" s="11" t="s">
        <v>0</v>
      </c>
    </row>
    <row r="135">
      <c r="B135" s="12" t="s">
        <v>0</v>
      </c>
      <c r="C135" s="11" t="s">
        <v>0</v>
      </c>
      <c r="D135" s="11" t="s">
        <v>0</v>
      </c>
      <c r="E135" s="12" t="s">
        <v>0</v>
      </c>
      <c r="F135" s="12" t="s">
        <v>0</v>
      </c>
      <c r="G135" s="12" t="s">
        <v>0</v>
      </c>
      <c r="H135" s="12" t="s">
        <v>0</v>
      </c>
      <c r="I135" s="12" t="s">
        <v>0</v>
      </c>
      <c r="J135" s="12" t="s">
        <v>0</v>
      </c>
      <c r="K135" s="12" t="s">
        <v>0</v>
      </c>
      <c r="L135" s="13" t="s">
        <v>0</v>
      </c>
      <c r="M135" s="11" t="s">
        <v>0</v>
      </c>
      <c r="N135" s="11" t="s">
        <v>0</v>
      </c>
      <c r="O135" s="11" t="s">
        <v>0</v>
      </c>
      <c r="P135" s="11" t="s">
        <v>0</v>
      </c>
      <c r="Q135" s="11" t="s">
        <v>0</v>
      </c>
      <c r="R135" s="11" t="s">
        <v>0</v>
      </c>
      <c r="S135" s="11" t="s">
        <v>0</v>
      </c>
      <c r="T135" s="11" t="s">
        <v>0</v>
      </c>
      <c r="U135" s="11" t="s">
        <v>0</v>
      </c>
      <c r="V135" s="11" t="s">
        <v>0</v>
      </c>
      <c r="W135" s="11" t="s">
        <v>0</v>
      </c>
      <c r="X135" s="11" t="s">
        <v>0</v>
      </c>
      <c r="Y135" s="11" t="s">
        <v>0</v>
      </c>
      <c r="Z135" s="11" t="s">
        <v>0</v>
      </c>
      <c r="AA135" s="11" t="s">
        <v>0</v>
      </c>
      <c r="AB135" s="11" t="s">
        <v>0</v>
      </c>
      <c r="AC135" s="11" t="s">
        <v>0</v>
      </c>
      <c r="AD135" s="11" t="s">
        <v>0</v>
      </c>
    </row>
    <row r="136">
      <c r="B136" s="12" t="s">
        <v>0</v>
      </c>
      <c r="C136" s="11" t="s">
        <v>0</v>
      </c>
      <c r="D136" s="11" t="s">
        <v>0</v>
      </c>
      <c r="E136" s="12" t="s">
        <v>0</v>
      </c>
      <c r="F136" s="12" t="s">
        <v>0</v>
      </c>
      <c r="G136" s="12" t="s">
        <v>0</v>
      </c>
      <c r="H136" s="12" t="s">
        <v>0</v>
      </c>
      <c r="I136" s="12" t="s">
        <v>0</v>
      </c>
      <c r="J136" s="12" t="s">
        <v>0</v>
      </c>
      <c r="K136" s="12" t="s">
        <v>0</v>
      </c>
      <c r="L136" s="13" t="s">
        <v>0</v>
      </c>
      <c r="M136" s="11" t="s">
        <v>0</v>
      </c>
      <c r="N136" s="11" t="s">
        <v>0</v>
      </c>
      <c r="O136" s="11" t="s">
        <v>0</v>
      </c>
      <c r="P136" s="11" t="s">
        <v>0</v>
      </c>
      <c r="Q136" s="11" t="s">
        <v>0</v>
      </c>
      <c r="R136" s="11" t="s">
        <v>0</v>
      </c>
      <c r="S136" s="11" t="s">
        <v>0</v>
      </c>
      <c r="T136" s="11" t="s">
        <v>0</v>
      </c>
      <c r="U136" s="11" t="s">
        <v>0</v>
      </c>
      <c r="V136" s="11" t="s">
        <v>0</v>
      </c>
      <c r="W136" s="11" t="s">
        <v>0</v>
      </c>
      <c r="X136" s="11" t="s">
        <v>0</v>
      </c>
      <c r="Y136" s="11" t="s">
        <v>0</v>
      </c>
      <c r="Z136" s="11" t="s">
        <v>0</v>
      </c>
      <c r="AA136" s="11" t="s">
        <v>0</v>
      </c>
      <c r="AB136" s="11" t="s">
        <v>0</v>
      </c>
      <c r="AC136" s="11" t="s">
        <v>0</v>
      </c>
      <c r="AD136" s="11" t="s">
        <v>0</v>
      </c>
    </row>
    <row r="137">
      <c r="B137" s="12" t="s">
        <v>0</v>
      </c>
      <c r="C137" s="11" t="s">
        <v>0</v>
      </c>
      <c r="D137" s="11" t="s">
        <v>0</v>
      </c>
      <c r="E137" s="12" t="s">
        <v>0</v>
      </c>
      <c r="F137" s="12" t="s">
        <v>0</v>
      </c>
      <c r="G137" s="12" t="s">
        <v>0</v>
      </c>
      <c r="H137" s="12" t="s">
        <v>0</v>
      </c>
      <c r="I137" s="12" t="s">
        <v>0</v>
      </c>
      <c r="J137" s="12" t="s">
        <v>0</v>
      </c>
      <c r="K137" s="12" t="s">
        <v>0</v>
      </c>
      <c r="L137" s="13" t="s">
        <v>0</v>
      </c>
      <c r="M137" s="11" t="s">
        <v>0</v>
      </c>
      <c r="N137" s="11" t="s">
        <v>0</v>
      </c>
      <c r="O137" s="11" t="s">
        <v>0</v>
      </c>
      <c r="P137" s="11" t="s">
        <v>0</v>
      </c>
      <c r="Q137" s="11" t="s">
        <v>0</v>
      </c>
      <c r="R137" s="11" t="s">
        <v>0</v>
      </c>
      <c r="S137" s="11" t="s">
        <v>0</v>
      </c>
      <c r="T137" s="11" t="s">
        <v>0</v>
      </c>
      <c r="U137" s="11" t="s">
        <v>0</v>
      </c>
      <c r="V137" s="11" t="s">
        <v>0</v>
      </c>
      <c r="W137" s="11" t="s">
        <v>0</v>
      </c>
      <c r="X137" s="11" t="s">
        <v>0</v>
      </c>
      <c r="Y137" s="11" t="s">
        <v>0</v>
      </c>
      <c r="Z137" s="11" t="s">
        <v>0</v>
      </c>
      <c r="AA137" s="11" t="s">
        <v>0</v>
      </c>
      <c r="AB137" s="11" t="s">
        <v>0</v>
      </c>
      <c r="AC137" s="11" t="s">
        <v>0</v>
      </c>
      <c r="AD137" s="11" t="s">
        <v>0</v>
      </c>
    </row>
    <row r="138">
      <c r="B138" s="12" t="s">
        <v>0</v>
      </c>
      <c r="C138" s="11" t="s">
        <v>0</v>
      </c>
      <c r="D138" s="11" t="s">
        <v>0</v>
      </c>
      <c r="E138" s="12" t="s">
        <v>0</v>
      </c>
      <c r="F138" s="12" t="s">
        <v>0</v>
      </c>
      <c r="G138" s="12" t="s">
        <v>0</v>
      </c>
      <c r="H138" s="12" t="s">
        <v>0</v>
      </c>
      <c r="I138" s="12" t="s">
        <v>0</v>
      </c>
      <c r="J138" s="12" t="s">
        <v>0</v>
      </c>
      <c r="K138" s="12" t="s">
        <v>0</v>
      </c>
      <c r="L138" s="13" t="s">
        <v>0</v>
      </c>
      <c r="M138" s="11" t="s">
        <v>0</v>
      </c>
      <c r="N138" s="11" t="s">
        <v>0</v>
      </c>
      <c r="O138" s="11" t="s">
        <v>0</v>
      </c>
      <c r="P138" s="11" t="s">
        <v>0</v>
      </c>
      <c r="Q138" s="11" t="s">
        <v>0</v>
      </c>
      <c r="R138" s="11" t="s">
        <v>0</v>
      </c>
      <c r="S138" s="11" t="s">
        <v>0</v>
      </c>
      <c r="T138" s="11" t="s">
        <v>0</v>
      </c>
      <c r="U138" s="11" t="s">
        <v>0</v>
      </c>
      <c r="V138" s="11" t="s">
        <v>0</v>
      </c>
      <c r="W138" s="11" t="s">
        <v>0</v>
      </c>
      <c r="X138" s="11" t="s">
        <v>0</v>
      </c>
      <c r="Y138" s="11" t="s">
        <v>0</v>
      </c>
      <c r="Z138" s="11" t="s">
        <v>0</v>
      </c>
      <c r="AA138" s="11" t="s">
        <v>0</v>
      </c>
      <c r="AB138" s="11" t="s">
        <v>0</v>
      </c>
      <c r="AC138" s="11" t="s">
        <v>0</v>
      </c>
      <c r="AD138" s="11" t="s">
        <v>0</v>
      </c>
    </row>
    <row r="139">
      <c r="B139" s="12" t="s">
        <v>0</v>
      </c>
      <c r="C139" s="11" t="s">
        <v>0</v>
      </c>
      <c r="D139" s="11" t="s">
        <v>0</v>
      </c>
      <c r="E139" s="12" t="s">
        <v>0</v>
      </c>
      <c r="F139" s="12" t="s">
        <v>0</v>
      </c>
      <c r="G139" s="12" t="s">
        <v>0</v>
      </c>
      <c r="H139" s="12" t="s">
        <v>0</v>
      </c>
      <c r="I139" s="12" t="s">
        <v>0</v>
      </c>
      <c r="J139" s="12" t="s">
        <v>0</v>
      </c>
      <c r="K139" s="12" t="s">
        <v>0</v>
      </c>
      <c r="L139" s="13" t="s">
        <v>0</v>
      </c>
      <c r="M139" s="11" t="s">
        <v>0</v>
      </c>
      <c r="N139" s="11" t="s">
        <v>0</v>
      </c>
      <c r="O139" s="11" t="s">
        <v>0</v>
      </c>
      <c r="P139" s="11" t="s">
        <v>0</v>
      </c>
      <c r="Q139" s="11" t="s">
        <v>0</v>
      </c>
      <c r="R139" s="11" t="s">
        <v>0</v>
      </c>
      <c r="S139" s="11" t="s">
        <v>0</v>
      </c>
      <c r="T139" s="11" t="s">
        <v>0</v>
      </c>
      <c r="U139" s="11" t="s">
        <v>0</v>
      </c>
      <c r="V139" s="11" t="s">
        <v>0</v>
      </c>
      <c r="W139" s="11" t="s">
        <v>0</v>
      </c>
      <c r="X139" s="11" t="s">
        <v>0</v>
      </c>
      <c r="Y139" s="11" t="s">
        <v>0</v>
      </c>
      <c r="Z139" s="11" t="s">
        <v>0</v>
      </c>
      <c r="AA139" s="11" t="s">
        <v>0</v>
      </c>
      <c r="AB139" s="11" t="s">
        <v>0</v>
      </c>
      <c r="AC139" s="11" t="s">
        <v>0</v>
      </c>
      <c r="AD139" s="11" t="s">
        <v>0</v>
      </c>
    </row>
    <row r="140">
      <c r="B140" s="12" t="s">
        <v>0</v>
      </c>
      <c r="C140" s="11" t="s">
        <v>0</v>
      </c>
      <c r="D140" s="11" t="s">
        <v>0</v>
      </c>
      <c r="E140" s="12" t="s">
        <v>0</v>
      </c>
      <c r="F140" s="12" t="s">
        <v>0</v>
      </c>
      <c r="G140" s="12" t="s">
        <v>0</v>
      </c>
      <c r="H140" s="12" t="s">
        <v>0</v>
      </c>
      <c r="I140" s="12" t="s">
        <v>0</v>
      </c>
      <c r="J140" s="12" t="s">
        <v>0</v>
      </c>
      <c r="K140" s="12" t="s">
        <v>0</v>
      </c>
      <c r="L140" s="13" t="s">
        <v>0</v>
      </c>
      <c r="M140" s="11" t="s">
        <v>0</v>
      </c>
      <c r="N140" s="11" t="s">
        <v>0</v>
      </c>
      <c r="O140" s="11" t="s">
        <v>0</v>
      </c>
      <c r="P140" s="11" t="s">
        <v>0</v>
      </c>
      <c r="Q140" s="11" t="s">
        <v>0</v>
      </c>
      <c r="R140" s="11" t="s">
        <v>0</v>
      </c>
      <c r="S140" s="11" t="s">
        <v>0</v>
      </c>
      <c r="T140" s="11" t="s">
        <v>0</v>
      </c>
      <c r="U140" s="11" t="s">
        <v>0</v>
      </c>
      <c r="V140" s="11" t="s">
        <v>0</v>
      </c>
      <c r="W140" s="11" t="s">
        <v>0</v>
      </c>
      <c r="X140" s="11" t="s">
        <v>0</v>
      </c>
      <c r="Y140" s="11" t="s">
        <v>0</v>
      </c>
      <c r="Z140" s="11" t="s">
        <v>0</v>
      </c>
      <c r="AA140" s="11" t="s">
        <v>0</v>
      </c>
      <c r="AB140" s="11" t="s">
        <v>0</v>
      </c>
      <c r="AC140" s="11" t="s">
        <v>0</v>
      </c>
      <c r="AD140" s="11" t="s">
        <v>0</v>
      </c>
    </row>
    <row r="141">
      <c r="B141" s="12" t="s">
        <v>0</v>
      </c>
      <c r="C141" s="11" t="s">
        <v>0</v>
      </c>
      <c r="D141" s="11" t="s">
        <v>0</v>
      </c>
      <c r="E141" s="12" t="s">
        <v>0</v>
      </c>
      <c r="F141" s="12" t="s">
        <v>0</v>
      </c>
      <c r="G141" s="12" t="s">
        <v>0</v>
      </c>
      <c r="H141" s="12" t="s">
        <v>0</v>
      </c>
      <c r="I141" s="12" t="s">
        <v>0</v>
      </c>
      <c r="J141" s="12" t="s">
        <v>0</v>
      </c>
      <c r="K141" s="12" t="s">
        <v>0</v>
      </c>
      <c r="L141" s="13" t="s">
        <v>0</v>
      </c>
      <c r="M141" s="11" t="s">
        <v>0</v>
      </c>
      <c r="N141" s="11" t="s">
        <v>0</v>
      </c>
      <c r="O141" s="11" t="s">
        <v>0</v>
      </c>
      <c r="P141" s="11" t="s">
        <v>0</v>
      </c>
      <c r="Q141" s="11" t="s">
        <v>0</v>
      </c>
      <c r="R141" s="11" t="s">
        <v>0</v>
      </c>
      <c r="S141" s="11" t="s">
        <v>0</v>
      </c>
      <c r="T141" s="11" t="s">
        <v>0</v>
      </c>
      <c r="U141" s="11" t="s">
        <v>0</v>
      </c>
      <c r="V141" s="11" t="s">
        <v>0</v>
      </c>
      <c r="W141" s="11" t="s">
        <v>0</v>
      </c>
      <c r="X141" s="11" t="s">
        <v>0</v>
      </c>
      <c r="Y141" s="11" t="s">
        <v>0</v>
      </c>
      <c r="Z141" s="11" t="s">
        <v>0</v>
      </c>
      <c r="AA141" s="11" t="s">
        <v>0</v>
      </c>
      <c r="AB141" s="11" t="s">
        <v>0</v>
      </c>
      <c r="AC141" s="11" t="s">
        <v>0</v>
      </c>
      <c r="AD141" s="11" t="s">
        <v>0</v>
      </c>
    </row>
    <row r="142">
      <c r="B142" s="12" t="s">
        <v>0</v>
      </c>
      <c r="C142" s="11" t="s">
        <v>0</v>
      </c>
      <c r="D142" s="11" t="s">
        <v>0</v>
      </c>
      <c r="E142" s="12" t="s">
        <v>0</v>
      </c>
      <c r="F142" s="12" t="s">
        <v>0</v>
      </c>
      <c r="G142" s="12" t="s">
        <v>0</v>
      </c>
      <c r="H142" s="12" t="s">
        <v>0</v>
      </c>
      <c r="I142" s="12" t="s">
        <v>0</v>
      </c>
      <c r="J142" s="12" t="s">
        <v>0</v>
      </c>
      <c r="K142" s="12" t="s">
        <v>0</v>
      </c>
      <c r="L142" s="13" t="s">
        <v>0</v>
      </c>
      <c r="M142" s="11" t="s">
        <v>0</v>
      </c>
      <c r="N142" s="11" t="s">
        <v>0</v>
      </c>
      <c r="O142" s="11" t="s">
        <v>0</v>
      </c>
      <c r="P142" s="11" t="s">
        <v>0</v>
      </c>
      <c r="Q142" s="11" t="s">
        <v>0</v>
      </c>
      <c r="R142" s="11" t="s">
        <v>0</v>
      </c>
      <c r="S142" s="11" t="s">
        <v>0</v>
      </c>
      <c r="T142" s="11" t="s">
        <v>0</v>
      </c>
      <c r="U142" s="11" t="s">
        <v>0</v>
      </c>
      <c r="V142" s="11" t="s">
        <v>0</v>
      </c>
      <c r="W142" s="11" t="s">
        <v>0</v>
      </c>
      <c r="X142" s="11" t="s">
        <v>0</v>
      </c>
      <c r="Y142" s="11" t="s">
        <v>0</v>
      </c>
      <c r="Z142" s="11" t="s">
        <v>0</v>
      </c>
      <c r="AA142" s="11" t="s">
        <v>0</v>
      </c>
      <c r="AB142" s="11" t="s">
        <v>0</v>
      </c>
      <c r="AC142" s="11" t="s">
        <v>0</v>
      </c>
      <c r="AD142" s="11" t="s">
        <v>0</v>
      </c>
    </row>
    <row r="143">
      <c r="B143" s="12" t="s">
        <v>0</v>
      </c>
      <c r="C143" s="11" t="s">
        <v>0</v>
      </c>
      <c r="D143" s="11" t="s">
        <v>0</v>
      </c>
      <c r="E143" s="12" t="s">
        <v>0</v>
      </c>
      <c r="F143" s="12" t="s">
        <v>0</v>
      </c>
      <c r="G143" s="12" t="s">
        <v>0</v>
      </c>
      <c r="H143" s="12" t="s">
        <v>0</v>
      </c>
      <c r="I143" s="12" t="s">
        <v>0</v>
      </c>
      <c r="J143" s="12" t="s">
        <v>0</v>
      </c>
      <c r="K143" s="12" t="s">
        <v>0</v>
      </c>
      <c r="L143" s="13" t="s">
        <v>0</v>
      </c>
      <c r="M143" s="11" t="s">
        <v>0</v>
      </c>
      <c r="N143" s="11" t="s">
        <v>0</v>
      </c>
      <c r="O143" s="11" t="s">
        <v>0</v>
      </c>
      <c r="P143" s="11" t="s">
        <v>0</v>
      </c>
      <c r="Q143" s="11" t="s">
        <v>0</v>
      </c>
      <c r="R143" s="11" t="s">
        <v>0</v>
      </c>
      <c r="S143" s="11" t="s">
        <v>0</v>
      </c>
      <c r="T143" s="11" t="s">
        <v>0</v>
      </c>
      <c r="U143" s="11" t="s">
        <v>0</v>
      </c>
      <c r="V143" s="11" t="s">
        <v>0</v>
      </c>
      <c r="W143" s="11" t="s">
        <v>0</v>
      </c>
      <c r="X143" s="11" t="s">
        <v>0</v>
      </c>
      <c r="Y143" s="11" t="s">
        <v>0</v>
      </c>
      <c r="Z143" s="11" t="s">
        <v>0</v>
      </c>
      <c r="AA143" s="11" t="s">
        <v>0</v>
      </c>
      <c r="AB143" s="11" t="s">
        <v>0</v>
      </c>
      <c r="AC143" s="11" t="s">
        <v>0</v>
      </c>
      <c r="AD143" s="11" t="s">
        <v>0</v>
      </c>
    </row>
    <row r="144">
      <c r="B144" s="12" t="s">
        <v>0</v>
      </c>
      <c r="C144" s="11" t="s">
        <v>0</v>
      </c>
      <c r="D144" s="11" t="s">
        <v>0</v>
      </c>
      <c r="E144" s="12" t="s">
        <v>0</v>
      </c>
      <c r="F144" s="12" t="s">
        <v>0</v>
      </c>
      <c r="G144" s="12" t="s">
        <v>0</v>
      </c>
      <c r="H144" s="12" t="s">
        <v>0</v>
      </c>
      <c r="I144" s="12" t="s">
        <v>0</v>
      </c>
      <c r="J144" s="12" t="s">
        <v>0</v>
      </c>
      <c r="K144" s="12" t="s">
        <v>0</v>
      </c>
      <c r="L144" s="13" t="s">
        <v>0</v>
      </c>
      <c r="M144" s="11" t="s">
        <v>0</v>
      </c>
      <c r="N144" s="11" t="s">
        <v>0</v>
      </c>
      <c r="O144" s="11" t="s">
        <v>0</v>
      </c>
      <c r="P144" s="11" t="s">
        <v>0</v>
      </c>
      <c r="Q144" s="11" t="s">
        <v>0</v>
      </c>
      <c r="R144" s="11" t="s">
        <v>0</v>
      </c>
      <c r="S144" s="11" t="s">
        <v>0</v>
      </c>
      <c r="T144" s="11" t="s">
        <v>0</v>
      </c>
      <c r="U144" s="11" t="s">
        <v>0</v>
      </c>
      <c r="V144" s="11" t="s">
        <v>0</v>
      </c>
      <c r="W144" s="11" t="s">
        <v>0</v>
      </c>
      <c r="X144" s="11" t="s">
        <v>0</v>
      </c>
      <c r="Y144" s="11" t="s">
        <v>0</v>
      </c>
      <c r="Z144" s="11" t="s">
        <v>0</v>
      </c>
      <c r="AA144" s="11" t="s">
        <v>0</v>
      </c>
      <c r="AB144" s="11" t="s">
        <v>0</v>
      </c>
      <c r="AC144" s="11" t="s">
        <v>0</v>
      </c>
      <c r="AD144" s="11" t="s">
        <v>0</v>
      </c>
    </row>
    <row r="145">
      <c r="B145" s="12" t="s">
        <v>0</v>
      </c>
      <c r="C145" s="11" t="s">
        <v>0</v>
      </c>
      <c r="D145" s="11" t="s">
        <v>0</v>
      </c>
      <c r="E145" s="12" t="s">
        <v>0</v>
      </c>
      <c r="F145" s="12" t="s">
        <v>0</v>
      </c>
      <c r="G145" s="12" t="s">
        <v>0</v>
      </c>
      <c r="H145" s="12" t="s">
        <v>0</v>
      </c>
      <c r="I145" s="12" t="s">
        <v>0</v>
      </c>
      <c r="J145" s="12" t="s">
        <v>0</v>
      </c>
      <c r="K145" s="12" t="s">
        <v>0</v>
      </c>
      <c r="L145" s="13" t="s">
        <v>0</v>
      </c>
      <c r="M145" s="11" t="s">
        <v>0</v>
      </c>
      <c r="N145" s="11" t="s">
        <v>0</v>
      </c>
      <c r="O145" s="11" t="s">
        <v>0</v>
      </c>
      <c r="P145" s="11" t="s">
        <v>0</v>
      </c>
      <c r="Q145" s="11" t="s">
        <v>0</v>
      </c>
      <c r="R145" s="11" t="s">
        <v>0</v>
      </c>
      <c r="S145" s="11" t="s">
        <v>0</v>
      </c>
      <c r="T145" s="11" t="s">
        <v>0</v>
      </c>
      <c r="U145" s="11" t="s">
        <v>0</v>
      </c>
      <c r="V145" s="11" t="s">
        <v>0</v>
      </c>
      <c r="W145" s="11" t="s">
        <v>0</v>
      </c>
      <c r="X145" s="11" t="s">
        <v>0</v>
      </c>
      <c r="Y145" s="11" t="s">
        <v>0</v>
      </c>
      <c r="Z145" s="11" t="s">
        <v>0</v>
      </c>
      <c r="AA145" s="11" t="s">
        <v>0</v>
      </c>
      <c r="AB145" s="11" t="s">
        <v>0</v>
      </c>
      <c r="AC145" s="11" t="s">
        <v>0</v>
      </c>
      <c r="AD145" s="11" t="s">
        <v>0</v>
      </c>
    </row>
    <row r="146">
      <c r="B146" s="12" t="s">
        <v>0</v>
      </c>
      <c r="C146" s="11" t="s">
        <v>0</v>
      </c>
      <c r="D146" s="11" t="s">
        <v>0</v>
      </c>
      <c r="E146" s="12" t="s">
        <v>0</v>
      </c>
      <c r="F146" s="12" t="s">
        <v>0</v>
      </c>
      <c r="G146" s="12" t="s">
        <v>0</v>
      </c>
      <c r="H146" s="12" t="s">
        <v>0</v>
      </c>
      <c r="I146" s="12" t="s">
        <v>0</v>
      </c>
      <c r="J146" s="12" t="s">
        <v>0</v>
      </c>
      <c r="K146" s="12" t="s">
        <v>0</v>
      </c>
      <c r="L146" s="13" t="s">
        <v>0</v>
      </c>
      <c r="M146" s="11" t="s">
        <v>0</v>
      </c>
      <c r="N146" s="11" t="s">
        <v>0</v>
      </c>
      <c r="O146" s="11" t="s">
        <v>0</v>
      </c>
      <c r="P146" s="11" t="s">
        <v>0</v>
      </c>
      <c r="Q146" s="11" t="s">
        <v>0</v>
      </c>
      <c r="R146" s="11" t="s">
        <v>0</v>
      </c>
      <c r="S146" s="11" t="s">
        <v>0</v>
      </c>
      <c r="T146" s="11" t="s">
        <v>0</v>
      </c>
      <c r="U146" s="11" t="s">
        <v>0</v>
      </c>
      <c r="V146" s="11" t="s">
        <v>0</v>
      </c>
      <c r="W146" s="11" t="s">
        <v>0</v>
      </c>
      <c r="X146" s="11" t="s">
        <v>0</v>
      </c>
      <c r="Y146" s="11" t="s">
        <v>0</v>
      </c>
      <c r="Z146" s="11" t="s">
        <v>0</v>
      </c>
      <c r="AA146" s="11" t="s">
        <v>0</v>
      </c>
      <c r="AB146" s="11" t="s">
        <v>0</v>
      </c>
      <c r="AC146" s="11" t="s">
        <v>0</v>
      </c>
      <c r="AD146" s="11" t="s">
        <v>0</v>
      </c>
    </row>
    <row r="147">
      <c r="B147" s="12" t="s">
        <v>0</v>
      </c>
      <c r="C147" s="11" t="s">
        <v>0</v>
      </c>
      <c r="D147" s="11" t="s">
        <v>0</v>
      </c>
      <c r="E147" s="12" t="s">
        <v>0</v>
      </c>
      <c r="F147" s="12" t="s">
        <v>0</v>
      </c>
      <c r="G147" s="12" t="s">
        <v>0</v>
      </c>
      <c r="H147" s="12" t="s">
        <v>0</v>
      </c>
      <c r="I147" s="12" t="s">
        <v>0</v>
      </c>
      <c r="J147" s="12" t="s">
        <v>0</v>
      </c>
      <c r="K147" s="12" t="s">
        <v>0</v>
      </c>
      <c r="L147" s="13" t="s">
        <v>0</v>
      </c>
      <c r="M147" s="11" t="s">
        <v>0</v>
      </c>
      <c r="N147" s="11" t="s">
        <v>0</v>
      </c>
      <c r="O147" s="11" t="s">
        <v>0</v>
      </c>
      <c r="P147" s="11" t="s">
        <v>0</v>
      </c>
      <c r="Q147" s="11" t="s">
        <v>0</v>
      </c>
      <c r="R147" s="11" t="s">
        <v>0</v>
      </c>
      <c r="S147" s="11" t="s">
        <v>0</v>
      </c>
      <c r="T147" s="11" t="s">
        <v>0</v>
      </c>
      <c r="U147" s="11" t="s">
        <v>0</v>
      </c>
      <c r="V147" s="11" t="s">
        <v>0</v>
      </c>
      <c r="W147" s="11" t="s">
        <v>0</v>
      </c>
      <c r="X147" s="11" t="s">
        <v>0</v>
      </c>
      <c r="Y147" s="11" t="s">
        <v>0</v>
      </c>
      <c r="Z147" s="11" t="s">
        <v>0</v>
      </c>
      <c r="AA147" s="11" t="s">
        <v>0</v>
      </c>
      <c r="AB147" s="11" t="s">
        <v>0</v>
      </c>
      <c r="AC147" s="11" t="s">
        <v>0</v>
      </c>
      <c r="AD147" s="11" t="s">
        <v>0</v>
      </c>
    </row>
    <row r="148">
      <c r="B148" s="12" t="s">
        <v>0</v>
      </c>
      <c r="C148" s="11" t="s">
        <v>0</v>
      </c>
      <c r="D148" s="11" t="s">
        <v>0</v>
      </c>
      <c r="E148" s="12" t="s">
        <v>0</v>
      </c>
      <c r="F148" s="12" t="s">
        <v>0</v>
      </c>
      <c r="G148" s="12" t="s">
        <v>0</v>
      </c>
      <c r="H148" s="12" t="s">
        <v>0</v>
      </c>
      <c r="I148" s="12" t="s">
        <v>0</v>
      </c>
      <c r="J148" s="12" t="s">
        <v>0</v>
      </c>
      <c r="K148" s="12" t="s">
        <v>0</v>
      </c>
      <c r="L148" s="13" t="s">
        <v>0</v>
      </c>
      <c r="M148" s="11" t="s">
        <v>0</v>
      </c>
      <c r="N148" s="11" t="s">
        <v>0</v>
      </c>
      <c r="O148" s="11" t="s">
        <v>0</v>
      </c>
      <c r="P148" s="11" t="s">
        <v>0</v>
      </c>
      <c r="Q148" s="11" t="s">
        <v>0</v>
      </c>
      <c r="R148" s="11" t="s">
        <v>0</v>
      </c>
      <c r="S148" s="11" t="s">
        <v>0</v>
      </c>
      <c r="T148" s="11" t="s">
        <v>0</v>
      </c>
      <c r="U148" s="11" t="s">
        <v>0</v>
      </c>
      <c r="V148" s="11" t="s">
        <v>0</v>
      </c>
      <c r="W148" s="11" t="s">
        <v>0</v>
      </c>
      <c r="X148" s="11" t="s">
        <v>0</v>
      </c>
      <c r="Y148" s="11" t="s">
        <v>0</v>
      </c>
      <c r="Z148" s="11" t="s">
        <v>0</v>
      </c>
      <c r="AA148" s="11" t="s">
        <v>0</v>
      </c>
      <c r="AB148" s="11" t="s">
        <v>0</v>
      </c>
      <c r="AC148" s="11" t="s">
        <v>0</v>
      </c>
      <c r="AD148" s="11" t="s">
        <v>0</v>
      </c>
    </row>
    <row r="149">
      <c r="B149" s="12" t="s">
        <v>0</v>
      </c>
      <c r="C149" s="11" t="s">
        <v>0</v>
      </c>
      <c r="D149" s="11" t="s">
        <v>0</v>
      </c>
      <c r="E149" s="12" t="s">
        <v>0</v>
      </c>
      <c r="F149" s="12" t="s">
        <v>0</v>
      </c>
      <c r="G149" s="12" t="s">
        <v>0</v>
      </c>
      <c r="H149" s="12" t="s">
        <v>0</v>
      </c>
      <c r="I149" s="12" t="s">
        <v>0</v>
      </c>
      <c r="J149" s="12" t="s">
        <v>0</v>
      </c>
      <c r="K149" s="12" t="s">
        <v>0</v>
      </c>
      <c r="L149" s="13" t="s">
        <v>0</v>
      </c>
      <c r="M149" s="11" t="s">
        <v>0</v>
      </c>
      <c r="N149" s="11" t="s">
        <v>0</v>
      </c>
      <c r="O149" s="11" t="s">
        <v>0</v>
      </c>
      <c r="P149" s="11" t="s">
        <v>0</v>
      </c>
      <c r="Q149" s="11" t="s">
        <v>0</v>
      </c>
      <c r="R149" s="11" t="s">
        <v>0</v>
      </c>
      <c r="S149" s="11" t="s">
        <v>0</v>
      </c>
      <c r="T149" s="11" t="s">
        <v>0</v>
      </c>
      <c r="U149" s="11" t="s">
        <v>0</v>
      </c>
      <c r="V149" s="11" t="s">
        <v>0</v>
      </c>
      <c r="W149" s="11" t="s">
        <v>0</v>
      </c>
      <c r="X149" s="11" t="s">
        <v>0</v>
      </c>
      <c r="Y149" s="11" t="s">
        <v>0</v>
      </c>
      <c r="Z149" s="11" t="s">
        <v>0</v>
      </c>
      <c r="AA149" s="11" t="s">
        <v>0</v>
      </c>
      <c r="AB149" s="11" t="s">
        <v>0</v>
      </c>
      <c r="AC149" s="11" t="s">
        <v>0</v>
      </c>
      <c r="AD149" s="11" t="s">
        <v>0</v>
      </c>
    </row>
    <row r="150">
      <c r="B150" s="12" t="s">
        <v>0</v>
      </c>
      <c r="C150" s="11" t="s">
        <v>0</v>
      </c>
      <c r="D150" s="11" t="s">
        <v>0</v>
      </c>
      <c r="E150" s="12" t="s">
        <v>0</v>
      </c>
      <c r="F150" s="12" t="s">
        <v>0</v>
      </c>
      <c r="G150" s="12" t="s">
        <v>0</v>
      </c>
      <c r="H150" s="12" t="s">
        <v>0</v>
      </c>
      <c r="I150" s="12" t="s">
        <v>0</v>
      </c>
      <c r="J150" s="12" t="s">
        <v>0</v>
      </c>
      <c r="K150" s="12" t="s">
        <v>0</v>
      </c>
      <c r="L150" s="13" t="s">
        <v>0</v>
      </c>
      <c r="M150" s="11" t="s">
        <v>0</v>
      </c>
      <c r="N150" s="11" t="s">
        <v>0</v>
      </c>
      <c r="O150" s="11" t="s">
        <v>0</v>
      </c>
      <c r="P150" s="11" t="s">
        <v>0</v>
      </c>
      <c r="Q150" s="11" t="s">
        <v>0</v>
      </c>
      <c r="R150" s="11" t="s">
        <v>0</v>
      </c>
      <c r="S150" s="11" t="s">
        <v>0</v>
      </c>
      <c r="T150" s="11" t="s">
        <v>0</v>
      </c>
      <c r="U150" s="11" t="s">
        <v>0</v>
      </c>
      <c r="V150" s="11" t="s">
        <v>0</v>
      </c>
      <c r="W150" s="11" t="s">
        <v>0</v>
      </c>
      <c r="X150" s="11" t="s">
        <v>0</v>
      </c>
      <c r="Y150" s="11" t="s">
        <v>0</v>
      </c>
      <c r="Z150" s="11" t="s">
        <v>0</v>
      </c>
      <c r="AA150" s="11" t="s">
        <v>0</v>
      </c>
      <c r="AB150" s="11" t="s">
        <v>0</v>
      </c>
      <c r="AC150" s="11" t="s">
        <v>0</v>
      </c>
      <c r="AD150" s="11" t="s">
        <v>0</v>
      </c>
    </row>
    <row r="151">
      <c r="B151" s="12" t="s">
        <v>0</v>
      </c>
      <c r="C151" s="11" t="s">
        <v>0</v>
      </c>
      <c r="D151" s="11" t="s">
        <v>0</v>
      </c>
      <c r="E151" s="12" t="s">
        <v>0</v>
      </c>
      <c r="F151" s="12" t="s">
        <v>0</v>
      </c>
      <c r="G151" s="12" t="s">
        <v>0</v>
      </c>
      <c r="H151" s="12" t="s">
        <v>0</v>
      </c>
      <c r="I151" s="12" t="s">
        <v>0</v>
      </c>
      <c r="J151" s="12" t="s">
        <v>0</v>
      </c>
      <c r="K151" s="12" t="s">
        <v>0</v>
      </c>
      <c r="L151" s="13" t="s">
        <v>0</v>
      </c>
      <c r="M151" s="11" t="s">
        <v>0</v>
      </c>
      <c r="N151" s="11" t="s">
        <v>0</v>
      </c>
      <c r="O151" s="11" t="s">
        <v>0</v>
      </c>
      <c r="P151" s="11" t="s">
        <v>0</v>
      </c>
      <c r="Q151" s="11" t="s">
        <v>0</v>
      </c>
      <c r="R151" s="11" t="s">
        <v>0</v>
      </c>
      <c r="S151" s="11" t="s">
        <v>0</v>
      </c>
      <c r="T151" s="11" t="s">
        <v>0</v>
      </c>
      <c r="U151" s="11" t="s">
        <v>0</v>
      </c>
      <c r="V151" s="11" t="s">
        <v>0</v>
      </c>
      <c r="W151" s="11" t="s">
        <v>0</v>
      </c>
      <c r="X151" s="11" t="s">
        <v>0</v>
      </c>
      <c r="Y151" s="11" t="s">
        <v>0</v>
      </c>
      <c r="Z151" s="11" t="s">
        <v>0</v>
      </c>
      <c r="AA151" s="11" t="s">
        <v>0</v>
      </c>
      <c r="AB151" s="11" t="s">
        <v>0</v>
      </c>
      <c r="AC151" s="11" t="s">
        <v>0</v>
      </c>
      <c r="AD151" s="11" t="s">
        <v>0</v>
      </c>
    </row>
    <row r="152">
      <c r="B152" s="12" t="s">
        <v>0</v>
      </c>
      <c r="C152" s="11" t="s">
        <v>0</v>
      </c>
      <c r="D152" s="11" t="s">
        <v>0</v>
      </c>
      <c r="E152" s="12" t="s">
        <v>0</v>
      </c>
      <c r="F152" s="12" t="s">
        <v>0</v>
      </c>
      <c r="G152" s="12" t="s">
        <v>0</v>
      </c>
      <c r="H152" s="12" t="s">
        <v>0</v>
      </c>
      <c r="I152" s="12" t="s">
        <v>0</v>
      </c>
      <c r="J152" s="12" t="s">
        <v>0</v>
      </c>
      <c r="K152" s="12" t="s">
        <v>0</v>
      </c>
      <c r="L152" s="13" t="s">
        <v>0</v>
      </c>
      <c r="M152" s="11" t="s">
        <v>0</v>
      </c>
      <c r="N152" s="11" t="s">
        <v>0</v>
      </c>
      <c r="O152" s="11" t="s">
        <v>0</v>
      </c>
      <c r="P152" s="11" t="s">
        <v>0</v>
      </c>
      <c r="Q152" s="11" t="s">
        <v>0</v>
      </c>
      <c r="R152" s="11" t="s">
        <v>0</v>
      </c>
      <c r="S152" s="11" t="s">
        <v>0</v>
      </c>
      <c r="T152" s="11" t="s">
        <v>0</v>
      </c>
      <c r="U152" s="11" t="s">
        <v>0</v>
      </c>
      <c r="V152" s="11" t="s">
        <v>0</v>
      </c>
      <c r="W152" s="11" t="s">
        <v>0</v>
      </c>
      <c r="X152" s="11" t="s">
        <v>0</v>
      </c>
      <c r="Y152" s="11" t="s">
        <v>0</v>
      </c>
      <c r="Z152" s="11" t="s">
        <v>0</v>
      </c>
      <c r="AA152" s="11" t="s">
        <v>0</v>
      </c>
      <c r="AB152" s="11" t="s">
        <v>0</v>
      </c>
      <c r="AC152" s="11" t="s">
        <v>0</v>
      </c>
      <c r="AD152" s="11" t="s">
        <v>0</v>
      </c>
    </row>
    <row r="153">
      <c r="B153" s="12" t="s">
        <v>0</v>
      </c>
      <c r="C153" s="11" t="s">
        <v>0</v>
      </c>
      <c r="D153" s="11" t="s">
        <v>0</v>
      </c>
      <c r="E153" s="12" t="s">
        <v>0</v>
      </c>
      <c r="F153" s="12" t="s">
        <v>0</v>
      </c>
      <c r="G153" s="12" t="s">
        <v>0</v>
      </c>
      <c r="H153" s="12" t="s">
        <v>0</v>
      </c>
      <c r="I153" s="12" t="s">
        <v>0</v>
      </c>
      <c r="J153" s="12" t="s">
        <v>0</v>
      </c>
      <c r="K153" s="12" t="s">
        <v>0</v>
      </c>
      <c r="L153" s="13" t="s">
        <v>0</v>
      </c>
      <c r="M153" s="11" t="s">
        <v>0</v>
      </c>
      <c r="N153" s="11" t="s">
        <v>0</v>
      </c>
      <c r="O153" s="11" t="s">
        <v>0</v>
      </c>
      <c r="P153" s="11" t="s">
        <v>0</v>
      </c>
      <c r="Q153" s="11" t="s">
        <v>0</v>
      </c>
      <c r="R153" s="11" t="s">
        <v>0</v>
      </c>
      <c r="S153" s="11" t="s">
        <v>0</v>
      </c>
      <c r="T153" s="11" t="s">
        <v>0</v>
      </c>
      <c r="U153" s="11" t="s">
        <v>0</v>
      </c>
      <c r="V153" s="11" t="s">
        <v>0</v>
      </c>
      <c r="W153" s="11" t="s">
        <v>0</v>
      </c>
      <c r="X153" s="11" t="s">
        <v>0</v>
      </c>
      <c r="Y153" s="11" t="s">
        <v>0</v>
      </c>
      <c r="Z153" s="11" t="s">
        <v>0</v>
      </c>
      <c r="AA153" s="11" t="s">
        <v>0</v>
      </c>
      <c r="AB153" s="11" t="s">
        <v>0</v>
      </c>
      <c r="AC153" s="11" t="s">
        <v>0</v>
      </c>
      <c r="AD153" s="11" t="s">
        <v>0</v>
      </c>
    </row>
    <row r="154">
      <c r="B154" s="12" t="s">
        <v>0</v>
      </c>
      <c r="C154" s="11" t="s">
        <v>0</v>
      </c>
      <c r="D154" s="11" t="s">
        <v>0</v>
      </c>
      <c r="E154" s="12" t="s">
        <v>0</v>
      </c>
      <c r="F154" s="12" t="s">
        <v>0</v>
      </c>
      <c r="G154" s="12" t="s">
        <v>0</v>
      </c>
      <c r="H154" s="12" t="s">
        <v>0</v>
      </c>
      <c r="I154" s="12" t="s">
        <v>0</v>
      </c>
      <c r="J154" s="12" t="s">
        <v>0</v>
      </c>
      <c r="K154" s="12" t="s">
        <v>0</v>
      </c>
      <c r="L154" s="13" t="s">
        <v>0</v>
      </c>
      <c r="M154" s="11" t="s">
        <v>0</v>
      </c>
      <c r="N154" s="11" t="s">
        <v>0</v>
      </c>
      <c r="O154" s="11" t="s">
        <v>0</v>
      </c>
      <c r="P154" s="11" t="s">
        <v>0</v>
      </c>
      <c r="Q154" s="11" t="s">
        <v>0</v>
      </c>
      <c r="R154" s="11" t="s">
        <v>0</v>
      </c>
      <c r="S154" s="11" t="s">
        <v>0</v>
      </c>
      <c r="T154" s="11" t="s">
        <v>0</v>
      </c>
      <c r="U154" s="11" t="s">
        <v>0</v>
      </c>
      <c r="V154" s="11" t="s">
        <v>0</v>
      </c>
      <c r="W154" s="11" t="s">
        <v>0</v>
      </c>
      <c r="X154" s="11" t="s">
        <v>0</v>
      </c>
      <c r="Y154" s="11" t="s">
        <v>0</v>
      </c>
      <c r="Z154" s="11" t="s">
        <v>0</v>
      </c>
      <c r="AA154" s="11" t="s">
        <v>0</v>
      </c>
      <c r="AB154" s="11" t="s">
        <v>0</v>
      </c>
      <c r="AC154" s="11" t="s">
        <v>0</v>
      </c>
      <c r="AD154" s="11" t="s">
        <v>0</v>
      </c>
    </row>
    <row r="155">
      <c r="B155" s="12" t="s">
        <v>0</v>
      </c>
      <c r="C155" s="11" t="s">
        <v>0</v>
      </c>
      <c r="D155" s="11" t="s">
        <v>0</v>
      </c>
      <c r="E155" s="12" t="s">
        <v>0</v>
      </c>
      <c r="F155" s="12" t="s">
        <v>0</v>
      </c>
      <c r="G155" s="12" t="s">
        <v>0</v>
      </c>
      <c r="H155" s="12" t="s">
        <v>0</v>
      </c>
      <c r="I155" s="12" t="s">
        <v>0</v>
      </c>
      <c r="J155" s="12" t="s">
        <v>0</v>
      </c>
      <c r="K155" s="12" t="s">
        <v>0</v>
      </c>
      <c r="L155" s="13" t="s">
        <v>0</v>
      </c>
      <c r="M155" s="11" t="s">
        <v>0</v>
      </c>
      <c r="N155" s="11" t="s">
        <v>0</v>
      </c>
      <c r="O155" s="11" t="s">
        <v>0</v>
      </c>
      <c r="P155" s="11" t="s">
        <v>0</v>
      </c>
      <c r="Q155" s="11" t="s">
        <v>0</v>
      </c>
      <c r="R155" s="11" t="s">
        <v>0</v>
      </c>
      <c r="S155" s="11" t="s">
        <v>0</v>
      </c>
      <c r="T155" s="11" t="s">
        <v>0</v>
      </c>
      <c r="U155" s="11" t="s">
        <v>0</v>
      </c>
      <c r="V155" s="11" t="s">
        <v>0</v>
      </c>
      <c r="W155" s="11" t="s">
        <v>0</v>
      </c>
      <c r="X155" s="11" t="s">
        <v>0</v>
      </c>
      <c r="Y155" s="11" t="s">
        <v>0</v>
      </c>
      <c r="Z155" s="11" t="s">
        <v>0</v>
      </c>
      <c r="AA155" s="11" t="s">
        <v>0</v>
      </c>
      <c r="AB155" s="11" t="s">
        <v>0</v>
      </c>
      <c r="AC155" s="11" t="s">
        <v>0</v>
      </c>
      <c r="AD155" s="11" t="s">
        <v>0</v>
      </c>
    </row>
    <row r="156">
      <c r="B156" s="12" t="s">
        <v>0</v>
      </c>
      <c r="C156" s="11" t="s">
        <v>0</v>
      </c>
      <c r="D156" s="11" t="s">
        <v>0</v>
      </c>
      <c r="E156" s="12" t="s">
        <v>0</v>
      </c>
      <c r="F156" s="12" t="s">
        <v>0</v>
      </c>
      <c r="G156" s="12" t="s">
        <v>0</v>
      </c>
      <c r="H156" s="12" t="s">
        <v>0</v>
      </c>
      <c r="I156" s="12" t="s">
        <v>0</v>
      </c>
      <c r="J156" s="12" t="s">
        <v>0</v>
      </c>
      <c r="K156" s="12" t="s">
        <v>0</v>
      </c>
      <c r="L156" s="13" t="s">
        <v>0</v>
      </c>
      <c r="M156" s="11" t="s">
        <v>0</v>
      </c>
      <c r="N156" s="11" t="s">
        <v>0</v>
      </c>
      <c r="O156" s="11" t="s">
        <v>0</v>
      </c>
      <c r="P156" s="11" t="s">
        <v>0</v>
      </c>
      <c r="Q156" s="11" t="s">
        <v>0</v>
      </c>
      <c r="R156" s="11" t="s">
        <v>0</v>
      </c>
      <c r="S156" s="11" t="s">
        <v>0</v>
      </c>
      <c r="T156" s="11" t="s">
        <v>0</v>
      </c>
      <c r="U156" s="11" t="s">
        <v>0</v>
      </c>
      <c r="V156" s="11" t="s">
        <v>0</v>
      </c>
      <c r="W156" s="11" t="s">
        <v>0</v>
      </c>
      <c r="X156" s="11" t="s">
        <v>0</v>
      </c>
      <c r="Y156" s="11" t="s">
        <v>0</v>
      </c>
      <c r="Z156" s="11" t="s">
        <v>0</v>
      </c>
      <c r="AA156" s="11" t="s">
        <v>0</v>
      </c>
      <c r="AB156" s="11" t="s">
        <v>0</v>
      </c>
      <c r="AC156" s="11" t="s">
        <v>0</v>
      </c>
      <c r="AD156" s="11" t="s">
        <v>0</v>
      </c>
    </row>
    <row r="157">
      <c r="B157" s="12" t="s">
        <v>0</v>
      </c>
      <c r="C157" s="11" t="s">
        <v>0</v>
      </c>
      <c r="D157" s="11" t="s">
        <v>0</v>
      </c>
      <c r="E157" s="12" t="s">
        <v>0</v>
      </c>
      <c r="F157" s="12" t="s">
        <v>0</v>
      </c>
      <c r="G157" s="12" t="s">
        <v>0</v>
      </c>
      <c r="H157" s="12" t="s">
        <v>0</v>
      </c>
      <c r="I157" s="12" t="s">
        <v>0</v>
      </c>
      <c r="J157" s="12" t="s">
        <v>0</v>
      </c>
      <c r="K157" s="12" t="s">
        <v>0</v>
      </c>
      <c r="L157" s="13" t="s">
        <v>0</v>
      </c>
      <c r="M157" s="11" t="s">
        <v>0</v>
      </c>
      <c r="N157" s="11" t="s">
        <v>0</v>
      </c>
      <c r="O157" s="11" t="s">
        <v>0</v>
      </c>
      <c r="P157" s="11" t="s">
        <v>0</v>
      </c>
      <c r="Q157" s="11" t="s">
        <v>0</v>
      </c>
      <c r="R157" s="11" t="s">
        <v>0</v>
      </c>
      <c r="S157" s="11" t="s">
        <v>0</v>
      </c>
      <c r="T157" s="11" t="s">
        <v>0</v>
      </c>
      <c r="U157" s="11" t="s">
        <v>0</v>
      </c>
      <c r="V157" s="11" t="s">
        <v>0</v>
      </c>
      <c r="W157" s="11" t="s">
        <v>0</v>
      </c>
      <c r="X157" s="11" t="s">
        <v>0</v>
      </c>
      <c r="Y157" s="11" t="s">
        <v>0</v>
      </c>
      <c r="Z157" s="11" t="s">
        <v>0</v>
      </c>
      <c r="AA157" s="11" t="s">
        <v>0</v>
      </c>
      <c r="AB157" s="11" t="s">
        <v>0</v>
      </c>
      <c r="AC157" s="11" t="s">
        <v>0</v>
      </c>
      <c r="AD157" s="11" t="s">
        <v>0</v>
      </c>
    </row>
    <row r="158">
      <c r="B158" s="12" t="s">
        <v>0</v>
      </c>
      <c r="C158" s="11" t="s">
        <v>0</v>
      </c>
      <c r="D158" s="11" t="s">
        <v>0</v>
      </c>
      <c r="E158" s="12" t="s">
        <v>0</v>
      </c>
      <c r="F158" s="12" t="s">
        <v>0</v>
      </c>
      <c r="G158" s="12" t="s">
        <v>0</v>
      </c>
      <c r="H158" s="12" t="s">
        <v>0</v>
      </c>
      <c r="I158" s="12" t="s">
        <v>0</v>
      </c>
      <c r="J158" s="12" t="s">
        <v>0</v>
      </c>
      <c r="K158" s="12" t="s">
        <v>0</v>
      </c>
      <c r="L158" s="13" t="s">
        <v>0</v>
      </c>
      <c r="M158" s="11" t="s">
        <v>0</v>
      </c>
      <c r="N158" s="11" t="s">
        <v>0</v>
      </c>
      <c r="O158" s="11" t="s">
        <v>0</v>
      </c>
      <c r="P158" s="11" t="s">
        <v>0</v>
      </c>
      <c r="Q158" s="11" t="s">
        <v>0</v>
      </c>
      <c r="R158" s="11" t="s">
        <v>0</v>
      </c>
      <c r="S158" s="11" t="s">
        <v>0</v>
      </c>
      <c r="T158" s="11" t="s">
        <v>0</v>
      </c>
      <c r="U158" s="11" t="s">
        <v>0</v>
      </c>
      <c r="V158" s="11" t="s">
        <v>0</v>
      </c>
      <c r="W158" s="11" t="s">
        <v>0</v>
      </c>
      <c r="X158" s="11" t="s">
        <v>0</v>
      </c>
      <c r="Y158" s="11" t="s">
        <v>0</v>
      </c>
      <c r="Z158" s="11" t="s">
        <v>0</v>
      </c>
      <c r="AA158" s="11" t="s">
        <v>0</v>
      </c>
      <c r="AB158" s="11" t="s">
        <v>0</v>
      </c>
      <c r="AC158" s="11" t="s">
        <v>0</v>
      </c>
      <c r="AD158" s="11" t="s">
        <v>0</v>
      </c>
    </row>
    <row r="159">
      <c r="B159" s="12" t="s">
        <v>0</v>
      </c>
      <c r="C159" s="11" t="s">
        <v>0</v>
      </c>
      <c r="D159" s="11" t="s">
        <v>0</v>
      </c>
      <c r="E159" s="12" t="s">
        <v>0</v>
      </c>
      <c r="F159" s="12" t="s">
        <v>0</v>
      </c>
      <c r="G159" s="12" t="s">
        <v>0</v>
      </c>
      <c r="H159" s="12" t="s">
        <v>0</v>
      </c>
      <c r="I159" s="12" t="s">
        <v>0</v>
      </c>
      <c r="J159" s="12" t="s">
        <v>0</v>
      </c>
      <c r="K159" s="12" t="s">
        <v>0</v>
      </c>
      <c r="L159" s="13" t="s">
        <v>0</v>
      </c>
      <c r="M159" s="11" t="s">
        <v>0</v>
      </c>
      <c r="N159" s="11" t="s">
        <v>0</v>
      </c>
      <c r="O159" s="11" t="s">
        <v>0</v>
      </c>
      <c r="P159" s="11" t="s">
        <v>0</v>
      </c>
      <c r="Q159" s="11" t="s">
        <v>0</v>
      </c>
      <c r="R159" s="11" t="s">
        <v>0</v>
      </c>
      <c r="S159" s="11" t="s">
        <v>0</v>
      </c>
      <c r="T159" s="11" t="s">
        <v>0</v>
      </c>
      <c r="U159" s="11" t="s">
        <v>0</v>
      </c>
      <c r="V159" s="11" t="s">
        <v>0</v>
      </c>
      <c r="W159" s="11" t="s">
        <v>0</v>
      </c>
      <c r="X159" s="11" t="s">
        <v>0</v>
      </c>
      <c r="Y159" s="11" t="s">
        <v>0</v>
      </c>
      <c r="Z159" s="11" t="s">
        <v>0</v>
      </c>
      <c r="AA159" s="11" t="s">
        <v>0</v>
      </c>
      <c r="AB159" s="11" t="s">
        <v>0</v>
      </c>
      <c r="AC159" s="11" t="s">
        <v>0</v>
      </c>
      <c r="AD159" s="11" t="s">
        <v>0</v>
      </c>
    </row>
    <row r="160">
      <c r="B160" s="12" t="s">
        <v>0</v>
      </c>
      <c r="C160" s="11" t="s">
        <v>0</v>
      </c>
      <c r="D160" s="11" t="s">
        <v>0</v>
      </c>
      <c r="E160" s="12" t="s">
        <v>0</v>
      </c>
      <c r="F160" s="12" t="s">
        <v>0</v>
      </c>
      <c r="G160" s="12" t="s">
        <v>0</v>
      </c>
      <c r="H160" s="12" t="s">
        <v>0</v>
      </c>
      <c r="I160" s="12" t="s">
        <v>0</v>
      </c>
      <c r="J160" s="12" t="s">
        <v>0</v>
      </c>
      <c r="K160" s="12" t="s">
        <v>0</v>
      </c>
      <c r="L160" s="13" t="s">
        <v>0</v>
      </c>
      <c r="M160" s="11" t="s">
        <v>0</v>
      </c>
      <c r="N160" s="11" t="s">
        <v>0</v>
      </c>
      <c r="O160" s="11" t="s">
        <v>0</v>
      </c>
      <c r="P160" s="11" t="s">
        <v>0</v>
      </c>
      <c r="Q160" s="11" t="s">
        <v>0</v>
      </c>
      <c r="R160" s="11" t="s">
        <v>0</v>
      </c>
      <c r="S160" s="11" t="s">
        <v>0</v>
      </c>
      <c r="T160" s="11" t="s">
        <v>0</v>
      </c>
      <c r="U160" s="11" t="s">
        <v>0</v>
      </c>
      <c r="V160" s="11" t="s">
        <v>0</v>
      </c>
      <c r="W160" s="11" t="s">
        <v>0</v>
      </c>
      <c r="X160" s="11" t="s">
        <v>0</v>
      </c>
      <c r="Y160" s="11" t="s">
        <v>0</v>
      </c>
      <c r="Z160" s="11" t="s">
        <v>0</v>
      </c>
      <c r="AA160" s="11" t="s">
        <v>0</v>
      </c>
      <c r="AB160" s="11" t="s">
        <v>0</v>
      </c>
      <c r="AC160" s="11" t="s">
        <v>0</v>
      </c>
      <c r="AD160" s="11" t="s">
        <v>0</v>
      </c>
    </row>
    <row r="161">
      <c r="B161" s="12" t="s">
        <v>0</v>
      </c>
      <c r="C161" s="11" t="s">
        <v>0</v>
      </c>
      <c r="D161" s="11" t="s">
        <v>0</v>
      </c>
      <c r="E161" s="12" t="s">
        <v>0</v>
      </c>
      <c r="F161" s="12" t="s">
        <v>0</v>
      </c>
      <c r="G161" s="12" t="s">
        <v>0</v>
      </c>
      <c r="H161" s="12" t="s">
        <v>0</v>
      </c>
      <c r="I161" s="12" t="s">
        <v>0</v>
      </c>
      <c r="J161" s="12" t="s">
        <v>0</v>
      </c>
      <c r="K161" s="12" t="s">
        <v>0</v>
      </c>
      <c r="L161" s="13" t="s">
        <v>0</v>
      </c>
      <c r="M161" s="11" t="s">
        <v>0</v>
      </c>
      <c r="N161" s="11" t="s">
        <v>0</v>
      </c>
      <c r="O161" s="11" t="s">
        <v>0</v>
      </c>
      <c r="P161" s="11" t="s">
        <v>0</v>
      </c>
      <c r="Q161" s="11" t="s">
        <v>0</v>
      </c>
      <c r="R161" s="11" t="s">
        <v>0</v>
      </c>
      <c r="S161" s="11" t="s">
        <v>0</v>
      </c>
      <c r="T161" s="11" t="s">
        <v>0</v>
      </c>
      <c r="U161" s="11" t="s">
        <v>0</v>
      </c>
      <c r="V161" s="11" t="s">
        <v>0</v>
      </c>
      <c r="W161" s="11" t="s">
        <v>0</v>
      </c>
      <c r="X161" s="11" t="s">
        <v>0</v>
      </c>
      <c r="Y161" s="11" t="s">
        <v>0</v>
      </c>
      <c r="Z161" s="11" t="s">
        <v>0</v>
      </c>
      <c r="AA161" s="11" t="s">
        <v>0</v>
      </c>
      <c r="AB161" s="11" t="s">
        <v>0</v>
      </c>
      <c r="AC161" s="11" t="s">
        <v>0</v>
      </c>
      <c r="AD161" s="11" t="s">
        <v>0</v>
      </c>
    </row>
    <row r="162">
      <c r="B162" s="12" t="s">
        <v>0</v>
      </c>
      <c r="C162" s="11" t="s">
        <v>0</v>
      </c>
      <c r="D162" s="11" t="s">
        <v>0</v>
      </c>
      <c r="E162" s="12" t="s">
        <v>0</v>
      </c>
      <c r="F162" s="12" t="s">
        <v>0</v>
      </c>
      <c r="G162" s="12" t="s">
        <v>0</v>
      </c>
      <c r="H162" s="12" t="s">
        <v>0</v>
      </c>
      <c r="I162" s="12" t="s">
        <v>0</v>
      </c>
      <c r="J162" s="12" t="s">
        <v>0</v>
      </c>
      <c r="K162" s="12" t="s">
        <v>0</v>
      </c>
      <c r="L162" s="13" t="s">
        <v>0</v>
      </c>
      <c r="M162" s="11" t="s">
        <v>0</v>
      </c>
      <c r="N162" s="11" t="s">
        <v>0</v>
      </c>
      <c r="O162" s="11" t="s">
        <v>0</v>
      </c>
      <c r="P162" s="11" t="s">
        <v>0</v>
      </c>
      <c r="Q162" s="11" t="s">
        <v>0</v>
      </c>
      <c r="R162" s="11" t="s">
        <v>0</v>
      </c>
      <c r="S162" s="11" t="s">
        <v>0</v>
      </c>
      <c r="T162" s="11" t="s">
        <v>0</v>
      </c>
      <c r="U162" s="11" t="s">
        <v>0</v>
      </c>
      <c r="V162" s="11" t="s">
        <v>0</v>
      </c>
      <c r="W162" s="11" t="s">
        <v>0</v>
      </c>
      <c r="X162" s="11" t="s">
        <v>0</v>
      </c>
      <c r="Y162" s="11" t="s">
        <v>0</v>
      </c>
      <c r="Z162" s="11" t="s">
        <v>0</v>
      </c>
      <c r="AA162" s="11" t="s">
        <v>0</v>
      </c>
      <c r="AB162" s="11" t="s">
        <v>0</v>
      </c>
      <c r="AC162" s="11" t="s">
        <v>0</v>
      </c>
      <c r="AD162" s="11" t="s">
        <v>0</v>
      </c>
    </row>
    <row r="163">
      <c r="B163" s="12" t="s">
        <v>0</v>
      </c>
      <c r="C163" s="11" t="s">
        <v>0</v>
      </c>
      <c r="D163" s="11" t="s">
        <v>0</v>
      </c>
      <c r="E163" s="12" t="s">
        <v>0</v>
      </c>
      <c r="F163" s="12" t="s">
        <v>0</v>
      </c>
      <c r="G163" s="12" t="s">
        <v>0</v>
      </c>
      <c r="H163" s="12" t="s">
        <v>0</v>
      </c>
      <c r="I163" s="12" t="s">
        <v>0</v>
      </c>
      <c r="J163" s="12" t="s">
        <v>0</v>
      </c>
      <c r="K163" s="12" t="s">
        <v>0</v>
      </c>
      <c r="L163" s="13" t="s">
        <v>0</v>
      </c>
      <c r="M163" s="11" t="s">
        <v>0</v>
      </c>
      <c r="N163" s="11" t="s">
        <v>0</v>
      </c>
      <c r="O163" s="11" t="s">
        <v>0</v>
      </c>
      <c r="P163" s="11" t="s">
        <v>0</v>
      </c>
      <c r="Q163" s="11" t="s">
        <v>0</v>
      </c>
      <c r="R163" s="11" t="s">
        <v>0</v>
      </c>
      <c r="S163" s="11" t="s">
        <v>0</v>
      </c>
      <c r="T163" s="11" t="s">
        <v>0</v>
      </c>
      <c r="U163" s="11" t="s">
        <v>0</v>
      </c>
      <c r="V163" s="11" t="s">
        <v>0</v>
      </c>
      <c r="W163" s="11" t="s">
        <v>0</v>
      </c>
      <c r="X163" s="11" t="s">
        <v>0</v>
      </c>
      <c r="Y163" s="11" t="s">
        <v>0</v>
      </c>
      <c r="Z163" s="11" t="s">
        <v>0</v>
      </c>
      <c r="AA163" s="11" t="s">
        <v>0</v>
      </c>
      <c r="AB163" s="11" t="s">
        <v>0</v>
      </c>
      <c r="AC163" s="11" t="s">
        <v>0</v>
      </c>
      <c r="AD163" s="11" t="s">
        <v>0</v>
      </c>
    </row>
    <row r="164">
      <c r="B164" s="12" t="s">
        <v>0</v>
      </c>
      <c r="C164" s="11" t="s">
        <v>0</v>
      </c>
      <c r="D164" s="11" t="s">
        <v>0</v>
      </c>
      <c r="E164" s="12" t="s">
        <v>0</v>
      </c>
      <c r="F164" s="12" t="s">
        <v>0</v>
      </c>
      <c r="G164" s="12" t="s">
        <v>0</v>
      </c>
      <c r="H164" s="12" t="s">
        <v>0</v>
      </c>
      <c r="I164" s="12" t="s">
        <v>0</v>
      </c>
      <c r="J164" s="12" t="s">
        <v>0</v>
      </c>
      <c r="K164" s="12" t="s">
        <v>0</v>
      </c>
      <c r="L164" s="13" t="s">
        <v>0</v>
      </c>
      <c r="M164" s="11" t="s">
        <v>0</v>
      </c>
      <c r="N164" s="11" t="s">
        <v>0</v>
      </c>
      <c r="O164" s="11" t="s">
        <v>0</v>
      </c>
      <c r="P164" s="11" t="s">
        <v>0</v>
      </c>
      <c r="Q164" s="11" t="s">
        <v>0</v>
      </c>
      <c r="R164" s="11" t="s">
        <v>0</v>
      </c>
      <c r="S164" s="11" t="s">
        <v>0</v>
      </c>
      <c r="T164" s="11" t="s">
        <v>0</v>
      </c>
      <c r="U164" s="11" t="s">
        <v>0</v>
      </c>
      <c r="V164" s="11" t="s">
        <v>0</v>
      </c>
      <c r="W164" s="11" t="s">
        <v>0</v>
      </c>
      <c r="X164" s="11" t="s">
        <v>0</v>
      </c>
      <c r="Y164" s="11" t="s">
        <v>0</v>
      </c>
      <c r="Z164" s="11" t="s">
        <v>0</v>
      </c>
      <c r="AA164" s="11" t="s">
        <v>0</v>
      </c>
      <c r="AB164" s="11" t="s">
        <v>0</v>
      </c>
      <c r="AC164" s="11" t="s">
        <v>0</v>
      </c>
      <c r="AD164" s="11" t="s">
        <v>0</v>
      </c>
    </row>
    <row r="165">
      <c r="B165" s="12" t="s">
        <v>0</v>
      </c>
      <c r="C165" s="11" t="s">
        <v>0</v>
      </c>
      <c r="D165" s="11" t="s">
        <v>0</v>
      </c>
      <c r="E165" s="12" t="s">
        <v>0</v>
      </c>
      <c r="F165" s="12" t="s">
        <v>0</v>
      </c>
      <c r="G165" s="12" t="s">
        <v>0</v>
      </c>
      <c r="H165" s="12" t="s">
        <v>0</v>
      </c>
      <c r="I165" s="12" t="s">
        <v>0</v>
      </c>
      <c r="J165" s="12" t="s">
        <v>0</v>
      </c>
      <c r="K165" s="12" t="s">
        <v>0</v>
      </c>
      <c r="L165" s="13" t="s">
        <v>0</v>
      </c>
      <c r="M165" s="11" t="s">
        <v>0</v>
      </c>
      <c r="N165" s="11" t="s">
        <v>0</v>
      </c>
      <c r="O165" s="11" t="s">
        <v>0</v>
      </c>
      <c r="P165" s="11" t="s">
        <v>0</v>
      </c>
      <c r="Q165" s="11" t="s">
        <v>0</v>
      </c>
      <c r="R165" s="11" t="s">
        <v>0</v>
      </c>
      <c r="S165" s="11" t="s">
        <v>0</v>
      </c>
      <c r="T165" s="11" t="s">
        <v>0</v>
      </c>
      <c r="U165" s="11" t="s">
        <v>0</v>
      </c>
      <c r="V165" s="11" t="s">
        <v>0</v>
      </c>
      <c r="W165" s="11" t="s">
        <v>0</v>
      </c>
      <c r="X165" s="11" t="s">
        <v>0</v>
      </c>
      <c r="Y165" s="11" t="s">
        <v>0</v>
      </c>
      <c r="Z165" s="11" t="s">
        <v>0</v>
      </c>
      <c r="AA165" s="11" t="s">
        <v>0</v>
      </c>
      <c r="AB165" s="11" t="s">
        <v>0</v>
      </c>
      <c r="AC165" s="11" t="s">
        <v>0</v>
      </c>
      <c r="AD165" s="11" t="s">
        <v>0</v>
      </c>
    </row>
    <row r="166">
      <c r="B166" s="12" t="s">
        <v>0</v>
      </c>
      <c r="C166" s="11" t="s">
        <v>0</v>
      </c>
      <c r="D166" s="11" t="s">
        <v>0</v>
      </c>
      <c r="E166" s="12" t="s">
        <v>0</v>
      </c>
      <c r="F166" s="12" t="s">
        <v>0</v>
      </c>
      <c r="G166" s="12" t="s">
        <v>0</v>
      </c>
      <c r="H166" s="12" t="s">
        <v>0</v>
      </c>
      <c r="I166" s="12" t="s">
        <v>0</v>
      </c>
      <c r="J166" s="12" t="s">
        <v>0</v>
      </c>
      <c r="K166" s="12" t="s">
        <v>0</v>
      </c>
      <c r="L166" s="13" t="s">
        <v>0</v>
      </c>
      <c r="M166" s="11" t="s">
        <v>0</v>
      </c>
      <c r="N166" s="11" t="s">
        <v>0</v>
      </c>
      <c r="O166" s="11" t="s">
        <v>0</v>
      </c>
      <c r="P166" s="11" t="s">
        <v>0</v>
      </c>
      <c r="Q166" s="11" t="s">
        <v>0</v>
      </c>
      <c r="R166" s="11" t="s">
        <v>0</v>
      </c>
      <c r="S166" s="11" t="s">
        <v>0</v>
      </c>
      <c r="T166" s="11" t="s">
        <v>0</v>
      </c>
      <c r="U166" s="11" t="s">
        <v>0</v>
      </c>
      <c r="V166" s="11" t="s">
        <v>0</v>
      </c>
      <c r="W166" s="11" t="s">
        <v>0</v>
      </c>
      <c r="X166" s="11" t="s">
        <v>0</v>
      </c>
      <c r="Y166" s="11" t="s">
        <v>0</v>
      </c>
      <c r="Z166" s="11" t="s">
        <v>0</v>
      </c>
      <c r="AA166" s="11" t="s">
        <v>0</v>
      </c>
      <c r="AB166" s="11" t="s">
        <v>0</v>
      </c>
      <c r="AC166" s="11" t="s">
        <v>0</v>
      </c>
      <c r="AD166" s="11" t="s">
        <v>0</v>
      </c>
    </row>
    <row r="167">
      <c r="B167" s="12" t="s">
        <v>0</v>
      </c>
      <c r="C167" s="11" t="s">
        <v>0</v>
      </c>
      <c r="D167" s="11" t="s">
        <v>0</v>
      </c>
      <c r="E167" s="12" t="s">
        <v>0</v>
      </c>
      <c r="F167" s="12" t="s">
        <v>0</v>
      </c>
      <c r="G167" s="12" t="s">
        <v>0</v>
      </c>
      <c r="H167" s="12" t="s">
        <v>0</v>
      </c>
      <c r="I167" s="12" t="s">
        <v>0</v>
      </c>
      <c r="J167" s="12" t="s">
        <v>0</v>
      </c>
      <c r="K167" s="12" t="s">
        <v>0</v>
      </c>
      <c r="L167" s="13" t="s">
        <v>0</v>
      </c>
      <c r="M167" s="11" t="s">
        <v>0</v>
      </c>
      <c r="N167" s="11" t="s">
        <v>0</v>
      </c>
      <c r="O167" s="11" t="s">
        <v>0</v>
      </c>
      <c r="P167" s="11" t="s">
        <v>0</v>
      </c>
      <c r="Q167" s="11" t="s">
        <v>0</v>
      </c>
      <c r="R167" s="11" t="s">
        <v>0</v>
      </c>
      <c r="S167" s="11" t="s">
        <v>0</v>
      </c>
      <c r="T167" s="11" t="s">
        <v>0</v>
      </c>
      <c r="U167" s="11" t="s">
        <v>0</v>
      </c>
      <c r="V167" s="11" t="s">
        <v>0</v>
      </c>
      <c r="W167" s="11" t="s">
        <v>0</v>
      </c>
      <c r="X167" s="11" t="s">
        <v>0</v>
      </c>
      <c r="Y167" s="11" t="s">
        <v>0</v>
      </c>
      <c r="Z167" s="11" t="s">
        <v>0</v>
      </c>
      <c r="AA167" s="11" t="s">
        <v>0</v>
      </c>
      <c r="AB167" s="11" t="s">
        <v>0</v>
      </c>
      <c r="AC167" s="11" t="s">
        <v>0</v>
      </c>
      <c r="AD167" s="11" t="s">
        <v>0</v>
      </c>
    </row>
    <row r="168">
      <c r="B168" s="12" t="s">
        <v>0</v>
      </c>
      <c r="C168" s="11" t="s">
        <v>0</v>
      </c>
      <c r="D168" s="11" t="s">
        <v>0</v>
      </c>
      <c r="E168" s="12" t="s">
        <v>0</v>
      </c>
      <c r="F168" s="12" t="s">
        <v>0</v>
      </c>
      <c r="G168" s="12" t="s">
        <v>0</v>
      </c>
      <c r="H168" s="12" t="s">
        <v>0</v>
      </c>
      <c r="I168" s="12" t="s">
        <v>0</v>
      </c>
      <c r="J168" s="12" t="s">
        <v>0</v>
      </c>
      <c r="K168" s="12" t="s">
        <v>0</v>
      </c>
      <c r="L168" s="13" t="s">
        <v>0</v>
      </c>
      <c r="M168" s="11" t="s">
        <v>0</v>
      </c>
      <c r="N168" s="11" t="s">
        <v>0</v>
      </c>
      <c r="O168" s="11" t="s">
        <v>0</v>
      </c>
      <c r="P168" s="11" t="s">
        <v>0</v>
      </c>
      <c r="Q168" s="11" t="s">
        <v>0</v>
      </c>
      <c r="R168" s="11" t="s">
        <v>0</v>
      </c>
      <c r="S168" s="11" t="s">
        <v>0</v>
      </c>
      <c r="T168" s="11" t="s">
        <v>0</v>
      </c>
      <c r="U168" s="11" t="s">
        <v>0</v>
      </c>
      <c r="V168" s="11" t="s">
        <v>0</v>
      </c>
      <c r="W168" s="11" t="s">
        <v>0</v>
      </c>
      <c r="X168" s="11" t="s">
        <v>0</v>
      </c>
      <c r="Y168" s="11" t="s">
        <v>0</v>
      </c>
      <c r="Z168" s="11" t="s">
        <v>0</v>
      </c>
      <c r="AA168" s="11" t="s">
        <v>0</v>
      </c>
      <c r="AB168" s="11" t="s">
        <v>0</v>
      </c>
      <c r="AC168" s="11" t="s">
        <v>0</v>
      </c>
      <c r="AD168" s="11" t="s">
        <v>0</v>
      </c>
    </row>
    <row r="169">
      <c r="B169" s="12" t="s">
        <v>0</v>
      </c>
      <c r="C169" s="11" t="s">
        <v>0</v>
      </c>
      <c r="D169" s="11" t="s">
        <v>0</v>
      </c>
      <c r="E169" s="12" t="s">
        <v>0</v>
      </c>
      <c r="F169" s="12" t="s">
        <v>0</v>
      </c>
      <c r="G169" s="12" t="s">
        <v>0</v>
      </c>
      <c r="H169" s="12" t="s">
        <v>0</v>
      </c>
      <c r="I169" s="12" t="s">
        <v>0</v>
      </c>
      <c r="J169" s="12" t="s">
        <v>0</v>
      </c>
      <c r="K169" s="12" t="s">
        <v>0</v>
      </c>
      <c r="L169" s="13" t="s">
        <v>0</v>
      </c>
      <c r="M169" s="11" t="s">
        <v>0</v>
      </c>
      <c r="N169" s="11" t="s">
        <v>0</v>
      </c>
      <c r="O169" s="11" t="s">
        <v>0</v>
      </c>
      <c r="P169" s="11" t="s">
        <v>0</v>
      </c>
      <c r="Q169" s="11" t="s">
        <v>0</v>
      </c>
      <c r="R169" s="11" t="s">
        <v>0</v>
      </c>
      <c r="S169" s="11" t="s">
        <v>0</v>
      </c>
      <c r="T169" s="11" t="s">
        <v>0</v>
      </c>
      <c r="U169" s="11" t="s">
        <v>0</v>
      </c>
      <c r="V169" s="11" t="s">
        <v>0</v>
      </c>
      <c r="W169" s="11" t="s">
        <v>0</v>
      </c>
      <c r="X169" s="11" t="s">
        <v>0</v>
      </c>
      <c r="Y169" s="11" t="s">
        <v>0</v>
      </c>
      <c r="Z169" s="11" t="s">
        <v>0</v>
      </c>
      <c r="AA169" s="11" t="s">
        <v>0</v>
      </c>
      <c r="AB169" s="11" t="s">
        <v>0</v>
      </c>
      <c r="AC169" s="11" t="s">
        <v>0</v>
      </c>
      <c r="AD169" s="11" t="s">
        <v>0</v>
      </c>
    </row>
    <row r="170">
      <c r="B170" s="12" t="s">
        <v>0</v>
      </c>
      <c r="C170" s="11" t="s">
        <v>0</v>
      </c>
      <c r="D170" s="11" t="s">
        <v>0</v>
      </c>
      <c r="E170" s="12" t="s">
        <v>0</v>
      </c>
      <c r="F170" s="12" t="s">
        <v>0</v>
      </c>
      <c r="G170" s="12" t="s">
        <v>0</v>
      </c>
      <c r="H170" s="12" t="s">
        <v>0</v>
      </c>
      <c r="I170" s="12" t="s">
        <v>0</v>
      </c>
      <c r="J170" s="12" t="s">
        <v>0</v>
      </c>
      <c r="K170" s="12" t="s">
        <v>0</v>
      </c>
      <c r="L170" s="13" t="s">
        <v>0</v>
      </c>
      <c r="M170" s="11" t="s">
        <v>0</v>
      </c>
      <c r="N170" s="11" t="s">
        <v>0</v>
      </c>
      <c r="O170" s="11" t="s">
        <v>0</v>
      </c>
      <c r="P170" s="11" t="s">
        <v>0</v>
      </c>
      <c r="Q170" s="11" t="s">
        <v>0</v>
      </c>
      <c r="R170" s="11" t="s">
        <v>0</v>
      </c>
      <c r="S170" s="11" t="s">
        <v>0</v>
      </c>
      <c r="T170" s="11" t="s">
        <v>0</v>
      </c>
      <c r="U170" s="11" t="s">
        <v>0</v>
      </c>
      <c r="V170" s="11" t="s">
        <v>0</v>
      </c>
      <c r="W170" s="11" t="s">
        <v>0</v>
      </c>
      <c r="X170" s="11" t="s">
        <v>0</v>
      </c>
      <c r="Y170" s="11" t="s">
        <v>0</v>
      </c>
      <c r="Z170" s="11" t="s">
        <v>0</v>
      </c>
      <c r="AA170" s="11" t="s">
        <v>0</v>
      </c>
      <c r="AB170" s="11" t="s">
        <v>0</v>
      </c>
      <c r="AC170" s="11" t="s">
        <v>0</v>
      </c>
      <c r="AD170" s="11" t="s">
        <v>0</v>
      </c>
    </row>
    <row r="171">
      <c r="B171" s="12" t="s">
        <v>0</v>
      </c>
      <c r="C171" s="11" t="s">
        <v>0</v>
      </c>
      <c r="D171" s="11" t="s">
        <v>0</v>
      </c>
      <c r="E171" s="12" t="s">
        <v>0</v>
      </c>
      <c r="F171" s="12" t="s">
        <v>0</v>
      </c>
      <c r="G171" s="12" t="s">
        <v>0</v>
      </c>
      <c r="H171" s="12" t="s">
        <v>0</v>
      </c>
      <c r="I171" s="12" t="s">
        <v>0</v>
      </c>
      <c r="J171" s="12" t="s">
        <v>0</v>
      </c>
      <c r="K171" s="12" t="s">
        <v>0</v>
      </c>
      <c r="L171" s="13" t="s">
        <v>0</v>
      </c>
      <c r="M171" s="11" t="s">
        <v>0</v>
      </c>
      <c r="N171" s="11" t="s">
        <v>0</v>
      </c>
      <c r="O171" s="11" t="s">
        <v>0</v>
      </c>
      <c r="P171" s="11" t="s">
        <v>0</v>
      </c>
      <c r="Q171" s="11" t="s">
        <v>0</v>
      </c>
      <c r="R171" s="11" t="s">
        <v>0</v>
      </c>
      <c r="S171" s="11" t="s">
        <v>0</v>
      </c>
      <c r="T171" s="11" t="s">
        <v>0</v>
      </c>
      <c r="U171" s="11" t="s">
        <v>0</v>
      </c>
      <c r="V171" s="11" t="s">
        <v>0</v>
      </c>
      <c r="W171" s="11" t="s">
        <v>0</v>
      </c>
      <c r="X171" s="11" t="s">
        <v>0</v>
      </c>
      <c r="Y171" s="11" t="s">
        <v>0</v>
      </c>
      <c r="Z171" s="11" t="s">
        <v>0</v>
      </c>
      <c r="AA171" s="11" t="s">
        <v>0</v>
      </c>
      <c r="AB171" s="11" t="s">
        <v>0</v>
      </c>
      <c r="AC171" s="11" t="s">
        <v>0</v>
      </c>
      <c r="AD171" s="11" t="s">
        <v>0</v>
      </c>
    </row>
    <row r="172">
      <c r="B172" s="12" t="s">
        <v>0</v>
      </c>
      <c r="C172" s="11" t="s">
        <v>0</v>
      </c>
      <c r="D172" s="11" t="s">
        <v>0</v>
      </c>
      <c r="E172" s="12" t="s">
        <v>0</v>
      </c>
      <c r="F172" s="12" t="s">
        <v>0</v>
      </c>
      <c r="G172" s="12" t="s">
        <v>0</v>
      </c>
      <c r="H172" s="12" t="s">
        <v>0</v>
      </c>
      <c r="I172" s="12" t="s">
        <v>0</v>
      </c>
      <c r="J172" s="12" t="s">
        <v>0</v>
      </c>
      <c r="K172" s="12" t="s">
        <v>0</v>
      </c>
      <c r="L172" s="13" t="s">
        <v>0</v>
      </c>
      <c r="M172" s="11" t="s">
        <v>0</v>
      </c>
      <c r="N172" s="11" t="s">
        <v>0</v>
      </c>
      <c r="O172" s="11" t="s">
        <v>0</v>
      </c>
      <c r="P172" s="11" t="s">
        <v>0</v>
      </c>
      <c r="Q172" s="11" t="s">
        <v>0</v>
      </c>
      <c r="R172" s="11" t="s">
        <v>0</v>
      </c>
      <c r="S172" s="11" t="s">
        <v>0</v>
      </c>
      <c r="T172" s="11" t="s">
        <v>0</v>
      </c>
      <c r="U172" s="11" t="s">
        <v>0</v>
      </c>
      <c r="V172" s="11" t="s">
        <v>0</v>
      </c>
      <c r="W172" s="11" t="s">
        <v>0</v>
      </c>
      <c r="X172" s="11" t="s">
        <v>0</v>
      </c>
      <c r="Y172" s="11" t="s">
        <v>0</v>
      </c>
      <c r="Z172" s="11" t="s">
        <v>0</v>
      </c>
      <c r="AA172" s="11" t="s">
        <v>0</v>
      </c>
      <c r="AB172" s="11" t="s">
        <v>0</v>
      </c>
      <c r="AC172" s="11" t="s">
        <v>0</v>
      </c>
      <c r="AD172" s="11" t="s">
        <v>0</v>
      </c>
    </row>
    <row r="173">
      <c r="B173" s="12" t="s">
        <v>0</v>
      </c>
      <c r="C173" s="11" t="s">
        <v>0</v>
      </c>
      <c r="D173" s="11" t="s">
        <v>0</v>
      </c>
      <c r="E173" s="12" t="s">
        <v>0</v>
      </c>
      <c r="F173" s="12" t="s">
        <v>0</v>
      </c>
      <c r="G173" s="12" t="s">
        <v>0</v>
      </c>
      <c r="H173" s="12" t="s">
        <v>0</v>
      </c>
      <c r="I173" s="12" t="s">
        <v>0</v>
      </c>
      <c r="J173" s="12" t="s">
        <v>0</v>
      </c>
      <c r="K173" s="12" t="s">
        <v>0</v>
      </c>
      <c r="L173" s="13" t="s">
        <v>0</v>
      </c>
      <c r="M173" s="11" t="s">
        <v>0</v>
      </c>
      <c r="N173" s="11" t="s">
        <v>0</v>
      </c>
      <c r="O173" s="11" t="s">
        <v>0</v>
      </c>
      <c r="P173" s="11" t="s">
        <v>0</v>
      </c>
      <c r="Q173" s="11" t="s">
        <v>0</v>
      </c>
      <c r="R173" s="11" t="s">
        <v>0</v>
      </c>
      <c r="S173" s="11" t="s">
        <v>0</v>
      </c>
      <c r="T173" s="11" t="s">
        <v>0</v>
      </c>
      <c r="U173" s="11" t="s">
        <v>0</v>
      </c>
      <c r="V173" s="11" t="s">
        <v>0</v>
      </c>
      <c r="W173" s="11" t="s">
        <v>0</v>
      </c>
      <c r="X173" s="11" t="s">
        <v>0</v>
      </c>
      <c r="Y173" s="11" t="s">
        <v>0</v>
      </c>
      <c r="Z173" s="11" t="s">
        <v>0</v>
      </c>
      <c r="AA173" s="11" t="s">
        <v>0</v>
      </c>
      <c r="AB173" s="11" t="s">
        <v>0</v>
      </c>
      <c r="AC173" s="11" t="s">
        <v>0</v>
      </c>
      <c r="AD173" s="11" t="s">
        <v>0</v>
      </c>
    </row>
    <row r="174">
      <c r="B174" s="12" t="s">
        <v>0</v>
      </c>
      <c r="C174" s="11" t="s">
        <v>0</v>
      </c>
      <c r="D174" s="11" t="s">
        <v>0</v>
      </c>
      <c r="E174" s="12" t="s">
        <v>0</v>
      </c>
      <c r="F174" s="12" t="s">
        <v>0</v>
      </c>
      <c r="G174" s="12" t="s">
        <v>0</v>
      </c>
      <c r="H174" s="12" t="s">
        <v>0</v>
      </c>
      <c r="I174" s="12" t="s">
        <v>0</v>
      </c>
      <c r="J174" s="12" t="s">
        <v>0</v>
      </c>
      <c r="K174" s="12" t="s">
        <v>0</v>
      </c>
      <c r="L174" s="13" t="s">
        <v>0</v>
      </c>
      <c r="M174" s="11" t="s">
        <v>0</v>
      </c>
      <c r="N174" s="11" t="s">
        <v>0</v>
      </c>
      <c r="O174" s="11" t="s">
        <v>0</v>
      </c>
      <c r="P174" s="11" t="s">
        <v>0</v>
      </c>
      <c r="Q174" s="11" t="s">
        <v>0</v>
      </c>
      <c r="R174" s="11" t="s">
        <v>0</v>
      </c>
      <c r="S174" s="11" t="s">
        <v>0</v>
      </c>
      <c r="T174" s="11" t="s">
        <v>0</v>
      </c>
      <c r="U174" s="11" t="s">
        <v>0</v>
      </c>
      <c r="V174" s="11" t="s">
        <v>0</v>
      </c>
      <c r="W174" s="11" t="s">
        <v>0</v>
      </c>
      <c r="X174" s="11" t="s">
        <v>0</v>
      </c>
      <c r="Y174" s="11" t="s">
        <v>0</v>
      </c>
      <c r="Z174" s="11" t="s">
        <v>0</v>
      </c>
      <c r="AA174" s="11" t="s">
        <v>0</v>
      </c>
      <c r="AB174" s="11" t="s">
        <v>0</v>
      </c>
      <c r="AC174" s="11" t="s">
        <v>0</v>
      </c>
      <c r="AD174" s="11" t="s">
        <v>0</v>
      </c>
    </row>
    <row r="175">
      <c r="B175" s="12" t="s">
        <v>0</v>
      </c>
      <c r="C175" s="11" t="s">
        <v>0</v>
      </c>
      <c r="D175" s="11" t="s">
        <v>0</v>
      </c>
      <c r="E175" s="12" t="s">
        <v>0</v>
      </c>
      <c r="F175" s="12" t="s">
        <v>0</v>
      </c>
      <c r="G175" s="12" t="s">
        <v>0</v>
      </c>
      <c r="H175" s="12" t="s">
        <v>0</v>
      </c>
      <c r="I175" s="12" t="s">
        <v>0</v>
      </c>
      <c r="J175" s="12" t="s">
        <v>0</v>
      </c>
      <c r="K175" s="12" t="s">
        <v>0</v>
      </c>
      <c r="L175" s="13" t="s">
        <v>0</v>
      </c>
      <c r="M175" s="11" t="s">
        <v>0</v>
      </c>
      <c r="N175" s="11" t="s">
        <v>0</v>
      </c>
      <c r="O175" s="11" t="s">
        <v>0</v>
      </c>
      <c r="P175" s="11" t="s">
        <v>0</v>
      </c>
      <c r="Q175" s="11" t="s">
        <v>0</v>
      </c>
      <c r="R175" s="11" t="s">
        <v>0</v>
      </c>
      <c r="S175" s="11" t="s">
        <v>0</v>
      </c>
      <c r="T175" s="11" t="s">
        <v>0</v>
      </c>
      <c r="U175" s="11" t="s">
        <v>0</v>
      </c>
      <c r="V175" s="11" t="s">
        <v>0</v>
      </c>
      <c r="W175" s="11" t="s">
        <v>0</v>
      </c>
      <c r="X175" s="11" t="s">
        <v>0</v>
      </c>
      <c r="Y175" s="11" t="s">
        <v>0</v>
      </c>
      <c r="Z175" s="11" t="s">
        <v>0</v>
      </c>
      <c r="AA175" s="11" t="s">
        <v>0</v>
      </c>
      <c r="AB175" s="11" t="s">
        <v>0</v>
      </c>
      <c r="AC175" s="11" t="s">
        <v>0</v>
      </c>
      <c r="AD175" s="11" t="s">
        <v>0</v>
      </c>
    </row>
    <row r="176">
      <c r="B176" s="12" t="s">
        <v>0</v>
      </c>
      <c r="C176" s="11" t="s">
        <v>0</v>
      </c>
      <c r="D176" s="11" t="s">
        <v>0</v>
      </c>
      <c r="E176" s="12" t="s">
        <v>0</v>
      </c>
      <c r="F176" s="12" t="s">
        <v>0</v>
      </c>
      <c r="G176" s="12" t="s">
        <v>0</v>
      </c>
      <c r="H176" s="12" t="s">
        <v>0</v>
      </c>
      <c r="I176" s="12" t="s">
        <v>0</v>
      </c>
      <c r="J176" s="12" t="s">
        <v>0</v>
      </c>
      <c r="K176" s="12" t="s">
        <v>0</v>
      </c>
      <c r="L176" s="13" t="s">
        <v>0</v>
      </c>
      <c r="M176" s="11" t="s">
        <v>0</v>
      </c>
      <c r="N176" s="11" t="s">
        <v>0</v>
      </c>
      <c r="O176" s="11" t="s">
        <v>0</v>
      </c>
      <c r="P176" s="11" t="s">
        <v>0</v>
      </c>
      <c r="Q176" s="11" t="s">
        <v>0</v>
      </c>
      <c r="R176" s="11" t="s">
        <v>0</v>
      </c>
      <c r="S176" s="11" t="s">
        <v>0</v>
      </c>
      <c r="T176" s="11" t="s">
        <v>0</v>
      </c>
      <c r="U176" s="11" t="s">
        <v>0</v>
      </c>
      <c r="V176" s="11" t="s">
        <v>0</v>
      </c>
      <c r="W176" s="11" t="s">
        <v>0</v>
      </c>
      <c r="X176" s="11" t="s">
        <v>0</v>
      </c>
      <c r="Y176" s="11" t="s">
        <v>0</v>
      </c>
      <c r="Z176" s="11" t="s">
        <v>0</v>
      </c>
      <c r="AA176" s="11" t="s">
        <v>0</v>
      </c>
      <c r="AB176" s="11" t="s">
        <v>0</v>
      </c>
      <c r="AC176" s="11" t="s">
        <v>0</v>
      </c>
      <c r="AD176" s="11" t="s">
        <v>0</v>
      </c>
    </row>
    <row r="177">
      <c r="B177" s="12" t="s">
        <v>0</v>
      </c>
      <c r="C177" s="11" t="s">
        <v>0</v>
      </c>
      <c r="D177" s="11" t="s">
        <v>0</v>
      </c>
      <c r="E177" s="12" t="s">
        <v>0</v>
      </c>
      <c r="F177" s="12" t="s">
        <v>0</v>
      </c>
      <c r="G177" s="12" t="s">
        <v>0</v>
      </c>
      <c r="H177" s="12" t="s">
        <v>0</v>
      </c>
      <c r="I177" s="12" t="s">
        <v>0</v>
      </c>
      <c r="J177" s="12" t="s">
        <v>0</v>
      </c>
      <c r="K177" s="12" t="s">
        <v>0</v>
      </c>
      <c r="L177" s="13" t="s">
        <v>0</v>
      </c>
      <c r="M177" s="11" t="s">
        <v>0</v>
      </c>
      <c r="N177" s="11" t="s">
        <v>0</v>
      </c>
      <c r="O177" s="11" t="s">
        <v>0</v>
      </c>
      <c r="P177" s="11" t="s">
        <v>0</v>
      </c>
      <c r="Q177" s="11" t="s">
        <v>0</v>
      </c>
      <c r="R177" s="11" t="s">
        <v>0</v>
      </c>
      <c r="S177" s="11" t="s">
        <v>0</v>
      </c>
      <c r="T177" s="11" t="s">
        <v>0</v>
      </c>
      <c r="U177" s="11" t="s">
        <v>0</v>
      </c>
      <c r="V177" s="11" t="s">
        <v>0</v>
      </c>
      <c r="W177" s="11" t="s">
        <v>0</v>
      </c>
      <c r="X177" s="11" t="s">
        <v>0</v>
      </c>
      <c r="Y177" s="11" t="s">
        <v>0</v>
      </c>
      <c r="Z177" s="11" t="s">
        <v>0</v>
      </c>
      <c r="AA177" s="11" t="s">
        <v>0</v>
      </c>
      <c r="AB177" s="11" t="s">
        <v>0</v>
      </c>
      <c r="AC177" s="11" t="s">
        <v>0</v>
      </c>
      <c r="AD177" s="11" t="s">
        <v>0</v>
      </c>
    </row>
    <row r="178">
      <c r="B178" s="12" t="s">
        <v>0</v>
      </c>
      <c r="C178" s="11" t="s">
        <v>0</v>
      </c>
      <c r="D178" s="11" t="s">
        <v>0</v>
      </c>
      <c r="E178" s="12" t="s">
        <v>0</v>
      </c>
      <c r="F178" s="12" t="s">
        <v>0</v>
      </c>
      <c r="G178" s="12" t="s">
        <v>0</v>
      </c>
      <c r="H178" s="12" t="s">
        <v>0</v>
      </c>
      <c r="I178" s="12" t="s">
        <v>0</v>
      </c>
      <c r="J178" s="12" t="s">
        <v>0</v>
      </c>
      <c r="K178" s="12" t="s">
        <v>0</v>
      </c>
      <c r="L178" s="13" t="s">
        <v>0</v>
      </c>
      <c r="M178" s="11" t="s">
        <v>0</v>
      </c>
      <c r="N178" s="11" t="s">
        <v>0</v>
      </c>
      <c r="O178" s="11" t="s">
        <v>0</v>
      </c>
      <c r="P178" s="11" t="s">
        <v>0</v>
      </c>
      <c r="Q178" s="11" t="s">
        <v>0</v>
      </c>
      <c r="R178" s="11" t="s">
        <v>0</v>
      </c>
      <c r="S178" s="11" t="s">
        <v>0</v>
      </c>
      <c r="T178" s="11" t="s">
        <v>0</v>
      </c>
      <c r="U178" s="11" t="s">
        <v>0</v>
      </c>
      <c r="V178" s="11" t="s">
        <v>0</v>
      </c>
      <c r="W178" s="11" t="s">
        <v>0</v>
      </c>
      <c r="X178" s="11" t="s">
        <v>0</v>
      </c>
      <c r="Y178" s="11" t="s">
        <v>0</v>
      </c>
      <c r="Z178" s="11" t="s">
        <v>0</v>
      </c>
      <c r="AA178" s="11" t="s">
        <v>0</v>
      </c>
      <c r="AB178" s="11" t="s">
        <v>0</v>
      </c>
      <c r="AC178" s="11" t="s">
        <v>0</v>
      </c>
      <c r="AD178" s="11" t="s">
        <v>0</v>
      </c>
    </row>
    <row r="179">
      <c r="B179" s="12" t="s">
        <v>0</v>
      </c>
      <c r="C179" s="11" t="s">
        <v>0</v>
      </c>
      <c r="D179" s="11" t="s">
        <v>0</v>
      </c>
      <c r="E179" s="12" t="s">
        <v>0</v>
      </c>
      <c r="F179" s="12" t="s">
        <v>0</v>
      </c>
      <c r="G179" s="12" t="s">
        <v>0</v>
      </c>
      <c r="H179" s="12" t="s">
        <v>0</v>
      </c>
      <c r="I179" s="12" t="s">
        <v>0</v>
      </c>
      <c r="J179" s="12" t="s">
        <v>0</v>
      </c>
      <c r="K179" s="12" t="s">
        <v>0</v>
      </c>
      <c r="L179" s="13" t="s">
        <v>0</v>
      </c>
      <c r="M179" s="11" t="s">
        <v>0</v>
      </c>
      <c r="N179" s="11" t="s">
        <v>0</v>
      </c>
      <c r="O179" s="11" t="s">
        <v>0</v>
      </c>
      <c r="P179" s="11" t="s">
        <v>0</v>
      </c>
      <c r="Q179" s="11" t="s">
        <v>0</v>
      </c>
      <c r="R179" s="11" t="s">
        <v>0</v>
      </c>
      <c r="S179" s="11" t="s">
        <v>0</v>
      </c>
      <c r="T179" s="11" t="s">
        <v>0</v>
      </c>
      <c r="U179" s="11" t="s">
        <v>0</v>
      </c>
      <c r="V179" s="11" t="s">
        <v>0</v>
      </c>
      <c r="W179" s="11" t="s">
        <v>0</v>
      </c>
      <c r="X179" s="11" t="s">
        <v>0</v>
      </c>
      <c r="Y179" s="11" t="s">
        <v>0</v>
      </c>
      <c r="Z179" s="11" t="s">
        <v>0</v>
      </c>
      <c r="AA179" s="11" t="s">
        <v>0</v>
      </c>
      <c r="AB179" s="11" t="s">
        <v>0</v>
      </c>
      <c r="AC179" s="11" t="s">
        <v>0</v>
      </c>
      <c r="AD179" s="11" t="s">
        <v>0</v>
      </c>
    </row>
    <row r="180">
      <c r="B180" s="12" t="s">
        <v>0</v>
      </c>
      <c r="C180" s="11" t="s">
        <v>0</v>
      </c>
      <c r="D180" s="11" t="s">
        <v>0</v>
      </c>
      <c r="E180" s="12" t="s">
        <v>0</v>
      </c>
      <c r="F180" s="12" t="s">
        <v>0</v>
      </c>
      <c r="G180" s="12" t="s">
        <v>0</v>
      </c>
      <c r="H180" s="12" t="s">
        <v>0</v>
      </c>
      <c r="I180" s="12" t="s">
        <v>0</v>
      </c>
      <c r="J180" s="12" t="s">
        <v>0</v>
      </c>
      <c r="K180" s="12" t="s">
        <v>0</v>
      </c>
      <c r="L180" s="13" t="s">
        <v>0</v>
      </c>
      <c r="M180" s="11" t="s">
        <v>0</v>
      </c>
      <c r="N180" s="11" t="s">
        <v>0</v>
      </c>
      <c r="O180" s="11" t="s">
        <v>0</v>
      </c>
      <c r="P180" s="11" t="s">
        <v>0</v>
      </c>
      <c r="Q180" s="11" t="s">
        <v>0</v>
      </c>
      <c r="R180" s="11" t="s">
        <v>0</v>
      </c>
      <c r="S180" s="11" t="s">
        <v>0</v>
      </c>
      <c r="T180" s="11" t="s">
        <v>0</v>
      </c>
      <c r="U180" s="11" t="s">
        <v>0</v>
      </c>
      <c r="V180" s="11" t="s">
        <v>0</v>
      </c>
      <c r="W180" s="11" t="s">
        <v>0</v>
      </c>
      <c r="X180" s="11" t="s">
        <v>0</v>
      </c>
      <c r="Y180" s="11" t="s">
        <v>0</v>
      </c>
      <c r="Z180" s="11" t="s">
        <v>0</v>
      </c>
      <c r="AA180" s="11" t="s">
        <v>0</v>
      </c>
      <c r="AB180" s="11" t="s">
        <v>0</v>
      </c>
      <c r="AC180" s="11" t="s">
        <v>0</v>
      </c>
      <c r="AD180" s="11" t="s">
        <v>0</v>
      </c>
    </row>
    <row r="181">
      <c r="B181" s="12" t="s">
        <v>0</v>
      </c>
      <c r="C181" s="11" t="s">
        <v>0</v>
      </c>
      <c r="D181" s="11" t="s">
        <v>0</v>
      </c>
      <c r="E181" s="12" t="s">
        <v>0</v>
      </c>
      <c r="F181" s="12" t="s">
        <v>0</v>
      </c>
      <c r="G181" s="12" t="s">
        <v>0</v>
      </c>
      <c r="H181" s="12" t="s">
        <v>0</v>
      </c>
      <c r="I181" s="12" t="s">
        <v>0</v>
      </c>
      <c r="J181" s="12" t="s">
        <v>0</v>
      </c>
      <c r="K181" s="12" t="s">
        <v>0</v>
      </c>
      <c r="L181" s="13" t="s">
        <v>0</v>
      </c>
      <c r="M181" s="11" t="s">
        <v>0</v>
      </c>
      <c r="N181" s="11" t="s">
        <v>0</v>
      </c>
      <c r="O181" s="11" t="s">
        <v>0</v>
      </c>
      <c r="P181" s="11" t="s">
        <v>0</v>
      </c>
      <c r="Q181" s="11" t="s">
        <v>0</v>
      </c>
      <c r="R181" s="11" t="s">
        <v>0</v>
      </c>
      <c r="S181" s="11" t="s">
        <v>0</v>
      </c>
      <c r="T181" s="11" t="s">
        <v>0</v>
      </c>
      <c r="U181" s="11" t="s">
        <v>0</v>
      </c>
      <c r="V181" s="11" t="s">
        <v>0</v>
      </c>
      <c r="W181" s="11" t="s">
        <v>0</v>
      </c>
      <c r="X181" s="11" t="s">
        <v>0</v>
      </c>
      <c r="Y181" s="11" t="s">
        <v>0</v>
      </c>
      <c r="Z181" s="11" t="s">
        <v>0</v>
      </c>
      <c r="AA181" s="11" t="s">
        <v>0</v>
      </c>
      <c r="AB181" s="11" t="s">
        <v>0</v>
      </c>
      <c r="AC181" s="11" t="s">
        <v>0</v>
      </c>
      <c r="AD181" s="11" t="s">
        <v>0</v>
      </c>
    </row>
    <row r="182">
      <c r="B182" s="12" t="s">
        <v>0</v>
      </c>
      <c r="C182" s="11" t="s">
        <v>0</v>
      </c>
      <c r="D182" s="11" t="s">
        <v>0</v>
      </c>
      <c r="E182" s="12" t="s">
        <v>0</v>
      </c>
      <c r="F182" s="12" t="s">
        <v>0</v>
      </c>
      <c r="G182" s="12" t="s">
        <v>0</v>
      </c>
      <c r="H182" s="12" t="s">
        <v>0</v>
      </c>
      <c r="I182" s="12" t="s">
        <v>0</v>
      </c>
      <c r="J182" s="12" t="s">
        <v>0</v>
      </c>
      <c r="K182" s="12" t="s">
        <v>0</v>
      </c>
      <c r="L182" s="13" t="s">
        <v>0</v>
      </c>
      <c r="M182" s="11" t="s">
        <v>0</v>
      </c>
      <c r="N182" s="11" t="s">
        <v>0</v>
      </c>
      <c r="O182" s="11" t="s">
        <v>0</v>
      </c>
      <c r="P182" s="11" t="s">
        <v>0</v>
      </c>
      <c r="Q182" s="11" t="s">
        <v>0</v>
      </c>
      <c r="R182" s="11" t="s">
        <v>0</v>
      </c>
      <c r="S182" s="11" t="s">
        <v>0</v>
      </c>
      <c r="T182" s="11" t="s">
        <v>0</v>
      </c>
      <c r="U182" s="11" t="s">
        <v>0</v>
      </c>
      <c r="V182" s="11" t="s">
        <v>0</v>
      </c>
      <c r="W182" s="11" t="s">
        <v>0</v>
      </c>
      <c r="X182" s="11" t="s">
        <v>0</v>
      </c>
      <c r="Y182" s="11" t="s">
        <v>0</v>
      </c>
      <c r="Z182" s="11" t="s">
        <v>0</v>
      </c>
      <c r="AA182" s="11" t="s">
        <v>0</v>
      </c>
      <c r="AB182" s="11" t="s">
        <v>0</v>
      </c>
      <c r="AC182" s="11" t="s">
        <v>0</v>
      </c>
      <c r="AD182" s="11" t="s">
        <v>0</v>
      </c>
    </row>
    <row r="183">
      <c r="B183" s="12" t="s">
        <v>0</v>
      </c>
      <c r="C183" s="11" t="s">
        <v>0</v>
      </c>
      <c r="D183" s="11" t="s">
        <v>0</v>
      </c>
      <c r="E183" s="12" t="s">
        <v>0</v>
      </c>
      <c r="F183" s="12" t="s">
        <v>0</v>
      </c>
      <c r="G183" s="12" t="s">
        <v>0</v>
      </c>
      <c r="H183" s="12" t="s">
        <v>0</v>
      </c>
      <c r="I183" s="12" t="s">
        <v>0</v>
      </c>
      <c r="J183" s="12" t="s">
        <v>0</v>
      </c>
      <c r="K183" s="12" t="s">
        <v>0</v>
      </c>
      <c r="L183" s="13" t="s">
        <v>0</v>
      </c>
      <c r="M183" s="11" t="s">
        <v>0</v>
      </c>
      <c r="N183" s="11" t="s">
        <v>0</v>
      </c>
      <c r="O183" s="11" t="s">
        <v>0</v>
      </c>
      <c r="P183" s="11" t="s">
        <v>0</v>
      </c>
      <c r="Q183" s="11" t="s">
        <v>0</v>
      </c>
      <c r="R183" s="11" t="s">
        <v>0</v>
      </c>
      <c r="S183" s="11" t="s">
        <v>0</v>
      </c>
      <c r="T183" s="11" t="s">
        <v>0</v>
      </c>
      <c r="U183" s="11" t="s">
        <v>0</v>
      </c>
      <c r="V183" s="11" t="s">
        <v>0</v>
      </c>
      <c r="W183" s="11" t="s">
        <v>0</v>
      </c>
      <c r="X183" s="11" t="s">
        <v>0</v>
      </c>
      <c r="Y183" s="11" t="s">
        <v>0</v>
      </c>
      <c r="Z183" s="11" t="s">
        <v>0</v>
      </c>
      <c r="AA183" s="11" t="s">
        <v>0</v>
      </c>
      <c r="AB183" s="11" t="s">
        <v>0</v>
      </c>
      <c r="AC183" s="11" t="s">
        <v>0</v>
      </c>
      <c r="AD183" s="11" t="s">
        <v>0</v>
      </c>
    </row>
    <row r="184">
      <c r="B184" s="12" t="s">
        <v>0</v>
      </c>
      <c r="C184" s="11" t="s">
        <v>0</v>
      </c>
      <c r="D184" s="11" t="s">
        <v>0</v>
      </c>
      <c r="E184" s="12" t="s">
        <v>0</v>
      </c>
      <c r="F184" s="12" t="s">
        <v>0</v>
      </c>
      <c r="G184" s="12" t="s">
        <v>0</v>
      </c>
      <c r="H184" s="12" t="s">
        <v>0</v>
      </c>
      <c r="I184" s="12" t="s">
        <v>0</v>
      </c>
      <c r="J184" s="12" t="s">
        <v>0</v>
      </c>
      <c r="K184" s="12" t="s">
        <v>0</v>
      </c>
      <c r="L184" s="13" t="s">
        <v>0</v>
      </c>
      <c r="M184" s="11" t="s">
        <v>0</v>
      </c>
      <c r="N184" s="11" t="s">
        <v>0</v>
      </c>
      <c r="O184" s="11" t="s">
        <v>0</v>
      </c>
      <c r="P184" s="11" t="s">
        <v>0</v>
      </c>
      <c r="Q184" s="11" t="s">
        <v>0</v>
      </c>
      <c r="R184" s="11" t="s">
        <v>0</v>
      </c>
      <c r="S184" s="11" t="s">
        <v>0</v>
      </c>
      <c r="T184" s="11" t="s">
        <v>0</v>
      </c>
      <c r="U184" s="11" t="s">
        <v>0</v>
      </c>
      <c r="V184" s="11" t="s">
        <v>0</v>
      </c>
      <c r="W184" s="11" t="s">
        <v>0</v>
      </c>
      <c r="X184" s="11" t="s">
        <v>0</v>
      </c>
      <c r="Y184" s="11" t="s">
        <v>0</v>
      </c>
      <c r="Z184" s="11" t="s">
        <v>0</v>
      </c>
      <c r="AA184" s="11" t="s">
        <v>0</v>
      </c>
      <c r="AB184" s="11" t="s">
        <v>0</v>
      </c>
      <c r="AC184" s="11" t="s">
        <v>0</v>
      </c>
      <c r="AD184" s="11" t="s">
        <v>0</v>
      </c>
    </row>
    <row r="185">
      <c r="B185" s="12" t="s">
        <v>0</v>
      </c>
      <c r="C185" s="11" t="s">
        <v>0</v>
      </c>
      <c r="D185" s="11" t="s">
        <v>0</v>
      </c>
      <c r="E185" s="12" t="s">
        <v>0</v>
      </c>
      <c r="F185" s="12" t="s">
        <v>0</v>
      </c>
      <c r="G185" s="12" t="s">
        <v>0</v>
      </c>
      <c r="H185" s="12" t="s">
        <v>0</v>
      </c>
      <c r="I185" s="12" t="s">
        <v>0</v>
      </c>
      <c r="J185" s="12" t="s">
        <v>0</v>
      </c>
      <c r="K185" s="12" t="s">
        <v>0</v>
      </c>
      <c r="L185" s="13" t="s">
        <v>0</v>
      </c>
      <c r="M185" s="11" t="s">
        <v>0</v>
      </c>
      <c r="N185" s="11" t="s">
        <v>0</v>
      </c>
      <c r="O185" s="11" t="s">
        <v>0</v>
      </c>
      <c r="P185" s="11" t="s">
        <v>0</v>
      </c>
      <c r="Q185" s="11" t="s">
        <v>0</v>
      </c>
      <c r="R185" s="11" t="s">
        <v>0</v>
      </c>
      <c r="S185" s="11" t="s">
        <v>0</v>
      </c>
      <c r="T185" s="11" t="s">
        <v>0</v>
      </c>
      <c r="U185" s="11" t="s">
        <v>0</v>
      </c>
      <c r="V185" s="11" t="s">
        <v>0</v>
      </c>
      <c r="W185" s="11" t="s">
        <v>0</v>
      </c>
      <c r="X185" s="11" t="s">
        <v>0</v>
      </c>
      <c r="Y185" s="11" t="s">
        <v>0</v>
      </c>
      <c r="Z185" s="11" t="s">
        <v>0</v>
      </c>
      <c r="AA185" s="11" t="s">
        <v>0</v>
      </c>
      <c r="AB185" s="11" t="s">
        <v>0</v>
      </c>
      <c r="AC185" s="11" t="s">
        <v>0</v>
      </c>
      <c r="AD185" s="11" t="s">
        <v>0</v>
      </c>
    </row>
    <row r="186">
      <c r="B186" s="12" t="s">
        <v>0</v>
      </c>
      <c r="C186" s="11" t="s">
        <v>0</v>
      </c>
      <c r="D186" s="11" t="s">
        <v>0</v>
      </c>
      <c r="E186" s="12" t="s">
        <v>0</v>
      </c>
      <c r="F186" s="12" t="s">
        <v>0</v>
      </c>
      <c r="G186" s="12" t="s">
        <v>0</v>
      </c>
      <c r="H186" s="12" t="s">
        <v>0</v>
      </c>
      <c r="I186" s="12" t="s">
        <v>0</v>
      </c>
      <c r="J186" s="12" t="s">
        <v>0</v>
      </c>
      <c r="K186" s="12" t="s">
        <v>0</v>
      </c>
      <c r="L186" s="13" t="s">
        <v>0</v>
      </c>
      <c r="M186" s="11" t="s">
        <v>0</v>
      </c>
      <c r="N186" s="11" t="s">
        <v>0</v>
      </c>
      <c r="O186" s="11" t="s">
        <v>0</v>
      </c>
      <c r="P186" s="11" t="s">
        <v>0</v>
      </c>
      <c r="Q186" s="11" t="s">
        <v>0</v>
      </c>
      <c r="R186" s="11" t="s">
        <v>0</v>
      </c>
      <c r="S186" s="11" t="s">
        <v>0</v>
      </c>
      <c r="T186" s="11" t="s">
        <v>0</v>
      </c>
      <c r="U186" s="11" t="s">
        <v>0</v>
      </c>
      <c r="V186" s="11" t="s">
        <v>0</v>
      </c>
      <c r="W186" s="11" t="s">
        <v>0</v>
      </c>
      <c r="X186" s="11" t="s">
        <v>0</v>
      </c>
      <c r="Y186" s="11" t="s">
        <v>0</v>
      </c>
      <c r="Z186" s="11" t="s">
        <v>0</v>
      </c>
      <c r="AA186" s="11" t="s">
        <v>0</v>
      </c>
      <c r="AB186" s="11" t="s">
        <v>0</v>
      </c>
      <c r="AC186" s="11" t="s">
        <v>0</v>
      </c>
      <c r="AD186" s="11" t="s">
        <v>0</v>
      </c>
    </row>
    <row r="187">
      <c r="B187" s="12" t="s">
        <v>0</v>
      </c>
      <c r="C187" s="11" t="s">
        <v>0</v>
      </c>
      <c r="D187" s="11" t="s">
        <v>0</v>
      </c>
      <c r="E187" s="12" t="s">
        <v>0</v>
      </c>
      <c r="F187" s="12" t="s">
        <v>0</v>
      </c>
      <c r="G187" s="12" t="s">
        <v>0</v>
      </c>
      <c r="H187" s="12" t="s">
        <v>0</v>
      </c>
      <c r="I187" s="12" t="s">
        <v>0</v>
      </c>
      <c r="J187" s="12" t="s">
        <v>0</v>
      </c>
      <c r="K187" s="12" t="s">
        <v>0</v>
      </c>
      <c r="L187" s="13" t="s">
        <v>0</v>
      </c>
      <c r="M187" s="11" t="s">
        <v>0</v>
      </c>
      <c r="N187" s="11" t="s">
        <v>0</v>
      </c>
      <c r="O187" s="11" t="s">
        <v>0</v>
      </c>
      <c r="P187" s="11" t="s">
        <v>0</v>
      </c>
      <c r="Q187" s="11" t="s">
        <v>0</v>
      </c>
      <c r="R187" s="11" t="s">
        <v>0</v>
      </c>
      <c r="S187" s="11" t="s">
        <v>0</v>
      </c>
      <c r="T187" s="11" t="s">
        <v>0</v>
      </c>
      <c r="U187" s="11" t="s">
        <v>0</v>
      </c>
      <c r="V187" s="11" t="s">
        <v>0</v>
      </c>
      <c r="W187" s="11" t="s">
        <v>0</v>
      </c>
      <c r="X187" s="11" t="s">
        <v>0</v>
      </c>
      <c r="Y187" s="11" t="s">
        <v>0</v>
      </c>
      <c r="Z187" s="11" t="s">
        <v>0</v>
      </c>
      <c r="AA187" s="11" t="s">
        <v>0</v>
      </c>
      <c r="AB187" s="11" t="s">
        <v>0</v>
      </c>
      <c r="AC187" s="11" t="s">
        <v>0</v>
      </c>
      <c r="AD187" s="11" t="s">
        <v>0</v>
      </c>
    </row>
    <row r="188">
      <c r="B188" s="12" t="s">
        <v>0</v>
      </c>
      <c r="C188" s="11" t="s">
        <v>0</v>
      </c>
      <c r="D188" s="11" t="s">
        <v>0</v>
      </c>
      <c r="E188" s="12" t="s">
        <v>0</v>
      </c>
      <c r="F188" s="12" t="s">
        <v>0</v>
      </c>
      <c r="G188" s="12" t="s">
        <v>0</v>
      </c>
      <c r="H188" s="12" t="s">
        <v>0</v>
      </c>
      <c r="I188" s="12" t="s">
        <v>0</v>
      </c>
      <c r="J188" s="12" t="s">
        <v>0</v>
      </c>
      <c r="K188" s="12" t="s">
        <v>0</v>
      </c>
      <c r="L188" s="13" t="s">
        <v>0</v>
      </c>
      <c r="M188" s="11" t="s">
        <v>0</v>
      </c>
      <c r="N188" s="11" t="s">
        <v>0</v>
      </c>
      <c r="O188" s="11" t="s">
        <v>0</v>
      </c>
      <c r="P188" s="11" t="s">
        <v>0</v>
      </c>
      <c r="Q188" s="11" t="s">
        <v>0</v>
      </c>
      <c r="R188" s="11" t="s">
        <v>0</v>
      </c>
      <c r="S188" s="11" t="s">
        <v>0</v>
      </c>
      <c r="T188" s="11" t="s">
        <v>0</v>
      </c>
      <c r="U188" s="11" t="s">
        <v>0</v>
      </c>
      <c r="V188" s="11" t="s">
        <v>0</v>
      </c>
      <c r="W188" s="11" t="s">
        <v>0</v>
      </c>
      <c r="X188" s="11" t="s">
        <v>0</v>
      </c>
      <c r="Y188" s="11" t="s">
        <v>0</v>
      </c>
      <c r="Z188" s="11" t="s">
        <v>0</v>
      </c>
      <c r="AA188" s="11" t="s">
        <v>0</v>
      </c>
      <c r="AB188" s="11" t="s">
        <v>0</v>
      </c>
      <c r="AC188" s="11" t="s">
        <v>0</v>
      </c>
      <c r="AD188" s="11" t="s">
        <v>0</v>
      </c>
    </row>
    <row r="189">
      <c r="B189" s="12" t="s">
        <v>0</v>
      </c>
      <c r="C189" s="11" t="s">
        <v>0</v>
      </c>
      <c r="D189" s="11" t="s">
        <v>0</v>
      </c>
      <c r="E189" s="12" t="s">
        <v>0</v>
      </c>
      <c r="F189" s="12" t="s">
        <v>0</v>
      </c>
      <c r="G189" s="12" t="s">
        <v>0</v>
      </c>
      <c r="H189" s="12" t="s">
        <v>0</v>
      </c>
      <c r="I189" s="12" t="s">
        <v>0</v>
      </c>
      <c r="J189" s="12" t="s">
        <v>0</v>
      </c>
      <c r="K189" s="12" t="s">
        <v>0</v>
      </c>
      <c r="L189" s="13" t="s">
        <v>0</v>
      </c>
      <c r="M189" s="11" t="s">
        <v>0</v>
      </c>
      <c r="N189" s="11" t="s">
        <v>0</v>
      </c>
      <c r="O189" s="11" t="s">
        <v>0</v>
      </c>
      <c r="P189" s="11" t="s">
        <v>0</v>
      </c>
      <c r="Q189" s="11" t="s">
        <v>0</v>
      </c>
      <c r="R189" s="11" t="s">
        <v>0</v>
      </c>
      <c r="S189" s="11" t="s">
        <v>0</v>
      </c>
      <c r="T189" s="11" t="s">
        <v>0</v>
      </c>
      <c r="U189" s="11" t="s">
        <v>0</v>
      </c>
      <c r="V189" s="11" t="s">
        <v>0</v>
      </c>
      <c r="W189" s="11" t="s">
        <v>0</v>
      </c>
      <c r="X189" s="11" t="s">
        <v>0</v>
      </c>
      <c r="Y189" s="11" t="s">
        <v>0</v>
      </c>
      <c r="Z189" s="11" t="s">
        <v>0</v>
      </c>
      <c r="AA189" s="11" t="s">
        <v>0</v>
      </c>
      <c r="AB189" s="11" t="s">
        <v>0</v>
      </c>
      <c r="AC189" s="11" t="s">
        <v>0</v>
      </c>
      <c r="AD189" s="11" t="s">
        <v>0</v>
      </c>
    </row>
    <row r="190">
      <c r="B190" s="12" t="s">
        <v>0</v>
      </c>
      <c r="C190" s="11" t="s">
        <v>0</v>
      </c>
      <c r="D190" s="11" t="s">
        <v>0</v>
      </c>
      <c r="E190" s="12" t="s">
        <v>0</v>
      </c>
      <c r="F190" s="12" t="s">
        <v>0</v>
      </c>
      <c r="G190" s="12" t="s">
        <v>0</v>
      </c>
      <c r="H190" s="12" t="s">
        <v>0</v>
      </c>
      <c r="I190" s="12" t="s">
        <v>0</v>
      </c>
      <c r="J190" s="12" t="s">
        <v>0</v>
      </c>
      <c r="K190" s="12" t="s">
        <v>0</v>
      </c>
      <c r="L190" s="13" t="s">
        <v>0</v>
      </c>
      <c r="M190" s="11" t="s">
        <v>0</v>
      </c>
      <c r="N190" s="11" t="s">
        <v>0</v>
      </c>
      <c r="O190" s="11" t="s">
        <v>0</v>
      </c>
      <c r="P190" s="11" t="s">
        <v>0</v>
      </c>
      <c r="Q190" s="11" t="s">
        <v>0</v>
      </c>
      <c r="R190" s="11" t="s">
        <v>0</v>
      </c>
      <c r="S190" s="11" t="s">
        <v>0</v>
      </c>
      <c r="T190" s="11" t="s">
        <v>0</v>
      </c>
      <c r="U190" s="11" t="s">
        <v>0</v>
      </c>
      <c r="V190" s="11" t="s">
        <v>0</v>
      </c>
      <c r="W190" s="11" t="s">
        <v>0</v>
      </c>
      <c r="X190" s="11" t="s">
        <v>0</v>
      </c>
      <c r="Y190" s="11" t="s">
        <v>0</v>
      </c>
      <c r="Z190" s="11" t="s">
        <v>0</v>
      </c>
      <c r="AA190" s="11" t="s">
        <v>0</v>
      </c>
      <c r="AB190" s="11" t="s">
        <v>0</v>
      </c>
      <c r="AC190" s="11" t="s">
        <v>0</v>
      </c>
      <c r="AD190" s="11" t="s">
        <v>0</v>
      </c>
    </row>
    <row r="191">
      <c r="B191" s="12" t="s">
        <v>0</v>
      </c>
      <c r="C191" s="11" t="s">
        <v>0</v>
      </c>
      <c r="D191" s="11" t="s">
        <v>0</v>
      </c>
      <c r="E191" s="12" t="s">
        <v>0</v>
      </c>
      <c r="F191" s="12" t="s">
        <v>0</v>
      </c>
      <c r="G191" s="12" t="s">
        <v>0</v>
      </c>
      <c r="H191" s="12" t="s">
        <v>0</v>
      </c>
      <c r="I191" s="12" t="s">
        <v>0</v>
      </c>
      <c r="J191" s="12" t="s">
        <v>0</v>
      </c>
      <c r="K191" s="12" t="s">
        <v>0</v>
      </c>
      <c r="L191" s="13" t="s">
        <v>0</v>
      </c>
      <c r="M191" s="11" t="s">
        <v>0</v>
      </c>
      <c r="N191" s="11" t="s">
        <v>0</v>
      </c>
      <c r="O191" s="11" t="s">
        <v>0</v>
      </c>
      <c r="P191" s="11" t="s">
        <v>0</v>
      </c>
      <c r="Q191" s="11" t="s">
        <v>0</v>
      </c>
      <c r="R191" s="11" t="s">
        <v>0</v>
      </c>
      <c r="S191" s="11" t="s">
        <v>0</v>
      </c>
      <c r="T191" s="11" t="s">
        <v>0</v>
      </c>
      <c r="U191" s="11" t="s">
        <v>0</v>
      </c>
      <c r="V191" s="11" t="s">
        <v>0</v>
      </c>
      <c r="W191" s="11" t="s">
        <v>0</v>
      </c>
      <c r="X191" s="11" t="s">
        <v>0</v>
      </c>
      <c r="Y191" s="11" t="s">
        <v>0</v>
      </c>
      <c r="Z191" s="11" t="s">
        <v>0</v>
      </c>
      <c r="AA191" s="11" t="s">
        <v>0</v>
      </c>
      <c r="AB191" s="11" t="s">
        <v>0</v>
      </c>
      <c r="AC191" s="11" t="s">
        <v>0</v>
      </c>
      <c r="AD191" s="11" t="s">
        <v>0</v>
      </c>
    </row>
    <row r="192">
      <c r="B192" s="12" t="s">
        <v>0</v>
      </c>
      <c r="C192" s="11" t="s">
        <v>0</v>
      </c>
      <c r="D192" s="11" t="s">
        <v>0</v>
      </c>
      <c r="E192" s="12" t="s">
        <v>0</v>
      </c>
      <c r="F192" s="12" t="s">
        <v>0</v>
      </c>
      <c r="G192" s="12" t="s">
        <v>0</v>
      </c>
      <c r="H192" s="12" t="s">
        <v>0</v>
      </c>
      <c r="I192" s="12" t="s">
        <v>0</v>
      </c>
      <c r="J192" s="12" t="s">
        <v>0</v>
      </c>
      <c r="K192" s="12" t="s">
        <v>0</v>
      </c>
      <c r="L192" s="13" t="s">
        <v>0</v>
      </c>
      <c r="M192" s="11" t="s">
        <v>0</v>
      </c>
      <c r="N192" s="11" t="s">
        <v>0</v>
      </c>
      <c r="O192" s="11" t="s">
        <v>0</v>
      </c>
      <c r="P192" s="11" t="s">
        <v>0</v>
      </c>
      <c r="Q192" s="11" t="s">
        <v>0</v>
      </c>
      <c r="R192" s="11" t="s">
        <v>0</v>
      </c>
      <c r="S192" s="11" t="s">
        <v>0</v>
      </c>
      <c r="T192" s="11" t="s">
        <v>0</v>
      </c>
      <c r="U192" s="11" t="s">
        <v>0</v>
      </c>
      <c r="V192" s="11" t="s">
        <v>0</v>
      </c>
      <c r="W192" s="11" t="s">
        <v>0</v>
      </c>
      <c r="X192" s="11" t="s">
        <v>0</v>
      </c>
      <c r="Y192" s="11" t="s">
        <v>0</v>
      </c>
      <c r="Z192" s="11" t="s">
        <v>0</v>
      </c>
      <c r="AA192" s="11" t="s">
        <v>0</v>
      </c>
      <c r="AB192" s="11" t="s">
        <v>0</v>
      </c>
      <c r="AC192" s="11" t="s">
        <v>0</v>
      </c>
      <c r="AD192" s="11" t="s">
        <v>0</v>
      </c>
    </row>
    <row r="193">
      <c r="B193" s="12" t="s">
        <v>0</v>
      </c>
      <c r="C193" s="11" t="s">
        <v>0</v>
      </c>
      <c r="D193" s="11" t="s">
        <v>0</v>
      </c>
      <c r="E193" s="12" t="s">
        <v>0</v>
      </c>
      <c r="F193" s="12" t="s">
        <v>0</v>
      </c>
      <c r="G193" s="12" t="s">
        <v>0</v>
      </c>
      <c r="H193" s="12" t="s">
        <v>0</v>
      </c>
      <c r="I193" s="12" t="s">
        <v>0</v>
      </c>
      <c r="J193" s="12" t="s">
        <v>0</v>
      </c>
      <c r="K193" s="12" t="s">
        <v>0</v>
      </c>
      <c r="L193" s="13" t="s">
        <v>0</v>
      </c>
      <c r="M193" s="11" t="s">
        <v>0</v>
      </c>
      <c r="N193" s="11" t="s">
        <v>0</v>
      </c>
      <c r="O193" s="11" t="s">
        <v>0</v>
      </c>
      <c r="P193" s="11" t="s">
        <v>0</v>
      </c>
      <c r="Q193" s="11" t="s">
        <v>0</v>
      </c>
      <c r="R193" s="11" t="s">
        <v>0</v>
      </c>
      <c r="S193" s="11" t="s">
        <v>0</v>
      </c>
      <c r="T193" s="11" t="s">
        <v>0</v>
      </c>
      <c r="U193" s="11" t="s">
        <v>0</v>
      </c>
      <c r="V193" s="11" t="s">
        <v>0</v>
      </c>
      <c r="W193" s="11" t="s">
        <v>0</v>
      </c>
      <c r="X193" s="11" t="s">
        <v>0</v>
      </c>
      <c r="Y193" s="11" t="s">
        <v>0</v>
      </c>
      <c r="Z193" s="11" t="s">
        <v>0</v>
      </c>
      <c r="AA193" s="11" t="s">
        <v>0</v>
      </c>
      <c r="AB193" s="11" t="s">
        <v>0</v>
      </c>
      <c r="AC193" s="11" t="s">
        <v>0</v>
      </c>
      <c r="AD193" s="11" t="s">
        <v>0</v>
      </c>
    </row>
    <row r="194">
      <c r="B194" s="12" t="s">
        <v>0</v>
      </c>
      <c r="C194" s="11" t="s">
        <v>0</v>
      </c>
      <c r="D194" s="11" t="s">
        <v>0</v>
      </c>
      <c r="E194" s="12" t="s">
        <v>0</v>
      </c>
      <c r="F194" s="12" t="s">
        <v>0</v>
      </c>
      <c r="G194" s="12" t="s">
        <v>0</v>
      </c>
      <c r="H194" s="12" t="s">
        <v>0</v>
      </c>
      <c r="I194" s="12" t="s">
        <v>0</v>
      </c>
      <c r="J194" s="12" t="s">
        <v>0</v>
      </c>
      <c r="K194" s="12" t="s">
        <v>0</v>
      </c>
      <c r="L194" s="13" t="s">
        <v>0</v>
      </c>
      <c r="M194" s="11" t="s">
        <v>0</v>
      </c>
      <c r="N194" s="11" t="s">
        <v>0</v>
      </c>
      <c r="O194" s="11" t="s">
        <v>0</v>
      </c>
      <c r="P194" s="11" t="s">
        <v>0</v>
      </c>
      <c r="Q194" s="11" t="s">
        <v>0</v>
      </c>
      <c r="R194" s="11" t="s">
        <v>0</v>
      </c>
      <c r="S194" s="11" t="s">
        <v>0</v>
      </c>
      <c r="T194" s="11" t="s">
        <v>0</v>
      </c>
      <c r="U194" s="11" t="s">
        <v>0</v>
      </c>
      <c r="V194" s="11" t="s">
        <v>0</v>
      </c>
      <c r="W194" s="11" t="s">
        <v>0</v>
      </c>
      <c r="X194" s="11" t="s">
        <v>0</v>
      </c>
      <c r="Y194" s="11" t="s">
        <v>0</v>
      </c>
      <c r="Z194" s="11" t="s">
        <v>0</v>
      </c>
      <c r="AA194" s="11" t="s">
        <v>0</v>
      </c>
      <c r="AB194" s="11" t="s">
        <v>0</v>
      </c>
      <c r="AC194" s="11" t="s">
        <v>0</v>
      </c>
      <c r="AD194" s="11" t="s">
        <v>0</v>
      </c>
    </row>
    <row r="195">
      <c r="B195" s="12" t="s">
        <v>0</v>
      </c>
      <c r="C195" s="11" t="s">
        <v>0</v>
      </c>
      <c r="D195" s="11" t="s">
        <v>0</v>
      </c>
      <c r="E195" s="12" t="s">
        <v>0</v>
      </c>
      <c r="F195" s="12" t="s">
        <v>0</v>
      </c>
      <c r="G195" s="12" t="s">
        <v>0</v>
      </c>
      <c r="H195" s="12" t="s">
        <v>0</v>
      </c>
      <c r="I195" s="12" t="s">
        <v>0</v>
      </c>
      <c r="J195" s="12" t="s">
        <v>0</v>
      </c>
      <c r="K195" s="12" t="s">
        <v>0</v>
      </c>
      <c r="L195" s="13" t="s">
        <v>0</v>
      </c>
      <c r="M195" s="11" t="s">
        <v>0</v>
      </c>
      <c r="N195" s="11" t="s">
        <v>0</v>
      </c>
      <c r="O195" s="11" t="s">
        <v>0</v>
      </c>
      <c r="P195" s="11" t="s">
        <v>0</v>
      </c>
      <c r="Q195" s="11" t="s">
        <v>0</v>
      </c>
      <c r="R195" s="11" t="s">
        <v>0</v>
      </c>
      <c r="S195" s="11" t="s">
        <v>0</v>
      </c>
      <c r="T195" s="11" t="s">
        <v>0</v>
      </c>
      <c r="U195" s="11" t="s">
        <v>0</v>
      </c>
      <c r="V195" s="11" t="s">
        <v>0</v>
      </c>
      <c r="W195" s="11" t="s">
        <v>0</v>
      </c>
      <c r="X195" s="11" t="s">
        <v>0</v>
      </c>
      <c r="Y195" s="11" t="s">
        <v>0</v>
      </c>
      <c r="Z195" s="11" t="s">
        <v>0</v>
      </c>
      <c r="AA195" s="11" t="s">
        <v>0</v>
      </c>
      <c r="AB195" s="11" t="s">
        <v>0</v>
      </c>
      <c r="AC195" s="11" t="s">
        <v>0</v>
      </c>
      <c r="AD195" s="11" t="s">
        <v>0</v>
      </c>
    </row>
    <row r="196">
      <c r="B196" s="12" t="s">
        <v>0</v>
      </c>
      <c r="C196" s="11" t="s">
        <v>0</v>
      </c>
      <c r="D196" s="11" t="s">
        <v>0</v>
      </c>
      <c r="E196" s="12" t="s">
        <v>0</v>
      </c>
      <c r="F196" s="12" t="s">
        <v>0</v>
      </c>
      <c r="G196" s="12" t="s">
        <v>0</v>
      </c>
      <c r="H196" s="12" t="s">
        <v>0</v>
      </c>
      <c r="I196" s="12" t="s">
        <v>0</v>
      </c>
      <c r="J196" s="12" t="s">
        <v>0</v>
      </c>
      <c r="K196" s="12" t="s">
        <v>0</v>
      </c>
      <c r="L196" s="13" t="s">
        <v>0</v>
      </c>
      <c r="M196" s="11" t="s">
        <v>0</v>
      </c>
      <c r="N196" s="11" t="s">
        <v>0</v>
      </c>
      <c r="O196" s="11" t="s">
        <v>0</v>
      </c>
      <c r="P196" s="11" t="s">
        <v>0</v>
      </c>
      <c r="Q196" s="11" t="s">
        <v>0</v>
      </c>
      <c r="R196" s="11" t="s">
        <v>0</v>
      </c>
      <c r="S196" s="11" t="s">
        <v>0</v>
      </c>
      <c r="T196" s="11" t="s">
        <v>0</v>
      </c>
      <c r="U196" s="11" t="s">
        <v>0</v>
      </c>
      <c r="V196" s="11" t="s">
        <v>0</v>
      </c>
      <c r="W196" s="11" t="s">
        <v>0</v>
      </c>
      <c r="X196" s="11" t="s">
        <v>0</v>
      </c>
      <c r="Y196" s="11" t="s">
        <v>0</v>
      </c>
      <c r="Z196" s="11" t="s">
        <v>0</v>
      </c>
      <c r="AA196" s="11" t="s">
        <v>0</v>
      </c>
      <c r="AB196" s="11" t="s">
        <v>0</v>
      </c>
      <c r="AC196" s="11" t="s">
        <v>0</v>
      </c>
      <c r="AD196" s="11" t="s">
        <v>0</v>
      </c>
    </row>
    <row r="197">
      <c r="B197" s="12" t="s">
        <v>0</v>
      </c>
      <c r="C197" s="11" t="s">
        <v>0</v>
      </c>
      <c r="D197" s="11" t="s">
        <v>0</v>
      </c>
      <c r="E197" s="12" t="s">
        <v>0</v>
      </c>
      <c r="F197" s="12" t="s">
        <v>0</v>
      </c>
      <c r="G197" s="12" t="s">
        <v>0</v>
      </c>
      <c r="H197" s="12" t="s">
        <v>0</v>
      </c>
      <c r="I197" s="12" t="s">
        <v>0</v>
      </c>
      <c r="J197" s="12" t="s">
        <v>0</v>
      </c>
      <c r="K197" s="12" t="s">
        <v>0</v>
      </c>
      <c r="L197" s="13" t="s">
        <v>0</v>
      </c>
      <c r="M197" s="11" t="s">
        <v>0</v>
      </c>
      <c r="N197" s="11" t="s">
        <v>0</v>
      </c>
      <c r="O197" s="11" t="s">
        <v>0</v>
      </c>
      <c r="P197" s="11" t="s">
        <v>0</v>
      </c>
      <c r="Q197" s="11" t="s">
        <v>0</v>
      </c>
      <c r="R197" s="11" t="s">
        <v>0</v>
      </c>
      <c r="S197" s="11" t="s">
        <v>0</v>
      </c>
      <c r="T197" s="11" t="s">
        <v>0</v>
      </c>
      <c r="U197" s="11" t="s">
        <v>0</v>
      </c>
      <c r="V197" s="11" t="s">
        <v>0</v>
      </c>
      <c r="W197" s="11" t="s">
        <v>0</v>
      </c>
      <c r="X197" s="11" t="s">
        <v>0</v>
      </c>
      <c r="Y197" s="11" t="s">
        <v>0</v>
      </c>
      <c r="Z197" s="11" t="s">
        <v>0</v>
      </c>
      <c r="AA197" s="11" t="s">
        <v>0</v>
      </c>
      <c r="AB197" s="11" t="s">
        <v>0</v>
      </c>
      <c r="AC197" s="11" t="s">
        <v>0</v>
      </c>
      <c r="AD197" s="11" t="s">
        <v>0</v>
      </c>
    </row>
    <row r="198">
      <c r="B198" s="12" t="s">
        <v>0</v>
      </c>
      <c r="C198" s="11" t="s">
        <v>0</v>
      </c>
      <c r="D198" s="11" t="s">
        <v>0</v>
      </c>
      <c r="E198" s="12" t="s">
        <v>0</v>
      </c>
      <c r="F198" s="12" t="s">
        <v>0</v>
      </c>
      <c r="G198" s="12" t="s">
        <v>0</v>
      </c>
      <c r="H198" s="12" t="s">
        <v>0</v>
      </c>
      <c r="I198" s="12" t="s">
        <v>0</v>
      </c>
      <c r="J198" s="12" t="s">
        <v>0</v>
      </c>
      <c r="K198" s="12" t="s">
        <v>0</v>
      </c>
      <c r="L198" s="13" t="s">
        <v>0</v>
      </c>
      <c r="M198" s="11" t="s">
        <v>0</v>
      </c>
      <c r="N198" s="11" t="s">
        <v>0</v>
      </c>
      <c r="O198" s="11" t="s">
        <v>0</v>
      </c>
      <c r="P198" s="11" t="s">
        <v>0</v>
      </c>
      <c r="Q198" s="11" t="s">
        <v>0</v>
      </c>
      <c r="R198" s="11" t="s">
        <v>0</v>
      </c>
      <c r="S198" s="11" t="s">
        <v>0</v>
      </c>
      <c r="T198" s="11" t="s">
        <v>0</v>
      </c>
      <c r="U198" s="11" t="s">
        <v>0</v>
      </c>
      <c r="V198" s="11" t="s">
        <v>0</v>
      </c>
      <c r="W198" s="11" t="s">
        <v>0</v>
      </c>
      <c r="X198" s="11" t="s">
        <v>0</v>
      </c>
      <c r="Y198" s="11" t="s">
        <v>0</v>
      </c>
      <c r="Z198" s="11" t="s">
        <v>0</v>
      </c>
      <c r="AA198" s="11" t="s">
        <v>0</v>
      </c>
      <c r="AB198" s="11" t="s">
        <v>0</v>
      </c>
      <c r="AC198" s="11" t="s">
        <v>0</v>
      </c>
      <c r="AD198" s="11" t="s">
        <v>0</v>
      </c>
    </row>
    <row r="199">
      <c r="B199" s="12" t="s">
        <v>0</v>
      </c>
      <c r="C199" s="11" t="s">
        <v>0</v>
      </c>
      <c r="D199" s="11" t="s">
        <v>0</v>
      </c>
      <c r="E199" s="12" t="s">
        <v>0</v>
      </c>
      <c r="F199" s="12" t="s">
        <v>0</v>
      </c>
      <c r="G199" s="12" t="s">
        <v>0</v>
      </c>
      <c r="H199" s="12" t="s">
        <v>0</v>
      </c>
      <c r="I199" s="12" t="s">
        <v>0</v>
      </c>
      <c r="J199" s="12" t="s">
        <v>0</v>
      </c>
      <c r="K199" s="12" t="s">
        <v>0</v>
      </c>
      <c r="L199" s="13" t="s">
        <v>0</v>
      </c>
      <c r="M199" s="11" t="s">
        <v>0</v>
      </c>
      <c r="N199" s="11" t="s">
        <v>0</v>
      </c>
      <c r="O199" s="11" t="s">
        <v>0</v>
      </c>
      <c r="P199" s="11" t="s">
        <v>0</v>
      </c>
      <c r="Q199" s="11" t="s">
        <v>0</v>
      </c>
      <c r="R199" s="11" t="s">
        <v>0</v>
      </c>
      <c r="S199" s="11" t="s">
        <v>0</v>
      </c>
      <c r="T199" s="11" t="s">
        <v>0</v>
      </c>
      <c r="U199" s="11" t="s">
        <v>0</v>
      </c>
      <c r="V199" s="11" t="s">
        <v>0</v>
      </c>
      <c r="W199" s="11" t="s">
        <v>0</v>
      </c>
      <c r="X199" s="11" t="s">
        <v>0</v>
      </c>
      <c r="Y199" s="11" t="s">
        <v>0</v>
      </c>
      <c r="Z199" s="11" t="s">
        <v>0</v>
      </c>
      <c r="AA199" s="11" t="s">
        <v>0</v>
      </c>
      <c r="AB199" s="11" t="s">
        <v>0</v>
      </c>
      <c r="AC199" s="11" t="s">
        <v>0</v>
      </c>
      <c r="AD199" s="11" t="s">
        <v>0</v>
      </c>
    </row>
    <row r="200">
      <c r="B200" s="12" t="s">
        <v>0</v>
      </c>
      <c r="C200" s="11" t="s">
        <v>0</v>
      </c>
      <c r="D200" s="11" t="s">
        <v>0</v>
      </c>
      <c r="E200" s="12" t="s">
        <v>0</v>
      </c>
      <c r="F200" s="12" t="s">
        <v>0</v>
      </c>
      <c r="G200" s="12" t="s">
        <v>0</v>
      </c>
      <c r="H200" s="12" t="s">
        <v>0</v>
      </c>
      <c r="I200" s="12" t="s">
        <v>0</v>
      </c>
      <c r="J200" s="12" t="s">
        <v>0</v>
      </c>
      <c r="K200" s="12" t="s">
        <v>0</v>
      </c>
      <c r="L200" s="13" t="s">
        <v>0</v>
      </c>
      <c r="M200" s="11" t="s">
        <v>0</v>
      </c>
      <c r="N200" s="11" t="s">
        <v>0</v>
      </c>
      <c r="O200" s="11" t="s">
        <v>0</v>
      </c>
      <c r="P200" s="11" t="s">
        <v>0</v>
      </c>
      <c r="Q200" s="11" t="s">
        <v>0</v>
      </c>
      <c r="R200" s="11" t="s">
        <v>0</v>
      </c>
      <c r="S200" s="11" t="s">
        <v>0</v>
      </c>
      <c r="T200" s="11" t="s">
        <v>0</v>
      </c>
      <c r="U200" s="11" t="s">
        <v>0</v>
      </c>
      <c r="V200" s="11" t="s">
        <v>0</v>
      </c>
      <c r="W200" s="11" t="s">
        <v>0</v>
      </c>
      <c r="X200" s="11" t="s">
        <v>0</v>
      </c>
      <c r="Y200" s="11" t="s">
        <v>0</v>
      </c>
      <c r="Z200" s="11" t="s">
        <v>0</v>
      </c>
      <c r="AA200" s="11" t="s">
        <v>0</v>
      </c>
      <c r="AB200" s="11" t="s">
        <v>0</v>
      </c>
      <c r="AC200" s="11" t="s">
        <v>0</v>
      </c>
      <c r="AD200" s="11" t="s">
        <v>0</v>
      </c>
    </row>
    <row r="201">
      <c r="B201" s="12" t="s">
        <v>0</v>
      </c>
      <c r="C201" s="11" t="s">
        <v>0</v>
      </c>
      <c r="D201" s="11" t="s">
        <v>0</v>
      </c>
      <c r="E201" s="12" t="s">
        <v>0</v>
      </c>
      <c r="F201" s="12" t="s">
        <v>0</v>
      </c>
      <c r="G201" s="12" t="s">
        <v>0</v>
      </c>
      <c r="H201" s="12" t="s">
        <v>0</v>
      </c>
      <c r="I201" s="12" t="s">
        <v>0</v>
      </c>
      <c r="J201" s="12" t="s">
        <v>0</v>
      </c>
      <c r="K201" s="12" t="s">
        <v>0</v>
      </c>
      <c r="L201" s="13" t="s">
        <v>0</v>
      </c>
      <c r="M201" s="11" t="s">
        <v>0</v>
      </c>
      <c r="N201" s="11" t="s">
        <v>0</v>
      </c>
      <c r="O201" s="11" t="s">
        <v>0</v>
      </c>
      <c r="P201" s="11" t="s">
        <v>0</v>
      </c>
      <c r="Q201" s="11" t="s">
        <v>0</v>
      </c>
      <c r="R201" s="11" t="s">
        <v>0</v>
      </c>
      <c r="S201" s="11" t="s">
        <v>0</v>
      </c>
      <c r="T201" s="11" t="s">
        <v>0</v>
      </c>
      <c r="U201" s="11" t="s">
        <v>0</v>
      </c>
      <c r="V201" s="11" t="s">
        <v>0</v>
      </c>
      <c r="W201" s="11" t="s">
        <v>0</v>
      </c>
      <c r="X201" s="11" t="s">
        <v>0</v>
      </c>
      <c r="Y201" s="11" t="s">
        <v>0</v>
      </c>
      <c r="Z201" s="11" t="s">
        <v>0</v>
      </c>
      <c r="AA201" s="11" t="s">
        <v>0</v>
      </c>
      <c r="AB201" s="11" t="s">
        <v>0</v>
      </c>
      <c r="AC201" s="11" t="s">
        <v>0</v>
      </c>
      <c r="AD201" s="11" t="s">
        <v>0</v>
      </c>
    </row>
    <row r="202">
      <c r="B202" s="12" t="s">
        <v>0</v>
      </c>
      <c r="C202" s="11" t="s">
        <v>0</v>
      </c>
      <c r="D202" s="11" t="s">
        <v>0</v>
      </c>
      <c r="E202" s="12" t="s">
        <v>0</v>
      </c>
      <c r="F202" s="12" t="s">
        <v>0</v>
      </c>
      <c r="G202" s="12" t="s">
        <v>0</v>
      </c>
      <c r="H202" s="12" t="s">
        <v>0</v>
      </c>
      <c r="I202" s="12" t="s">
        <v>0</v>
      </c>
      <c r="J202" s="12" t="s">
        <v>0</v>
      </c>
      <c r="K202" s="12" t="s">
        <v>0</v>
      </c>
      <c r="L202" s="13" t="s">
        <v>0</v>
      </c>
      <c r="M202" s="11" t="s">
        <v>0</v>
      </c>
      <c r="N202" s="11" t="s">
        <v>0</v>
      </c>
      <c r="O202" s="11" t="s">
        <v>0</v>
      </c>
      <c r="P202" s="11" t="s">
        <v>0</v>
      </c>
      <c r="Q202" s="11" t="s">
        <v>0</v>
      </c>
      <c r="R202" s="11" t="s">
        <v>0</v>
      </c>
      <c r="S202" s="11" t="s">
        <v>0</v>
      </c>
      <c r="T202" s="11" t="s">
        <v>0</v>
      </c>
      <c r="U202" s="11" t="s">
        <v>0</v>
      </c>
      <c r="V202" s="11" t="s">
        <v>0</v>
      </c>
      <c r="W202" s="11" t="s">
        <v>0</v>
      </c>
      <c r="X202" s="11" t="s">
        <v>0</v>
      </c>
      <c r="Y202" s="11" t="s">
        <v>0</v>
      </c>
      <c r="Z202" s="11" t="s">
        <v>0</v>
      </c>
      <c r="AA202" s="11" t="s">
        <v>0</v>
      </c>
      <c r="AB202" s="11" t="s">
        <v>0</v>
      </c>
      <c r="AC202" s="11" t="s">
        <v>0</v>
      </c>
      <c r="AD202" s="11" t="s">
        <v>0</v>
      </c>
    </row>
    <row r="203">
      <c r="B203" s="12" t="s">
        <v>0</v>
      </c>
      <c r="C203" s="11" t="s">
        <v>0</v>
      </c>
      <c r="D203" s="11" t="s">
        <v>0</v>
      </c>
      <c r="E203" s="12" t="s">
        <v>0</v>
      </c>
      <c r="F203" s="12" t="s">
        <v>0</v>
      </c>
      <c r="G203" s="12" t="s">
        <v>0</v>
      </c>
      <c r="H203" s="12" t="s">
        <v>0</v>
      </c>
      <c r="I203" s="12" t="s">
        <v>0</v>
      </c>
      <c r="J203" s="12" t="s">
        <v>0</v>
      </c>
      <c r="K203" s="12" t="s">
        <v>0</v>
      </c>
      <c r="L203" s="13" t="s">
        <v>0</v>
      </c>
      <c r="M203" s="11" t="s">
        <v>0</v>
      </c>
      <c r="N203" s="11" t="s">
        <v>0</v>
      </c>
      <c r="O203" s="11" t="s">
        <v>0</v>
      </c>
      <c r="P203" s="11" t="s">
        <v>0</v>
      </c>
      <c r="Q203" s="11" t="s">
        <v>0</v>
      </c>
      <c r="R203" s="11" t="s">
        <v>0</v>
      </c>
      <c r="S203" s="11" t="s">
        <v>0</v>
      </c>
      <c r="T203" s="11" t="s">
        <v>0</v>
      </c>
      <c r="U203" s="11" t="s">
        <v>0</v>
      </c>
      <c r="V203" s="11" t="s">
        <v>0</v>
      </c>
      <c r="W203" s="11" t="s">
        <v>0</v>
      </c>
      <c r="X203" s="11" t="s">
        <v>0</v>
      </c>
      <c r="Y203" s="11" t="s">
        <v>0</v>
      </c>
      <c r="Z203" s="11" t="s">
        <v>0</v>
      </c>
      <c r="AA203" s="11" t="s">
        <v>0</v>
      </c>
      <c r="AB203" s="11" t="s">
        <v>0</v>
      </c>
      <c r="AC203" s="11" t="s">
        <v>0</v>
      </c>
      <c r="AD203" s="11" t="s">
        <v>0</v>
      </c>
    </row>
    <row r="204">
      <c r="B204" s="12" t="s">
        <v>0</v>
      </c>
      <c r="C204" s="11" t="s">
        <v>0</v>
      </c>
      <c r="D204" s="11" t="s">
        <v>0</v>
      </c>
      <c r="E204" s="12" t="s">
        <v>0</v>
      </c>
      <c r="F204" s="12" t="s">
        <v>0</v>
      </c>
      <c r="G204" s="12" t="s">
        <v>0</v>
      </c>
      <c r="H204" s="12" t="s">
        <v>0</v>
      </c>
      <c r="I204" s="12" t="s">
        <v>0</v>
      </c>
      <c r="J204" s="12" t="s">
        <v>0</v>
      </c>
      <c r="K204" s="12" t="s">
        <v>0</v>
      </c>
      <c r="L204" s="13" t="s">
        <v>0</v>
      </c>
      <c r="M204" s="11" t="s">
        <v>0</v>
      </c>
      <c r="N204" s="11" t="s">
        <v>0</v>
      </c>
      <c r="O204" s="11" t="s">
        <v>0</v>
      </c>
      <c r="P204" s="11" t="s">
        <v>0</v>
      </c>
      <c r="Q204" s="11" t="s">
        <v>0</v>
      </c>
      <c r="R204" s="11" t="s">
        <v>0</v>
      </c>
      <c r="S204" s="11" t="s">
        <v>0</v>
      </c>
      <c r="T204" s="11" t="s">
        <v>0</v>
      </c>
      <c r="U204" s="11" t="s">
        <v>0</v>
      </c>
      <c r="V204" s="11" t="s">
        <v>0</v>
      </c>
      <c r="W204" s="11" t="s">
        <v>0</v>
      </c>
      <c r="X204" s="11" t="s">
        <v>0</v>
      </c>
      <c r="Y204" s="11" t="s">
        <v>0</v>
      </c>
      <c r="Z204" s="11" t="s">
        <v>0</v>
      </c>
      <c r="AA204" s="11" t="s">
        <v>0</v>
      </c>
      <c r="AB204" s="11" t="s">
        <v>0</v>
      </c>
      <c r="AC204" s="11" t="s">
        <v>0</v>
      </c>
      <c r="AD204" s="11" t="s">
        <v>0</v>
      </c>
    </row>
    <row r="205">
      <c r="B205" s="12" t="s">
        <v>0</v>
      </c>
      <c r="C205" s="11" t="s">
        <v>0</v>
      </c>
      <c r="D205" s="11" t="s">
        <v>0</v>
      </c>
      <c r="E205" s="12" t="s">
        <v>0</v>
      </c>
      <c r="F205" s="12" t="s">
        <v>0</v>
      </c>
      <c r="G205" s="12" t="s">
        <v>0</v>
      </c>
      <c r="H205" s="12" t="s">
        <v>0</v>
      </c>
      <c r="I205" s="12" t="s">
        <v>0</v>
      </c>
      <c r="J205" s="12" t="s">
        <v>0</v>
      </c>
      <c r="K205" s="12" t="s">
        <v>0</v>
      </c>
      <c r="L205" s="13" t="s">
        <v>0</v>
      </c>
      <c r="M205" s="11" t="s">
        <v>0</v>
      </c>
      <c r="N205" s="11" t="s">
        <v>0</v>
      </c>
      <c r="O205" s="11" t="s">
        <v>0</v>
      </c>
      <c r="P205" s="11" t="s">
        <v>0</v>
      </c>
      <c r="Q205" s="11" t="s">
        <v>0</v>
      </c>
      <c r="R205" s="11" t="s">
        <v>0</v>
      </c>
      <c r="S205" s="11" t="s">
        <v>0</v>
      </c>
      <c r="T205" s="11" t="s">
        <v>0</v>
      </c>
      <c r="U205" s="11" t="s">
        <v>0</v>
      </c>
      <c r="V205" s="11" t="s">
        <v>0</v>
      </c>
      <c r="W205" s="11" t="s">
        <v>0</v>
      </c>
      <c r="X205" s="11" t="s">
        <v>0</v>
      </c>
      <c r="Y205" s="11" t="s">
        <v>0</v>
      </c>
      <c r="Z205" s="11" t="s">
        <v>0</v>
      </c>
      <c r="AA205" s="11" t="s">
        <v>0</v>
      </c>
      <c r="AB205" s="11" t="s">
        <v>0</v>
      </c>
      <c r="AC205" s="11" t="s">
        <v>0</v>
      </c>
      <c r="AD205" s="11" t="s">
        <v>0</v>
      </c>
    </row>
    <row r="206">
      <c r="B206" s="12" t="s">
        <v>0</v>
      </c>
      <c r="C206" s="11" t="s">
        <v>0</v>
      </c>
      <c r="D206" s="11" t="s">
        <v>0</v>
      </c>
      <c r="E206" s="12" t="s">
        <v>0</v>
      </c>
      <c r="F206" s="12" t="s">
        <v>0</v>
      </c>
      <c r="G206" s="12" t="s">
        <v>0</v>
      </c>
      <c r="H206" s="12" t="s">
        <v>0</v>
      </c>
      <c r="I206" s="12" t="s">
        <v>0</v>
      </c>
      <c r="J206" s="12" t="s">
        <v>0</v>
      </c>
      <c r="K206" s="12" t="s">
        <v>0</v>
      </c>
      <c r="L206" s="13" t="s">
        <v>0</v>
      </c>
      <c r="M206" s="11" t="s">
        <v>0</v>
      </c>
      <c r="N206" s="11" t="s">
        <v>0</v>
      </c>
      <c r="O206" s="11" t="s">
        <v>0</v>
      </c>
      <c r="P206" s="11" t="s">
        <v>0</v>
      </c>
      <c r="Q206" s="11" t="s">
        <v>0</v>
      </c>
      <c r="R206" s="11" t="s">
        <v>0</v>
      </c>
      <c r="S206" s="11" t="s">
        <v>0</v>
      </c>
      <c r="T206" s="11" t="s">
        <v>0</v>
      </c>
      <c r="U206" s="11" t="s">
        <v>0</v>
      </c>
      <c r="V206" s="11" t="s">
        <v>0</v>
      </c>
      <c r="W206" s="11" t="s">
        <v>0</v>
      </c>
      <c r="X206" s="11" t="s">
        <v>0</v>
      </c>
      <c r="Y206" s="11" t="s">
        <v>0</v>
      </c>
      <c r="Z206" s="11" t="s">
        <v>0</v>
      </c>
      <c r="AA206" s="11" t="s">
        <v>0</v>
      </c>
      <c r="AB206" s="11" t="s">
        <v>0</v>
      </c>
      <c r="AC206" s="11" t="s">
        <v>0</v>
      </c>
      <c r="AD206" s="11" t="s">
        <v>0</v>
      </c>
    </row>
    <row r="207">
      <c r="B207" s="12" t="s">
        <v>0</v>
      </c>
      <c r="C207" s="11" t="s">
        <v>0</v>
      </c>
      <c r="D207" s="11" t="s">
        <v>0</v>
      </c>
      <c r="E207" s="12" t="s">
        <v>0</v>
      </c>
      <c r="F207" s="12" t="s">
        <v>0</v>
      </c>
      <c r="G207" s="12" t="s">
        <v>0</v>
      </c>
      <c r="H207" s="12" t="s">
        <v>0</v>
      </c>
      <c r="I207" s="12" t="s">
        <v>0</v>
      </c>
      <c r="J207" s="12" t="s">
        <v>0</v>
      </c>
      <c r="K207" s="12" t="s">
        <v>0</v>
      </c>
      <c r="L207" s="13" t="s">
        <v>0</v>
      </c>
      <c r="M207" s="11" t="s">
        <v>0</v>
      </c>
      <c r="N207" s="11" t="s">
        <v>0</v>
      </c>
      <c r="O207" s="11" t="s">
        <v>0</v>
      </c>
      <c r="P207" s="11" t="s">
        <v>0</v>
      </c>
      <c r="Q207" s="11" t="s">
        <v>0</v>
      </c>
      <c r="R207" s="11" t="s">
        <v>0</v>
      </c>
      <c r="S207" s="11" t="s">
        <v>0</v>
      </c>
      <c r="T207" s="11" t="s">
        <v>0</v>
      </c>
      <c r="U207" s="11" t="s">
        <v>0</v>
      </c>
      <c r="V207" s="11" t="s">
        <v>0</v>
      </c>
      <c r="W207" s="11" t="s">
        <v>0</v>
      </c>
      <c r="X207" s="11" t="s">
        <v>0</v>
      </c>
      <c r="Y207" s="11" t="s">
        <v>0</v>
      </c>
      <c r="Z207" s="11" t="s">
        <v>0</v>
      </c>
      <c r="AA207" s="11" t="s">
        <v>0</v>
      </c>
      <c r="AB207" s="11" t="s">
        <v>0</v>
      </c>
      <c r="AC207" s="11" t="s">
        <v>0</v>
      </c>
      <c r="AD207" s="11" t="s">
        <v>0</v>
      </c>
    </row>
    <row r="208">
      <c r="B208" s="12" t="s">
        <v>0</v>
      </c>
      <c r="C208" s="11" t="s">
        <v>0</v>
      </c>
      <c r="D208" s="11" t="s">
        <v>0</v>
      </c>
      <c r="E208" s="12" t="s">
        <v>0</v>
      </c>
      <c r="F208" s="12" t="s">
        <v>0</v>
      </c>
      <c r="G208" s="12" t="s">
        <v>0</v>
      </c>
      <c r="H208" s="12" t="s">
        <v>0</v>
      </c>
      <c r="I208" s="12" t="s">
        <v>0</v>
      </c>
      <c r="J208" s="12" t="s">
        <v>0</v>
      </c>
      <c r="K208" s="12" t="s">
        <v>0</v>
      </c>
      <c r="L208" s="13" t="s">
        <v>0</v>
      </c>
      <c r="M208" s="11" t="s">
        <v>0</v>
      </c>
      <c r="N208" s="11" t="s">
        <v>0</v>
      </c>
      <c r="O208" s="11" t="s">
        <v>0</v>
      </c>
      <c r="P208" s="11" t="s">
        <v>0</v>
      </c>
      <c r="Q208" s="11" t="s">
        <v>0</v>
      </c>
      <c r="R208" s="11" t="s">
        <v>0</v>
      </c>
      <c r="S208" s="11" t="s">
        <v>0</v>
      </c>
      <c r="T208" s="11" t="s">
        <v>0</v>
      </c>
      <c r="U208" s="11" t="s">
        <v>0</v>
      </c>
      <c r="V208" s="11" t="s">
        <v>0</v>
      </c>
      <c r="W208" s="11" t="s">
        <v>0</v>
      </c>
      <c r="X208" s="11" t="s">
        <v>0</v>
      </c>
      <c r="Y208" s="11" t="s">
        <v>0</v>
      </c>
      <c r="Z208" s="11" t="s">
        <v>0</v>
      </c>
      <c r="AA208" s="11" t="s">
        <v>0</v>
      </c>
      <c r="AB208" s="11" t="s">
        <v>0</v>
      </c>
      <c r="AC208" s="11" t="s">
        <v>0</v>
      </c>
      <c r="AD208" s="11" t="s">
        <v>0</v>
      </c>
    </row>
    <row r="209">
      <c r="B209" s="12" t="s">
        <v>0</v>
      </c>
      <c r="C209" s="11" t="s">
        <v>0</v>
      </c>
      <c r="D209" s="11" t="s">
        <v>0</v>
      </c>
      <c r="E209" s="12" t="s">
        <v>0</v>
      </c>
      <c r="F209" s="12" t="s">
        <v>0</v>
      </c>
      <c r="G209" s="12" t="s">
        <v>0</v>
      </c>
      <c r="H209" s="12" t="s">
        <v>0</v>
      </c>
      <c r="I209" s="12" t="s">
        <v>0</v>
      </c>
      <c r="J209" s="12" t="s">
        <v>0</v>
      </c>
      <c r="K209" s="12" t="s">
        <v>0</v>
      </c>
      <c r="L209" s="13" t="s">
        <v>0</v>
      </c>
      <c r="M209" s="11" t="s">
        <v>0</v>
      </c>
      <c r="N209" s="11" t="s">
        <v>0</v>
      </c>
      <c r="O209" s="11" t="s">
        <v>0</v>
      </c>
      <c r="P209" s="11" t="s">
        <v>0</v>
      </c>
      <c r="Q209" s="11" t="s">
        <v>0</v>
      </c>
      <c r="R209" s="11" t="s">
        <v>0</v>
      </c>
      <c r="S209" s="11" t="s">
        <v>0</v>
      </c>
      <c r="T209" s="11" t="s">
        <v>0</v>
      </c>
      <c r="U209" s="11" t="s">
        <v>0</v>
      </c>
      <c r="V209" s="11" t="s">
        <v>0</v>
      </c>
      <c r="W209" s="11" t="s">
        <v>0</v>
      </c>
      <c r="X209" s="11" t="s">
        <v>0</v>
      </c>
      <c r="Y209" s="11" t="s">
        <v>0</v>
      </c>
      <c r="Z209" s="11" t="s">
        <v>0</v>
      </c>
      <c r="AA209" s="11" t="s">
        <v>0</v>
      </c>
      <c r="AB209" s="11" t="s">
        <v>0</v>
      </c>
      <c r="AC209" s="11" t="s">
        <v>0</v>
      </c>
      <c r="AD209" s="11" t="s">
        <v>0</v>
      </c>
    </row>
    <row r="210">
      <c r="B210" s="12" t="s">
        <v>0</v>
      </c>
      <c r="C210" s="11" t="s">
        <v>0</v>
      </c>
      <c r="D210" s="11" t="s">
        <v>0</v>
      </c>
      <c r="E210" s="12" t="s">
        <v>0</v>
      </c>
      <c r="F210" s="12" t="s">
        <v>0</v>
      </c>
      <c r="G210" s="12" t="s">
        <v>0</v>
      </c>
      <c r="H210" s="12" t="s">
        <v>0</v>
      </c>
      <c r="I210" s="12" t="s">
        <v>0</v>
      </c>
      <c r="J210" s="12" t="s">
        <v>0</v>
      </c>
      <c r="K210" s="12" t="s">
        <v>0</v>
      </c>
      <c r="L210" s="13" t="s">
        <v>0</v>
      </c>
      <c r="M210" s="11" t="s">
        <v>0</v>
      </c>
      <c r="N210" s="11" t="s">
        <v>0</v>
      </c>
      <c r="O210" s="11" t="s">
        <v>0</v>
      </c>
      <c r="P210" s="11" t="s">
        <v>0</v>
      </c>
      <c r="Q210" s="11" t="s">
        <v>0</v>
      </c>
      <c r="R210" s="11" t="s">
        <v>0</v>
      </c>
      <c r="S210" s="11" t="s">
        <v>0</v>
      </c>
      <c r="T210" s="11" t="s">
        <v>0</v>
      </c>
      <c r="U210" s="11" t="s">
        <v>0</v>
      </c>
      <c r="V210" s="11" t="s">
        <v>0</v>
      </c>
      <c r="W210" s="11" t="s">
        <v>0</v>
      </c>
      <c r="X210" s="11" t="s">
        <v>0</v>
      </c>
      <c r="Y210" s="11" t="s">
        <v>0</v>
      </c>
      <c r="Z210" s="11" t="s">
        <v>0</v>
      </c>
      <c r="AA210" s="11" t="s">
        <v>0</v>
      </c>
      <c r="AB210" s="11" t="s">
        <v>0</v>
      </c>
      <c r="AC210" s="11" t="s">
        <v>0</v>
      </c>
      <c r="AD210" s="11" t="s">
        <v>0</v>
      </c>
    </row>
    <row r="211">
      <c r="B211" s="12" t="s">
        <v>0</v>
      </c>
      <c r="C211" s="11" t="s">
        <v>0</v>
      </c>
      <c r="D211" s="11" t="s">
        <v>0</v>
      </c>
      <c r="E211" s="12" t="s">
        <v>0</v>
      </c>
      <c r="F211" s="12" t="s">
        <v>0</v>
      </c>
      <c r="G211" s="12" t="s">
        <v>0</v>
      </c>
      <c r="H211" s="12" t="s">
        <v>0</v>
      </c>
      <c r="I211" s="12" t="s">
        <v>0</v>
      </c>
      <c r="J211" s="12" t="s">
        <v>0</v>
      </c>
      <c r="K211" s="12" t="s">
        <v>0</v>
      </c>
      <c r="L211" s="13" t="s">
        <v>0</v>
      </c>
      <c r="M211" s="11" t="s">
        <v>0</v>
      </c>
      <c r="N211" s="11" t="s">
        <v>0</v>
      </c>
      <c r="O211" s="11" t="s">
        <v>0</v>
      </c>
      <c r="P211" s="11" t="s">
        <v>0</v>
      </c>
      <c r="Q211" s="11" t="s">
        <v>0</v>
      </c>
      <c r="R211" s="11" t="s">
        <v>0</v>
      </c>
      <c r="S211" s="11" t="s">
        <v>0</v>
      </c>
      <c r="T211" s="11" t="s">
        <v>0</v>
      </c>
      <c r="U211" s="11" t="s">
        <v>0</v>
      </c>
      <c r="V211" s="11" t="s">
        <v>0</v>
      </c>
      <c r="W211" s="11" t="s">
        <v>0</v>
      </c>
      <c r="X211" s="11" t="s">
        <v>0</v>
      </c>
      <c r="Y211" s="11" t="s">
        <v>0</v>
      </c>
      <c r="Z211" s="11" t="s">
        <v>0</v>
      </c>
      <c r="AA211" s="11" t="s">
        <v>0</v>
      </c>
      <c r="AB211" s="11" t="s">
        <v>0</v>
      </c>
      <c r="AC211" s="11" t="s">
        <v>0</v>
      </c>
      <c r="AD211" s="11" t="s">
        <v>0</v>
      </c>
    </row>
    <row r="212">
      <c r="B212" s="12" t="s">
        <v>0</v>
      </c>
      <c r="C212" s="11" t="s">
        <v>0</v>
      </c>
      <c r="D212" s="11" t="s">
        <v>0</v>
      </c>
      <c r="E212" s="12" t="s">
        <v>0</v>
      </c>
      <c r="F212" s="12" t="s">
        <v>0</v>
      </c>
      <c r="G212" s="12" t="s">
        <v>0</v>
      </c>
      <c r="H212" s="12" t="s">
        <v>0</v>
      </c>
      <c r="I212" s="12" t="s">
        <v>0</v>
      </c>
      <c r="J212" s="12" t="s">
        <v>0</v>
      </c>
      <c r="K212" s="12" t="s">
        <v>0</v>
      </c>
      <c r="L212" s="13" t="s">
        <v>0</v>
      </c>
      <c r="M212" s="11" t="s">
        <v>0</v>
      </c>
      <c r="N212" s="11" t="s">
        <v>0</v>
      </c>
      <c r="O212" s="11" t="s">
        <v>0</v>
      </c>
      <c r="P212" s="11" t="s">
        <v>0</v>
      </c>
      <c r="Q212" s="11" t="s">
        <v>0</v>
      </c>
      <c r="R212" s="11" t="s">
        <v>0</v>
      </c>
      <c r="S212" s="11" t="s">
        <v>0</v>
      </c>
      <c r="T212" s="11" t="s">
        <v>0</v>
      </c>
      <c r="U212" s="11" t="s">
        <v>0</v>
      </c>
      <c r="V212" s="11" t="s">
        <v>0</v>
      </c>
      <c r="W212" s="11" t="s">
        <v>0</v>
      </c>
      <c r="X212" s="11" t="s">
        <v>0</v>
      </c>
      <c r="Y212" s="11" t="s">
        <v>0</v>
      </c>
      <c r="Z212" s="11" t="s">
        <v>0</v>
      </c>
      <c r="AA212" s="11" t="s">
        <v>0</v>
      </c>
      <c r="AB212" s="11" t="s">
        <v>0</v>
      </c>
      <c r="AC212" s="11" t="s">
        <v>0</v>
      </c>
      <c r="AD212" s="11" t="s">
        <v>0</v>
      </c>
    </row>
    <row r="213">
      <c r="B213" s="12" t="s">
        <v>0</v>
      </c>
      <c r="C213" s="11" t="s">
        <v>0</v>
      </c>
      <c r="D213" s="11" t="s">
        <v>0</v>
      </c>
      <c r="E213" s="12" t="s">
        <v>0</v>
      </c>
      <c r="F213" s="12" t="s">
        <v>0</v>
      </c>
      <c r="G213" s="12" t="s">
        <v>0</v>
      </c>
      <c r="H213" s="12" t="s">
        <v>0</v>
      </c>
      <c r="I213" s="12" t="s">
        <v>0</v>
      </c>
      <c r="J213" s="12" t="s">
        <v>0</v>
      </c>
      <c r="K213" s="12" t="s">
        <v>0</v>
      </c>
      <c r="L213" s="13" t="s">
        <v>0</v>
      </c>
      <c r="M213" s="11" t="s">
        <v>0</v>
      </c>
      <c r="N213" s="11" t="s">
        <v>0</v>
      </c>
      <c r="O213" s="11" t="s">
        <v>0</v>
      </c>
      <c r="P213" s="11" t="s">
        <v>0</v>
      </c>
      <c r="Q213" s="11" t="s">
        <v>0</v>
      </c>
      <c r="R213" s="11" t="s">
        <v>0</v>
      </c>
      <c r="S213" s="11" t="s">
        <v>0</v>
      </c>
      <c r="T213" s="11" t="s">
        <v>0</v>
      </c>
      <c r="U213" s="11" t="s">
        <v>0</v>
      </c>
      <c r="V213" s="11" t="s">
        <v>0</v>
      </c>
      <c r="W213" s="11" t="s">
        <v>0</v>
      </c>
      <c r="X213" s="11" t="s">
        <v>0</v>
      </c>
      <c r="Y213" s="11" t="s">
        <v>0</v>
      </c>
      <c r="Z213" s="11" t="s">
        <v>0</v>
      </c>
      <c r="AA213" s="11" t="s">
        <v>0</v>
      </c>
      <c r="AB213" s="11" t="s">
        <v>0</v>
      </c>
      <c r="AC213" s="11" t="s">
        <v>0</v>
      </c>
      <c r="AD213" s="11" t="s">
        <v>0</v>
      </c>
    </row>
    <row r="214">
      <c r="B214" s="12" t="s">
        <v>0</v>
      </c>
      <c r="C214" s="11" t="s">
        <v>0</v>
      </c>
      <c r="D214" s="11" t="s">
        <v>0</v>
      </c>
      <c r="E214" s="12" t="s">
        <v>0</v>
      </c>
      <c r="F214" s="12" t="s">
        <v>0</v>
      </c>
      <c r="G214" s="12" t="s">
        <v>0</v>
      </c>
      <c r="H214" s="12" t="s">
        <v>0</v>
      </c>
      <c r="I214" s="12" t="s">
        <v>0</v>
      </c>
      <c r="J214" s="12" t="s">
        <v>0</v>
      </c>
      <c r="K214" s="12" t="s">
        <v>0</v>
      </c>
      <c r="L214" s="13" t="s">
        <v>0</v>
      </c>
      <c r="M214" s="11" t="s">
        <v>0</v>
      </c>
      <c r="N214" s="11" t="s">
        <v>0</v>
      </c>
      <c r="O214" s="11" t="s">
        <v>0</v>
      </c>
      <c r="P214" s="11" t="s">
        <v>0</v>
      </c>
      <c r="Q214" s="11" t="s">
        <v>0</v>
      </c>
      <c r="R214" s="11" t="s">
        <v>0</v>
      </c>
      <c r="S214" s="11" t="s">
        <v>0</v>
      </c>
      <c r="T214" s="11" t="s">
        <v>0</v>
      </c>
      <c r="U214" s="11" t="s">
        <v>0</v>
      </c>
      <c r="V214" s="11" t="s">
        <v>0</v>
      </c>
      <c r="W214" s="11" t="s">
        <v>0</v>
      </c>
      <c r="X214" s="11" t="s">
        <v>0</v>
      </c>
      <c r="Y214" s="11" t="s">
        <v>0</v>
      </c>
      <c r="Z214" s="11" t="s">
        <v>0</v>
      </c>
      <c r="AA214" s="11" t="s">
        <v>0</v>
      </c>
      <c r="AB214" s="11" t="s">
        <v>0</v>
      </c>
      <c r="AC214" s="11" t="s">
        <v>0</v>
      </c>
      <c r="AD214" s="11" t="s">
        <v>0</v>
      </c>
    </row>
    <row r="215">
      <c r="B215" s="12" t="s">
        <v>0</v>
      </c>
      <c r="C215" s="11" t="s">
        <v>0</v>
      </c>
      <c r="D215" s="11" t="s">
        <v>0</v>
      </c>
      <c r="E215" s="12" t="s">
        <v>0</v>
      </c>
      <c r="F215" s="12" t="s">
        <v>0</v>
      </c>
      <c r="G215" s="12" t="s">
        <v>0</v>
      </c>
      <c r="H215" s="12" t="s">
        <v>0</v>
      </c>
      <c r="I215" s="12" t="s">
        <v>0</v>
      </c>
      <c r="J215" s="12" t="s">
        <v>0</v>
      </c>
      <c r="K215" s="12" t="s">
        <v>0</v>
      </c>
      <c r="L215" s="13" t="s">
        <v>0</v>
      </c>
      <c r="M215" s="11" t="s">
        <v>0</v>
      </c>
      <c r="N215" s="11" t="s">
        <v>0</v>
      </c>
      <c r="O215" s="11" t="s">
        <v>0</v>
      </c>
      <c r="P215" s="11" t="s">
        <v>0</v>
      </c>
      <c r="Q215" s="11" t="s">
        <v>0</v>
      </c>
      <c r="R215" s="11" t="s">
        <v>0</v>
      </c>
      <c r="S215" s="11" t="s">
        <v>0</v>
      </c>
      <c r="T215" s="11" t="s">
        <v>0</v>
      </c>
      <c r="U215" s="11" t="s">
        <v>0</v>
      </c>
      <c r="V215" s="11" t="s">
        <v>0</v>
      </c>
      <c r="W215" s="11" t="s">
        <v>0</v>
      </c>
      <c r="X215" s="11" t="s">
        <v>0</v>
      </c>
      <c r="Y215" s="11" t="s">
        <v>0</v>
      </c>
      <c r="Z215" s="11" t="s">
        <v>0</v>
      </c>
      <c r="AA215" s="11" t="s">
        <v>0</v>
      </c>
      <c r="AB215" s="11" t="s">
        <v>0</v>
      </c>
      <c r="AC215" s="11" t="s">
        <v>0</v>
      </c>
      <c r="AD215" s="11" t="s">
        <v>0</v>
      </c>
    </row>
    <row r="216">
      <c r="B216" s="12" t="s">
        <v>0</v>
      </c>
      <c r="C216" s="11" t="s">
        <v>0</v>
      </c>
      <c r="D216" s="11" t="s">
        <v>0</v>
      </c>
      <c r="E216" s="12" t="s">
        <v>0</v>
      </c>
      <c r="F216" s="12" t="s">
        <v>0</v>
      </c>
      <c r="G216" s="12" t="s">
        <v>0</v>
      </c>
      <c r="H216" s="12" t="s">
        <v>0</v>
      </c>
      <c r="I216" s="12" t="s">
        <v>0</v>
      </c>
      <c r="J216" s="12" t="s">
        <v>0</v>
      </c>
      <c r="K216" s="12" t="s">
        <v>0</v>
      </c>
      <c r="L216" s="13" t="s">
        <v>0</v>
      </c>
      <c r="M216" s="11" t="s">
        <v>0</v>
      </c>
      <c r="N216" s="11" t="s">
        <v>0</v>
      </c>
      <c r="O216" s="11" t="s">
        <v>0</v>
      </c>
      <c r="P216" s="11" t="s">
        <v>0</v>
      </c>
      <c r="Q216" s="11" t="s">
        <v>0</v>
      </c>
      <c r="R216" s="11" t="s">
        <v>0</v>
      </c>
      <c r="S216" s="11" t="s">
        <v>0</v>
      </c>
      <c r="T216" s="11" t="s">
        <v>0</v>
      </c>
      <c r="U216" s="11" t="s">
        <v>0</v>
      </c>
      <c r="V216" s="11" t="s">
        <v>0</v>
      </c>
      <c r="W216" s="11" t="s">
        <v>0</v>
      </c>
      <c r="X216" s="11" t="s">
        <v>0</v>
      </c>
      <c r="Y216" s="11" t="s">
        <v>0</v>
      </c>
      <c r="Z216" s="11" t="s">
        <v>0</v>
      </c>
      <c r="AA216" s="11" t="s">
        <v>0</v>
      </c>
      <c r="AB216" s="11" t="s">
        <v>0</v>
      </c>
      <c r="AC216" s="11" t="s">
        <v>0</v>
      </c>
      <c r="AD216" s="11" t="s">
        <v>0</v>
      </c>
    </row>
    <row r="217">
      <c r="B217" s="12" t="s">
        <v>0</v>
      </c>
      <c r="C217" s="11" t="s">
        <v>0</v>
      </c>
      <c r="D217" s="11" t="s">
        <v>0</v>
      </c>
      <c r="E217" s="12" t="s">
        <v>0</v>
      </c>
      <c r="F217" s="12" t="s">
        <v>0</v>
      </c>
      <c r="G217" s="12" t="s">
        <v>0</v>
      </c>
      <c r="H217" s="12" t="s">
        <v>0</v>
      </c>
      <c r="I217" s="12" t="s">
        <v>0</v>
      </c>
      <c r="J217" s="12" t="s">
        <v>0</v>
      </c>
      <c r="K217" s="12" t="s">
        <v>0</v>
      </c>
      <c r="L217" s="13" t="s">
        <v>0</v>
      </c>
      <c r="M217" s="11" t="s">
        <v>0</v>
      </c>
      <c r="N217" s="11" t="s">
        <v>0</v>
      </c>
      <c r="O217" s="11" t="s">
        <v>0</v>
      </c>
      <c r="P217" s="11" t="s">
        <v>0</v>
      </c>
      <c r="Q217" s="11" t="s">
        <v>0</v>
      </c>
      <c r="R217" s="11" t="s">
        <v>0</v>
      </c>
      <c r="S217" s="11" t="s">
        <v>0</v>
      </c>
      <c r="T217" s="11" t="s">
        <v>0</v>
      </c>
      <c r="U217" s="11" t="s">
        <v>0</v>
      </c>
      <c r="V217" s="11" t="s">
        <v>0</v>
      </c>
      <c r="W217" s="11" t="s">
        <v>0</v>
      </c>
      <c r="X217" s="11" t="s">
        <v>0</v>
      </c>
      <c r="Y217" s="11" t="s">
        <v>0</v>
      </c>
      <c r="Z217" s="11" t="s">
        <v>0</v>
      </c>
      <c r="AA217" s="11" t="s">
        <v>0</v>
      </c>
      <c r="AB217" s="11" t="s">
        <v>0</v>
      </c>
      <c r="AC217" s="11" t="s">
        <v>0</v>
      </c>
      <c r="AD217" s="11" t="s">
        <v>0</v>
      </c>
    </row>
    <row r="218">
      <c r="B218" s="12" t="s">
        <v>0</v>
      </c>
      <c r="C218" s="11" t="s">
        <v>0</v>
      </c>
      <c r="D218" s="11" t="s">
        <v>0</v>
      </c>
      <c r="E218" s="12" t="s">
        <v>0</v>
      </c>
      <c r="F218" s="12" t="s">
        <v>0</v>
      </c>
      <c r="G218" s="12" t="s">
        <v>0</v>
      </c>
      <c r="H218" s="12" t="s">
        <v>0</v>
      </c>
      <c r="I218" s="12" t="s">
        <v>0</v>
      </c>
      <c r="J218" s="12" t="s">
        <v>0</v>
      </c>
      <c r="K218" s="12" t="s">
        <v>0</v>
      </c>
      <c r="L218" s="13" t="s">
        <v>0</v>
      </c>
      <c r="M218" s="11" t="s">
        <v>0</v>
      </c>
      <c r="N218" s="11" t="s">
        <v>0</v>
      </c>
      <c r="O218" s="11" t="s">
        <v>0</v>
      </c>
      <c r="P218" s="11" t="s">
        <v>0</v>
      </c>
      <c r="Q218" s="11" t="s">
        <v>0</v>
      </c>
      <c r="R218" s="11" t="s">
        <v>0</v>
      </c>
      <c r="S218" s="11" t="s">
        <v>0</v>
      </c>
      <c r="T218" s="11" t="s">
        <v>0</v>
      </c>
      <c r="U218" s="11" t="s">
        <v>0</v>
      </c>
      <c r="V218" s="11" t="s">
        <v>0</v>
      </c>
      <c r="W218" s="11" t="s">
        <v>0</v>
      </c>
      <c r="X218" s="11" t="s">
        <v>0</v>
      </c>
      <c r="Y218" s="11" t="s">
        <v>0</v>
      </c>
      <c r="Z218" s="11" t="s">
        <v>0</v>
      </c>
      <c r="AA218" s="11" t="s">
        <v>0</v>
      </c>
      <c r="AB218" s="11" t="s">
        <v>0</v>
      </c>
      <c r="AC218" s="11" t="s">
        <v>0</v>
      </c>
      <c r="AD218" s="11" t="s">
        <v>0</v>
      </c>
    </row>
    <row r="219">
      <c r="B219" s="12" t="s">
        <v>0</v>
      </c>
      <c r="C219" s="11" t="s">
        <v>0</v>
      </c>
      <c r="D219" s="11" t="s">
        <v>0</v>
      </c>
      <c r="E219" s="12" t="s">
        <v>0</v>
      </c>
      <c r="F219" s="12" t="s">
        <v>0</v>
      </c>
      <c r="G219" s="12" t="s">
        <v>0</v>
      </c>
      <c r="H219" s="12" t="s">
        <v>0</v>
      </c>
      <c r="I219" s="12" t="s">
        <v>0</v>
      </c>
      <c r="J219" s="12" t="s">
        <v>0</v>
      </c>
      <c r="K219" s="12" t="s">
        <v>0</v>
      </c>
      <c r="L219" s="13" t="s">
        <v>0</v>
      </c>
      <c r="M219" s="11" t="s">
        <v>0</v>
      </c>
      <c r="N219" s="11" t="s">
        <v>0</v>
      </c>
      <c r="O219" s="11" t="s">
        <v>0</v>
      </c>
      <c r="P219" s="11" t="s">
        <v>0</v>
      </c>
      <c r="Q219" s="11" t="s">
        <v>0</v>
      </c>
      <c r="R219" s="11" t="s">
        <v>0</v>
      </c>
      <c r="S219" s="11" t="s">
        <v>0</v>
      </c>
      <c r="T219" s="11" t="s">
        <v>0</v>
      </c>
      <c r="U219" s="11" t="s">
        <v>0</v>
      </c>
      <c r="V219" s="11" t="s">
        <v>0</v>
      </c>
      <c r="W219" s="11" t="s">
        <v>0</v>
      </c>
      <c r="X219" s="11" t="s">
        <v>0</v>
      </c>
      <c r="Y219" s="11" t="s">
        <v>0</v>
      </c>
      <c r="Z219" s="11" t="s">
        <v>0</v>
      </c>
      <c r="AA219" s="11" t="s">
        <v>0</v>
      </c>
      <c r="AB219" s="11" t="s">
        <v>0</v>
      </c>
      <c r="AC219" s="11" t="s">
        <v>0</v>
      </c>
      <c r="AD219" s="11" t="s">
        <v>0</v>
      </c>
    </row>
    <row r="220">
      <c r="B220" s="12" t="s">
        <v>0</v>
      </c>
      <c r="C220" s="11" t="s">
        <v>0</v>
      </c>
      <c r="D220" s="11" t="s">
        <v>0</v>
      </c>
      <c r="E220" s="12" t="s">
        <v>0</v>
      </c>
      <c r="F220" s="12" t="s">
        <v>0</v>
      </c>
      <c r="G220" s="12" t="s">
        <v>0</v>
      </c>
      <c r="H220" s="12" t="s">
        <v>0</v>
      </c>
      <c r="I220" s="12" t="s">
        <v>0</v>
      </c>
      <c r="J220" s="12" t="s">
        <v>0</v>
      </c>
      <c r="K220" s="12" t="s">
        <v>0</v>
      </c>
      <c r="L220" s="13" t="s">
        <v>0</v>
      </c>
      <c r="M220" s="11" t="s">
        <v>0</v>
      </c>
      <c r="N220" s="11" t="s">
        <v>0</v>
      </c>
      <c r="O220" s="11" t="s">
        <v>0</v>
      </c>
      <c r="P220" s="11" t="s">
        <v>0</v>
      </c>
      <c r="Q220" s="11" t="s">
        <v>0</v>
      </c>
      <c r="R220" s="11" t="s">
        <v>0</v>
      </c>
      <c r="S220" s="11" t="s">
        <v>0</v>
      </c>
      <c r="T220" s="11" t="s">
        <v>0</v>
      </c>
      <c r="U220" s="11" t="s">
        <v>0</v>
      </c>
      <c r="V220" s="11" t="s">
        <v>0</v>
      </c>
      <c r="W220" s="11" t="s">
        <v>0</v>
      </c>
      <c r="X220" s="11" t="s">
        <v>0</v>
      </c>
      <c r="Y220" s="11" t="s">
        <v>0</v>
      </c>
      <c r="Z220" s="11" t="s">
        <v>0</v>
      </c>
      <c r="AA220" s="11" t="s">
        <v>0</v>
      </c>
      <c r="AB220" s="11" t="s">
        <v>0</v>
      </c>
      <c r="AC220" s="11" t="s">
        <v>0</v>
      </c>
      <c r="AD220" s="11" t="s">
        <v>0</v>
      </c>
    </row>
    <row r="221">
      <c r="B221" s="12" t="s">
        <v>0</v>
      </c>
      <c r="C221" s="11" t="s">
        <v>0</v>
      </c>
      <c r="D221" s="11" t="s">
        <v>0</v>
      </c>
      <c r="E221" s="12" t="s">
        <v>0</v>
      </c>
      <c r="F221" s="12" t="s">
        <v>0</v>
      </c>
      <c r="G221" s="12" t="s">
        <v>0</v>
      </c>
      <c r="H221" s="12" t="s">
        <v>0</v>
      </c>
      <c r="I221" s="12" t="s">
        <v>0</v>
      </c>
      <c r="J221" s="12" t="s">
        <v>0</v>
      </c>
      <c r="K221" s="12" t="s">
        <v>0</v>
      </c>
      <c r="L221" s="13" t="s">
        <v>0</v>
      </c>
      <c r="M221" s="11" t="s">
        <v>0</v>
      </c>
      <c r="N221" s="11" t="s">
        <v>0</v>
      </c>
      <c r="O221" s="11" t="s">
        <v>0</v>
      </c>
      <c r="P221" s="11" t="s">
        <v>0</v>
      </c>
      <c r="Q221" s="11" t="s">
        <v>0</v>
      </c>
      <c r="R221" s="11" t="s">
        <v>0</v>
      </c>
      <c r="S221" s="11" t="s">
        <v>0</v>
      </c>
      <c r="T221" s="11" t="s">
        <v>0</v>
      </c>
      <c r="U221" s="11" t="s">
        <v>0</v>
      </c>
      <c r="V221" s="11" t="s">
        <v>0</v>
      </c>
      <c r="W221" s="11" t="s">
        <v>0</v>
      </c>
      <c r="X221" s="11" t="s">
        <v>0</v>
      </c>
      <c r="Y221" s="11" t="s">
        <v>0</v>
      </c>
      <c r="Z221" s="11" t="s">
        <v>0</v>
      </c>
      <c r="AA221" s="11" t="s">
        <v>0</v>
      </c>
      <c r="AB221" s="11" t="s">
        <v>0</v>
      </c>
      <c r="AC221" s="11" t="s">
        <v>0</v>
      </c>
      <c r="AD221" s="11" t="s">
        <v>0</v>
      </c>
    </row>
    <row r="222">
      <c r="B222" s="12" t="s">
        <v>0</v>
      </c>
      <c r="C222" s="11" t="s">
        <v>0</v>
      </c>
      <c r="D222" s="11" t="s">
        <v>0</v>
      </c>
      <c r="E222" s="12" t="s">
        <v>0</v>
      </c>
      <c r="F222" s="12" t="s">
        <v>0</v>
      </c>
      <c r="G222" s="12" t="s">
        <v>0</v>
      </c>
      <c r="H222" s="12" t="s">
        <v>0</v>
      </c>
      <c r="I222" s="12" t="s">
        <v>0</v>
      </c>
      <c r="J222" s="12" t="s">
        <v>0</v>
      </c>
      <c r="K222" s="12" t="s">
        <v>0</v>
      </c>
      <c r="L222" s="13" t="s">
        <v>0</v>
      </c>
      <c r="M222" s="11" t="s">
        <v>0</v>
      </c>
      <c r="N222" s="11" t="s">
        <v>0</v>
      </c>
      <c r="O222" s="11" t="s">
        <v>0</v>
      </c>
      <c r="P222" s="11" t="s">
        <v>0</v>
      </c>
      <c r="Q222" s="11" t="s">
        <v>0</v>
      </c>
      <c r="R222" s="11" t="s">
        <v>0</v>
      </c>
      <c r="S222" s="11" t="s">
        <v>0</v>
      </c>
      <c r="T222" s="11" t="s">
        <v>0</v>
      </c>
      <c r="U222" s="11" t="s">
        <v>0</v>
      </c>
      <c r="V222" s="11" t="s">
        <v>0</v>
      </c>
      <c r="W222" s="11" t="s">
        <v>0</v>
      </c>
      <c r="X222" s="11" t="s">
        <v>0</v>
      </c>
      <c r="Y222" s="11" t="s">
        <v>0</v>
      </c>
      <c r="Z222" s="11" t="s">
        <v>0</v>
      </c>
      <c r="AA222" s="11" t="s">
        <v>0</v>
      </c>
      <c r="AB222" s="11" t="s">
        <v>0</v>
      </c>
      <c r="AC222" s="11" t="s">
        <v>0</v>
      </c>
      <c r="AD222" s="11" t="s">
        <v>0</v>
      </c>
    </row>
    <row r="223">
      <c r="B223" s="12" t="s">
        <v>0</v>
      </c>
      <c r="C223" s="11" t="s">
        <v>0</v>
      </c>
      <c r="D223" s="11" t="s">
        <v>0</v>
      </c>
      <c r="E223" s="12" t="s">
        <v>0</v>
      </c>
      <c r="F223" s="12" t="s">
        <v>0</v>
      </c>
      <c r="G223" s="12" t="s">
        <v>0</v>
      </c>
      <c r="H223" s="12" t="s">
        <v>0</v>
      </c>
      <c r="I223" s="12" t="s">
        <v>0</v>
      </c>
      <c r="J223" s="12" t="s">
        <v>0</v>
      </c>
      <c r="K223" s="12" t="s">
        <v>0</v>
      </c>
      <c r="L223" s="13" t="s">
        <v>0</v>
      </c>
      <c r="M223" s="11" t="s">
        <v>0</v>
      </c>
      <c r="N223" s="11" t="s">
        <v>0</v>
      </c>
      <c r="O223" s="11" t="s">
        <v>0</v>
      </c>
      <c r="P223" s="11" t="s">
        <v>0</v>
      </c>
      <c r="Q223" s="11" t="s">
        <v>0</v>
      </c>
      <c r="R223" s="11" t="s">
        <v>0</v>
      </c>
      <c r="S223" s="11" t="s">
        <v>0</v>
      </c>
      <c r="T223" s="11" t="s">
        <v>0</v>
      </c>
      <c r="U223" s="11" t="s">
        <v>0</v>
      </c>
      <c r="V223" s="11" t="s">
        <v>0</v>
      </c>
      <c r="W223" s="11" t="s">
        <v>0</v>
      </c>
      <c r="X223" s="11" t="s">
        <v>0</v>
      </c>
      <c r="Y223" s="11" t="s">
        <v>0</v>
      </c>
      <c r="Z223" s="11" t="s">
        <v>0</v>
      </c>
      <c r="AA223" s="11" t="s">
        <v>0</v>
      </c>
      <c r="AB223" s="11" t="s">
        <v>0</v>
      </c>
      <c r="AC223" s="11" t="s">
        <v>0</v>
      </c>
      <c r="AD223" s="11" t="s">
        <v>0</v>
      </c>
    </row>
    <row r="224">
      <c r="B224" s="12" t="s">
        <v>0</v>
      </c>
      <c r="C224" s="11" t="s">
        <v>0</v>
      </c>
      <c r="D224" s="11" t="s">
        <v>0</v>
      </c>
      <c r="E224" s="12" t="s">
        <v>0</v>
      </c>
      <c r="F224" s="12" t="s">
        <v>0</v>
      </c>
      <c r="G224" s="12" t="s">
        <v>0</v>
      </c>
      <c r="H224" s="12" t="s">
        <v>0</v>
      </c>
      <c r="I224" s="12" t="s">
        <v>0</v>
      </c>
      <c r="J224" s="12" t="s">
        <v>0</v>
      </c>
      <c r="K224" s="12" t="s">
        <v>0</v>
      </c>
      <c r="L224" s="13" t="s">
        <v>0</v>
      </c>
      <c r="M224" s="11" t="s">
        <v>0</v>
      </c>
      <c r="N224" s="11" t="s">
        <v>0</v>
      </c>
      <c r="O224" s="11" t="s">
        <v>0</v>
      </c>
      <c r="P224" s="11" t="s">
        <v>0</v>
      </c>
      <c r="Q224" s="11" t="s">
        <v>0</v>
      </c>
      <c r="R224" s="11" t="s">
        <v>0</v>
      </c>
      <c r="S224" s="11" t="s">
        <v>0</v>
      </c>
      <c r="T224" s="11" t="s">
        <v>0</v>
      </c>
      <c r="U224" s="11" t="s">
        <v>0</v>
      </c>
      <c r="V224" s="11" t="s">
        <v>0</v>
      </c>
      <c r="W224" s="11" t="s">
        <v>0</v>
      </c>
      <c r="X224" s="11" t="s">
        <v>0</v>
      </c>
      <c r="Y224" s="11" t="s">
        <v>0</v>
      </c>
      <c r="Z224" s="11" t="s">
        <v>0</v>
      </c>
      <c r="AA224" s="11" t="s">
        <v>0</v>
      </c>
      <c r="AB224" s="11" t="s">
        <v>0</v>
      </c>
      <c r="AC224" s="11" t="s">
        <v>0</v>
      </c>
      <c r="AD224" s="11" t="s">
        <v>0</v>
      </c>
    </row>
    <row r="225">
      <c r="B225" s="12" t="s">
        <v>0</v>
      </c>
      <c r="C225" s="11" t="s">
        <v>0</v>
      </c>
      <c r="D225" s="11" t="s">
        <v>0</v>
      </c>
      <c r="E225" s="12" t="s">
        <v>0</v>
      </c>
      <c r="F225" s="12" t="s">
        <v>0</v>
      </c>
      <c r="G225" s="12" t="s">
        <v>0</v>
      </c>
      <c r="H225" s="12" t="s">
        <v>0</v>
      </c>
      <c r="I225" s="12" t="s">
        <v>0</v>
      </c>
      <c r="J225" s="12" t="s">
        <v>0</v>
      </c>
      <c r="K225" s="12" t="s">
        <v>0</v>
      </c>
      <c r="L225" s="13" t="s">
        <v>0</v>
      </c>
      <c r="M225" s="11" t="s">
        <v>0</v>
      </c>
      <c r="N225" s="11" t="s">
        <v>0</v>
      </c>
      <c r="O225" s="11" t="s">
        <v>0</v>
      </c>
      <c r="P225" s="11" t="s">
        <v>0</v>
      </c>
      <c r="Q225" s="11" t="s">
        <v>0</v>
      </c>
      <c r="R225" s="11" t="s">
        <v>0</v>
      </c>
      <c r="S225" s="11" t="s">
        <v>0</v>
      </c>
      <c r="T225" s="11" t="s">
        <v>0</v>
      </c>
      <c r="U225" s="11" t="s">
        <v>0</v>
      </c>
      <c r="V225" s="11" t="s">
        <v>0</v>
      </c>
      <c r="W225" s="11" t="s">
        <v>0</v>
      </c>
      <c r="X225" s="11" t="s">
        <v>0</v>
      </c>
      <c r="Y225" s="11" t="s">
        <v>0</v>
      </c>
      <c r="Z225" s="11" t="s">
        <v>0</v>
      </c>
      <c r="AA225" s="11" t="s">
        <v>0</v>
      </c>
      <c r="AB225" s="11" t="s">
        <v>0</v>
      </c>
      <c r="AC225" s="11" t="s">
        <v>0</v>
      </c>
      <c r="AD225" s="11" t="s">
        <v>0</v>
      </c>
    </row>
    <row r="226">
      <c r="B226" s="12" t="s">
        <v>0</v>
      </c>
      <c r="C226" s="11" t="s">
        <v>0</v>
      </c>
      <c r="D226" s="11" t="s">
        <v>0</v>
      </c>
      <c r="E226" s="12" t="s">
        <v>0</v>
      </c>
      <c r="F226" s="12" t="s">
        <v>0</v>
      </c>
      <c r="G226" s="12" t="s">
        <v>0</v>
      </c>
      <c r="H226" s="12" t="s">
        <v>0</v>
      </c>
      <c r="I226" s="12" t="s">
        <v>0</v>
      </c>
      <c r="J226" s="12" t="s">
        <v>0</v>
      </c>
      <c r="K226" s="12" t="s">
        <v>0</v>
      </c>
      <c r="L226" s="13" t="s">
        <v>0</v>
      </c>
      <c r="M226" s="11" t="s">
        <v>0</v>
      </c>
      <c r="N226" s="11" t="s">
        <v>0</v>
      </c>
      <c r="O226" s="11" t="s">
        <v>0</v>
      </c>
      <c r="P226" s="11" t="s">
        <v>0</v>
      </c>
      <c r="Q226" s="11" t="s">
        <v>0</v>
      </c>
      <c r="R226" s="11" t="s">
        <v>0</v>
      </c>
      <c r="S226" s="11" t="s">
        <v>0</v>
      </c>
      <c r="T226" s="11" t="s">
        <v>0</v>
      </c>
      <c r="U226" s="11" t="s">
        <v>0</v>
      </c>
      <c r="V226" s="11" t="s">
        <v>0</v>
      </c>
      <c r="W226" s="11" t="s">
        <v>0</v>
      </c>
      <c r="X226" s="11" t="s">
        <v>0</v>
      </c>
      <c r="Y226" s="11" t="s">
        <v>0</v>
      </c>
      <c r="Z226" s="11" t="s">
        <v>0</v>
      </c>
      <c r="AA226" s="11" t="s">
        <v>0</v>
      </c>
      <c r="AB226" s="11" t="s">
        <v>0</v>
      </c>
      <c r="AC226" s="11" t="s">
        <v>0</v>
      </c>
      <c r="AD226" s="11" t="s">
        <v>0</v>
      </c>
    </row>
    <row r="227">
      <c r="B227" s="12" t="s">
        <v>0</v>
      </c>
      <c r="C227" s="11" t="s">
        <v>0</v>
      </c>
      <c r="D227" s="11" t="s">
        <v>0</v>
      </c>
      <c r="E227" s="12" t="s">
        <v>0</v>
      </c>
      <c r="F227" s="12" t="s">
        <v>0</v>
      </c>
      <c r="G227" s="12" t="s">
        <v>0</v>
      </c>
      <c r="H227" s="12" t="s">
        <v>0</v>
      </c>
      <c r="I227" s="12" t="s">
        <v>0</v>
      </c>
      <c r="J227" s="12" t="s">
        <v>0</v>
      </c>
      <c r="K227" s="12" t="s">
        <v>0</v>
      </c>
      <c r="L227" s="13" t="s">
        <v>0</v>
      </c>
      <c r="M227" s="11" t="s">
        <v>0</v>
      </c>
      <c r="N227" s="11" t="s">
        <v>0</v>
      </c>
      <c r="O227" s="11" t="s">
        <v>0</v>
      </c>
      <c r="P227" s="11" t="s">
        <v>0</v>
      </c>
      <c r="Q227" s="11" t="s">
        <v>0</v>
      </c>
      <c r="R227" s="11" t="s">
        <v>0</v>
      </c>
      <c r="S227" s="11" t="s">
        <v>0</v>
      </c>
      <c r="T227" s="11" t="s">
        <v>0</v>
      </c>
      <c r="U227" s="11" t="s">
        <v>0</v>
      </c>
      <c r="V227" s="11" t="s">
        <v>0</v>
      </c>
      <c r="W227" s="11" t="s">
        <v>0</v>
      </c>
      <c r="X227" s="11" t="s">
        <v>0</v>
      </c>
      <c r="Y227" s="11" t="s">
        <v>0</v>
      </c>
      <c r="Z227" s="11" t="s">
        <v>0</v>
      </c>
      <c r="AA227" s="11" t="s">
        <v>0</v>
      </c>
      <c r="AB227" s="11" t="s">
        <v>0</v>
      </c>
      <c r="AC227" s="11" t="s">
        <v>0</v>
      </c>
      <c r="AD227" s="11" t="s">
        <v>0</v>
      </c>
    </row>
    <row r="228">
      <c r="B228" s="12" t="s">
        <v>0</v>
      </c>
      <c r="C228" s="11" t="s">
        <v>0</v>
      </c>
      <c r="D228" s="11" t="s">
        <v>0</v>
      </c>
      <c r="E228" s="12" t="s">
        <v>0</v>
      </c>
      <c r="F228" s="12" t="s">
        <v>0</v>
      </c>
      <c r="G228" s="12" t="s">
        <v>0</v>
      </c>
      <c r="H228" s="12" t="s">
        <v>0</v>
      </c>
      <c r="I228" s="12" t="s">
        <v>0</v>
      </c>
      <c r="J228" s="12" t="s">
        <v>0</v>
      </c>
      <c r="K228" s="12" t="s">
        <v>0</v>
      </c>
      <c r="L228" s="13" t="s">
        <v>0</v>
      </c>
      <c r="M228" s="11" t="s">
        <v>0</v>
      </c>
      <c r="N228" s="11" t="s">
        <v>0</v>
      </c>
      <c r="O228" s="11" t="s">
        <v>0</v>
      </c>
      <c r="P228" s="11" t="s">
        <v>0</v>
      </c>
      <c r="Q228" s="11" t="s">
        <v>0</v>
      </c>
      <c r="R228" s="11" t="s">
        <v>0</v>
      </c>
      <c r="S228" s="11" t="s">
        <v>0</v>
      </c>
      <c r="T228" s="11" t="s">
        <v>0</v>
      </c>
      <c r="U228" s="11" t="s">
        <v>0</v>
      </c>
      <c r="V228" s="11" t="s">
        <v>0</v>
      </c>
      <c r="W228" s="11" t="s">
        <v>0</v>
      </c>
      <c r="X228" s="11" t="s">
        <v>0</v>
      </c>
      <c r="Y228" s="11" t="s">
        <v>0</v>
      </c>
      <c r="Z228" s="11" t="s">
        <v>0</v>
      </c>
      <c r="AA228" s="11" t="s">
        <v>0</v>
      </c>
      <c r="AB228" s="11" t="s">
        <v>0</v>
      </c>
      <c r="AC228" s="11" t="s">
        <v>0</v>
      </c>
      <c r="AD228" s="11" t="s">
        <v>0</v>
      </c>
    </row>
    <row r="229">
      <c r="B229" s="12" t="s">
        <v>0</v>
      </c>
      <c r="C229" s="11" t="s">
        <v>0</v>
      </c>
      <c r="D229" s="11" t="s">
        <v>0</v>
      </c>
      <c r="E229" s="12" t="s">
        <v>0</v>
      </c>
      <c r="F229" s="12" t="s">
        <v>0</v>
      </c>
      <c r="G229" s="12" t="s">
        <v>0</v>
      </c>
      <c r="H229" s="12" t="s">
        <v>0</v>
      </c>
      <c r="I229" s="12" t="s">
        <v>0</v>
      </c>
      <c r="J229" s="12" t="s">
        <v>0</v>
      </c>
      <c r="K229" s="12" t="s">
        <v>0</v>
      </c>
      <c r="L229" s="13" t="s">
        <v>0</v>
      </c>
      <c r="M229" s="11" t="s">
        <v>0</v>
      </c>
      <c r="N229" s="11" t="s">
        <v>0</v>
      </c>
      <c r="O229" s="11" t="s">
        <v>0</v>
      </c>
      <c r="P229" s="11" t="s">
        <v>0</v>
      </c>
      <c r="Q229" s="11" t="s">
        <v>0</v>
      </c>
      <c r="R229" s="11" t="s">
        <v>0</v>
      </c>
      <c r="S229" s="11" t="s">
        <v>0</v>
      </c>
      <c r="T229" s="11" t="s">
        <v>0</v>
      </c>
      <c r="U229" s="11" t="s">
        <v>0</v>
      </c>
      <c r="V229" s="11" t="s">
        <v>0</v>
      </c>
      <c r="W229" s="11" t="s">
        <v>0</v>
      </c>
      <c r="X229" s="11" t="s">
        <v>0</v>
      </c>
      <c r="Y229" s="11" t="s">
        <v>0</v>
      </c>
      <c r="Z229" s="11" t="s">
        <v>0</v>
      </c>
      <c r="AA229" s="11" t="s">
        <v>0</v>
      </c>
      <c r="AB229" s="11" t="s">
        <v>0</v>
      </c>
      <c r="AC229" s="11" t="s">
        <v>0</v>
      </c>
      <c r="AD229" s="11" t="s">
        <v>0</v>
      </c>
    </row>
    <row r="230">
      <c r="B230" s="12" t="s">
        <v>0</v>
      </c>
      <c r="C230" s="11" t="s">
        <v>0</v>
      </c>
      <c r="D230" s="11" t="s">
        <v>0</v>
      </c>
      <c r="E230" s="12" t="s">
        <v>0</v>
      </c>
      <c r="F230" s="12" t="s">
        <v>0</v>
      </c>
      <c r="G230" s="12" t="s">
        <v>0</v>
      </c>
      <c r="H230" s="12" t="s">
        <v>0</v>
      </c>
      <c r="I230" s="12" t="s">
        <v>0</v>
      </c>
      <c r="J230" s="12" t="s">
        <v>0</v>
      </c>
      <c r="K230" s="12" t="s">
        <v>0</v>
      </c>
      <c r="L230" s="13" t="s">
        <v>0</v>
      </c>
      <c r="M230" s="11" t="s">
        <v>0</v>
      </c>
      <c r="N230" s="11" t="s">
        <v>0</v>
      </c>
      <c r="O230" s="11" t="s">
        <v>0</v>
      </c>
      <c r="P230" s="11" t="s">
        <v>0</v>
      </c>
      <c r="Q230" s="11" t="s">
        <v>0</v>
      </c>
      <c r="R230" s="11" t="s">
        <v>0</v>
      </c>
      <c r="S230" s="11" t="s">
        <v>0</v>
      </c>
      <c r="T230" s="11" t="s">
        <v>0</v>
      </c>
      <c r="U230" s="11" t="s">
        <v>0</v>
      </c>
      <c r="V230" s="11" t="s">
        <v>0</v>
      </c>
      <c r="W230" s="11" t="s">
        <v>0</v>
      </c>
      <c r="X230" s="11" t="s">
        <v>0</v>
      </c>
      <c r="Y230" s="11" t="s">
        <v>0</v>
      </c>
      <c r="Z230" s="11" t="s">
        <v>0</v>
      </c>
      <c r="AA230" s="11" t="s">
        <v>0</v>
      </c>
      <c r="AB230" s="11" t="s">
        <v>0</v>
      </c>
      <c r="AC230" s="11" t="s">
        <v>0</v>
      </c>
      <c r="AD230" s="11" t="s">
        <v>0</v>
      </c>
    </row>
    <row r="231">
      <c r="B231" s="12" t="s">
        <v>0</v>
      </c>
      <c r="C231" s="11" t="s">
        <v>0</v>
      </c>
      <c r="D231" s="11" t="s">
        <v>0</v>
      </c>
      <c r="E231" s="12" t="s">
        <v>0</v>
      </c>
      <c r="F231" s="12" t="s">
        <v>0</v>
      </c>
      <c r="G231" s="12" t="s">
        <v>0</v>
      </c>
      <c r="H231" s="12" t="s">
        <v>0</v>
      </c>
      <c r="I231" s="12" t="s">
        <v>0</v>
      </c>
      <c r="J231" s="12" t="s">
        <v>0</v>
      </c>
      <c r="K231" s="12" t="s">
        <v>0</v>
      </c>
      <c r="L231" s="13" t="s">
        <v>0</v>
      </c>
      <c r="M231" s="11" t="s">
        <v>0</v>
      </c>
      <c r="N231" s="11" t="s">
        <v>0</v>
      </c>
      <c r="O231" s="11" t="s">
        <v>0</v>
      </c>
      <c r="P231" s="11" t="s">
        <v>0</v>
      </c>
      <c r="Q231" s="11" t="s">
        <v>0</v>
      </c>
      <c r="R231" s="11" t="s">
        <v>0</v>
      </c>
      <c r="S231" s="11" t="s">
        <v>0</v>
      </c>
      <c r="T231" s="11" t="s">
        <v>0</v>
      </c>
      <c r="U231" s="11" t="s">
        <v>0</v>
      </c>
      <c r="V231" s="11" t="s">
        <v>0</v>
      </c>
      <c r="W231" s="11" t="s">
        <v>0</v>
      </c>
      <c r="X231" s="11" t="s">
        <v>0</v>
      </c>
      <c r="Y231" s="11" t="s">
        <v>0</v>
      </c>
      <c r="Z231" s="11" t="s">
        <v>0</v>
      </c>
      <c r="AA231" s="11" t="s">
        <v>0</v>
      </c>
      <c r="AB231" s="11" t="s">
        <v>0</v>
      </c>
      <c r="AC231" s="11" t="s">
        <v>0</v>
      </c>
      <c r="AD231" s="11" t="s">
        <v>0</v>
      </c>
    </row>
    <row r="232">
      <c r="B232" s="12" t="s">
        <v>0</v>
      </c>
      <c r="C232" s="11" t="s">
        <v>0</v>
      </c>
      <c r="D232" s="11" t="s">
        <v>0</v>
      </c>
      <c r="E232" s="12" t="s">
        <v>0</v>
      </c>
      <c r="F232" s="12" t="s">
        <v>0</v>
      </c>
      <c r="G232" s="12" t="s">
        <v>0</v>
      </c>
      <c r="H232" s="12" t="s">
        <v>0</v>
      </c>
      <c r="I232" s="12" t="s">
        <v>0</v>
      </c>
      <c r="J232" s="12" t="s">
        <v>0</v>
      </c>
      <c r="K232" s="12" t="s">
        <v>0</v>
      </c>
      <c r="L232" s="13" t="s">
        <v>0</v>
      </c>
      <c r="M232" s="11" t="s">
        <v>0</v>
      </c>
      <c r="N232" s="11" t="s">
        <v>0</v>
      </c>
      <c r="O232" s="11" t="s">
        <v>0</v>
      </c>
      <c r="P232" s="11" t="s">
        <v>0</v>
      </c>
      <c r="Q232" s="11" t="s">
        <v>0</v>
      </c>
      <c r="R232" s="11" t="s">
        <v>0</v>
      </c>
      <c r="S232" s="11" t="s">
        <v>0</v>
      </c>
      <c r="T232" s="11" t="s">
        <v>0</v>
      </c>
      <c r="U232" s="11" t="s">
        <v>0</v>
      </c>
      <c r="V232" s="11" t="s">
        <v>0</v>
      </c>
      <c r="W232" s="11" t="s">
        <v>0</v>
      </c>
      <c r="X232" s="11" t="s">
        <v>0</v>
      </c>
      <c r="Y232" s="11" t="s">
        <v>0</v>
      </c>
      <c r="Z232" s="11" t="s">
        <v>0</v>
      </c>
      <c r="AA232" s="11" t="s">
        <v>0</v>
      </c>
      <c r="AB232" s="11" t="s">
        <v>0</v>
      </c>
      <c r="AC232" s="11" t="s">
        <v>0</v>
      </c>
      <c r="AD232" s="11" t="s">
        <v>0</v>
      </c>
    </row>
    <row r="233">
      <c r="B233" s="12" t="s">
        <v>0</v>
      </c>
      <c r="C233" s="11" t="s">
        <v>0</v>
      </c>
      <c r="D233" s="11" t="s">
        <v>0</v>
      </c>
      <c r="E233" s="12" t="s">
        <v>0</v>
      </c>
      <c r="F233" s="12" t="s">
        <v>0</v>
      </c>
      <c r="G233" s="12" t="s">
        <v>0</v>
      </c>
      <c r="H233" s="12" t="s">
        <v>0</v>
      </c>
      <c r="I233" s="12" t="s">
        <v>0</v>
      </c>
      <c r="J233" s="12" t="s">
        <v>0</v>
      </c>
      <c r="K233" s="12" t="s">
        <v>0</v>
      </c>
      <c r="L233" s="13" t="s">
        <v>0</v>
      </c>
      <c r="M233" s="11" t="s">
        <v>0</v>
      </c>
      <c r="N233" s="11" t="s">
        <v>0</v>
      </c>
      <c r="O233" s="11" t="s">
        <v>0</v>
      </c>
      <c r="P233" s="11" t="s">
        <v>0</v>
      </c>
      <c r="Q233" s="11" t="s">
        <v>0</v>
      </c>
      <c r="R233" s="11" t="s">
        <v>0</v>
      </c>
      <c r="S233" s="11" t="s">
        <v>0</v>
      </c>
      <c r="T233" s="11" t="s">
        <v>0</v>
      </c>
      <c r="U233" s="11" t="s">
        <v>0</v>
      </c>
      <c r="V233" s="11" t="s">
        <v>0</v>
      </c>
      <c r="W233" s="11" t="s">
        <v>0</v>
      </c>
      <c r="X233" s="11" t="s">
        <v>0</v>
      </c>
      <c r="Y233" s="11" t="s">
        <v>0</v>
      </c>
      <c r="Z233" s="11" t="s">
        <v>0</v>
      </c>
      <c r="AA233" s="11" t="s">
        <v>0</v>
      </c>
      <c r="AB233" s="11" t="s">
        <v>0</v>
      </c>
      <c r="AC233" s="11" t="s">
        <v>0</v>
      </c>
      <c r="AD233" s="11" t="s">
        <v>0</v>
      </c>
    </row>
    <row r="234">
      <c r="B234" s="12" t="s">
        <v>0</v>
      </c>
      <c r="C234" s="11" t="s">
        <v>0</v>
      </c>
      <c r="D234" s="11" t="s">
        <v>0</v>
      </c>
      <c r="E234" s="12" t="s">
        <v>0</v>
      </c>
      <c r="F234" s="12" t="s">
        <v>0</v>
      </c>
      <c r="G234" s="12" t="s">
        <v>0</v>
      </c>
      <c r="H234" s="12" t="s">
        <v>0</v>
      </c>
      <c r="I234" s="12" t="s">
        <v>0</v>
      </c>
      <c r="J234" s="12" t="s">
        <v>0</v>
      </c>
      <c r="K234" s="12" t="s">
        <v>0</v>
      </c>
      <c r="L234" s="13" t="s">
        <v>0</v>
      </c>
      <c r="M234" s="11" t="s">
        <v>0</v>
      </c>
      <c r="N234" s="11" t="s">
        <v>0</v>
      </c>
      <c r="O234" s="11" t="s">
        <v>0</v>
      </c>
      <c r="P234" s="11" t="s">
        <v>0</v>
      </c>
      <c r="Q234" s="11" t="s">
        <v>0</v>
      </c>
      <c r="R234" s="11" t="s">
        <v>0</v>
      </c>
      <c r="S234" s="11" t="s">
        <v>0</v>
      </c>
      <c r="T234" s="11" t="s">
        <v>0</v>
      </c>
      <c r="U234" s="11" t="s">
        <v>0</v>
      </c>
      <c r="V234" s="11" t="s">
        <v>0</v>
      </c>
      <c r="W234" s="11" t="s">
        <v>0</v>
      </c>
      <c r="X234" s="11" t="s">
        <v>0</v>
      </c>
      <c r="Y234" s="11" t="s">
        <v>0</v>
      </c>
      <c r="Z234" s="11" t="s">
        <v>0</v>
      </c>
      <c r="AA234" s="11" t="s">
        <v>0</v>
      </c>
      <c r="AB234" s="11" t="s">
        <v>0</v>
      </c>
      <c r="AC234" s="11" t="s">
        <v>0</v>
      </c>
      <c r="AD234" s="11" t="s">
        <v>0</v>
      </c>
    </row>
    <row r="235">
      <c r="B235" s="12" t="s">
        <v>0</v>
      </c>
      <c r="C235" s="11" t="s">
        <v>0</v>
      </c>
      <c r="D235" s="11" t="s">
        <v>0</v>
      </c>
      <c r="E235" s="12" t="s">
        <v>0</v>
      </c>
      <c r="F235" s="12" t="s">
        <v>0</v>
      </c>
      <c r="G235" s="12" t="s">
        <v>0</v>
      </c>
      <c r="H235" s="12" t="s">
        <v>0</v>
      </c>
      <c r="I235" s="12" t="s">
        <v>0</v>
      </c>
      <c r="J235" s="12" t="s">
        <v>0</v>
      </c>
      <c r="K235" s="12" t="s">
        <v>0</v>
      </c>
      <c r="L235" s="13" t="s">
        <v>0</v>
      </c>
      <c r="M235" s="11" t="s">
        <v>0</v>
      </c>
      <c r="N235" s="11" t="s">
        <v>0</v>
      </c>
      <c r="O235" s="11" t="s">
        <v>0</v>
      </c>
      <c r="P235" s="11" t="s">
        <v>0</v>
      </c>
      <c r="Q235" s="11" t="s">
        <v>0</v>
      </c>
      <c r="R235" s="11" t="s">
        <v>0</v>
      </c>
      <c r="S235" s="11" t="s">
        <v>0</v>
      </c>
      <c r="T235" s="11" t="s">
        <v>0</v>
      </c>
      <c r="U235" s="11" t="s">
        <v>0</v>
      </c>
      <c r="V235" s="11" t="s">
        <v>0</v>
      </c>
      <c r="W235" s="11" t="s">
        <v>0</v>
      </c>
      <c r="X235" s="11" t="s">
        <v>0</v>
      </c>
      <c r="Y235" s="11" t="s">
        <v>0</v>
      </c>
      <c r="Z235" s="11" t="s">
        <v>0</v>
      </c>
      <c r="AA235" s="11" t="s">
        <v>0</v>
      </c>
      <c r="AB235" s="11" t="s">
        <v>0</v>
      </c>
      <c r="AC235" s="11" t="s">
        <v>0</v>
      </c>
      <c r="AD235" s="11" t="s">
        <v>0</v>
      </c>
    </row>
    <row r="236">
      <c r="B236" s="12" t="s">
        <v>0</v>
      </c>
      <c r="C236" s="11" t="s">
        <v>0</v>
      </c>
      <c r="D236" s="11" t="s">
        <v>0</v>
      </c>
      <c r="E236" s="12" t="s">
        <v>0</v>
      </c>
      <c r="F236" s="12" t="s">
        <v>0</v>
      </c>
      <c r="G236" s="12" t="s">
        <v>0</v>
      </c>
      <c r="H236" s="12" t="s">
        <v>0</v>
      </c>
      <c r="I236" s="12" t="s">
        <v>0</v>
      </c>
      <c r="J236" s="12" t="s">
        <v>0</v>
      </c>
      <c r="K236" s="12" t="s">
        <v>0</v>
      </c>
      <c r="L236" s="13" t="s">
        <v>0</v>
      </c>
      <c r="M236" s="11" t="s">
        <v>0</v>
      </c>
      <c r="N236" s="11" t="s">
        <v>0</v>
      </c>
      <c r="O236" s="11" t="s">
        <v>0</v>
      </c>
      <c r="P236" s="11" t="s">
        <v>0</v>
      </c>
      <c r="Q236" s="11" t="s">
        <v>0</v>
      </c>
      <c r="R236" s="11" t="s">
        <v>0</v>
      </c>
      <c r="S236" s="11" t="s">
        <v>0</v>
      </c>
      <c r="T236" s="11" t="s">
        <v>0</v>
      </c>
      <c r="U236" s="11" t="s">
        <v>0</v>
      </c>
      <c r="V236" s="11" t="s">
        <v>0</v>
      </c>
      <c r="W236" s="11" t="s">
        <v>0</v>
      </c>
      <c r="X236" s="11" t="s">
        <v>0</v>
      </c>
      <c r="Y236" s="11" t="s">
        <v>0</v>
      </c>
      <c r="Z236" s="11" t="s">
        <v>0</v>
      </c>
      <c r="AA236" s="11" t="s">
        <v>0</v>
      </c>
      <c r="AB236" s="11" t="s">
        <v>0</v>
      </c>
      <c r="AC236" s="11" t="s">
        <v>0</v>
      </c>
      <c r="AD236" s="11" t="s">
        <v>0</v>
      </c>
    </row>
    <row r="237">
      <c r="B237" s="12" t="s">
        <v>0</v>
      </c>
      <c r="C237" s="11" t="s">
        <v>0</v>
      </c>
      <c r="D237" s="11" t="s">
        <v>0</v>
      </c>
      <c r="E237" s="12" t="s">
        <v>0</v>
      </c>
      <c r="F237" s="12" t="s">
        <v>0</v>
      </c>
      <c r="G237" s="12" t="s">
        <v>0</v>
      </c>
      <c r="H237" s="12" t="s">
        <v>0</v>
      </c>
      <c r="I237" s="12" t="s">
        <v>0</v>
      </c>
      <c r="J237" s="12" t="s">
        <v>0</v>
      </c>
      <c r="K237" s="12" t="s">
        <v>0</v>
      </c>
      <c r="L237" s="13" t="s">
        <v>0</v>
      </c>
      <c r="M237" s="11" t="s">
        <v>0</v>
      </c>
      <c r="N237" s="11" t="s">
        <v>0</v>
      </c>
      <c r="O237" s="11" t="s">
        <v>0</v>
      </c>
      <c r="P237" s="11" t="s">
        <v>0</v>
      </c>
      <c r="Q237" s="11" t="s">
        <v>0</v>
      </c>
      <c r="R237" s="11" t="s">
        <v>0</v>
      </c>
      <c r="S237" s="11" t="s">
        <v>0</v>
      </c>
      <c r="T237" s="11" t="s">
        <v>0</v>
      </c>
      <c r="U237" s="11" t="s">
        <v>0</v>
      </c>
      <c r="V237" s="11" t="s">
        <v>0</v>
      </c>
      <c r="W237" s="11" t="s">
        <v>0</v>
      </c>
      <c r="X237" s="11" t="s">
        <v>0</v>
      </c>
      <c r="Y237" s="11" t="s">
        <v>0</v>
      </c>
      <c r="Z237" s="11" t="s">
        <v>0</v>
      </c>
      <c r="AA237" s="11" t="s">
        <v>0</v>
      </c>
      <c r="AB237" s="11" t="s">
        <v>0</v>
      </c>
      <c r="AC237" s="11" t="s">
        <v>0</v>
      </c>
      <c r="AD237" s="11" t="s">
        <v>0</v>
      </c>
    </row>
    <row r="238">
      <c r="B238" s="12" t="s">
        <v>0</v>
      </c>
      <c r="C238" s="11" t="s">
        <v>0</v>
      </c>
      <c r="D238" s="11" t="s">
        <v>0</v>
      </c>
      <c r="E238" s="12" t="s">
        <v>0</v>
      </c>
      <c r="F238" s="12" t="s">
        <v>0</v>
      </c>
      <c r="G238" s="12" t="s">
        <v>0</v>
      </c>
      <c r="H238" s="12" t="s">
        <v>0</v>
      </c>
      <c r="I238" s="12" t="s">
        <v>0</v>
      </c>
      <c r="J238" s="12" t="s">
        <v>0</v>
      </c>
      <c r="K238" s="12" t="s">
        <v>0</v>
      </c>
      <c r="L238" s="13" t="s">
        <v>0</v>
      </c>
      <c r="M238" s="11" t="s">
        <v>0</v>
      </c>
      <c r="N238" s="11" t="s">
        <v>0</v>
      </c>
      <c r="O238" s="11" t="s">
        <v>0</v>
      </c>
      <c r="P238" s="11" t="s">
        <v>0</v>
      </c>
      <c r="Q238" s="11" t="s">
        <v>0</v>
      </c>
      <c r="R238" s="11" t="s">
        <v>0</v>
      </c>
      <c r="S238" s="11" t="s">
        <v>0</v>
      </c>
      <c r="T238" s="11" t="s">
        <v>0</v>
      </c>
      <c r="U238" s="11" t="s">
        <v>0</v>
      </c>
      <c r="V238" s="11" t="s">
        <v>0</v>
      </c>
      <c r="W238" s="11" t="s">
        <v>0</v>
      </c>
      <c r="X238" s="11" t="s">
        <v>0</v>
      </c>
      <c r="Y238" s="11" t="s">
        <v>0</v>
      </c>
      <c r="Z238" s="11" t="s">
        <v>0</v>
      </c>
      <c r="AA238" s="11" t="s">
        <v>0</v>
      </c>
      <c r="AB238" s="11" t="s">
        <v>0</v>
      </c>
      <c r="AC238" s="11" t="s">
        <v>0</v>
      </c>
      <c r="AD238" s="11" t="s">
        <v>0</v>
      </c>
    </row>
    <row r="239">
      <c r="B239" s="12" t="s">
        <v>0</v>
      </c>
      <c r="C239" s="11" t="s">
        <v>0</v>
      </c>
      <c r="D239" s="11" t="s">
        <v>0</v>
      </c>
      <c r="E239" s="12" t="s">
        <v>0</v>
      </c>
      <c r="F239" s="12" t="s">
        <v>0</v>
      </c>
      <c r="G239" s="12" t="s">
        <v>0</v>
      </c>
      <c r="H239" s="12" t="s">
        <v>0</v>
      </c>
      <c r="I239" s="12" t="s">
        <v>0</v>
      </c>
      <c r="J239" s="12" t="s">
        <v>0</v>
      </c>
      <c r="K239" s="12" t="s">
        <v>0</v>
      </c>
      <c r="L239" s="13" t="s">
        <v>0</v>
      </c>
      <c r="M239" s="11" t="s">
        <v>0</v>
      </c>
      <c r="N239" s="11" t="s">
        <v>0</v>
      </c>
      <c r="O239" s="11" t="s">
        <v>0</v>
      </c>
      <c r="P239" s="11" t="s">
        <v>0</v>
      </c>
      <c r="Q239" s="11" t="s">
        <v>0</v>
      </c>
      <c r="R239" s="11" t="s">
        <v>0</v>
      </c>
      <c r="S239" s="11" t="s">
        <v>0</v>
      </c>
      <c r="T239" s="11" t="s">
        <v>0</v>
      </c>
      <c r="U239" s="11" t="s">
        <v>0</v>
      </c>
      <c r="V239" s="11" t="s">
        <v>0</v>
      </c>
      <c r="W239" s="11" t="s">
        <v>0</v>
      </c>
      <c r="X239" s="11" t="s">
        <v>0</v>
      </c>
      <c r="Y239" s="11" t="s">
        <v>0</v>
      </c>
      <c r="Z239" s="11" t="s">
        <v>0</v>
      </c>
      <c r="AA239" s="11" t="s">
        <v>0</v>
      </c>
      <c r="AB239" s="11" t="s">
        <v>0</v>
      </c>
      <c r="AC239" s="11" t="s">
        <v>0</v>
      </c>
      <c r="AD239" s="11" t="s">
        <v>0</v>
      </c>
    </row>
    <row r="240">
      <c r="B240" s="12" t="s">
        <v>0</v>
      </c>
      <c r="C240" s="11" t="s">
        <v>0</v>
      </c>
      <c r="D240" s="11" t="s">
        <v>0</v>
      </c>
      <c r="E240" s="12" t="s">
        <v>0</v>
      </c>
      <c r="F240" s="12" t="s">
        <v>0</v>
      </c>
      <c r="G240" s="12" t="s">
        <v>0</v>
      </c>
      <c r="H240" s="12" t="s">
        <v>0</v>
      </c>
      <c r="I240" s="12" t="s">
        <v>0</v>
      </c>
      <c r="J240" s="12" t="s">
        <v>0</v>
      </c>
      <c r="K240" s="12" t="s">
        <v>0</v>
      </c>
      <c r="L240" s="13" t="s">
        <v>0</v>
      </c>
      <c r="M240" s="11" t="s">
        <v>0</v>
      </c>
      <c r="N240" s="11" t="s">
        <v>0</v>
      </c>
      <c r="O240" s="11" t="s">
        <v>0</v>
      </c>
      <c r="P240" s="11" t="s">
        <v>0</v>
      </c>
      <c r="Q240" s="11" t="s">
        <v>0</v>
      </c>
      <c r="R240" s="11" t="s">
        <v>0</v>
      </c>
      <c r="S240" s="11" t="s">
        <v>0</v>
      </c>
      <c r="T240" s="11" t="s">
        <v>0</v>
      </c>
      <c r="U240" s="11" t="s">
        <v>0</v>
      </c>
      <c r="V240" s="11" t="s">
        <v>0</v>
      </c>
      <c r="W240" s="11" t="s">
        <v>0</v>
      </c>
      <c r="X240" s="11" t="s">
        <v>0</v>
      </c>
      <c r="Y240" s="11" t="s">
        <v>0</v>
      </c>
      <c r="Z240" s="11" t="s">
        <v>0</v>
      </c>
      <c r="AA240" s="11" t="s">
        <v>0</v>
      </c>
      <c r="AB240" s="11" t="s">
        <v>0</v>
      </c>
      <c r="AC240" s="11" t="s">
        <v>0</v>
      </c>
      <c r="AD240" s="11" t="s">
        <v>0</v>
      </c>
    </row>
    <row r="241">
      <c r="B241" s="12" t="s">
        <v>0</v>
      </c>
      <c r="C241" s="11" t="s">
        <v>0</v>
      </c>
      <c r="D241" s="11" t="s">
        <v>0</v>
      </c>
      <c r="E241" s="12" t="s">
        <v>0</v>
      </c>
      <c r="F241" s="12" t="s">
        <v>0</v>
      </c>
      <c r="G241" s="12" t="s">
        <v>0</v>
      </c>
      <c r="H241" s="12" t="s">
        <v>0</v>
      </c>
      <c r="I241" s="12" t="s">
        <v>0</v>
      </c>
      <c r="J241" s="12" t="s">
        <v>0</v>
      </c>
      <c r="K241" s="12" t="s">
        <v>0</v>
      </c>
      <c r="L241" s="13" t="s">
        <v>0</v>
      </c>
      <c r="M241" s="11" t="s">
        <v>0</v>
      </c>
      <c r="N241" s="11" t="s">
        <v>0</v>
      </c>
      <c r="O241" s="11" t="s">
        <v>0</v>
      </c>
      <c r="P241" s="11" t="s">
        <v>0</v>
      </c>
      <c r="Q241" s="11" t="s">
        <v>0</v>
      </c>
      <c r="R241" s="11" t="s">
        <v>0</v>
      </c>
      <c r="S241" s="11" t="s">
        <v>0</v>
      </c>
      <c r="T241" s="11" t="s">
        <v>0</v>
      </c>
      <c r="U241" s="11" t="s">
        <v>0</v>
      </c>
      <c r="V241" s="11" t="s">
        <v>0</v>
      </c>
      <c r="W241" s="11" t="s">
        <v>0</v>
      </c>
      <c r="X241" s="11" t="s">
        <v>0</v>
      </c>
      <c r="Y241" s="11" t="s">
        <v>0</v>
      </c>
      <c r="Z241" s="11" t="s">
        <v>0</v>
      </c>
      <c r="AA241" s="11" t="s">
        <v>0</v>
      </c>
      <c r="AB241" s="11" t="s">
        <v>0</v>
      </c>
      <c r="AC241" s="11" t="s">
        <v>0</v>
      </c>
      <c r="AD241" s="11" t="s">
        <v>0</v>
      </c>
    </row>
    <row r="242">
      <c r="B242" s="12" t="s">
        <v>0</v>
      </c>
      <c r="C242" s="11" t="s">
        <v>0</v>
      </c>
      <c r="D242" s="11" t="s">
        <v>0</v>
      </c>
      <c r="E242" s="12" t="s">
        <v>0</v>
      </c>
      <c r="F242" s="12" t="s">
        <v>0</v>
      </c>
      <c r="G242" s="12" t="s">
        <v>0</v>
      </c>
      <c r="H242" s="12" t="s">
        <v>0</v>
      </c>
      <c r="I242" s="12" t="s">
        <v>0</v>
      </c>
      <c r="J242" s="12" t="s">
        <v>0</v>
      </c>
      <c r="K242" s="12" t="s">
        <v>0</v>
      </c>
      <c r="L242" s="13" t="s">
        <v>0</v>
      </c>
      <c r="M242" s="11" t="s">
        <v>0</v>
      </c>
      <c r="N242" s="11" t="s">
        <v>0</v>
      </c>
      <c r="O242" s="11" t="s">
        <v>0</v>
      </c>
      <c r="P242" s="11" t="s">
        <v>0</v>
      </c>
      <c r="Q242" s="11" t="s">
        <v>0</v>
      </c>
      <c r="R242" s="11" t="s">
        <v>0</v>
      </c>
      <c r="S242" s="11" t="s">
        <v>0</v>
      </c>
      <c r="T242" s="11" t="s">
        <v>0</v>
      </c>
      <c r="U242" s="11" t="s">
        <v>0</v>
      </c>
      <c r="V242" s="11" t="s">
        <v>0</v>
      </c>
      <c r="W242" s="11" t="s">
        <v>0</v>
      </c>
      <c r="X242" s="11" t="s">
        <v>0</v>
      </c>
      <c r="Y242" s="11" t="s">
        <v>0</v>
      </c>
      <c r="Z242" s="11" t="s">
        <v>0</v>
      </c>
      <c r="AA242" s="11" t="s">
        <v>0</v>
      </c>
      <c r="AB242" s="11" t="s">
        <v>0</v>
      </c>
      <c r="AC242" s="11" t="s">
        <v>0</v>
      </c>
      <c r="AD242" s="11" t="s">
        <v>0</v>
      </c>
    </row>
    <row r="243">
      <c r="B243" s="12" t="s">
        <v>0</v>
      </c>
      <c r="C243" s="11" t="s">
        <v>0</v>
      </c>
      <c r="D243" s="11" t="s">
        <v>0</v>
      </c>
      <c r="E243" s="12" t="s">
        <v>0</v>
      </c>
      <c r="F243" s="12" t="s">
        <v>0</v>
      </c>
      <c r="G243" s="12" t="s">
        <v>0</v>
      </c>
      <c r="H243" s="12" t="s">
        <v>0</v>
      </c>
      <c r="I243" s="12" t="s">
        <v>0</v>
      </c>
      <c r="J243" s="12" t="s">
        <v>0</v>
      </c>
      <c r="K243" s="12" t="s">
        <v>0</v>
      </c>
      <c r="L243" s="13" t="s">
        <v>0</v>
      </c>
      <c r="M243" s="11" t="s">
        <v>0</v>
      </c>
      <c r="N243" s="11" t="s">
        <v>0</v>
      </c>
      <c r="O243" s="11" t="s">
        <v>0</v>
      </c>
      <c r="P243" s="11" t="s">
        <v>0</v>
      </c>
      <c r="Q243" s="11" t="s">
        <v>0</v>
      </c>
      <c r="R243" s="11" t="s">
        <v>0</v>
      </c>
      <c r="S243" s="11" t="s">
        <v>0</v>
      </c>
      <c r="T243" s="11" t="s">
        <v>0</v>
      </c>
      <c r="U243" s="11" t="s">
        <v>0</v>
      </c>
      <c r="V243" s="11" t="s">
        <v>0</v>
      </c>
      <c r="W243" s="11" t="s">
        <v>0</v>
      </c>
      <c r="X243" s="11" t="s">
        <v>0</v>
      </c>
      <c r="Y243" s="11" t="s">
        <v>0</v>
      </c>
      <c r="Z243" s="11" t="s">
        <v>0</v>
      </c>
      <c r="AA243" s="11" t="s">
        <v>0</v>
      </c>
      <c r="AB243" s="11" t="s">
        <v>0</v>
      </c>
      <c r="AC243" s="11" t="s">
        <v>0</v>
      </c>
      <c r="AD243" s="11" t="s">
        <v>0</v>
      </c>
    </row>
    <row r="244">
      <c r="B244" s="12" t="s">
        <v>0</v>
      </c>
      <c r="C244" s="11" t="s">
        <v>0</v>
      </c>
      <c r="D244" s="11" t="s">
        <v>0</v>
      </c>
      <c r="E244" s="12" t="s">
        <v>0</v>
      </c>
      <c r="F244" s="12" t="s">
        <v>0</v>
      </c>
      <c r="G244" s="12" t="s">
        <v>0</v>
      </c>
      <c r="H244" s="12" t="s">
        <v>0</v>
      </c>
      <c r="I244" s="12" t="s">
        <v>0</v>
      </c>
      <c r="J244" s="12" t="s">
        <v>0</v>
      </c>
      <c r="K244" s="12" t="s">
        <v>0</v>
      </c>
      <c r="L244" s="13" t="s">
        <v>0</v>
      </c>
      <c r="M244" s="11" t="s">
        <v>0</v>
      </c>
      <c r="N244" s="11" t="s">
        <v>0</v>
      </c>
      <c r="O244" s="11" t="s">
        <v>0</v>
      </c>
      <c r="P244" s="11" t="s">
        <v>0</v>
      </c>
      <c r="Q244" s="11" t="s">
        <v>0</v>
      </c>
      <c r="R244" s="11" t="s">
        <v>0</v>
      </c>
      <c r="S244" s="11" t="s">
        <v>0</v>
      </c>
      <c r="T244" s="11" t="s">
        <v>0</v>
      </c>
      <c r="U244" s="11" t="s">
        <v>0</v>
      </c>
      <c r="V244" s="11" t="s">
        <v>0</v>
      </c>
      <c r="W244" s="11" t="s">
        <v>0</v>
      </c>
      <c r="X244" s="11" t="s">
        <v>0</v>
      </c>
      <c r="Y244" s="11" t="s">
        <v>0</v>
      </c>
      <c r="Z244" s="11" t="s">
        <v>0</v>
      </c>
      <c r="AA244" s="11" t="s">
        <v>0</v>
      </c>
      <c r="AB244" s="11" t="s">
        <v>0</v>
      </c>
      <c r="AC244" s="11" t="s">
        <v>0</v>
      </c>
      <c r="AD244" s="11" t="s">
        <v>0</v>
      </c>
    </row>
    <row r="245">
      <c r="B245" s="12" t="s">
        <v>0</v>
      </c>
      <c r="C245" s="11" t="s">
        <v>0</v>
      </c>
      <c r="D245" s="11" t="s">
        <v>0</v>
      </c>
      <c r="E245" s="12" t="s">
        <v>0</v>
      </c>
      <c r="F245" s="12" t="s">
        <v>0</v>
      </c>
      <c r="G245" s="12" t="s">
        <v>0</v>
      </c>
      <c r="H245" s="12" t="s">
        <v>0</v>
      </c>
      <c r="I245" s="12" t="s">
        <v>0</v>
      </c>
      <c r="J245" s="12" t="s">
        <v>0</v>
      </c>
      <c r="K245" s="12" t="s">
        <v>0</v>
      </c>
      <c r="L245" s="13" t="s">
        <v>0</v>
      </c>
      <c r="M245" s="11" t="s">
        <v>0</v>
      </c>
      <c r="N245" s="11" t="s">
        <v>0</v>
      </c>
      <c r="O245" s="11" t="s">
        <v>0</v>
      </c>
      <c r="P245" s="11" t="s">
        <v>0</v>
      </c>
      <c r="Q245" s="11" t="s">
        <v>0</v>
      </c>
      <c r="R245" s="11" t="s">
        <v>0</v>
      </c>
      <c r="S245" s="11" t="s">
        <v>0</v>
      </c>
      <c r="T245" s="11" t="s">
        <v>0</v>
      </c>
      <c r="U245" s="11" t="s">
        <v>0</v>
      </c>
      <c r="V245" s="11" t="s">
        <v>0</v>
      </c>
      <c r="W245" s="11" t="s">
        <v>0</v>
      </c>
      <c r="X245" s="11" t="s">
        <v>0</v>
      </c>
      <c r="Y245" s="11" t="s">
        <v>0</v>
      </c>
      <c r="Z245" s="11" t="s">
        <v>0</v>
      </c>
      <c r="AA245" s="11" t="s">
        <v>0</v>
      </c>
      <c r="AB245" s="11" t="s">
        <v>0</v>
      </c>
      <c r="AC245" s="11" t="s">
        <v>0</v>
      </c>
      <c r="AD245" s="11" t="s">
        <v>0</v>
      </c>
    </row>
    <row r="246">
      <c r="B246" s="12" t="s">
        <v>0</v>
      </c>
      <c r="C246" s="11" t="s">
        <v>0</v>
      </c>
      <c r="D246" s="11" t="s">
        <v>0</v>
      </c>
      <c r="E246" s="12" t="s">
        <v>0</v>
      </c>
      <c r="F246" s="12" t="s">
        <v>0</v>
      </c>
      <c r="G246" s="12" t="s">
        <v>0</v>
      </c>
      <c r="H246" s="12" t="s">
        <v>0</v>
      </c>
      <c r="I246" s="12" t="s">
        <v>0</v>
      </c>
      <c r="J246" s="12" t="s">
        <v>0</v>
      </c>
      <c r="K246" s="12" t="s">
        <v>0</v>
      </c>
      <c r="L246" s="13" t="s">
        <v>0</v>
      </c>
      <c r="M246" s="11" t="s">
        <v>0</v>
      </c>
      <c r="N246" s="11" t="s">
        <v>0</v>
      </c>
      <c r="O246" s="11" t="s">
        <v>0</v>
      </c>
      <c r="P246" s="11" t="s">
        <v>0</v>
      </c>
      <c r="Q246" s="11" t="s">
        <v>0</v>
      </c>
      <c r="R246" s="11" t="s">
        <v>0</v>
      </c>
      <c r="S246" s="11" t="s">
        <v>0</v>
      </c>
      <c r="T246" s="11" t="s">
        <v>0</v>
      </c>
      <c r="U246" s="11" t="s">
        <v>0</v>
      </c>
      <c r="V246" s="11" t="s">
        <v>0</v>
      </c>
      <c r="W246" s="11" t="s">
        <v>0</v>
      </c>
      <c r="X246" s="11" t="s">
        <v>0</v>
      </c>
      <c r="Y246" s="11" t="s">
        <v>0</v>
      </c>
      <c r="Z246" s="11" t="s">
        <v>0</v>
      </c>
      <c r="AA246" s="11" t="s">
        <v>0</v>
      </c>
      <c r="AB246" s="11" t="s">
        <v>0</v>
      </c>
      <c r="AC246" s="11" t="s">
        <v>0</v>
      </c>
      <c r="AD246" s="11" t="s">
        <v>0</v>
      </c>
    </row>
    <row r="247">
      <c r="B247" s="12" t="s">
        <v>0</v>
      </c>
      <c r="C247" s="11" t="s">
        <v>0</v>
      </c>
      <c r="D247" s="11" t="s">
        <v>0</v>
      </c>
      <c r="E247" s="12" t="s">
        <v>0</v>
      </c>
      <c r="F247" s="12" t="s">
        <v>0</v>
      </c>
      <c r="G247" s="12" t="s">
        <v>0</v>
      </c>
      <c r="H247" s="12" t="s">
        <v>0</v>
      </c>
      <c r="I247" s="12" t="s">
        <v>0</v>
      </c>
      <c r="J247" s="12" t="s">
        <v>0</v>
      </c>
      <c r="K247" s="12" t="s">
        <v>0</v>
      </c>
      <c r="L247" s="13" t="s">
        <v>0</v>
      </c>
      <c r="M247" s="11" t="s">
        <v>0</v>
      </c>
      <c r="N247" s="11" t="s">
        <v>0</v>
      </c>
      <c r="O247" s="11" t="s">
        <v>0</v>
      </c>
      <c r="P247" s="11" t="s">
        <v>0</v>
      </c>
      <c r="Q247" s="11" t="s">
        <v>0</v>
      </c>
      <c r="R247" s="11" t="s">
        <v>0</v>
      </c>
      <c r="S247" s="11" t="s">
        <v>0</v>
      </c>
      <c r="T247" s="11" t="s">
        <v>0</v>
      </c>
      <c r="U247" s="11" t="s">
        <v>0</v>
      </c>
      <c r="V247" s="11" t="s">
        <v>0</v>
      </c>
      <c r="W247" s="11" t="s">
        <v>0</v>
      </c>
      <c r="X247" s="11" t="s">
        <v>0</v>
      </c>
      <c r="Y247" s="11" t="s">
        <v>0</v>
      </c>
      <c r="Z247" s="11" t="s">
        <v>0</v>
      </c>
      <c r="AA247" s="11" t="s">
        <v>0</v>
      </c>
      <c r="AB247" s="11" t="s">
        <v>0</v>
      </c>
      <c r="AC247" s="11" t="s">
        <v>0</v>
      </c>
      <c r="AD247" s="11" t="s">
        <v>0</v>
      </c>
    </row>
    <row r="248">
      <c r="B248" s="12" t="s">
        <v>0</v>
      </c>
      <c r="C248" s="11" t="s">
        <v>0</v>
      </c>
      <c r="D248" s="11" t="s">
        <v>0</v>
      </c>
      <c r="E248" s="12" t="s">
        <v>0</v>
      </c>
      <c r="F248" s="12" t="s">
        <v>0</v>
      </c>
      <c r="G248" s="12" t="s">
        <v>0</v>
      </c>
      <c r="H248" s="12" t="s">
        <v>0</v>
      </c>
      <c r="I248" s="12" t="s">
        <v>0</v>
      </c>
      <c r="J248" s="12" t="s">
        <v>0</v>
      </c>
      <c r="K248" s="12" t="s">
        <v>0</v>
      </c>
      <c r="L248" s="13" t="s">
        <v>0</v>
      </c>
      <c r="M248" s="11" t="s">
        <v>0</v>
      </c>
      <c r="N248" s="11" t="s">
        <v>0</v>
      </c>
      <c r="O248" s="11" t="s">
        <v>0</v>
      </c>
      <c r="P248" s="11" t="s">
        <v>0</v>
      </c>
      <c r="Q248" s="11" t="s">
        <v>0</v>
      </c>
      <c r="R248" s="11" t="s">
        <v>0</v>
      </c>
      <c r="S248" s="11" t="s">
        <v>0</v>
      </c>
      <c r="T248" s="11" t="s">
        <v>0</v>
      </c>
      <c r="U248" s="11" t="s">
        <v>0</v>
      </c>
      <c r="V248" s="11" t="s">
        <v>0</v>
      </c>
      <c r="W248" s="11" t="s">
        <v>0</v>
      </c>
      <c r="X248" s="11" t="s">
        <v>0</v>
      </c>
      <c r="Y248" s="11" t="s">
        <v>0</v>
      </c>
      <c r="Z248" s="11" t="s">
        <v>0</v>
      </c>
      <c r="AA248" s="11" t="s">
        <v>0</v>
      </c>
      <c r="AB248" s="11" t="s">
        <v>0</v>
      </c>
      <c r="AC248" s="11" t="s">
        <v>0</v>
      </c>
      <c r="AD248" s="11" t="s">
        <v>0</v>
      </c>
    </row>
    <row r="249">
      <c r="B249" s="12" t="s">
        <v>0</v>
      </c>
      <c r="C249" s="11" t="s">
        <v>0</v>
      </c>
      <c r="D249" s="11" t="s">
        <v>0</v>
      </c>
      <c r="E249" s="12" t="s">
        <v>0</v>
      </c>
      <c r="F249" s="12" t="s">
        <v>0</v>
      </c>
      <c r="G249" s="12" t="s">
        <v>0</v>
      </c>
      <c r="H249" s="12" t="s">
        <v>0</v>
      </c>
      <c r="I249" s="12" t="s">
        <v>0</v>
      </c>
      <c r="J249" s="12" t="s">
        <v>0</v>
      </c>
      <c r="K249" s="12" t="s">
        <v>0</v>
      </c>
      <c r="L249" s="13" t="s">
        <v>0</v>
      </c>
      <c r="M249" s="11" t="s">
        <v>0</v>
      </c>
      <c r="N249" s="11" t="s">
        <v>0</v>
      </c>
      <c r="O249" s="11" t="s">
        <v>0</v>
      </c>
      <c r="P249" s="11" t="s">
        <v>0</v>
      </c>
      <c r="Q249" s="11" t="s">
        <v>0</v>
      </c>
      <c r="R249" s="11" t="s">
        <v>0</v>
      </c>
      <c r="S249" s="11" t="s">
        <v>0</v>
      </c>
      <c r="T249" s="11" t="s">
        <v>0</v>
      </c>
      <c r="U249" s="11" t="s">
        <v>0</v>
      </c>
      <c r="V249" s="11" t="s">
        <v>0</v>
      </c>
      <c r="W249" s="11" t="s">
        <v>0</v>
      </c>
      <c r="X249" s="11" t="s">
        <v>0</v>
      </c>
      <c r="Y249" s="11" t="s">
        <v>0</v>
      </c>
      <c r="Z249" s="11" t="s">
        <v>0</v>
      </c>
      <c r="AA249" s="11" t="s">
        <v>0</v>
      </c>
      <c r="AB249" s="11" t="s">
        <v>0</v>
      </c>
      <c r="AC249" s="11" t="s">
        <v>0</v>
      </c>
      <c r="AD249" s="11" t="s">
        <v>0</v>
      </c>
    </row>
    <row r="250">
      <c r="B250" s="12" t="s">
        <v>0</v>
      </c>
      <c r="C250" s="11" t="s">
        <v>0</v>
      </c>
      <c r="D250" s="11" t="s">
        <v>0</v>
      </c>
      <c r="E250" s="12" t="s">
        <v>0</v>
      </c>
      <c r="F250" s="12" t="s">
        <v>0</v>
      </c>
      <c r="G250" s="12" t="s">
        <v>0</v>
      </c>
      <c r="H250" s="12" t="s">
        <v>0</v>
      </c>
      <c r="I250" s="12" t="s">
        <v>0</v>
      </c>
      <c r="J250" s="12" t="s">
        <v>0</v>
      </c>
      <c r="K250" s="12" t="s">
        <v>0</v>
      </c>
      <c r="L250" s="13" t="s">
        <v>0</v>
      </c>
      <c r="M250" s="11" t="s">
        <v>0</v>
      </c>
      <c r="N250" s="11" t="s">
        <v>0</v>
      </c>
      <c r="O250" s="11" t="s">
        <v>0</v>
      </c>
      <c r="P250" s="11" t="s">
        <v>0</v>
      </c>
      <c r="Q250" s="11" t="s">
        <v>0</v>
      </c>
      <c r="R250" s="11" t="s">
        <v>0</v>
      </c>
      <c r="S250" s="11" t="s">
        <v>0</v>
      </c>
      <c r="T250" s="11" t="s">
        <v>0</v>
      </c>
      <c r="U250" s="11" t="s">
        <v>0</v>
      </c>
      <c r="V250" s="11" t="s">
        <v>0</v>
      </c>
      <c r="W250" s="11" t="s">
        <v>0</v>
      </c>
      <c r="X250" s="11" t="s">
        <v>0</v>
      </c>
      <c r="Y250" s="11" t="s">
        <v>0</v>
      </c>
      <c r="Z250" s="11" t="s">
        <v>0</v>
      </c>
      <c r="AA250" s="11" t="s">
        <v>0</v>
      </c>
      <c r="AB250" s="11" t="s">
        <v>0</v>
      </c>
      <c r="AC250" s="11" t="s">
        <v>0</v>
      </c>
      <c r="AD250" s="11" t="s">
        <v>0</v>
      </c>
    </row>
    <row r="251">
      <c r="B251" s="12" t="s">
        <v>0</v>
      </c>
      <c r="C251" s="11" t="s">
        <v>0</v>
      </c>
      <c r="D251" s="11" t="s">
        <v>0</v>
      </c>
      <c r="E251" s="12" t="s">
        <v>0</v>
      </c>
      <c r="F251" s="12" t="s">
        <v>0</v>
      </c>
      <c r="G251" s="12" t="s">
        <v>0</v>
      </c>
      <c r="H251" s="12" t="s">
        <v>0</v>
      </c>
      <c r="I251" s="12" t="s">
        <v>0</v>
      </c>
      <c r="J251" s="12" t="s">
        <v>0</v>
      </c>
      <c r="K251" s="12" t="s">
        <v>0</v>
      </c>
      <c r="L251" s="13" t="s">
        <v>0</v>
      </c>
      <c r="M251" s="11" t="s">
        <v>0</v>
      </c>
      <c r="N251" s="11" t="s">
        <v>0</v>
      </c>
      <c r="O251" s="11" t="s">
        <v>0</v>
      </c>
      <c r="P251" s="11" t="s">
        <v>0</v>
      </c>
      <c r="Q251" s="11" t="s">
        <v>0</v>
      </c>
      <c r="R251" s="11" t="s">
        <v>0</v>
      </c>
      <c r="S251" s="11" t="s">
        <v>0</v>
      </c>
      <c r="T251" s="11" t="s">
        <v>0</v>
      </c>
      <c r="U251" s="11" t="s">
        <v>0</v>
      </c>
      <c r="V251" s="11" t="s">
        <v>0</v>
      </c>
      <c r="W251" s="11" t="s">
        <v>0</v>
      </c>
      <c r="X251" s="11" t="s">
        <v>0</v>
      </c>
      <c r="Y251" s="11" t="s">
        <v>0</v>
      </c>
      <c r="Z251" s="11" t="s">
        <v>0</v>
      </c>
      <c r="AA251" s="11" t="s">
        <v>0</v>
      </c>
      <c r="AB251" s="11" t="s">
        <v>0</v>
      </c>
      <c r="AC251" s="11" t="s">
        <v>0</v>
      </c>
      <c r="AD251" s="11" t="s">
        <v>0</v>
      </c>
    </row>
    <row r="252">
      <c r="B252" s="12" t="s">
        <v>0</v>
      </c>
      <c r="C252" s="11" t="s">
        <v>0</v>
      </c>
      <c r="D252" s="11" t="s">
        <v>0</v>
      </c>
      <c r="E252" s="12" t="s">
        <v>0</v>
      </c>
      <c r="F252" s="12" t="s">
        <v>0</v>
      </c>
      <c r="G252" s="12" t="s">
        <v>0</v>
      </c>
      <c r="H252" s="12" t="s">
        <v>0</v>
      </c>
      <c r="I252" s="12" t="s">
        <v>0</v>
      </c>
      <c r="J252" s="12" t="s">
        <v>0</v>
      </c>
      <c r="K252" s="12" t="s">
        <v>0</v>
      </c>
      <c r="L252" s="13" t="s">
        <v>0</v>
      </c>
      <c r="M252" s="11" t="s">
        <v>0</v>
      </c>
      <c r="N252" s="11" t="s">
        <v>0</v>
      </c>
      <c r="O252" s="11" t="s">
        <v>0</v>
      </c>
      <c r="P252" s="11" t="s">
        <v>0</v>
      </c>
      <c r="Q252" s="11" t="s">
        <v>0</v>
      </c>
      <c r="R252" s="11" t="s">
        <v>0</v>
      </c>
      <c r="S252" s="11" t="s">
        <v>0</v>
      </c>
      <c r="T252" s="11" t="s">
        <v>0</v>
      </c>
      <c r="U252" s="11" t="s">
        <v>0</v>
      </c>
      <c r="V252" s="11" t="s">
        <v>0</v>
      </c>
      <c r="W252" s="11" t="s">
        <v>0</v>
      </c>
      <c r="X252" s="11" t="s">
        <v>0</v>
      </c>
      <c r="Y252" s="11" t="s">
        <v>0</v>
      </c>
      <c r="Z252" s="11" t="s">
        <v>0</v>
      </c>
      <c r="AA252" s="11" t="s">
        <v>0</v>
      </c>
      <c r="AB252" s="11" t="s">
        <v>0</v>
      </c>
      <c r="AC252" s="11" t="s">
        <v>0</v>
      </c>
      <c r="AD252" s="11" t="s">
        <v>0</v>
      </c>
    </row>
    <row r="253">
      <c r="B253" s="12" t="s">
        <v>0</v>
      </c>
      <c r="C253" s="11" t="s">
        <v>0</v>
      </c>
      <c r="D253" s="11" t="s">
        <v>0</v>
      </c>
      <c r="E253" s="12" t="s">
        <v>0</v>
      </c>
      <c r="F253" s="12" t="s">
        <v>0</v>
      </c>
      <c r="G253" s="12" t="s">
        <v>0</v>
      </c>
      <c r="H253" s="12" t="s">
        <v>0</v>
      </c>
      <c r="I253" s="12" t="s">
        <v>0</v>
      </c>
      <c r="J253" s="12" t="s">
        <v>0</v>
      </c>
      <c r="K253" s="12" t="s">
        <v>0</v>
      </c>
      <c r="L253" s="13" t="s">
        <v>0</v>
      </c>
      <c r="M253" s="11" t="s">
        <v>0</v>
      </c>
      <c r="N253" s="11" t="s">
        <v>0</v>
      </c>
      <c r="O253" s="11" t="s">
        <v>0</v>
      </c>
      <c r="P253" s="11" t="s">
        <v>0</v>
      </c>
      <c r="Q253" s="11" t="s">
        <v>0</v>
      </c>
      <c r="R253" s="11" t="s">
        <v>0</v>
      </c>
      <c r="S253" s="11" t="s">
        <v>0</v>
      </c>
      <c r="T253" s="11" t="s">
        <v>0</v>
      </c>
      <c r="U253" s="11" t="s">
        <v>0</v>
      </c>
      <c r="V253" s="11" t="s">
        <v>0</v>
      </c>
      <c r="W253" s="11" t="s">
        <v>0</v>
      </c>
      <c r="X253" s="11" t="s">
        <v>0</v>
      </c>
      <c r="Y253" s="11" t="s">
        <v>0</v>
      </c>
      <c r="Z253" s="11" t="s">
        <v>0</v>
      </c>
      <c r="AA253" s="11" t="s">
        <v>0</v>
      </c>
      <c r="AB253" s="11" t="s">
        <v>0</v>
      </c>
      <c r="AC253" s="11" t="s">
        <v>0</v>
      </c>
      <c r="AD253" s="11" t="s">
        <v>0</v>
      </c>
    </row>
    <row r="254">
      <c r="B254" s="12" t="s">
        <v>0</v>
      </c>
      <c r="C254" s="11" t="s">
        <v>0</v>
      </c>
      <c r="D254" s="11" t="s">
        <v>0</v>
      </c>
      <c r="E254" s="12" t="s">
        <v>0</v>
      </c>
      <c r="F254" s="12" t="s">
        <v>0</v>
      </c>
      <c r="G254" s="12" t="s">
        <v>0</v>
      </c>
      <c r="H254" s="12" t="s">
        <v>0</v>
      </c>
      <c r="I254" s="12" t="s">
        <v>0</v>
      </c>
      <c r="J254" s="12" t="s">
        <v>0</v>
      </c>
      <c r="K254" s="12" t="s">
        <v>0</v>
      </c>
      <c r="L254" s="13" t="s">
        <v>0</v>
      </c>
      <c r="M254" s="11" t="s">
        <v>0</v>
      </c>
      <c r="N254" s="11" t="s">
        <v>0</v>
      </c>
      <c r="O254" s="11" t="s">
        <v>0</v>
      </c>
      <c r="P254" s="11" t="s">
        <v>0</v>
      </c>
      <c r="Q254" s="11" t="s">
        <v>0</v>
      </c>
      <c r="R254" s="11" t="s">
        <v>0</v>
      </c>
      <c r="S254" s="11" t="s">
        <v>0</v>
      </c>
      <c r="T254" s="11" t="s">
        <v>0</v>
      </c>
      <c r="U254" s="11" t="s">
        <v>0</v>
      </c>
      <c r="V254" s="11" t="s">
        <v>0</v>
      </c>
      <c r="W254" s="11" t="s">
        <v>0</v>
      </c>
      <c r="X254" s="11" t="s">
        <v>0</v>
      </c>
      <c r="Y254" s="11" t="s">
        <v>0</v>
      </c>
      <c r="Z254" s="11" t="s">
        <v>0</v>
      </c>
      <c r="AA254" s="11" t="s">
        <v>0</v>
      </c>
      <c r="AB254" s="11" t="s">
        <v>0</v>
      </c>
      <c r="AC254" s="11" t="s">
        <v>0</v>
      </c>
      <c r="AD254" s="11" t="s">
        <v>0</v>
      </c>
    </row>
    <row r="255">
      <c r="B255" s="12" t="s">
        <v>0</v>
      </c>
      <c r="C255" s="11" t="s">
        <v>0</v>
      </c>
      <c r="D255" s="11" t="s">
        <v>0</v>
      </c>
      <c r="E255" s="12" t="s">
        <v>0</v>
      </c>
      <c r="F255" s="12" t="s">
        <v>0</v>
      </c>
      <c r="G255" s="12" t="s">
        <v>0</v>
      </c>
      <c r="H255" s="12" t="s">
        <v>0</v>
      </c>
      <c r="I255" s="12" t="s">
        <v>0</v>
      </c>
      <c r="J255" s="12" t="s">
        <v>0</v>
      </c>
      <c r="K255" s="12" t="s">
        <v>0</v>
      </c>
      <c r="L255" s="13" t="s">
        <v>0</v>
      </c>
      <c r="M255" s="11" t="s">
        <v>0</v>
      </c>
      <c r="N255" s="11" t="s">
        <v>0</v>
      </c>
      <c r="O255" s="11" t="s">
        <v>0</v>
      </c>
      <c r="P255" s="11" t="s">
        <v>0</v>
      </c>
      <c r="Q255" s="11" t="s">
        <v>0</v>
      </c>
      <c r="R255" s="11" t="s">
        <v>0</v>
      </c>
      <c r="S255" s="11" t="s">
        <v>0</v>
      </c>
      <c r="T255" s="11" t="s">
        <v>0</v>
      </c>
      <c r="U255" s="11" t="s">
        <v>0</v>
      </c>
      <c r="V255" s="11" t="s">
        <v>0</v>
      </c>
      <c r="W255" s="11" t="s">
        <v>0</v>
      </c>
      <c r="X255" s="11" t="s">
        <v>0</v>
      </c>
      <c r="Y255" s="11" t="s">
        <v>0</v>
      </c>
      <c r="Z255" s="11" t="s">
        <v>0</v>
      </c>
      <c r="AA255" s="11" t="s">
        <v>0</v>
      </c>
      <c r="AB255" s="11" t="s">
        <v>0</v>
      </c>
      <c r="AC255" s="11" t="s">
        <v>0</v>
      </c>
      <c r="AD255" s="11" t="s">
        <v>0</v>
      </c>
    </row>
    <row r="256">
      <c r="B256" s="12" t="s">
        <v>0</v>
      </c>
      <c r="C256" s="11" t="s">
        <v>0</v>
      </c>
      <c r="D256" s="11" t="s">
        <v>0</v>
      </c>
      <c r="E256" s="12" t="s">
        <v>0</v>
      </c>
      <c r="F256" s="12" t="s">
        <v>0</v>
      </c>
      <c r="G256" s="12" t="s">
        <v>0</v>
      </c>
      <c r="H256" s="12" t="s">
        <v>0</v>
      </c>
      <c r="I256" s="12" t="s">
        <v>0</v>
      </c>
      <c r="J256" s="12" t="s">
        <v>0</v>
      </c>
      <c r="K256" s="12" t="s">
        <v>0</v>
      </c>
      <c r="L256" s="13" t="s">
        <v>0</v>
      </c>
      <c r="M256" s="11" t="s">
        <v>0</v>
      </c>
      <c r="N256" s="11" t="s">
        <v>0</v>
      </c>
      <c r="O256" s="11" t="s">
        <v>0</v>
      </c>
      <c r="P256" s="11" t="s">
        <v>0</v>
      </c>
      <c r="Q256" s="11" t="s">
        <v>0</v>
      </c>
      <c r="R256" s="11" t="s">
        <v>0</v>
      </c>
      <c r="S256" s="11" t="s">
        <v>0</v>
      </c>
      <c r="T256" s="11" t="s">
        <v>0</v>
      </c>
      <c r="U256" s="11" t="s">
        <v>0</v>
      </c>
      <c r="V256" s="11" t="s">
        <v>0</v>
      </c>
      <c r="W256" s="11" t="s">
        <v>0</v>
      </c>
      <c r="X256" s="11" t="s">
        <v>0</v>
      </c>
      <c r="Y256" s="11" t="s">
        <v>0</v>
      </c>
      <c r="Z256" s="11" t="s">
        <v>0</v>
      </c>
      <c r="AA256" s="11" t="s">
        <v>0</v>
      </c>
      <c r="AB256" s="11" t="s">
        <v>0</v>
      </c>
      <c r="AC256" s="11" t="s">
        <v>0</v>
      </c>
      <c r="AD256" s="11" t="s">
        <v>0</v>
      </c>
    </row>
    <row r="257">
      <c r="B257" s="12" t="s">
        <v>0</v>
      </c>
      <c r="C257" s="11" t="s">
        <v>0</v>
      </c>
      <c r="D257" s="11" t="s">
        <v>0</v>
      </c>
      <c r="E257" s="12" t="s">
        <v>0</v>
      </c>
      <c r="F257" s="12" t="s">
        <v>0</v>
      </c>
      <c r="G257" s="12" t="s">
        <v>0</v>
      </c>
      <c r="H257" s="12" t="s">
        <v>0</v>
      </c>
      <c r="I257" s="12" t="s">
        <v>0</v>
      </c>
      <c r="J257" s="12" t="s">
        <v>0</v>
      </c>
      <c r="K257" s="12" t="s">
        <v>0</v>
      </c>
      <c r="L257" s="13" t="s">
        <v>0</v>
      </c>
      <c r="M257" s="11" t="s">
        <v>0</v>
      </c>
      <c r="N257" s="11" t="s">
        <v>0</v>
      </c>
      <c r="O257" s="11" t="s">
        <v>0</v>
      </c>
      <c r="P257" s="11" t="s">
        <v>0</v>
      </c>
      <c r="Q257" s="11" t="s">
        <v>0</v>
      </c>
      <c r="R257" s="11" t="s">
        <v>0</v>
      </c>
      <c r="S257" s="11" t="s">
        <v>0</v>
      </c>
      <c r="T257" s="11" t="s">
        <v>0</v>
      </c>
      <c r="U257" s="11" t="s">
        <v>0</v>
      </c>
      <c r="V257" s="11" t="s">
        <v>0</v>
      </c>
      <c r="W257" s="11" t="s">
        <v>0</v>
      </c>
      <c r="X257" s="11" t="s">
        <v>0</v>
      </c>
      <c r="Y257" s="11" t="s">
        <v>0</v>
      </c>
      <c r="Z257" s="11" t="s">
        <v>0</v>
      </c>
      <c r="AA257" s="11" t="s">
        <v>0</v>
      </c>
      <c r="AB257" s="11" t="s">
        <v>0</v>
      </c>
      <c r="AC257" s="11" t="s">
        <v>0</v>
      </c>
      <c r="AD257" s="11" t="s">
        <v>0</v>
      </c>
    </row>
    <row r="258">
      <c r="B258" s="12" t="s">
        <v>0</v>
      </c>
      <c r="C258" s="11" t="s">
        <v>0</v>
      </c>
      <c r="D258" s="11" t="s">
        <v>0</v>
      </c>
      <c r="E258" s="12" t="s">
        <v>0</v>
      </c>
      <c r="F258" s="12" t="s">
        <v>0</v>
      </c>
      <c r="G258" s="12" t="s">
        <v>0</v>
      </c>
      <c r="H258" s="12" t="s">
        <v>0</v>
      </c>
      <c r="I258" s="12" t="s">
        <v>0</v>
      </c>
      <c r="J258" s="12" t="s">
        <v>0</v>
      </c>
      <c r="K258" s="12" t="s">
        <v>0</v>
      </c>
      <c r="L258" s="13" t="s">
        <v>0</v>
      </c>
      <c r="M258" s="11" t="s">
        <v>0</v>
      </c>
      <c r="N258" s="11" t="s">
        <v>0</v>
      </c>
      <c r="O258" s="11" t="s">
        <v>0</v>
      </c>
      <c r="P258" s="11" t="s">
        <v>0</v>
      </c>
      <c r="Q258" s="11" t="s">
        <v>0</v>
      </c>
      <c r="R258" s="11" t="s">
        <v>0</v>
      </c>
      <c r="S258" s="11" t="s">
        <v>0</v>
      </c>
      <c r="T258" s="11" t="s">
        <v>0</v>
      </c>
      <c r="U258" s="11" t="s">
        <v>0</v>
      </c>
      <c r="V258" s="11" t="s">
        <v>0</v>
      </c>
      <c r="W258" s="11" t="s">
        <v>0</v>
      </c>
      <c r="X258" s="11" t="s">
        <v>0</v>
      </c>
      <c r="Y258" s="11" t="s">
        <v>0</v>
      </c>
      <c r="Z258" s="11" t="s">
        <v>0</v>
      </c>
      <c r="AA258" s="11" t="s">
        <v>0</v>
      </c>
      <c r="AB258" s="11" t="s">
        <v>0</v>
      </c>
      <c r="AC258" s="11" t="s">
        <v>0</v>
      </c>
      <c r="AD258" s="11" t="s">
        <v>0</v>
      </c>
    </row>
    <row r="259">
      <c r="B259" s="12" t="s">
        <v>0</v>
      </c>
      <c r="C259" s="11" t="s">
        <v>0</v>
      </c>
      <c r="D259" s="11" t="s">
        <v>0</v>
      </c>
      <c r="E259" s="12" t="s">
        <v>0</v>
      </c>
      <c r="F259" s="12" t="s">
        <v>0</v>
      </c>
      <c r="G259" s="12" t="s">
        <v>0</v>
      </c>
      <c r="H259" s="12" t="s">
        <v>0</v>
      </c>
      <c r="I259" s="12" t="s">
        <v>0</v>
      </c>
      <c r="J259" s="12" t="s">
        <v>0</v>
      </c>
      <c r="K259" s="12" t="s">
        <v>0</v>
      </c>
      <c r="L259" s="13" t="s">
        <v>0</v>
      </c>
      <c r="M259" s="11" t="s">
        <v>0</v>
      </c>
      <c r="N259" s="11" t="s">
        <v>0</v>
      </c>
      <c r="O259" s="11" t="s">
        <v>0</v>
      </c>
      <c r="P259" s="11" t="s">
        <v>0</v>
      </c>
      <c r="Q259" s="11" t="s">
        <v>0</v>
      </c>
      <c r="R259" s="11" t="s">
        <v>0</v>
      </c>
      <c r="S259" s="11" t="s">
        <v>0</v>
      </c>
      <c r="T259" s="11" t="s">
        <v>0</v>
      </c>
      <c r="U259" s="11" t="s">
        <v>0</v>
      </c>
      <c r="V259" s="11" t="s">
        <v>0</v>
      </c>
      <c r="W259" s="11" t="s">
        <v>0</v>
      </c>
      <c r="X259" s="11" t="s">
        <v>0</v>
      </c>
      <c r="Y259" s="11" t="s">
        <v>0</v>
      </c>
      <c r="Z259" s="11" t="s">
        <v>0</v>
      </c>
      <c r="AA259" s="11" t="s">
        <v>0</v>
      </c>
      <c r="AB259" s="11" t="s">
        <v>0</v>
      </c>
      <c r="AC259" s="11" t="s">
        <v>0</v>
      </c>
      <c r="AD259" s="11" t="s">
        <v>0</v>
      </c>
    </row>
    <row r="260">
      <c r="B260" s="12" t="s">
        <v>0</v>
      </c>
      <c r="C260" s="11" t="s">
        <v>0</v>
      </c>
      <c r="D260" s="11" t="s">
        <v>0</v>
      </c>
      <c r="E260" s="12" t="s">
        <v>0</v>
      </c>
      <c r="F260" s="12" t="s">
        <v>0</v>
      </c>
      <c r="G260" s="12" t="s">
        <v>0</v>
      </c>
      <c r="H260" s="12" t="s">
        <v>0</v>
      </c>
      <c r="I260" s="12" t="s">
        <v>0</v>
      </c>
      <c r="J260" s="12" t="s">
        <v>0</v>
      </c>
      <c r="K260" s="12" t="s">
        <v>0</v>
      </c>
      <c r="L260" s="13" t="s">
        <v>0</v>
      </c>
      <c r="M260" s="11" t="s">
        <v>0</v>
      </c>
      <c r="N260" s="11" t="s">
        <v>0</v>
      </c>
      <c r="O260" s="11" t="s">
        <v>0</v>
      </c>
      <c r="P260" s="11" t="s">
        <v>0</v>
      </c>
      <c r="Q260" s="11" t="s">
        <v>0</v>
      </c>
      <c r="R260" s="11" t="s">
        <v>0</v>
      </c>
      <c r="S260" s="11" t="s">
        <v>0</v>
      </c>
      <c r="T260" s="11" t="s">
        <v>0</v>
      </c>
      <c r="U260" s="11" t="s">
        <v>0</v>
      </c>
      <c r="V260" s="11" t="s">
        <v>0</v>
      </c>
      <c r="W260" s="11" t="s">
        <v>0</v>
      </c>
      <c r="X260" s="11" t="s">
        <v>0</v>
      </c>
      <c r="Y260" s="11" t="s">
        <v>0</v>
      </c>
      <c r="Z260" s="11" t="s">
        <v>0</v>
      </c>
      <c r="AA260" s="11" t="s">
        <v>0</v>
      </c>
      <c r="AB260" s="11" t="s">
        <v>0</v>
      </c>
      <c r="AC260" s="11" t="s">
        <v>0</v>
      </c>
      <c r="AD260" s="11" t="s">
        <v>0</v>
      </c>
    </row>
    <row r="261">
      <c r="B261" s="12" t="s">
        <v>0</v>
      </c>
      <c r="C261" s="11" t="s">
        <v>0</v>
      </c>
      <c r="D261" s="11" t="s">
        <v>0</v>
      </c>
      <c r="E261" s="12" t="s">
        <v>0</v>
      </c>
      <c r="F261" s="12" t="s">
        <v>0</v>
      </c>
      <c r="G261" s="12" t="s">
        <v>0</v>
      </c>
      <c r="H261" s="12" t="s">
        <v>0</v>
      </c>
      <c r="I261" s="12" t="s">
        <v>0</v>
      </c>
      <c r="J261" s="12" t="s">
        <v>0</v>
      </c>
      <c r="K261" s="12" t="s">
        <v>0</v>
      </c>
      <c r="L261" s="13" t="s">
        <v>0</v>
      </c>
      <c r="M261" s="11" t="s">
        <v>0</v>
      </c>
      <c r="N261" s="11" t="s">
        <v>0</v>
      </c>
      <c r="O261" s="11" t="s">
        <v>0</v>
      </c>
      <c r="P261" s="11" t="s">
        <v>0</v>
      </c>
      <c r="Q261" s="11" t="s">
        <v>0</v>
      </c>
      <c r="R261" s="11" t="s">
        <v>0</v>
      </c>
      <c r="S261" s="11" t="s">
        <v>0</v>
      </c>
      <c r="T261" s="11" t="s">
        <v>0</v>
      </c>
      <c r="U261" s="11" t="s">
        <v>0</v>
      </c>
      <c r="V261" s="11" t="s">
        <v>0</v>
      </c>
      <c r="W261" s="11" t="s">
        <v>0</v>
      </c>
      <c r="X261" s="11" t="s">
        <v>0</v>
      </c>
      <c r="Y261" s="11" t="s">
        <v>0</v>
      </c>
      <c r="Z261" s="11" t="s">
        <v>0</v>
      </c>
      <c r="AA261" s="11" t="s">
        <v>0</v>
      </c>
      <c r="AB261" s="11" t="s">
        <v>0</v>
      </c>
      <c r="AC261" s="11" t="s">
        <v>0</v>
      </c>
      <c r="AD261" s="11" t="s">
        <v>0</v>
      </c>
    </row>
    <row r="262">
      <c r="B262" s="12" t="s">
        <v>0</v>
      </c>
      <c r="C262" s="11" t="s">
        <v>0</v>
      </c>
      <c r="D262" s="11" t="s">
        <v>0</v>
      </c>
      <c r="E262" s="12" t="s">
        <v>0</v>
      </c>
      <c r="F262" s="12" t="s">
        <v>0</v>
      </c>
      <c r="G262" s="12" t="s">
        <v>0</v>
      </c>
      <c r="H262" s="12" t="s">
        <v>0</v>
      </c>
      <c r="I262" s="12" t="s">
        <v>0</v>
      </c>
      <c r="J262" s="12" t="s">
        <v>0</v>
      </c>
      <c r="K262" s="12" t="s">
        <v>0</v>
      </c>
      <c r="L262" s="13" t="s">
        <v>0</v>
      </c>
      <c r="M262" s="11" t="s">
        <v>0</v>
      </c>
      <c r="N262" s="11" t="s">
        <v>0</v>
      </c>
      <c r="O262" s="11" t="s">
        <v>0</v>
      </c>
      <c r="P262" s="11" t="s">
        <v>0</v>
      </c>
      <c r="Q262" s="11" t="s">
        <v>0</v>
      </c>
      <c r="R262" s="11" t="s">
        <v>0</v>
      </c>
      <c r="S262" s="11" t="s">
        <v>0</v>
      </c>
      <c r="T262" s="11" t="s">
        <v>0</v>
      </c>
      <c r="U262" s="11" t="s">
        <v>0</v>
      </c>
      <c r="V262" s="11" t="s">
        <v>0</v>
      </c>
      <c r="W262" s="11" t="s">
        <v>0</v>
      </c>
      <c r="X262" s="11" t="s">
        <v>0</v>
      </c>
      <c r="Y262" s="11" t="s">
        <v>0</v>
      </c>
      <c r="Z262" s="11" t="s">
        <v>0</v>
      </c>
      <c r="AA262" s="11" t="s">
        <v>0</v>
      </c>
      <c r="AB262" s="11" t="s">
        <v>0</v>
      </c>
      <c r="AC262" s="11" t="s">
        <v>0</v>
      </c>
      <c r="AD262" s="11" t="s">
        <v>0</v>
      </c>
    </row>
    <row r="263">
      <c r="B263" s="12" t="s">
        <v>0</v>
      </c>
      <c r="C263" s="11" t="s">
        <v>0</v>
      </c>
      <c r="D263" s="11" t="s">
        <v>0</v>
      </c>
      <c r="E263" s="12" t="s">
        <v>0</v>
      </c>
      <c r="F263" s="12" t="s">
        <v>0</v>
      </c>
      <c r="G263" s="12" t="s">
        <v>0</v>
      </c>
      <c r="H263" s="12" t="s">
        <v>0</v>
      </c>
      <c r="I263" s="12" t="s">
        <v>0</v>
      </c>
      <c r="J263" s="12" t="s">
        <v>0</v>
      </c>
      <c r="K263" s="12" t="s">
        <v>0</v>
      </c>
      <c r="L263" s="13" t="s">
        <v>0</v>
      </c>
      <c r="M263" s="11" t="s">
        <v>0</v>
      </c>
      <c r="N263" s="11" t="s">
        <v>0</v>
      </c>
      <c r="O263" s="11" t="s">
        <v>0</v>
      </c>
      <c r="P263" s="11" t="s">
        <v>0</v>
      </c>
      <c r="Q263" s="11" t="s">
        <v>0</v>
      </c>
      <c r="R263" s="11" t="s">
        <v>0</v>
      </c>
      <c r="S263" s="11" t="s">
        <v>0</v>
      </c>
      <c r="T263" s="11" t="s">
        <v>0</v>
      </c>
      <c r="U263" s="11" t="s">
        <v>0</v>
      </c>
      <c r="V263" s="11" t="s">
        <v>0</v>
      </c>
      <c r="W263" s="11" t="s">
        <v>0</v>
      </c>
      <c r="X263" s="11" t="s">
        <v>0</v>
      </c>
      <c r="Y263" s="11" t="s">
        <v>0</v>
      </c>
      <c r="Z263" s="11" t="s">
        <v>0</v>
      </c>
      <c r="AA263" s="11" t="s">
        <v>0</v>
      </c>
      <c r="AB263" s="11" t="s">
        <v>0</v>
      </c>
      <c r="AC263" s="11" t="s">
        <v>0</v>
      </c>
      <c r="AD263" s="11" t="s">
        <v>0</v>
      </c>
    </row>
    <row r="264">
      <c r="B264" s="12" t="s">
        <v>0</v>
      </c>
      <c r="C264" s="11" t="s">
        <v>0</v>
      </c>
      <c r="D264" s="11" t="s">
        <v>0</v>
      </c>
      <c r="E264" s="12" t="s">
        <v>0</v>
      </c>
      <c r="F264" s="12" t="s">
        <v>0</v>
      </c>
      <c r="G264" s="12" t="s">
        <v>0</v>
      </c>
      <c r="H264" s="12" t="s">
        <v>0</v>
      </c>
      <c r="I264" s="12" t="s">
        <v>0</v>
      </c>
      <c r="J264" s="12" t="s">
        <v>0</v>
      </c>
      <c r="K264" s="12" t="s">
        <v>0</v>
      </c>
      <c r="L264" s="13" t="s">
        <v>0</v>
      </c>
      <c r="M264" s="11" t="s">
        <v>0</v>
      </c>
      <c r="N264" s="11" t="s">
        <v>0</v>
      </c>
      <c r="O264" s="11" t="s">
        <v>0</v>
      </c>
      <c r="P264" s="11" t="s">
        <v>0</v>
      </c>
      <c r="Q264" s="11" t="s">
        <v>0</v>
      </c>
      <c r="R264" s="11" t="s">
        <v>0</v>
      </c>
      <c r="S264" s="11" t="s">
        <v>0</v>
      </c>
      <c r="T264" s="11" t="s">
        <v>0</v>
      </c>
      <c r="U264" s="11" t="s">
        <v>0</v>
      </c>
      <c r="V264" s="11" t="s">
        <v>0</v>
      </c>
      <c r="W264" s="11" t="s">
        <v>0</v>
      </c>
      <c r="X264" s="11" t="s">
        <v>0</v>
      </c>
      <c r="Y264" s="11" t="s">
        <v>0</v>
      </c>
      <c r="Z264" s="11" t="s">
        <v>0</v>
      </c>
      <c r="AA264" s="11" t="s">
        <v>0</v>
      </c>
      <c r="AB264" s="11" t="s">
        <v>0</v>
      </c>
      <c r="AC264" s="11" t="s">
        <v>0</v>
      </c>
      <c r="AD264" s="11" t="s">
        <v>0</v>
      </c>
    </row>
    <row r="265">
      <c r="B265" s="12" t="s">
        <v>0</v>
      </c>
      <c r="C265" s="11" t="s">
        <v>0</v>
      </c>
      <c r="D265" s="11" t="s">
        <v>0</v>
      </c>
      <c r="E265" s="12" t="s">
        <v>0</v>
      </c>
      <c r="F265" s="12" t="s">
        <v>0</v>
      </c>
      <c r="G265" s="12" t="s">
        <v>0</v>
      </c>
      <c r="H265" s="12" t="s">
        <v>0</v>
      </c>
      <c r="I265" s="12" t="s">
        <v>0</v>
      </c>
      <c r="J265" s="12" t="s">
        <v>0</v>
      </c>
      <c r="K265" s="12" t="s">
        <v>0</v>
      </c>
      <c r="L265" s="13" t="s">
        <v>0</v>
      </c>
      <c r="M265" s="11" t="s">
        <v>0</v>
      </c>
      <c r="N265" s="11" t="s">
        <v>0</v>
      </c>
      <c r="O265" s="11" t="s">
        <v>0</v>
      </c>
      <c r="P265" s="11" t="s">
        <v>0</v>
      </c>
      <c r="Q265" s="11" t="s">
        <v>0</v>
      </c>
      <c r="R265" s="11" t="s">
        <v>0</v>
      </c>
      <c r="S265" s="11" t="s">
        <v>0</v>
      </c>
      <c r="T265" s="11" t="s">
        <v>0</v>
      </c>
      <c r="U265" s="11" t="s">
        <v>0</v>
      </c>
      <c r="V265" s="11" t="s">
        <v>0</v>
      </c>
      <c r="W265" s="11" t="s">
        <v>0</v>
      </c>
      <c r="X265" s="11" t="s">
        <v>0</v>
      </c>
      <c r="Y265" s="11" t="s">
        <v>0</v>
      </c>
      <c r="Z265" s="11" t="s">
        <v>0</v>
      </c>
      <c r="AA265" s="11" t="s">
        <v>0</v>
      </c>
      <c r="AB265" s="11" t="s">
        <v>0</v>
      </c>
      <c r="AC265" s="11" t="s">
        <v>0</v>
      </c>
      <c r="AD265" s="11" t="s">
        <v>0</v>
      </c>
    </row>
    <row r="266">
      <c r="B266" s="12" t="s">
        <v>0</v>
      </c>
      <c r="C266" s="11" t="s">
        <v>0</v>
      </c>
      <c r="D266" s="11" t="s">
        <v>0</v>
      </c>
      <c r="E266" s="12" t="s">
        <v>0</v>
      </c>
      <c r="F266" s="12" t="s">
        <v>0</v>
      </c>
      <c r="G266" s="12" t="s">
        <v>0</v>
      </c>
      <c r="H266" s="12" t="s">
        <v>0</v>
      </c>
      <c r="I266" s="12" t="s">
        <v>0</v>
      </c>
      <c r="J266" s="12" t="s">
        <v>0</v>
      </c>
      <c r="K266" s="12" t="s">
        <v>0</v>
      </c>
      <c r="L266" s="13" t="s">
        <v>0</v>
      </c>
      <c r="M266" s="11" t="s">
        <v>0</v>
      </c>
      <c r="N266" s="11" t="s">
        <v>0</v>
      </c>
      <c r="O266" s="11" t="s">
        <v>0</v>
      </c>
      <c r="P266" s="11" t="s">
        <v>0</v>
      </c>
      <c r="Q266" s="11" t="s">
        <v>0</v>
      </c>
      <c r="R266" s="11" t="s">
        <v>0</v>
      </c>
      <c r="S266" s="11" t="s">
        <v>0</v>
      </c>
      <c r="T266" s="11" t="s">
        <v>0</v>
      </c>
      <c r="U266" s="11" t="s">
        <v>0</v>
      </c>
      <c r="V266" s="11" t="s">
        <v>0</v>
      </c>
      <c r="W266" s="11" t="s">
        <v>0</v>
      </c>
      <c r="X266" s="11" t="s">
        <v>0</v>
      </c>
      <c r="Y266" s="11" t="s">
        <v>0</v>
      </c>
      <c r="Z266" s="11" t="s">
        <v>0</v>
      </c>
      <c r="AA266" s="11" t="s">
        <v>0</v>
      </c>
      <c r="AB266" s="11" t="s">
        <v>0</v>
      </c>
      <c r="AC266" s="11" t="s">
        <v>0</v>
      </c>
      <c r="AD266" s="11" t="s">
        <v>0</v>
      </c>
    </row>
    <row r="267">
      <c r="B267" s="12" t="s">
        <v>0</v>
      </c>
      <c r="C267" s="11" t="s">
        <v>0</v>
      </c>
      <c r="D267" s="11" t="s">
        <v>0</v>
      </c>
      <c r="E267" s="12" t="s">
        <v>0</v>
      </c>
      <c r="F267" s="12" t="s">
        <v>0</v>
      </c>
      <c r="G267" s="12" t="s">
        <v>0</v>
      </c>
      <c r="H267" s="12" t="s">
        <v>0</v>
      </c>
      <c r="I267" s="12" t="s">
        <v>0</v>
      </c>
      <c r="J267" s="12" t="s">
        <v>0</v>
      </c>
      <c r="K267" s="12" t="s">
        <v>0</v>
      </c>
      <c r="L267" s="13" t="s">
        <v>0</v>
      </c>
      <c r="M267" s="11" t="s">
        <v>0</v>
      </c>
      <c r="N267" s="11" t="s">
        <v>0</v>
      </c>
      <c r="O267" s="11" t="s">
        <v>0</v>
      </c>
      <c r="P267" s="11" t="s">
        <v>0</v>
      </c>
      <c r="Q267" s="11" t="s">
        <v>0</v>
      </c>
      <c r="R267" s="11" t="s">
        <v>0</v>
      </c>
      <c r="S267" s="11" t="s">
        <v>0</v>
      </c>
      <c r="T267" s="11" t="s">
        <v>0</v>
      </c>
      <c r="U267" s="11" t="s">
        <v>0</v>
      </c>
      <c r="V267" s="11" t="s">
        <v>0</v>
      </c>
      <c r="W267" s="11" t="s">
        <v>0</v>
      </c>
      <c r="X267" s="11" t="s">
        <v>0</v>
      </c>
      <c r="Y267" s="11" t="s">
        <v>0</v>
      </c>
      <c r="Z267" s="11" t="s">
        <v>0</v>
      </c>
      <c r="AA267" s="11" t="s">
        <v>0</v>
      </c>
      <c r="AB267" s="11" t="s">
        <v>0</v>
      </c>
      <c r="AC267" s="11" t="s">
        <v>0</v>
      </c>
      <c r="AD267" s="11" t="s">
        <v>0</v>
      </c>
    </row>
    <row r="268">
      <c r="B268" s="12" t="s">
        <v>0</v>
      </c>
      <c r="C268" s="11" t="s">
        <v>0</v>
      </c>
      <c r="D268" s="11" t="s">
        <v>0</v>
      </c>
      <c r="E268" s="12" t="s">
        <v>0</v>
      </c>
      <c r="F268" s="12" t="s">
        <v>0</v>
      </c>
      <c r="G268" s="12" t="s">
        <v>0</v>
      </c>
      <c r="H268" s="12" t="s">
        <v>0</v>
      </c>
      <c r="I268" s="12" t="s">
        <v>0</v>
      </c>
      <c r="J268" s="12" t="s">
        <v>0</v>
      </c>
      <c r="K268" s="12" t="s">
        <v>0</v>
      </c>
      <c r="L268" s="13" t="s">
        <v>0</v>
      </c>
      <c r="M268" s="11" t="s">
        <v>0</v>
      </c>
      <c r="N268" s="11" t="s">
        <v>0</v>
      </c>
      <c r="O268" s="11" t="s">
        <v>0</v>
      </c>
      <c r="P268" s="11" t="s">
        <v>0</v>
      </c>
      <c r="Q268" s="11" t="s">
        <v>0</v>
      </c>
      <c r="R268" s="11" t="s">
        <v>0</v>
      </c>
      <c r="S268" s="11" t="s">
        <v>0</v>
      </c>
      <c r="T268" s="11" t="s">
        <v>0</v>
      </c>
      <c r="U268" s="11" t="s">
        <v>0</v>
      </c>
      <c r="V268" s="11" t="s">
        <v>0</v>
      </c>
      <c r="W268" s="11" t="s">
        <v>0</v>
      </c>
      <c r="X268" s="11" t="s">
        <v>0</v>
      </c>
      <c r="Y268" s="11" t="s">
        <v>0</v>
      </c>
      <c r="Z268" s="11" t="s">
        <v>0</v>
      </c>
      <c r="AA268" s="11" t="s">
        <v>0</v>
      </c>
      <c r="AB268" s="11" t="s">
        <v>0</v>
      </c>
      <c r="AC268" s="11" t="s">
        <v>0</v>
      </c>
      <c r="AD268" s="11" t="s">
        <v>0</v>
      </c>
    </row>
    <row r="269">
      <c r="B269" s="12" t="s">
        <v>0</v>
      </c>
      <c r="C269" s="11" t="s">
        <v>0</v>
      </c>
      <c r="D269" s="11" t="s">
        <v>0</v>
      </c>
      <c r="E269" s="12" t="s">
        <v>0</v>
      </c>
      <c r="F269" s="12" t="s">
        <v>0</v>
      </c>
      <c r="G269" s="12" t="s">
        <v>0</v>
      </c>
      <c r="H269" s="12" t="s">
        <v>0</v>
      </c>
      <c r="I269" s="12" t="s">
        <v>0</v>
      </c>
      <c r="J269" s="12" t="s">
        <v>0</v>
      </c>
      <c r="K269" s="12" t="s">
        <v>0</v>
      </c>
      <c r="L269" s="13" t="s">
        <v>0</v>
      </c>
      <c r="M269" s="11" t="s">
        <v>0</v>
      </c>
      <c r="N269" s="11" t="s">
        <v>0</v>
      </c>
      <c r="O269" s="11" t="s">
        <v>0</v>
      </c>
      <c r="P269" s="11" t="s">
        <v>0</v>
      </c>
      <c r="Q269" s="11" t="s">
        <v>0</v>
      </c>
      <c r="R269" s="11" t="s">
        <v>0</v>
      </c>
      <c r="S269" s="11" t="s">
        <v>0</v>
      </c>
      <c r="T269" s="11" t="s">
        <v>0</v>
      </c>
      <c r="U269" s="11" t="s">
        <v>0</v>
      </c>
      <c r="V269" s="11" t="s">
        <v>0</v>
      </c>
      <c r="W269" s="11" t="s">
        <v>0</v>
      </c>
      <c r="X269" s="11" t="s">
        <v>0</v>
      </c>
      <c r="Y269" s="11" t="s">
        <v>0</v>
      </c>
      <c r="Z269" s="11" t="s">
        <v>0</v>
      </c>
      <c r="AA269" s="11" t="s">
        <v>0</v>
      </c>
      <c r="AB269" s="11" t="s">
        <v>0</v>
      </c>
      <c r="AC269" s="11" t="s">
        <v>0</v>
      </c>
      <c r="AD269" s="11" t="s">
        <v>0</v>
      </c>
    </row>
    <row r="270">
      <c r="B270" s="12" t="s">
        <v>0</v>
      </c>
      <c r="C270" s="11" t="s">
        <v>0</v>
      </c>
      <c r="D270" s="11" t="s">
        <v>0</v>
      </c>
      <c r="E270" s="12" t="s">
        <v>0</v>
      </c>
      <c r="F270" s="12" t="s">
        <v>0</v>
      </c>
      <c r="G270" s="12" t="s">
        <v>0</v>
      </c>
      <c r="H270" s="12" t="s">
        <v>0</v>
      </c>
      <c r="I270" s="12" t="s">
        <v>0</v>
      </c>
      <c r="J270" s="12" t="s">
        <v>0</v>
      </c>
      <c r="K270" s="12" t="s">
        <v>0</v>
      </c>
      <c r="L270" s="13" t="s">
        <v>0</v>
      </c>
      <c r="M270" s="11" t="s">
        <v>0</v>
      </c>
      <c r="N270" s="11" t="s">
        <v>0</v>
      </c>
      <c r="O270" s="11" t="s">
        <v>0</v>
      </c>
      <c r="P270" s="11" t="s">
        <v>0</v>
      </c>
      <c r="Q270" s="11" t="s">
        <v>0</v>
      </c>
      <c r="R270" s="11" t="s">
        <v>0</v>
      </c>
      <c r="S270" s="11" t="s">
        <v>0</v>
      </c>
      <c r="T270" s="11" t="s">
        <v>0</v>
      </c>
      <c r="U270" s="11" t="s">
        <v>0</v>
      </c>
      <c r="V270" s="11" t="s">
        <v>0</v>
      </c>
      <c r="W270" s="11" t="s">
        <v>0</v>
      </c>
      <c r="X270" s="11" t="s">
        <v>0</v>
      </c>
      <c r="Y270" s="11" t="s">
        <v>0</v>
      </c>
      <c r="Z270" s="11" t="s">
        <v>0</v>
      </c>
      <c r="AA270" s="11" t="s">
        <v>0</v>
      </c>
      <c r="AB270" s="11" t="s">
        <v>0</v>
      </c>
      <c r="AC270" s="11" t="s">
        <v>0</v>
      </c>
      <c r="AD270" s="11" t="s">
        <v>0</v>
      </c>
    </row>
    <row r="271">
      <c r="B271" s="12" t="s">
        <v>0</v>
      </c>
      <c r="C271" s="11" t="s">
        <v>0</v>
      </c>
      <c r="D271" s="11" t="s">
        <v>0</v>
      </c>
      <c r="E271" s="12" t="s">
        <v>0</v>
      </c>
      <c r="F271" s="12" t="s">
        <v>0</v>
      </c>
      <c r="G271" s="12" t="s">
        <v>0</v>
      </c>
      <c r="H271" s="12" t="s">
        <v>0</v>
      </c>
      <c r="I271" s="12" t="s">
        <v>0</v>
      </c>
      <c r="J271" s="12" t="s">
        <v>0</v>
      </c>
      <c r="K271" s="12" t="s">
        <v>0</v>
      </c>
      <c r="L271" s="13" t="s">
        <v>0</v>
      </c>
      <c r="M271" s="11" t="s">
        <v>0</v>
      </c>
      <c r="N271" s="11" t="s">
        <v>0</v>
      </c>
      <c r="O271" s="11" t="s">
        <v>0</v>
      </c>
      <c r="P271" s="11" t="s">
        <v>0</v>
      </c>
      <c r="Q271" s="11" t="s">
        <v>0</v>
      </c>
      <c r="R271" s="11" t="s">
        <v>0</v>
      </c>
      <c r="S271" s="11" t="s">
        <v>0</v>
      </c>
      <c r="T271" s="11" t="s">
        <v>0</v>
      </c>
      <c r="U271" s="11" t="s">
        <v>0</v>
      </c>
      <c r="V271" s="11" t="s">
        <v>0</v>
      </c>
      <c r="W271" s="11" t="s">
        <v>0</v>
      </c>
      <c r="X271" s="11" t="s">
        <v>0</v>
      </c>
      <c r="Y271" s="11" t="s">
        <v>0</v>
      </c>
      <c r="Z271" s="11" t="s">
        <v>0</v>
      </c>
      <c r="AA271" s="11" t="s">
        <v>0</v>
      </c>
      <c r="AB271" s="11" t="s">
        <v>0</v>
      </c>
      <c r="AC271" s="11" t="s">
        <v>0</v>
      </c>
      <c r="AD271" s="11" t="s">
        <v>0</v>
      </c>
    </row>
    <row r="272">
      <c r="B272" s="12" t="s">
        <v>0</v>
      </c>
      <c r="C272" s="11" t="s">
        <v>0</v>
      </c>
      <c r="D272" s="11" t="s">
        <v>0</v>
      </c>
      <c r="E272" s="12" t="s">
        <v>0</v>
      </c>
      <c r="F272" s="12" t="s">
        <v>0</v>
      </c>
      <c r="G272" s="12" t="s">
        <v>0</v>
      </c>
      <c r="H272" s="12" t="s">
        <v>0</v>
      </c>
      <c r="I272" s="12" t="s">
        <v>0</v>
      </c>
      <c r="J272" s="12" t="s">
        <v>0</v>
      </c>
      <c r="K272" s="12" t="s">
        <v>0</v>
      </c>
      <c r="L272" s="13" t="s">
        <v>0</v>
      </c>
      <c r="M272" s="11" t="s">
        <v>0</v>
      </c>
      <c r="N272" s="11" t="s">
        <v>0</v>
      </c>
      <c r="O272" s="11" t="s">
        <v>0</v>
      </c>
      <c r="P272" s="11" t="s">
        <v>0</v>
      </c>
      <c r="Q272" s="11" t="s">
        <v>0</v>
      </c>
      <c r="R272" s="11" t="s">
        <v>0</v>
      </c>
      <c r="S272" s="11" t="s">
        <v>0</v>
      </c>
      <c r="T272" s="11" t="s">
        <v>0</v>
      </c>
      <c r="U272" s="11" t="s">
        <v>0</v>
      </c>
      <c r="V272" s="11" t="s">
        <v>0</v>
      </c>
      <c r="W272" s="11" t="s">
        <v>0</v>
      </c>
      <c r="X272" s="11" t="s">
        <v>0</v>
      </c>
      <c r="Y272" s="11" t="s">
        <v>0</v>
      </c>
      <c r="Z272" s="11" t="s">
        <v>0</v>
      </c>
      <c r="AA272" s="11" t="s">
        <v>0</v>
      </c>
      <c r="AB272" s="11" t="s">
        <v>0</v>
      </c>
      <c r="AC272" s="11" t="s">
        <v>0</v>
      </c>
      <c r="AD272" s="11" t="s">
        <v>0</v>
      </c>
    </row>
    <row r="273">
      <c r="B273" s="12" t="s">
        <v>0</v>
      </c>
      <c r="C273" s="11" t="s">
        <v>0</v>
      </c>
      <c r="D273" s="11" t="s">
        <v>0</v>
      </c>
      <c r="E273" s="12" t="s">
        <v>0</v>
      </c>
      <c r="F273" s="12" t="s">
        <v>0</v>
      </c>
      <c r="G273" s="12" t="s">
        <v>0</v>
      </c>
      <c r="H273" s="12" t="s">
        <v>0</v>
      </c>
      <c r="I273" s="12" t="s">
        <v>0</v>
      </c>
      <c r="J273" s="12" t="s">
        <v>0</v>
      </c>
      <c r="K273" s="12" t="s">
        <v>0</v>
      </c>
      <c r="L273" s="13" t="s">
        <v>0</v>
      </c>
      <c r="M273" s="11" t="s">
        <v>0</v>
      </c>
      <c r="N273" s="11" t="s">
        <v>0</v>
      </c>
      <c r="O273" s="11" t="s">
        <v>0</v>
      </c>
      <c r="P273" s="11" t="s">
        <v>0</v>
      </c>
      <c r="Q273" s="11" t="s">
        <v>0</v>
      </c>
      <c r="R273" s="11" t="s">
        <v>0</v>
      </c>
      <c r="S273" s="11" t="s">
        <v>0</v>
      </c>
      <c r="T273" s="11" t="s">
        <v>0</v>
      </c>
      <c r="U273" s="11" t="s">
        <v>0</v>
      </c>
      <c r="V273" s="11" t="s">
        <v>0</v>
      </c>
      <c r="W273" s="11" t="s">
        <v>0</v>
      </c>
      <c r="X273" s="11" t="s">
        <v>0</v>
      </c>
      <c r="Y273" s="11" t="s">
        <v>0</v>
      </c>
      <c r="Z273" s="11" t="s">
        <v>0</v>
      </c>
      <c r="AA273" s="11" t="s">
        <v>0</v>
      </c>
      <c r="AB273" s="11" t="s">
        <v>0</v>
      </c>
      <c r="AC273" s="11" t="s">
        <v>0</v>
      </c>
      <c r="AD273" s="11" t="s">
        <v>0</v>
      </c>
    </row>
    <row r="274">
      <c r="B274" s="12" t="s">
        <v>0</v>
      </c>
      <c r="C274" s="11" t="s">
        <v>0</v>
      </c>
      <c r="D274" s="11" t="s">
        <v>0</v>
      </c>
      <c r="E274" s="12" t="s">
        <v>0</v>
      </c>
      <c r="F274" s="12" t="s">
        <v>0</v>
      </c>
      <c r="G274" s="12" t="s">
        <v>0</v>
      </c>
      <c r="H274" s="12" t="s">
        <v>0</v>
      </c>
      <c r="I274" s="12" t="s">
        <v>0</v>
      </c>
      <c r="J274" s="12" t="s">
        <v>0</v>
      </c>
      <c r="K274" s="12" t="s">
        <v>0</v>
      </c>
      <c r="L274" s="13" t="s">
        <v>0</v>
      </c>
      <c r="M274" s="11" t="s">
        <v>0</v>
      </c>
      <c r="N274" s="11" t="s">
        <v>0</v>
      </c>
      <c r="O274" s="11" t="s">
        <v>0</v>
      </c>
      <c r="P274" s="11" t="s">
        <v>0</v>
      </c>
      <c r="Q274" s="11" t="s">
        <v>0</v>
      </c>
      <c r="R274" s="11" t="s">
        <v>0</v>
      </c>
      <c r="S274" s="11" t="s">
        <v>0</v>
      </c>
      <c r="T274" s="11" t="s">
        <v>0</v>
      </c>
      <c r="U274" s="11" t="s">
        <v>0</v>
      </c>
      <c r="V274" s="11" t="s">
        <v>0</v>
      </c>
      <c r="W274" s="11" t="s">
        <v>0</v>
      </c>
      <c r="X274" s="11" t="s">
        <v>0</v>
      </c>
      <c r="Y274" s="11" t="s">
        <v>0</v>
      </c>
      <c r="Z274" s="11" t="s">
        <v>0</v>
      </c>
      <c r="AA274" s="11" t="s">
        <v>0</v>
      </c>
      <c r="AB274" s="11" t="s">
        <v>0</v>
      </c>
      <c r="AC274" s="11" t="s">
        <v>0</v>
      </c>
      <c r="AD274" s="11" t="s">
        <v>0</v>
      </c>
    </row>
    <row r="275">
      <c r="B275" s="12" t="s">
        <v>0</v>
      </c>
      <c r="C275" s="11" t="s">
        <v>0</v>
      </c>
      <c r="D275" s="11" t="s">
        <v>0</v>
      </c>
      <c r="E275" s="12" t="s">
        <v>0</v>
      </c>
      <c r="F275" s="12" t="s">
        <v>0</v>
      </c>
      <c r="G275" s="12" t="s">
        <v>0</v>
      </c>
      <c r="H275" s="12" t="s">
        <v>0</v>
      </c>
      <c r="I275" s="12" t="s">
        <v>0</v>
      </c>
      <c r="J275" s="12" t="s">
        <v>0</v>
      </c>
      <c r="K275" s="12" t="s">
        <v>0</v>
      </c>
      <c r="L275" s="13" t="s">
        <v>0</v>
      </c>
      <c r="M275" s="11" t="s">
        <v>0</v>
      </c>
      <c r="N275" s="11" t="s">
        <v>0</v>
      </c>
      <c r="O275" s="11" t="s">
        <v>0</v>
      </c>
      <c r="P275" s="11" t="s">
        <v>0</v>
      </c>
      <c r="Q275" s="11" t="s">
        <v>0</v>
      </c>
      <c r="R275" s="11" t="s">
        <v>0</v>
      </c>
      <c r="S275" s="11" t="s">
        <v>0</v>
      </c>
      <c r="T275" s="11" t="s">
        <v>0</v>
      </c>
      <c r="U275" s="11" t="s">
        <v>0</v>
      </c>
      <c r="V275" s="11" t="s">
        <v>0</v>
      </c>
      <c r="W275" s="11" t="s">
        <v>0</v>
      </c>
      <c r="X275" s="11" t="s">
        <v>0</v>
      </c>
      <c r="Y275" s="11" t="s">
        <v>0</v>
      </c>
      <c r="Z275" s="11" t="s">
        <v>0</v>
      </c>
      <c r="AA275" s="11" t="s">
        <v>0</v>
      </c>
      <c r="AB275" s="11" t="s">
        <v>0</v>
      </c>
      <c r="AC275" s="11" t="s">
        <v>0</v>
      </c>
      <c r="AD275" s="11" t="s">
        <v>0</v>
      </c>
    </row>
    <row r="276">
      <c r="B276" s="12" t="s">
        <v>0</v>
      </c>
      <c r="C276" s="11" t="s">
        <v>0</v>
      </c>
      <c r="D276" s="11" t="s">
        <v>0</v>
      </c>
      <c r="E276" s="12" t="s">
        <v>0</v>
      </c>
      <c r="F276" s="12" t="s">
        <v>0</v>
      </c>
      <c r="G276" s="12" t="s">
        <v>0</v>
      </c>
      <c r="H276" s="12" t="s">
        <v>0</v>
      </c>
      <c r="I276" s="12" t="s">
        <v>0</v>
      </c>
      <c r="J276" s="12" t="s">
        <v>0</v>
      </c>
      <c r="K276" s="12" t="s">
        <v>0</v>
      </c>
      <c r="L276" s="13" t="s">
        <v>0</v>
      </c>
      <c r="M276" s="11" t="s">
        <v>0</v>
      </c>
      <c r="N276" s="11" t="s">
        <v>0</v>
      </c>
      <c r="O276" s="11" t="s">
        <v>0</v>
      </c>
      <c r="P276" s="11" t="s">
        <v>0</v>
      </c>
      <c r="Q276" s="11" t="s">
        <v>0</v>
      </c>
      <c r="R276" s="11" t="s">
        <v>0</v>
      </c>
      <c r="S276" s="11" t="s">
        <v>0</v>
      </c>
      <c r="T276" s="11" t="s">
        <v>0</v>
      </c>
      <c r="U276" s="11" t="s">
        <v>0</v>
      </c>
      <c r="V276" s="11" t="s">
        <v>0</v>
      </c>
      <c r="W276" s="11" t="s">
        <v>0</v>
      </c>
      <c r="X276" s="11" t="s">
        <v>0</v>
      </c>
      <c r="Y276" s="11" t="s">
        <v>0</v>
      </c>
      <c r="Z276" s="11" t="s">
        <v>0</v>
      </c>
      <c r="AA276" s="11" t="s">
        <v>0</v>
      </c>
      <c r="AB276" s="11" t="s">
        <v>0</v>
      </c>
      <c r="AC276" s="11" t="s">
        <v>0</v>
      </c>
      <c r="AD276" s="11" t="s">
        <v>0</v>
      </c>
    </row>
    <row r="277">
      <c r="B277" s="12" t="s">
        <v>0</v>
      </c>
      <c r="C277" s="11" t="s">
        <v>0</v>
      </c>
      <c r="D277" s="11" t="s">
        <v>0</v>
      </c>
      <c r="E277" s="12" t="s">
        <v>0</v>
      </c>
      <c r="F277" s="12" t="s">
        <v>0</v>
      </c>
      <c r="G277" s="12" t="s">
        <v>0</v>
      </c>
      <c r="H277" s="12" t="s">
        <v>0</v>
      </c>
      <c r="I277" s="12" t="s">
        <v>0</v>
      </c>
      <c r="J277" s="12" t="s">
        <v>0</v>
      </c>
      <c r="K277" s="12" t="s">
        <v>0</v>
      </c>
      <c r="L277" s="13" t="s">
        <v>0</v>
      </c>
      <c r="M277" s="11" t="s">
        <v>0</v>
      </c>
      <c r="N277" s="11" t="s">
        <v>0</v>
      </c>
      <c r="O277" s="11" t="s">
        <v>0</v>
      </c>
      <c r="P277" s="11" t="s">
        <v>0</v>
      </c>
      <c r="Q277" s="11" t="s">
        <v>0</v>
      </c>
      <c r="R277" s="11" t="s">
        <v>0</v>
      </c>
      <c r="S277" s="11" t="s">
        <v>0</v>
      </c>
      <c r="T277" s="11" t="s">
        <v>0</v>
      </c>
      <c r="U277" s="11" t="s">
        <v>0</v>
      </c>
      <c r="V277" s="11" t="s">
        <v>0</v>
      </c>
      <c r="W277" s="11" t="s">
        <v>0</v>
      </c>
      <c r="X277" s="11" t="s">
        <v>0</v>
      </c>
      <c r="Y277" s="11" t="s">
        <v>0</v>
      </c>
      <c r="Z277" s="11" t="s">
        <v>0</v>
      </c>
      <c r="AA277" s="11" t="s">
        <v>0</v>
      </c>
      <c r="AB277" s="11" t="s">
        <v>0</v>
      </c>
      <c r="AC277" s="11" t="s">
        <v>0</v>
      </c>
      <c r="AD277" s="11" t="s">
        <v>0</v>
      </c>
    </row>
    <row r="278">
      <c r="B278" s="12" t="s">
        <v>0</v>
      </c>
      <c r="C278" s="11" t="s">
        <v>0</v>
      </c>
      <c r="D278" s="11" t="s">
        <v>0</v>
      </c>
      <c r="E278" s="12" t="s">
        <v>0</v>
      </c>
      <c r="F278" s="12" t="s">
        <v>0</v>
      </c>
      <c r="G278" s="12" t="s">
        <v>0</v>
      </c>
      <c r="H278" s="12" t="s">
        <v>0</v>
      </c>
      <c r="I278" s="12" t="s">
        <v>0</v>
      </c>
      <c r="J278" s="12" t="s">
        <v>0</v>
      </c>
      <c r="K278" s="12" t="s">
        <v>0</v>
      </c>
      <c r="L278" s="13" t="s">
        <v>0</v>
      </c>
      <c r="M278" s="11" t="s">
        <v>0</v>
      </c>
      <c r="N278" s="11" t="s">
        <v>0</v>
      </c>
      <c r="O278" s="11" t="s">
        <v>0</v>
      </c>
      <c r="P278" s="11" t="s">
        <v>0</v>
      </c>
      <c r="Q278" s="11" t="s">
        <v>0</v>
      </c>
      <c r="R278" s="11" t="s">
        <v>0</v>
      </c>
      <c r="S278" s="11" t="s">
        <v>0</v>
      </c>
      <c r="T278" s="11" t="s">
        <v>0</v>
      </c>
      <c r="U278" s="11" t="s">
        <v>0</v>
      </c>
      <c r="V278" s="11" t="s">
        <v>0</v>
      </c>
      <c r="W278" s="11" t="s">
        <v>0</v>
      </c>
      <c r="X278" s="11" t="s">
        <v>0</v>
      </c>
      <c r="Y278" s="11" t="s">
        <v>0</v>
      </c>
      <c r="Z278" s="11" t="s">
        <v>0</v>
      </c>
      <c r="AA278" s="11" t="s">
        <v>0</v>
      </c>
      <c r="AB278" s="11" t="s">
        <v>0</v>
      </c>
      <c r="AC278" s="11" t="s">
        <v>0</v>
      </c>
      <c r="AD278" s="11" t="s">
        <v>0</v>
      </c>
    </row>
    <row r="279">
      <c r="B279" s="12" t="s">
        <v>0</v>
      </c>
      <c r="C279" s="11" t="s">
        <v>0</v>
      </c>
      <c r="D279" s="11" t="s">
        <v>0</v>
      </c>
      <c r="E279" s="12" t="s">
        <v>0</v>
      </c>
      <c r="F279" s="12" t="s">
        <v>0</v>
      </c>
      <c r="G279" s="12" t="s">
        <v>0</v>
      </c>
      <c r="H279" s="12" t="s">
        <v>0</v>
      </c>
      <c r="I279" s="12" t="s">
        <v>0</v>
      </c>
      <c r="J279" s="12" t="s">
        <v>0</v>
      </c>
      <c r="K279" s="12" t="s">
        <v>0</v>
      </c>
      <c r="L279" s="13" t="s">
        <v>0</v>
      </c>
      <c r="M279" s="11" t="s">
        <v>0</v>
      </c>
      <c r="N279" s="11" t="s">
        <v>0</v>
      </c>
      <c r="O279" s="11" t="s">
        <v>0</v>
      </c>
      <c r="P279" s="11" t="s">
        <v>0</v>
      </c>
      <c r="Q279" s="11" t="s">
        <v>0</v>
      </c>
      <c r="R279" s="11" t="s">
        <v>0</v>
      </c>
      <c r="S279" s="11" t="s">
        <v>0</v>
      </c>
      <c r="T279" s="11" t="s">
        <v>0</v>
      </c>
      <c r="U279" s="11" t="s">
        <v>0</v>
      </c>
      <c r="V279" s="11" t="s">
        <v>0</v>
      </c>
      <c r="W279" s="11" t="s">
        <v>0</v>
      </c>
      <c r="X279" s="11" t="s">
        <v>0</v>
      </c>
      <c r="Y279" s="11" t="s">
        <v>0</v>
      </c>
      <c r="Z279" s="11" t="s">
        <v>0</v>
      </c>
      <c r="AA279" s="11" t="s">
        <v>0</v>
      </c>
      <c r="AB279" s="11" t="s">
        <v>0</v>
      </c>
      <c r="AC279" s="11" t="s">
        <v>0</v>
      </c>
      <c r="AD279" s="11" t="s">
        <v>0</v>
      </c>
    </row>
    <row r="280">
      <c r="B280" s="12" t="s">
        <v>0</v>
      </c>
      <c r="C280" s="11" t="s">
        <v>0</v>
      </c>
      <c r="D280" s="11" t="s">
        <v>0</v>
      </c>
      <c r="E280" s="12" t="s">
        <v>0</v>
      </c>
      <c r="F280" s="12" t="s">
        <v>0</v>
      </c>
      <c r="G280" s="12" t="s">
        <v>0</v>
      </c>
      <c r="H280" s="12" t="s">
        <v>0</v>
      </c>
      <c r="I280" s="12" t="s">
        <v>0</v>
      </c>
      <c r="J280" s="12" t="s">
        <v>0</v>
      </c>
      <c r="K280" s="12" t="s">
        <v>0</v>
      </c>
      <c r="L280" s="13" t="s">
        <v>0</v>
      </c>
      <c r="M280" s="11" t="s">
        <v>0</v>
      </c>
      <c r="N280" s="11" t="s">
        <v>0</v>
      </c>
      <c r="O280" s="11" t="s">
        <v>0</v>
      </c>
      <c r="P280" s="11" t="s">
        <v>0</v>
      </c>
      <c r="Q280" s="11" t="s">
        <v>0</v>
      </c>
      <c r="R280" s="11" t="s">
        <v>0</v>
      </c>
      <c r="S280" s="11" t="s">
        <v>0</v>
      </c>
      <c r="T280" s="11" t="s">
        <v>0</v>
      </c>
      <c r="U280" s="11" t="s">
        <v>0</v>
      </c>
      <c r="V280" s="11" t="s">
        <v>0</v>
      </c>
      <c r="W280" s="11" t="s">
        <v>0</v>
      </c>
      <c r="X280" s="11" t="s">
        <v>0</v>
      </c>
      <c r="Y280" s="11" t="s">
        <v>0</v>
      </c>
      <c r="Z280" s="11" t="s">
        <v>0</v>
      </c>
      <c r="AA280" s="11" t="s">
        <v>0</v>
      </c>
      <c r="AB280" s="11" t="s">
        <v>0</v>
      </c>
      <c r="AC280" s="11" t="s">
        <v>0</v>
      </c>
      <c r="AD280" s="11" t="s">
        <v>0</v>
      </c>
    </row>
    <row r="281">
      <c r="B281" s="12" t="s">
        <v>0</v>
      </c>
      <c r="C281" s="11" t="s">
        <v>0</v>
      </c>
      <c r="D281" s="11" t="s">
        <v>0</v>
      </c>
      <c r="E281" s="12" t="s">
        <v>0</v>
      </c>
      <c r="F281" s="12" t="s">
        <v>0</v>
      </c>
      <c r="G281" s="12" t="s">
        <v>0</v>
      </c>
      <c r="H281" s="12" t="s">
        <v>0</v>
      </c>
      <c r="I281" s="12" t="s">
        <v>0</v>
      </c>
      <c r="J281" s="12" t="s">
        <v>0</v>
      </c>
      <c r="K281" s="12" t="s">
        <v>0</v>
      </c>
      <c r="L281" s="13" t="s">
        <v>0</v>
      </c>
      <c r="M281" s="11" t="s">
        <v>0</v>
      </c>
      <c r="N281" s="11" t="s">
        <v>0</v>
      </c>
      <c r="O281" s="11" t="s">
        <v>0</v>
      </c>
      <c r="P281" s="11" t="s">
        <v>0</v>
      </c>
      <c r="Q281" s="11" t="s">
        <v>0</v>
      </c>
      <c r="R281" s="11" t="s">
        <v>0</v>
      </c>
      <c r="S281" s="11" t="s">
        <v>0</v>
      </c>
      <c r="T281" s="11" t="s">
        <v>0</v>
      </c>
      <c r="U281" s="11" t="s">
        <v>0</v>
      </c>
      <c r="V281" s="11" t="s">
        <v>0</v>
      </c>
      <c r="W281" s="11" t="s">
        <v>0</v>
      </c>
      <c r="X281" s="11" t="s">
        <v>0</v>
      </c>
      <c r="Y281" s="11" t="s">
        <v>0</v>
      </c>
      <c r="Z281" s="11" t="s">
        <v>0</v>
      </c>
      <c r="AA281" s="11" t="s">
        <v>0</v>
      </c>
      <c r="AB281" s="11" t="s">
        <v>0</v>
      </c>
      <c r="AC281" s="11" t="s">
        <v>0</v>
      </c>
      <c r="AD281" s="11" t="s">
        <v>0</v>
      </c>
    </row>
    <row r="282">
      <c r="B282" s="12" t="s">
        <v>0</v>
      </c>
      <c r="C282" s="11" t="s">
        <v>0</v>
      </c>
      <c r="D282" s="11" t="s">
        <v>0</v>
      </c>
      <c r="E282" s="12" t="s">
        <v>0</v>
      </c>
      <c r="F282" s="12" t="s">
        <v>0</v>
      </c>
      <c r="G282" s="12" t="s">
        <v>0</v>
      </c>
      <c r="H282" s="12" t="s">
        <v>0</v>
      </c>
      <c r="I282" s="12" t="s">
        <v>0</v>
      </c>
      <c r="J282" s="12" t="s">
        <v>0</v>
      </c>
      <c r="K282" s="12" t="s">
        <v>0</v>
      </c>
      <c r="L282" s="13" t="s">
        <v>0</v>
      </c>
      <c r="M282" s="11" t="s">
        <v>0</v>
      </c>
      <c r="N282" s="11" t="s">
        <v>0</v>
      </c>
      <c r="O282" s="11" t="s">
        <v>0</v>
      </c>
      <c r="P282" s="11" t="s">
        <v>0</v>
      </c>
      <c r="Q282" s="11" t="s">
        <v>0</v>
      </c>
      <c r="R282" s="11" t="s">
        <v>0</v>
      </c>
      <c r="S282" s="11" t="s">
        <v>0</v>
      </c>
      <c r="T282" s="11" t="s">
        <v>0</v>
      </c>
      <c r="U282" s="11" t="s">
        <v>0</v>
      </c>
      <c r="V282" s="11" t="s">
        <v>0</v>
      </c>
      <c r="W282" s="11" t="s">
        <v>0</v>
      </c>
      <c r="X282" s="11" t="s">
        <v>0</v>
      </c>
      <c r="Y282" s="11" t="s">
        <v>0</v>
      </c>
      <c r="Z282" s="11" t="s">
        <v>0</v>
      </c>
      <c r="AA282" s="11" t="s">
        <v>0</v>
      </c>
      <c r="AB282" s="11" t="s">
        <v>0</v>
      </c>
      <c r="AC282" s="11" t="s">
        <v>0</v>
      </c>
      <c r="AD282" s="11" t="s">
        <v>0</v>
      </c>
    </row>
    <row r="283">
      <c r="B283" s="12" t="s">
        <v>0</v>
      </c>
      <c r="C283" s="11" t="s">
        <v>0</v>
      </c>
      <c r="D283" s="11" t="s">
        <v>0</v>
      </c>
      <c r="E283" s="12" t="s">
        <v>0</v>
      </c>
      <c r="F283" s="12" t="s">
        <v>0</v>
      </c>
      <c r="G283" s="12" t="s">
        <v>0</v>
      </c>
      <c r="H283" s="12" t="s">
        <v>0</v>
      </c>
      <c r="I283" s="12" t="s">
        <v>0</v>
      </c>
      <c r="J283" s="12" t="s">
        <v>0</v>
      </c>
      <c r="K283" s="12" t="s">
        <v>0</v>
      </c>
      <c r="L283" s="13" t="s">
        <v>0</v>
      </c>
      <c r="M283" s="11" t="s">
        <v>0</v>
      </c>
      <c r="N283" s="11" t="s">
        <v>0</v>
      </c>
      <c r="O283" s="11" t="s">
        <v>0</v>
      </c>
      <c r="P283" s="11" t="s">
        <v>0</v>
      </c>
      <c r="Q283" s="11" t="s">
        <v>0</v>
      </c>
      <c r="R283" s="11" t="s">
        <v>0</v>
      </c>
      <c r="S283" s="11" t="s">
        <v>0</v>
      </c>
      <c r="T283" s="11" t="s">
        <v>0</v>
      </c>
      <c r="U283" s="11" t="s">
        <v>0</v>
      </c>
      <c r="V283" s="11" t="s">
        <v>0</v>
      </c>
      <c r="W283" s="11" t="s">
        <v>0</v>
      </c>
      <c r="X283" s="11" t="s">
        <v>0</v>
      </c>
      <c r="Y283" s="11" t="s">
        <v>0</v>
      </c>
      <c r="Z283" s="11" t="s">
        <v>0</v>
      </c>
      <c r="AA283" s="11" t="s">
        <v>0</v>
      </c>
      <c r="AB283" s="11" t="s">
        <v>0</v>
      </c>
      <c r="AC283" s="11" t="s">
        <v>0</v>
      </c>
      <c r="AD283" s="11" t="s">
        <v>0</v>
      </c>
    </row>
    <row r="284">
      <c r="B284" s="12" t="s">
        <v>0</v>
      </c>
      <c r="C284" s="11" t="s">
        <v>0</v>
      </c>
      <c r="D284" s="11" t="s">
        <v>0</v>
      </c>
      <c r="E284" s="12" t="s">
        <v>0</v>
      </c>
      <c r="F284" s="12" t="s">
        <v>0</v>
      </c>
      <c r="G284" s="12" t="s">
        <v>0</v>
      </c>
      <c r="H284" s="12" t="s">
        <v>0</v>
      </c>
      <c r="I284" s="12" t="s">
        <v>0</v>
      </c>
      <c r="J284" s="12" t="s">
        <v>0</v>
      </c>
      <c r="K284" s="12" t="s">
        <v>0</v>
      </c>
      <c r="L284" s="13" t="s">
        <v>0</v>
      </c>
      <c r="M284" s="11" t="s">
        <v>0</v>
      </c>
      <c r="N284" s="11" t="s">
        <v>0</v>
      </c>
      <c r="O284" s="11" t="s">
        <v>0</v>
      </c>
      <c r="P284" s="11" t="s">
        <v>0</v>
      </c>
      <c r="Q284" s="11" t="s">
        <v>0</v>
      </c>
      <c r="R284" s="11" t="s">
        <v>0</v>
      </c>
      <c r="S284" s="11" t="s">
        <v>0</v>
      </c>
      <c r="T284" s="11" t="s">
        <v>0</v>
      </c>
      <c r="U284" s="11" t="s">
        <v>0</v>
      </c>
      <c r="V284" s="11" t="s">
        <v>0</v>
      </c>
      <c r="W284" s="11" t="s">
        <v>0</v>
      </c>
      <c r="X284" s="11" t="s">
        <v>0</v>
      </c>
      <c r="Y284" s="11" t="s">
        <v>0</v>
      </c>
      <c r="Z284" s="11" t="s">
        <v>0</v>
      </c>
      <c r="AA284" s="11" t="s">
        <v>0</v>
      </c>
      <c r="AB284" s="11" t="s">
        <v>0</v>
      </c>
      <c r="AC284" s="11" t="s">
        <v>0</v>
      </c>
      <c r="AD284" s="11" t="s">
        <v>0</v>
      </c>
    </row>
    <row r="285">
      <c r="B285" s="12" t="s">
        <v>0</v>
      </c>
      <c r="C285" s="11" t="s">
        <v>0</v>
      </c>
      <c r="D285" s="11" t="s">
        <v>0</v>
      </c>
      <c r="E285" s="12" t="s">
        <v>0</v>
      </c>
      <c r="F285" s="12" t="s">
        <v>0</v>
      </c>
      <c r="G285" s="12" t="s">
        <v>0</v>
      </c>
      <c r="H285" s="12" t="s">
        <v>0</v>
      </c>
      <c r="I285" s="12" t="s">
        <v>0</v>
      </c>
      <c r="J285" s="12" t="s">
        <v>0</v>
      </c>
      <c r="K285" s="12" t="s">
        <v>0</v>
      </c>
      <c r="L285" s="13" t="s">
        <v>0</v>
      </c>
      <c r="M285" s="11" t="s">
        <v>0</v>
      </c>
      <c r="N285" s="11" t="s">
        <v>0</v>
      </c>
      <c r="O285" s="11" t="s">
        <v>0</v>
      </c>
      <c r="P285" s="11" t="s">
        <v>0</v>
      </c>
      <c r="Q285" s="11" t="s">
        <v>0</v>
      </c>
      <c r="R285" s="11" t="s">
        <v>0</v>
      </c>
      <c r="S285" s="11" t="s">
        <v>0</v>
      </c>
      <c r="T285" s="11" t="s">
        <v>0</v>
      </c>
      <c r="U285" s="11" t="s">
        <v>0</v>
      </c>
      <c r="V285" s="11" t="s">
        <v>0</v>
      </c>
      <c r="W285" s="11" t="s">
        <v>0</v>
      </c>
      <c r="X285" s="11" t="s">
        <v>0</v>
      </c>
      <c r="Y285" s="11" t="s">
        <v>0</v>
      </c>
      <c r="Z285" s="11" t="s">
        <v>0</v>
      </c>
      <c r="AA285" s="11" t="s">
        <v>0</v>
      </c>
      <c r="AB285" s="11" t="s">
        <v>0</v>
      </c>
      <c r="AC285" s="11" t="s">
        <v>0</v>
      </c>
      <c r="AD285" s="11" t="s">
        <v>0</v>
      </c>
    </row>
    <row r="286">
      <c r="B286" s="12" t="s">
        <v>0</v>
      </c>
      <c r="C286" s="11" t="s">
        <v>0</v>
      </c>
      <c r="D286" s="11" t="s">
        <v>0</v>
      </c>
      <c r="E286" s="12" t="s">
        <v>0</v>
      </c>
      <c r="F286" s="12" t="s">
        <v>0</v>
      </c>
      <c r="G286" s="12" t="s">
        <v>0</v>
      </c>
      <c r="H286" s="12" t="s">
        <v>0</v>
      </c>
      <c r="I286" s="12" t="s">
        <v>0</v>
      </c>
      <c r="J286" s="12" t="s">
        <v>0</v>
      </c>
      <c r="K286" s="12" t="s">
        <v>0</v>
      </c>
      <c r="L286" s="13" t="s">
        <v>0</v>
      </c>
      <c r="M286" s="11" t="s">
        <v>0</v>
      </c>
      <c r="N286" s="11" t="s">
        <v>0</v>
      </c>
      <c r="O286" s="11" t="s">
        <v>0</v>
      </c>
      <c r="P286" s="11" t="s">
        <v>0</v>
      </c>
      <c r="Q286" s="11" t="s">
        <v>0</v>
      </c>
      <c r="R286" s="11" t="s">
        <v>0</v>
      </c>
      <c r="S286" s="11" t="s">
        <v>0</v>
      </c>
      <c r="T286" s="11" t="s">
        <v>0</v>
      </c>
      <c r="U286" s="11" t="s">
        <v>0</v>
      </c>
      <c r="V286" s="11" t="s">
        <v>0</v>
      </c>
      <c r="W286" s="11" t="s">
        <v>0</v>
      </c>
      <c r="X286" s="11" t="s">
        <v>0</v>
      </c>
      <c r="Y286" s="11" t="s">
        <v>0</v>
      </c>
      <c r="Z286" s="11" t="s">
        <v>0</v>
      </c>
      <c r="AA286" s="11" t="s">
        <v>0</v>
      </c>
      <c r="AB286" s="11" t="s">
        <v>0</v>
      </c>
      <c r="AC286" s="11" t="s">
        <v>0</v>
      </c>
      <c r="AD286" s="11" t="s">
        <v>0</v>
      </c>
    </row>
    <row r="287">
      <c r="B287" s="12" t="s">
        <v>0</v>
      </c>
      <c r="C287" s="11" t="s">
        <v>0</v>
      </c>
      <c r="D287" s="11" t="s">
        <v>0</v>
      </c>
      <c r="E287" s="12" t="s">
        <v>0</v>
      </c>
      <c r="F287" s="12" t="s">
        <v>0</v>
      </c>
      <c r="G287" s="12" t="s">
        <v>0</v>
      </c>
      <c r="H287" s="12" t="s">
        <v>0</v>
      </c>
      <c r="I287" s="12" t="s">
        <v>0</v>
      </c>
      <c r="J287" s="12" t="s">
        <v>0</v>
      </c>
      <c r="K287" s="12" t="s">
        <v>0</v>
      </c>
      <c r="L287" s="13" t="s">
        <v>0</v>
      </c>
      <c r="M287" s="11" t="s">
        <v>0</v>
      </c>
      <c r="N287" s="11" t="s">
        <v>0</v>
      </c>
      <c r="O287" s="11" t="s">
        <v>0</v>
      </c>
      <c r="P287" s="11" t="s">
        <v>0</v>
      </c>
      <c r="Q287" s="11" t="s">
        <v>0</v>
      </c>
      <c r="R287" s="11" t="s">
        <v>0</v>
      </c>
      <c r="S287" s="11" t="s">
        <v>0</v>
      </c>
      <c r="T287" s="11" t="s">
        <v>0</v>
      </c>
      <c r="U287" s="11" t="s">
        <v>0</v>
      </c>
      <c r="V287" s="11" t="s">
        <v>0</v>
      </c>
      <c r="W287" s="11" t="s">
        <v>0</v>
      </c>
      <c r="X287" s="11" t="s">
        <v>0</v>
      </c>
      <c r="Y287" s="11" t="s">
        <v>0</v>
      </c>
      <c r="Z287" s="11" t="s">
        <v>0</v>
      </c>
      <c r="AA287" s="11" t="s">
        <v>0</v>
      </c>
      <c r="AB287" s="11" t="s">
        <v>0</v>
      </c>
      <c r="AC287" s="11" t="s">
        <v>0</v>
      </c>
      <c r="AD287" s="11" t="s">
        <v>0</v>
      </c>
    </row>
    <row r="288">
      <c r="B288" s="12" t="s">
        <v>0</v>
      </c>
      <c r="C288" s="11" t="s">
        <v>0</v>
      </c>
      <c r="D288" s="11" t="s">
        <v>0</v>
      </c>
      <c r="E288" s="12" t="s">
        <v>0</v>
      </c>
      <c r="F288" s="12" t="s">
        <v>0</v>
      </c>
      <c r="G288" s="12" t="s">
        <v>0</v>
      </c>
      <c r="H288" s="12" t="s">
        <v>0</v>
      </c>
      <c r="I288" s="12" t="s">
        <v>0</v>
      </c>
      <c r="J288" s="12" t="s">
        <v>0</v>
      </c>
      <c r="K288" s="12" t="s">
        <v>0</v>
      </c>
      <c r="L288" s="13" t="s">
        <v>0</v>
      </c>
      <c r="M288" s="11" t="s">
        <v>0</v>
      </c>
      <c r="N288" s="11" t="s">
        <v>0</v>
      </c>
      <c r="O288" s="11" t="s">
        <v>0</v>
      </c>
      <c r="P288" s="11" t="s">
        <v>0</v>
      </c>
      <c r="Q288" s="11" t="s">
        <v>0</v>
      </c>
      <c r="R288" s="11" t="s">
        <v>0</v>
      </c>
      <c r="S288" s="11" t="s">
        <v>0</v>
      </c>
      <c r="T288" s="11" t="s">
        <v>0</v>
      </c>
      <c r="U288" s="11" t="s">
        <v>0</v>
      </c>
      <c r="V288" s="11" t="s">
        <v>0</v>
      </c>
      <c r="W288" s="11" t="s">
        <v>0</v>
      </c>
      <c r="X288" s="11" t="s">
        <v>0</v>
      </c>
      <c r="Y288" s="11" t="s">
        <v>0</v>
      </c>
      <c r="Z288" s="11" t="s">
        <v>0</v>
      </c>
      <c r="AA288" s="11" t="s">
        <v>0</v>
      </c>
      <c r="AB288" s="11" t="s">
        <v>0</v>
      </c>
      <c r="AC288" s="11" t="s">
        <v>0</v>
      </c>
      <c r="AD288" s="11" t="s">
        <v>0</v>
      </c>
    </row>
    <row r="289">
      <c r="B289" s="12" t="s">
        <v>0</v>
      </c>
      <c r="C289" s="11" t="s">
        <v>0</v>
      </c>
      <c r="D289" s="11" t="s">
        <v>0</v>
      </c>
      <c r="E289" s="12" t="s">
        <v>0</v>
      </c>
      <c r="F289" s="12" t="s">
        <v>0</v>
      </c>
      <c r="G289" s="12" t="s">
        <v>0</v>
      </c>
      <c r="H289" s="12" t="s">
        <v>0</v>
      </c>
      <c r="I289" s="12" t="s">
        <v>0</v>
      </c>
      <c r="J289" s="12" t="s">
        <v>0</v>
      </c>
      <c r="K289" s="12" t="s">
        <v>0</v>
      </c>
      <c r="L289" s="13" t="s">
        <v>0</v>
      </c>
      <c r="M289" s="11" t="s">
        <v>0</v>
      </c>
      <c r="N289" s="11" t="s">
        <v>0</v>
      </c>
      <c r="O289" s="11" t="s">
        <v>0</v>
      </c>
      <c r="P289" s="11" t="s">
        <v>0</v>
      </c>
      <c r="Q289" s="11" t="s">
        <v>0</v>
      </c>
      <c r="R289" s="11" t="s">
        <v>0</v>
      </c>
      <c r="S289" s="11" t="s">
        <v>0</v>
      </c>
      <c r="T289" s="11" t="s">
        <v>0</v>
      </c>
      <c r="U289" s="11" t="s">
        <v>0</v>
      </c>
      <c r="V289" s="11" t="s">
        <v>0</v>
      </c>
      <c r="W289" s="11" t="s">
        <v>0</v>
      </c>
      <c r="X289" s="11" t="s">
        <v>0</v>
      </c>
      <c r="Y289" s="11" t="s">
        <v>0</v>
      </c>
      <c r="Z289" s="11" t="s">
        <v>0</v>
      </c>
      <c r="AA289" s="11" t="s">
        <v>0</v>
      </c>
      <c r="AB289" s="11" t="s">
        <v>0</v>
      </c>
      <c r="AC289" s="11" t="s">
        <v>0</v>
      </c>
      <c r="AD289" s="11" t="s">
        <v>0</v>
      </c>
    </row>
    <row r="290">
      <c r="B290" s="12" t="s">
        <v>0</v>
      </c>
      <c r="C290" s="11" t="s">
        <v>0</v>
      </c>
      <c r="D290" s="11" t="s">
        <v>0</v>
      </c>
      <c r="E290" s="12" t="s">
        <v>0</v>
      </c>
      <c r="F290" s="12" t="s">
        <v>0</v>
      </c>
      <c r="G290" s="12" t="s">
        <v>0</v>
      </c>
      <c r="H290" s="12" t="s">
        <v>0</v>
      </c>
      <c r="I290" s="12" t="s">
        <v>0</v>
      </c>
      <c r="J290" s="12" t="s">
        <v>0</v>
      </c>
      <c r="K290" s="12" t="s">
        <v>0</v>
      </c>
      <c r="L290" s="13" t="s">
        <v>0</v>
      </c>
      <c r="M290" s="11" t="s">
        <v>0</v>
      </c>
      <c r="N290" s="11" t="s">
        <v>0</v>
      </c>
      <c r="O290" s="11" t="s">
        <v>0</v>
      </c>
      <c r="P290" s="11" t="s">
        <v>0</v>
      </c>
      <c r="Q290" s="11" t="s">
        <v>0</v>
      </c>
      <c r="R290" s="11" t="s">
        <v>0</v>
      </c>
      <c r="S290" s="11" t="s">
        <v>0</v>
      </c>
      <c r="T290" s="11" t="s">
        <v>0</v>
      </c>
      <c r="U290" s="11" t="s">
        <v>0</v>
      </c>
      <c r="V290" s="11" t="s">
        <v>0</v>
      </c>
      <c r="W290" s="11" t="s">
        <v>0</v>
      </c>
      <c r="X290" s="11" t="s">
        <v>0</v>
      </c>
      <c r="Y290" s="11" t="s">
        <v>0</v>
      </c>
      <c r="Z290" s="11" t="s">
        <v>0</v>
      </c>
      <c r="AA290" s="11" t="s">
        <v>0</v>
      </c>
      <c r="AB290" s="11" t="s">
        <v>0</v>
      </c>
      <c r="AC290" s="11" t="s">
        <v>0</v>
      </c>
      <c r="AD290" s="11" t="s">
        <v>0</v>
      </c>
    </row>
    <row r="291">
      <c r="B291" s="12" t="s">
        <v>0</v>
      </c>
      <c r="C291" s="11" t="s">
        <v>0</v>
      </c>
      <c r="D291" s="11" t="s">
        <v>0</v>
      </c>
      <c r="E291" s="12" t="s">
        <v>0</v>
      </c>
      <c r="F291" s="12" t="s">
        <v>0</v>
      </c>
      <c r="G291" s="12" t="s">
        <v>0</v>
      </c>
      <c r="H291" s="12" t="s">
        <v>0</v>
      </c>
      <c r="I291" s="12" t="s">
        <v>0</v>
      </c>
      <c r="J291" s="12" t="s">
        <v>0</v>
      </c>
      <c r="K291" s="12" t="s">
        <v>0</v>
      </c>
      <c r="L291" s="13" t="s">
        <v>0</v>
      </c>
      <c r="M291" s="11" t="s">
        <v>0</v>
      </c>
      <c r="N291" s="11" t="s">
        <v>0</v>
      </c>
      <c r="O291" s="11" t="s">
        <v>0</v>
      </c>
      <c r="P291" s="11" t="s">
        <v>0</v>
      </c>
      <c r="Q291" s="11" t="s">
        <v>0</v>
      </c>
      <c r="R291" s="11" t="s">
        <v>0</v>
      </c>
      <c r="S291" s="11" t="s">
        <v>0</v>
      </c>
      <c r="T291" s="11" t="s">
        <v>0</v>
      </c>
      <c r="U291" s="11" t="s">
        <v>0</v>
      </c>
      <c r="V291" s="11" t="s">
        <v>0</v>
      </c>
      <c r="W291" s="11" t="s">
        <v>0</v>
      </c>
      <c r="X291" s="11" t="s">
        <v>0</v>
      </c>
      <c r="Y291" s="11" t="s">
        <v>0</v>
      </c>
      <c r="Z291" s="11" t="s">
        <v>0</v>
      </c>
      <c r="AA291" s="11" t="s">
        <v>0</v>
      </c>
      <c r="AB291" s="11" t="s">
        <v>0</v>
      </c>
      <c r="AC291" s="11" t="s">
        <v>0</v>
      </c>
      <c r="AD291" s="11" t="s">
        <v>0</v>
      </c>
    </row>
    <row r="292">
      <c r="B292" s="12" t="s">
        <v>0</v>
      </c>
      <c r="C292" s="11" t="s">
        <v>0</v>
      </c>
      <c r="D292" s="11" t="s">
        <v>0</v>
      </c>
      <c r="E292" s="12" t="s">
        <v>0</v>
      </c>
      <c r="F292" s="12" t="s">
        <v>0</v>
      </c>
      <c r="G292" s="12" t="s">
        <v>0</v>
      </c>
      <c r="H292" s="12" t="s">
        <v>0</v>
      </c>
      <c r="I292" s="12" t="s">
        <v>0</v>
      </c>
      <c r="J292" s="12" t="s">
        <v>0</v>
      </c>
      <c r="K292" s="12" t="s">
        <v>0</v>
      </c>
      <c r="L292" s="13" t="s">
        <v>0</v>
      </c>
      <c r="M292" s="11" t="s">
        <v>0</v>
      </c>
      <c r="N292" s="11" t="s">
        <v>0</v>
      </c>
      <c r="O292" s="11" t="s">
        <v>0</v>
      </c>
      <c r="P292" s="11" t="s">
        <v>0</v>
      </c>
      <c r="Q292" s="11" t="s">
        <v>0</v>
      </c>
      <c r="R292" s="11" t="s">
        <v>0</v>
      </c>
      <c r="S292" s="11" t="s">
        <v>0</v>
      </c>
      <c r="T292" s="11" t="s">
        <v>0</v>
      </c>
      <c r="U292" s="11" t="s">
        <v>0</v>
      </c>
      <c r="V292" s="11" t="s">
        <v>0</v>
      </c>
      <c r="W292" s="11" t="s">
        <v>0</v>
      </c>
      <c r="X292" s="11" t="s">
        <v>0</v>
      </c>
      <c r="Y292" s="11" t="s">
        <v>0</v>
      </c>
      <c r="Z292" s="11" t="s">
        <v>0</v>
      </c>
      <c r="AA292" s="11" t="s">
        <v>0</v>
      </c>
      <c r="AB292" s="11" t="s">
        <v>0</v>
      </c>
      <c r="AC292" s="11" t="s">
        <v>0</v>
      </c>
      <c r="AD292" s="11" t="s">
        <v>0</v>
      </c>
    </row>
    <row r="293">
      <c r="B293" s="12" t="s">
        <v>0</v>
      </c>
      <c r="C293" s="11" t="s">
        <v>0</v>
      </c>
      <c r="D293" s="11" t="s">
        <v>0</v>
      </c>
      <c r="E293" s="12" t="s">
        <v>0</v>
      </c>
      <c r="F293" s="12" t="s">
        <v>0</v>
      </c>
      <c r="G293" s="12" t="s">
        <v>0</v>
      </c>
      <c r="H293" s="12" t="s">
        <v>0</v>
      </c>
      <c r="I293" s="12" t="s">
        <v>0</v>
      </c>
      <c r="J293" s="12" t="s">
        <v>0</v>
      </c>
      <c r="K293" s="12" t="s">
        <v>0</v>
      </c>
      <c r="L293" s="13" t="s">
        <v>0</v>
      </c>
      <c r="M293" s="11" t="s">
        <v>0</v>
      </c>
      <c r="N293" s="11" t="s">
        <v>0</v>
      </c>
      <c r="O293" s="11" t="s">
        <v>0</v>
      </c>
      <c r="P293" s="11" t="s">
        <v>0</v>
      </c>
      <c r="Q293" s="11" t="s">
        <v>0</v>
      </c>
      <c r="R293" s="11" t="s">
        <v>0</v>
      </c>
      <c r="S293" s="11" t="s">
        <v>0</v>
      </c>
      <c r="T293" s="11" t="s">
        <v>0</v>
      </c>
      <c r="U293" s="11" t="s">
        <v>0</v>
      </c>
      <c r="V293" s="11" t="s">
        <v>0</v>
      </c>
      <c r="W293" s="11" t="s">
        <v>0</v>
      </c>
      <c r="X293" s="11" t="s">
        <v>0</v>
      </c>
      <c r="Y293" s="11" t="s">
        <v>0</v>
      </c>
      <c r="Z293" s="11" t="s">
        <v>0</v>
      </c>
      <c r="AA293" s="11" t="s">
        <v>0</v>
      </c>
      <c r="AB293" s="11" t="s">
        <v>0</v>
      </c>
      <c r="AC293" s="11" t="s">
        <v>0</v>
      </c>
      <c r="AD293" s="11" t="s">
        <v>0</v>
      </c>
    </row>
    <row r="294">
      <c r="B294" s="12" t="s">
        <v>0</v>
      </c>
      <c r="C294" s="11" t="s">
        <v>0</v>
      </c>
      <c r="D294" s="11" t="s">
        <v>0</v>
      </c>
      <c r="E294" s="12" t="s">
        <v>0</v>
      </c>
      <c r="F294" s="12" t="s">
        <v>0</v>
      </c>
      <c r="G294" s="12" t="s">
        <v>0</v>
      </c>
      <c r="H294" s="12" t="s">
        <v>0</v>
      </c>
      <c r="I294" s="12" t="s">
        <v>0</v>
      </c>
      <c r="J294" s="12" t="s">
        <v>0</v>
      </c>
      <c r="K294" s="12" t="s">
        <v>0</v>
      </c>
      <c r="L294" s="13" t="s">
        <v>0</v>
      </c>
      <c r="M294" s="11" t="s">
        <v>0</v>
      </c>
      <c r="N294" s="11" t="s">
        <v>0</v>
      </c>
      <c r="O294" s="11" t="s">
        <v>0</v>
      </c>
      <c r="P294" s="11" t="s">
        <v>0</v>
      </c>
      <c r="Q294" s="11" t="s">
        <v>0</v>
      </c>
      <c r="R294" s="11" t="s">
        <v>0</v>
      </c>
      <c r="S294" s="11" t="s">
        <v>0</v>
      </c>
      <c r="T294" s="11" t="s">
        <v>0</v>
      </c>
      <c r="U294" s="11" t="s">
        <v>0</v>
      </c>
      <c r="V294" s="11" t="s">
        <v>0</v>
      </c>
      <c r="W294" s="11" t="s">
        <v>0</v>
      </c>
      <c r="X294" s="11" t="s">
        <v>0</v>
      </c>
      <c r="Y294" s="11" t="s">
        <v>0</v>
      </c>
      <c r="Z294" s="11" t="s">
        <v>0</v>
      </c>
      <c r="AA294" s="11" t="s">
        <v>0</v>
      </c>
      <c r="AB294" s="11" t="s">
        <v>0</v>
      </c>
      <c r="AC294" s="11" t="s">
        <v>0</v>
      </c>
      <c r="AD294" s="11" t="s">
        <v>0</v>
      </c>
    </row>
    <row r="295">
      <c r="B295" s="12" t="s">
        <v>0</v>
      </c>
      <c r="C295" s="11" t="s">
        <v>0</v>
      </c>
      <c r="D295" s="11" t="s">
        <v>0</v>
      </c>
      <c r="E295" s="12" t="s">
        <v>0</v>
      </c>
      <c r="F295" s="12" t="s">
        <v>0</v>
      </c>
      <c r="G295" s="12" t="s">
        <v>0</v>
      </c>
      <c r="H295" s="12" t="s">
        <v>0</v>
      </c>
      <c r="I295" s="12" t="s">
        <v>0</v>
      </c>
      <c r="J295" s="12" t="s">
        <v>0</v>
      </c>
      <c r="K295" s="12" t="s">
        <v>0</v>
      </c>
      <c r="L295" s="13" t="s">
        <v>0</v>
      </c>
      <c r="M295" s="11" t="s">
        <v>0</v>
      </c>
      <c r="N295" s="11" t="s">
        <v>0</v>
      </c>
      <c r="O295" s="11" t="s">
        <v>0</v>
      </c>
      <c r="P295" s="11" t="s">
        <v>0</v>
      </c>
      <c r="Q295" s="11" t="s">
        <v>0</v>
      </c>
      <c r="R295" s="11" t="s">
        <v>0</v>
      </c>
      <c r="S295" s="11" t="s">
        <v>0</v>
      </c>
      <c r="T295" s="11" t="s">
        <v>0</v>
      </c>
      <c r="U295" s="11" t="s">
        <v>0</v>
      </c>
      <c r="V295" s="11" t="s">
        <v>0</v>
      </c>
      <c r="W295" s="11" t="s">
        <v>0</v>
      </c>
      <c r="X295" s="11" t="s">
        <v>0</v>
      </c>
      <c r="Y295" s="11" t="s">
        <v>0</v>
      </c>
      <c r="Z295" s="11" t="s">
        <v>0</v>
      </c>
      <c r="AA295" s="11" t="s">
        <v>0</v>
      </c>
      <c r="AB295" s="11" t="s">
        <v>0</v>
      </c>
      <c r="AC295" s="11" t="s">
        <v>0</v>
      </c>
      <c r="AD295" s="11" t="s">
        <v>0</v>
      </c>
    </row>
    <row r="296">
      <c r="B296" s="12" t="s">
        <v>0</v>
      </c>
      <c r="C296" s="11" t="s">
        <v>0</v>
      </c>
      <c r="D296" s="11" t="s">
        <v>0</v>
      </c>
      <c r="E296" s="12" t="s">
        <v>0</v>
      </c>
      <c r="F296" s="12" t="s">
        <v>0</v>
      </c>
      <c r="G296" s="12" t="s">
        <v>0</v>
      </c>
      <c r="H296" s="12" t="s">
        <v>0</v>
      </c>
      <c r="I296" s="12" t="s">
        <v>0</v>
      </c>
      <c r="J296" s="12" t="s">
        <v>0</v>
      </c>
      <c r="K296" s="12" t="s">
        <v>0</v>
      </c>
      <c r="L296" s="13" t="s">
        <v>0</v>
      </c>
      <c r="M296" s="11" t="s">
        <v>0</v>
      </c>
      <c r="N296" s="11" t="s">
        <v>0</v>
      </c>
      <c r="O296" s="11" t="s">
        <v>0</v>
      </c>
      <c r="P296" s="11" t="s">
        <v>0</v>
      </c>
      <c r="Q296" s="11" t="s">
        <v>0</v>
      </c>
      <c r="R296" s="11" t="s">
        <v>0</v>
      </c>
      <c r="S296" s="11" t="s">
        <v>0</v>
      </c>
      <c r="T296" s="11" t="s">
        <v>0</v>
      </c>
      <c r="U296" s="11" t="s">
        <v>0</v>
      </c>
      <c r="V296" s="11" t="s">
        <v>0</v>
      </c>
      <c r="W296" s="11" t="s">
        <v>0</v>
      </c>
      <c r="X296" s="11" t="s">
        <v>0</v>
      </c>
      <c r="Y296" s="11" t="s">
        <v>0</v>
      </c>
      <c r="Z296" s="11" t="s">
        <v>0</v>
      </c>
      <c r="AA296" s="11" t="s">
        <v>0</v>
      </c>
      <c r="AB296" s="11" t="s">
        <v>0</v>
      </c>
      <c r="AC296" s="11" t="s">
        <v>0</v>
      </c>
      <c r="AD296" s="11" t="s">
        <v>0</v>
      </c>
    </row>
    <row r="297">
      <c r="B297" s="12" t="s">
        <v>0</v>
      </c>
      <c r="C297" s="11" t="s">
        <v>0</v>
      </c>
      <c r="D297" s="11" t="s">
        <v>0</v>
      </c>
      <c r="E297" s="12" t="s">
        <v>0</v>
      </c>
      <c r="F297" s="12" t="s">
        <v>0</v>
      </c>
      <c r="G297" s="12" t="s">
        <v>0</v>
      </c>
      <c r="H297" s="12" t="s">
        <v>0</v>
      </c>
      <c r="I297" s="12" t="s">
        <v>0</v>
      </c>
      <c r="J297" s="12" t="s">
        <v>0</v>
      </c>
      <c r="K297" s="12" t="s">
        <v>0</v>
      </c>
      <c r="L297" s="13" t="s">
        <v>0</v>
      </c>
      <c r="M297" s="11" t="s">
        <v>0</v>
      </c>
      <c r="N297" s="11" t="s">
        <v>0</v>
      </c>
      <c r="O297" s="11" t="s">
        <v>0</v>
      </c>
      <c r="P297" s="11" t="s">
        <v>0</v>
      </c>
      <c r="Q297" s="11" t="s">
        <v>0</v>
      </c>
      <c r="R297" s="11" t="s">
        <v>0</v>
      </c>
      <c r="S297" s="11" t="s">
        <v>0</v>
      </c>
      <c r="T297" s="11" t="s">
        <v>0</v>
      </c>
      <c r="U297" s="11" t="s">
        <v>0</v>
      </c>
      <c r="V297" s="11" t="s">
        <v>0</v>
      </c>
      <c r="W297" s="11" t="s">
        <v>0</v>
      </c>
      <c r="X297" s="11" t="s">
        <v>0</v>
      </c>
      <c r="Y297" s="11" t="s">
        <v>0</v>
      </c>
      <c r="Z297" s="11" t="s">
        <v>0</v>
      </c>
      <c r="AA297" s="11" t="s">
        <v>0</v>
      </c>
      <c r="AB297" s="11" t="s">
        <v>0</v>
      </c>
      <c r="AC297" s="11" t="s">
        <v>0</v>
      </c>
      <c r="AD297" s="11" t="s">
        <v>0</v>
      </c>
    </row>
    <row r="298">
      <c r="B298" s="12" t="s">
        <v>0</v>
      </c>
      <c r="C298" s="11" t="s">
        <v>0</v>
      </c>
      <c r="D298" s="11" t="s">
        <v>0</v>
      </c>
      <c r="E298" s="12" t="s">
        <v>0</v>
      </c>
      <c r="F298" s="12" t="s">
        <v>0</v>
      </c>
      <c r="G298" s="12" t="s">
        <v>0</v>
      </c>
      <c r="H298" s="12" t="s">
        <v>0</v>
      </c>
      <c r="I298" s="12" t="s">
        <v>0</v>
      </c>
      <c r="J298" s="12" t="s">
        <v>0</v>
      </c>
      <c r="K298" s="12" t="s">
        <v>0</v>
      </c>
      <c r="L298" s="13" t="s">
        <v>0</v>
      </c>
      <c r="M298" s="11" t="s">
        <v>0</v>
      </c>
      <c r="N298" s="11" t="s">
        <v>0</v>
      </c>
      <c r="O298" s="11" t="s">
        <v>0</v>
      </c>
      <c r="P298" s="11" t="s">
        <v>0</v>
      </c>
      <c r="Q298" s="11" t="s">
        <v>0</v>
      </c>
      <c r="R298" s="11" t="s">
        <v>0</v>
      </c>
      <c r="S298" s="11" t="s">
        <v>0</v>
      </c>
      <c r="T298" s="11" t="s">
        <v>0</v>
      </c>
      <c r="U298" s="11" t="s">
        <v>0</v>
      </c>
      <c r="V298" s="11" t="s">
        <v>0</v>
      </c>
      <c r="W298" s="11" t="s">
        <v>0</v>
      </c>
      <c r="X298" s="11" t="s">
        <v>0</v>
      </c>
      <c r="Y298" s="11" t="s">
        <v>0</v>
      </c>
      <c r="Z298" s="11" t="s">
        <v>0</v>
      </c>
      <c r="AA298" s="11" t="s">
        <v>0</v>
      </c>
      <c r="AB298" s="11" t="s">
        <v>0</v>
      </c>
      <c r="AC298" s="11" t="s">
        <v>0</v>
      </c>
      <c r="AD298" s="11" t="s">
        <v>0</v>
      </c>
    </row>
    <row r="299">
      <c r="B299" s="12" t="s">
        <v>0</v>
      </c>
      <c r="C299" s="11" t="s">
        <v>0</v>
      </c>
      <c r="D299" s="11" t="s">
        <v>0</v>
      </c>
      <c r="E299" s="12" t="s">
        <v>0</v>
      </c>
      <c r="F299" s="12" t="s">
        <v>0</v>
      </c>
      <c r="G299" s="12" t="s">
        <v>0</v>
      </c>
      <c r="H299" s="12" t="s">
        <v>0</v>
      </c>
      <c r="I299" s="12" t="s">
        <v>0</v>
      </c>
      <c r="J299" s="12" t="s">
        <v>0</v>
      </c>
      <c r="K299" s="12" t="s">
        <v>0</v>
      </c>
      <c r="L299" s="13" t="s">
        <v>0</v>
      </c>
      <c r="M299" s="11" t="s">
        <v>0</v>
      </c>
      <c r="N299" s="11" t="s">
        <v>0</v>
      </c>
      <c r="O299" s="11" t="s">
        <v>0</v>
      </c>
      <c r="P299" s="11" t="s">
        <v>0</v>
      </c>
      <c r="Q299" s="11" t="s">
        <v>0</v>
      </c>
      <c r="R299" s="11" t="s">
        <v>0</v>
      </c>
      <c r="S299" s="11" t="s">
        <v>0</v>
      </c>
      <c r="T299" s="11" t="s">
        <v>0</v>
      </c>
      <c r="U299" s="11" t="s">
        <v>0</v>
      </c>
      <c r="V299" s="11" t="s">
        <v>0</v>
      </c>
      <c r="W299" s="11" t="s">
        <v>0</v>
      </c>
      <c r="X299" s="11" t="s">
        <v>0</v>
      </c>
      <c r="Y299" s="11" t="s">
        <v>0</v>
      </c>
      <c r="Z299" s="11" t="s">
        <v>0</v>
      </c>
      <c r="AA299" s="11" t="s">
        <v>0</v>
      </c>
      <c r="AB299" s="11" t="s">
        <v>0</v>
      </c>
      <c r="AC299" s="11" t="s">
        <v>0</v>
      </c>
      <c r="AD299" s="11" t="s">
        <v>0</v>
      </c>
    </row>
    <row r="300">
      <c r="B300" s="12" t="s">
        <v>0</v>
      </c>
      <c r="C300" s="11" t="s">
        <v>0</v>
      </c>
      <c r="D300" s="11" t="s">
        <v>0</v>
      </c>
      <c r="E300" s="12" t="s">
        <v>0</v>
      </c>
      <c r="F300" s="12" t="s">
        <v>0</v>
      </c>
      <c r="G300" s="12" t="s">
        <v>0</v>
      </c>
      <c r="H300" s="12" t="s">
        <v>0</v>
      </c>
      <c r="I300" s="12" t="s">
        <v>0</v>
      </c>
      <c r="J300" s="12" t="s">
        <v>0</v>
      </c>
      <c r="K300" s="12" t="s">
        <v>0</v>
      </c>
      <c r="L300" s="13" t="s">
        <v>0</v>
      </c>
      <c r="M300" s="11" t="s">
        <v>0</v>
      </c>
      <c r="N300" s="11" t="s">
        <v>0</v>
      </c>
      <c r="O300" s="11" t="s">
        <v>0</v>
      </c>
      <c r="P300" s="11" t="s">
        <v>0</v>
      </c>
      <c r="Q300" s="11" t="s">
        <v>0</v>
      </c>
      <c r="R300" s="11" t="s">
        <v>0</v>
      </c>
      <c r="S300" s="11" t="s">
        <v>0</v>
      </c>
      <c r="T300" s="11" t="s">
        <v>0</v>
      </c>
      <c r="U300" s="11" t="s">
        <v>0</v>
      </c>
      <c r="V300" s="11" t="s">
        <v>0</v>
      </c>
      <c r="W300" s="11" t="s">
        <v>0</v>
      </c>
      <c r="X300" s="11" t="s">
        <v>0</v>
      </c>
      <c r="Y300" s="11" t="s">
        <v>0</v>
      </c>
      <c r="Z300" s="11" t="s">
        <v>0</v>
      </c>
      <c r="AA300" s="11" t="s">
        <v>0</v>
      </c>
      <c r="AB300" s="11" t="s">
        <v>0</v>
      </c>
      <c r="AC300" s="11" t="s">
        <v>0</v>
      </c>
      <c r="AD300" s="11" t="s">
        <v>0</v>
      </c>
    </row>
    <row r="301">
      <c r="B301" s="12" t="s">
        <v>0</v>
      </c>
      <c r="C301" s="11" t="s">
        <v>0</v>
      </c>
      <c r="D301" s="11" t="s">
        <v>0</v>
      </c>
      <c r="E301" s="12" t="s">
        <v>0</v>
      </c>
      <c r="F301" s="12" t="s">
        <v>0</v>
      </c>
      <c r="G301" s="12" t="s">
        <v>0</v>
      </c>
      <c r="H301" s="12" t="s">
        <v>0</v>
      </c>
      <c r="I301" s="12" t="s">
        <v>0</v>
      </c>
      <c r="J301" s="12" t="s">
        <v>0</v>
      </c>
      <c r="K301" s="12" t="s">
        <v>0</v>
      </c>
      <c r="L301" s="13" t="s">
        <v>0</v>
      </c>
      <c r="M301" s="11" t="s">
        <v>0</v>
      </c>
      <c r="N301" s="11" t="s">
        <v>0</v>
      </c>
      <c r="O301" s="11" t="s">
        <v>0</v>
      </c>
      <c r="P301" s="11" t="s">
        <v>0</v>
      </c>
      <c r="Q301" s="11" t="s">
        <v>0</v>
      </c>
      <c r="R301" s="11" t="s">
        <v>0</v>
      </c>
      <c r="S301" s="11" t="s">
        <v>0</v>
      </c>
      <c r="T301" s="11" t="s">
        <v>0</v>
      </c>
      <c r="U301" s="11" t="s">
        <v>0</v>
      </c>
      <c r="V301" s="11" t="s">
        <v>0</v>
      </c>
      <c r="W301" s="11" t="s">
        <v>0</v>
      </c>
      <c r="X301" s="11" t="s">
        <v>0</v>
      </c>
      <c r="Y301" s="11" t="s">
        <v>0</v>
      </c>
      <c r="Z301" s="11" t="s">
        <v>0</v>
      </c>
      <c r="AA301" s="11" t="s">
        <v>0</v>
      </c>
      <c r="AB301" s="11" t="s">
        <v>0</v>
      </c>
      <c r="AC301" s="11" t="s">
        <v>0</v>
      </c>
      <c r="AD301" s="11" t="s">
        <v>0</v>
      </c>
    </row>
    <row r="302">
      <c r="B302" s="12" t="s">
        <v>0</v>
      </c>
      <c r="C302" s="11" t="s">
        <v>0</v>
      </c>
      <c r="D302" s="11" t="s">
        <v>0</v>
      </c>
      <c r="E302" s="12" t="s">
        <v>0</v>
      </c>
      <c r="F302" s="12" t="s">
        <v>0</v>
      </c>
      <c r="G302" s="12" t="s">
        <v>0</v>
      </c>
      <c r="H302" s="12" t="s">
        <v>0</v>
      </c>
      <c r="I302" s="12" t="s">
        <v>0</v>
      </c>
      <c r="J302" s="12" t="s">
        <v>0</v>
      </c>
      <c r="K302" s="12" t="s">
        <v>0</v>
      </c>
      <c r="L302" s="13" t="s">
        <v>0</v>
      </c>
      <c r="M302" s="11" t="s">
        <v>0</v>
      </c>
      <c r="N302" s="11" t="s">
        <v>0</v>
      </c>
      <c r="O302" s="11" t="s">
        <v>0</v>
      </c>
      <c r="P302" s="11" t="s">
        <v>0</v>
      </c>
      <c r="Q302" s="11" t="s">
        <v>0</v>
      </c>
      <c r="R302" s="11" t="s">
        <v>0</v>
      </c>
      <c r="S302" s="11" t="s">
        <v>0</v>
      </c>
      <c r="T302" s="11" t="s">
        <v>0</v>
      </c>
      <c r="U302" s="11" t="s">
        <v>0</v>
      </c>
      <c r="V302" s="11" t="s">
        <v>0</v>
      </c>
      <c r="W302" s="11" t="s">
        <v>0</v>
      </c>
      <c r="X302" s="11" t="s">
        <v>0</v>
      </c>
      <c r="Y302" s="11" t="s">
        <v>0</v>
      </c>
      <c r="Z302" s="11" t="s">
        <v>0</v>
      </c>
      <c r="AA302" s="11" t="s">
        <v>0</v>
      </c>
      <c r="AB302" s="11" t="s">
        <v>0</v>
      </c>
      <c r="AC302" s="11" t="s">
        <v>0</v>
      </c>
      <c r="AD302" s="11" t="s">
        <v>0</v>
      </c>
    </row>
    <row r="303">
      <c r="B303" s="12" t="s">
        <v>0</v>
      </c>
      <c r="C303" s="11" t="s">
        <v>0</v>
      </c>
      <c r="D303" s="11" t="s">
        <v>0</v>
      </c>
      <c r="E303" s="12" t="s">
        <v>0</v>
      </c>
      <c r="F303" s="12" t="s">
        <v>0</v>
      </c>
      <c r="G303" s="12" t="s">
        <v>0</v>
      </c>
      <c r="H303" s="12" t="s">
        <v>0</v>
      </c>
      <c r="I303" s="12" t="s">
        <v>0</v>
      </c>
      <c r="J303" s="12" t="s">
        <v>0</v>
      </c>
      <c r="K303" s="12" t="s">
        <v>0</v>
      </c>
      <c r="L303" s="13" t="s">
        <v>0</v>
      </c>
      <c r="M303" s="11" t="s">
        <v>0</v>
      </c>
      <c r="N303" s="11" t="s">
        <v>0</v>
      </c>
      <c r="O303" s="11" t="s">
        <v>0</v>
      </c>
      <c r="P303" s="11" t="s">
        <v>0</v>
      </c>
      <c r="Q303" s="11" t="s">
        <v>0</v>
      </c>
      <c r="R303" s="11" t="s">
        <v>0</v>
      </c>
      <c r="S303" s="11" t="s">
        <v>0</v>
      </c>
      <c r="T303" s="11" t="s">
        <v>0</v>
      </c>
      <c r="U303" s="11" t="s">
        <v>0</v>
      </c>
      <c r="V303" s="11" t="s">
        <v>0</v>
      </c>
      <c r="W303" s="11" t="s">
        <v>0</v>
      </c>
      <c r="X303" s="11" t="s">
        <v>0</v>
      </c>
      <c r="Y303" s="11" t="s">
        <v>0</v>
      </c>
      <c r="Z303" s="11" t="s">
        <v>0</v>
      </c>
      <c r="AA303" s="11" t="s">
        <v>0</v>
      </c>
      <c r="AB303" s="11" t="s">
        <v>0</v>
      </c>
      <c r="AC303" s="11" t="s">
        <v>0</v>
      </c>
      <c r="AD303" s="11" t="s">
        <v>0</v>
      </c>
    </row>
    <row r="304">
      <c r="B304" s="12" t="s">
        <v>0</v>
      </c>
      <c r="C304" s="11" t="s">
        <v>0</v>
      </c>
      <c r="D304" s="11" t="s">
        <v>0</v>
      </c>
      <c r="E304" s="12" t="s">
        <v>0</v>
      </c>
      <c r="F304" s="12" t="s">
        <v>0</v>
      </c>
      <c r="G304" s="12" t="s">
        <v>0</v>
      </c>
      <c r="H304" s="12" t="s">
        <v>0</v>
      </c>
      <c r="I304" s="12" t="s">
        <v>0</v>
      </c>
      <c r="J304" s="12" t="s">
        <v>0</v>
      </c>
      <c r="K304" s="12" t="s">
        <v>0</v>
      </c>
      <c r="L304" s="13" t="s">
        <v>0</v>
      </c>
      <c r="M304" s="11" t="s">
        <v>0</v>
      </c>
      <c r="N304" s="11" t="s">
        <v>0</v>
      </c>
      <c r="O304" s="11" t="s">
        <v>0</v>
      </c>
      <c r="P304" s="11" t="s">
        <v>0</v>
      </c>
      <c r="Q304" s="11" t="s">
        <v>0</v>
      </c>
      <c r="R304" s="11" t="s">
        <v>0</v>
      </c>
      <c r="S304" s="11" t="s">
        <v>0</v>
      </c>
      <c r="T304" s="11" t="s">
        <v>0</v>
      </c>
      <c r="U304" s="11" t="s">
        <v>0</v>
      </c>
      <c r="V304" s="11" t="s">
        <v>0</v>
      </c>
      <c r="W304" s="11" t="s">
        <v>0</v>
      </c>
      <c r="X304" s="11" t="s">
        <v>0</v>
      </c>
      <c r="Y304" s="11" t="s">
        <v>0</v>
      </c>
      <c r="Z304" s="11" t="s">
        <v>0</v>
      </c>
      <c r="AA304" s="11" t="s">
        <v>0</v>
      </c>
      <c r="AB304" s="11" t="s">
        <v>0</v>
      </c>
      <c r="AC304" s="11" t="s">
        <v>0</v>
      </c>
      <c r="AD304" s="11" t="s">
        <v>0</v>
      </c>
    </row>
    <row r="305">
      <c r="B305" s="12" t="s">
        <v>0</v>
      </c>
      <c r="C305" s="11" t="s">
        <v>0</v>
      </c>
      <c r="D305" s="11" t="s">
        <v>0</v>
      </c>
      <c r="E305" s="12" t="s">
        <v>0</v>
      </c>
      <c r="F305" s="12" t="s">
        <v>0</v>
      </c>
      <c r="G305" s="12" t="s">
        <v>0</v>
      </c>
      <c r="H305" s="12" t="s">
        <v>0</v>
      </c>
      <c r="I305" s="12" t="s">
        <v>0</v>
      </c>
      <c r="J305" s="12" t="s">
        <v>0</v>
      </c>
      <c r="K305" s="12" t="s">
        <v>0</v>
      </c>
      <c r="L305" s="13" t="s">
        <v>0</v>
      </c>
      <c r="M305" s="11" t="s">
        <v>0</v>
      </c>
      <c r="N305" s="11" t="s">
        <v>0</v>
      </c>
      <c r="O305" s="11" t="s">
        <v>0</v>
      </c>
      <c r="P305" s="11" t="s">
        <v>0</v>
      </c>
      <c r="Q305" s="11" t="s">
        <v>0</v>
      </c>
      <c r="R305" s="11" t="s">
        <v>0</v>
      </c>
      <c r="S305" s="11" t="s">
        <v>0</v>
      </c>
      <c r="T305" s="11" t="s">
        <v>0</v>
      </c>
      <c r="U305" s="11" t="s">
        <v>0</v>
      </c>
      <c r="V305" s="11" t="s">
        <v>0</v>
      </c>
      <c r="W305" s="11" t="s">
        <v>0</v>
      </c>
      <c r="X305" s="11" t="s">
        <v>0</v>
      </c>
      <c r="Y305" s="11" t="s">
        <v>0</v>
      </c>
      <c r="Z305" s="11" t="s">
        <v>0</v>
      </c>
      <c r="AA305" s="11" t="s">
        <v>0</v>
      </c>
      <c r="AB305" s="11" t="s">
        <v>0</v>
      </c>
      <c r="AC305" s="11" t="s">
        <v>0</v>
      </c>
      <c r="AD305" s="11" t="s">
        <v>0</v>
      </c>
    </row>
    <row r="306">
      <c r="B306" s="12" t="s">
        <v>0</v>
      </c>
      <c r="C306" s="11" t="s">
        <v>0</v>
      </c>
      <c r="D306" s="11" t="s">
        <v>0</v>
      </c>
      <c r="E306" s="12" t="s">
        <v>0</v>
      </c>
      <c r="F306" s="12" t="s">
        <v>0</v>
      </c>
      <c r="G306" s="12" t="s">
        <v>0</v>
      </c>
      <c r="H306" s="12" t="s">
        <v>0</v>
      </c>
      <c r="I306" s="12" t="s">
        <v>0</v>
      </c>
      <c r="J306" s="12" t="s">
        <v>0</v>
      </c>
      <c r="K306" s="12" t="s">
        <v>0</v>
      </c>
      <c r="L306" s="13" t="s">
        <v>0</v>
      </c>
      <c r="M306" s="11" t="s">
        <v>0</v>
      </c>
      <c r="N306" s="11" t="s">
        <v>0</v>
      </c>
      <c r="O306" s="11" t="s">
        <v>0</v>
      </c>
      <c r="P306" s="11" t="s">
        <v>0</v>
      </c>
      <c r="Q306" s="11" t="s">
        <v>0</v>
      </c>
      <c r="R306" s="11" t="s">
        <v>0</v>
      </c>
      <c r="S306" s="11" t="s">
        <v>0</v>
      </c>
      <c r="T306" s="11" t="s">
        <v>0</v>
      </c>
      <c r="U306" s="11" t="s">
        <v>0</v>
      </c>
      <c r="V306" s="11" t="s">
        <v>0</v>
      </c>
      <c r="W306" s="11" t="s">
        <v>0</v>
      </c>
      <c r="X306" s="11" t="s">
        <v>0</v>
      </c>
      <c r="Y306" s="11" t="s">
        <v>0</v>
      </c>
      <c r="Z306" s="11" t="s">
        <v>0</v>
      </c>
      <c r="AA306" s="11" t="s">
        <v>0</v>
      </c>
      <c r="AB306" s="11" t="s">
        <v>0</v>
      </c>
      <c r="AC306" s="11" t="s">
        <v>0</v>
      </c>
      <c r="AD306" s="11" t="s">
        <v>0</v>
      </c>
    </row>
    <row r="307">
      <c r="B307" s="12" t="s">
        <v>0</v>
      </c>
      <c r="C307" s="11" t="s">
        <v>0</v>
      </c>
      <c r="D307" s="11" t="s">
        <v>0</v>
      </c>
      <c r="E307" s="12" t="s">
        <v>0</v>
      </c>
      <c r="F307" s="12" t="s">
        <v>0</v>
      </c>
      <c r="G307" s="12" t="s">
        <v>0</v>
      </c>
      <c r="H307" s="12" t="s">
        <v>0</v>
      </c>
      <c r="I307" s="12" t="s">
        <v>0</v>
      </c>
      <c r="J307" s="12" t="s">
        <v>0</v>
      </c>
      <c r="K307" s="12" t="s">
        <v>0</v>
      </c>
      <c r="L307" s="13" t="s">
        <v>0</v>
      </c>
      <c r="M307" s="11" t="s">
        <v>0</v>
      </c>
      <c r="N307" s="11" t="s">
        <v>0</v>
      </c>
      <c r="O307" s="11" t="s">
        <v>0</v>
      </c>
      <c r="P307" s="11" t="s">
        <v>0</v>
      </c>
      <c r="Q307" s="11" t="s">
        <v>0</v>
      </c>
      <c r="R307" s="11" t="s">
        <v>0</v>
      </c>
      <c r="S307" s="11" t="s">
        <v>0</v>
      </c>
      <c r="T307" s="11" t="s">
        <v>0</v>
      </c>
      <c r="U307" s="11" t="s">
        <v>0</v>
      </c>
      <c r="V307" s="11" t="s">
        <v>0</v>
      </c>
      <c r="W307" s="11" t="s">
        <v>0</v>
      </c>
      <c r="X307" s="11" t="s">
        <v>0</v>
      </c>
      <c r="Y307" s="11" t="s">
        <v>0</v>
      </c>
      <c r="Z307" s="11" t="s">
        <v>0</v>
      </c>
      <c r="AA307" s="11" t="s">
        <v>0</v>
      </c>
      <c r="AB307" s="11" t="s">
        <v>0</v>
      </c>
      <c r="AC307" s="11" t="s">
        <v>0</v>
      </c>
      <c r="AD307" s="11" t="s">
        <v>0</v>
      </c>
    </row>
    <row r="308">
      <c r="B308" s="12" t="s">
        <v>0</v>
      </c>
      <c r="C308" s="11" t="s">
        <v>0</v>
      </c>
      <c r="D308" s="11" t="s">
        <v>0</v>
      </c>
      <c r="E308" s="12" t="s">
        <v>0</v>
      </c>
      <c r="F308" s="12" t="s">
        <v>0</v>
      </c>
      <c r="G308" s="12" t="s">
        <v>0</v>
      </c>
      <c r="H308" s="12" t="s">
        <v>0</v>
      </c>
      <c r="I308" s="12" t="s">
        <v>0</v>
      </c>
      <c r="J308" s="12" t="s">
        <v>0</v>
      </c>
      <c r="K308" s="12" t="s">
        <v>0</v>
      </c>
      <c r="L308" s="13" t="s">
        <v>0</v>
      </c>
      <c r="M308" s="11" t="s">
        <v>0</v>
      </c>
      <c r="N308" s="11" t="s">
        <v>0</v>
      </c>
      <c r="O308" s="11" t="s">
        <v>0</v>
      </c>
      <c r="P308" s="11" t="s">
        <v>0</v>
      </c>
      <c r="Q308" s="11" t="s">
        <v>0</v>
      </c>
      <c r="R308" s="11" t="s">
        <v>0</v>
      </c>
      <c r="S308" s="11" t="s">
        <v>0</v>
      </c>
      <c r="T308" s="11" t="s">
        <v>0</v>
      </c>
      <c r="U308" s="11" t="s">
        <v>0</v>
      </c>
      <c r="V308" s="11" t="s">
        <v>0</v>
      </c>
      <c r="W308" s="11" t="s">
        <v>0</v>
      </c>
      <c r="X308" s="11" t="s">
        <v>0</v>
      </c>
      <c r="Y308" s="11" t="s">
        <v>0</v>
      </c>
      <c r="Z308" s="11" t="s">
        <v>0</v>
      </c>
      <c r="AA308" s="11" t="s">
        <v>0</v>
      </c>
      <c r="AB308" s="11" t="s">
        <v>0</v>
      </c>
      <c r="AC308" s="11" t="s">
        <v>0</v>
      </c>
      <c r="AD308" s="11" t="s">
        <v>0</v>
      </c>
    </row>
    <row r="309">
      <c r="B309" s="12" t="s">
        <v>0</v>
      </c>
      <c r="C309" s="11" t="s">
        <v>0</v>
      </c>
      <c r="D309" s="11" t="s">
        <v>0</v>
      </c>
      <c r="E309" s="12" t="s">
        <v>0</v>
      </c>
      <c r="F309" s="12" t="s">
        <v>0</v>
      </c>
      <c r="G309" s="12" t="s">
        <v>0</v>
      </c>
      <c r="H309" s="12" t="s">
        <v>0</v>
      </c>
      <c r="I309" s="12" t="s">
        <v>0</v>
      </c>
      <c r="J309" s="12" t="s">
        <v>0</v>
      </c>
      <c r="K309" s="12" t="s">
        <v>0</v>
      </c>
      <c r="L309" s="13" t="s">
        <v>0</v>
      </c>
      <c r="M309" s="11" t="s">
        <v>0</v>
      </c>
      <c r="N309" s="11" t="s">
        <v>0</v>
      </c>
      <c r="O309" s="11" t="s">
        <v>0</v>
      </c>
      <c r="P309" s="11" t="s">
        <v>0</v>
      </c>
      <c r="Q309" s="11" t="s">
        <v>0</v>
      </c>
      <c r="R309" s="11" t="s">
        <v>0</v>
      </c>
      <c r="S309" s="11" t="s">
        <v>0</v>
      </c>
      <c r="T309" s="11" t="s">
        <v>0</v>
      </c>
      <c r="U309" s="11" t="s">
        <v>0</v>
      </c>
      <c r="V309" s="11" t="s">
        <v>0</v>
      </c>
      <c r="W309" s="11" t="s">
        <v>0</v>
      </c>
      <c r="X309" s="11" t="s">
        <v>0</v>
      </c>
      <c r="Y309" s="11" t="s">
        <v>0</v>
      </c>
      <c r="Z309" s="11" t="s">
        <v>0</v>
      </c>
      <c r="AA309" s="11" t="s">
        <v>0</v>
      </c>
      <c r="AB309" s="11" t="s">
        <v>0</v>
      </c>
      <c r="AC309" s="11" t="s">
        <v>0</v>
      </c>
      <c r="AD309" s="11" t="s">
        <v>0</v>
      </c>
    </row>
    <row r="310">
      <c r="B310" s="12" t="s">
        <v>0</v>
      </c>
      <c r="C310" s="11" t="s">
        <v>0</v>
      </c>
      <c r="D310" s="11" t="s">
        <v>0</v>
      </c>
      <c r="E310" s="12" t="s">
        <v>0</v>
      </c>
      <c r="F310" s="12" t="s">
        <v>0</v>
      </c>
      <c r="G310" s="12" t="s">
        <v>0</v>
      </c>
      <c r="H310" s="12" t="s">
        <v>0</v>
      </c>
      <c r="I310" s="12" t="s">
        <v>0</v>
      </c>
      <c r="J310" s="12" t="s">
        <v>0</v>
      </c>
      <c r="K310" s="12" t="s">
        <v>0</v>
      </c>
      <c r="L310" s="13" t="s">
        <v>0</v>
      </c>
      <c r="M310" s="11" t="s">
        <v>0</v>
      </c>
      <c r="N310" s="11" t="s">
        <v>0</v>
      </c>
      <c r="O310" s="11" t="s">
        <v>0</v>
      </c>
      <c r="P310" s="11" t="s">
        <v>0</v>
      </c>
      <c r="Q310" s="11" t="s">
        <v>0</v>
      </c>
      <c r="R310" s="11" t="s">
        <v>0</v>
      </c>
      <c r="S310" s="11" t="s">
        <v>0</v>
      </c>
      <c r="T310" s="11" t="s">
        <v>0</v>
      </c>
      <c r="U310" s="11" t="s">
        <v>0</v>
      </c>
      <c r="V310" s="11" t="s">
        <v>0</v>
      </c>
      <c r="W310" s="11" t="s">
        <v>0</v>
      </c>
      <c r="X310" s="11" t="s">
        <v>0</v>
      </c>
      <c r="Y310" s="11" t="s">
        <v>0</v>
      </c>
      <c r="Z310" s="11" t="s">
        <v>0</v>
      </c>
      <c r="AA310" s="11" t="s">
        <v>0</v>
      </c>
      <c r="AB310" s="11" t="s">
        <v>0</v>
      </c>
      <c r="AC310" s="11" t="s">
        <v>0</v>
      </c>
      <c r="AD310" s="11" t="s">
        <v>0</v>
      </c>
    </row>
    <row r="311">
      <c r="B311" s="12" t="s">
        <v>0</v>
      </c>
      <c r="C311" s="11" t="s">
        <v>0</v>
      </c>
      <c r="D311" s="11" t="s">
        <v>0</v>
      </c>
      <c r="E311" s="12" t="s">
        <v>0</v>
      </c>
      <c r="F311" s="12" t="s">
        <v>0</v>
      </c>
      <c r="G311" s="12" t="s">
        <v>0</v>
      </c>
      <c r="H311" s="12" t="s">
        <v>0</v>
      </c>
      <c r="I311" s="12" t="s">
        <v>0</v>
      </c>
      <c r="J311" s="12" t="s">
        <v>0</v>
      </c>
      <c r="K311" s="12" t="s">
        <v>0</v>
      </c>
      <c r="L311" s="13" t="s">
        <v>0</v>
      </c>
      <c r="M311" s="11" t="s">
        <v>0</v>
      </c>
      <c r="N311" s="11" t="s">
        <v>0</v>
      </c>
      <c r="O311" s="11" t="s">
        <v>0</v>
      </c>
      <c r="P311" s="11" t="s">
        <v>0</v>
      </c>
      <c r="Q311" s="11" t="s">
        <v>0</v>
      </c>
      <c r="R311" s="11" t="s">
        <v>0</v>
      </c>
      <c r="S311" s="11" t="s">
        <v>0</v>
      </c>
      <c r="T311" s="11" t="s">
        <v>0</v>
      </c>
      <c r="U311" s="11" t="s">
        <v>0</v>
      </c>
      <c r="V311" s="11" t="s">
        <v>0</v>
      </c>
      <c r="W311" s="11" t="s">
        <v>0</v>
      </c>
      <c r="X311" s="11" t="s">
        <v>0</v>
      </c>
      <c r="Y311" s="11" t="s">
        <v>0</v>
      </c>
      <c r="Z311" s="11" t="s">
        <v>0</v>
      </c>
      <c r="AA311" s="11" t="s">
        <v>0</v>
      </c>
      <c r="AB311" s="11" t="s">
        <v>0</v>
      </c>
      <c r="AC311" s="11" t="s">
        <v>0</v>
      </c>
      <c r="AD311" s="11" t="s">
        <v>0</v>
      </c>
    </row>
    <row r="312">
      <c r="B312" s="12" t="s">
        <v>0</v>
      </c>
      <c r="C312" s="11" t="s">
        <v>0</v>
      </c>
      <c r="D312" s="11" t="s">
        <v>0</v>
      </c>
      <c r="E312" s="12" t="s">
        <v>0</v>
      </c>
      <c r="F312" s="12" t="s">
        <v>0</v>
      </c>
      <c r="G312" s="12" t="s">
        <v>0</v>
      </c>
      <c r="H312" s="12" t="s">
        <v>0</v>
      </c>
      <c r="I312" s="12" t="s">
        <v>0</v>
      </c>
      <c r="J312" s="12" t="s">
        <v>0</v>
      </c>
      <c r="K312" s="12" t="s">
        <v>0</v>
      </c>
      <c r="L312" s="13" t="s">
        <v>0</v>
      </c>
      <c r="M312" s="11" t="s">
        <v>0</v>
      </c>
      <c r="N312" s="11" t="s">
        <v>0</v>
      </c>
      <c r="O312" s="11" t="s">
        <v>0</v>
      </c>
      <c r="P312" s="11" t="s">
        <v>0</v>
      </c>
      <c r="Q312" s="11" t="s">
        <v>0</v>
      </c>
      <c r="R312" s="11" t="s">
        <v>0</v>
      </c>
      <c r="S312" s="11" t="s">
        <v>0</v>
      </c>
      <c r="T312" s="11" t="s">
        <v>0</v>
      </c>
      <c r="U312" s="11" t="s">
        <v>0</v>
      </c>
      <c r="V312" s="11" t="s">
        <v>0</v>
      </c>
      <c r="W312" s="11" t="s">
        <v>0</v>
      </c>
      <c r="X312" s="11" t="s">
        <v>0</v>
      </c>
      <c r="Y312" s="11" t="s">
        <v>0</v>
      </c>
      <c r="Z312" s="11" t="s">
        <v>0</v>
      </c>
      <c r="AA312" s="11" t="s">
        <v>0</v>
      </c>
      <c r="AB312" s="11" t="s">
        <v>0</v>
      </c>
      <c r="AC312" s="11" t="s">
        <v>0</v>
      </c>
      <c r="AD312" s="11" t="s">
        <v>0</v>
      </c>
    </row>
    <row r="313">
      <c r="B313" s="12" t="s">
        <v>0</v>
      </c>
      <c r="C313" s="11" t="s">
        <v>0</v>
      </c>
      <c r="D313" s="11" t="s">
        <v>0</v>
      </c>
      <c r="E313" s="12" t="s">
        <v>0</v>
      </c>
      <c r="F313" s="12" t="s">
        <v>0</v>
      </c>
      <c r="G313" s="12" t="s">
        <v>0</v>
      </c>
      <c r="H313" s="12" t="s">
        <v>0</v>
      </c>
      <c r="I313" s="12" t="s">
        <v>0</v>
      </c>
      <c r="J313" s="12" t="s">
        <v>0</v>
      </c>
      <c r="K313" s="12" t="s">
        <v>0</v>
      </c>
      <c r="L313" s="13" t="s">
        <v>0</v>
      </c>
      <c r="M313" s="11" t="s">
        <v>0</v>
      </c>
      <c r="N313" s="11" t="s">
        <v>0</v>
      </c>
      <c r="O313" s="11" t="s">
        <v>0</v>
      </c>
      <c r="P313" s="11" t="s">
        <v>0</v>
      </c>
      <c r="Q313" s="11" t="s">
        <v>0</v>
      </c>
      <c r="R313" s="11" t="s">
        <v>0</v>
      </c>
      <c r="S313" s="11" t="s">
        <v>0</v>
      </c>
      <c r="T313" s="11" t="s">
        <v>0</v>
      </c>
      <c r="U313" s="11" t="s">
        <v>0</v>
      </c>
      <c r="V313" s="11" t="s">
        <v>0</v>
      </c>
      <c r="W313" s="11" t="s">
        <v>0</v>
      </c>
      <c r="X313" s="11" t="s">
        <v>0</v>
      </c>
      <c r="Y313" s="11" t="s">
        <v>0</v>
      </c>
      <c r="Z313" s="11" t="s">
        <v>0</v>
      </c>
      <c r="AA313" s="11" t="s">
        <v>0</v>
      </c>
      <c r="AB313" s="11" t="s">
        <v>0</v>
      </c>
      <c r="AC313" s="11" t="s">
        <v>0</v>
      </c>
      <c r="AD313" s="11" t="s">
        <v>0</v>
      </c>
    </row>
    <row r="314">
      <c r="B314" s="12" t="s">
        <v>0</v>
      </c>
      <c r="C314" s="11" t="s">
        <v>0</v>
      </c>
      <c r="D314" s="11" t="s">
        <v>0</v>
      </c>
      <c r="E314" s="12" t="s">
        <v>0</v>
      </c>
      <c r="F314" s="12" t="s">
        <v>0</v>
      </c>
      <c r="G314" s="12" t="s">
        <v>0</v>
      </c>
      <c r="H314" s="12" t="s">
        <v>0</v>
      </c>
      <c r="I314" s="12" t="s">
        <v>0</v>
      </c>
      <c r="J314" s="12" t="s">
        <v>0</v>
      </c>
      <c r="K314" s="12" t="s">
        <v>0</v>
      </c>
      <c r="L314" s="13" t="s">
        <v>0</v>
      </c>
      <c r="M314" s="11" t="s">
        <v>0</v>
      </c>
      <c r="N314" s="11" t="s">
        <v>0</v>
      </c>
      <c r="O314" s="11" t="s">
        <v>0</v>
      </c>
      <c r="P314" s="11" t="s">
        <v>0</v>
      </c>
      <c r="Q314" s="11" t="s">
        <v>0</v>
      </c>
      <c r="R314" s="11" t="s">
        <v>0</v>
      </c>
      <c r="S314" s="11" t="s">
        <v>0</v>
      </c>
      <c r="T314" s="11" t="s">
        <v>0</v>
      </c>
      <c r="U314" s="11" t="s">
        <v>0</v>
      </c>
      <c r="V314" s="11" t="s">
        <v>0</v>
      </c>
      <c r="W314" s="11" t="s">
        <v>0</v>
      </c>
      <c r="X314" s="11" t="s">
        <v>0</v>
      </c>
      <c r="Y314" s="11" t="s">
        <v>0</v>
      </c>
      <c r="Z314" s="11" t="s">
        <v>0</v>
      </c>
      <c r="AA314" s="11" t="s">
        <v>0</v>
      </c>
      <c r="AB314" s="11" t="s">
        <v>0</v>
      </c>
      <c r="AC314" s="11" t="s">
        <v>0</v>
      </c>
      <c r="AD314" s="11" t="s">
        <v>0</v>
      </c>
    </row>
    <row r="315">
      <c r="B315" s="12" t="s">
        <v>0</v>
      </c>
      <c r="C315" s="11" t="s">
        <v>0</v>
      </c>
      <c r="D315" s="11" t="s">
        <v>0</v>
      </c>
      <c r="E315" s="12" t="s">
        <v>0</v>
      </c>
      <c r="F315" s="12" t="s">
        <v>0</v>
      </c>
      <c r="G315" s="12" t="s">
        <v>0</v>
      </c>
      <c r="H315" s="12" t="s">
        <v>0</v>
      </c>
      <c r="I315" s="12" t="s">
        <v>0</v>
      </c>
      <c r="J315" s="12" t="s">
        <v>0</v>
      </c>
      <c r="K315" s="12" t="s">
        <v>0</v>
      </c>
      <c r="L315" s="13" t="s">
        <v>0</v>
      </c>
      <c r="M315" s="11" t="s">
        <v>0</v>
      </c>
      <c r="N315" s="11" t="s">
        <v>0</v>
      </c>
      <c r="O315" s="11" t="s">
        <v>0</v>
      </c>
      <c r="P315" s="11" t="s">
        <v>0</v>
      </c>
      <c r="Q315" s="11" t="s">
        <v>0</v>
      </c>
      <c r="R315" s="11" t="s">
        <v>0</v>
      </c>
      <c r="S315" s="11" t="s">
        <v>0</v>
      </c>
      <c r="T315" s="11" t="s">
        <v>0</v>
      </c>
      <c r="U315" s="11" t="s">
        <v>0</v>
      </c>
      <c r="V315" s="11" t="s">
        <v>0</v>
      </c>
      <c r="W315" s="11" t="s">
        <v>0</v>
      </c>
      <c r="X315" s="11" t="s">
        <v>0</v>
      </c>
      <c r="Y315" s="11" t="s">
        <v>0</v>
      </c>
      <c r="Z315" s="11" t="s">
        <v>0</v>
      </c>
      <c r="AA315" s="11" t="s">
        <v>0</v>
      </c>
      <c r="AB315" s="11" t="s">
        <v>0</v>
      </c>
      <c r="AC315" s="11" t="s">
        <v>0</v>
      </c>
      <c r="AD315" s="11" t="s">
        <v>0</v>
      </c>
    </row>
    <row r="316">
      <c r="B316" s="12" t="s">
        <v>0</v>
      </c>
      <c r="C316" s="11" t="s">
        <v>0</v>
      </c>
      <c r="D316" s="11" t="s">
        <v>0</v>
      </c>
      <c r="E316" s="12" t="s">
        <v>0</v>
      </c>
      <c r="F316" s="12" t="s">
        <v>0</v>
      </c>
      <c r="G316" s="12" t="s">
        <v>0</v>
      </c>
      <c r="H316" s="12" t="s">
        <v>0</v>
      </c>
      <c r="I316" s="12" t="s">
        <v>0</v>
      </c>
      <c r="J316" s="12" t="s">
        <v>0</v>
      </c>
      <c r="K316" s="12" t="s">
        <v>0</v>
      </c>
      <c r="L316" s="13" t="s">
        <v>0</v>
      </c>
      <c r="M316" s="11" t="s">
        <v>0</v>
      </c>
      <c r="N316" s="11" t="s">
        <v>0</v>
      </c>
      <c r="O316" s="11" t="s">
        <v>0</v>
      </c>
      <c r="P316" s="11" t="s">
        <v>0</v>
      </c>
      <c r="Q316" s="11" t="s">
        <v>0</v>
      </c>
      <c r="R316" s="11" t="s">
        <v>0</v>
      </c>
      <c r="S316" s="11" t="s">
        <v>0</v>
      </c>
      <c r="T316" s="11" t="s">
        <v>0</v>
      </c>
      <c r="U316" s="11" t="s">
        <v>0</v>
      </c>
      <c r="V316" s="11" t="s">
        <v>0</v>
      </c>
      <c r="W316" s="11" t="s">
        <v>0</v>
      </c>
      <c r="X316" s="11" t="s">
        <v>0</v>
      </c>
      <c r="Y316" s="11" t="s">
        <v>0</v>
      </c>
      <c r="Z316" s="11" t="s">
        <v>0</v>
      </c>
      <c r="AA316" s="11" t="s">
        <v>0</v>
      </c>
      <c r="AB316" s="11" t="s">
        <v>0</v>
      </c>
      <c r="AC316" s="11" t="s">
        <v>0</v>
      </c>
      <c r="AD316" s="11" t="s">
        <v>0</v>
      </c>
    </row>
    <row r="317">
      <c r="B317" s="12" t="s">
        <v>0</v>
      </c>
      <c r="C317" s="11" t="s">
        <v>0</v>
      </c>
      <c r="D317" s="11" t="s">
        <v>0</v>
      </c>
      <c r="E317" s="12" t="s">
        <v>0</v>
      </c>
      <c r="F317" s="12" t="s">
        <v>0</v>
      </c>
      <c r="G317" s="12" t="s">
        <v>0</v>
      </c>
      <c r="H317" s="12" t="s">
        <v>0</v>
      </c>
      <c r="I317" s="12" t="s">
        <v>0</v>
      </c>
      <c r="J317" s="12" t="s">
        <v>0</v>
      </c>
      <c r="K317" s="12" t="s">
        <v>0</v>
      </c>
      <c r="L317" s="13" t="s">
        <v>0</v>
      </c>
      <c r="M317" s="11" t="s">
        <v>0</v>
      </c>
      <c r="N317" s="11" t="s">
        <v>0</v>
      </c>
      <c r="O317" s="11" t="s">
        <v>0</v>
      </c>
      <c r="P317" s="11" t="s">
        <v>0</v>
      </c>
      <c r="Q317" s="11" t="s">
        <v>0</v>
      </c>
      <c r="R317" s="11" t="s">
        <v>0</v>
      </c>
      <c r="S317" s="11" t="s">
        <v>0</v>
      </c>
      <c r="T317" s="11" t="s">
        <v>0</v>
      </c>
      <c r="U317" s="11" t="s">
        <v>0</v>
      </c>
      <c r="V317" s="11" t="s">
        <v>0</v>
      </c>
      <c r="W317" s="11" t="s">
        <v>0</v>
      </c>
      <c r="X317" s="11" t="s">
        <v>0</v>
      </c>
      <c r="Y317" s="11" t="s">
        <v>0</v>
      </c>
      <c r="Z317" s="11" t="s">
        <v>0</v>
      </c>
      <c r="AA317" s="11" t="s">
        <v>0</v>
      </c>
      <c r="AB317" s="11" t="s">
        <v>0</v>
      </c>
      <c r="AC317" s="11" t="s">
        <v>0</v>
      </c>
      <c r="AD317" s="11" t="s">
        <v>0</v>
      </c>
    </row>
    <row r="318">
      <c r="B318" s="12" t="s">
        <v>0</v>
      </c>
      <c r="C318" s="11" t="s">
        <v>0</v>
      </c>
      <c r="D318" s="11" t="s">
        <v>0</v>
      </c>
      <c r="E318" s="12" t="s">
        <v>0</v>
      </c>
      <c r="F318" s="12" t="s">
        <v>0</v>
      </c>
      <c r="G318" s="12" t="s">
        <v>0</v>
      </c>
      <c r="H318" s="12" t="s">
        <v>0</v>
      </c>
      <c r="I318" s="12" t="s">
        <v>0</v>
      </c>
      <c r="J318" s="12" t="s">
        <v>0</v>
      </c>
      <c r="K318" s="12" t="s">
        <v>0</v>
      </c>
      <c r="L318" s="13" t="s">
        <v>0</v>
      </c>
      <c r="M318" s="11" t="s">
        <v>0</v>
      </c>
      <c r="N318" s="11" t="s">
        <v>0</v>
      </c>
      <c r="O318" s="11" t="s">
        <v>0</v>
      </c>
      <c r="P318" s="11" t="s">
        <v>0</v>
      </c>
      <c r="Q318" s="11" t="s">
        <v>0</v>
      </c>
      <c r="R318" s="11" t="s">
        <v>0</v>
      </c>
      <c r="S318" s="11" t="s">
        <v>0</v>
      </c>
      <c r="T318" s="11" t="s">
        <v>0</v>
      </c>
      <c r="U318" s="11" t="s">
        <v>0</v>
      </c>
      <c r="V318" s="11" t="s">
        <v>0</v>
      </c>
      <c r="W318" s="11" t="s">
        <v>0</v>
      </c>
      <c r="X318" s="11" t="s">
        <v>0</v>
      </c>
      <c r="Y318" s="11" t="s">
        <v>0</v>
      </c>
      <c r="Z318" s="11" t="s">
        <v>0</v>
      </c>
      <c r="AA318" s="11" t="s">
        <v>0</v>
      </c>
      <c r="AB318" s="11" t="s">
        <v>0</v>
      </c>
      <c r="AC318" s="11" t="s">
        <v>0</v>
      </c>
      <c r="AD318" s="11" t="s">
        <v>0</v>
      </c>
    </row>
    <row r="319">
      <c r="B319" s="12" t="s">
        <v>0</v>
      </c>
      <c r="C319" s="11" t="s">
        <v>0</v>
      </c>
      <c r="D319" s="11" t="s">
        <v>0</v>
      </c>
      <c r="E319" s="12" t="s">
        <v>0</v>
      </c>
      <c r="F319" s="12" t="s">
        <v>0</v>
      </c>
      <c r="G319" s="12" t="s">
        <v>0</v>
      </c>
      <c r="H319" s="12" t="s">
        <v>0</v>
      </c>
      <c r="I319" s="12" t="s">
        <v>0</v>
      </c>
      <c r="J319" s="12" t="s">
        <v>0</v>
      </c>
      <c r="K319" s="12" t="s">
        <v>0</v>
      </c>
      <c r="L319" s="13" t="s">
        <v>0</v>
      </c>
      <c r="M319" s="11" t="s">
        <v>0</v>
      </c>
      <c r="N319" s="11" t="s">
        <v>0</v>
      </c>
      <c r="O319" s="11" t="s">
        <v>0</v>
      </c>
      <c r="P319" s="11" t="s">
        <v>0</v>
      </c>
      <c r="Q319" s="11" t="s">
        <v>0</v>
      </c>
      <c r="R319" s="11" t="s">
        <v>0</v>
      </c>
      <c r="S319" s="11" t="s">
        <v>0</v>
      </c>
      <c r="T319" s="11" t="s">
        <v>0</v>
      </c>
      <c r="U319" s="11" t="s">
        <v>0</v>
      </c>
      <c r="V319" s="11" t="s">
        <v>0</v>
      </c>
      <c r="W319" s="11" t="s">
        <v>0</v>
      </c>
      <c r="X319" s="11" t="s">
        <v>0</v>
      </c>
      <c r="Y319" s="11" t="s">
        <v>0</v>
      </c>
      <c r="Z319" s="11" t="s">
        <v>0</v>
      </c>
      <c r="AA319" s="11" t="s">
        <v>0</v>
      </c>
      <c r="AB319" s="11" t="s">
        <v>0</v>
      </c>
      <c r="AC319" s="11" t="s">
        <v>0</v>
      </c>
      <c r="AD319" s="11" t="s">
        <v>0</v>
      </c>
    </row>
    <row r="320">
      <c r="B320" s="12" t="s">
        <v>0</v>
      </c>
      <c r="C320" s="11" t="s">
        <v>0</v>
      </c>
      <c r="D320" s="11" t="s">
        <v>0</v>
      </c>
      <c r="E320" s="12" t="s">
        <v>0</v>
      </c>
      <c r="F320" s="12" t="s">
        <v>0</v>
      </c>
      <c r="G320" s="12" t="s">
        <v>0</v>
      </c>
      <c r="H320" s="12" t="s">
        <v>0</v>
      </c>
      <c r="I320" s="12" t="s">
        <v>0</v>
      </c>
      <c r="J320" s="12" t="s">
        <v>0</v>
      </c>
      <c r="K320" s="12" t="s">
        <v>0</v>
      </c>
      <c r="L320" s="13" t="s">
        <v>0</v>
      </c>
      <c r="M320" s="11" t="s">
        <v>0</v>
      </c>
      <c r="N320" s="11" t="s">
        <v>0</v>
      </c>
      <c r="O320" s="11" t="s">
        <v>0</v>
      </c>
      <c r="P320" s="11" t="s">
        <v>0</v>
      </c>
      <c r="Q320" s="11" t="s">
        <v>0</v>
      </c>
      <c r="R320" s="11" t="s">
        <v>0</v>
      </c>
      <c r="S320" s="11" t="s">
        <v>0</v>
      </c>
      <c r="T320" s="11" t="s">
        <v>0</v>
      </c>
      <c r="U320" s="11" t="s">
        <v>0</v>
      </c>
      <c r="V320" s="11" t="s">
        <v>0</v>
      </c>
      <c r="W320" s="11" t="s">
        <v>0</v>
      </c>
      <c r="X320" s="11" t="s">
        <v>0</v>
      </c>
      <c r="Y320" s="11" t="s">
        <v>0</v>
      </c>
      <c r="Z320" s="11" t="s">
        <v>0</v>
      </c>
      <c r="AA320" s="11" t="s">
        <v>0</v>
      </c>
      <c r="AB320" s="11" t="s">
        <v>0</v>
      </c>
      <c r="AC320" s="11" t="s">
        <v>0</v>
      </c>
      <c r="AD320" s="11" t="s">
        <v>0</v>
      </c>
    </row>
    <row r="321">
      <c r="B321" s="12" t="s">
        <v>0</v>
      </c>
      <c r="C321" s="11" t="s">
        <v>0</v>
      </c>
      <c r="D321" s="11" t="s">
        <v>0</v>
      </c>
      <c r="E321" s="12" t="s">
        <v>0</v>
      </c>
      <c r="F321" s="12" t="s">
        <v>0</v>
      </c>
      <c r="G321" s="12" t="s">
        <v>0</v>
      </c>
      <c r="H321" s="12" t="s">
        <v>0</v>
      </c>
      <c r="I321" s="12" t="s">
        <v>0</v>
      </c>
      <c r="J321" s="12" t="s">
        <v>0</v>
      </c>
      <c r="K321" s="12" t="s">
        <v>0</v>
      </c>
      <c r="L321" s="13" t="s">
        <v>0</v>
      </c>
      <c r="M321" s="11" t="s">
        <v>0</v>
      </c>
      <c r="N321" s="11" t="s">
        <v>0</v>
      </c>
      <c r="O321" s="11" t="s">
        <v>0</v>
      </c>
      <c r="P321" s="11" t="s">
        <v>0</v>
      </c>
      <c r="Q321" s="11" t="s">
        <v>0</v>
      </c>
      <c r="R321" s="11" t="s">
        <v>0</v>
      </c>
      <c r="S321" s="11" t="s">
        <v>0</v>
      </c>
      <c r="T321" s="11" t="s">
        <v>0</v>
      </c>
      <c r="U321" s="11" t="s">
        <v>0</v>
      </c>
      <c r="V321" s="11" t="s">
        <v>0</v>
      </c>
      <c r="W321" s="11" t="s">
        <v>0</v>
      </c>
      <c r="X321" s="11" t="s">
        <v>0</v>
      </c>
      <c r="Y321" s="11" t="s">
        <v>0</v>
      </c>
      <c r="Z321" s="11" t="s">
        <v>0</v>
      </c>
      <c r="AA321" s="11" t="s">
        <v>0</v>
      </c>
      <c r="AB321" s="11" t="s">
        <v>0</v>
      </c>
      <c r="AC321" s="11" t="s">
        <v>0</v>
      </c>
      <c r="AD321" s="11" t="s">
        <v>0</v>
      </c>
    </row>
    <row r="322">
      <c r="B322" s="12" t="s">
        <v>0</v>
      </c>
      <c r="C322" s="11" t="s">
        <v>0</v>
      </c>
      <c r="D322" s="11" t="s">
        <v>0</v>
      </c>
      <c r="E322" s="12" t="s">
        <v>0</v>
      </c>
      <c r="F322" s="12" t="s">
        <v>0</v>
      </c>
      <c r="G322" s="12" t="s">
        <v>0</v>
      </c>
      <c r="H322" s="12" t="s">
        <v>0</v>
      </c>
      <c r="I322" s="12" t="s">
        <v>0</v>
      </c>
      <c r="J322" s="12" t="s">
        <v>0</v>
      </c>
      <c r="K322" s="12" t="s">
        <v>0</v>
      </c>
      <c r="L322" s="13" t="s">
        <v>0</v>
      </c>
      <c r="M322" s="11" t="s">
        <v>0</v>
      </c>
      <c r="N322" s="11" t="s">
        <v>0</v>
      </c>
      <c r="O322" s="11" t="s">
        <v>0</v>
      </c>
      <c r="P322" s="11" t="s">
        <v>0</v>
      </c>
      <c r="Q322" s="11" t="s">
        <v>0</v>
      </c>
      <c r="R322" s="11" t="s">
        <v>0</v>
      </c>
      <c r="S322" s="11" t="s">
        <v>0</v>
      </c>
      <c r="T322" s="11" t="s">
        <v>0</v>
      </c>
      <c r="U322" s="11" t="s">
        <v>0</v>
      </c>
      <c r="V322" s="11" t="s">
        <v>0</v>
      </c>
      <c r="W322" s="11" t="s">
        <v>0</v>
      </c>
      <c r="X322" s="11" t="s">
        <v>0</v>
      </c>
      <c r="Y322" s="11" t="s">
        <v>0</v>
      </c>
      <c r="Z322" s="11" t="s">
        <v>0</v>
      </c>
      <c r="AA322" s="11" t="s">
        <v>0</v>
      </c>
      <c r="AB322" s="11" t="s">
        <v>0</v>
      </c>
      <c r="AC322" s="11" t="s">
        <v>0</v>
      </c>
      <c r="AD322" s="11" t="s">
        <v>0</v>
      </c>
    </row>
    <row r="323">
      <c r="B323" s="12" t="s">
        <v>0</v>
      </c>
      <c r="C323" s="11" t="s">
        <v>0</v>
      </c>
      <c r="D323" s="11" t="s">
        <v>0</v>
      </c>
      <c r="E323" s="12" t="s">
        <v>0</v>
      </c>
      <c r="F323" s="12" t="s">
        <v>0</v>
      </c>
      <c r="G323" s="12" t="s">
        <v>0</v>
      </c>
      <c r="H323" s="12" t="s">
        <v>0</v>
      </c>
      <c r="I323" s="12" t="s">
        <v>0</v>
      </c>
      <c r="J323" s="12" t="s">
        <v>0</v>
      </c>
      <c r="K323" s="12" t="s">
        <v>0</v>
      </c>
      <c r="L323" s="13" t="s">
        <v>0</v>
      </c>
      <c r="M323" s="11" t="s">
        <v>0</v>
      </c>
      <c r="N323" s="11" t="s">
        <v>0</v>
      </c>
      <c r="O323" s="11" t="s">
        <v>0</v>
      </c>
      <c r="P323" s="11" t="s">
        <v>0</v>
      </c>
      <c r="Q323" s="11" t="s">
        <v>0</v>
      </c>
      <c r="R323" s="11" t="s">
        <v>0</v>
      </c>
      <c r="S323" s="11" t="s">
        <v>0</v>
      </c>
      <c r="T323" s="11" t="s">
        <v>0</v>
      </c>
      <c r="U323" s="11" t="s">
        <v>0</v>
      </c>
      <c r="V323" s="11" t="s">
        <v>0</v>
      </c>
      <c r="W323" s="11" t="s">
        <v>0</v>
      </c>
      <c r="X323" s="11" t="s">
        <v>0</v>
      </c>
      <c r="Y323" s="11" t="s">
        <v>0</v>
      </c>
      <c r="Z323" s="11" t="s">
        <v>0</v>
      </c>
      <c r="AA323" s="11" t="s">
        <v>0</v>
      </c>
      <c r="AB323" s="11" t="s">
        <v>0</v>
      </c>
      <c r="AC323" s="11" t="s">
        <v>0</v>
      </c>
      <c r="AD323" s="11" t="s">
        <v>0</v>
      </c>
    </row>
    <row r="324">
      <c r="B324" s="12" t="s">
        <v>0</v>
      </c>
      <c r="C324" s="11" t="s">
        <v>0</v>
      </c>
      <c r="D324" s="11" t="s">
        <v>0</v>
      </c>
      <c r="E324" s="12" t="s">
        <v>0</v>
      </c>
      <c r="F324" s="12" t="s">
        <v>0</v>
      </c>
      <c r="G324" s="12" t="s">
        <v>0</v>
      </c>
      <c r="H324" s="12" t="s">
        <v>0</v>
      </c>
      <c r="I324" s="12" t="s">
        <v>0</v>
      </c>
      <c r="J324" s="12" t="s">
        <v>0</v>
      </c>
      <c r="K324" s="12" t="s">
        <v>0</v>
      </c>
      <c r="L324" s="13" t="s">
        <v>0</v>
      </c>
      <c r="M324" s="11" t="s">
        <v>0</v>
      </c>
      <c r="N324" s="11" t="s">
        <v>0</v>
      </c>
      <c r="O324" s="11" t="s">
        <v>0</v>
      </c>
      <c r="P324" s="11" t="s">
        <v>0</v>
      </c>
      <c r="Q324" s="11" t="s">
        <v>0</v>
      </c>
      <c r="R324" s="11" t="s">
        <v>0</v>
      </c>
      <c r="S324" s="11" t="s">
        <v>0</v>
      </c>
      <c r="T324" s="11" t="s">
        <v>0</v>
      </c>
      <c r="U324" s="11" t="s">
        <v>0</v>
      </c>
      <c r="V324" s="11" t="s">
        <v>0</v>
      </c>
      <c r="W324" s="11" t="s">
        <v>0</v>
      </c>
      <c r="X324" s="11" t="s">
        <v>0</v>
      </c>
      <c r="Y324" s="11" t="s">
        <v>0</v>
      </c>
      <c r="Z324" s="11" t="s">
        <v>0</v>
      </c>
      <c r="AA324" s="11" t="s">
        <v>0</v>
      </c>
      <c r="AB324" s="11" t="s">
        <v>0</v>
      </c>
      <c r="AC324" s="11" t="s">
        <v>0</v>
      </c>
      <c r="AD324" s="11" t="s">
        <v>0</v>
      </c>
    </row>
    <row r="325">
      <c r="B325" s="12" t="s">
        <v>0</v>
      </c>
      <c r="C325" s="11" t="s">
        <v>0</v>
      </c>
      <c r="D325" s="11" t="s">
        <v>0</v>
      </c>
      <c r="E325" s="12" t="s">
        <v>0</v>
      </c>
      <c r="F325" s="12" t="s">
        <v>0</v>
      </c>
      <c r="G325" s="12" t="s">
        <v>0</v>
      </c>
      <c r="H325" s="12" t="s">
        <v>0</v>
      </c>
      <c r="I325" s="12" t="s">
        <v>0</v>
      </c>
      <c r="J325" s="12" t="s">
        <v>0</v>
      </c>
      <c r="K325" s="12" t="s">
        <v>0</v>
      </c>
      <c r="L325" s="13" t="s">
        <v>0</v>
      </c>
      <c r="M325" s="11" t="s">
        <v>0</v>
      </c>
      <c r="N325" s="11" t="s">
        <v>0</v>
      </c>
      <c r="O325" s="11" t="s">
        <v>0</v>
      </c>
      <c r="P325" s="11" t="s">
        <v>0</v>
      </c>
      <c r="Q325" s="11" t="s">
        <v>0</v>
      </c>
      <c r="R325" s="11" t="s">
        <v>0</v>
      </c>
      <c r="S325" s="11" t="s">
        <v>0</v>
      </c>
      <c r="T325" s="11" t="s">
        <v>0</v>
      </c>
      <c r="U325" s="11" t="s">
        <v>0</v>
      </c>
      <c r="V325" s="11" t="s">
        <v>0</v>
      </c>
      <c r="W325" s="11" t="s">
        <v>0</v>
      </c>
      <c r="X325" s="11" t="s">
        <v>0</v>
      </c>
      <c r="Y325" s="11" t="s">
        <v>0</v>
      </c>
      <c r="Z325" s="11" t="s">
        <v>0</v>
      </c>
      <c r="AA325" s="11" t="s">
        <v>0</v>
      </c>
      <c r="AB325" s="11" t="s">
        <v>0</v>
      </c>
      <c r="AC325" s="11" t="s">
        <v>0</v>
      </c>
      <c r="AD325" s="11" t="s">
        <v>0</v>
      </c>
    </row>
    <row r="326">
      <c r="B326" s="12" t="s">
        <v>0</v>
      </c>
      <c r="C326" s="11" t="s">
        <v>0</v>
      </c>
      <c r="D326" s="11" t="s">
        <v>0</v>
      </c>
      <c r="E326" s="12" t="s">
        <v>0</v>
      </c>
      <c r="F326" s="12" t="s">
        <v>0</v>
      </c>
      <c r="G326" s="12" t="s">
        <v>0</v>
      </c>
      <c r="H326" s="12" t="s">
        <v>0</v>
      </c>
      <c r="I326" s="12" t="s">
        <v>0</v>
      </c>
      <c r="J326" s="12" t="s">
        <v>0</v>
      </c>
      <c r="K326" s="12" t="s">
        <v>0</v>
      </c>
      <c r="L326" s="13" t="s">
        <v>0</v>
      </c>
      <c r="M326" s="11" t="s">
        <v>0</v>
      </c>
      <c r="N326" s="11" t="s">
        <v>0</v>
      </c>
      <c r="O326" s="11" t="s">
        <v>0</v>
      </c>
      <c r="P326" s="11" t="s">
        <v>0</v>
      </c>
      <c r="Q326" s="11" t="s">
        <v>0</v>
      </c>
      <c r="R326" s="11" t="s">
        <v>0</v>
      </c>
      <c r="S326" s="11" t="s">
        <v>0</v>
      </c>
      <c r="T326" s="11" t="s">
        <v>0</v>
      </c>
      <c r="U326" s="11" t="s">
        <v>0</v>
      </c>
      <c r="V326" s="11" t="s">
        <v>0</v>
      </c>
      <c r="W326" s="11" t="s">
        <v>0</v>
      </c>
      <c r="X326" s="11" t="s">
        <v>0</v>
      </c>
      <c r="Y326" s="11" t="s">
        <v>0</v>
      </c>
      <c r="Z326" s="11" t="s">
        <v>0</v>
      </c>
      <c r="AA326" s="11" t="s">
        <v>0</v>
      </c>
      <c r="AB326" s="11" t="s">
        <v>0</v>
      </c>
      <c r="AC326" s="11" t="s">
        <v>0</v>
      </c>
      <c r="AD326" s="11" t="s">
        <v>0</v>
      </c>
    </row>
    <row r="327">
      <c r="B327" s="12" t="s">
        <v>0</v>
      </c>
      <c r="C327" s="11" t="s">
        <v>0</v>
      </c>
      <c r="D327" s="11" t="s">
        <v>0</v>
      </c>
      <c r="E327" s="12" t="s">
        <v>0</v>
      </c>
      <c r="F327" s="12" t="s">
        <v>0</v>
      </c>
      <c r="G327" s="12" t="s">
        <v>0</v>
      </c>
      <c r="H327" s="12" t="s">
        <v>0</v>
      </c>
      <c r="I327" s="12" t="s">
        <v>0</v>
      </c>
      <c r="J327" s="12" t="s">
        <v>0</v>
      </c>
      <c r="K327" s="12" t="s">
        <v>0</v>
      </c>
      <c r="L327" s="13" t="s">
        <v>0</v>
      </c>
      <c r="M327" s="11" t="s">
        <v>0</v>
      </c>
      <c r="N327" s="11" t="s">
        <v>0</v>
      </c>
      <c r="O327" s="11" t="s">
        <v>0</v>
      </c>
      <c r="P327" s="11" t="s">
        <v>0</v>
      </c>
      <c r="Q327" s="11" t="s">
        <v>0</v>
      </c>
      <c r="R327" s="11" t="s">
        <v>0</v>
      </c>
      <c r="S327" s="11" t="s">
        <v>0</v>
      </c>
      <c r="T327" s="11" t="s">
        <v>0</v>
      </c>
      <c r="U327" s="11" t="s">
        <v>0</v>
      </c>
      <c r="V327" s="11" t="s">
        <v>0</v>
      </c>
      <c r="W327" s="11" t="s">
        <v>0</v>
      </c>
      <c r="X327" s="11" t="s">
        <v>0</v>
      </c>
      <c r="Y327" s="11" t="s">
        <v>0</v>
      </c>
      <c r="Z327" s="11" t="s">
        <v>0</v>
      </c>
      <c r="AA327" s="11" t="s">
        <v>0</v>
      </c>
      <c r="AB327" s="11" t="s">
        <v>0</v>
      </c>
      <c r="AC327" s="11" t="s">
        <v>0</v>
      </c>
      <c r="AD327" s="11" t="s">
        <v>0</v>
      </c>
    </row>
    <row r="328">
      <c r="B328" s="12" t="s">
        <v>0</v>
      </c>
      <c r="C328" s="11" t="s">
        <v>0</v>
      </c>
      <c r="D328" s="11" t="s">
        <v>0</v>
      </c>
      <c r="E328" s="12" t="s">
        <v>0</v>
      </c>
      <c r="F328" s="12" t="s">
        <v>0</v>
      </c>
      <c r="G328" s="12" t="s">
        <v>0</v>
      </c>
      <c r="H328" s="12" t="s">
        <v>0</v>
      </c>
      <c r="I328" s="12" t="s">
        <v>0</v>
      </c>
      <c r="J328" s="12" t="s">
        <v>0</v>
      </c>
      <c r="K328" s="12" t="s">
        <v>0</v>
      </c>
      <c r="L328" s="13" t="s">
        <v>0</v>
      </c>
      <c r="M328" s="11" t="s">
        <v>0</v>
      </c>
      <c r="N328" s="11" t="s">
        <v>0</v>
      </c>
      <c r="O328" s="11" t="s">
        <v>0</v>
      </c>
      <c r="P328" s="11" t="s">
        <v>0</v>
      </c>
      <c r="Q328" s="11" t="s">
        <v>0</v>
      </c>
      <c r="R328" s="11" t="s">
        <v>0</v>
      </c>
      <c r="S328" s="11" t="s">
        <v>0</v>
      </c>
      <c r="T328" s="11" t="s">
        <v>0</v>
      </c>
      <c r="U328" s="11" t="s">
        <v>0</v>
      </c>
      <c r="V328" s="11" t="s">
        <v>0</v>
      </c>
      <c r="W328" s="11" t="s">
        <v>0</v>
      </c>
      <c r="X328" s="11" t="s">
        <v>0</v>
      </c>
      <c r="Y328" s="11" t="s">
        <v>0</v>
      </c>
      <c r="Z328" s="11" t="s">
        <v>0</v>
      </c>
      <c r="AA328" s="11" t="s">
        <v>0</v>
      </c>
      <c r="AB328" s="11" t="s">
        <v>0</v>
      </c>
      <c r="AC328" s="11" t="s">
        <v>0</v>
      </c>
      <c r="AD328" s="11" t="s">
        <v>0</v>
      </c>
    </row>
    <row r="329">
      <c r="B329" s="12" t="s">
        <v>0</v>
      </c>
      <c r="C329" s="11" t="s">
        <v>0</v>
      </c>
      <c r="D329" s="11" t="s">
        <v>0</v>
      </c>
      <c r="E329" s="12" t="s">
        <v>0</v>
      </c>
      <c r="F329" s="12" t="s">
        <v>0</v>
      </c>
      <c r="G329" s="12" t="s">
        <v>0</v>
      </c>
      <c r="H329" s="12" t="s">
        <v>0</v>
      </c>
      <c r="I329" s="12" t="s">
        <v>0</v>
      </c>
      <c r="J329" s="12" t="s">
        <v>0</v>
      </c>
      <c r="K329" s="12" t="s">
        <v>0</v>
      </c>
      <c r="L329" s="13" t="s">
        <v>0</v>
      </c>
      <c r="M329" s="11" t="s">
        <v>0</v>
      </c>
      <c r="N329" s="11" t="s">
        <v>0</v>
      </c>
      <c r="O329" s="11" t="s">
        <v>0</v>
      </c>
      <c r="P329" s="11" t="s">
        <v>0</v>
      </c>
      <c r="Q329" s="11" t="s">
        <v>0</v>
      </c>
      <c r="R329" s="11" t="s">
        <v>0</v>
      </c>
      <c r="S329" s="11" t="s">
        <v>0</v>
      </c>
      <c r="T329" s="11" t="s">
        <v>0</v>
      </c>
      <c r="U329" s="11" t="s">
        <v>0</v>
      </c>
      <c r="V329" s="11" t="s">
        <v>0</v>
      </c>
      <c r="W329" s="11" t="s">
        <v>0</v>
      </c>
      <c r="X329" s="11" t="s">
        <v>0</v>
      </c>
      <c r="Y329" s="11" t="s">
        <v>0</v>
      </c>
      <c r="Z329" s="11" t="s">
        <v>0</v>
      </c>
      <c r="AA329" s="11" t="s">
        <v>0</v>
      </c>
      <c r="AB329" s="11" t="s">
        <v>0</v>
      </c>
      <c r="AC329" s="11" t="s">
        <v>0</v>
      </c>
      <c r="AD329" s="11" t="s">
        <v>0</v>
      </c>
    </row>
    <row r="330">
      <c r="B330" s="12" t="s">
        <v>0</v>
      </c>
      <c r="C330" s="11" t="s">
        <v>0</v>
      </c>
      <c r="D330" s="11" t="s">
        <v>0</v>
      </c>
      <c r="E330" s="12" t="s">
        <v>0</v>
      </c>
      <c r="F330" s="12" t="s">
        <v>0</v>
      </c>
      <c r="G330" s="12" t="s">
        <v>0</v>
      </c>
      <c r="H330" s="12" t="s">
        <v>0</v>
      </c>
      <c r="I330" s="12" t="s">
        <v>0</v>
      </c>
      <c r="J330" s="12" t="s">
        <v>0</v>
      </c>
      <c r="K330" s="12" t="s">
        <v>0</v>
      </c>
      <c r="L330" s="13" t="s">
        <v>0</v>
      </c>
      <c r="M330" s="11" t="s">
        <v>0</v>
      </c>
      <c r="N330" s="11" t="s">
        <v>0</v>
      </c>
      <c r="O330" s="11" t="s">
        <v>0</v>
      </c>
      <c r="P330" s="11" t="s">
        <v>0</v>
      </c>
      <c r="Q330" s="11" t="s">
        <v>0</v>
      </c>
      <c r="R330" s="11" t="s">
        <v>0</v>
      </c>
      <c r="S330" s="11" t="s">
        <v>0</v>
      </c>
      <c r="T330" s="11" t="s">
        <v>0</v>
      </c>
      <c r="U330" s="11" t="s">
        <v>0</v>
      </c>
      <c r="V330" s="11" t="s">
        <v>0</v>
      </c>
      <c r="W330" s="11" t="s">
        <v>0</v>
      </c>
      <c r="X330" s="11" t="s">
        <v>0</v>
      </c>
      <c r="Y330" s="11" t="s">
        <v>0</v>
      </c>
      <c r="Z330" s="11" t="s">
        <v>0</v>
      </c>
      <c r="AA330" s="11" t="s">
        <v>0</v>
      </c>
      <c r="AB330" s="11" t="s">
        <v>0</v>
      </c>
      <c r="AC330" s="11" t="s">
        <v>0</v>
      </c>
      <c r="AD330" s="11" t="s">
        <v>0</v>
      </c>
    </row>
    <row r="331">
      <c r="B331" s="12" t="s">
        <v>0</v>
      </c>
      <c r="C331" s="11" t="s">
        <v>0</v>
      </c>
      <c r="D331" s="11" t="s">
        <v>0</v>
      </c>
      <c r="E331" s="12" t="s">
        <v>0</v>
      </c>
      <c r="F331" s="12" t="s">
        <v>0</v>
      </c>
      <c r="G331" s="12" t="s">
        <v>0</v>
      </c>
      <c r="H331" s="12" t="s">
        <v>0</v>
      </c>
      <c r="I331" s="12" t="s">
        <v>0</v>
      </c>
      <c r="J331" s="12" t="s">
        <v>0</v>
      </c>
      <c r="K331" s="12" t="s">
        <v>0</v>
      </c>
      <c r="L331" s="13" t="s">
        <v>0</v>
      </c>
      <c r="M331" s="11" t="s">
        <v>0</v>
      </c>
      <c r="N331" s="11" t="s">
        <v>0</v>
      </c>
      <c r="O331" s="11" t="s">
        <v>0</v>
      </c>
      <c r="P331" s="11" t="s">
        <v>0</v>
      </c>
      <c r="Q331" s="11" t="s">
        <v>0</v>
      </c>
      <c r="R331" s="11" t="s">
        <v>0</v>
      </c>
      <c r="S331" s="11" t="s">
        <v>0</v>
      </c>
      <c r="T331" s="11" t="s">
        <v>0</v>
      </c>
      <c r="U331" s="11" t="s">
        <v>0</v>
      </c>
      <c r="V331" s="11" t="s">
        <v>0</v>
      </c>
      <c r="W331" s="11" t="s">
        <v>0</v>
      </c>
      <c r="X331" s="11" t="s">
        <v>0</v>
      </c>
      <c r="Y331" s="11" t="s">
        <v>0</v>
      </c>
      <c r="Z331" s="11" t="s">
        <v>0</v>
      </c>
      <c r="AA331" s="11" t="s">
        <v>0</v>
      </c>
      <c r="AB331" s="11" t="s">
        <v>0</v>
      </c>
      <c r="AC331" s="11" t="s">
        <v>0</v>
      </c>
      <c r="AD331" s="11" t="s">
        <v>0</v>
      </c>
    </row>
    <row r="332">
      <c r="B332" s="12" t="s">
        <v>0</v>
      </c>
      <c r="C332" s="11" t="s">
        <v>0</v>
      </c>
      <c r="D332" s="11" t="s">
        <v>0</v>
      </c>
      <c r="E332" s="12" t="s">
        <v>0</v>
      </c>
      <c r="F332" s="12" t="s">
        <v>0</v>
      </c>
      <c r="G332" s="12" t="s">
        <v>0</v>
      </c>
      <c r="H332" s="12" t="s">
        <v>0</v>
      </c>
      <c r="I332" s="12" t="s">
        <v>0</v>
      </c>
      <c r="J332" s="12" t="s">
        <v>0</v>
      </c>
      <c r="K332" s="12" t="s">
        <v>0</v>
      </c>
      <c r="L332" s="13" t="s">
        <v>0</v>
      </c>
      <c r="M332" s="11" t="s">
        <v>0</v>
      </c>
      <c r="N332" s="11" t="s">
        <v>0</v>
      </c>
      <c r="O332" s="11" t="s">
        <v>0</v>
      </c>
      <c r="P332" s="11" t="s">
        <v>0</v>
      </c>
      <c r="Q332" s="11" t="s">
        <v>0</v>
      </c>
      <c r="R332" s="11" t="s">
        <v>0</v>
      </c>
      <c r="S332" s="11" t="s">
        <v>0</v>
      </c>
      <c r="T332" s="11" t="s">
        <v>0</v>
      </c>
      <c r="U332" s="11" t="s">
        <v>0</v>
      </c>
      <c r="V332" s="11" t="s">
        <v>0</v>
      </c>
      <c r="W332" s="11" t="s">
        <v>0</v>
      </c>
      <c r="X332" s="11" t="s">
        <v>0</v>
      </c>
      <c r="Y332" s="11" t="s">
        <v>0</v>
      </c>
      <c r="Z332" s="11" t="s">
        <v>0</v>
      </c>
      <c r="AA332" s="11" t="s">
        <v>0</v>
      </c>
      <c r="AB332" s="11" t="s">
        <v>0</v>
      </c>
      <c r="AC332" s="11" t="s">
        <v>0</v>
      </c>
      <c r="AD332" s="11" t="s">
        <v>0</v>
      </c>
    </row>
    <row r="333">
      <c r="B333" s="12" t="s">
        <v>0</v>
      </c>
      <c r="C333" s="11" t="s">
        <v>0</v>
      </c>
      <c r="D333" s="11" t="s">
        <v>0</v>
      </c>
      <c r="E333" s="12" t="s">
        <v>0</v>
      </c>
      <c r="F333" s="12" t="s">
        <v>0</v>
      </c>
      <c r="G333" s="12" t="s">
        <v>0</v>
      </c>
      <c r="H333" s="12" t="s">
        <v>0</v>
      </c>
      <c r="I333" s="12" t="s">
        <v>0</v>
      </c>
      <c r="J333" s="12" t="s">
        <v>0</v>
      </c>
      <c r="K333" s="12" t="s">
        <v>0</v>
      </c>
      <c r="L333" s="13" t="s">
        <v>0</v>
      </c>
      <c r="M333" s="11" t="s">
        <v>0</v>
      </c>
      <c r="N333" s="11" t="s">
        <v>0</v>
      </c>
      <c r="O333" s="11" t="s">
        <v>0</v>
      </c>
      <c r="P333" s="11" t="s">
        <v>0</v>
      </c>
      <c r="Q333" s="11" t="s">
        <v>0</v>
      </c>
      <c r="R333" s="11" t="s">
        <v>0</v>
      </c>
      <c r="S333" s="11" t="s">
        <v>0</v>
      </c>
      <c r="T333" s="11" t="s">
        <v>0</v>
      </c>
      <c r="U333" s="11" t="s">
        <v>0</v>
      </c>
      <c r="V333" s="11" t="s">
        <v>0</v>
      </c>
      <c r="W333" s="11" t="s">
        <v>0</v>
      </c>
      <c r="X333" s="11" t="s">
        <v>0</v>
      </c>
      <c r="Y333" s="11" t="s">
        <v>0</v>
      </c>
      <c r="Z333" s="11" t="s">
        <v>0</v>
      </c>
      <c r="AA333" s="11" t="s">
        <v>0</v>
      </c>
      <c r="AB333" s="11" t="s">
        <v>0</v>
      </c>
      <c r="AC333" s="11" t="s">
        <v>0</v>
      </c>
      <c r="AD333" s="11" t="s">
        <v>0</v>
      </c>
    </row>
    <row r="334">
      <c r="B334" s="12" t="s">
        <v>0</v>
      </c>
      <c r="C334" s="11" t="s">
        <v>0</v>
      </c>
      <c r="D334" s="11" t="s">
        <v>0</v>
      </c>
      <c r="E334" s="12" t="s">
        <v>0</v>
      </c>
      <c r="F334" s="12" t="s">
        <v>0</v>
      </c>
      <c r="G334" s="12" t="s">
        <v>0</v>
      </c>
      <c r="H334" s="12" t="s">
        <v>0</v>
      </c>
      <c r="I334" s="12" t="s">
        <v>0</v>
      </c>
      <c r="J334" s="12" t="s">
        <v>0</v>
      </c>
      <c r="K334" s="12" t="s">
        <v>0</v>
      </c>
      <c r="L334" s="13" t="s">
        <v>0</v>
      </c>
      <c r="M334" s="11" t="s">
        <v>0</v>
      </c>
      <c r="N334" s="11" t="s">
        <v>0</v>
      </c>
      <c r="O334" s="11" t="s">
        <v>0</v>
      </c>
      <c r="P334" s="11" t="s">
        <v>0</v>
      </c>
      <c r="Q334" s="11" t="s">
        <v>0</v>
      </c>
      <c r="R334" s="11" t="s">
        <v>0</v>
      </c>
      <c r="S334" s="11" t="s">
        <v>0</v>
      </c>
      <c r="T334" s="11" t="s">
        <v>0</v>
      </c>
      <c r="U334" s="11" t="s">
        <v>0</v>
      </c>
      <c r="V334" s="11" t="s">
        <v>0</v>
      </c>
      <c r="W334" s="11" t="s">
        <v>0</v>
      </c>
      <c r="X334" s="11" t="s">
        <v>0</v>
      </c>
      <c r="Y334" s="11" t="s">
        <v>0</v>
      </c>
      <c r="Z334" s="11" t="s">
        <v>0</v>
      </c>
      <c r="AA334" s="11" t="s">
        <v>0</v>
      </c>
      <c r="AB334" s="11" t="s">
        <v>0</v>
      </c>
      <c r="AC334" s="11" t="s">
        <v>0</v>
      </c>
      <c r="AD334" s="11" t="s">
        <v>0</v>
      </c>
    </row>
    <row r="335">
      <c r="B335" s="12" t="s">
        <v>0</v>
      </c>
      <c r="C335" s="11" t="s">
        <v>0</v>
      </c>
      <c r="D335" s="11" t="s">
        <v>0</v>
      </c>
      <c r="E335" s="12" t="s">
        <v>0</v>
      </c>
      <c r="F335" s="12" t="s">
        <v>0</v>
      </c>
      <c r="G335" s="12" t="s">
        <v>0</v>
      </c>
      <c r="H335" s="12" t="s">
        <v>0</v>
      </c>
      <c r="I335" s="12" t="s">
        <v>0</v>
      </c>
      <c r="J335" s="12" t="s">
        <v>0</v>
      </c>
      <c r="K335" s="12" t="s">
        <v>0</v>
      </c>
      <c r="L335" s="13" t="s">
        <v>0</v>
      </c>
      <c r="M335" s="11" t="s">
        <v>0</v>
      </c>
      <c r="N335" s="11" t="s">
        <v>0</v>
      </c>
      <c r="O335" s="11" t="s">
        <v>0</v>
      </c>
      <c r="P335" s="11" t="s">
        <v>0</v>
      </c>
      <c r="Q335" s="11" t="s">
        <v>0</v>
      </c>
      <c r="R335" s="11" t="s">
        <v>0</v>
      </c>
      <c r="S335" s="11" t="s">
        <v>0</v>
      </c>
      <c r="T335" s="11" t="s">
        <v>0</v>
      </c>
      <c r="U335" s="11" t="s">
        <v>0</v>
      </c>
      <c r="V335" s="11" t="s">
        <v>0</v>
      </c>
      <c r="W335" s="11" t="s">
        <v>0</v>
      </c>
      <c r="X335" s="11" t="s">
        <v>0</v>
      </c>
      <c r="Y335" s="11" t="s">
        <v>0</v>
      </c>
      <c r="Z335" s="11" t="s">
        <v>0</v>
      </c>
      <c r="AA335" s="11" t="s">
        <v>0</v>
      </c>
      <c r="AB335" s="11" t="s">
        <v>0</v>
      </c>
      <c r="AC335" s="11" t="s">
        <v>0</v>
      </c>
      <c r="AD335" s="11" t="s">
        <v>0</v>
      </c>
    </row>
    <row r="336">
      <c r="B336" s="12" t="s">
        <v>0</v>
      </c>
      <c r="C336" s="11" t="s">
        <v>0</v>
      </c>
      <c r="D336" s="11" t="s">
        <v>0</v>
      </c>
      <c r="E336" s="12" t="s">
        <v>0</v>
      </c>
      <c r="F336" s="12" t="s">
        <v>0</v>
      </c>
      <c r="G336" s="12" t="s">
        <v>0</v>
      </c>
      <c r="H336" s="12" t="s">
        <v>0</v>
      </c>
      <c r="I336" s="12" t="s">
        <v>0</v>
      </c>
      <c r="J336" s="12" t="s">
        <v>0</v>
      </c>
      <c r="K336" s="12" t="s">
        <v>0</v>
      </c>
      <c r="L336" s="13" t="s">
        <v>0</v>
      </c>
      <c r="M336" s="11" t="s">
        <v>0</v>
      </c>
      <c r="N336" s="11" t="s">
        <v>0</v>
      </c>
      <c r="O336" s="11" t="s">
        <v>0</v>
      </c>
      <c r="P336" s="11" t="s">
        <v>0</v>
      </c>
      <c r="Q336" s="11" t="s">
        <v>0</v>
      </c>
      <c r="R336" s="11" t="s">
        <v>0</v>
      </c>
      <c r="S336" s="11" t="s">
        <v>0</v>
      </c>
      <c r="T336" s="11" t="s">
        <v>0</v>
      </c>
      <c r="U336" s="11" t="s">
        <v>0</v>
      </c>
      <c r="V336" s="11" t="s">
        <v>0</v>
      </c>
      <c r="W336" s="11" t="s">
        <v>0</v>
      </c>
      <c r="X336" s="11" t="s">
        <v>0</v>
      </c>
      <c r="Y336" s="11" t="s">
        <v>0</v>
      </c>
      <c r="Z336" s="11" t="s">
        <v>0</v>
      </c>
      <c r="AA336" s="11" t="s">
        <v>0</v>
      </c>
      <c r="AB336" s="11" t="s">
        <v>0</v>
      </c>
      <c r="AC336" s="11" t="s">
        <v>0</v>
      </c>
      <c r="AD336" s="11" t="s">
        <v>0</v>
      </c>
    </row>
    <row r="337">
      <c r="B337" s="12" t="s">
        <v>0</v>
      </c>
      <c r="C337" s="11" t="s">
        <v>0</v>
      </c>
      <c r="D337" s="11" t="s">
        <v>0</v>
      </c>
      <c r="E337" s="12" t="s">
        <v>0</v>
      </c>
      <c r="F337" s="12" t="s">
        <v>0</v>
      </c>
      <c r="G337" s="12" t="s">
        <v>0</v>
      </c>
      <c r="H337" s="12" t="s">
        <v>0</v>
      </c>
      <c r="I337" s="12" t="s">
        <v>0</v>
      </c>
      <c r="J337" s="12" t="s">
        <v>0</v>
      </c>
      <c r="K337" s="12" t="s">
        <v>0</v>
      </c>
      <c r="L337" s="13" t="s">
        <v>0</v>
      </c>
      <c r="M337" s="11" t="s">
        <v>0</v>
      </c>
      <c r="N337" s="11" t="s">
        <v>0</v>
      </c>
      <c r="O337" s="11" t="s">
        <v>0</v>
      </c>
      <c r="P337" s="11" t="s">
        <v>0</v>
      </c>
      <c r="Q337" s="11" t="s">
        <v>0</v>
      </c>
      <c r="R337" s="11" t="s">
        <v>0</v>
      </c>
      <c r="S337" s="11" t="s">
        <v>0</v>
      </c>
      <c r="T337" s="11" t="s">
        <v>0</v>
      </c>
      <c r="U337" s="11" t="s">
        <v>0</v>
      </c>
      <c r="V337" s="11" t="s">
        <v>0</v>
      </c>
      <c r="W337" s="11" t="s">
        <v>0</v>
      </c>
      <c r="X337" s="11" t="s">
        <v>0</v>
      </c>
      <c r="Y337" s="11" t="s">
        <v>0</v>
      </c>
      <c r="Z337" s="11" t="s">
        <v>0</v>
      </c>
      <c r="AA337" s="11" t="s">
        <v>0</v>
      </c>
      <c r="AB337" s="11" t="s">
        <v>0</v>
      </c>
      <c r="AC337" s="11" t="s">
        <v>0</v>
      </c>
      <c r="AD337" s="11" t="s">
        <v>0</v>
      </c>
    </row>
    <row r="338">
      <c r="B338" s="12" t="s">
        <v>0</v>
      </c>
      <c r="C338" s="11" t="s">
        <v>0</v>
      </c>
      <c r="D338" s="11" t="s">
        <v>0</v>
      </c>
      <c r="E338" s="12" t="s">
        <v>0</v>
      </c>
      <c r="F338" s="12" t="s">
        <v>0</v>
      </c>
      <c r="G338" s="12" t="s">
        <v>0</v>
      </c>
      <c r="H338" s="12" t="s">
        <v>0</v>
      </c>
      <c r="I338" s="12" t="s">
        <v>0</v>
      </c>
      <c r="J338" s="12" t="s">
        <v>0</v>
      </c>
      <c r="K338" s="12" t="s">
        <v>0</v>
      </c>
      <c r="L338" s="13" t="s">
        <v>0</v>
      </c>
      <c r="M338" s="11" t="s">
        <v>0</v>
      </c>
      <c r="N338" s="11" t="s">
        <v>0</v>
      </c>
      <c r="O338" s="11" t="s">
        <v>0</v>
      </c>
      <c r="P338" s="11" t="s">
        <v>0</v>
      </c>
      <c r="Q338" s="11" t="s">
        <v>0</v>
      </c>
      <c r="R338" s="11" t="s">
        <v>0</v>
      </c>
      <c r="S338" s="11" t="s">
        <v>0</v>
      </c>
      <c r="T338" s="11" t="s">
        <v>0</v>
      </c>
      <c r="U338" s="11" t="s">
        <v>0</v>
      </c>
      <c r="V338" s="11" t="s">
        <v>0</v>
      </c>
      <c r="W338" s="11" t="s">
        <v>0</v>
      </c>
      <c r="X338" s="11" t="s">
        <v>0</v>
      </c>
      <c r="Y338" s="11" t="s">
        <v>0</v>
      </c>
      <c r="Z338" s="11" t="s">
        <v>0</v>
      </c>
      <c r="AA338" s="11" t="s">
        <v>0</v>
      </c>
      <c r="AB338" s="11" t="s">
        <v>0</v>
      </c>
      <c r="AC338" s="11" t="s">
        <v>0</v>
      </c>
      <c r="AD338" s="11" t="s">
        <v>0</v>
      </c>
    </row>
    <row r="339">
      <c r="B339" s="12" t="s">
        <v>0</v>
      </c>
      <c r="C339" s="11" t="s">
        <v>0</v>
      </c>
      <c r="D339" s="11" t="s">
        <v>0</v>
      </c>
      <c r="E339" s="12" t="s">
        <v>0</v>
      </c>
      <c r="F339" s="12" t="s">
        <v>0</v>
      </c>
      <c r="G339" s="12" t="s">
        <v>0</v>
      </c>
      <c r="H339" s="12" t="s">
        <v>0</v>
      </c>
      <c r="I339" s="12" t="s">
        <v>0</v>
      </c>
      <c r="J339" s="12" t="s">
        <v>0</v>
      </c>
      <c r="K339" s="12" t="s">
        <v>0</v>
      </c>
      <c r="L339" s="13" t="s">
        <v>0</v>
      </c>
      <c r="M339" s="11" t="s">
        <v>0</v>
      </c>
      <c r="N339" s="11" t="s">
        <v>0</v>
      </c>
      <c r="O339" s="11" t="s">
        <v>0</v>
      </c>
      <c r="P339" s="11" t="s">
        <v>0</v>
      </c>
      <c r="Q339" s="11" t="s">
        <v>0</v>
      </c>
      <c r="R339" s="11" t="s">
        <v>0</v>
      </c>
      <c r="S339" s="11" t="s">
        <v>0</v>
      </c>
      <c r="T339" s="11" t="s">
        <v>0</v>
      </c>
      <c r="U339" s="11" t="s">
        <v>0</v>
      </c>
      <c r="V339" s="11" t="s">
        <v>0</v>
      </c>
      <c r="W339" s="11" t="s">
        <v>0</v>
      </c>
      <c r="X339" s="11" t="s">
        <v>0</v>
      </c>
      <c r="Y339" s="11" t="s">
        <v>0</v>
      </c>
      <c r="Z339" s="11" t="s">
        <v>0</v>
      </c>
      <c r="AA339" s="11" t="s">
        <v>0</v>
      </c>
      <c r="AB339" s="11" t="s">
        <v>0</v>
      </c>
      <c r="AC339" s="11" t="s">
        <v>0</v>
      </c>
      <c r="AD339" s="11" t="s">
        <v>0</v>
      </c>
    </row>
    <row r="340">
      <c r="B340" s="12" t="s">
        <v>0</v>
      </c>
      <c r="C340" s="11" t="s">
        <v>0</v>
      </c>
      <c r="D340" s="11" t="s">
        <v>0</v>
      </c>
      <c r="E340" s="12" t="s">
        <v>0</v>
      </c>
      <c r="F340" s="12" t="s">
        <v>0</v>
      </c>
      <c r="G340" s="12" t="s">
        <v>0</v>
      </c>
      <c r="H340" s="12" t="s">
        <v>0</v>
      </c>
      <c r="I340" s="12" t="s">
        <v>0</v>
      </c>
      <c r="J340" s="12" t="s">
        <v>0</v>
      </c>
      <c r="K340" s="12" t="s">
        <v>0</v>
      </c>
      <c r="L340" s="13" t="s">
        <v>0</v>
      </c>
      <c r="M340" s="11" t="s">
        <v>0</v>
      </c>
      <c r="N340" s="11" t="s">
        <v>0</v>
      </c>
      <c r="O340" s="11" t="s">
        <v>0</v>
      </c>
      <c r="P340" s="11" t="s">
        <v>0</v>
      </c>
      <c r="Q340" s="11" t="s">
        <v>0</v>
      </c>
      <c r="R340" s="11" t="s">
        <v>0</v>
      </c>
      <c r="S340" s="11" t="s">
        <v>0</v>
      </c>
      <c r="T340" s="11" t="s">
        <v>0</v>
      </c>
      <c r="U340" s="11" t="s">
        <v>0</v>
      </c>
      <c r="V340" s="11" t="s">
        <v>0</v>
      </c>
      <c r="W340" s="11" t="s">
        <v>0</v>
      </c>
      <c r="X340" s="11" t="s">
        <v>0</v>
      </c>
      <c r="Y340" s="11" t="s">
        <v>0</v>
      </c>
      <c r="Z340" s="11" t="s">
        <v>0</v>
      </c>
      <c r="AA340" s="11" t="s">
        <v>0</v>
      </c>
      <c r="AB340" s="11" t="s">
        <v>0</v>
      </c>
      <c r="AC340" s="11" t="s">
        <v>0</v>
      </c>
      <c r="AD340" s="11" t="s">
        <v>0</v>
      </c>
    </row>
    <row r="341">
      <c r="B341" s="12" t="s">
        <v>0</v>
      </c>
      <c r="C341" s="11" t="s">
        <v>0</v>
      </c>
      <c r="D341" s="11" t="s">
        <v>0</v>
      </c>
      <c r="E341" s="12" t="s">
        <v>0</v>
      </c>
      <c r="F341" s="12" t="s">
        <v>0</v>
      </c>
      <c r="G341" s="12" t="s">
        <v>0</v>
      </c>
      <c r="H341" s="12" t="s">
        <v>0</v>
      </c>
      <c r="I341" s="12" t="s">
        <v>0</v>
      </c>
      <c r="J341" s="12" t="s">
        <v>0</v>
      </c>
      <c r="K341" s="12" t="s">
        <v>0</v>
      </c>
      <c r="L341" s="13" t="s">
        <v>0</v>
      </c>
      <c r="M341" s="11" t="s">
        <v>0</v>
      </c>
      <c r="N341" s="11" t="s">
        <v>0</v>
      </c>
      <c r="O341" s="11" t="s">
        <v>0</v>
      </c>
      <c r="P341" s="11" t="s">
        <v>0</v>
      </c>
      <c r="Q341" s="11" t="s">
        <v>0</v>
      </c>
      <c r="R341" s="11" t="s">
        <v>0</v>
      </c>
      <c r="S341" s="11" t="s">
        <v>0</v>
      </c>
      <c r="T341" s="11" t="s">
        <v>0</v>
      </c>
      <c r="U341" s="11" t="s">
        <v>0</v>
      </c>
      <c r="V341" s="11" t="s">
        <v>0</v>
      </c>
      <c r="W341" s="11" t="s">
        <v>0</v>
      </c>
      <c r="X341" s="11" t="s">
        <v>0</v>
      </c>
      <c r="Y341" s="11" t="s">
        <v>0</v>
      </c>
      <c r="Z341" s="11" t="s">
        <v>0</v>
      </c>
      <c r="AA341" s="11" t="s">
        <v>0</v>
      </c>
      <c r="AB341" s="11" t="s">
        <v>0</v>
      </c>
      <c r="AC341" s="11" t="s">
        <v>0</v>
      </c>
      <c r="AD341" s="11" t="s">
        <v>0</v>
      </c>
    </row>
    <row r="342">
      <c r="B342" s="12" t="s">
        <v>0</v>
      </c>
      <c r="C342" s="11" t="s">
        <v>0</v>
      </c>
      <c r="D342" s="11" t="s">
        <v>0</v>
      </c>
      <c r="E342" s="12" t="s">
        <v>0</v>
      </c>
      <c r="F342" s="12" t="s">
        <v>0</v>
      </c>
      <c r="G342" s="12" t="s">
        <v>0</v>
      </c>
      <c r="H342" s="12" t="s">
        <v>0</v>
      </c>
      <c r="I342" s="12" t="s">
        <v>0</v>
      </c>
      <c r="J342" s="12" t="s">
        <v>0</v>
      </c>
      <c r="K342" s="12" t="s">
        <v>0</v>
      </c>
      <c r="L342" s="13" t="s">
        <v>0</v>
      </c>
      <c r="M342" s="11" t="s">
        <v>0</v>
      </c>
      <c r="N342" s="11" t="s">
        <v>0</v>
      </c>
      <c r="O342" s="11" t="s">
        <v>0</v>
      </c>
      <c r="P342" s="11" t="s">
        <v>0</v>
      </c>
      <c r="Q342" s="11" t="s">
        <v>0</v>
      </c>
      <c r="R342" s="11" t="s">
        <v>0</v>
      </c>
      <c r="S342" s="11" t="s">
        <v>0</v>
      </c>
      <c r="T342" s="11" t="s">
        <v>0</v>
      </c>
      <c r="U342" s="11" t="s">
        <v>0</v>
      </c>
      <c r="V342" s="11" t="s">
        <v>0</v>
      </c>
      <c r="W342" s="11" t="s">
        <v>0</v>
      </c>
      <c r="X342" s="11" t="s">
        <v>0</v>
      </c>
      <c r="Y342" s="11" t="s">
        <v>0</v>
      </c>
      <c r="Z342" s="11" t="s">
        <v>0</v>
      </c>
      <c r="AA342" s="11" t="s">
        <v>0</v>
      </c>
      <c r="AB342" s="11" t="s">
        <v>0</v>
      </c>
      <c r="AC342" s="11" t="s">
        <v>0</v>
      </c>
      <c r="AD342" s="11" t="s">
        <v>0</v>
      </c>
    </row>
    <row r="343">
      <c r="B343" s="12" t="s">
        <v>0</v>
      </c>
      <c r="C343" s="11" t="s">
        <v>0</v>
      </c>
      <c r="D343" s="11" t="s">
        <v>0</v>
      </c>
      <c r="E343" s="12" t="s">
        <v>0</v>
      </c>
      <c r="F343" s="12" t="s">
        <v>0</v>
      </c>
      <c r="G343" s="12" t="s">
        <v>0</v>
      </c>
      <c r="H343" s="12" t="s">
        <v>0</v>
      </c>
      <c r="I343" s="12" t="s">
        <v>0</v>
      </c>
      <c r="J343" s="12" t="s">
        <v>0</v>
      </c>
      <c r="K343" s="12" t="s">
        <v>0</v>
      </c>
      <c r="L343" s="13" t="s">
        <v>0</v>
      </c>
      <c r="M343" s="11" t="s">
        <v>0</v>
      </c>
      <c r="N343" s="11" t="s">
        <v>0</v>
      </c>
      <c r="O343" s="11" t="s">
        <v>0</v>
      </c>
      <c r="P343" s="11" t="s">
        <v>0</v>
      </c>
      <c r="Q343" s="11" t="s">
        <v>0</v>
      </c>
      <c r="R343" s="11" t="s">
        <v>0</v>
      </c>
      <c r="S343" s="11" t="s">
        <v>0</v>
      </c>
      <c r="T343" s="11" t="s">
        <v>0</v>
      </c>
      <c r="U343" s="11" t="s">
        <v>0</v>
      </c>
      <c r="V343" s="11" t="s">
        <v>0</v>
      </c>
      <c r="W343" s="11" t="s">
        <v>0</v>
      </c>
      <c r="X343" s="11" t="s">
        <v>0</v>
      </c>
      <c r="Y343" s="11" t="s">
        <v>0</v>
      </c>
      <c r="Z343" s="11" t="s">
        <v>0</v>
      </c>
      <c r="AA343" s="11" t="s">
        <v>0</v>
      </c>
      <c r="AB343" s="11" t="s">
        <v>0</v>
      </c>
      <c r="AC343" s="11" t="s">
        <v>0</v>
      </c>
      <c r="AD343" s="11" t="s">
        <v>0</v>
      </c>
    </row>
    <row r="344">
      <c r="B344" s="12" t="s">
        <v>0</v>
      </c>
      <c r="C344" s="11" t="s">
        <v>0</v>
      </c>
      <c r="D344" s="11" t="s">
        <v>0</v>
      </c>
      <c r="E344" s="12" t="s">
        <v>0</v>
      </c>
      <c r="F344" s="12" t="s">
        <v>0</v>
      </c>
      <c r="G344" s="12" t="s">
        <v>0</v>
      </c>
      <c r="H344" s="12" t="s">
        <v>0</v>
      </c>
      <c r="I344" s="12" t="s">
        <v>0</v>
      </c>
      <c r="J344" s="12" t="s">
        <v>0</v>
      </c>
      <c r="K344" s="12" t="s">
        <v>0</v>
      </c>
      <c r="L344" s="13" t="s">
        <v>0</v>
      </c>
      <c r="M344" s="11" t="s">
        <v>0</v>
      </c>
      <c r="N344" s="11" t="s">
        <v>0</v>
      </c>
      <c r="O344" s="11" t="s">
        <v>0</v>
      </c>
      <c r="P344" s="11" t="s">
        <v>0</v>
      </c>
      <c r="Q344" s="11" t="s">
        <v>0</v>
      </c>
      <c r="R344" s="11" t="s">
        <v>0</v>
      </c>
      <c r="S344" s="11" t="s">
        <v>0</v>
      </c>
      <c r="T344" s="11" t="s">
        <v>0</v>
      </c>
      <c r="U344" s="11" t="s">
        <v>0</v>
      </c>
      <c r="V344" s="11" t="s">
        <v>0</v>
      </c>
      <c r="W344" s="11" t="s">
        <v>0</v>
      </c>
      <c r="X344" s="11" t="s">
        <v>0</v>
      </c>
      <c r="Y344" s="11" t="s">
        <v>0</v>
      </c>
      <c r="Z344" s="11" t="s">
        <v>0</v>
      </c>
      <c r="AA344" s="11" t="s">
        <v>0</v>
      </c>
      <c r="AB344" s="11" t="s">
        <v>0</v>
      </c>
      <c r="AC344" s="11" t="s">
        <v>0</v>
      </c>
      <c r="AD344" s="11" t="s">
        <v>0</v>
      </c>
    </row>
    <row r="345">
      <c r="B345" s="12" t="s">
        <v>0</v>
      </c>
      <c r="C345" s="11" t="s">
        <v>0</v>
      </c>
      <c r="D345" s="11" t="s">
        <v>0</v>
      </c>
      <c r="E345" s="12" t="s">
        <v>0</v>
      </c>
      <c r="F345" s="12" t="s">
        <v>0</v>
      </c>
      <c r="G345" s="12" t="s">
        <v>0</v>
      </c>
      <c r="H345" s="12" t="s">
        <v>0</v>
      </c>
      <c r="I345" s="12" t="s">
        <v>0</v>
      </c>
      <c r="J345" s="12" t="s">
        <v>0</v>
      </c>
      <c r="K345" s="12" t="s">
        <v>0</v>
      </c>
      <c r="L345" s="13" t="s">
        <v>0</v>
      </c>
      <c r="M345" s="11" t="s">
        <v>0</v>
      </c>
      <c r="N345" s="11" t="s">
        <v>0</v>
      </c>
      <c r="O345" s="11" t="s">
        <v>0</v>
      </c>
      <c r="P345" s="11" t="s">
        <v>0</v>
      </c>
      <c r="Q345" s="11" t="s">
        <v>0</v>
      </c>
      <c r="R345" s="11" t="s">
        <v>0</v>
      </c>
      <c r="S345" s="11" t="s">
        <v>0</v>
      </c>
      <c r="T345" s="11" t="s">
        <v>0</v>
      </c>
      <c r="U345" s="11" t="s">
        <v>0</v>
      </c>
      <c r="V345" s="11" t="s">
        <v>0</v>
      </c>
      <c r="W345" s="11" t="s">
        <v>0</v>
      </c>
      <c r="X345" s="11" t="s">
        <v>0</v>
      </c>
      <c r="Y345" s="11" t="s">
        <v>0</v>
      </c>
      <c r="Z345" s="11" t="s">
        <v>0</v>
      </c>
      <c r="AA345" s="11" t="s">
        <v>0</v>
      </c>
      <c r="AB345" s="11" t="s">
        <v>0</v>
      </c>
      <c r="AC345" s="11" t="s">
        <v>0</v>
      </c>
      <c r="AD345" s="11" t="s">
        <v>0</v>
      </c>
    </row>
    <row r="346">
      <c r="B346" s="12" t="s">
        <v>0</v>
      </c>
      <c r="C346" s="11" t="s">
        <v>0</v>
      </c>
      <c r="D346" s="11" t="s">
        <v>0</v>
      </c>
      <c r="E346" s="12" t="s">
        <v>0</v>
      </c>
      <c r="F346" s="12" t="s">
        <v>0</v>
      </c>
      <c r="G346" s="12" t="s">
        <v>0</v>
      </c>
      <c r="H346" s="12" t="s">
        <v>0</v>
      </c>
      <c r="I346" s="12" t="s">
        <v>0</v>
      </c>
      <c r="J346" s="12" t="s">
        <v>0</v>
      </c>
      <c r="K346" s="12" t="s">
        <v>0</v>
      </c>
      <c r="L346" s="13" t="s">
        <v>0</v>
      </c>
      <c r="M346" s="11" t="s">
        <v>0</v>
      </c>
      <c r="N346" s="11" t="s">
        <v>0</v>
      </c>
      <c r="O346" s="11" t="s">
        <v>0</v>
      </c>
      <c r="P346" s="11" t="s">
        <v>0</v>
      </c>
      <c r="Q346" s="11" t="s">
        <v>0</v>
      </c>
      <c r="R346" s="11" t="s">
        <v>0</v>
      </c>
      <c r="S346" s="11" t="s">
        <v>0</v>
      </c>
      <c r="T346" s="11" t="s">
        <v>0</v>
      </c>
      <c r="U346" s="11" t="s">
        <v>0</v>
      </c>
      <c r="V346" s="11" t="s">
        <v>0</v>
      </c>
      <c r="W346" s="11" t="s">
        <v>0</v>
      </c>
      <c r="X346" s="11" t="s">
        <v>0</v>
      </c>
      <c r="Y346" s="11" t="s">
        <v>0</v>
      </c>
      <c r="Z346" s="11" t="s">
        <v>0</v>
      </c>
      <c r="AA346" s="11" t="s">
        <v>0</v>
      </c>
      <c r="AB346" s="11" t="s">
        <v>0</v>
      </c>
      <c r="AC346" s="11" t="s">
        <v>0</v>
      </c>
      <c r="AD346" s="11" t="s">
        <v>0</v>
      </c>
    </row>
    <row r="347">
      <c r="B347" s="12" t="s">
        <v>0</v>
      </c>
      <c r="C347" s="11" t="s">
        <v>0</v>
      </c>
      <c r="D347" s="11" t="s">
        <v>0</v>
      </c>
      <c r="E347" s="12" t="s">
        <v>0</v>
      </c>
      <c r="F347" s="12" t="s">
        <v>0</v>
      </c>
      <c r="G347" s="12" t="s">
        <v>0</v>
      </c>
      <c r="H347" s="12" t="s">
        <v>0</v>
      </c>
      <c r="I347" s="12" t="s">
        <v>0</v>
      </c>
      <c r="J347" s="12" t="s">
        <v>0</v>
      </c>
      <c r="K347" s="12" t="s">
        <v>0</v>
      </c>
      <c r="L347" s="13" t="s">
        <v>0</v>
      </c>
      <c r="M347" s="11" t="s">
        <v>0</v>
      </c>
      <c r="N347" s="11" t="s">
        <v>0</v>
      </c>
      <c r="O347" s="11" t="s">
        <v>0</v>
      </c>
      <c r="P347" s="11" t="s">
        <v>0</v>
      </c>
      <c r="Q347" s="11" t="s">
        <v>0</v>
      </c>
      <c r="R347" s="11" t="s">
        <v>0</v>
      </c>
      <c r="S347" s="11" t="s">
        <v>0</v>
      </c>
      <c r="T347" s="11" t="s">
        <v>0</v>
      </c>
      <c r="U347" s="11" t="s">
        <v>0</v>
      </c>
      <c r="V347" s="11" t="s">
        <v>0</v>
      </c>
      <c r="W347" s="11" t="s">
        <v>0</v>
      </c>
      <c r="X347" s="11" t="s">
        <v>0</v>
      </c>
      <c r="Y347" s="11" t="s">
        <v>0</v>
      </c>
      <c r="Z347" s="11" t="s">
        <v>0</v>
      </c>
      <c r="AA347" s="11" t="s">
        <v>0</v>
      </c>
      <c r="AB347" s="11" t="s">
        <v>0</v>
      </c>
      <c r="AC347" s="11" t="s">
        <v>0</v>
      </c>
      <c r="AD347" s="11" t="s">
        <v>0</v>
      </c>
    </row>
    <row r="348">
      <c r="B348" s="12" t="s">
        <v>0</v>
      </c>
      <c r="C348" s="11" t="s">
        <v>0</v>
      </c>
      <c r="D348" s="11" t="s">
        <v>0</v>
      </c>
      <c r="E348" s="12" t="s">
        <v>0</v>
      </c>
      <c r="F348" s="12" t="s">
        <v>0</v>
      </c>
      <c r="G348" s="12" t="s">
        <v>0</v>
      </c>
      <c r="H348" s="12" t="s">
        <v>0</v>
      </c>
      <c r="I348" s="12" t="s">
        <v>0</v>
      </c>
      <c r="J348" s="12" t="s">
        <v>0</v>
      </c>
      <c r="K348" s="12" t="s">
        <v>0</v>
      </c>
      <c r="L348" s="13" t="s">
        <v>0</v>
      </c>
      <c r="M348" s="11" t="s">
        <v>0</v>
      </c>
      <c r="N348" s="11" t="s">
        <v>0</v>
      </c>
      <c r="O348" s="11" t="s">
        <v>0</v>
      </c>
      <c r="P348" s="11" t="s">
        <v>0</v>
      </c>
      <c r="Q348" s="11" t="s">
        <v>0</v>
      </c>
      <c r="R348" s="11" t="s">
        <v>0</v>
      </c>
      <c r="S348" s="11" t="s">
        <v>0</v>
      </c>
      <c r="T348" s="11" t="s">
        <v>0</v>
      </c>
      <c r="U348" s="11" t="s">
        <v>0</v>
      </c>
      <c r="V348" s="11" t="s">
        <v>0</v>
      </c>
      <c r="W348" s="11" t="s">
        <v>0</v>
      </c>
      <c r="X348" s="11" t="s">
        <v>0</v>
      </c>
      <c r="Y348" s="11" t="s">
        <v>0</v>
      </c>
      <c r="Z348" s="11" t="s">
        <v>0</v>
      </c>
      <c r="AA348" s="11" t="s">
        <v>0</v>
      </c>
      <c r="AB348" s="11" t="s">
        <v>0</v>
      </c>
      <c r="AC348" s="11" t="s">
        <v>0</v>
      </c>
      <c r="AD348" s="11" t="s">
        <v>0</v>
      </c>
    </row>
    <row r="349">
      <c r="B349" s="12" t="s">
        <v>0</v>
      </c>
      <c r="C349" s="11" t="s">
        <v>0</v>
      </c>
      <c r="D349" s="11" t="s">
        <v>0</v>
      </c>
      <c r="E349" s="12" t="s">
        <v>0</v>
      </c>
      <c r="F349" s="12" t="s">
        <v>0</v>
      </c>
      <c r="G349" s="12" t="s">
        <v>0</v>
      </c>
      <c r="H349" s="12" t="s">
        <v>0</v>
      </c>
      <c r="I349" s="12" t="s">
        <v>0</v>
      </c>
      <c r="J349" s="12" t="s">
        <v>0</v>
      </c>
      <c r="K349" s="12" t="s">
        <v>0</v>
      </c>
      <c r="L349" s="13" t="s">
        <v>0</v>
      </c>
      <c r="M349" s="11" t="s">
        <v>0</v>
      </c>
      <c r="N349" s="11" t="s">
        <v>0</v>
      </c>
      <c r="O349" s="11" t="s">
        <v>0</v>
      </c>
      <c r="P349" s="11" t="s">
        <v>0</v>
      </c>
      <c r="Q349" s="11" t="s">
        <v>0</v>
      </c>
      <c r="R349" s="11" t="s">
        <v>0</v>
      </c>
      <c r="S349" s="11" t="s">
        <v>0</v>
      </c>
      <c r="T349" s="11" t="s">
        <v>0</v>
      </c>
      <c r="U349" s="11" t="s">
        <v>0</v>
      </c>
      <c r="V349" s="11" t="s">
        <v>0</v>
      </c>
      <c r="W349" s="11" t="s">
        <v>0</v>
      </c>
      <c r="X349" s="11" t="s">
        <v>0</v>
      </c>
      <c r="Y349" s="11" t="s">
        <v>0</v>
      </c>
      <c r="Z349" s="11" t="s">
        <v>0</v>
      </c>
      <c r="AA349" s="11" t="s">
        <v>0</v>
      </c>
      <c r="AB349" s="11" t="s">
        <v>0</v>
      </c>
      <c r="AC349" s="11" t="s">
        <v>0</v>
      </c>
      <c r="AD349" s="11" t="s">
        <v>0</v>
      </c>
    </row>
    <row r="350">
      <c r="B350" s="12" t="s">
        <v>0</v>
      </c>
      <c r="C350" s="11" t="s">
        <v>0</v>
      </c>
      <c r="D350" s="11" t="s">
        <v>0</v>
      </c>
      <c r="E350" s="12" t="s">
        <v>0</v>
      </c>
      <c r="F350" s="12" t="s">
        <v>0</v>
      </c>
      <c r="G350" s="12" t="s">
        <v>0</v>
      </c>
      <c r="H350" s="12" t="s">
        <v>0</v>
      </c>
      <c r="I350" s="12" t="s">
        <v>0</v>
      </c>
      <c r="J350" s="12" t="s">
        <v>0</v>
      </c>
      <c r="K350" s="12" t="s">
        <v>0</v>
      </c>
      <c r="L350" s="13" t="s">
        <v>0</v>
      </c>
      <c r="M350" s="11" t="s">
        <v>0</v>
      </c>
      <c r="N350" s="11" t="s">
        <v>0</v>
      </c>
      <c r="O350" s="11" t="s">
        <v>0</v>
      </c>
      <c r="P350" s="11" t="s">
        <v>0</v>
      </c>
      <c r="Q350" s="11" t="s">
        <v>0</v>
      </c>
      <c r="R350" s="11" t="s">
        <v>0</v>
      </c>
      <c r="S350" s="11" t="s">
        <v>0</v>
      </c>
      <c r="T350" s="11" t="s">
        <v>0</v>
      </c>
      <c r="U350" s="11" t="s">
        <v>0</v>
      </c>
      <c r="V350" s="11" t="s">
        <v>0</v>
      </c>
      <c r="W350" s="11" t="s">
        <v>0</v>
      </c>
      <c r="X350" s="11" t="s">
        <v>0</v>
      </c>
      <c r="Y350" s="11" t="s">
        <v>0</v>
      </c>
      <c r="Z350" s="11" t="s">
        <v>0</v>
      </c>
      <c r="AA350" s="11" t="s">
        <v>0</v>
      </c>
      <c r="AB350" s="11" t="s">
        <v>0</v>
      </c>
      <c r="AC350" s="11" t="s">
        <v>0</v>
      </c>
      <c r="AD350" s="11" t="s">
        <v>0</v>
      </c>
    </row>
    <row r="351">
      <c r="B351" s="12" t="s">
        <v>0</v>
      </c>
      <c r="C351" s="11" t="s">
        <v>0</v>
      </c>
      <c r="D351" s="11" t="s">
        <v>0</v>
      </c>
      <c r="E351" s="12" t="s">
        <v>0</v>
      </c>
      <c r="F351" s="12" t="s">
        <v>0</v>
      </c>
      <c r="G351" s="12" t="s">
        <v>0</v>
      </c>
      <c r="H351" s="12" t="s">
        <v>0</v>
      </c>
      <c r="I351" s="12" t="s">
        <v>0</v>
      </c>
      <c r="J351" s="12" t="s">
        <v>0</v>
      </c>
      <c r="K351" s="12" t="s">
        <v>0</v>
      </c>
      <c r="L351" s="13" t="s">
        <v>0</v>
      </c>
      <c r="M351" s="11" t="s">
        <v>0</v>
      </c>
      <c r="N351" s="11" t="s">
        <v>0</v>
      </c>
      <c r="O351" s="11" t="s">
        <v>0</v>
      </c>
      <c r="P351" s="11" t="s">
        <v>0</v>
      </c>
      <c r="Q351" s="11" t="s">
        <v>0</v>
      </c>
      <c r="R351" s="11" t="s">
        <v>0</v>
      </c>
      <c r="S351" s="11" t="s">
        <v>0</v>
      </c>
      <c r="T351" s="11" t="s">
        <v>0</v>
      </c>
      <c r="U351" s="11" t="s">
        <v>0</v>
      </c>
      <c r="V351" s="11" t="s">
        <v>0</v>
      </c>
      <c r="W351" s="11" t="s">
        <v>0</v>
      </c>
      <c r="X351" s="11" t="s">
        <v>0</v>
      </c>
      <c r="Y351" s="11" t="s">
        <v>0</v>
      </c>
      <c r="Z351" s="11" t="s">
        <v>0</v>
      </c>
      <c r="AA351" s="11" t="s">
        <v>0</v>
      </c>
      <c r="AB351" s="11" t="s">
        <v>0</v>
      </c>
      <c r="AC351" s="11" t="s">
        <v>0</v>
      </c>
      <c r="AD351" s="11" t="s">
        <v>0</v>
      </c>
    </row>
    <row r="352">
      <c r="B352" s="12" t="s">
        <v>0</v>
      </c>
      <c r="C352" s="11" t="s">
        <v>0</v>
      </c>
      <c r="D352" s="11" t="s">
        <v>0</v>
      </c>
      <c r="E352" s="12" t="s">
        <v>0</v>
      </c>
      <c r="F352" s="12" t="s">
        <v>0</v>
      </c>
      <c r="G352" s="12" t="s">
        <v>0</v>
      </c>
      <c r="H352" s="12" t="s">
        <v>0</v>
      </c>
      <c r="I352" s="12" t="s">
        <v>0</v>
      </c>
      <c r="J352" s="12" t="s">
        <v>0</v>
      </c>
      <c r="K352" s="12" t="s">
        <v>0</v>
      </c>
      <c r="L352" s="13" t="s">
        <v>0</v>
      </c>
      <c r="M352" s="11" t="s">
        <v>0</v>
      </c>
      <c r="N352" s="11" t="s">
        <v>0</v>
      </c>
      <c r="O352" s="11" t="s">
        <v>0</v>
      </c>
      <c r="P352" s="11" t="s">
        <v>0</v>
      </c>
      <c r="Q352" s="11" t="s">
        <v>0</v>
      </c>
      <c r="R352" s="11" t="s">
        <v>0</v>
      </c>
      <c r="S352" s="11" t="s">
        <v>0</v>
      </c>
      <c r="T352" s="11" t="s">
        <v>0</v>
      </c>
      <c r="U352" s="11" t="s">
        <v>0</v>
      </c>
      <c r="V352" s="11" t="s">
        <v>0</v>
      </c>
      <c r="W352" s="11" t="s">
        <v>0</v>
      </c>
      <c r="X352" s="11" t="s">
        <v>0</v>
      </c>
      <c r="Y352" s="11" t="s">
        <v>0</v>
      </c>
      <c r="Z352" s="11" t="s">
        <v>0</v>
      </c>
      <c r="AA352" s="11" t="s">
        <v>0</v>
      </c>
      <c r="AB352" s="11" t="s">
        <v>0</v>
      </c>
      <c r="AC352" s="11" t="s">
        <v>0</v>
      </c>
      <c r="AD352" s="11" t="s">
        <v>0</v>
      </c>
    </row>
    <row r="353">
      <c r="B353" s="12" t="s">
        <v>0</v>
      </c>
      <c r="C353" s="11" t="s">
        <v>0</v>
      </c>
      <c r="D353" s="11" t="s">
        <v>0</v>
      </c>
      <c r="E353" s="12" t="s">
        <v>0</v>
      </c>
      <c r="F353" s="12" t="s">
        <v>0</v>
      </c>
      <c r="G353" s="12" t="s">
        <v>0</v>
      </c>
      <c r="H353" s="12" t="s">
        <v>0</v>
      </c>
      <c r="I353" s="12" t="s">
        <v>0</v>
      </c>
      <c r="J353" s="12" t="s">
        <v>0</v>
      </c>
      <c r="K353" s="12" t="s">
        <v>0</v>
      </c>
      <c r="L353" s="13" t="s">
        <v>0</v>
      </c>
      <c r="M353" s="11" t="s">
        <v>0</v>
      </c>
      <c r="N353" s="11" t="s">
        <v>0</v>
      </c>
      <c r="O353" s="11" t="s">
        <v>0</v>
      </c>
      <c r="P353" s="11" t="s">
        <v>0</v>
      </c>
      <c r="Q353" s="11" t="s">
        <v>0</v>
      </c>
      <c r="R353" s="11" t="s">
        <v>0</v>
      </c>
      <c r="S353" s="11" t="s">
        <v>0</v>
      </c>
      <c r="T353" s="11" t="s">
        <v>0</v>
      </c>
      <c r="U353" s="11" t="s">
        <v>0</v>
      </c>
      <c r="V353" s="11" t="s">
        <v>0</v>
      </c>
      <c r="W353" s="11" t="s">
        <v>0</v>
      </c>
      <c r="X353" s="11" t="s">
        <v>0</v>
      </c>
      <c r="Y353" s="11" t="s">
        <v>0</v>
      </c>
      <c r="Z353" s="11" t="s">
        <v>0</v>
      </c>
      <c r="AA353" s="11" t="s">
        <v>0</v>
      </c>
      <c r="AB353" s="11" t="s">
        <v>0</v>
      </c>
      <c r="AC353" s="11" t="s">
        <v>0</v>
      </c>
      <c r="AD353" s="11" t="s">
        <v>0</v>
      </c>
    </row>
    <row r="354">
      <c r="B354" s="12" t="s">
        <v>0</v>
      </c>
      <c r="C354" s="11" t="s">
        <v>0</v>
      </c>
      <c r="D354" s="11" t="s">
        <v>0</v>
      </c>
      <c r="E354" s="12" t="s">
        <v>0</v>
      </c>
      <c r="F354" s="12" t="s">
        <v>0</v>
      </c>
      <c r="G354" s="12" t="s">
        <v>0</v>
      </c>
      <c r="H354" s="12" t="s">
        <v>0</v>
      </c>
      <c r="I354" s="12" t="s">
        <v>0</v>
      </c>
      <c r="J354" s="12" t="s">
        <v>0</v>
      </c>
      <c r="K354" s="12" t="s">
        <v>0</v>
      </c>
      <c r="L354" s="13" t="s">
        <v>0</v>
      </c>
      <c r="M354" s="11" t="s">
        <v>0</v>
      </c>
      <c r="N354" s="11" t="s">
        <v>0</v>
      </c>
      <c r="O354" s="11" t="s">
        <v>0</v>
      </c>
      <c r="P354" s="11" t="s">
        <v>0</v>
      </c>
      <c r="Q354" s="11" t="s">
        <v>0</v>
      </c>
      <c r="R354" s="11" t="s">
        <v>0</v>
      </c>
      <c r="S354" s="11" t="s">
        <v>0</v>
      </c>
      <c r="T354" s="11" t="s">
        <v>0</v>
      </c>
      <c r="U354" s="11" t="s">
        <v>0</v>
      </c>
      <c r="V354" s="11" t="s">
        <v>0</v>
      </c>
      <c r="W354" s="11" t="s">
        <v>0</v>
      </c>
      <c r="X354" s="11" t="s">
        <v>0</v>
      </c>
      <c r="Y354" s="11" t="s">
        <v>0</v>
      </c>
      <c r="Z354" s="11" t="s">
        <v>0</v>
      </c>
      <c r="AA354" s="11" t="s">
        <v>0</v>
      </c>
      <c r="AB354" s="11" t="s">
        <v>0</v>
      </c>
      <c r="AC354" s="11" t="s">
        <v>0</v>
      </c>
      <c r="AD354" s="11" t="s">
        <v>0</v>
      </c>
    </row>
    <row r="355">
      <c r="B355" s="12" t="s">
        <v>0</v>
      </c>
      <c r="C355" s="11" t="s">
        <v>0</v>
      </c>
      <c r="D355" s="11" t="s">
        <v>0</v>
      </c>
      <c r="E355" s="12" t="s">
        <v>0</v>
      </c>
      <c r="F355" s="12" t="s">
        <v>0</v>
      </c>
      <c r="G355" s="12" t="s">
        <v>0</v>
      </c>
      <c r="H355" s="12" t="s">
        <v>0</v>
      </c>
      <c r="I355" s="12" t="s">
        <v>0</v>
      </c>
      <c r="J355" s="12" t="s">
        <v>0</v>
      </c>
      <c r="K355" s="12" t="s">
        <v>0</v>
      </c>
      <c r="L355" s="13" t="s">
        <v>0</v>
      </c>
      <c r="M355" s="11" t="s">
        <v>0</v>
      </c>
      <c r="N355" s="11" t="s">
        <v>0</v>
      </c>
      <c r="O355" s="11" t="s">
        <v>0</v>
      </c>
      <c r="P355" s="11" t="s">
        <v>0</v>
      </c>
      <c r="Q355" s="11" t="s">
        <v>0</v>
      </c>
      <c r="R355" s="11" t="s">
        <v>0</v>
      </c>
      <c r="S355" s="11" t="s">
        <v>0</v>
      </c>
      <c r="T355" s="11" t="s">
        <v>0</v>
      </c>
      <c r="U355" s="11" t="s">
        <v>0</v>
      </c>
      <c r="V355" s="11" t="s">
        <v>0</v>
      </c>
      <c r="W355" s="11" t="s">
        <v>0</v>
      </c>
      <c r="X355" s="11" t="s">
        <v>0</v>
      </c>
      <c r="Y355" s="11" t="s">
        <v>0</v>
      </c>
      <c r="Z355" s="11" t="s">
        <v>0</v>
      </c>
      <c r="AA355" s="11" t="s">
        <v>0</v>
      </c>
      <c r="AB355" s="11" t="s">
        <v>0</v>
      </c>
      <c r="AC355" s="11" t="s">
        <v>0</v>
      </c>
      <c r="AD355" s="11" t="s">
        <v>0</v>
      </c>
    </row>
    <row r="356">
      <c r="B356" s="12" t="s">
        <v>0</v>
      </c>
      <c r="C356" s="11" t="s">
        <v>0</v>
      </c>
      <c r="D356" s="11" t="s">
        <v>0</v>
      </c>
      <c r="E356" s="12" t="s">
        <v>0</v>
      </c>
      <c r="F356" s="12" t="s">
        <v>0</v>
      </c>
      <c r="G356" s="12" t="s">
        <v>0</v>
      </c>
      <c r="H356" s="12" t="s">
        <v>0</v>
      </c>
      <c r="I356" s="12" t="s">
        <v>0</v>
      </c>
      <c r="J356" s="12" t="s">
        <v>0</v>
      </c>
      <c r="K356" s="12" t="s">
        <v>0</v>
      </c>
      <c r="L356" s="13" t="s">
        <v>0</v>
      </c>
      <c r="M356" s="11" t="s">
        <v>0</v>
      </c>
      <c r="N356" s="11" t="s">
        <v>0</v>
      </c>
      <c r="O356" s="11" t="s">
        <v>0</v>
      </c>
      <c r="P356" s="11" t="s">
        <v>0</v>
      </c>
      <c r="Q356" s="11" t="s">
        <v>0</v>
      </c>
      <c r="R356" s="11" t="s">
        <v>0</v>
      </c>
      <c r="S356" s="11" t="s">
        <v>0</v>
      </c>
      <c r="T356" s="11" t="s">
        <v>0</v>
      </c>
      <c r="U356" s="11" t="s">
        <v>0</v>
      </c>
      <c r="V356" s="11" t="s">
        <v>0</v>
      </c>
      <c r="W356" s="11" t="s">
        <v>0</v>
      </c>
      <c r="X356" s="11" t="s">
        <v>0</v>
      </c>
      <c r="Y356" s="11" t="s">
        <v>0</v>
      </c>
      <c r="Z356" s="11" t="s">
        <v>0</v>
      </c>
      <c r="AA356" s="11" t="s">
        <v>0</v>
      </c>
      <c r="AB356" s="11" t="s">
        <v>0</v>
      </c>
      <c r="AC356" s="11" t="s">
        <v>0</v>
      </c>
      <c r="AD356" s="11" t="s">
        <v>0</v>
      </c>
    </row>
    <row r="357">
      <c r="B357" s="12" t="s">
        <v>0</v>
      </c>
      <c r="C357" s="11" t="s">
        <v>0</v>
      </c>
      <c r="D357" s="11" t="s">
        <v>0</v>
      </c>
      <c r="E357" s="12" t="s">
        <v>0</v>
      </c>
      <c r="F357" s="12" t="s">
        <v>0</v>
      </c>
      <c r="G357" s="12" t="s">
        <v>0</v>
      </c>
      <c r="H357" s="12" t="s">
        <v>0</v>
      </c>
      <c r="I357" s="12" t="s">
        <v>0</v>
      </c>
      <c r="J357" s="12" t="s">
        <v>0</v>
      </c>
      <c r="K357" s="12" t="s">
        <v>0</v>
      </c>
      <c r="L357" s="13" t="s">
        <v>0</v>
      </c>
      <c r="M357" s="11" t="s">
        <v>0</v>
      </c>
      <c r="N357" s="11" t="s">
        <v>0</v>
      </c>
      <c r="O357" s="11" t="s">
        <v>0</v>
      </c>
      <c r="P357" s="11" t="s">
        <v>0</v>
      </c>
      <c r="Q357" s="11" t="s">
        <v>0</v>
      </c>
      <c r="R357" s="11" t="s">
        <v>0</v>
      </c>
      <c r="S357" s="11" t="s">
        <v>0</v>
      </c>
      <c r="T357" s="11" t="s">
        <v>0</v>
      </c>
      <c r="U357" s="11" t="s">
        <v>0</v>
      </c>
      <c r="V357" s="11" t="s">
        <v>0</v>
      </c>
      <c r="W357" s="11" t="s">
        <v>0</v>
      </c>
      <c r="X357" s="11" t="s">
        <v>0</v>
      </c>
      <c r="Y357" s="11" t="s">
        <v>0</v>
      </c>
      <c r="Z357" s="11" t="s">
        <v>0</v>
      </c>
      <c r="AA357" s="11" t="s">
        <v>0</v>
      </c>
      <c r="AB357" s="11" t="s">
        <v>0</v>
      </c>
      <c r="AC357" s="11" t="s">
        <v>0</v>
      </c>
      <c r="AD357" s="11" t="s">
        <v>0</v>
      </c>
    </row>
    <row r="358">
      <c r="B358" s="12" t="s">
        <v>0</v>
      </c>
      <c r="C358" s="11" t="s">
        <v>0</v>
      </c>
      <c r="D358" s="11" t="s">
        <v>0</v>
      </c>
      <c r="E358" s="12" t="s">
        <v>0</v>
      </c>
      <c r="F358" s="12" t="s">
        <v>0</v>
      </c>
      <c r="G358" s="12" t="s">
        <v>0</v>
      </c>
      <c r="H358" s="12" t="s">
        <v>0</v>
      </c>
      <c r="I358" s="12" t="s">
        <v>0</v>
      </c>
      <c r="J358" s="12" t="s">
        <v>0</v>
      </c>
      <c r="K358" s="12" t="s">
        <v>0</v>
      </c>
      <c r="L358" s="13" t="s">
        <v>0</v>
      </c>
      <c r="M358" s="11" t="s">
        <v>0</v>
      </c>
      <c r="N358" s="11" t="s">
        <v>0</v>
      </c>
      <c r="O358" s="11" t="s">
        <v>0</v>
      </c>
      <c r="P358" s="11" t="s">
        <v>0</v>
      </c>
      <c r="Q358" s="11" t="s">
        <v>0</v>
      </c>
      <c r="R358" s="11" t="s">
        <v>0</v>
      </c>
      <c r="S358" s="11" t="s">
        <v>0</v>
      </c>
      <c r="T358" s="11" t="s">
        <v>0</v>
      </c>
      <c r="U358" s="11" t="s">
        <v>0</v>
      </c>
      <c r="V358" s="11" t="s">
        <v>0</v>
      </c>
      <c r="W358" s="11" t="s">
        <v>0</v>
      </c>
      <c r="X358" s="11" t="s">
        <v>0</v>
      </c>
      <c r="Y358" s="11" t="s">
        <v>0</v>
      </c>
      <c r="Z358" s="11" t="s">
        <v>0</v>
      </c>
      <c r="AA358" s="11" t="s">
        <v>0</v>
      </c>
      <c r="AB358" s="11" t="s">
        <v>0</v>
      </c>
      <c r="AC358" s="11" t="s">
        <v>0</v>
      </c>
      <c r="AD358" s="11" t="s">
        <v>0</v>
      </c>
    </row>
    <row r="359">
      <c r="B359" s="12" t="s">
        <v>0</v>
      </c>
      <c r="C359" s="11" t="s">
        <v>0</v>
      </c>
      <c r="D359" s="11" t="s">
        <v>0</v>
      </c>
      <c r="E359" s="12" t="s">
        <v>0</v>
      </c>
      <c r="F359" s="12" t="s">
        <v>0</v>
      </c>
      <c r="G359" s="12" t="s">
        <v>0</v>
      </c>
      <c r="H359" s="12" t="s">
        <v>0</v>
      </c>
      <c r="I359" s="12" t="s">
        <v>0</v>
      </c>
      <c r="J359" s="12" t="s">
        <v>0</v>
      </c>
      <c r="K359" s="12" t="s">
        <v>0</v>
      </c>
      <c r="L359" s="13" t="s">
        <v>0</v>
      </c>
      <c r="M359" s="11" t="s">
        <v>0</v>
      </c>
      <c r="N359" s="11" t="s">
        <v>0</v>
      </c>
      <c r="O359" s="11" t="s">
        <v>0</v>
      </c>
      <c r="P359" s="11" t="s">
        <v>0</v>
      </c>
      <c r="Q359" s="11" t="s">
        <v>0</v>
      </c>
      <c r="R359" s="11" t="s">
        <v>0</v>
      </c>
      <c r="S359" s="11" t="s">
        <v>0</v>
      </c>
      <c r="T359" s="11" t="s">
        <v>0</v>
      </c>
      <c r="U359" s="11" t="s">
        <v>0</v>
      </c>
      <c r="V359" s="11" t="s">
        <v>0</v>
      </c>
      <c r="W359" s="11" t="s">
        <v>0</v>
      </c>
      <c r="X359" s="11" t="s">
        <v>0</v>
      </c>
      <c r="Y359" s="11" t="s">
        <v>0</v>
      </c>
      <c r="Z359" s="11" t="s">
        <v>0</v>
      </c>
      <c r="AA359" s="11" t="s">
        <v>0</v>
      </c>
      <c r="AB359" s="11" t="s">
        <v>0</v>
      </c>
      <c r="AC359" s="11" t="s">
        <v>0</v>
      </c>
      <c r="AD359" s="11" t="s">
        <v>0</v>
      </c>
    </row>
    <row r="360">
      <c r="B360" s="12" t="s">
        <v>0</v>
      </c>
      <c r="C360" s="11" t="s">
        <v>0</v>
      </c>
      <c r="D360" s="11" t="s">
        <v>0</v>
      </c>
      <c r="E360" s="12" t="s">
        <v>0</v>
      </c>
      <c r="F360" s="12" t="s">
        <v>0</v>
      </c>
      <c r="G360" s="12" t="s">
        <v>0</v>
      </c>
      <c r="H360" s="12" t="s">
        <v>0</v>
      </c>
      <c r="I360" s="12" t="s">
        <v>0</v>
      </c>
      <c r="J360" s="12" t="s">
        <v>0</v>
      </c>
      <c r="K360" s="12" t="s">
        <v>0</v>
      </c>
      <c r="L360" s="13" t="s">
        <v>0</v>
      </c>
      <c r="M360" s="11" t="s">
        <v>0</v>
      </c>
      <c r="N360" s="11" t="s">
        <v>0</v>
      </c>
      <c r="O360" s="11" t="s">
        <v>0</v>
      </c>
      <c r="P360" s="11" t="s">
        <v>0</v>
      </c>
      <c r="Q360" s="11" t="s">
        <v>0</v>
      </c>
      <c r="R360" s="11" t="s">
        <v>0</v>
      </c>
      <c r="S360" s="11" t="s">
        <v>0</v>
      </c>
      <c r="T360" s="11" t="s">
        <v>0</v>
      </c>
      <c r="U360" s="11" t="s">
        <v>0</v>
      </c>
      <c r="V360" s="11" t="s">
        <v>0</v>
      </c>
      <c r="W360" s="11" t="s">
        <v>0</v>
      </c>
      <c r="X360" s="11" t="s">
        <v>0</v>
      </c>
      <c r="Y360" s="11" t="s">
        <v>0</v>
      </c>
      <c r="Z360" s="11" t="s">
        <v>0</v>
      </c>
      <c r="AA360" s="11" t="s">
        <v>0</v>
      </c>
      <c r="AB360" s="11" t="s">
        <v>0</v>
      </c>
      <c r="AC360" s="11" t="s">
        <v>0</v>
      </c>
      <c r="AD360" s="11" t="s">
        <v>0</v>
      </c>
    </row>
    <row r="361">
      <c r="B361" s="12" t="s">
        <v>0</v>
      </c>
      <c r="C361" s="11" t="s">
        <v>0</v>
      </c>
      <c r="D361" s="11" t="s">
        <v>0</v>
      </c>
      <c r="E361" s="12" t="s">
        <v>0</v>
      </c>
      <c r="F361" s="12" t="s">
        <v>0</v>
      </c>
      <c r="G361" s="12" t="s">
        <v>0</v>
      </c>
      <c r="H361" s="12" t="s">
        <v>0</v>
      </c>
      <c r="I361" s="12" t="s">
        <v>0</v>
      </c>
      <c r="J361" s="12" t="s">
        <v>0</v>
      </c>
      <c r="K361" s="12" t="s">
        <v>0</v>
      </c>
      <c r="L361" s="13" t="s">
        <v>0</v>
      </c>
      <c r="M361" s="11" t="s">
        <v>0</v>
      </c>
      <c r="N361" s="11" t="s">
        <v>0</v>
      </c>
      <c r="O361" s="11" t="s">
        <v>0</v>
      </c>
      <c r="P361" s="11" t="s">
        <v>0</v>
      </c>
      <c r="Q361" s="11" t="s">
        <v>0</v>
      </c>
      <c r="R361" s="11" t="s">
        <v>0</v>
      </c>
      <c r="S361" s="11" t="s">
        <v>0</v>
      </c>
      <c r="T361" s="11" t="s">
        <v>0</v>
      </c>
      <c r="U361" s="11" t="s">
        <v>0</v>
      </c>
      <c r="V361" s="11" t="s">
        <v>0</v>
      </c>
      <c r="W361" s="11" t="s">
        <v>0</v>
      </c>
      <c r="X361" s="11" t="s">
        <v>0</v>
      </c>
      <c r="Y361" s="11" t="s">
        <v>0</v>
      </c>
      <c r="Z361" s="11" t="s">
        <v>0</v>
      </c>
      <c r="AA361" s="11" t="s">
        <v>0</v>
      </c>
      <c r="AB361" s="11" t="s">
        <v>0</v>
      </c>
      <c r="AC361" s="11" t="s">
        <v>0</v>
      </c>
      <c r="AD361" s="11" t="s">
        <v>0</v>
      </c>
    </row>
    <row r="362">
      <c r="B362" s="12" t="s">
        <v>0</v>
      </c>
      <c r="C362" s="11" t="s">
        <v>0</v>
      </c>
      <c r="D362" s="11" t="s">
        <v>0</v>
      </c>
      <c r="E362" s="12" t="s">
        <v>0</v>
      </c>
      <c r="F362" s="12" t="s">
        <v>0</v>
      </c>
      <c r="G362" s="12" t="s">
        <v>0</v>
      </c>
      <c r="H362" s="12" t="s">
        <v>0</v>
      </c>
      <c r="I362" s="12" t="s">
        <v>0</v>
      </c>
      <c r="J362" s="12" t="s">
        <v>0</v>
      </c>
      <c r="K362" s="12" t="s">
        <v>0</v>
      </c>
      <c r="L362" s="13" t="s">
        <v>0</v>
      </c>
      <c r="M362" s="11" t="s">
        <v>0</v>
      </c>
      <c r="N362" s="11" t="s">
        <v>0</v>
      </c>
      <c r="O362" s="11" t="s">
        <v>0</v>
      </c>
      <c r="P362" s="11" t="s">
        <v>0</v>
      </c>
      <c r="Q362" s="11" t="s">
        <v>0</v>
      </c>
      <c r="R362" s="11" t="s">
        <v>0</v>
      </c>
      <c r="S362" s="11" t="s">
        <v>0</v>
      </c>
      <c r="T362" s="11" t="s">
        <v>0</v>
      </c>
      <c r="U362" s="11" t="s">
        <v>0</v>
      </c>
      <c r="V362" s="11" t="s">
        <v>0</v>
      </c>
      <c r="W362" s="11" t="s">
        <v>0</v>
      </c>
      <c r="X362" s="11" t="s">
        <v>0</v>
      </c>
      <c r="Y362" s="11" t="s">
        <v>0</v>
      </c>
      <c r="Z362" s="11" t="s">
        <v>0</v>
      </c>
      <c r="AA362" s="11" t="s">
        <v>0</v>
      </c>
      <c r="AB362" s="11" t="s">
        <v>0</v>
      </c>
      <c r="AC362" s="11" t="s">
        <v>0</v>
      </c>
      <c r="AD362" s="11" t="s">
        <v>0</v>
      </c>
    </row>
    <row r="363">
      <c r="B363" s="12" t="s">
        <v>0</v>
      </c>
      <c r="C363" s="11" t="s">
        <v>0</v>
      </c>
      <c r="D363" s="11" t="s">
        <v>0</v>
      </c>
      <c r="E363" s="12" t="s">
        <v>0</v>
      </c>
      <c r="F363" s="12" t="s">
        <v>0</v>
      </c>
      <c r="G363" s="12" t="s">
        <v>0</v>
      </c>
      <c r="H363" s="12" t="s">
        <v>0</v>
      </c>
      <c r="I363" s="12" t="s">
        <v>0</v>
      </c>
      <c r="J363" s="12" t="s">
        <v>0</v>
      </c>
      <c r="K363" s="12" t="s">
        <v>0</v>
      </c>
      <c r="L363" s="13" t="s">
        <v>0</v>
      </c>
      <c r="M363" s="11" t="s">
        <v>0</v>
      </c>
      <c r="N363" s="11" t="s">
        <v>0</v>
      </c>
      <c r="O363" s="11" t="s">
        <v>0</v>
      </c>
      <c r="P363" s="11" t="s">
        <v>0</v>
      </c>
      <c r="Q363" s="11" t="s">
        <v>0</v>
      </c>
      <c r="R363" s="11" t="s">
        <v>0</v>
      </c>
      <c r="S363" s="11" t="s">
        <v>0</v>
      </c>
      <c r="T363" s="11" t="s">
        <v>0</v>
      </c>
      <c r="U363" s="11" t="s">
        <v>0</v>
      </c>
      <c r="V363" s="11" t="s">
        <v>0</v>
      </c>
      <c r="W363" s="11" t="s">
        <v>0</v>
      </c>
      <c r="X363" s="11" t="s">
        <v>0</v>
      </c>
      <c r="Y363" s="11" t="s">
        <v>0</v>
      </c>
      <c r="Z363" s="11" t="s">
        <v>0</v>
      </c>
      <c r="AA363" s="11" t="s">
        <v>0</v>
      </c>
      <c r="AB363" s="11" t="s">
        <v>0</v>
      </c>
      <c r="AC363" s="11" t="s">
        <v>0</v>
      </c>
      <c r="AD363" s="11" t="s">
        <v>0</v>
      </c>
    </row>
    <row r="364">
      <c r="B364" s="12" t="s">
        <v>0</v>
      </c>
      <c r="C364" s="11" t="s">
        <v>0</v>
      </c>
      <c r="D364" s="11" t="s">
        <v>0</v>
      </c>
      <c r="E364" s="12" t="s">
        <v>0</v>
      </c>
      <c r="F364" s="12" t="s">
        <v>0</v>
      </c>
      <c r="G364" s="12" t="s">
        <v>0</v>
      </c>
      <c r="H364" s="12" t="s">
        <v>0</v>
      </c>
      <c r="I364" s="12" t="s">
        <v>0</v>
      </c>
      <c r="J364" s="12" t="s">
        <v>0</v>
      </c>
      <c r="K364" s="12" t="s">
        <v>0</v>
      </c>
      <c r="L364" s="13" t="s">
        <v>0</v>
      </c>
      <c r="M364" s="11" t="s">
        <v>0</v>
      </c>
      <c r="N364" s="11" t="s">
        <v>0</v>
      </c>
      <c r="O364" s="11" t="s">
        <v>0</v>
      </c>
      <c r="P364" s="11" t="s">
        <v>0</v>
      </c>
      <c r="Q364" s="11" t="s">
        <v>0</v>
      </c>
      <c r="R364" s="11" t="s">
        <v>0</v>
      </c>
      <c r="S364" s="11" t="s">
        <v>0</v>
      </c>
      <c r="T364" s="11" t="s">
        <v>0</v>
      </c>
      <c r="U364" s="11" t="s">
        <v>0</v>
      </c>
      <c r="V364" s="11" t="s">
        <v>0</v>
      </c>
      <c r="W364" s="11" t="s">
        <v>0</v>
      </c>
      <c r="X364" s="11" t="s">
        <v>0</v>
      </c>
      <c r="Y364" s="11" t="s">
        <v>0</v>
      </c>
      <c r="Z364" s="11" t="s">
        <v>0</v>
      </c>
      <c r="AA364" s="11" t="s">
        <v>0</v>
      </c>
      <c r="AB364" s="11" t="s">
        <v>0</v>
      </c>
      <c r="AC364" s="11" t="s">
        <v>0</v>
      </c>
      <c r="AD364" s="11" t="s">
        <v>0</v>
      </c>
    </row>
    <row r="365">
      <c r="B365" s="12" t="s">
        <v>0</v>
      </c>
      <c r="C365" s="11" t="s">
        <v>0</v>
      </c>
      <c r="D365" s="11" t="s">
        <v>0</v>
      </c>
      <c r="E365" s="12" t="s">
        <v>0</v>
      </c>
      <c r="F365" s="12" t="s">
        <v>0</v>
      </c>
      <c r="G365" s="12" t="s">
        <v>0</v>
      </c>
      <c r="H365" s="12" t="s">
        <v>0</v>
      </c>
      <c r="I365" s="12" t="s">
        <v>0</v>
      </c>
      <c r="J365" s="12" t="s">
        <v>0</v>
      </c>
      <c r="K365" s="12" t="s">
        <v>0</v>
      </c>
      <c r="L365" s="13" t="s">
        <v>0</v>
      </c>
      <c r="M365" s="11" t="s">
        <v>0</v>
      </c>
      <c r="N365" s="11" t="s">
        <v>0</v>
      </c>
      <c r="O365" s="11" t="s">
        <v>0</v>
      </c>
      <c r="P365" s="11" t="s">
        <v>0</v>
      </c>
      <c r="Q365" s="11" t="s">
        <v>0</v>
      </c>
      <c r="R365" s="11" t="s">
        <v>0</v>
      </c>
      <c r="S365" s="11" t="s">
        <v>0</v>
      </c>
      <c r="T365" s="11" t="s">
        <v>0</v>
      </c>
      <c r="U365" s="11" t="s">
        <v>0</v>
      </c>
      <c r="V365" s="11" t="s">
        <v>0</v>
      </c>
      <c r="W365" s="11" t="s">
        <v>0</v>
      </c>
      <c r="X365" s="11" t="s">
        <v>0</v>
      </c>
      <c r="Y365" s="11" t="s">
        <v>0</v>
      </c>
      <c r="Z365" s="11" t="s">
        <v>0</v>
      </c>
      <c r="AA365" s="11" t="s">
        <v>0</v>
      </c>
      <c r="AB365" s="11" t="s">
        <v>0</v>
      </c>
      <c r="AC365" s="11" t="s">
        <v>0</v>
      </c>
      <c r="AD365" s="11" t="s">
        <v>0</v>
      </c>
    </row>
    <row r="366">
      <c r="B366" s="12" t="s">
        <v>0</v>
      </c>
      <c r="C366" s="11" t="s">
        <v>0</v>
      </c>
      <c r="D366" s="11" t="s">
        <v>0</v>
      </c>
      <c r="E366" s="12" t="s">
        <v>0</v>
      </c>
      <c r="F366" s="12" t="s">
        <v>0</v>
      </c>
      <c r="G366" s="12" t="s">
        <v>0</v>
      </c>
      <c r="H366" s="12" t="s">
        <v>0</v>
      </c>
      <c r="I366" s="12" t="s">
        <v>0</v>
      </c>
      <c r="J366" s="12" t="s">
        <v>0</v>
      </c>
      <c r="K366" s="12" t="s">
        <v>0</v>
      </c>
      <c r="L366" s="13" t="s">
        <v>0</v>
      </c>
      <c r="M366" s="11" t="s">
        <v>0</v>
      </c>
      <c r="N366" s="11" t="s">
        <v>0</v>
      </c>
      <c r="O366" s="11" t="s">
        <v>0</v>
      </c>
      <c r="P366" s="11" t="s">
        <v>0</v>
      </c>
      <c r="Q366" s="11" t="s">
        <v>0</v>
      </c>
      <c r="R366" s="11" t="s">
        <v>0</v>
      </c>
      <c r="S366" s="11" t="s">
        <v>0</v>
      </c>
      <c r="T366" s="11" t="s">
        <v>0</v>
      </c>
      <c r="U366" s="11" t="s">
        <v>0</v>
      </c>
      <c r="V366" s="11" t="s">
        <v>0</v>
      </c>
      <c r="W366" s="11" t="s">
        <v>0</v>
      </c>
      <c r="X366" s="11" t="s">
        <v>0</v>
      </c>
      <c r="Y366" s="11" t="s">
        <v>0</v>
      </c>
      <c r="Z366" s="11" t="s">
        <v>0</v>
      </c>
      <c r="AA366" s="11" t="s">
        <v>0</v>
      </c>
      <c r="AB366" s="11" t="s">
        <v>0</v>
      </c>
      <c r="AC366" s="11" t="s">
        <v>0</v>
      </c>
      <c r="AD366" s="11" t="s">
        <v>0</v>
      </c>
    </row>
    <row r="367">
      <c r="B367" s="12" t="s">
        <v>0</v>
      </c>
      <c r="C367" s="11" t="s">
        <v>0</v>
      </c>
      <c r="D367" s="11" t="s">
        <v>0</v>
      </c>
      <c r="E367" s="12" t="s">
        <v>0</v>
      </c>
      <c r="F367" s="12" t="s">
        <v>0</v>
      </c>
      <c r="G367" s="12" t="s">
        <v>0</v>
      </c>
      <c r="H367" s="12" t="s">
        <v>0</v>
      </c>
      <c r="I367" s="12" t="s">
        <v>0</v>
      </c>
      <c r="J367" s="12" t="s">
        <v>0</v>
      </c>
      <c r="K367" s="12" t="s">
        <v>0</v>
      </c>
      <c r="L367" s="13" t="s">
        <v>0</v>
      </c>
      <c r="M367" s="11" t="s">
        <v>0</v>
      </c>
      <c r="N367" s="11" t="s">
        <v>0</v>
      </c>
      <c r="O367" s="11" t="s">
        <v>0</v>
      </c>
      <c r="P367" s="11" t="s">
        <v>0</v>
      </c>
      <c r="Q367" s="11" t="s">
        <v>0</v>
      </c>
      <c r="R367" s="11" t="s">
        <v>0</v>
      </c>
      <c r="S367" s="11" t="s">
        <v>0</v>
      </c>
      <c r="T367" s="11" t="s">
        <v>0</v>
      </c>
      <c r="U367" s="11" t="s">
        <v>0</v>
      </c>
      <c r="V367" s="11" t="s">
        <v>0</v>
      </c>
      <c r="W367" s="11" t="s">
        <v>0</v>
      </c>
      <c r="X367" s="11" t="s">
        <v>0</v>
      </c>
      <c r="Y367" s="11" t="s">
        <v>0</v>
      </c>
      <c r="Z367" s="11" t="s">
        <v>0</v>
      </c>
      <c r="AA367" s="11" t="s">
        <v>0</v>
      </c>
      <c r="AB367" s="11" t="s">
        <v>0</v>
      </c>
      <c r="AC367" s="11" t="s">
        <v>0</v>
      </c>
      <c r="AD367" s="11" t="s">
        <v>0</v>
      </c>
    </row>
    <row r="368">
      <c r="B368" s="12" t="s">
        <v>0</v>
      </c>
      <c r="C368" s="11" t="s">
        <v>0</v>
      </c>
      <c r="D368" s="11" t="s">
        <v>0</v>
      </c>
      <c r="E368" s="12" t="s">
        <v>0</v>
      </c>
      <c r="F368" s="12" t="s">
        <v>0</v>
      </c>
      <c r="G368" s="12" t="s">
        <v>0</v>
      </c>
      <c r="H368" s="12" t="s">
        <v>0</v>
      </c>
      <c r="I368" s="12" t="s">
        <v>0</v>
      </c>
      <c r="J368" s="12" t="s">
        <v>0</v>
      </c>
      <c r="K368" s="12" t="s">
        <v>0</v>
      </c>
      <c r="L368" s="13" t="s">
        <v>0</v>
      </c>
      <c r="M368" s="11" t="s">
        <v>0</v>
      </c>
      <c r="N368" s="11" t="s">
        <v>0</v>
      </c>
      <c r="O368" s="11" t="s">
        <v>0</v>
      </c>
      <c r="P368" s="11" t="s">
        <v>0</v>
      </c>
      <c r="Q368" s="11" t="s">
        <v>0</v>
      </c>
      <c r="R368" s="11" t="s">
        <v>0</v>
      </c>
      <c r="S368" s="11" t="s">
        <v>0</v>
      </c>
      <c r="T368" s="11" t="s">
        <v>0</v>
      </c>
      <c r="U368" s="11" t="s">
        <v>0</v>
      </c>
      <c r="V368" s="11" t="s">
        <v>0</v>
      </c>
      <c r="W368" s="11" t="s">
        <v>0</v>
      </c>
      <c r="X368" s="11" t="s">
        <v>0</v>
      </c>
      <c r="Y368" s="11" t="s">
        <v>0</v>
      </c>
      <c r="Z368" s="11" t="s">
        <v>0</v>
      </c>
      <c r="AA368" s="11" t="s">
        <v>0</v>
      </c>
      <c r="AB368" s="11" t="s">
        <v>0</v>
      </c>
      <c r="AC368" s="11" t="s">
        <v>0</v>
      </c>
      <c r="AD368" s="11" t="s">
        <v>0</v>
      </c>
    </row>
    <row r="369">
      <c r="B369" s="12" t="s">
        <v>0</v>
      </c>
      <c r="C369" s="11" t="s">
        <v>0</v>
      </c>
      <c r="D369" s="11" t="s">
        <v>0</v>
      </c>
      <c r="E369" s="12" t="s">
        <v>0</v>
      </c>
      <c r="F369" s="12" t="s">
        <v>0</v>
      </c>
      <c r="G369" s="12" t="s">
        <v>0</v>
      </c>
      <c r="H369" s="12" t="s">
        <v>0</v>
      </c>
      <c r="I369" s="12" t="s">
        <v>0</v>
      </c>
      <c r="J369" s="12" t="s">
        <v>0</v>
      </c>
      <c r="K369" s="12" t="s">
        <v>0</v>
      </c>
      <c r="L369" s="13" t="s">
        <v>0</v>
      </c>
      <c r="M369" s="11" t="s">
        <v>0</v>
      </c>
      <c r="N369" s="11" t="s">
        <v>0</v>
      </c>
      <c r="O369" s="11" t="s">
        <v>0</v>
      </c>
      <c r="P369" s="11" t="s">
        <v>0</v>
      </c>
      <c r="Q369" s="11" t="s">
        <v>0</v>
      </c>
      <c r="R369" s="11" t="s">
        <v>0</v>
      </c>
      <c r="S369" s="11" t="s">
        <v>0</v>
      </c>
      <c r="T369" s="11" t="s">
        <v>0</v>
      </c>
      <c r="U369" s="11" t="s">
        <v>0</v>
      </c>
      <c r="V369" s="11" t="s">
        <v>0</v>
      </c>
      <c r="W369" s="11" t="s">
        <v>0</v>
      </c>
      <c r="X369" s="11" t="s">
        <v>0</v>
      </c>
      <c r="Y369" s="11" t="s">
        <v>0</v>
      </c>
      <c r="Z369" s="11" t="s">
        <v>0</v>
      </c>
      <c r="AA369" s="11" t="s">
        <v>0</v>
      </c>
      <c r="AB369" s="11" t="s">
        <v>0</v>
      </c>
      <c r="AC369" s="11" t="s">
        <v>0</v>
      </c>
      <c r="AD369" s="11" t="s">
        <v>0</v>
      </c>
    </row>
    <row r="370">
      <c r="B370" s="12" t="s">
        <v>0</v>
      </c>
      <c r="C370" s="11" t="s">
        <v>0</v>
      </c>
      <c r="D370" s="11" t="s">
        <v>0</v>
      </c>
      <c r="E370" s="12" t="s">
        <v>0</v>
      </c>
      <c r="F370" s="12" t="s">
        <v>0</v>
      </c>
      <c r="G370" s="12" t="s">
        <v>0</v>
      </c>
      <c r="H370" s="12" t="s">
        <v>0</v>
      </c>
      <c r="I370" s="12" t="s">
        <v>0</v>
      </c>
      <c r="J370" s="12" t="s">
        <v>0</v>
      </c>
      <c r="K370" s="12" t="s">
        <v>0</v>
      </c>
      <c r="L370" s="13" t="s">
        <v>0</v>
      </c>
      <c r="M370" s="11" t="s">
        <v>0</v>
      </c>
      <c r="N370" s="11" t="s">
        <v>0</v>
      </c>
      <c r="O370" s="11" t="s">
        <v>0</v>
      </c>
      <c r="P370" s="11" t="s">
        <v>0</v>
      </c>
      <c r="Q370" s="11" t="s">
        <v>0</v>
      </c>
      <c r="R370" s="11" t="s">
        <v>0</v>
      </c>
      <c r="S370" s="11" t="s">
        <v>0</v>
      </c>
      <c r="T370" s="11" t="s">
        <v>0</v>
      </c>
      <c r="U370" s="11" t="s">
        <v>0</v>
      </c>
      <c r="V370" s="11" t="s">
        <v>0</v>
      </c>
      <c r="W370" s="11" t="s">
        <v>0</v>
      </c>
      <c r="X370" s="11" t="s">
        <v>0</v>
      </c>
      <c r="Y370" s="11" t="s">
        <v>0</v>
      </c>
      <c r="Z370" s="11" t="s">
        <v>0</v>
      </c>
      <c r="AA370" s="11" t="s">
        <v>0</v>
      </c>
      <c r="AB370" s="11" t="s">
        <v>0</v>
      </c>
      <c r="AC370" s="11" t="s">
        <v>0</v>
      </c>
      <c r="AD370" s="11" t="s">
        <v>0</v>
      </c>
    </row>
  </sheetData>
  <autoFilter ref="A6:AD6"/>
  <conditionalFormatting sqref="B7:B20">
    <cfRule type="expression" dxfId="0" priority="396">
      <formula>$G7:$G372="Sí"</formula>
    </cfRule>
    <cfRule type="expression" dxfId="1" priority="395">
      <formula>$P7:$P372="APOYO"</formula>
    </cfRule>
  </conditionalFormatting>
  <conditionalFormatting sqref="B21:B71">
    <cfRule type="expression" dxfId="1" priority="379">
      <formula>$P21:$P385="APOYO"</formula>
    </cfRule>
    <cfRule type="expression" dxfId="0" priority="380">
      <formula>$G21:$G385="Sí"</formula>
    </cfRule>
  </conditionalFormatting>
  <conditionalFormatting sqref="C7:AD8 C9:K9 C10:AD10 C11:S11 C12:C74 D12:K12 M9:AD9 M12:S12 U11:AD11 U12:W12 Y12:AD12">
    <cfRule type="expression" dxfId="1" priority="93">
      <formula>$P7:$P375="APOYO"</formula>
    </cfRule>
    <cfRule type="expression" dxfId="0" priority="94">
      <formula>$G7:$G375="Sí"</formula>
    </cfRule>
  </conditionalFormatting>
  <conditionalFormatting sqref="D72:D74 N72:N74">
    <cfRule type="expression" dxfId="0" priority="97">
      <formula>$G72:$G394="Sí"</formula>
    </cfRule>
    <cfRule type="expression" dxfId="1" priority="98">
      <formula>$Q72:$Q394="APOYO"</formula>
    </cfRule>
  </conditionalFormatting>
  <conditionalFormatting sqref="D51:F51 M51">
    <cfRule type="expression" dxfId="1" priority="89">
      <formula>$Q51:$Q372="APOYO"</formula>
    </cfRule>
    <cfRule type="expression" dxfId="0" priority="90">
      <formula>$G51:$G372="Sí"</formula>
    </cfRule>
  </conditionalFormatting>
  <conditionalFormatting sqref="D58:F59 E60:E71 I58:I59 M58:M71">
    <cfRule type="expression" dxfId="1" priority="95">
      <formula>$Q58:$Q378="APOYO"</formula>
    </cfRule>
    <cfRule type="expression" dxfId="0" priority="96">
      <formula>$G58:$G378="Sí"</formula>
    </cfRule>
  </conditionalFormatting>
  <conditionalFormatting sqref="D33:J33">
    <cfRule type="expression" dxfId="0" priority="82">
      <formula>$G33:$G398="Sí"</formula>
    </cfRule>
    <cfRule type="expression" dxfId="1" priority="81">
      <formula>$P33:$P398="APOYO"</formula>
    </cfRule>
  </conditionalFormatting>
  <conditionalFormatting sqref="D42:AC42 D43:J44 D45:AD45 D46:J47 D50:F50 G49:G52 H50:J51 J49 L43:AA44 L46:AA47 L50:N50 L51:L56 N51 Q50:W51 Q52 R53:R56 T61:T62 X48:X49 Y50:AA51 AC43:AD44 AC46:AD47 AC50:AD51">
    <cfRule type="expression" dxfId="0" priority="78">
      <formula>$G42:$G405="Sí"</formula>
    </cfRule>
    <cfRule type="expression" dxfId="1" priority="77">
      <formula>$P42:$P405="APOYO"</formula>
    </cfRule>
  </conditionalFormatting>
  <conditionalFormatting sqref="D13:AD14 D15:K15 D16:AD21 K25 K32:K33 K40:K41 M15:AA15 AC15:AD15">
    <cfRule type="expression" dxfId="1" priority="55">
      <formula>$P13:$P380="APOYO"</formula>
    </cfRule>
    <cfRule type="expression" dxfId="0" priority="56">
      <formula>$G13:$G380="Sí"</formula>
    </cfRule>
  </conditionalFormatting>
  <conditionalFormatting sqref="D22:AD24 D25:J25 D26:AD29 D30:S30 D31:AA31 D32:F32 I32:J32 L32:AD32 M25:AA25 U30:AA30 AC25:AD25 AC30:AD31">
    <cfRule type="expression" dxfId="1" priority="75">
      <formula>$P22:$P388="APOYO"</formula>
    </cfRule>
    <cfRule type="expression" dxfId="0" priority="76">
      <formula>$G22:$G388="Sí"</formula>
    </cfRule>
  </conditionalFormatting>
  <conditionalFormatting sqref="D39:AD39 D40:J41 D48:W48 D49:F49 H49:I49 K49:N49 L40:AA41 Q49:W49 Y48:AC49 AC40:AD41">
    <cfRule type="expression" dxfId="0" priority="80">
      <formula>$G39:$G403="Sí"</formula>
    </cfRule>
    <cfRule type="expression" dxfId="1" priority="79">
      <formula>$P39:$P403="APOYO"</formula>
    </cfRule>
  </conditionalFormatting>
  <conditionalFormatting sqref="E72:E74 M72:M74">
    <cfRule type="expression" dxfId="0" priority="84">
      <formula>$G72:$G391="Sí"</formula>
    </cfRule>
    <cfRule type="expression" dxfId="1" priority="83">
      <formula>$Q72:$Q391="APOYO"</formula>
    </cfRule>
  </conditionalFormatting>
  <conditionalFormatting sqref="F71">
    <cfRule type="expression" dxfId="0" priority="8">
      <formula>$G71:$G435="Sí"</formula>
    </cfRule>
    <cfRule type="expression" dxfId="1" priority="7">
      <formula>$P71:$P435="APOYO"</formula>
    </cfRule>
  </conditionalFormatting>
  <conditionalFormatting sqref="D60:D71 F60:I60 N60:N71">
    <cfRule type="expression" dxfId="1" priority="88">
      <formula>$Q60:$Q383="APOYO"</formula>
    </cfRule>
    <cfRule type="expression" dxfId="0" priority="87">
      <formula>$G60:$G383="Sí"</formula>
    </cfRule>
  </conditionalFormatting>
  <conditionalFormatting sqref="F72:K74 O72:P74 S72:AD74">
    <cfRule type="expression" dxfId="1" priority="67">
      <formula>$P72:$P432="APOYO"</formula>
    </cfRule>
    <cfRule type="expression" dxfId="0" priority="68">
      <formula>$G72:$G432="Sí"</formula>
    </cfRule>
  </conditionalFormatting>
  <conditionalFormatting sqref="G32:H32">
    <cfRule type="expression" dxfId="1" priority="69">
      <formula>$P32:$P397="APOYO"</formula>
    </cfRule>
    <cfRule type="expression" dxfId="0" priority="70">
      <formula>$G32:$G397="Sí"</formula>
    </cfRule>
  </conditionalFormatting>
  <conditionalFormatting sqref="G61:I61">
    <cfRule type="expression" dxfId="0" priority="66">
      <formula>$G61:$G425="Sí"</formula>
    </cfRule>
    <cfRule type="expression" dxfId="1" priority="65">
      <formula>$P61:$P425="APOYO"</formula>
    </cfRule>
  </conditionalFormatting>
  <conditionalFormatting sqref="K43">
    <cfRule type="expression" dxfId="1" priority="53">
      <formula>$P43:$P409="APOYO"</formula>
    </cfRule>
    <cfRule type="expression" dxfId="0" priority="54">
      <formula>$G43:$G409="Sí"</formula>
    </cfRule>
  </conditionalFormatting>
  <conditionalFormatting sqref="K44">
    <cfRule type="expression" dxfId="0" priority="64">
      <formula>$G44:$G409="Sí"</formula>
    </cfRule>
    <cfRule type="expression" dxfId="1" priority="63">
      <formula>$P44:$P409="APOYO"</formula>
    </cfRule>
  </conditionalFormatting>
  <conditionalFormatting sqref="K46">
    <cfRule type="expression" dxfId="0" priority="62">
      <formula>$G46:$G411="Sí"</formula>
    </cfRule>
    <cfRule type="expression" dxfId="1" priority="61">
      <formula>$P46:$P411="APOYO"</formula>
    </cfRule>
  </conditionalFormatting>
  <conditionalFormatting sqref="K47">
    <cfRule type="expression" dxfId="0" priority="52">
      <formula>$G47:$G413="Sí"</formula>
    </cfRule>
    <cfRule type="expression" dxfId="1" priority="51">
      <formula>$P47:$P413="APOYO"</formula>
    </cfRule>
  </conditionalFormatting>
  <conditionalFormatting sqref="K50">
    <cfRule type="expression" dxfId="0" priority="60">
      <formula>$G50:$G415="Sí"</formula>
    </cfRule>
    <cfRule type="expression" dxfId="1" priority="59">
      <formula>$P50:$P415="APOYO"</formula>
    </cfRule>
  </conditionalFormatting>
  <conditionalFormatting sqref="K51">
    <cfRule type="expression" dxfId="0" priority="50">
      <formula>$G51:$G417="Sí"</formula>
    </cfRule>
    <cfRule type="expression" dxfId="1" priority="49">
      <formula>$P51:$P417="APOYO"</formula>
    </cfRule>
  </conditionalFormatting>
  <conditionalFormatting sqref="K56:K57">
    <cfRule type="expression" dxfId="1" priority="57">
      <formula>$P56:$P422="APOYO"</formula>
    </cfRule>
    <cfRule type="expression" dxfId="0" priority="58">
      <formula>$G56:$G422="Sí"</formula>
    </cfRule>
  </conditionalFormatting>
  <conditionalFormatting sqref="L9">
    <cfRule type="expression" dxfId="0" priority="36">
      <formula>$G9:$G373="Sí"</formula>
    </cfRule>
    <cfRule type="expression" dxfId="1" priority="35">
      <formula>$P9:$P373="APOYO"</formula>
    </cfRule>
  </conditionalFormatting>
  <conditionalFormatting sqref="L12">
    <cfRule type="expression" dxfId="0" priority="30">
      <formula>$G12:$G376="Sí"</formula>
    </cfRule>
    <cfRule type="expression" dxfId="1" priority="29">
      <formula>$P12:$P376="APOYO"</formula>
    </cfRule>
  </conditionalFormatting>
  <conditionalFormatting sqref="L15">
    <cfRule type="expression" dxfId="1" priority="27">
      <formula>$P15:$P379="APOYO"</formula>
    </cfRule>
    <cfRule type="expression" dxfId="0" priority="28">
      <formula>$G15:$G379="Sí"</formula>
    </cfRule>
  </conditionalFormatting>
  <conditionalFormatting sqref="L25">
    <cfRule type="expression" dxfId="0" priority="32">
      <formula>$G25:$G389="Sí"</formula>
    </cfRule>
    <cfRule type="expression" dxfId="1" priority="31">
      <formula>$P25:$P389="APOYO"</formula>
    </cfRule>
  </conditionalFormatting>
  <conditionalFormatting sqref="L71">
    <cfRule type="expression" dxfId="1" priority="33">
      <formula>$P71:$P434="APOYO"</formula>
    </cfRule>
    <cfRule type="expression" dxfId="0" priority="34">
      <formula>$G71:$G434="Sí"</formula>
    </cfRule>
  </conditionalFormatting>
  <conditionalFormatting sqref="D34:AD37 D38:R38 K61:K62 L33:AD33 T38:AD38 AD42 AD48:AD49">
    <cfRule type="expression" dxfId="1" priority="91">
      <formula>$P33:$P398="APOYO"</formula>
    </cfRule>
    <cfRule type="expression" dxfId="0" priority="92">
      <formula>$G33:$G398="Sí"</formula>
    </cfRule>
  </conditionalFormatting>
  <conditionalFormatting sqref="D52:F52 D53:K55 D56:J56 H52:K52 L57:L70 M52:N52 M53:Q56 O49:P52 Q61:Q71 R52:S52 R57 R59:R71 S53:AD55 T56:T57 U52:AA52 U56:W56 X50:X51 Y56:AD56 AC52:AD52">
    <cfRule type="expression" dxfId="1" priority="73">
      <formula>$P49:$P411="APOYO"</formula>
    </cfRule>
    <cfRule type="expression" dxfId="0" priority="74">
      <formula>$G49:$G411="Sí"</formula>
    </cfRule>
  </conditionalFormatting>
  <conditionalFormatting sqref="S38">
    <cfRule type="expression" dxfId="0" priority="48">
      <formula>$G38:$G404="Sí"</formula>
    </cfRule>
    <cfRule type="expression" dxfId="1" priority="47">
      <formula>$P38:$P404="APOYO"</formula>
    </cfRule>
  </conditionalFormatting>
  <conditionalFormatting sqref="S56">
    <cfRule type="expression" dxfId="1" priority="45">
      <formula>$P56:$P421="APOYO"</formula>
    </cfRule>
    <cfRule type="expression" dxfId="0" priority="46">
      <formula>$G56:$G421="Sí"</formula>
    </cfRule>
  </conditionalFormatting>
  <conditionalFormatting sqref="S71">
    <cfRule type="expression" dxfId="0" priority="2">
      <formula>$G71:$G435="Sí"</formula>
    </cfRule>
    <cfRule type="expression" dxfId="1" priority="1">
      <formula>$P71:$P435="APOYO"</formula>
    </cfRule>
  </conditionalFormatting>
  <conditionalFormatting sqref="T11:T12">
    <cfRule type="expression" dxfId="0" priority="42">
      <formula>$G11:$G378="Sí"</formula>
    </cfRule>
    <cfRule type="expression" dxfId="1" priority="41">
      <formula>$P11:$P378="APOYO"</formula>
    </cfRule>
  </conditionalFormatting>
  <conditionalFormatting sqref="T30">
    <cfRule type="expression" dxfId="1" priority="5">
      <formula>$P30:$P394="APOYO"</formula>
    </cfRule>
    <cfRule type="expression" dxfId="0" priority="6">
      <formula>$G30:$G394="Sí"</formula>
    </cfRule>
  </conditionalFormatting>
  <conditionalFormatting sqref="T52">
    <cfRule type="expression" dxfId="0" priority="38">
      <formula>$G52:$G415="Sí"</formula>
    </cfRule>
    <cfRule type="expression" dxfId="1" priority="37">
      <formula>$P52:$P415="APOYO"</formula>
    </cfRule>
  </conditionalFormatting>
  <conditionalFormatting sqref="T65">
    <cfRule type="expression" dxfId="1" priority="71">
      <formula>$P65:$P427="APOYO"</formula>
    </cfRule>
    <cfRule type="expression" dxfId="0" priority="72">
      <formula>$G65:$G427="Sí"</formula>
    </cfRule>
  </conditionalFormatting>
  <conditionalFormatting sqref="T71">
    <cfRule type="expression" dxfId="0" priority="40">
      <formula>$G71:$G433="Sí"</formula>
    </cfRule>
    <cfRule type="expression" dxfId="1" priority="39">
      <formula>$P71:$P433="APOYO"</formula>
    </cfRule>
  </conditionalFormatting>
  <conditionalFormatting sqref="X12">
    <cfRule type="expression" dxfId="0" priority="44">
      <formula>$G12:$G379="Sí"</formula>
    </cfRule>
    <cfRule type="expression" dxfId="1" priority="43">
      <formula>$P12:$P379="APOYO"</formula>
    </cfRule>
  </conditionalFormatting>
  <conditionalFormatting sqref="D57:J57 F61:F70 G58:H59 G62:I71 J58:K60 J61:J62 J63:K71 L72:L74 M57:Q57 N58:AD58 N59:Q59 O60:Q60 O61:P71 Q72:R74 S57 S59:AD60 S61:S62 S63:AD64 S65 S66:AD70 U57:W57 U61:AA62 U65:AD65 U71:AA71 X56:X57 Y57:AD57 AC61:AD62 AC71:AD71">
    <cfRule type="expression" dxfId="1" priority="85">
      <formula>$P56:$P417="APOYO"</formula>
    </cfRule>
    <cfRule type="expression" dxfId="0" priority="86">
      <formula>$G56:$G417="Sí"</formula>
    </cfRule>
  </conditionalFormatting>
  <conditionalFormatting sqref="AB15">
    <cfRule type="expression" dxfId="0" priority="26">
      <formula>$G15:$G383="Sí"</formula>
    </cfRule>
    <cfRule type="expression" dxfId="1" priority="25">
      <formula>$P15:$P383="APOYO"</formula>
    </cfRule>
  </conditionalFormatting>
  <conditionalFormatting sqref="AB25">
    <cfRule type="expression" dxfId="0" priority="24">
      <formula>$G25:$G393="Sí"</formula>
    </cfRule>
    <cfRule type="expression" dxfId="1" priority="23">
      <formula>$P25:$P393="APOYO"</formula>
    </cfRule>
  </conditionalFormatting>
  <conditionalFormatting sqref="AB30:AB31">
    <cfRule type="expression" dxfId="0" priority="4">
      <formula>$G30:$G398="Sí"</formula>
    </cfRule>
    <cfRule type="expression" dxfId="1" priority="3">
      <formula>$P30:$P398="APOYO"</formula>
    </cfRule>
  </conditionalFormatting>
  <conditionalFormatting sqref="AB40:AB41">
    <cfRule type="expression" dxfId="1" priority="19">
      <formula>$P40:$P408="APOYO"</formula>
    </cfRule>
    <cfRule type="expression" dxfId="0" priority="20">
      <formula>$G40:$G408="Sí"</formula>
    </cfRule>
  </conditionalFormatting>
  <conditionalFormatting sqref="AB43:AB44">
    <cfRule type="expression" dxfId="0" priority="18">
      <formula>$G43:$G411="Sí"</formula>
    </cfRule>
    <cfRule type="expression" dxfId="1" priority="17">
      <formula>$P43:$P411="APOYO"</formula>
    </cfRule>
  </conditionalFormatting>
  <conditionalFormatting sqref="AB46:AB47">
    <cfRule type="expression" dxfId="0" priority="16">
      <formula>$G46:$G414="Sí"</formula>
    </cfRule>
    <cfRule type="expression" dxfId="1" priority="15">
      <formula>$P46:$P414="APOYO"</formula>
    </cfRule>
  </conditionalFormatting>
  <conditionalFormatting sqref="AB50:AB52">
    <cfRule type="expression" dxfId="0" priority="14">
      <formula>$G50:$G418="Sí"</formula>
    </cfRule>
    <cfRule type="expression" dxfId="1" priority="13">
      <formula>$P50:$P418="APOYO"</formula>
    </cfRule>
  </conditionalFormatting>
  <conditionalFormatting sqref="AB61:AB62">
    <cfRule type="expression" dxfId="0" priority="12">
      <formula>$G61:$G429="Sí"</formula>
    </cfRule>
    <cfRule type="expression" dxfId="1" priority="11">
      <formula>$P61:$P429="APOYO"</formula>
    </cfRule>
  </conditionalFormatting>
  <conditionalFormatting sqref="AB71">
    <cfRule type="expression" dxfId="0" priority="10">
      <formula>$G71:$G439="Sí"</formula>
    </cfRule>
    <cfRule type="expression" dxfId="1" priority="9">
      <formula>$P71:$P439="APOYO"</formula>
    </cfRule>
  </conditionalFormatting>
  <dataValidations count="1">
    <dataValidation type="date" allowBlank="false" showDropDown="false" showInputMessage="true" showErrorMessage="true" sqref="U7:Z51 X61:X62">
      <formula1>46023</formula1>
      <formula2>46387</formula2>
    </dataValidation>
  </dataValidations>
  <hyperlinks>
    <hyperlink ref="M7" r:id="rId1"/>
    <hyperlink ref="N17" r:id="rId2"/>
    <hyperlink ref="M18" r:id="rId3"/>
    <hyperlink ref="M20" r:id="rId4"/>
    <hyperlink ref="M21" r:id="rId5"/>
    <hyperlink ref="M22" r:id="rId6"/>
    <hyperlink ref="M23" r:id="rId7"/>
    <hyperlink ref="M24" r:id="rId8" display="https://www.linkedin.com/in/rosario-cosar-5b3538119/"/>
    <hyperlink ref="M25" r:id="rId9"/>
    <hyperlink ref="M26" r:id="rId10"/>
    <hyperlink ref="M27" r:id="rId11"/>
    <hyperlink ref="M28" r:id="rId12"/>
    <hyperlink ref="M29" r:id="rId13"/>
    <hyperlink ref="M30" r:id="rId14"/>
    <hyperlink ref="M31" r:id="rId15" display="vpomalaya@mpfn.gob.pe; victoriapomalaya@gmail.com"/>
    <hyperlink ref="N33" r:id="rId16"/>
    <hyperlink ref="M39" r:id="rId17"/>
    <hyperlink ref="M40" r:id="rId18"/>
    <hyperlink ref="M47" r:id="rId19"/>
    <hyperlink ref="N50" r:id="rId20"/>
    <hyperlink ref="M53" r:id="rId21"/>
    <hyperlink ref="M54" r:id="rId22"/>
    <hyperlink ref="M55" r:id="rId23"/>
    <hyperlink ref="M56" r:id="rId24"/>
    <hyperlink ref="N57" r:id="rId25"/>
    <hyperlink ref="M58" r:id="rId26"/>
    <hyperlink ref="M59" r:id="rId27"/>
    <hyperlink ref="M71" r:id="rId28"/>
  </hyperlinks>
  <pageMargins left="0.7" right="0.7" top="0.75" bottom="0.75" header="0.3" footer="0.3"/>
  <legacyDrawing r:id="anys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B1:U16"/>
  <sheetViews>
    <sheetView topLeftCell="M1" zoomScale="101" workbookViewId="0">
      <selection activeCell="K3" sqref="K3"/>
    </sheetView>
  </sheetViews>
  <sheetFormatPr baseColWidth="10" defaultRowHeight="14.5"/>
  <cols>
    <col min="1" max="1" width="3.54296875" customWidth="true"/>
    <col min="2" max="2" width="7.26953125" customWidth="true"/>
    <col min="3" max="3" width="26.54296875" bestFit="true" customWidth="true"/>
    <col min="4" max="4" width="24.26953125" bestFit="true" customWidth="true"/>
    <col min="5" max="5" width="17.81640625" bestFit="true" customWidth="true"/>
    <col min="7" max="7" width="13.81640625" bestFit="true" customWidth="true"/>
    <col min="8" max="8" width="10.7265625" bestFit="true" customWidth="true"/>
    <col min="9" max="9" width="24.54296875" bestFit="true" customWidth="true"/>
    <col min="10" max="10" width="26.81640625" bestFit="true" customWidth="true"/>
    <col min="11" max="11" width="24" bestFit="true" customWidth="true"/>
    <col min="12" max="12" width="16.453125" bestFit="true" customWidth="true"/>
    <col min="13" max="13" width="26.54296875" bestFit="true" customWidth="true"/>
    <col min="14" max="14" width="24" bestFit="true" customWidth="true"/>
    <col min="15" max="15" width="10.1796875" bestFit="true" customWidth="true"/>
    <col min="16" max="16" width="19" bestFit="true" customWidth="true"/>
  </cols>
  <sheetData>
    <row r="1">
      <c r="B1" t="s">
        <v>0</v>
      </c>
      <c r="C1" t="s">
        <v>12</v>
      </c>
      <c r="D1" t="s">
        <v>2294</v>
      </c>
      <c r="E1" t="s">
        <v>2299</v>
      </c>
      <c r="F1" t="s">
        <v>2300</v>
      </c>
      <c r="G1" t="s">
        <v>2306</v>
      </c>
      <c r="H1" t="s">
        <v>1336</v>
      </c>
      <c r="I1" t="s">
        <v>1881</v>
      </c>
      <c r="J1" t="s">
        <v>2314</v>
      </c>
      <c r="K1" t="s">
        <v>2251</v>
      </c>
      <c r="L1" t="s">
        <v>1895</v>
      </c>
      <c r="M1" t="s">
        <v>1924</v>
      </c>
      <c r="N1" t="s">
        <v>1934</v>
      </c>
      <c r="O1" t="s">
        <v>1936</v>
      </c>
      <c r="P1" t="s">
        <v>1957</v>
      </c>
      <c r="Q1" t="s">
        <v>1999</v>
      </c>
      <c r="R1" t="s">
        <v>2002</v>
      </c>
      <c r="S1" t="s">
        <v>2264</v>
      </c>
      <c r="T1" t="s">
        <v>2004</v>
      </c>
      <c r="U1" t="s">
        <v>2318</v>
      </c>
    </row>
    <row r="2">
      <c r="B2" t="s">
        <v>1</v>
      </c>
      <c r="C2" t="s">
        <v>13</v>
      </c>
      <c r="D2" t="s">
        <v>825</v>
      </c>
      <c r="E2" t="s">
        <v>1294</v>
      </c>
      <c r="F2" t="s">
        <v>2301</v>
      </c>
      <c r="G2" t="s">
        <v>2307</v>
      </c>
      <c r="H2" t="s">
        <v>2309</v>
      </c>
      <c r="I2" t="s">
        <v>0</v>
      </c>
      <c r="J2" t="s">
        <v>1306</v>
      </c>
      <c r="K2" t="s">
        <v>0</v>
      </c>
      <c r="L2" t="s">
        <v>0</v>
      </c>
      <c r="M2" t="s">
        <v>0</v>
      </c>
      <c r="N2" t="s">
        <v>0</v>
      </c>
      <c r="O2" t="s">
        <v>0</v>
      </c>
      <c r="P2" t="s">
        <v>0</v>
      </c>
      <c r="Q2" t="s">
        <v>0</v>
      </c>
      <c r="R2" t="s">
        <v>0</v>
      </c>
      <c r="S2" t="s">
        <v>0</v>
      </c>
      <c r="T2" t="s">
        <v>0</v>
      </c>
      <c r="U2" t="s">
        <v>2319</v>
      </c>
    </row>
    <row r="3">
      <c r="B3" t="s">
        <v>1</v>
      </c>
      <c r="C3" t="s">
        <v>14</v>
      </c>
      <c r="D3" t="s">
        <v>825</v>
      </c>
      <c r="E3" t="s">
        <v>1294</v>
      </c>
      <c r="F3" t="s">
        <v>2302</v>
      </c>
      <c r="G3" t="s">
        <v>2308</v>
      </c>
      <c r="H3" t="s">
        <v>2310</v>
      </c>
      <c r="I3" t="s">
        <v>0</v>
      </c>
      <c r="J3" t="s">
        <v>1306</v>
      </c>
      <c r="K3" t="s">
        <v>0</v>
      </c>
      <c r="L3" t="s">
        <v>0</v>
      </c>
      <c r="M3" t="s">
        <v>0</v>
      </c>
      <c r="N3" t="s">
        <v>0</v>
      </c>
      <c r="O3" t="s">
        <v>0</v>
      </c>
      <c r="P3" t="s">
        <v>0</v>
      </c>
      <c r="Q3" t="s">
        <v>0</v>
      </c>
      <c r="R3" t="s">
        <v>0</v>
      </c>
      <c r="S3" t="s">
        <v>0</v>
      </c>
      <c r="T3" t="s">
        <v>0</v>
      </c>
      <c r="U3" t="s">
        <v>0</v>
      </c>
    </row>
    <row r="4">
      <c r="B4" t="s">
        <v>1</v>
      </c>
      <c r="C4" t="s">
        <v>15</v>
      </c>
      <c r="D4" t="s">
        <v>825</v>
      </c>
      <c r="E4" t="s">
        <v>1294</v>
      </c>
      <c r="F4" t="s">
        <v>2303</v>
      </c>
      <c r="G4" t="s">
        <v>2308</v>
      </c>
      <c r="H4" t="s">
        <v>2311</v>
      </c>
      <c r="I4" t="s">
        <v>0</v>
      </c>
      <c r="J4" t="s">
        <v>1306</v>
      </c>
      <c r="K4" t="s">
        <v>0</v>
      </c>
      <c r="L4" t="s">
        <v>0</v>
      </c>
      <c r="M4" t="s">
        <v>0</v>
      </c>
      <c r="N4" t="s">
        <v>0</v>
      </c>
      <c r="O4" t="s">
        <v>0</v>
      </c>
      <c r="P4" t="s">
        <v>0</v>
      </c>
      <c r="Q4" t="s">
        <v>0</v>
      </c>
      <c r="R4" t="s">
        <v>0</v>
      </c>
      <c r="S4" t="s">
        <v>0</v>
      </c>
      <c r="T4" t="s">
        <v>0</v>
      </c>
      <c r="U4" t="s">
        <v>2320</v>
      </c>
    </row>
    <row r="5">
      <c r="B5" t="s">
        <v>1</v>
      </c>
      <c r="C5" t="s">
        <v>16</v>
      </c>
      <c r="D5" t="s">
        <v>825</v>
      </c>
      <c r="E5" t="s">
        <v>1294</v>
      </c>
      <c r="F5" t="s">
        <v>2304</v>
      </c>
      <c r="G5" t="s">
        <v>2308</v>
      </c>
      <c r="H5" t="s">
        <v>2312</v>
      </c>
      <c r="I5" t="s">
        <v>0</v>
      </c>
      <c r="J5" t="s">
        <v>1306</v>
      </c>
      <c r="K5" t="s">
        <v>0</v>
      </c>
      <c r="L5" t="s">
        <v>0</v>
      </c>
      <c r="M5" t="s">
        <v>0</v>
      </c>
      <c r="N5" t="s">
        <v>0</v>
      </c>
      <c r="O5" t="s">
        <v>0</v>
      </c>
      <c r="P5" t="s">
        <v>0</v>
      </c>
      <c r="Q5" t="s">
        <v>0</v>
      </c>
      <c r="R5" t="s">
        <v>0</v>
      </c>
      <c r="S5" t="s">
        <v>0</v>
      </c>
      <c r="T5" t="s">
        <v>0</v>
      </c>
      <c r="U5" t="s">
        <v>0</v>
      </c>
    </row>
    <row r="6">
      <c r="B6" t="s">
        <v>6</v>
      </c>
      <c r="C6" t="s">
        <v>17</v>
      </c>
      <c r="D6" t="s">
        <v>2295</v>
      </c>
      <c r="E6" t="s">
        <v>6</v>
      </c>
      <c r="F6" t="s">
        <v>0</v>
      </c>
      <c r="G6" t="s">
        <v>2308</v>
      </c>
      <c r="H6" t="s">
        <v>0</v>
      </c>
      <c r="I6" t="s">
        <v>1883</v>
      </c>
      <c r="J6" t="s">
        <v>1307</v>
      </c>
      <c r="K6" t="s">
        <v>1888</v>
      </c>
      <c r="L6" t="s">
        <v>0</v>
      </c>
      <c r="M6" t="s">
        <v>0</v>
      </c>
      <c r="N6" t="s">
        <v>0</v>
      </c>
      <c r="O6" t="s">
        <v>0</v>
      </c>
      <c r="P6" t="s">
        <v>0</v>
      </c>
      <c r="Q6" t="s">
        <v>0</v>
      </c>
      <c r="R6" t="s">
        <v>2316</v>
      </c>
      <c r="S6" t="s">
        <v>1888</v>
      </c>
      <c r="T6" t="s">
        <v>0</v>
      </c>
      <c r="U6" t="s">
        <v>0</v>
      </c>
    </row>
    <row r="7">
      <c r="B7" t="s">
        <v>6</v>
      </c>
      <c r="C7" t="s">
        <v>18</v>
      </c>
      <c r="D7" t="s">
        <v>2296</v>
      </c>
      <c r="E7" t="s">
        <v>6</v>
      </c>
      <c r="F7" t="s">
        <v>0</v>
      </c>
      <c r="G7" t="s">
        <v>2307</v>
      </c>
      <c r="H7" t="s">
        <v>0</v>
      </c>
      <c r="I7" t="s">
        <v>1883</v>
      </c>
      <c r="J7" t="s">
        <v>1307</v>
      </c>
      <c r="K7" t="s">
        <v>1888</v>
      </c>
      <c r="L7" t="s">
        <v>0</v>
      </c>
      <c r="M7" t="s">
        <v>0</v>
      </c>
      <c r="N7" t="s">
        <v>0</v>
      </c>
      <c r="O7" t="s">
        <v>0</v>
      </c>
      <c r="P7" t="s">
        <v>0</v>
      </c>
      <c r="Q7" t="s">
        <v>0</v>
      </c>
      <c r="R7" t="s">
        <v>2316</v>
      </c>
      <c r="S7" t="s">
        <v>1888</v>
      </c>
      <c r="T7" t="s">
        <v>0</v>
      </c>
      <c r="U7" t="s">
        <v>0</v>
      </c>
    </row>
    <row r="8">
      <c r="B8" t="s">
        <v>6</v>
      </c>
      <c r="C8" t="s">
        <v>19</v>
      </c>
      <c r="D8" t="s">
        <v>2297</v>
      </c>
      <c r="E8" t="s">
        <v>6</v>
      </c>
      <c r="F8" t="s">
        <v>0</v>
      </c>
      <c r="G8" t="s">
        <v>2307</v>
      </c>
      <c r="H8" t="s">
        <v>0</v>
      </c>
      <c r="I8" t="s">
        <v>1883</v>
      </c>
      <c r="J8" t="s">
        <v>1307</v>
      </c>
      <c r="K8" t="s">
        <v>1888</v>
      </c>
      <c r="L8" t="s">
        <v>0</v>
      </c>
      <c r="M8" t="s">
        <v>0</v>
      </c>
      <c r="N8" t="s">
        <v>0</v>
      </c>
      <c r="O8" t="s">
        <v>0</v>
      </c>
      <c r="P8" t="s">
        <v>0</v>
      </c>
      <c r="Q8" t="s">
        <v>0</v>
      </c>
      <c r="R8" t="s">
        <v>2317</v>
      </c>
      <c r="S8" t="s">
        <v>1888</v>
      </c>
      <c r="T8" t="s">
        <v>0</v>
      </c>
      <c r="U8" t="s">
        <v>0</v>
      </c>
    </row>
    <row r="9">
      <c r="B9" t="s">
        <v>1</v>
      </c>
      <c r="C9" t="s">
        <v>20</v>
      </c>
      <c r="D9" t="s">
        <v>806</v>
      </c>
      <c r="E9" t="s">
        <v>1273</v>
      </c>
      <c r="F9" t="s">
        <v>2305</v>
      </c>
      <c r="G9" t="s">
        <v>2307</v>
      </c>
      <c r="H9" t="s">
        <v>2313</v>
      </c>
      <c r="I9" t="s">
        <v>1883</v>
      </c>
      <c r="J9" t="s">
        <v>1307</v>
      </c>
      <c r="K9" t="s">
        <v>0</v>
      </c>
      <c r="L9" t="s">
        <v>0</v>
      </c>
      <c r="M9" t="s">
        <v>0</v>
      </c>
      <c r="N9" t="s">
        <v>0</v>
      </c>
      <c r="O9" t="s">
        <v>0</v>
      </c>
      <c r="P9" t="s">
        <v>0</v>
      </c>
      <c r="Q9" t="s">
        <v>0</v>
      </c>
      <c r="R9" t="s">
        <v>0</v>
      </c>
      <c r="S9" t="s">
        <v>0</v>
      </c>
      <c r="T9" t="s">
        <v>0</v>
      </c>
      <c r="U9" t="s">
        <v>2321</v>
      </c>
    </row>
    <row r="10">
      <c r="B10" t="s">
        <v>3</v>
      </c>
      <c r="C10" t="s">
        <v>21</v>
      </c>
      <c r="D10" t="s">
        <v>2295</v>
      </c>
      <c r="E10" t="s">
        <v>3</v>
      </c>
      <c r="F10" t="s">
        <v>0</v>
      </c>
      <c r="G10" t="s">
        <v>2308</v>
      </c>
      <c r="H10" t="s">
        <v>0</v>
      </c>
      <c r="I10" t="s">
        <v>1883</v>
      </c>
      <c r="J10" t="s">
        <v>1307</v>
      </c>
      <c r="K10" t="s">
        <v>1888</v>
      </c>
      <c r="L10" t="s">
        <v>0</v>
      </c>
      <c r="M10" t="s">
        <v>0</v>
      </c>
      <c r="N10" t="s">
        <v>0</v>
      </c>
      <c r="O10" t="s">
        <v>0</v>
      </c>
      <c r="P10" t="s">
        <v>0</v>
      </c>
      <c r="Q10" t="s">
        <v>0</v>
      </c>
      <c r="R10" t="s">
        <v>2316</v>
      </c>
      <c r="S10" t="s">
        <v>1888</v>
      </c>
      <c r="T10" t="s">
        <v>0</v>
      </c>
      <c r="U10" t="s">
        <v>0</v>
      </c>
    </row>
    <row r="11">
      <c r="B11" t="s">
        <v>3</v>
      </c>
      <c r="C11" t="s">
        <v>22</v>
      </c>
      <c r="D11" t="s">
        <v>2296</v>
      </c>
      <c r="E11" t="s">
        <v>3</v>
      </c>
      <c r="F11" t="s">
        <v>0</v>
      </c>
      <c r="G11" t="s">
        <v>2307</v>
      </c>
      <c r="H11" t="s">
        <v>0</v>
      </c>
      <c r="I11" t="s">
        <v>1883</v>
      </c>
      <c r="J11" t="s">
        <v>1307</v>
      </c>
      <c r="K11" t="s">
        <v>1888</v>
      </c>
      <c r="L11" t="s">
        <v>0</v>
      </c>
      <c r="M11" t="s">
        <v>0</v>
      </c>
      <c r="N11" t="s">
        <v>0</v>
      </c>
      <c r="O11" t="s">
        <v>0</v>
      </c>
      <c r="P11" t="s">
        <v>0</v>
      </c>
      <c r="Q11" t="s">
        <v>0</v>
      </c>
      <c r="R11" t="s">
        <v>2316</v>
      </c>
      <c r="S11" t="s">
        <v>1888</v>
      </c>
      <c r="T11" t="s">
        <v>0</v>
      </c>
      <c r="U11" t="s">
        <v>0</v>
      </c>
    </row>
    <row r="12">
      <c r="B12" t="s">
        <v>3</v>
      </c>
      <c r="C12" t="s">
        <v>23</v>
      </c>
      <c r="D12" t="s">
        <v>2297</v>
      </c>
      <c r="E12" t="s">
        <v>3</v>
      </c>
      <c r="F12" t="s">
        <v>0</v>
      </c>
      <c r="G12" t="s">
        <v>2307</v>
      </c>
      <c r="H12" t="s">
        <v>0</v>
      </c>
      <c r="I12" t="s">
        <v>1883</v>
      </c>
      <c r="J12" t="s">
        <v>1307</v>
      </c>
      <c r="K12" t="s">
        <v>2315</v>
      </c>
      <c r="L12" t="s">
        <v>0</v>
      </c>
      <c r="M12" t="s">
        <v>0</v>
      </c>
      <c r="N12" t="s">
        <v>0</v>
      </c>
      <c r="O12" t="s">
        <v>0</v>
      </c>
      <c r="P12" t="s">
        <v>0</v>
      </c>
      <c r="Q12" t="s">
        <v>0</v>
      </c>
      <c r="R12" t="s">
        <v>2316</v>
      </c>
      <c r="S12" t="s">
        <v>2315</v>
      </c>
      <c r="T12" t="s">
        <v>0</v>
      </c>
      <c r="U12" t="s">
        <v>0</v>
      </c>
    </row>
    <row r="13">
      <c r="B13" t="s">
        <v>0</v>
      </c>
      <c r="C13" t="s">
        <v>24</v>
      </c>
      <c r="D13" t="s">
        <v>2298</v>
      </c>
      <c r="E13" t="s">
        <v>3</v>
      </c>
      <c r="F13" t="s">
        <v>0</v>
      </c>
      <c r="G13" t="s">
        <v>2307</v>
      </c>
      <c r="H13" t="s">
        <v>0</v>
      </c>
      <c r="I13" t="s">
        <v>0</v>
      </c>
      <c r="J13" t="s">
        <v>0</v>
      </c>
      <c r="K13" t="s">
        <v>1888</v>
      </c>
      <c r="L13" t="s">
        <v>0</v>
      </c>
      <c r="M13" t="s">
        <v>0</v>
      </c>
      <c r="N13" t="s">
        <v>0</v>
      </c>
      <c r="O13" t="s">
        <v>0</v>
      </c>
      <c r="P13" t="s">
        <v>0</v>
      </c>
      <c r="Q13" t="s">
        <v>0</v>
      </c>
      <c r="R13" t="s">
        <v>2317</v>
      </c>
      <c r="S13" t="s">
        <v>1888</v>
      </c>
      <c r="T13" t="s">
        <v>0</v>
      </c>
      <c r="U13" t="s">
        <v>0</v>
      </c>
    </row>
    <row r="14">
      <c r="B14" t="s">
        <v>0</v>
      </c>
      <c r="C14" t="s">
        <v>25</v>
      </c>
      <c r="D14" t="s">
        <v>2295</v>
      </c>
      <c r="E14" t="s">
        <v>5</v>
      </c>
      <c r="F14" t="s">
        <v>0</v>
      </c>
      <c r="G14" t="s">
        <v>2308</v>
      </c>
      <c r="H14" t="s">
        <v>0</v>
      </c>
      <c r="I14" t="s">
        <v>0</v>
      </c>
      <c r="J14" t="s">
        <v>0</v>
      </c>
      <c r="K14" t="s">
        <v>1888</v>
      </c>
      <c r="L14" t="s">
        <v>0</v>
      </c>
      <c r="M14" t="s">
        <v>0</v>
      </c>
      <c r="N14" t="s">
        <v>0</v>
      </c>
      <c r="O14" t="s">
        <v>0</v>
      </c>
      <c r="P14" t="s">
        <v>0</v>
      </c>
      <c r="Q14" t="s">
        <v>0</v>
      </c>
      <c r="R14" t="s">
        <v>2316</v>
      </c>
      <c r="S14" t="s">
        <v>1888</v>
      </c>
      <c r="T14" t="s">
        <v>0</v>
      </c>
      <c r="U14" t="s">
        <v>0</v>
      </c>
    </row>
    <row r="15">
      <c r="B15" t="s">
        <v>0</v>
      </c>
      <c r="C15" t="s">
        <v>26</v>
      </c>
      <c r="D15" t="s">
        <v>2296</v>
      </c>
      <c r="E15" t="s">
        <v>5</v>
      </c>
      <c r="F15" t="s">
        <v>0</v>
      </c>
      <c r="G15" t="s">
        <v>2307</v>
      </c>
      <c r="H15" t="s">
        <v>0</v>
      </c>
      <c r="I15" t="s">
        <v>0</v>
      </c>
      <c r="J15" t="s">
        <v>0</v>
      </c>
      <c r="K15" t="s">
        <v>1888</v>
      </c>
      <c r="L15" t="s">
        <v>0</v>
      </c>
      <c r="M15" t="s">
        <v>0</v>
      </c>
      <c r="N15" t="s">
        <v>0</v>
      </c>
      <c r="O15" t="s">
        <v>0</v>
      </c>
      <c r="P15" t="s">
        <v>0</v>
      </c>
      <c r="Q15" t="s">
        <v>0</v>
      </c>
      <c r="R15" t="s">
        <v>2316</v>
      </c>
      <c r="S15" t="s">
        <v>1888</v>
      </c>
      <c r="T15" t="s">
        <v>0</v>
      </c>
      <c r="U15" t="s">
        <v>0</v>
      </c>
    </row>
    <row r="16">
      <c r="B16" t="s">
        <v>0</v>
      </c>
      <c r="C16" t="s">
        <v>27</v>
      </c>
      <c r="D16" t="s">
        <v>2297</v>
      </c>
      <c r="E16" t="s">
        <v>5</v>
      </c>
      <c r="F16" t="s">
        <v>0</v>
      </c>
      <c r="G16" t="s">
        <v>2307</v>
      </c>
      <c r="H16" t="s">
        <v>0</v>
      </c>
      <c r="I16" t="s">
        <v>0</v>
      </c>
      <c r="J16" t="s">
        <v>0</v>
      </c>
      <c r="K16" t="s">
        <v>1888</v>
      </c>
      <c r="L16" t="s">
        <v>0</v>
      </c>
      <c r="M16" t="s">
        <v>0</v>
      </c>
      <c r="N16" t="s">
        <v>0</v>
      </c>
      <c r="O16" t="s">
        <v>0</v>
      </c>
      <c r="P16" t="s">
        <v>0</v>
      </c>
      <c r="Q16" t="s">
        <v>0</v>
      </c>
      <c r="R16" t="s">
        <v>2316</v>
      </c>
      <c r="S16" t="s">
        <v>1888</v>
      </c>
      <c r="T16" t="s">
        <v>0</v>
      </c>
      <c r="U16" t="s">
        <v>0</v>
      </c>
    </row>
  </sheetData>
  <conditionalFormatting sqref="B2:B9">
    <cfRule type="expression" dxfId="1" priority="15">
      <formula>$H2:$H3="APOYO"</formula>
    </cfRule>
    <cfRule type="expression" dxfId="0" priority="16">
      <formula>#REF!="Sí"</formula>
    </cfRule>
  </conditionalFormatting>
  <conditionalFormatting sqref="B10:P17">
    <cfRule type="expression" dxfId="1" priority="43">
      <formula>$F10:$F34="APOYO"</formula>
    </cfRule>
    <cfRule type="expression" dxfId="0" priority="44">
      <formula>#REF!="Sí"</formula>
    </cfRule>
  </conditionalFormatting>
  <conditionalFormatting sqref="E6:E9 G6:I9">
    <cfRule type="expression" dxfId="1" priority="3">
      <formula>$H6:$H7="APOYO"</formula>
    </cfRule>
    <cfRule type="expression" dxfId="0" priority="4">
      <formula>#REF!="Sí"</formula>
    </cfRule>
  </conditionalFormatting>
  <conditionalFormatting sqref="E2:T3">
    <cfRule type="expression" dxfId="1" priority="7">
      <formula>$H2:$H3="APOYO"</formula>
    </cfRule>
    <cfRule type="expression" dxfId="0" priority="8">
      <formula>#REF!="Sí"</formula>
    </cfRule>
  </conditionalFormatting>
  <conditionalFormatting sqref="F4:F9">
    <cfRule type="expression" dxfId="1" priority="1">
      <formula>$H4:$H5="APOYO"</formula>
    </cfRule>
    <cfRule type="expression" dxfId="0" priority="2">
      <formula>#REF!="Sí"</formula>
    </cfRule>
  </conditionalFormatting>
  <conditionalFormatting sqref="I4:J5">
    <cfRule type="expression" dxfId="1" priority="9">
      <formula>$H4:$H5="APOYO"</formula>
    </cfRule>
    <cfRule type="expression" dxfId="0" priority="10">
      <formula>#REF!="Sí"</formula>
    </cfRule>
  </conditionalFormatting>
  <conditionalFormatting sqref="J6:J9 R6:R9">
    <cfRule type="expression" dxfId="1" priority="13">
      <formula>$S6:$S321="APOYO"</formula>
    </cfRule>
    <cfRule type="expression" dxfId="0" priority="14">
      <formula>$H6:$H321="Sí"</formula>
    </cfRule>
  </conditionalFormatting>
  <conditionalFormatting sqref="K6:Q9">
    <cfRule type="expression" dxfId="1" priority="11">
      <formula>$H6:$H7="APOYO"</formula>
    </cfRule>
    <cfRule type="expression" dxfId="0" priority="12">
      <formula>#REF!="Sí"</formula>
    </cfRule>
  </conditionalFormatting>
  <conditionalFormatting sqref="S6:T9">
    <cfRule type="expression" dxfId="1" priority="5">
      <formula>$H6:$H7="APOYO"</formula>
    </cfRule>
    <cfRule type="expression" dxfId="0" priority="6">
      <formula>#REF!="Sí"</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Z22"/>
  <sheetViews>
    <sheetView zoomScale="45" zoomScaleNormal="85" workbookViewId="0">
      <pane xSplit="2" ySplit="1" topLeftCell="F2" activePane="bottomRight" state="frozen"/>
      <selection pane="topRight" activeCell="C1" sqref="C1"/>
      <selection pane="bottomLeft" activeCell="A2" sqref="A2"/>
      <selection pane="bottomRight" activeCell="M30" sqref="M30"/>
    </sheetView>
  </sheetViews>
  <sheetFormatPr baseColWidth="10" defaultColWidth="10.81640625" defaultRowHeight="12.75" customHeight="true"/>
  <cols>
    <col min="1" max="1" width="11" style="1" bestFit="true" customWidth="true"/>
    <col min="2" max="2" width="37" style="1" customWidth="true"/>
    <col min="3" max="3" width="32.54296875" style="1" customWidth="true"/>
    <col min="4" max="8" width="13.1796875" style="1" bestFit="true" customWidth="true"/>
    <col min="9" max="9" width="13" style="1" bestFit="true" customWidth="true"/>
    <col min="10" max="10" width="13" style="1" customWidth="true"/>
    <col min="11" max="11" width="10.453125" style="1" bestFit="true" customWidth="true"/>
    <col min="12" max="12" width="21.54296875" style="1" bestFit="true" customWidth="true"/>
    <col min="13" max="14" width="23.1796875" style="1" bestFit="true" customWidth="true"/>
    <col min="15" max="15" width="16.81640625" style="1" bestFit="true" customWidth="true"/>
    <col min="16" max="16" width="23.81640625" style="1" bestFit="true" customWidth="true"/>
    <col min="17" max="17" width="21.54296875" style="1" bestFit="true" customWidth="true"/>
    <col min="18" max="18" width="15.54296875" style="1" customWidth="true"/>
    <col min="19" max="20" width="17" style="1" bestFit="true" customWidth="true"/>
    <col min="21" max="22" width="23.81640625" style="1" customWidth="true"/>
    <col min="23" max="24" width="23.81640625" style="1" customWidth="true" outlineLevel="1"/>
    <col min="25" max="25" width="30.81640625" style="1" customWidth="true"/>
    <col min="26" max="26" width="24.1796875" style="1" customWidth="true"/>
    <col min="27" max="16384" width="10.81640625" style="1" customWidth="true"/>
  </cols>
  <sheetData>
    <row r="1" ht="12.75" customHeight="true">
      <c r="A1" s="3" t="inlineStr">
        <is>
          <t>Identificador</t>
        </is>
      </c>
      <c r="B1" s="3" t="inlineStr">
        <is>
          <t>Nombre</t>
        </is>
      </c>
      <c r="C1" s="3" t="inlineStr">
        <is>
          <t>Institución</t>
        </is>
      </c>
      <c r="D1" s="3" t="inlineStr">
        <is>
          <t>Correo</t>
        </is>
      </c>
      <c r="E1" s="3" t="inlineStr">
        <is>
          <t>Número</t>
        </is>
      </c>
      <c r="F1" s="3" t="inlineStr">
        <is>
          <t>Otro contacto</t>
        </is>
      </c>
      <c r="G1" s="3" t="inlineStr">
        <is>
          <t>Tipo de entrevistas</t>
        </is>
      </c>
      <c r="H1" s="3" t="inlineStr">
        <is>
          <t>Tipo de actor</t>
        </is>
      </c>
      <c r="I1" s="3" t="inlineStr">
        <is>
          <t>Distrito judicial</t>
        </is>
      </c>
      <c r="J1" s="3" t="inlineStr">
        <is>
          <t>Encargado de contacto</t>
        </is>
      </c>
      <c r="K1" s="3" t="inlineStr">
        <is>
          <t>Contacto</t>
        </is>
      </c>
      <c r="L1" s="3" t="inlineStr">
        <is>
          <t>Fecha de primer contacto</t>
        </is>
      </c>
      <c r="M1" s="3" t="inlineStr">
        <is>
          <t>Fecha de segundo contacto</t>
        </is>
      </c>
      <c r="N1" s="3" t="inlineStr">
        <is>
          <t>Fecha de tercer contacto</t>
        </is>
      </c>
      <c r="O1" s="3" t="inlineStr">
        <is>
          <t>Respuesta del actor</t>
        </is>
      </c>
      <c r="P1" s="3" t="inlineStr">
        <is>
          <t>Fecha de inicio de entrevista</t>
        </is>
      </c>
      <c r="Q1" s="3" t="inlineStr">
        <is>
          <t>Fecha de fin de entrevista</t>
        </is>
      </c>
      <c r="R1" s="3" t="inlineStr">
        <is>
          <t>Resultado</t>
        </is>
      </c>
      <c r="S1" s="3" t="inlineStr">
        <is>
          <t>Duración total (min)</t>
        </is>
      </c>
      <c r="T1" s="3" t="inlineStr">
        <is>
          <t>Actor considerado inicialmente</t>
        </is>
      </c>
      <c r="U1" s="7" t="inlineStr">
        <is>
          <t>Modalidad establecida</t>
        </is>
      </c>
      <c r="V1" s="7" t="inlineStr">
        <is>
          <t>Modalidad aplicada</t>
        </is>
      </c>
      <c r="W1" s="3" t="n"/>
      <c r="X1" s="3" t="n"/>
      <c r="Y1" s="3" t="inlineStr">
        <is>
          <t>Observaciones (22102025)</t>
        </is>
      </c>
      <c r="Z1" s="3" t="inlineStr">
        <is>
          <t>Observaciones AC</t>
        </is>
      </c>
    </row>
    <row r="2" ht="12.75" customHeight="true">
      <c r="A2" s="1" t="n">
        <v>1</v>
      </c>
      <c r="B2" s="1" t="inlineStr">
        <is>
          <t>Edgar Alfredo Rebaza Vargas</t>
        </is>
      </c>
      <c r="C2" s="1" t="inlineStr">
        <is>
          <t>Ministerio Público</t>
        </is>
      </c>
      <c r="D2" s="8" t="inlineStr">
        <is>
          <t>arebaza@mpfn.gob.pe</t>
        </is>
      </c>
      <c r="G2" s="1" t="inlineStr">
        <is>
          <t>Actores clave</t>
        </is>
      </c>
      <c r="H2" s="1" t="inlineStr">
        <is>
          <t>Funcionarios</t>
        </is>
      </c>
      <c r="I2" s="1" t="inlineStr">
        <is>
          <t>Cajamarca</t>
        </is>
      </c>
      <c r="J2" s="1" t="inlineStr">
        <is>
          <t>APOYO</t>
        </is>
      </c>
      <c r="K2" s="1" t="inlineStr">
        <is>
          <t>Contactado</t>
        </is>
      </c>
      <c r="L2" s="2" t="n">
        <v>45943</v>
      </c>
      <c r="M2" s="2" t="n">
        <v>45945</v>
      </c>
      <c r="N2" s="2" t="n">
        <v>45946</v>
      </c>
      <c r="O2" s="1" t="inlineStr">
        <is>
          <t>Rechazada</t>
        </is>
      </c>
      <c r="P2" s="2" t="n"/>
      <c r="Q2" s="2" t="n"/>
      <c r="R2" s="1" t="inlineStr">
        <is>
          <t>No realizada</t>
        </is>
      </c>
      <c r="T2" s="1" t="inlineStr">
        <is>
          <t>Sí</t>
        </is>
      </c>
      <c r="U2" s="1" t="inlineStr">
        <is>
          <t>Presencial</t>
        </is>
      </c>
      <c r="Y2" s="1" t="inlineStr">
        <is>
          <t>Luego del ingreso por Mesa de Partes Virtual, delegaron a Ana Susana Cercado Silva, Fiscal Provincial de la Fiscalia Provincial Corporativa Especailizada en Delitos de Violencia contra las Mujeres y los Integrantes del Grupo Familiar - Cajamrca</t>
        </is>
      </c>
    </row>
    <row r="3" ht="12.75" customHeight="true">
      <c r="A3" s="1">
        <f>A2+1</f>
        <v/>
      </c>
      <c r="B3" s="9" t="inlineStr">
        <is>
          <t>Carmen Miranda Vidaurre</t>
        </is>
      </c>
      <c r="C3" s="1" t="inlineStr">
        <is>
          <t>Ministerio Público</t>
        </is>
      </c>
      <c r="D3" s="5" t="inlineStr">
        <is>
          <t>cmirandadj@mpfn.gob.pe</t>
        </is>
      </c>
      <c r="G3" s="1" t="inlineStr">
        <is>
          <t>Actores clave</t>
        </is>
      </c>
      <c r="H3" s="1" t="inlineStr">
        <is>
          <t>Funcionarios</t>
        </is>
      </c>
      <c r="I3" s="1" t="inlineStr">
        <is>
          <t>Nacional</t>
        </is>
      </c>
      <c r="J3" s="1" t="inlineStr">
        <is>
          <t>APOYO</t>
        </is>
      </c>
      <c r="K3" s="1" t="inlineStr">
        <is>
          <t>Contactado</t>
        </is>
      </c>
      <c r="L3" s="2" t="n">
        <v>45943</v>
      </c>
      <c r="M3" s="2" t="n">
        <v>45946</v>
      </c>
      <c r="N3" s="2" t="n">
        <v>45954</v>
      </c>
      <c r="O3" s="1" t="inlineStr">
        <is>
          <t>Rechazada</t>
        </is>
      </c>
      <c r="R3" s="1" t="inlineStr">
        <is>
          <t>No realizada</t>
        </is>
      </c>
      <c r="T3" s="1" t="inlineStr">
        <is>
          <t>Sí</t>
        </is>
      </c>
      <c r="U3" s="1" t="inlineStr">
        <is>
          <t>A distancia asistido</t>
        </is>
      </c>
      <c r="Y3" s="1" t="inlineStr">
        <is>
          <t>Se ingresó oficio por Mesa de Partes Virtual. Respondieron solicitando información detallada del estudio, incluso compartir instrumentos, e indicando que solo puede tener una duración de 10 minutos.</t>
        </is>
      </c>
    </row>
    <row r="4" ht="12.75" customHeight="true">
      <c r="A4" s="1">
        <f>A3+1</f>
        <v/>
      </c>
      <c r="B4" s="9" t="inlineStr">
        <is>
          <t>Marco de la Cruz Espejo</t>
        </is>
      </c>
      <c r="C4" s="1" t="inlineStr">
        <is>
          <t>Ministerio Público</t>
        </is>
      </c>
      <c r="D4" s="5" t="inlineStr">
        <is>
          <t>mdelacruzdj@mpfn.gob.pe</t>
        </is>
      </c>
      <c r="G4" s="1" t="inlineStr">
        <is>
          <t>Actores clave</t>
        </is>
      </c>
      <c r="H4" s="1" t="inlineStr">
        <is>
          <t>Funcionarios</t>
        </is>
      </c>
      <c r="I4" s="1" t="inlineStr">
        <is>
          <t>Nacional</t>
        </is>
      </c>
      <c r="J4" s="1" t="inlineStr">
        <is>
          <t>APOYO</t>
        </is>
      </c>
      <c r="K4" s="1" t="inlineStr">
        <is>
          <t>Contactado</t>
        </is>
      </c>
      <c r="L4" s="2" t="n">
        <v>45943</v>
      </c>
      <c r="M4" s="2" t="n">
        <v>45946</v>
      </c>
      <c r="N4" s="2" t="n">
        <v>45950</v>
      </c>
      <c r="O4" s="1" t="inlineStr">
        <is>
          <t>Sin respuesta</t>
        </is>
      </c>
      <c r="R4" s="1" t="inlineStr">
        <is>
          <t>No realizada</t>
        </is>
      </c>
      <c r="T4" s="1" t="inlineStr">
        <is>
          <t>Sí</t>
        </is>
      </c>
      <c r="U4" s="1" t="inlineStr">
        <is>
          <t>Autoadministrado</t>
        </is>
      </c>
      <c r="Y4" s="1" t="inlineStr">
        <is>
          <t>Se ingresó oficio por Mesa de Partes Virtual, en seguimiento.</t>
        </is>
      </c>
    </row>
    <row r="5" ht="12.75" customHeight="true">
      <c r="A5" s="1">
        <f>A4+1</f>
        <v/>
      </c>
      <c r="B5" s="9" t="inlineStr">
        <is>
          <t>Karen De Los Milagros Ucañan Cachy</t>
        </is>
      </c>
      <c r="C5" s="1" t="inlineStr">
        <is>
          <t>Centros de Acogida Residencial</t>
        </is>
      </c>
      <c r="D5" s="5" t="inlineStr">
        <is>
          <t>karen.uc7@hotmail.com</t>
        </is>
      </c>
      <c r="G5" s="1" t="inlineStr">
        <is>
          <t>Actores clave</t>
        </is>
      </c>
      <c r="H5" s="1" t="inlineStr">
        <is>
          <t>Actores locales</t>
        </is>
      </c>
      <c r="I5" s="1" t="inlineStr">
        <is>
          <t>Cajamarca</t>
        </is>
      </c>
      <c r="J5" s="1" t="inlineStr">
        <is>
          <t>APOYO</t>
        </is>
      </c>
      <c r="K5" s="1" t="inlineStr">
        <is>
          <t>Contactado</t>
        </is>
      </c>
      <c r="L5" s="2" t="n">
        <v>45943</v>
      </c>
      <c r="M5" s="2" t="n">
        <v>45945</v>
      </c>
      <c r="N5" s="2" t="n">
        <v>45946</v>
      </c>
      <c r="O5" s="1" t="inlineStr">
        <is>
          <t>Sin respuesta</t>
        </is>
      </c>
      <c r="R5" s="1" t="inlineStr">
        <is>
          <t>No realizada</t>
        </is>
      </c>
      <c r="T5" s="1" t="inlineStr">
        <is>
          <t>Sí</t>
        </is>
      </c>
      <c r="U5" s="1" t="inlineStr">
        <is>
          <t>Presencial</t>
        </is>
      </c>
      <c r="Y5" s="1" t="inlineStr">
        <is>
          <t>Pese a que brindó contacto y mostró disposición en la visita presencial, actualmente no responde.</t>
        </is>
      </c>
    </row>
    <row r="6" ht="12.75" customHeight="true">
      <c r="A6" s="1">
        <f>A5+1</f>
        <v/>
      </c>
      <c r="B6" s="1" t="inlineStr">
        <is>
          <t>María Barbara Venemans De Wilde</t>
        </is>
      </c>
      <c r="C6" s="1" t="inlineStr">
        <is>
          <t>Centros de Acogida Residencial</t>
        </is>
      </c>
      <c r="D6" s="5" t="inlineStr">
        <is>
          <t>alanyasantacruz@loscachorros.nl</t>
        </is>
      </c>
      <c r="G6" s="1" t="inlineStr">
        <is>
          <t>Actores clave</t>
        </is>
      </c>
      <c r="H6" s="1" t="inlineStr">
        <is>
          <t>Actores locales</t>
        </is>
      </c>
      <c r="I6" s="1" t="inlineStr">
        <is>
          <t>Ayacucho</t>
        </is>
      </c>
      <c r="J6" s="1" t="inlineStr">
        <is>
          <t>APOYO</t>
        </is>
      </c>
      <c r="K6" s="1" t="inlineStr">
        <is>
          <t>Contactado</t>
        </is>
      </c>
      <c r="L6" s="2" t="n">
        <v>45943</v>
      </c>
      <c r="M6" s="2" t="n">
        <v>45945</v>
      </c>
      <c r="N6" s="2" t="n">
        <v>45946</v>
      </c>
      <c r="O6" s="1" t="inlineStr">
        <is>
          <t>Rechazada</t>
        </is>
      </c>
      <c r="R6" s="1" t="inlineStr">
        <is>
          <t>No realizada</t>
        </is>
      </c>
      <c r="T6" s="1" t="inlineStr">
        <is>
          <t>Sí</t>
        </is>
      </c>
      <c r="U6" s="1" t="inlineStr">
        <is>
          <t>A distancia asistido</t>
        </is>
      </c>
      <c r="V6" s="1" t="inlineStr">
        <is>
          <t>A distancia asistido</t>
        </is>
      </c>
      <c r="Y6" s="1" t="inlineStr">
        <is>
          <t>María deriva a Delmir, Área promoción interinstitucional, para realizar entrevista 23/10.</t>
        </is>
      </c>
    </row>
    <row r="7" ht="12.75" customHeight="true">
      <c r="A7" s="1">
        <f>A6+1</f>
        <v/>
      </c>
      <c r="B7" s="1" t="inlineStr">
        <is>
          <t>María Magdalena Resurrección Valdivia</t>
        </is>
      </c>
      <c r="C7" s="1" t="inlineStr">
        <is>
          <t>Centros de Acogida Residencial</t>
        </is>
      </c>
      <c r="D7" s="5" t="inlineStr">
        <is>
          <t>car.pillcomozo@inabif.gob.pe</t>
        </is>
      </c>
      <c r="G7" s="1" t="inlineStr">
        <is>
          <t>Actores clave</t>
        </is>
      </c>
      <c r="H7" s="1" t="inlineStr">
        <is>
          <t>Actores locales</t>
        </is>
      </c>
      <c r="I7" s="1" t="inlineStr">
        <is>
          <t>Huánuco</t>
        </is>
      </c>
      <c r="J7" s="1" t="inlineStr">
        <is>
          <t>APOYO</t>
        </is>
      </c>
      <c r="K7" s="1" t="inlineStr">
        <is>
          <t>Contactado</t>
        </is>
      </c>
      <c r="L7" s="2" t="n">
        <v>45943</v>
      </c>
      <c r="M7" s="2" t="n">
        <v>45946</v>
      </c>
      <c r="O7" s="1" t="inlineStr">
        <is>
          <t>Realizada</t>
        </is>
      </c>
      <c r="P7" s="2" t="n">
        <v>45946</v>
      </c>
      <c r="Q7" s="2" t="n">
        <v>45946</v>
      </c>
      <c r="R7" s="1" t="inlineStr">
        <is>
          <t>Completa</t>
        </is>
      </c>
      <c r="S7" s="1" t="n">
        <v>14</v>
      </c>
      <c r="T7" s="1" t="inlineStr">
        <is>
          <t>Sí</t>
        </is>
      </c>
      <c r="U7" s="1" t="inlineStr">
        <is>
          <t>Autoadministrado</t>
        </is>
      </c>
      <c r="V7" s="1" t="inlineStr">
        <is>
          <t>Autoadministrado</t>
        </is>
      </c>
      <c r="Y7" s="1" t="inlineStr">
        <is>
          <t>-</t>
        </is>
      </c>
    </row>
    <row r="8" ht="12.75" customHeight="true">
      <c r="A8" s="1">
        <f>A7+1</f>
        <v/>
      </c>
      <c r="B8" s="1" t="inlineStr">
        <is>
          <t>Angie Vargas</t>
        </is>
      </c>
      <c r="C8" s="1" t="inlineStr">
        <is>
          <t>Manuela Ramos</t>
        </is>
      </c>
      <c r="D8" s="5" t="n"/>
      <c r="E8" s="5" t="inlineStr">
        <is>
          <t>985 062 650 (Rocío Gutíerrez, directora)</t>
        </is>
      </c>
      <c r="G8" s="1" t="inlineStr">
        <is>
          <t>Actores clave</t>
        </is>
      </c>
      <c r="H8" s="1" t="inlineStr">
        <is>
          <t>Actores locales</t>
        </is>
      </c>
      <c r="I8" s="1" t="inlineStr">
        <is>
          <t>Nacional</t>
        </is>
      </c>
      <c r="J8" s="1" t="inlineStr">
        <is>
          <t>IJM</t>
        </is>
      </c>
      <c r="K8" s="1" t="inlineStr">
        <is>
          <t>Contactado</t>
        </is>
      </c>
      <c r="L8" s="2" t="n">
        <v>45943</v>
      </c>
      <c r="O8" s="1" t="inlineStr">
        <is>
          <t>Sin respuesta</t>
        </is>
      </c>
      <c r="R8" s="1" t="inlineStr">
        <is>
          <t>No realizada</t>
        </is>
      </c>
      <c r="T8" s="1" t="inlineStr">
        <is>
          <t>Sí</t>
        </is>
      </c>
      <c r="U8" s="1" t="inlineStr">
        <is>
          <t>Presencial</t>
        </is>
      </c>
      <c r="Y8" s="1" t="inlineStr">
        <is>
          <t>Coordinación directa con IJM.</t>
        </is>
      </c>
    </row>
    <row r="9" ht="12.75" customHeight="true">
      <c r="A9" s="1">
        <f>A8+1</f>
        <v/>
      </c>
      <c r="B9" s="1" t="inlineStr">
        <is>
          <t>Intikilla Delgado</t>
        </is>
      </c>
      <c r="C9" s="1" t="inlineStr">
        <is>
          <t>Asociación Kallpa</t>
        </is>
      </c>
      <c r="D9" s="5" t="inlineStr">
        <is>
          <t>comunicaciones@kallpa.org.pe</t>
        </is>
      </c>
      <c r="G9" s="1" t="inlineStr">
        <is>
          <t>Actores clave</t>
        </is>
      </c>
      <c r="H9" s="1" t="inlineStr">
        <is>
          <t>Actores locales</t>
        </is>
      </c>
      <c r="I9" s="1" t="inlineStr">
        <is>
          <t>Nacional</t>
        </is>
      </c>
      <c r="J9" s="1" t="inlineStr">
        <is>
          <t>APOYO</t>
        </is>
      </c>
      <c r="K9" s="1" t="inlineStr">
        <is>
          <t>Contactado</t>
        </is>
      </c>
      <c r="L9" s="2" t="n">
        <v>45943</v>
      </c>
      <c r="O9" s="1" t="inlineStr">
        <is>
          <t>Sin respuesta</t>
        </is>
      </c>
      <c r="R9" s="1" t="inlineStr">
        <is>
          <t>No realizada</t>
        </is>
      </c>
      <c r="T9" s="1" t="inlineStr">
        <is>
          <t>Sí</t>
        </is>
      </c>
      <c r="U9" s="1" t="inlineStr">
        <is>
          <t>A distancia asistido</t>
        </is>
      </c>
      <c r="Y9" s="1" t="inlineStr">
        <is>
          <t>No se logró contacto por ningun medio, se reemplaza por Kathia Villar de AMAR C, en seguimiento.</t>
        </is>
      </c>
    </row>
    <row r="10" ht="12.75" customHeight="true">
      <c r="A10" s="1">
        <f>A9+1</f>
        <v/>
      </c>
      <c r="B10" s="1" t="inlineStr">
        <is>
          <t>Rosa Peña</t>
        </is>
      </c>
      <c r="C10" s="1" t="inlineStr">
        <is>
          <t>Kids Alive</t>
        </is>
      </c>
      <c r="D10" s="5" t="inlineStr">
        <is>
          <t>rosa.pena@kidsalive.org</t>
        </is>
      </c>
      <c r="G10" s="1" t="inlineStr">
        <is>
          <t>Actores clave</t>
        </is>
      </c>
      <c r="H10" s="1" t="inlineStr">
        <is>
          <t>Actores locales</t>
        </is>
      </c>
      <c r="I10" s="1" t="inlineStr">
        <is>
          <t>Ucayali</t>
        </is>
      </c>
      <c r="J10" s="1" t="inlineStr">
        <is>
          <t>APOYO</t>
        </is>
      </c>
      <c r="K10" s="1" t="inlineStr">
        <is>
          <t>Contactado</t>
        </is>
      </c>
      <c r="L10" s="2" t="n">
        <v>45943</v>
      </c>
      <c r="M10" s="2" t="n">
        <v>45946</v>
      </c>
      <c r="N10" s="2" t="n">
        <v>45951</v>
      </c>
      <c r="O10" s="1" t="inlineStr">
        <is>
          <t>Realizada</t>
        </is>
      </c>
      <c r="P10" s="2" t="n">
        <v>45951</v>
      </c>
      <c r="Q10" s="2" t="n">
        <v>45951</v>
      </c>
      <c r="R10" s="1" t="inlineStr">
        <is>
          <t>Completa</t>
        </is>
      </c>
      <c r="S10" t="n"/>
      <c r="T10" s="1" t="inlineStr">
        <is>
          <t>Sí</t>
        </is>
      </c>
      <c r="U10" s="1" t="inlineStr">
        <is>
          <t>Autoadministrado</t>
        </is>
      </c>
      <c r="V10" s="1" t="inlineStr">
        <is>
          <t>Autoadministrado</t>
        </is>
      </c>
      <c r="Y10" s="1" t="inlineStr">
        <is>
          <t>Confirmó participación con IJM, se le envió cuestionario, aun sin respuesta.</t>
        </is>
      </c>
    </row>
    <row r="11" ht="12.75" customHeight="true">
      <c r="A11" s="1">
        <f>A10+1</f>
        <v/>
      </c>
      <c r="B11" s="1" t="inlineStr">
        <is>
          <t>Kelly Sopla Rojas</t>
        </is>
      </c>
      <c r="C11" s="1" t="inlineStr">
        <is>
          <t>CEM</t>
        </is>
      </c>
      <c r="D11" s="5" t="inlineStr">
        <is>
          <t>kellysopla_obst@yahoo.es</t>
        </is>
      </c>
      <c r="G11" s="1" t="inlineStr">
        <is>
          <t>Actores clave</t>
        </is>
      </c>
      <c r="H11" s="1" t="inlineStr">
        <is>
          <t>Acompañantes</t>
        </is>
      </c>
      <c r="I11" s="1" t="inlineStr">
        <is>
          <t>Lima Norte</t>
        </is>
      </c>
      <c r="J11" s="1" t="inlineStr">
        <is>
          <t>APOYO</t>
        </is>
      </c>
      <c r="K11" s="1" t="inlineStr">
        <is>
          <t>Contactado</t>
        </is>
      </c>
      <c r="L11" s="2" t="n">
        <v>45943</v>
      </c>
      <c r="M11" s="2" t="n">
        <v>45945</v>
      </c>
      <c r="N11" s="2" t="n">
        <v>45946</v>
      </c>
      <c r="O11" s="1" t="inlineStr">
        <is>
          <t>Realizada</t>
        </is>
      </c>
      <c r="P11" s="2" t="n">
        <v>45952</v>
      </c>
      <c r="Q11" s="2" t="n">
        <v>45952</v>
      </c>
      <c r="R11" s="1" t="inlineStr">
        <is>
          <t>Completa</t>
        </is>
      </c>
      <c r="T11" s="1" t="inlineStr">
        <is>
          <t>Sí</t>
        </is>
      </c>
      <c r="U11" s="1" t="inlineStr">
        <is>
          <t>Presencial</t>
        </is>
      </c>
      <c r="V11" s="1" t="inlineStr">
        <is>
          <t>A distancia asistido</t>
        </is>
      </c>
      <c r="Y11" s="1" t="inlineStr">
        <is>
          <t>Solciitó entrevista "virtual" y a título personal, no como CEM.</t>
        </is>
      </c>
    </row>
    <row r="12" ht="12.75" customHeight="true">
      <c r="A12" s="1">
        <f>A11+1</f>
        <v/>
      </c>
      <c r="B12" s="1" t="inlineStr">
        <is>
          <t>Felix Dulio Sobrado Chavez</t>
        </is>
      </c>
      <c r="C12" s="1" t="inlineStr">
        <is>
          <t>CEM</t>
        </is>
      </c>
      <c r="D12" s="5" t="n"/>
      <c r="E12" s="10" t="n">
        <v>941526985</v>
      </c>
      <c r="G12" s="1" t="inlineStr">
        <is>
          <t>Actores clave</t>
        </is>
      </c>
      <c r="H12" s="1" t="inlineStr">
        <is>
          <t>Acompañantes</t>
        </is>
      </c>
      <c r="I12" s="1" t="inlineStr">
        <is>
          <t>Huánuco</t>
        </is>
      </c>
      <c r="J12" s="1" t="inlineStr">
        <is>
          <t>IJM</t>
        </is>
      </c>
      <c r="K12" s="1" t="inlineStr">
        <is>
          <t>Contactado</t>
        </is>
      </c>
      <c r="L12" s="2" t="n">
        <v>45943</v>
      </c>
      <c r="O12" s="1" t="inlineStr">
        <is>
          <t>Sin respuesta</t>
        </is>
      </c>
      <c r="R12" s="1" t="inlineStr">
        <is>
          <t>No realizada</t>
        </is>
      </c>
      <c r="T12" s="1" t="inlineStr">
        <is>
          <t>Sí</t>
        </is>
      </c>
      <c r="U12" s="1" t="inlineStr">
        <is>
          <t>A distancia asistido</t>
        </is>
      </c>
      <c r="Y12" s="1" t="inlineStr">
        <is>
          <t>Coordinación directa con IJM.</t>
        </is>
      </c>
    </row>
    <row r="13" ht="12.75" customHeight="true">
      <c r="A13" s="1">
        <f>A12+1</f>
        <v/>
      </c>
      <c r="B13" s="1" t="inlineStr">
        <is>
          <t>Silvio Mestanza Dominguez</t>
        </is>
      </c>
      <c r="C13" s="1" t="inlineStr">
        <is>
          <t>CEM</t>
        </is>
      </c>
      <c r="D13" s="5" t="inlineStr">
        <is>
          <t>silvio.mestanza@aurora.gob.pe</t>
        </is>
      </c>
      <c r="G13" s="1" t="inlineStr">
        <is>
          <t>Actores clave</t>
        </is>
      </c>
      <c r="H13" s="1" t="inlineStr">
        <is>
          <t>Acompañantes</t>
        </is>
      </c>
      <c r="I13" s="1" t="inlineStr">
        <is>
          <t>Loreto</t>
        </is>
      </c>
      <c r="J13" s="1" t="inlineStr">
        <is>
          <t>APOYO</t>
        </is>
      </c>
      <c r="K13" s="1" t="inlineStr">
        <is>
          <t>Contactado</t>
        </is>
      </c>
      <c r="L13" s="2" t="n">
        <v>45943</v>
      </c>
      <c r="M13" s="2" t="n">
        <v>45946</v>
      </c>
      <c r="N13" s="2" t="n">
        <v>45947</v>
      </c>
      <c r="O13" s="1" t="inlineStr">
        <is>
          <t>Sin respuesta</t>
        </is>
      </c>
      <c r="R13" s="1" t="inlineStr">
        <is>
          <t>No realizada</t>
        </is>
      </c>
      <c r="T13" s="1" t="inlineStr">
        <is>
          <t>Sí</t>
        </is>
      </c>
      <c r="U13" s="1" t="inlineStr">
        <is>
          <t>Autoadministrado</t>
        </is>
      </c>
      <c r="Y13" s="1" t="inlineStr">
        <is>
          <t>Solicitió ser contactado desde el 21/10, no respondió más, aparentemente bloqueó nuestros números. Se está intentando contacto con responsables del CEM Iquitos o CEM Nauta, como reemplazos.</t>
        </is>
      </c>
    </row>
    <row r="14" ht="12.75" customHeight="true">
      <c r="A14" s="1">
        <f>A13+1</f>
        <v/>
      </c>
      <c r="B14" s="1" t="inlineStr">
        <is>
          <t>Ana Susana Cercado Silva</t>
        </is>
      </c>
      <c r="C14" s="1" t="inlineStr">
        <is>
          <t>Ministerio Público</t>
        </is>
      </c>
      <c r="D14" s="8" t="inlineStr">
        <is>
          <t>-</t>
        </is>
      </c>
      <c r="E14" s="1" t="inlineStr">
        <is>
          <t>-</t>
        </is>
      </c>
      <c r="G14" s="1" t="inlineStr">
        <is>
          <t>Actores clave</t>
        </is>
      </c>
      <c r="H14" s="1" t="inlineStr">
        <is>
          <t>Funcionarios</t>
        </is>
      </c>
      <c r="I14" s="1" t="inlineStr">
        <is>
          <t>Cajamarca</t>
        </is>
      </c>
      <c r="J14" s="1" t="inlineStr">
        <is>
          <t>APOYO</t>
        </is>
      </c>
      <c r="K14" s="1" t="inlineStr">
        <is>
          <t>Contactado</t>
        </is>
      </c>
      <c r="L14" s="2" t="n"/>
      <c r="M14" s="2" t="n"/>
      <c r="N14" s="2" t="n"/>
      <c r="O14" s="1" t="inlineStr">
        <is>
          <t>Realizada</t>
        </is>
      </c>
      <c r="P14" s="2" t="n">
        <v>45964</v>
      </c>
      <c r="Q14" s="2" t="n">
        <v>45964</v>
      </c>
      <c r="R14" s="1" t="inlineStr">
        <is>
          <t>Completa</t>
        </is>
      </c>
      <c r="S14" s="1" t="n">
        <v>60</v>
      </c>
      <c r="T14" s="1" t="inlineStr">
        <is>
          <t>No</t>
        </is>
      </c>
      <c r="U14" s="1" t="inlineStr">
        <is>
          <t>A distancia asistido</t>
        </is>
      </c>
      <c r="V14" s="1" t="inlineStr">
        <is>
          <t>A distancia asistido</t>
        </is>
      </c>
      <c r="Y14" s="1" t="inlineStr">
        <is>
          <t>Entrevistada fue derivada por Edgar Alfredo Rebaza Vargas</t>
        </is>
      </c>
    </row>
    <row r="15" ht="12.75" customHeight="true">
      <c r="A15" s="1">
        <f>A14+1</f>
        <v/>
      </c>
      <c r="B15" s="9" t="inlineStr">
        <is>
          <t>Luz Esperanza Rumay Cerna</t>
        </is>
      </c>
      <c r="C15" s="1" t="inlineStr">
        <is>
          <t>Centros de Acogida Residencial</t>
        </is>
      </c>
      <c r="D15" s="5" t="n"/>
      <c r="G15" s="1" t="inlineStr">
        <is>
          <t>Actores clave</t>
        </is>
      </c>
      <c r="H15" s="1" t="inlineStr">
        <is>
          <t>Actores locales</t>
        </is>
      </c>
      <c r="I15" s="1" t="inlineStr">
        <is>
          <t>Cajamarca</t>
        </is>
      </c>
      <c r="J15" s="1" t="inlineStr">
        <is>
          <t>APOYO</t>
        </is>
      </c>
      <c r="K15" s="1" t="inlineStr">
        <is>
          <t>Contactado</t>
        </is>
      </c>
      <c r="L15" s="2" t="n">
        <v>45950</v>
      </c>
      <c r="M15" s="2" t="n">
        <v>45960</v>
      </c>
      <c r="N15" s="2" t="n">
        <v>45964</v>
      </c>
      <c r="O15" s="1" t="inlineStr">
        <is>
          <t>Realizada</t>
        </is>
      </c>
      <c r="P15" s="2" t="n">
        <v>45972</v>
      </c>
      <c r="R15" s="1" t="inlineStr">
        <is>
          <t>Completa</t>
        </is>
      </c>
      <c r="T15" s="1" t="inlineStr">
        <is>
          <t>No</t>
        </is>
      </c>
      <c r="U15" s="1" t="inlineStr">
        <is>
          <t>Presencial</t>
        </is>
      </c>
      <c r="V15" s="1" t="inlineStr">
        <is>
          <t>A distancia asistido</t>
        </is>
      </c>
    </row>
    <row r="16" ht="12.75" customHeight="true">
      <c r="A16" s="1">
        <f>A15+1</f>
        <v/>
      </c>
      <c r="B16" s="1" t="inlineStr">
        <is>
          <t>Delmir</t>
        </is>
      </c>
      <c r="C16" s="1" t="inlineStr">
        <is>
          <t>Centros de Acogida Residencial</t>
        </is>
      </c>
      <c r="D16" s="5" t="n"/>
      <c r="G16" s="1" t="inlineStr">
        <is>
          <t>Actores clave</t>
        </is>
      </c>
      <c r="H16" s="1" t="inlineStr">
        <is>
          <t>Actores locales</t>
        </is>
      </c>
      <c r="I16" s="1" t="inlineStr">
        <is>
          <t>Ayacucho</t>
        </is>
      </c>
      <c r="J16" s="1" t="inlineStr">
        <is>
          <t>APOYO</t>
        </is>
      </c>
      <c r="K16" s="1" t="inlineStr">
        <is>
          <t>Contactado</t>
        </is>
      </c>
      <c r="L16" s="2" t="n">
        <v>45946</v>
      </c>
      <c r="M16" s="2" t="n"/>
      <c r="N16" s="2" t="n"/>
      <c r="O16" s="1" t="inlineStr">
        <is>
          <t>Realizada</t>
        </is>
      </c>
      <c r="P16" s="2" t="n">
        <v>45953</v>
      </c>
      <c r="Q16" s="2" t="n">
        <v>45953</v>
      </c>
      <c r="R16" s="1" t="inlineStr">
        <is>
          <t>Completa</t>
        </is>
      </c>
      <c r="S16" s="1" t="n">
        <v>60</v>
      </c>
      <c r="T16" s="1" t="inlineStr">
        <is>
          <t>No</t>
        </is>
      </c>
      <c r="U16" s="1" t="inlineStr">
        <is>
          <t>A distancia asistido</t>
        </is>
      </c>
      <c r="V16" s="1" t="inlineStr">
        <is>
          <t>A distancia asistido</t>
        </is>
      </c>
    </row>
    <row r="17" ht="12.75" customHeight="true">
      <c r="A17" s="1">
        <f>A16+1</f>
        <v/>
      </c>
      <c r="B17" s="1" t="inlineStr">
        <is>
          <t>Sobreviviente 1</t>
        </is>
      </c>
      <c r="C17" s="1" t="inlineStr">
        <is>
          <t>n.a.</t>
        </is>
      </c>
      <c r="D17" s="1" t="inlineStr">
        <is>
          <t>n.a.</t>
        </is>
      </c>
      <c r="E17" s="1" t="inlineStr">
        <is>
          <t>n.a.</t>
        </is>
      </c>
      <c r="F17" s="1" t="inlineStr">
        <is>
          <t>n.a.</t>
        </is>
      </c>
      <c r="G17" s="1" t="inlineStr">
        <is>
          <t>Sobrevivientes y líderes sobrevivientes</t>
        </is>
      </c>
      <c r="H17" s="1" t="inlineStr">
        <is>
          <t>Sobreviviente</t>
        </is>
      </c>
      <c r="I17" s="1" t="inlineStr">
        <is>
          <t>Apurímac</t>
        </is>
      </c>
      <c r="J17" s="1" t="inlineStr">
        <is>
          <t>IJM</t>
        </is>
      </c>
      <c r="K17" s="1" t="inlineStr">
        <is>
          <t>Contactado</t>
        </is>
      </c>
      <c r="L17" t="n"/>
      <c r="O17" s="1" t="inlineStr">
        <is>
          <t>Realizada</t>
        </is>
      </c>
      <c r="P17" s="2" t="n">
        <v>45951</v>
      </c>
      <c r="Q17" s="2" t="n">
        <v>45951</v>
      </c>
      <c r="R17" s="1" t="inlineStr">
        <is>
          <t>Completa</t>
        </is>
      </c>
      <c r="T17" s="1" t="inlineStr">
        <is>
          <t>n.a.</t>
        </is>
      </c>
      <c r="U17" s="1" t="inlineStr">
        <is>
          <t>Presencial</t>
        </is>
      </c>
      <c r="V17" s="1" t="inlineStr">
        <is>
          <t>Presencial</t>
        </is>
      </c>
    </row>
    <row r="18" ht="12.75" customHeight="true">
      <c r="A18" s="1">
        <f>A17+1</f>
        <v/>
      </c>
      <c r="B18" s="1" t="inlineStr">
        <is>
          <t>Sobreviviente 2</t>
        </is>
      </c>
      <c r="C18" s="1" t="inlineStr">
        <is>
          <t>n.a.</t>
        </is>
      </c>
      <c r="D18" s="1" t="inlineStr">
        <is>
          <t>n.a.</t>
        </is>
      </c>
      <c r="E18" s="1" t="inlineStr">
        <is>
          <t>n.a.</t>
        </is>
      </c>
      <c r="F18" s="1" t="inlineStr">
        <is>
          <t>n.a.</t>
        </is>
      </c>
      <c r="G18" s="1" t="inlineStr">
        <is>
          <t>Sobrevivientes y líderes sobrevivientes</t>
        </is>
      </c>
      <c r="H18" s="1" t="inlineStr">
        <is>
          <t>Sobreviviente</t>
        </is>
      </c>
      <c r="I18" s="1" t="inlineStr">
        <is>
          <t>Apurímac</t>
        </is>
      </c>
      <c r="J18" s="1" t="inlineStr">
        <is>
          <t>IJM</t>
        </is>
      </c>
      <c r="K18" s="1" t="inlineStr">
        <is>
          <t>Contactado</t>
        </is>
      </c>
      <c r="O18" s="1" t="inlineStr">
        <is>
          <t>Realizada</t>
        </is>
      </c>
      <c r="P18" s="2" t="n">
        <v>45951</v>
      </c>
      <c r="Q18" s="2" t="n">
        <v>45951</v>
      </c>
      <c r="R18" s="1" t="inlineStr">
        <is>
          <t>Completa</t>
        </is>
      </c>
      <c r="T18" s="1" t="inlineStr">
        <is>
          <t>n.a.</t>
        </is>
      </c>
      <c r="U18" s="1" t="inlineStr">
        <is>
          <t>Presencial</t>
        </is>
      </c>
      <c r="V18" s="1" t="inlineStr">
        <is>
          <t>Presencial</t>
        </is>
      </c>
    </row>
    <row r="19" ht="12.75" customHeight="true">
      <c r="A19" s="1">
        <f>A18+1</f>
        <v/>
      </c>
      <c r="B19" s="1" t="inlineStr">
        <is>
          <t>Sobreviviente 3</t>
        </is>
      </c>
      <c r="C19" s="1" t="inlineStr">
        <is>
          <t>n.a.</t>
        </is>
      </c>
      <c r="D19" s="1" t="inlineStr">
        <is>
          <t>n.a.</t>
        </is>
      </c>
      <c r="E19" s="1" t="inlineStr">
        <is>
          <t>n.a.</t>
        </is>
      </c>
      <c r="F19" s="1" t="inlineStr">
        <is>
          <t>n.a.</t>
        </is>
      </c>
      <c r="G19" s="1" t="inlineStr">
        <is>
          <t>Sobrevivientes y líderes sobrevivientes</t>
        </is>
      </c>
      <c r="H19" s="1" t="inlineStr">
        <is>
          <t>Sobreviviente</t>
        </is>
      </c>
      <c r="I19" s="1" t="inlineStr">
        <is>
          <t>Lima Norte</t>
        </is>
      </c>
      <c r="J19" s="1" t="inlineStr">
        <is>
          <t>IJM</t>
        </is>
      </c>
      <c r="K19" s="1" t="inlineStr">
        <is>
          <t>Contactado</t>
        </is>
      </c>
      <c r="O19" s="1" t="inlineStr">
        <is>
          <t>Realizada</t>
        </is>
      </c>
      <c r="P19" s="2" t="n">
        <v>45958</v>
      </c>
      <c r="Q19" s="2" t="n">
        <v>45958</v>
      </c>
      <c r="R19" s="1" t="inlineStr">
        <is>
          <t>Completa</t>
        </is>
      </c>
      <c r="T19" s="1" t="inlineStr">
        <is>
          <t>n.a.</t>
        </is>
      </c>
      <c r="U19" s="1" t="inlineStr">
        <is>
          <t>Presencial</t>
        </is>
      </c>
      <c r="V19" s="1" t="inlineStr">
        <is>
          <t>Presencial</t>
        </is>
      </c>
    </row>
    <row r="20" ht="12.75" customHeight="true">
      <c r="A20" s="1">
        <f>A19+1</f>
        <v/>
      </c>
      <c r="B20" s="1" t="inlineStr">
        <is>
          <t>Sobreviviente 4</t>
        </is>
      </c>
      <c r="C20" s="1" t="inlineStr">
        <is>
          <t>n.a.</t>
        </is>
      </c>
      <c r="D20" s="1" t="inlineStr">
        <is>
          <t>n.a.</t>
        </is>
      </c>
      <c r="E20" s="1" t="inlineStr">
        <is>
          <t>n.a.</t>
        </is>
      </c>
      <c r="F20" s="1" t="inlineStr">
        <is>
          <t>n.a.</t>
        </is>
      </c>
      <c r="G20" s="1" t="inlineStr">
        <is>
          <t>Sobrevivientes y líderes sobrevivientes</t>
        </is>
      </c>
      <c r="H20" s="1" t="inlineStr">
        <is>
          <t>Sobreviviente</t>
        </is>
      </c>
      <c r="I20" s="1" t="inlineStr">
        <is>
          <t>Lima Norte</t>
        </is>
      </c>
      <c r="J20" s="1" t="inlineStr">
        <is>
          <t>IJM</t>
        </is>
      </c>
      <c r="K20" s="1" t="inlineStr">
        <is>
          <t>Contactado</t>
        </is>
      </c>
      <c r="O20" s="1" t="inlineStr">
        <is>
          <t>Realizada</t>
        </is>
      </c>
      <c r="P20" s="2" t="n">
        <v>45958</v>
      </c>
      <c r="Q20" s="2" t="n">
        <v>45958</v>
      </c>
      <c r="R20" s="1" t="inlineStr">
        <is>
          <t>Completa</t>
        </is>
      </c>
      <c r="T20" s="1" t="inlineStr">
        <is>
          <t>n.a.</t>
        </is>
      </c>
      <c r="U20" s="1" t="inlineStr">
        <is>
          <t>Presencial</t>
        </is>
      </c>
      <c r="V20" s="1" t="inlineStr">
        <is>
          <t>Presencial</t>
        </is>
      </c>
    </row>
    <row r="21" ht="12.75" customHeight="true">
      <c r="A21" s="1">
        <f>A20+1</f>
        <v/>
      </c>
      <c r="B21" s="1" t="inlineStr">
        <is>
          <t>Sobreviviente 5</t>
        </is>
      </c>
      <c r="C21" s="1" t="inlineStr">
        <is>
          <t>n.a.</t>
        </is>
      </c>
      <c r="D21" s="1" t="inlineStr">
        <is>
          <t>n.a.</t>
        </is>
      </c>
      <c r="E21" s="1" t="inlineStr">
        <is>
          <t>n.a.</t>
        </is>
      </c>
      <c r="F21" s="1" t="inlineStr">
        <is>
          <t>n.a.</t>
        </is>
      </c>
      <c r="G21" s="1" t="inlineStr">
        <is>
          <t>Sobrevivientes y líderes sobrevivientes</t>
        </is>
      </c>
      <c r="H21" s="1" t="inlineStr">
        <is>
          <t>Sobreviviente</t>
        </is>
      </c>
      <c r="I21" s="1" t="inlineStr">
        <is>
          <t>Lima Norte</t>
        </is>
      </c>
      <c r="J21" s="1" t="inlineStr">
        <is>
          <t>IJM</t>
        </is>
      </c>
      <c r="K21" s="1" t="inlineStr">
        <is>
          <t>Contactado</t>
        </is>
      </c>
      <c r="O21" s="1" t="inlineStr">
        <is>
          <t>Realizada</t>
        </is>
      </c>
      <c r="P21" s="2" t="n">
        <v>45958</v>
      </c>
      <c r="Q21" s="2" t="n">
        <v>45958</v>
      </c>
      <c r="R21" s="1" t="inlineStr">
        <is>
          <t>Completa</t>
        </is>
      </c>
      <c r="T21" s="1" t="inlineStr">
        <is>
          <t>n.a.</t>
        </is>
      </c>
      <c r="U21" s="1" t="inlineStr">
        <is>
          <t>Presencial</t>
        </is>
      </c>
      <c r="V21" s="1" t="inlineStr">
        <is>
          <t>Presencial</t>
        </is>
      </c>
    </row>
    <row r="22" ht="12.75" customHeight="true">
      <c r="A22" s="1">
        <f>A21+1</f>
        <v/>
      </c>
      <c r="B22" s="1" t="inlineStr">
        <is>
          <t>Líder sobreviviente 1</t>
        </is>
      </c>
      <c r="C22" s="1" t="inlineStr">
        <is>
          <t>n.a.</t>
        </is>
      </c>
      <c r="D22" s="1" t="inlineStr">
        <is>
          <t>n.a.</t>
        </is>
      </c>
      <c r="E22" s="1" t="inlineStr">
        <is>
          <t>n.a.</t>
        </is>
      </c>
      <c r="F22" s="1" t="inlineStr">
        <is>
          <t>n.a.</t>
        </is>
      </c>
      <c r="G22" s="1" t="inlineStr">
        <is>
          <t>Sobrevivientes y líderes sobrevivientes</t>
        </is>
      </c>
      <c r="H22" s="1" t="inlineStr">
        <is>
          <t>Líder sobreviviente</t>
        </is>
      </c>
      <c r="I22" s="1" t="inlineStr">
        <is>
          <t>Apurímac</t>
        </is>
      </c>
      <c r="J22" s="1" t="inlineStr">
        <is>
          <t>IJM</t>
        </is>
      </c>
      <c r="K22" s="1" t="inlineStr">
        <is>
          <t>Contactado</t>
        </is>
      </c>
      <c r="O22" s="1" t="inlineStr">
        <is>
          <t>Realizada</t>
        </is>
      </c>
      <c r="P22" s="2" t="n">
        <v>45951</v>
      </c>
      <c r="Q22" s="2" t="n">
        <v>45951</v>
      </c>
      <c r="R22" s="1" t="inlineStr">
        <is>
          <t>Completa</t>
        </is>
      </c>
      <c r="T22" s="1" t="inlineStr">
        <is>
          <t>n.a.</t>
        </is>
      </c>
      <c r="U22" s="1" t="inlineStr">
        <is>
          <t>Presencial</t>
        </is>
      </c>
      <c r="V22" s="1" t="inlineStr">
        <is>
          <t>Presencial</t>
        </is>
      </c>
    </row>
  </sheetData>
  <hyperlinks>
    <hyperlink ref="D2" r:id="rId1"/>
  </hyperlinks>
  <pageMargins left="0.7" right="0.7" top="0.75" bottom="0.75" header="0.3" footer="0.3"/>
  <legacyDrawing r:id="anysvml"/>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T31"/>
  <sheetViews>
    <sheetView zoomScale="77" zoomScaleNormal="96" workbookViewId="0">
      <pane xSplit="3" ySplit="1" topLeftCell="N2" activePane="bottomRight" state="frozen"/>
      <selection pane="topRight" activeCell="C1" sqref="C1"/>
      <selection pane="bottomLeft" activeCell="A2" sqref="A2"/>
      <selection pane="bottomRight" activeCell="O17" sqref="O17"/>
    </sheetView>
  </sheetViews>
  <sheetFormatPr baseColWidth="10" defaultColWidth="10.81640625" defaultRowHeight="12.5"/>
  <cols>
    <col min="1" max="1" width="11.54296875" style="1" bestFit="true" customWidth="true"/>
    <col min="2" max="2" width="20.453125" style="1" customWidth="true"/>
    <col min="3" max="3" width="22.26953125" style="1" customWidth="true"/>
    <col min="4" max="5" width="32.81640625" style="1" customWidth="true"/>
    <col min="6" max="7" width="21" style="1" customWidth="true"/>
    <col min="8" max="8" width="22.81640625" style="1" customWidth="true"/>
    <col min="9" max="9" width="13.54296875" style="1" bestFit="true" customWidth="true"/>
    <col min="10" max="11" width="13.54296875" style="1" customWidth="true"/>
    <col min="12" max="12" width="10" style="1" bestFit="true" customWidth="true"/>
    <col min="13" max="13" width="23" style="1" bestFit="true" customWidth="true"/>
    <col min="14" max="14" width="24.81640625" style="1" bestFit="true" customWidth="true"/>
    <col min="15" max="15" width="22.54296875" style="1" bestFit="true" customWidth="true"/>
    <col min="16" max="16" width="18.1796875" style="1" bestFit="true" customWidth="true"/>
    <col min="17" max="18" width="25.54296875" style="1" bestFit="true" customWidth="true"/>
    <col min="19" max="19" width="17.81640625" style="1" bestFit="true" customWidth="true"/>
    <col min="20" max="20" width="20" style="1" customWidth="true"/>
    <col min="21" max="16384" width="10.81640625" style="1" customWidth="true"/>
  </cols>
  <sheetData>
    <row r="1" ht="13" customHeight="true">
      <c r="A1" s="3" t="inlineStr">
        <is>
          <t>Identificador</t>
        </is>
      </c>
      <c r="B1" s="3" t="inlineStr">
        <is>
          <t>Tipo de grupo focal</t>
        </is>
      </c>
      <c r="C1" s="3" t="inlineStr">
        <is>
          <t>Nombre</t>
        </is>
      </c>
      <c r="D1" s="3" t="inlineStr">
        <is>
          <t>Institución</t>
        </is>
      </c>
      <c r="E1" s="3" t="inlineStr">
        <is>
          <t>Correo</t>
        </is>
      </c>
      <c r="F1" s="3" t="inlineStr">
        <is>
          <t>Número</t>
        </is>
      </c>
      <c r="G1" s="3" t="inlineStr">
        <is>
          <t>Otro medio de contacto</t>
        </is>
      </c>
      <c r="H1" s="3" t="inlineStr">
        <is>
          <t>Tipo de actor</t>
        </is>
      </c>
      <c r="I1" s="3" t="inlineStr">
        <is>
          <t>Distrito judicial</t>
        </is>
      </c>
      <c r="J1" s="3" t="inlineStr">
        <is>
          <t>Encargado de contacto</t>
        </is>
      </c>
      <c r="K1" s="3" t="inlineStr">
        <is>
          <t>Medio de contacto</t>
        </is>
      </c>
      <c r="L1" s="3" t="inlineStr">
        <is>
          <t>Contacto</t>
        </is>
      </c>
      <c r="M1" s="3" t="inlineStr">
        <is>
          <t>Fecha de primer contacto</t>
        </is>
      </c>
      <c r="N1" s="3" t="inlineStr">
        <is>
          <t>Fecha de segundo contacto</t>
        </is>
      </c>
      <c r="O1" s="3" t="inlineStr">
        <is>
          <t>Fecha de tercer contacto</t>
        </is>
      </c>
      <c r="P1" s="3" t="inlineStr">
        <is>
          <t>Respuesta del actor</t>
        </is>
      </c>
      <c r="Q1" s="3" t="inlineStr">
        <is>
          <t>Fecha de grupo focal</t>
        </is>
      </c>
      <c r="R1" s="3" t="inlineStr">
        <is>
          <t>Asistencia al grupo focal</t>
        </is>
      </c>
      <c r="S1" s="3" t="inlineStr">
        <is>
          <t>Duración total (min)</t>
        </is>
      </c>
      <c r="T1" s="3" t="inlineStr">
        <is>
          <t>Observaciones</t>
        </is>
      </c>
    </row>
    <row r="2">
      <c r="A2" s="1" t="n">
        <v>1</v>
      </c>
      <c r="B2" s="1" t="inlineStr">
        <is>
          <t>Reunión de validación</t>
        </is>
      </c>
      <c r="C2" s="1" t="inlineStr">
        <is>
          <t xml:space="preserve">Milagritos Llontop </t>
        </is>
      </c>
      <c r="D2" s="1" t="inlineStr">
        <is>
          <t>Defensa Pública</t>
        </is>
      </c>
      <c r="E2" s="1" t="inlineStr">
        <is>
          <t>illontop@minjus.gob.pe</t>
        </is>
      </c>
      <c r="H2" s="1" t="inlineStr">
        <is>
          <t>Instituciones públicas</t>
        </is>
      </c>
      <c r="I2" s="1" t="inlineStr">
        <is>
          <t>Nacional</t>
        </is>
      </c>
      <c r="J2" s="1" t="inlineStr">
        <is>
          <t>IJM</t>
        </is>
      </c>
      <c r="L2" s="1" t="inlineStr">
        <is>
          <t>Contactado</t>
        </is>
      </c>
      <c r="M2" s="2" t="n">
        <v>45943</v>
      </c>
      <c r="P2" s="1" t="inlineStr">
        <is>
          <t>Rechazada</t>
        </is>
      </c>
      <c r="Q2" s="2" t="n">
        <v>45959</v>
      </c>
    </row>
    <row r="3">
      <c r="A3" s="1">
        <f>A2+1</f>
        <v/>
      </c>
      <c r="B3" s="1" t="inlineStr">
        <is>
          <t>Reunión de validación</t>
        </is>
      </c>
      <c r="C3" s="1" t="inlineStr">
        <is>
          <t xml:space="preserve">Victoria Pomalaya Trillo </t>
        </is>
      </c>
      <c r="D3" s="1" t="inlineStr">
        <is>
          <t>Ministerio Público</t>
        </is>
      </c>
      <c r="E3" s="1" t="inlineStr">
        <is>
          <t>vpomalaya@mpfn.gob.pe; victoriapomalaya@gmail.com</t>
        </is>
      </c>
      <c r="H3" s="1" t="inlineStr">
        <is>
          <t>Instituciones públicas</t>
        </is>
      </c>
      <c r="I3" s="1" t="inlineStr">
        <is>
          <t>Ucayali</t>
        </is>
      </c>
      <c r="J3" s="1" t="inlineStr">
        <is>
          <t>APOYO</t>
        </is>
      </c>
      <c r="L3" s="1" t="inlineStr">
        <is>
          <t>Contactado</t>
        </is>
      </c>
      <c r="M3" s="2" t="n">
        <v>45943</v>
      </c>
      <c r="N3" s="2" t="n">
        <v>45947</v>
      </c>
      <c r="O3" s="2" t="n">
        <v>45952</v>
      </c>
      <c r="P3" s="1" t="inlineStr">
        <is>
          <t>Rechazada</t>
        </is>
      </c>
      <c r="Q3" s="2" t="n">
        <v>45959</v>
      </c>
      <c r="T3" s="1" t="inlineStr">
        <is>
          <t>Indicó disposición. Su disponibilidad cambió por el estado de emergencia y, por lo tanto, incremento de actividades laborales de ella y su equipo completo durante distintos horarios no previstos.</t>
        </is>
      </c>
    </row>
    <row r="4" ht="14.5" customHeight="true">
      <c r="A4" s="1">
        <f>A3+1</f>
        <v/>
      </c>
      <c r="B4" s="1" t="inlineStr">
        <is>
          <t>Reunión de validación</t>
        </is>
      </c>
      <c r="C4" s="1" t="inlineStr">
        <is>
          <t>Katherine Olivera Rojas</t>
        </is>
      </c>
      <c r="D4" s="1" t="inlineStr">
        <is>
          <t>Programa Aurora</t>
        </is>
      </c>
      <c r="E4" s="6" t="inlineStr">
        <is>
          <t>kolivera@aurora.gob.pe</t>
        </is>
      </c>
      <c r="F4" s="1" t="n">
        <v>943602599</v>
      </c>
      <c r="H4" s="1" t="inlineStr">
        <is>
          <t>Instituciones públicas</t>
        </is>
      </c>
      <c r="I4" s="1" t="inlineStr">
        <is>
          <t>Nacional</t>
        </is>
      </c>
      <c r="J4" s="1" t="inlineStr">
        <is>
          <t>APOYO</t>
        </is>
      </c>
      <c r="L4" s="1" t="inlineStr">
        <is>
          <t>Contactado</t>
        </is>
      </c>
      <c r="M4" s="2" t="n">
        <v>45943</v>
      </c>
      <c r="N4" s="2" t="n">
        <v>45946</v>
      </c>
      <c r="P4" s="1" t="inlineStr">
        <is>
          <t>Aceptada</t>
        </is>
      </c>
      <c r="Q4" s="2" t="n">
        <v>45951</v>
      </c>
      <c r="R4" s="1" t="inlineStr">
        <is>
          <t>Asistió</t>
        </is>
      </c>
      <c r="S4" s="1" t="n">
        <v>83</v>
      </c>
    </row>
    <row r="5">
      <c r="A5" s="1">
        <f>A4+1</f>
        <v/>
      </c>
      <c r="B5" s="1" t="inlineStr">
        <is>
          <t>Reunión de validación</t>
        </is>
      </c>
      <c r="C5" s="1" t="inlineStr">
        <is>
          <t>Estela Lozano Reyes</t>
        </is>
      </c>
      <c r="D5" s="1" t="inlineStr">
        <is>
          <t>Defensoría del Pueblo</t>
        </is>
      </c>
      <c r="E5" s="1" t="inlineStr">
        <is>
          <t>odcallao@defensoria.gob.pe</t>
        </is>
      </c>
      <c r="H5" s="1" t="inlineStr">
        <is>
          <t>Instituciones públicas</t>
        </is>
      </c>
      <c r="I5" s="1" t="inlineStr">
        <is>
          <t>Nacional</t>
        </is>
      </c>
      <c r="J5" s="1" t="inlineStr">
        <is>
          <t>APOYO</t>
        </is>
      </c>
      <c r="L5" s="1" t="inlineStr">
        <is>
          <t>Contactado</t>
        </is>
      </c>
      <c r="M5" s="2" t="n">
        <v>45943</v>
      </c>
      <c r="N5" s="2" t="n">
        <v>45947</v>
      </c>
      <c r="P5" s="1" t="inlineStr">
        <is>
          <t>Rechazada</t>
        </is>
      </c>
      <c r="Q5" s="2" t="n">
        <v>45959</v>
      </c>
      <c r="T5" s="1" t="inlineStr">
        <is>
          <t>En coordinación. Antes era "Delcy Yaniri Heredia". Indicó disposición, pero su disponibilidad cambió por el estado de emergencia y, por lo tanto, incremento de actividades laborales durante distintos horarios no previstos. No tiene a quien derivar.</t>
        </is>
      </c>
    </row>
    <row r="6">
      <c r="A6" s="1">
        <f>A5+1</f>
        <v/>
      </c>
      <c r="B6" s="1" t="inlineStr">
        <is>
          <t>Reunión de validación</t>
        </is>
      </c>
      <c r="C6" s="1" t="inlineStr">
        <is>
          <t xml:space="preserve">Beatriz Gamarra </t>
        </is>
      </c>
      <c r="D6" s="1" t="inlineStr">
        <is>
          <t>UNICEF</t>
        </is>
      </c>
      <c r="E6" s="1" t="inlineStr">
        <is>
          <t>bgamarra@unicef.org</t>
        </is>
      </c>
      <c r="H6" s="1" t="inlineStr">
        <is>
          <t>Multilaterales</t>
        </is>
      </c>
      <c r="I6" s="1" t="inlineStr">
        <is>
          <t>Nacional</t>
        </is>
      </c>
      <c r="J6" s="1" t="inlineStr">
        <is>
          <t>APOYO</t>
        </is>
      </c>
      <c r="L6" s="1" t="inlineStr">
        <is>
          <t>Contactado</t>
        </is>
      </c>
      <c r="M6" s="2" t="n">
        <v>45943</v>
      </c>
      <c r="N6" s="2" t="n">
        <v>45946</v>
      </c>
      <c r="P6" s="1" t="inlineStr">
        <is>
          <t>Aceptada</t>
        </is>
      </c>
      <c r="Q6" s="2" t="n">
        <v>45951</v>
      </c>
      <c r="R6" s="1" t="inlineStr">
        <is>
          <t>Asistió</t>
        </is>
      </c>
      <c r="S6" s="1" t="n">
        <v>83</v>
      </c>
    </row>
    <row r="7">
      <c r="A7" s="1">
        <f>A6+1</f>
        <v/>
      </c>
      <c r="B7" s="1" t="inlineStr">
        <is>
          <t>Reunión de validación</t>
        </is>
      </c>
      <c r="C7" s="1" t="inlineStr">
        <is>
          <t xml:space="preserve">Amelia Cabrera </t>
        </is>
      </c>
      <c r="D7" s="1" t="inlineStr">
        <is>
          <t>World Vision Perú</t>
        </is>
      </c>
      <c r="E7" s="1" t="inlineStr">
        <is>
          <t>amelia_cabrera_salazar@wvi.org</t>
        </is>
      </c>
      <c r="H7" s="1" t="inlineStr">
        <is>
          <t>Multilaterales</t>
        </is>
      </c>
      <c r="I7" s="1" t="inlineStr">
        <is>
          <t>Nacional</t>
        </is>
      </c>
      <c r="J7" s="1" t="inlineStr">
        <is>
          <t>APOYO</t>
        </is>
      </c>
      <c r="L7" s="1" t="inlineStr">
        <is>
          <t>Contactado</t>
        </is>
      </c>
      <c r="M7" s="2" t="n">
        <v>45943</v>
      </c>
      <c r="N7" s="2" t="n">
        <v>45946</v>
      </c>
      <c r="O7" s="2" t="n">
        <v>45947</v>
      </c>
      <c r="P7" s="1" t="inlineStr">
        <is>
          <t>Aceptada</t>
        </is>
      </c>
      <c r="Q7" s="2" t="n">
        <v>45959</v>
      </c>
      <c r="R7" s="1" t="inlineStr">
        <is>
          <t>Asistió</t>
        </is>
      </c>
      <c r="S7" s="1" t="n">
        <v>93</v>
      </c>
      <c r="T7" s="1" t="inlineStr">
        <is>
          <t>Se complementará con una entrevista para indagar sobre el grupo focal de adolescentes entre lunes 10 y martes 11.</t>
        </is>
      </c>
    </row>
    <row r="8">
      <c r="A8" s="1">
        <f>A7+1</f>
        <v/>
      </c>
      <c r="B8" s="1" t="inlineStr">
        <is>
          <t>Reunión de validación</t>
        </is>
      </c>
      <c r="C8" s="1" t="inlineStr">
        <is>
          <t>Silvia Romero Borda</t>
        </is>
      </c>
      <c r="D8" s="1" t="inlineStr">
        <is>
          <t>GIZ</t>
        </is>
      </c>
      <c r="E8" s="1" t="inlineStr">
        <is>
          <t>silvia.romeroborda@giz.de</t>
        </is>
      </c>
      <c r="H8" s="1" t="inlineStr">
        <is>
          <t>Multilaterales</t>
        </is>
      </c>
      <c r="I8" s="1" t="inlineStr">
        <is>
          <t>Nacional</t>
        </is>
      </c>
      <c r="J8" s="1" t="inlineStr">
        <is>
          <t>APOYO</t>
        </is>
      </c>
      <c r="L8" s="1" t="inlineStr">
        <is>
          <t>Contactado</t>
        </is>
      </c>
      <c r="M8" s="2" t="n">
        <v>45943</v>
      </c>
      <c r="N8" s="2" t="n">
        <v>45947</v>
      </c>
      <c r="O8" s="2" t="n">
        <v>45954</v>
      </c>
      <c r="P8" s="1" t="inlineStr">
        <is>
          <t>Rechazada</t>
        </is>
      </c>
      <c r="Q8" s="2" t="n">
        <v>45959</v>
      </c>
      <c r="T8" s="1" t="inlineStr">
        <is>
          <t>Mostró disposición para participar, en horarios que se ajusten a su agenda.</t>
        </is>
      </c>
    </row>
    <row r="9">
      <c r="A9" s="1">
        <f>A8+1</f>
        <v/>
      </c>
      <c r="B9" s="1" t="inlineStr">
        <is>
          <t>Reunión de validación</t>
        </is>
      </c>
      <c r="C9" s="1" t="inlineStr">
        <is>
          <t>Magaly Arenas Astete</t>
        </is>
      </c>
      <c r="D9" s="1" t="inlineStr">
        <is>
          <t>Policía Nacional del Perú</t>
        </is>
      </c>
      <c r="F9" s="1" t="n">
        <v>997588413</v>
      </c>
      <c r="H9" s="1" t="inlineStr">
        <is>
          <t>Instituciones públicas</t>
        </is>
      </c>
      <c r="I9" s="1" t="inlineStr">
        <is>
          <t>Nacional</t>
        </is>
      </c>
      <c r="J9" s="1" t="inlineStr">
        <is>
          <t>IJM</t>
        </is>
      </c>
      <c r="L9" s="1" t="inlineStr">
        <is>
          <t>Contactado</t>
        </is>
      </c>
      <c r="M9" s="2" t="n">
        <v>45943</v>
      </c>
      <c r="P9" s="1" t="inlineStr">
        <is>
          <t>Aceptada</t>
        </is>
      </c>
      <c r="Q9" s="2" t="n">
        <v>45951</v>
      </c>
      <c r="R9" s="1" t="inlineStr">
        <is>
          <t>Asistió</t>
        </is>
      </c>
      <c r="S9" s="1" t="n">
        <v>83</v>
      </c>
    </row>
    <row r="10">
      <c r="A10" s="1">
        <f>A9+1</f>
        <v/>
      </c>
      <c r="B10" s="1" t="inlineStr">
        <is>
          <t>Reunión de validación</t>
        </is>
      </c>
      <c r="C10" s="1" t="inlineStr">
        <is>
          <t xml:space="preserve">Eric León </t>
        </is>
      </c>
      <c r="D10" s="1" t="inlineStr">
        <is>
          <t>Policía Nacional del Perú</t>
        </is>
      </c>
      <c r="F10" s="1" t="n">
        <v>962723949</v>
      </c>
      <c r="H10" s="1" t="inlineStr">
        <is>
          <t>Instituciones públicas</t>
        </is>
      </c>
      <c r="I10" s="1" t="inlineStr">
        <is>
          <t>Nacional</t>
        </is>
      </c>
      <c r="J10" s="1" t="inlineStr">
        <is>
          <t>IJM</t>
        </is>
      </c>
      <c r="L10" s="1" t="inlineStr">
        <is>
          <t>Contactado</t>
        </is>
      </c>
      <c r="M10" s="2" t="n">
        <v>45943</v>
      </c>
      <c r="P10" s="1" t="inlineStr">
        <is>
          <t>Aceptada</t>
        </is>
      </c>
      <c r="Q10" s="2" t="n">
        <v>45959</v>
      </c>
      <c r="R10" s="1" t="inlineStr">
        <is>
          <t>Asistió</t>
        </is>
      </c>
      <c r="S10" s="1" t="n">
        <v>93</v>
      </c>
    </row>
    <row r="11">
      <c r="A11" s="1">
        <f>A10+1</f>
        <v/>
      </c>
      <c r="B11" s="1" t="inlineStr">
        <is>
          <t>Reunión de validación</t>
        </is>
      </c>
      <c r="C11" s="1" t="inlineStr">
        <is>
          <t xml:space="preserve">Neil Avila </t>
        </is>
      </c>
      <c r="D11" s="1" t="inlineStr">
        <is>
          <t>Poder Judicial</t>
        </is>
      </c>
      <c r="F11" s="1" t="n">
        <v>964863586</v>
      </c>
      <c r="H11" s="1" t="inlineStr">
        <is>
          <t>Instituciones públicas</t>
        </is>
      </c>
      <c r="I11" s="1" t="inlineStr">
        <is>
          <t>Nacional</t>
        </is>
      </c>
      <c r="J11" s="1" t="inlineStr">
        <is>
          <t>IJM</t>
        </is>
      </c>
      <c r="L11" s="1" t="inlineStr">
        <is>
          <t>Contactado</t>
        </is>
      </c>
      <c r="M11" s="2" t="n">
        <v>45943</v>
      </c>
      <c r="P11" s="1" t="inlineStr">
        <is>
          <t>Aceptada</t>
        </is>
      </c>
      <c r="Q11" s="2" t="n">
        <v>45951</v>
      </c>
      <c r="R11" s="1" t="inlineStr">
        <is>
          <t>Asistió</t>
        </is>
      </c>
      <c r="S11" s="1" t="n">
        <v>83</v>
      </c>
    </row>
    <row r="12">
      <c r="A12" s="1">
        <f>A11+1</f>
        <v/>
      </c>
      <c r="B12" s="1" t="inlineStr">
        <is>
          <t>Reunión de validación</t>
        </is>
      </c>
      <c r="C12" s="1" t="inlineStr">
        <is>
          <t xml:space="preserve">Norma Rojas </t>
        </is>
      </c>
      <c r="D12" s="1" t="inlineStr">
        <is>
          <t>Ministerio del Interior</t>
        </is>
      </c>
      <c r="F12" s="1" t="n">
        <v>993819250</v>
      </c>
      <c r="H12" s="1" t="inlineStr">
        <is>
          <t>Instituciones públicas</t>
        </is>
      </c>
      <c r="I12" s="1" t="inlineStr">
        <is>
          <t>Nacional</t>
        </is>
      </c>
      <c r="J12" s="1" t="inlineStr">
        <is>
          <t>IJM</t>
        </is>
      </c>
      <c r="L12" s="1" t="inlineStr">
        <is>
          <t>Contactado</t>
        </is>
      </c>
      <c r="M12" s="2" t="n">
        <v>45943</v>
      </c>
      <c r="P12" s="1" t="inlineStr">
        <is>
          <t>Rechazada</t>
        </is>
      </c>
      <c r="Q12" s="2" t="n">
        <v>45959</v>
      </c>
    </row>
    <row r="13">
      <c r="A13" s="1">
        <f>A12+1</f>
        <v/>
      </c>
      <c r="B13" s="1" t="inlineStr">
        <is>
          <t>Reunión de validación</t>
        </is>
      </c>
      <c r="C13" s="1" t="inlineStr">
        <is>
          <t xml:space="preserve">Lourdes Febres Chirinos </t>
        </is>
      </c>
      <c r="D13" s="1" t="inlineStr">
        <is>
          <t>Acción Por los niños</t>
        </is>
      </c>
      <c r="F13" s="1" t="n">
        <v>995579501</v>
      </c>
      <c r="H13" s="1" t="inlineStr">
        <is>
          <t>ONG</t>
        </is>
      </c>
      <c r="I13" s="1" t="inlineStr">
        <is>
          <t>Nacional</t>
        </is>
      </c>
      <c r="J13" s="1" t="inlineStr">
        <is>
          <t>IJM</t>
        </is>
      </c>
      <c r="L13" s="1" t="inlineStr">
        <is>
          <t>Contactado</t>
        </is>
      </c>
      <c r="M13" s="2" t="n">
        <v>45943</v>
      </c>
      <c r="P13" s="1" t="inlineStr">
        <is>
          <t>Rechazada</t>
        </is>
      </c>
      <c r="Q13" s="2" t="n">
        <v>45959</v>
      </c>
    </row>
    <row r="14">
      <c r="A14" s="1">
        <f>A13+1</f>
        <v/>
      </c>
      <c r="B14" s="1" t="inlineStr">
        <is>
          <t>Reunión de validación</t>
        </is>
      </c>
      <c r="C14" s="1" t="inlineStr">
        <is>
          <t xml:space="preserve">Maria Elena Bazán </t>
        </is>
      </c>
      <c r="D14" s="1" t="inlineStr">
        <is>
          <t>Centros de Acogida Residencial</t>
        </is>
      </c>
      <c r="F14" s="1" t="n">
        <v>3817190</v>
      </c>
      <c r="H14" s="1" t="inlineStr">
        <is>
          <t>Instituciones públicas</t>
        </is>
      </c>
      <c r="I14" s="1" t="inlineStr">
        <is>
          <t>Lima Norte</t>
        </is>
      </c>
      <c r="J14" s="1" t="inlineStr">
        <is>
          <t>IJM</t>
        </is>
      </c>
      <c r="L14" s="1" t="inlineStr">
        <is>
          <t>Contactado</t>
        </is>
      </c>
      <c r="M14" s="2" t="n">
        <v>45943</v>
      </c>
      <c r="P14" s="1" t="inlineStr">
        <is>
          <t>Rechazada</t>
        </is>
      </c>
      <c r="Q14" s="2" t="n">
        <v>45959</v>
      </c>
    </row>
    <row r="15">
      <c r="A15" s="1">
        <f>A14+1</f>
        <v/>
      </c>
      <c r="B15" s="1" t="inlineStr">
        <is>
          <t>Reconocimiento - 1</t>
        </is>
      </c>
      <c r="C15" s="1" t="inlineStr">
        <is>
          <t>Cinthia Navarro</t>
        </is>
      </c>
      <c r="D15" s="1" t="inlineStr">
        <is>
          <t>Oxfam</t>
        </is>
      </c>
      <c r="E15" s="1" t="inlineStr">
        <is>
          <t>alexandra.alayza@oxfam.org</t>
        </is>
      </c>
      <c r="H15" s="1" t="inlineStr">
        <is>
          <t>Multilaterales</t>
        </is>
      </c>
      <c r="I15" s="1" t="inlineStr">
        <is>
          <t>Nacional</t>
        </is>
      </c>
      <c r="J15" s="1" t="inlineStr">
        <is>
          <t>IJM</t>
        </is>
      </c>
      <c r="K15" s="1" t="inlineStr">
        <is>
          <t>Correo</t>
        </is>
      </c>
      <c r="L15" s="1" t="inlineStr">
        <is>
          <t>Contactado</t>
        </is>
      </c>
      <c r="P15" s="1" t="inlineStr">
        <is>
          <t>Sin respuesta</t>
        </is>
      </c>
    </row>
    <row r="16">
      <c r="A16" s="1">
        <f>A15+1</f>
        <v/>
      </c>
      <c r="B16" s="1" t="inlineStr">
        <is>
          <t>Reconocimiento - 1</t>
        </is>
      </c>
      <c r="C16" s="1" t="inlineStr">
        <is>
          <t>Sofía García</t>
        </is>
      </c>
      <c r="D16" s="1" t="inlineStr">
        <is>
          <t>IPRODES</t>
        </is>
      </c>
      <c r="E16" s="1" t="inlineStr">
        <is>
          <t>comunicaciones@iprodes.org</t>
        </is>
      </c>
      <c r="H16" s="1" t="inlineStr">
        <is>
          <t>Multilaterales</t>
        </is>
      </c>
      <c r="I16" s="1" t="inlineStr">
        <is>
          <t>Nacional</t>
        </is>
      </c>
      <c r="J16" s="1" t="inlineStr">
        <is>
          <t>IJM</t>
        </is>
      </c>
      <c r="K16" s="1" t="inlineStr">
        <is>
          <t>Correo</t>
        </is>
      </c>
      <c r="L16" s="1" t="inlineStr">
        <is>
          <t>Contactado</t>
        </is>
      </c>
      <c r="P16" s="1" t="inlineStr">
        <is>
          <t>Sin respuesta</t>
        </is>
      </c>
    </row>
    <row r="17">
      <c r="A17" s="1">
        <f>A16+1</f>
        <v/>
      </c>
      <c r="B17" s="1" t="inlineStr">
        <is>
          <t>Reconocimiento - 1</t>
        </is>
      </c>
      <c r="C17" s="1" t="inlineStr">
        <is>
          <t>Jenny Dador</t>
        </is>
      </c>
      <c r="D17" s="1" t="inlineStr">
        <is>
          <t>Coordinadora de Derechos Humanos</t>
        </is>
      </c>
      <c r="F17" s="1" t="n">
        <v>953297789</v>
      </c>
      <c r="H17" s="1" t="inlineStr">
        <is>
          <t>ONG</t>
        </is>
      </c>
      <c r="I17" s="1" t="inlineStr">
        <is>
          <t>Nacional</t>
        </is>
      </c>
      <c r="J17" s="1" t="inlineStr">
        <is>
          <t>IJM</t>
        </is>
      </c>
      <c r="K17" s="1" t="inlineStr">
        <is>
          <t>WhatsApp</t>
        </is>
      </c>
      <c r="L17" s="1" t="inlineStr">
        <is>
          <t>Contactado</t>
        </is>
      </c>
      <c r="P17" s="1" t="inlineStr">
        <is>
          <t>En coordinación</t>
        </is>
      </c>
      <c r="T17" s="1" t="inlineStr">
        <is>
          <t>Se encuentra interesada en participar. Volver a consultar disponibilidad.</t>
        </is>
      </c>
    </row>
    <row r="18">
      <c r="A18" s="1">
        <f>A17+1</f>
        <v/>
      </c>
      <c r="B18" s="1" t="inlineStr">
        <is>
          <t>Reconocimiento - 1</t>
        </is>
      </c>
      <c r="C18" s="1" t="inlineStr">
        <is>
          <t>Carol Tremont</t>
        </is>
      </c>
      <c r="D18" s="1" t="inlineStr">
        <is>
          <t>Asociación Protección Población Vulnerable</t>
        </is>
      </c>
      <c r="E18" s="1" t="inlineStr">
        <is>
          <t>info@appv.pe</t>
        </is>
      </c>
      <c r="H18" s="1" t="inlineStr">
        <is>
          <t>ONG</t>
        </is>
      </c>
      <c r="I18" s="1" t="inlineStr">
        <is>
          <t>Nacional</t>
        </is>
      </c>
      <c r="J18" s="1" t="inlineStr">
        <is>
          <t>IJM</t>
        </is>
      </c>
      <c r="K18" s="1" t="inlineStr">
        <is>
          <t>Correo (correo no se envió con éxito, por algún problema con su correo institucional)</t>
        </is>
      </c>
      <c r="L18" s="1" t="inlineStr">
        <is>
          <t>No contactado</t>
        </is>
      </c>
      <c r="P18" s="1" t="inlineStr">
        <is>
          <t>Sin respuesta</t>
        </is>
      </c>
    </row>
    <row r="19">
      <c r="A19" s="1">
        <f>A18+1</f>
        <v/>
      </c>
      <c r="B19" s="1" t="inlineStr">
        <is>
          <t>Reconocimiento - 1</t>
        </is>
      </c>
      <c r="C19" s="1" t="inlineStr">
        <is>
          <t>Rosario Cosar</t>
        </is>
      </c>
      <c r="D19" s="1" t="inlineStr">
        <is>
          <t>Asociación Kallpa</t>
        </is>
      </c>
      <c r="E19" s="1" t="inlineStr">
        <is>
          <t>comunicaciones@kallpa.org.pe</t>
        </is>
      </c>
      <c r="H19" s="1" t="inlineStr">
        <is>
          <t>ONG</t>
        </is>
      </c>
      <c r="I19" s="1" t="inlineStr">
        <is>
          <t>Lima Norte</t>
        </is>
      </c>
      <c r="J19" s="1" t="inlineStr">
        <is>
          <t>IJM</t>
        </is>
      </c>
      <c r="K19" s="1" t="inlineStr">
        <is>
          <t>Correo</t>
        </is>
      </c>
      <c r="L19" s="1" t="inlineStr">
        <is>
          <t>Contactado</t>
        </is>
      </c>
      <c r="P19" s="1" t="inlineStr">
        <is>
          <t>Sin respuesta</t>
        </is>
      </c>
    </row>
    <row r="20">
      <c r="A20" s="1">
        <f>A19+1</f>
        <v/>
      </c>
      <c r="B20" s="1" t="inlineStr">
        <is>
          <t>Reconocimiento - 1</t>
        </is>
      </c>
      <c r="C20" s="1" t="inlineStr">
        <is>
          <t>Oscar Andrés Alva Arías</t>
        </is>
      </c>
      <c r="D20" s="1" t="inlineStr">
        <is>
          <t>MIMP</t>
        </is>
      </c>
      <c r="E20" s="1" t="inlineStr">
        <is>
          <t>mesadepartesdigital@mimp.gob.pe</t>
        </is>
      </c>
      <c r="H20" s="1" t="inlineStr">
        <is>
          <t>Instituciones públicas</t>
        </is>
      </c>
      <c r="I20" s="1" t="inlineStr">
        <is>
          <t>Nacional</t>
        </is>
      </c>
      <c r="J20" s="1" t="inlineStr">
        <is>
          <t>IJM</t>
        </is>
      </c>
      <c r="K20" s="1" t="inlineStr">
        <is>
          <t>Correo, carta entregada a la mesa de partes (en trámite)</t>
        </is>
      </c>
      <c r="L20" s="1" t="inlineStr">
        <is>
          <t>Contactado</t>
        </is>
      </c>
      <c r="P20" s="1" t="inlineStr">
        <is>
          <t>Sin respuesta</t>
        </is>
      </c>
    </row>
    <row r="21">
      <c r="A21" s="1">
        <f>A20+1</f>
        <v/>
      </c>
      <c r="B21" s="1" t="inlineStr">
        <is>
          <t>Reconocimiento - 1</t>
        </is>
      </c>
      <c r="C21" s="1" t="inlineStr">
        <is>
          <t>Silvia Arteaga</t>
        </is>
      </c>
      <c r="D21" s="1" t="inlineStr">
        <is>
          <t>Centros de Acogida Residencial</t>
        </is>
      </c>
      <c r="E21" s="1" t="inlineStr">
        <is>
          <t>car.sricardo@inabif.gob.pe</t>
        </is>
      </c>
      <c r="H21" s="1" t="inlineStr">
        <is>
          <t>Instituciones públicas</t>
        </is>
      </c>
      <c r="I21" s="1" t="inlineStr">
        <is>
          <t>Lime Este</t>
        </is>
      </c>
      <c r="J21" s="1" t="inlineStr">
        <is>
          <t>IJM</t>
        </is>
      </c>
      <c r="K21" s="1" t="inlineStr">
        <is>
          <t>Correo</t>
        </is>
      </c>
      <c r="L21" s="1" t="inlineStr">
        <is>
          <t>Contactado</t>
        </is>
      </c>
      <c r="P21" s="1" t="inlineStr">
        <is>
          <t>Sin respuesta</t>
        </is>
      </c>
    </row>
    <row r="22">
      <c r="A22" s="1">
        <f>A21+1</f>
        <v/>
      </c>
      <c r="B22" s="1" t="inlineStr">
        <is>
          <t>Reconocimiento - 1</t>
        </is>
      </c>
      <c r="C22" s="1" t="inlineStr">
        <is>
          <t>Angel Grimaldo Palacios Trujillo</t>
        </is>
      </c>
      <c r="D22" s="1" t="inlineStr">
        <is>
          <t>CEM</t>
        </is>
      </c>
      <c r="E22" s="1" t="inlineStr">
        <is>
          <t>asistenciaeconomica@waminam.gob.pe</t>
        </is>
      </c>
      <c r="H22" s="1" t="inlineStr">
        <is>
          <t>Instituciones públicas</t>
        </is>
      </c>
      <c r="I22" s="1" t="inlineStr">
        <is>
          <t>Lima Norte</t>
        </is>
      </c>
      <c r="J22" s="1" t="inlineStr">
        <is>
          <t>IJM</t>
        </is>
      </c>
      <c r="K22" s="1" t="inlineStr">
        <is>
          <t>Entregada a la mesa de partes (en trámite)</t>
        </is>
      </c>
      <c r="L22" s="1" t="inlineStr">
        <is>
          <t>Contactado</t>
        </is>
      </c>
      <c r="P22" s="1" t="inlineStr">
        <is>
          <t>Sin respuesta</t>
        </is>
      </c>
    </row>
    <row r="23">
      <c r="A23" s="1">
        <f>A22+1</f>
        <v/>
      </c>
      <c r="B23" s="1" t="inlineStr">
        <is>
          <t>Reconocimiento - 1</t>
        </is>
      </c>
      <c r="C23" s="1" t="inlineStr">
        <is>
          <t>Helen Arlene Maza Gonzales</t>
        </is>
      </c>
      <c r="D23" s="1" t="inlineStr">
        <is>
          <t>CEM</t>
        </is>
      </c>
      <c r="E23" s="1" t="inlineStr">
        <is>
          <t>helen.maza@waminam.gob.pe</t>
        </is>
      </c>
      <c r="H23" s="1" t="inlineStr">
        <is>
          <t>Instituciones públicas</t>
        </is>
      </c>
      <c r="I23" s="1" t="inlineStr">
        <is>
          <t>Puente Piedra - Ventanilla</t>
        </is>
      </c>
      <c r="J23" s="1" t="inlineStr">
        <is>
          <t>IJM</t>
        </is>
      </c>
      <c r="K23" s="1" t="inlineStr">
        <is>
          <t>Randall está coordinando por WhatsApp con una empleada del CEM Ventanilla para transmitirla la carta</t>
        </is>
      </c>
      <c r="L23" s="1" t="inlineStr">
        <is>
          <t>Contactado</t>
        </is>
      </c>
      <c r="P23" s="1" t="inlineStr">
        <is>
          <t>Aceptada</t>
        </is>
      </c>
      <c r="Q23" s="1" t="n">
        <v>46001</v>
      </c>
      <c r="R23" s="1" t="inlineStr">
        <is>
          <t>Asistió</t>
        </is>
      </c>
      <c r="S23" s="1" t="n">
        <v>120</v>
      </c>
      <c r="T23" s="1" t="inlineStr">
        <is>
          <t>Enviar detalles del GF a su correo</t>
        </is>
      </c>
    </row>
    <row r="24">
      <c r="A24" s="1">
        <f>A23+1</f>
        <v/>
      </c>
      <c r="B24" s="1" t="inlineStr">
        <is>
          <t>Reconocimiento - 1</t>
        </is>
      </c>
      <c r="C24" s="1" t="inlineStr">
        <is>
          <t>Magaly Blas</t>
        </is>
      </c>
      <c r="D24" s="1" t="inlineStr">
        <is>
          <t>Colegio Médico del Perú</t>
        </is>
      </c>
      <c r="E24" s="1" t="inlineStr">
        <is>
          <t>magaly.blas.b@upch.pe</t>
        </is>
      </c>
      <c r="H24" s="1" t="inlineStr">
        <is>
          <t>Instituciones públicas</t>
        </is>
      </c>
      <c r="I24" s="1" t="inlineStr">
        <is>
          <t>Nacional</t>
        </is>
      </c>
      <c r="J24" s="1" t="inlineStr">
        <is>
          <t>IJM</t>
        </is>
      </c>
      <c r="K24" s="1" t="inlineStr">
        <is>
          <t>Correo</t>
        </is>
      </c>
      <c r="L24" s="1" t="inlineStr">
        <is>
          <t>Contactado</t>
        </is>
      </c>
      <c r="P24" s="1" t="inlineStr">
        <is>
          <t>Sin respuesta</t>
        </is>
      </c>
    </row>
    <row r="25">
      <c r="A25" s="1">
        <f>A24+1</f>
        <v/>
      </c>
      <c r="B25" s="1" t="inlineStr">
        <is>
          <t>Reconocimiento - 1</t>
        </is>
      </c>
      <c r="C25" s="1" t="inlineStr">
        <is>
          <t>Eutropia Ayllon León de Lima Norte</t>
        </is>
      </c>
      <c r="D25" s="1" t="inlineStr">
        <is>
          <t>Orientadora Judicial</t>
        </is>
      </c>
      <c r="F25" s="1" t="n">
        <v>922275280</v>
      </c>
      <c r="H25" s="1" t="inlineStr">
        <is>
          <t>Líderes comunitarios</t>
        </is>
      </c>
      <c r="I25" s="1" t="inlineStr">
        <is>
          <t>Lima Norte</t>
        </is>
      </c>
      <c r="J25" s="1" t="inlineStr">
        <is>
          <t>IJM</t>
        </is>
      </c>
      <c r="K25" s="1" t="inlineStr">
        <is>
          <t>WhatsApp</t>
        </is>
      </c>
      <c r="L25" s="1" t="inlineStr">
        <is>
          <t>Contactado</t>
        </is>
      </c>
      <c r="P25" s="1" t="inlineStr">
        <is>
          <t>Aceptada</t>
        </is>
      </c>
      <c r="Q25" s="1" t="n">
        <v>46001</v>
      </c>
      <c r="R25" s="1" t="inlineStr">
        <is>
          <t>No asistió</t>
        </is>
      </c>
      <c r="T25" s="1" t="inlineStr">
        <is>
          <t>Enviar detalles del GF a su número celular</t>
        </is>
      </c>
    </row>
    <row r="26">
      <c r="A26" s="1">
        <f>A25+1</f>
        <v/>
      </c>
      <c r="B26" s="1" t="inlineStr">
        <is>
          <t>Reconocimiento - 1</t>
        </is>
      </c>
      <c r="C26" s="1" t="inlineStr">
        <is>
          <t>Carmen Rosa Villela Vargas</t>
        </is>
      </c>
      <c r="D26" s="1" t="inlineStr">
        <is>
          <t>Orientadora Judicial</t>
        </is>
      </c>
      <c r="F26" s="1" t="n">
        <v>967806708</v>
      </c>
      <c r="H26" s="1" t="inlineStr">
        <is>
          <t>Líderes comunitarios</t>
        </is>
      </c>
      <c r="I26" s="1" t="inlineStr">
        <is>
          <t>Lima</t>
        </is>
      </c>
      <c r="J26" s="1" t="inlineStr">
        <is>
          <t>IJM</t>
        </is>
      </c>
      <c r="K26" s="1" t="inlineStr">
        <is>
          <t>WhatsApp</t>
        </is>
      </c>
      <c r="L26" s="1" t="inlineStr">
        <is>
          <t>Contactado</t>
        </is>
      </c>
      <c r="P26" s="1" t="inlineStr">
        <is>
          <t>Aceptada</t>
        </is>
      </c>
      <c r="Q26" s="1" t="n">
        <v>46001</v>
      </c>
      <c r="R26" s="1" t="inlineStr">
        <is>
          <t>No asistió</t>
        </is>
      </c>
      <c r="T26" s="1" t="inlineStr">
        <is>
          <t>Enviar detalles del GF a su número celular</t>
        </is>
      </c>
    </row>
    <row r="27">
      <c r="A27" s="1">
        <f>A26+1</f>
        <v/>
      </c>
      <c r="B27" s="1" t="inlineStr">
        <is>
          <t>Reconocimiento - 1</t>
        </is>
      </c>
      <c r="C27" s="1" t="inlineStr">
        <is>
          <t>Arlette Contreras</t>
        </is>
      </c>
      <c r="D27" s="1" t="inlineStr">
        <is>
          <t>Ni una menos</t>
        </is>
      </c>
      <c r="E27" s="1" t="inlineStr">
        <is>
          <t>arlettecontreras@agendamujer.com</t>
        </is>
      </c>
      <c r="H27" s="1" t="inlineStr">
        <is>
          <t>Líderes comunitarios</t>
        </is>
      </c>
      <c r="I27" s="1" t="inlineStr">
        <is>
          <t>Lima</t>
        </is>
      </c>
      <c r="J27" s="1" t="inlineStr">
        <is>
          <t>IJM</t>
        </is>
      </c>
      <c r="K27" s="1" t="inlineStr">
        <is>
          <t>Correo</t>
        </is>
      </c>
      <c r="L27" s="1" t="inlineStr">
        <is>
          <t>Contactado</t>
        </is>
      </c>
      <c r="P27" s="1" t="inlineStr">
        <is>
          <t>Sin respuesta</t>
        </is>
      </c>
    </row>
    <row r="28">
      <c r="A28" s="1">
        <f>A27+1</f>
        <v/>
      </c>
      <c r="B28" s="1" t="inlineStr">
        <is>
          <t>Reconocimiento - 1</t>
        </is>
      </c>
      <c r="C28" s="1" t="inlineStr">
        <is>
          <t>Katherine Flores Mendoza</t>
        </is>
      </c>
      <c r="D28" s="1" t="inlineStr">
        <is>
          <t>Familias Unidas Por Justicia: Familiares de Víctimas de Feminicidio</t>
        </is>
      </c>
      <c r="E28" s="1" t="inlineStr">
        <is>
          <t>familiasunidasporjusticia@gmail.com</t>
        </is>
      </c>
      <c r="F28" s="1" t="n">
        <v>976617075</v>
      </c>
      <c r="H28" s="1" t="inlineStr">
        <is>
          <t>Líderes comunitarios</t>
        </is>
      </c>
      <c r="I28" s="1" t="inlineStr">
        <is>
          <t>Nacional</t>
        </is>
      </c>
      <c r="J28" s="1" t="inlineStr">
        <is>
          <t>IJM</t>
        </is>
      </c>
      <c r="K28" s="1" t="inlineStr">
        <is>
          <t>Correo</t>
        </is>
      </c>
      <c r="L28" s="1" t="inlineStr">
        <is>
          <t>Contactado</t>
        </is>
      </c>
      <c r="P28" s="1" t="inlineStr">
        <is>
          <t>Aceptada</t>
        </is>
      </c>
      <c r="Q28" s="1" t="n">
        <v>46001</v>
      </c>
      <c r="R28" s="1" t="inlineStr">
        <is>
          <t>Asistió</t>
        </is>
      </c>
      <c r="S28" s="1" t="n">
        <v>120</v>
      </c>
      <c r="T28" s="1" t="inlineStr">
        <is>
          <t>Enviar detalles del GF a su número celular</t>
        </is>
      </c>
    </row>
    <row r="29">
      <c r="A29" s="1">
        <f>A28+1</f>
        <v/>
      </c>
      <c r="B29" s="1" t="inlineStr">
        <is>
          <t>Reconocimiento - 1</t>
        </is>
      </c>
      <c r="C29" s="1" t="inlineStr">
        <is>
          <t>Judith Gisella Caruhapoma Ortega</t>
        </is>
      </c>
      <c r="D29" s="1" t="inlineStr">
        <is>
          <t>Ministerio Público</t>
        </is>
      </c>
      <c r="E29" s="1" t="inlineStr">
        <is>
          <t>mp.1d.1fvcm.ci@mpfn.gob.pe</t>
        </is>
      </c>
      <c r="H29" s="1" t="inlineStr">
        <is>
          <t>Instituciones públicas</t>
        </is>
      </c>
      <c r="I29" s="1" t="inlineStr">
        <is>
          <t>Lima Norte</t>
        </is>
      </c>
      <c r="J29" s="1" t="inlineStr">
        <is>
          <t>IJM</t>
        </is>
      </c>
      <c r="K29" s="1" t="inlineStr">
        <is>
          <t>Correo</t>
        </is>
      </c>
      <c r="L29" s="1" t="inlineStr">
        <is>
          <t>Contactado</t>
        </is>
      </c>
      <c r="P29" s="1" t="inlineStr">
        <is>
          <t>Sin respuesta</t>
        </is>
      </c>
    </row>
    <row r="30">
      <c r="A30" s="1">
        <f>A29+1</f>
        <v/>
      </c>
      <c r="B30" s="1" t="inlineStr">
        <is>
          <t>Reconocimiento - 1</t>
        </is>
      </c>
      <c r="C30" s="1" t="inlineStr">
        <is>
          <t>Vanessa Díaz</t>
        </is>
      </c>
      <c r="D30" s="1" t="inlineStr">
        <is>
          <t>Wami Ñan</t>
        </is>
      </c>
      <c r="E30" s="1" t="inlineStr">
        <is>
          <t>vanessa.diaz@waminam.gob.pe</t>
        </is>
      </c>
      <c r="F30" s="1" t="n">
        <v>927698304</v>
      </c>
      <c r="H30" s="1" t="inlineStr">
        <is>
          <t>Instituciones públicas</t>
        </is>
      </c>
      <c r="I30" s="1" t="inlineStr">
        <is>
          <t>Lima</t>
        </is>
      </c>
      <c r="J30" s="1" t="inlineStr">
        <is>
          <t>IJM</t>
        </is>
      </c>
      <c r="K30" s="1" t="inlineStr">
        <is>
          <t>Correo</t>
        </is>
      </c>
      <c r="L30" s="1" t="inlineStr">
        <is>
          <t>Contactado</t>
        </is>
      </c>
      <c r="P30" s="1" t="inlineStr">
        <is>
          <t>Aceptada</t>
        </is>
      </c>
      <c r="Q30" s="1" t="n">
        <v>46001</v>
      </c>
      <c r="R30" s="1" t="inlineStr">
        <is>
          <t>Asistió</t>
        </is>
      </c>
      <c r="S30" s="1" t="n">
        <v>120</v>
      </c>
      <c r="T30" s="1" t="inlineStr">
        <is>
          <t>Enviar detalles del GF al correo</t>
        </is>
      </c>
    </row>
    <row r="31">
      <c r="A31" s="1">
        <f>A30+1</f>
        <v/>
      </c>
      <c r="B31" s="1" t="inlineStr">
        <is>
          <t>Reconocimiento - 1</t>
        </is>
      </c>
      <c r="C31" s="1" t="inlineStr">
        <is>
          <t>Zoila Cabanillas</t>
        </is>
      </c>
      <c r="D31" s="1" t="inlineStr">
        <is>
          <t>Wami Ñan</t>
        </is>
      </c>
      <c r="E31" s="1" t="inlineStr">
        <is>
          <t>zoila.cabanillas@waminam.gob.pe</t>
        </is>
      </c>
      <c r="F31" s="1" t="n">
        <v>994581446</v>
      </c>
      <c r="H31" s="1" t="inlineStr">
        <is>
          <t>Instituciones públicas</t>
        </is>
      </c>
      <c r="I31" s="1" t="inlineStr">
        <is>
          <t>Lima</t>
        </is>
      </c>
      <c r="J31" s="1" t="inlineStr">
        <is>
          <t>IJM</t>
        </is>
      </c>
      <c r="K31" s="1" t="inlineStr">
        <is>
          <t>Correo</t>
        </is>
      </c>
      <c r="L31" s="1" t="inlineStr">
        <is>
          <t>Contactado</t>
        </is>
      </c>
      <c r="P31" s="1" t="inlineStr">
        <is>
          <t>Aceptada</t>
        </is>
      </c>
      <c r="Q31" s="1" t="n">
        <v>46001</v>
      </c>
      <c r="R31" s="1" t="inlineStr">
        <is>
          <t>No asistió</t>
        </is>
      </c>
      <c r="T31" s="1" t="inlineStr">
        <is>
          <t>Enviar detalles del GF al correo</t>
        </is>
      </c>
    </row>
  </sheetData>
  <hyperlinks>
    <hyperlink ref="E4"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I14"/>
  <sheetViews>
    <sheetView zoomScale="87" workbookViewId="0">
      <selection activeCell="E15" sqref="E15"/>
    </sheetView>
  </sheetViews>
  <sheetFormatPr baseColWidth="10" defaultColWidth="10.81640625" defaultRowHeight="12.5"/>
  <cols>
    <col min="1" max="1" width="20.81640625" style="1" customWidth="true"/>
    <col min="2" max="2" width="10.81640625" style="1" customWidth="true"/>
    <col min="3" max="3" width="18.1796875" style="1" customWidth="true"/>
    <col min="4" max="4" width="15.54296875" style="1" customWidth="true"/>
    <col min="5" max="5" width="24.81640625" style="1" customWidth="true"/>
    <col min="6" max="6" width="21.54296875" style="1" customWidth="true"/>
    <col min="7" max="7" width="20.1796875" style="1" customWidth="true"/>
    <col min="8" max="8" width="17" style="1" customWidth="true"/>
    <col min="9" max="9" width="18.453125" style="1" customWidth="true"/>
    <col min="10" max="16384" width="10.81640625" style="1" customWidth="true"/>
  </cols>
  <sheetData>
    <row r="1" ht="13" customHeight="true">
      <c r="A1" s="4" t="inlineStr">
        <is>
          <t>Respuestas</t>
        </is>
      </c>
      <c r="B1" s="4" t="inlineStr">
        <is>
          <t>Contacto</t>
        </is>
      </c>
      <c r="C1" s="4" t="inlineStr">
        <is>
          <t>Distrito Judicial</t>
        </is>
      </c>
      <c r="D1" s="4" t="inlineStr">
        <is>
          <t>Asistencia</t>
        </is>
      </c>
      <c r="E1" s="4" t="inlineStr">
        <is>
          <t>Tipo de actor (confianza)</t>
        </is>
      </c>
      <c r="F1" s="4" t="inlineStr">
        <is>
          <t>Tipo de actor (gf)</t>
        </is>
      </c>
      <c r="G1" s="4" t="inlineStr">
        <is>
          <t>Modalidad</t>
        </is>
      </c>
      <c r="H1" s="4" t="inlineStr">
        <is>
          <t>Resultado</t>
        </is>
      </c>
      <c r="I1" s="4" t="inlineStr">
        <is>
          <t>Slección</t>
        </is>
      </c>
    </row>
    <row r="2">
      <c r="A2" s="1" t="inlineStr">
        <is>
          <t>Aceptada</t>
        </is>
      </c>
      <c r="B2" s="1" t="inlineStr">
        <is>
          <t>Contactado</t>
        </is>
      </c>
      <c r="C2" s="1" t="inlineStr">
        <is>
          <t>Lima Norte</t>
        </is>
      </c>
      <c r="D2" s="1" t="inlineStr">
        <is>
          <t>Asistió</t>
        </is>
      </c>
      <c r="E2" s="1" t="inlineStr">
        <is>
          <t>Funcionarios</t>
        </is>
      </c>
      <c r="F2" s="1" t="inlineStr">
        <is>
          <t>Instituciones públicas</t>
        </is>
      </c>
      <c r="G2" s="1" t="inlineStr">
        <is>
          <t>Presencial</t>
        </is>
      </c>
      <c r="H2" s="1" t="inlineStr">
        <is>
          <t>Completa</t>
        </is>
      </c>
      <c r="I2" s="1" t="inlineStr">
        <is>
          <t>Sí</t>
        </is>
      </c>
    </row>
    <row r="3">
      <c r="A3" s="1" t="inlineStr">
        <is>
          <t>Rechazada</t>
        </is>
      </c>
      <c r="B3" s="1" t="inlineStr">
        <is>
          <t>No contactado</t>
        </is>
      </c>
      <c r="C3" s="1" t="inlineStr">
        <is>
          <t>Puente Piedra - Ventanilla</t>
        </is>
      </c>
      <c r="D3" s="1" t="inlineStr">
        <is>
          <t>No asistió</t>
        </is>
      </c>
      <c r="E3" s="1" t="inlineStr">
        <is>
          <t>Actores locales</t>
        </is>
      </c>
      <c r="F3" s="1" t="inlineStr">
        <is>
          <t>Multilaterales</t>
        </is>
      </c>
      <c r="G3" s="1" t="inlineStr">
        <is>
          <t>A distancia asistido</t>
        </is>
      </c>
      <c r="H3" s="1" t="inlineStr">
        <is>
          <t>Incompleta</t>
        </is>
      </c>
      <c r="I3" s="1" t="inlineStr">
        <is>
          <t>No</t>
        </is>
      </c>
    </row>
    <row r="4">
      <c r="A4" s="1" t="inlineStr">
        <is>
          <t>Sin respuesta</t>
        </is>
      </c>
      <c r="C4" s="1" t="inlineStr">
        <is>
          <t>Apurímac</t>
        </is>
      </c>
      <c r="D4" s="1" t="inlineStr">
        <is>
          <t>Por definir</t>
        </is>
      </c>
      <c r="E4" s="1" t="inlineStr">
        <is>
          <t>Acompañantes</t>
        </is>
      </c>
      <c r="F4" s="1" t="inlineStr">
        <is>
          <t>ONG</t>
        </is>
      </c>
      <c r="G4" s="1" t="inlineStr">
        <is>
          <t>Autoadministrado</t>
        </is>
      </c>
      <c r="H4" s="1" t="inlineStr">
        <is>
          <t>No realizada</t>
        </is>
      </c>
    </row>
    <row r="5">
      <c r="A5" s="1" t="inlineStr">
        <is>
          <t>En coordinación</t>
        </is>
      </c>
      <c r="C5" s="1" t="inlineStr">
        <is>
          <t>Huánuco</t>
        </is>
      </c>
      <c r="E5" s="1" t="inlineStr">
        <is>
          <t>Multilaterales</t>
        </is>
      </c>
      <c r="F5" s="1" t="inlineStr">
        <is>
          <t>Líderes comunitarios</t>
        </is>
      </c>
      <c r="G5" s="1" t="inlineStr">
        <is>
          <t>No aplica</t>
        </is>
      </c>
    </row>
    <row r="6">
      <c r="C6" s="1" t="inlineStr">
        <is>
          <t>Ucayali</t>
        </is>
      </c>
      <c r="E6" s="1" t="inlineStr">
        <is>
          <t>Prensa</t>
        </is>
      </c>
      <c r="F6" s="1" t="inlineStr">
        <is>
          <t>Otros</t>
        </is>
      </c>
    </row>
    <row r="7" ht="14.5" customHeight="true">
      <c r="C7" s="1" t="inlineStr">
        <is>
          <t>Loreto</t>
        </is>
      </c>
    </row>
    <row r="8" ht="14.5" customHeight="true">
      <c r="C8" s="1" t="inlineStr">
        <is>
          <t>Cajamarca</t>
        </is>
      </c>
    </row>
    <row r="9" ht="14.5" customHeight="true">
      <c r="C9" s="1" t="inlineStr">
        <is>
          <t>Ayacucho</t>
        </is>
      </c>
    </row>
    <row r="10" ht="14.5" customHeight="true">
      <c r="C10" s="1" t="inlineStr">
        <is>
          <t>Nacional</t>
        </is>
      </c>
    </row>
    <row r="11" ht="14.5" customHeight="true"/>
    <row r="12" ht="14.5" customHeight="true"/>
    <row r="13" ht="14.5" customHeight="true"/>
    <row r="14" ht="14.5" customHeight="true"/>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tabColor theme="0" tint="-0.49995422223579"/>
    <outlinePr summaryBelow="true" summaryRight="true"/>
    <pageSetUpPr/>
  </sheetPr>
  <dimension ref="A1"/>
  <sheetViews>
    <sheetView view="pageBreakPreview" zoomScale="60" zoomScaleNormal="100" workbookViewId="0">
      <selection activeCell="H19" sqref="H19"/>
    </sheetView>
  </sheetViews>
  <sheetFormatPr baseColWidth="10" defaultRowHeight="14.5"/>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Y22"/>
  <sheetViews>
    <sheetView zoomScale="49" workbookViewId="0">
      <selection activeCell="P31" sqref="P31"/>
    </sheetView>
  </sheetViews>
  <sheetFormatPr baseColWidth="10" defaultRowHeight="14.5"/>
  <cols>
    <col min="1" max="1" width="14.1796875" customWidth="true"/>
    <col min="6" max="6" width="20.1796875" customWidth="true"/>
    <col min="12" max="12" width="21.26953125" customWidth="true"/>
  </cols>
  <sheetData>
    <row r="1">
      <c r="A1" s="3" t="inlineStr">
        <is>
          <t>Identificador</t>
        </is>
      </c>
      <c r="B1" s="3" t="inlineStr">
        <is>
          <t>Nombre</t>
        </is>
      </c>
      <c r="C1" s="3" t="inlineStr">
        <is>
          <t>Institución</t>
        </is>
      </c>
      <c r="D1" s="3" t="inlineStr">
        <is>
          <t>Tipo de entrevistas</t>
        </is>
      </c>
      <c r="E1" s="3" t="inlineStr">
        <is>
          <t>Meta</t>
        </is>
      </c>
      <c r="F1" s="3" t="inlineStr">
        <is>
          <t>Tipo de actor</t>
        </is>
      </c>
      <c r="G1" s="3" t="inlineStr">
        <is>
          <t>Distrito judicial</t>
        </is>
      </c>
      <c r="H1" s="3" t="inlineStr">
        <is>
          <t>Encargado de contacto</t>
        </is>
      </c>
      <c r="I1" s="3" t="inlineStr">
        <is>
          <t>Contacto</t>
        </is>
      </c>
      <c r="J1" s="3" t="inlineStr">
        <is>
          <t>Fecha de primer contacto</t>
        </is>
      </c>
      <c r="K1" s="3" t="inlineStr">
        <is>
          <t>Fecha de segundo contacto</t>
        </is>
      </c>
      <c r="L1" s="3" t="inlineStr">
        <is>
          <t>Fecha de tercer contacto</t>
        </is>
      </c>
      <c r="M1" s="3" t="inlineStr">
        <is>
          <t>Respuesta del actor</t>
        </is>
      </c>
      <c r="N1" s="3" t="inlineStr">
        <is>
          <t>Fecha de inicio de entrevista</t>
        </is>
      </c>
      <c r="O1" s="3" t="inlineStr">
        <is>
          <t>Fecha de fin de entrevista</t>
        </is>
      </c>
      <c r="P1" s="3" t="inlineStr">
        <is>
          <t>Resultado</t>
        </is>
      </c>
      <c r="Q1" s="3" t="inlineStr">
        <is>
          <t>Duración total (min)</t>
        </is>
      </c>
      <c r="R1" s="3" t="inlineStr">
        <is>
          <t>Actor considerado inicialmente</t>
        </is>
      </c>
      <c r="S1" s="3" t="inlineStr">
        <is>
          <t>Modalidad establecida</t>
        </is>
      </c>
      <c r="T1" s="3" t="inlineStr">
        <is>
          <t>Modalidad aplicada</t>
        </is>
      </c>
      <c r="U1" s="3" t="inlineStr">
        <is>
          <t>Dummy Contacto</t>
        </is>
      </c>
      <c r="V1" s="3" t="inlineStr">
        <is>
          <t>Dummy coordinación</t>
        </is>
      </c>
      <c r="W1" s="3" t="inlineStr">
        <is>
          <t>Dummy aceptada</t>
        </is>
      </c>
      <c r="X1" s="3" t="inlineStr">
        <is>
          <t>Dummy realizada</t>
        </is>
      </c>
      <c r="Y1" s="3" t="inlineStr">
        <is>
          <t>Dummy sin respuesta</t>
        </is>
      </c>
    </row>
    <row r="2">
      <c r="A2" s="1">
        <f>IF(Entrevistas!A2="","",Entrevistas!A2)</f>
        <v/>
      </c>
      <c r="B2" s="1">
        <f>IF(Entrevistas!B2="","",Entrevistas!B2)</f>
        <v/>
      </c>
      <c r="C2" s="1">
        <f>IF(Entrevistas!C2="","",Entrevistas!C2)</f>
        <v/>
      </c>
      <c r="D2" s="1">
        <f>IF(Entrevistas!G2="","",Entrevistas!G2)</f>
        <v/>
      </c>
      <c r="E2" s="1">
        <f>+INDEX(Meta!$C$2:$E$6,MATCH(F2,Meta!$C$2:$C$6,0),2)</f>
        <v/>
      </c>
      <c r="F2" s="1">
        <f>IF(Entrevistas!H2="","",Entrevistas!H2)</f>
        <v/>
      </c>
      <c r="G2" s="1">
        <f>IF(Entrevistas!I2="","",Entrevistas!I2)</f>
        <v/>
      </c>
      <c r="H2" s="1">
        <f>IF(Entrevistas!J2="","",Entrevistas!J2)</f>
        <v/>
      </c>
      <c r="I2" s="2">
        <f>IF(Entrevistas!K2="","",Entrevistas!K2)</f>
        <v/>
      </c>
      <c r="J2" s="2">
        <f>IF(Entrevistas!L2="","",Entrevistas!L2)</f>
        <v/>
      </c>
      <c r="K2" s="2">
        <f>IF(Entrevistas!M2="","",Entrevistas!M2)</f>
        <v/>
      </c>
      <c r="L2" s="2">
        <f>IF(Entrevistas!N2="","",Entrevistas!N2)</f>
        <v/>
      </c>
      <c r="M2" s="2">
        <f>IF(Entrevistas!O2="","",Entrevistas!O2)</f>
        <v/>
      </c>
      <c r="N2" s="2">
        <f>IF(Entrevistas!P2="","",Entrevistas!P2)</f>
        <v/>
      </c>
      <c r="O2" s="2">
        <f>IF(Entrevistas!Q2="","",Entrevistas!Q2)</f>
        <v/>
      </c>
      <c r="P2" s="1">
        <f>IF(Entrevistas!R2="","",Entrevistas!R2)</f>
        <v/>
      </c>
      <c r="Q2" s="1">
        <f>IF(Entrevistas!S2="","",Entrevistas!S2)</f>
        <v/>
      </c>
      <c r="R2" s="1">
        <f>IF(Entrevistas!T2="","",Entrevistas!T2)</f>
        <v/>
      </c>
      <c r="S2" s="1">
        <f>IF(Entrevistas!U2="","",Entrevistas!U2)</f>
        <v/>
      </c>
      <c r="T2" s="1">
        <f>IF(Entrevistas!V2="","",Entrevistas!V2)</f>
        <v/>
      </c>
      <c r="U2">
        <f>IF(I2="Contactado",1,0)</f>
        <v/>
      </c>
      <c r="V2">
        <f>IF(M2="En coordinación",1,0)</f>
        <v/>
      </c>
      <c r="W2">
        <f>IF(M2="Aceptada",1,0)</f>
        <v/>
      </c>
      <c r="X2">
        <f>IF(M2="Realizada",1,0)</f>
        <v/>
      </c>
      <c r="Y2">
        <f>IF(M2="Sin respuesta",1,0)</f>
        <v/>
      </c>
    </row>
    <row r="3">
      <c r="A3" s="1">
        <f>IF(Entrevistas!A3="","",Entrevistas!A3)</f>
        <v/>
      </c>
      <c r="B3" s="1">
        <f>IF(Entrevistas!B3="","",Entrevistas!B3)</f>
        <v/>
      </c>
      <c r="C3" s="1">
        <f>IF(Entrevistas!C3="","",Entrevistas!C3)</f>
        <v/>
      </c>
      <c r="D3" s="1">
        <f>IF(Entrevistas!G3="","",Entrevistas!G3)</f>
        <v/>
      </c>
      <c r="E3" s="1">
        <f>+INDEX(Meta!$C$2:$E$6,MATCH(F3,Meta!$C$2:$C$6,0),2)</f>
        <v/>
      </c>
      <c r="F3" s="1">
        <f>IF(Entrevistas!H3="","",Entrevistas!H3)</f>
        <v/>
      </c>
      <c r="G3" s="1">
        <f>IF(Entrevistas!I3="","",Entrevistas!I3)</f>
        <v/>
      </c>
      <c r="H3" s="1">
        <f>IF(Entrevistas!J3="","",Entrevistas!J3)</f>
        <v/>
      </c>
      <c r="I3" s="2">
        <f>IF(Entrevistas!K3="","",Entrevistas!K3)</f>
        <v/>
      </c>
      <c r="J3" s="2">
        <f>IF(Entrevistas!L3="","",Entrevistas!L3)</f>
        <v/>
      </c>
      <c r="K3" s="2">
        <f>IF(Entrevistas!M3="","",Entrevistas!M3)</f>
        <v/>
      </c>
      <c r="L3" s="2">
        <f>IF(Entrevistas!N3="","",Entrevistas!N3)</f>
        <v/>
      </c>
      <c r="M3" s="2">
        <f>IF(Entrevistas!O3="","",Entrevistas!O3)</f>
        <v/>
      </c>
      <c r="N3" s="2">
        <f>IF(Entrevistas!P3="","",Entrevistas!P3)</f>
        <v/>
      </c>
      <c r="O3" s="2">
        <f>IF(Entrevistas!Q3="","",Entrevistas!Q3)</f>
        <v/>
      </c>
      <c r="P3" s="1">
        <f>IF(Entrevistas!R3="","",Entrevistas!R3)</f>
        <v/>
      </c>
      <c r="Q3" s="1">
        <f>IF(Entrevistas!S3="","",Entrevistas!S3)</f>
        <v/>
      </c>
      <c r="R3" s="1">
        <f>IF(Entrevistas!T3="","",Entrevistas!T3)</f>
        <v/>
      </c>
      <c r="S3" s="1">
        <f>IF(Entrevistas!U3="","",Entrevistas!U3)</f>
        <v/>
      </c>
      <c r="T3" s="1">
        <f>IF(Entrevistas!V3="","",Entrevistas!V3)</f>
        <v/>
      </c>
      <c r="U3">
        <f>IF(I3="Contactado",1,0)</f>
        <v/>
      </c>
      <c r="V3">
        <f>IF(M3="En coordinación",1,0)</f>
        <v/>
      </c>
      <c r="W3">
        <f>IF(M3="Aceptada",1,0)</f>
        <v/>
      </c>
      <c r="X3">
        <f>IF(M3="Realizada",1,0)</f>
        <v/>
      </c>
      <c r="Y3">
        <f>IF(M3="Sin respuesta",1,0)</f>
        <v/>
      </c>
    </row>
    <row r="4">
      <c r="A4" s="1">
        <f>IF(Entrevistas!A4="","",Entrevistas!A4)</f>
        <v/>
      </c>
      <c r="B4" s="1">
        <f>IF(Entrevistas!B4="","",Entrevistas!B4)</f>
        <v/>
      </c>
      <c r="C4" s="1">
        <f>IF(Entrevistas!C4="","",Entrevistas!C4)</f>
        <v/>
      </c>
      <c r="D4" s="1">
        <f>IF(Entrevistas!G4="","",Entrevistas!G4)</f>
        <v/>
      </c>
      <c r="E4" s="1">
        <f>+INDEX(Meta!$C$2:$E$6,MATCH(F4,Meta!$C$2:$C$6,0),2)</f>
        <v/>
      </c>
      <c r="F4" s="1">
        <f>IF(Entrevistas!H4="","",Entrevistas!H4)</f>
        <v/>
      </c>
      <c r="G4" s="1">
        <f>IF(Entrevistas!I4="","",Entrevistas!I4)</f>
        <v/>
      </c>
      <c r="H4" s="1">
        <f>IF(Entrevistas!J4="","",Entrevistas!J4)</f>
        <v/>
      </c>
      <c r="I4" s="2">
        <f>IF(Entrevistas!K4="","",Entrevistas!K4)</f>
        <v/>
      </c>
      <c r="J4" s="2">
        <f>IF(Entrevistas!L4="","",Entrevistas!L4)</f>
        <v/>
      </c>
      <c r="K4" s="2">
        <f>IF(Entrevistas!M4="","",Entrevistas!M4)</f>
        <v/>
      </c>
      <c r="L4" s="2">
        <f>IF(Entrevistas!N4="","",Entrevistas!N4)</f>
        <v/>
      </c>
      <c r="M4" s="2">
        <f>IF(Entrevistas!O4="","",Entrevistas!O4)</f>
        <v/>
      </c>
      <c r="N4" s="2">
        <f>IF(Entrevistas!P4="","",Entrevistas!P4)</f>
        <v/>
      </c>
      <c r="O4" s="2">
        <f>IF(Entrevistas!Q4="","",Entrevistas!Q4)</f>
        <v/>
      </c>
      <c r="P4" s="1">
        <f>IF(Entrevistas!R4="","",Entrevistas!R4)</f>
        <v/>
      </c>
      <c r="Q4" s="1">
        <f>IF(Entrevistas!S4="","",Entrevistas!S4)</f>
        <v/>
      </c>
      <c r="R4" s="1">
        <f>IF(Entrevistas!T4="","",Entrevistas!T4)</f>
        <v/>
      </c>
      <c r="S4" s="1">
        <f>IF(Entrevistas!U4="","",Entrevistas!U4)</f>
        <v/>
      </c>
      <c r="T4" s="1">
        <f>IF(Entrevistas!V4="","",Entrevistas!V4)</f>
        <v/>
      </c>
      <c r="U4">
        <f>IF(I4="Contactado",1,0)</f>
        <v/>
      </c>
      <c r="V4">
        <f>IF(M4="En coordinación",1,0)</f>
        <v/>
      </c>
      <c r="W4">
        <f>IF(M4="Aceptada",1,0)</f>
        <v/>
      </c>
      <c r="X4">
        <f>IF(M4="Realizada",1,0)</f>
        <v/>
      </c>
      <c r="Y4">
        <f>IF(M4="Sin respuesta",1,0)</f>
        <v/>
      </c>
    </row>
    <row r="5">
      <c r="A5" s="1">
        <f>IF(Entrevistas!A5="","",Entrevistas!A5)</f>
        <v/>
      </c>
      <c r="B5" s="1">
        <f>IF(Entrevistas!B5="","",Entrevistas!B5)</f>
        <v/>
      </c>
      <c r="C5" s="1">
        <f>IF(Entrevistas!C5="","",Entrevistas!C5)</f>
        <v/>
      </c>
      <c r="D5" s="1">
        <f>IF(Entrevistas!G5="","",Entrevistas!G5)</f>
        <v/>
      </c>
      <c r="E5" s="1">
        <f>+INDEX(Meta!$C$2:$E$6,MATCH(F5,Meta!$C$2:$C$6,0),2)</f>
        <v/>
      </c>
      <c r="F5" s="1">
        <f>IF(Entrevistas!H5="","",Entrevistas!H5)</f>
        <v/>
      </c>
      <c r="G5" s="1">
        <f>IF(Entrevistas!I5="","",Entrevistas!I5)</f>
        <v/>
      </c>
      <c r="H5" s="1">
        <f>IF(Entrevistas!J5="","",Entrevistas!J5)</f>
        <v/>
      </c>
      <c r="I5" s="2">
        <f>IF(Entrevistas!K5="","",Entrevistas!K5)</f>
        <v/>
      </c>
      <c r="J5" s="2">
        <f>IF(Entrevistas!L5="","",Entrevistas!L5)</f>
        <v/>
      </c>
      <c r="K5" s="2">
        <f>IF(Entrevistas!M5="","",Entrevistas!M5)</f>
        <v/>
      </c>
      <c r="L5" s="2">
        <f>IF(Entrevistas!N5="","",Entrevistas!N5)</f>
        <v/>
      </c>
      <c r="M5" s="2">
        <f>IF(Entrevistas!O5="","",Entrevistas!O5)</f>
        <v/>
      </c>
      <c r="N5" s="2">
        <f>IF(Entrevistas!P5="","",Entrevistas!P5)</f>
        <v/>
      </c>
      <c r="O5" s="2">
        <f>IF(Entrevistas!Q5="","",Entrevistas!Q5)</f>
        <v/>
      </c>
      <c r="P5" s="1">
        <f>IF(Entrevistas!R5="","",Entrevistas!R5)</f>
        <v/>
      </c>
      <c r="Q5" s="1">
        <f>IF(Entrevistas!S5="","",Entrevistas!S5)</f>
        <v/>
      </c>
      <c r="R5" s="1">
        <f>IF(Entrevistas!T5="","",Entrevistas!T5)</f>
        <v/>
      </c>
      <c r="S5" s="1">
        <f>IF(Entrevistas!U5="","",Entrevistas!U5)</f>
        <v/>
      </c>
      <c r="T5" s="1">
        <f>IF(Entrevistas!V5="","",Entrevistas!V5)</f>
        <v/>
      </c>
      <c r="U5">
        <f>IF(I5="Contactado",1,0)</f>
        <v/>
      </c>
      <c r="V5">
        <f>IF(M5="En coordinación",1,0)</f>
        <v/>
      </c>
      <c r="W5">
        <f>IF(M5="Aceptada",1,0)</f>
        <v/>
      </c>
      <c r="X5">
        <f>IF(M5="Realizada",1,0)</f>
        <v/>
      </c>
      <c r="Y5">
        <f>IF(M5="Sin respuesta",1,0)</f>
        <v/>
      </c>
    </row>
    <row r="6">
      <c r="A6" s="1">
        <f>IF(Entrevistas!A6="","",Entrevistas!A6)</f>
        <v/>
      </c>
      <c r="B6" s="1">
        <f>IF(Entrevistas!B6="","",Entrevistas!B6)</f>
        <v/>
      </c>
      <c r="C6" s="1">
        <f>IF(Entrevistas!C6="","",Entrevistas!C6)</f>
        <v/>
      </c>
      <c r="D6" s="1">
        <f>IF(Entrevistas!G6="","",Entrevistas!G6)</f>
        <v/>
      </c>
      <c r="E6" s="1">
        <f>+INDEX(Meta!$C$2:$E$6,MATCH(F6,Meta!$C$2:$C$6,0),2)</f>
        <v/>
      </c>
      <c r="F6" s="1">
        <f>IF(Entrevistas!H6="","",Entrevistas!H6)</f>
        <v/>
      </c>
      <c r="G6" s="1">
        <f>IF(Entrevistas!I6="","",Entrevistas!I6)</f>
        <v/>
      </c>
      <c r="H6" s="1">
        <f>IF(Entrevistas!J6="","",Entrevistas!J6)</f>
        <v/>
      </c>
      <c r="I6" s="2">
        <f>IF(Entrevistas!K6="","",Entrevistas!K6)</f>
        <v/>
      </c>
      <c r="J6" s="2">
        <f>IF(Entrevistas!L6="","",Entrevistas!L6)</f>
        <v/>
      </c>
      <c r="K6" s="2">
        <f>IF(Entrevistas!M6="","",Entrevistas!M6)</f>
        <v/>
      </c>
      <c r="L6" s="2">
        <f>IF(Entrevistas!N6="","",Entrevistas!N6)</f>
        <v/>
      </c>
      <c r="M6" s="2">
        <f>IF(Entrevistas!O6="","",Entrevistas!O6)</f>
        <v/>
      </c>
      <c r="N6" s="2">
        <f>IF(Entrevistas!P6="","",Entrevistas!P6)</f>
        <v/>
      </c>
      <c r="O6" s="2">
        <f>IF(Entrevistas!Q6="","",Entrevistas!Q6)</f>
        <v/>
      </c>
      <c r="P6" s="1">
        <f>IF(Entrevistas!R6="","",Entrevistas!R6)</f>
        <v/>
      </c>
      <c r="Q6" s="1">
        <f>IF(Entrevistas!S6="","",Entrevistas!S6)</f>
        <v/>
      </c>
      <c r="R6" s="1">
        <f>IF(Entrevistas!T6="","",Entrevistas!T6)</f>
        <v/>
      </c>
      <c r="S6" s="1">
        <f>IF(Entrevistas!U6="","",Entrevistas!U6)</f>
        <v/>
      </c>
      <c r="T6" s="1">
        <f>IF(Entrevistas!V6="","",Entrevistas!V6)</f>
        <v/>
      </c>
      <c r="U6">
        <f>IF(I6="Contactado",1,0)</f>
        <v/>
      </c>
      <c r="V6">
        <f>IF(M6="En coordinación",1,0)</f>
        <v/>
      </c>
      <c r="W6">
        <f>IF(M6="Aceptada",1,0)</f>
        <v/>
      </c>
      <c r="X6">
        <f>IF(M6="Realizada",1,0)</f>
        <v/>
      </c>
      <c r="Y6">
        <f>IF(M6="Sin respuesta",1,0)</f>
        <v/>
      </c>
    </row>
    <row r="7">
      <c r="A7" s="1">
        <f>IF(Entrevistas!A7="","",Entrevistas!A7)</f>
        <v/>
      </c>
      <c r="B7" s="1">
        <f>IF(Entrevistas!B7="","",Entrevistas!B7)</f>
        <v/>
      </c>
      <c r="C7" s="1">
        <f>IF(Entrevistas!C7="","",Entrevistas!C7)</f>
        <v/>
      </c>
      <c r="D7" s="1">
        <f>IF(Entrevistas!G7="","",Entrevistas!G7)</f>
        <v/>
      </c>
      <c r="E7" s="1">
        <f>+INDEX(Meta!$C$2:$E$6,MATCH(F7,Meta!$C$2:$C$6,0),2)</f>
        <v/>
      </c>
      <c r="F7" s="1">
        <f>IF(Entrevistas!H7="","",Entrevistas!H7)</f>
        <v/>
      </c>
      <c r="G7" s="1">
        <f>IF(Entrevistas!I7="","",Entrevistas!I7)</f>
        <v/>
      </c>
      <c r="H7" s="1">
        <f>IF(Entrevistas!J7="","",Entrevistas!J7)</f>
        <v/>
      </c>
      <c r="I7" s="2">
        <f>IF(Entrevistas!K7="","",Entrevistas!K7)</f>
        <v/>
      </c>
      <c r="J7" s="2">
        <f>IF(Entrevistas!L7="","",Entrevistas!L7)</f>
        <v/>
      </c>
      <c r="K7" s="2">
        <f>IF(Entrevistas!M7="","",Entrevistas!M7)</f>
        <v/>
      </c>
      <c r="L7" s="2">
        <f>IF(Entrevistas!N7="","",Entrevistas!N7)</f>
        <v/>
      </c>
      <c r="M7" s="2">
        <f>IF(Entrevistas!O7="","",Entrevistas!O7)</f>
        <v/>
      </c>
      <c r="N7" s="2">
        <f>IF(Entrevistas!P7="","",Entrevistas!P7)</f>
        <v/>
      </c>
      <c r="O7" s="2">
        <f>IF(Entrevistas!Q7="","",Entrevistas!Q7)</f>
        <v/>
      </c>
      <c r="P7" s="1">
        <f>IF(Entrevistas!R7="","",Entrevistas!R7)</f>
        <v/>
      </c>
      <c r="Q7" s="1">
        <f>IF(Entrevistas!S7="","",Entrevistas!S7)</f>
        <v/>
      </c>
      <c r="R7" s="1">
        <f>IF(Entrevistas!T7="","",Entrevistas!T7)</f>
        <v/>
      </c>
      <c r="S7" s="1">
        <f>IF(Entrevistas!U7="","",Entrevistas!U7)</f>
        <v/>
      </c>
      <c r="T7" s="1">
        <f>IF(Entrevistas!V7="","",Entrevistas!V7)</f>
        <v/>
      </c>
      <c r="U7">
        <f>IF(I7="Contactado",1,0)</f>
        <v/>
      </c>
      <c r="V7">
        <f>IF(M7="En coordinación",1,0)</f>
        <v/>
      </c>
      <c r="W7">
        <f>IF(M7="Aceptada",1,0)</f>
        <v/>
      </c>
      <c r="X7">
        <f>IF(M7="Realizada",1,0)</f>
        <v/>
      </c>
      <c r="Y7">
        <f>IF(M7="Sin respuesta",1,0)</f>
        <v/>
      </c>
    </row>
    <row r="8">
      <c r="A8" s="1">
        <f>IF(Entrevistas!A8="","",Entrevistas!A8)</f>
        <v/>
      </c>
      <c r="B8" s="1">
        <f>IF(Entrevistas!B8="","",Entrevistas!B8)</f>
        <v/>
      </c>
      <c r="C8" s="1">
        <f>IF(Entrevistas!C8="","",Entrevistas!C8)</f>
        <v/>
      </c>
      <c r="D8" s="1">
        <f>IF(Entrevistas!G8="","",Entrevistas!G8)</f>
        <v/>
      </c>
      <c r="E8" s="1">
        <f>+INDEX(Meta!$C$2:$E$6,MATCH(F8,Meta!$C$2:$C$6,0),2)</f>
        <v/>
      </c>
      <c r="F8" s="1">
        <f>IF(Entrevistas!H8="","",Entrevistas!H8)</f>
        <v/>
      </c>
      <c r="G8" s="1">
        <f>IF(Entrevistas!I8="","",Entrevistas!I8)</f>
        <v/>
      </c>
      <c r="H8" s="1">
        <f>IF(Entrevistas!J8="","",Entrevistas!J8)</f>
        <v/>
      </c>
      <c r="I8" s="2">
        <f>IF(Entrevistas!K8="","",Entrevistas!K8)</f>
        <v/>
      </c>
      <c r="J8" s="2">
        <f>IF(Entrevistas!L8="","",Entrevistas!L8)</f>
        <v/>
      </c>
      <c r="K8" s="2">
        <f>IF(Entrevistas!M8="","",Entrevistas!M8)</f>
        <v/>
      </c>
      <c r="L8" s="2">
        <f>IF(Entrevistas!N8="","",Entrevistas!N8)</f>
        <v/>
      </c>
      <c r="M8" s="2">
        <f>IF(Entrevistas!O8="","",Entrevistas!O8)</f>
        <v/>
      </c>
      <c r="N8" s="2">
        <f>IF(Entrevistas!P8="","",Entrevistas!P8)</f>
        <v/>
      </c>
      <c r="O8" s="2">
        <f>IF(Entrevistas!Q8="","",Entrevistas!Q8)</f>
        <v/>
      </c>
      <c r="P8" s="1">
        <f>IF(Entrevistas!R8="","",Entrevistas!R8)</f>
        <v/>
      </c>
      <c r="Q8" s="1">
        <f>IF(Entrevistas!S8="","",Entrevistas!S8)</f>
        <v/>
      </c>
      <c r="R8" s="1">
        <f>IF(Entrevistas!T8="","",Entrevistas!T8)</f>
        <v/>
      </c>
      <c r="S8" s="1">
        <f>IF(Entrevistas!U8="","",Entrevistas!U8)</f>
        <v/>
      </c>
      <c r="T8" s="1">
        <f>IF(Entrevistas!V8="","",Entrevistas!V8)</f>
        <v/>
      </c>
      <c r="U8">
        <f>IF(I8="Contactado",1,0)</f>
        <v/>
      </c>
      <c r="V8">
        <f>IF(M8="En coordinación",1,0)</f>
        <v/>
      </c>
      <c r="W8">
        <f>IF(M8="Aceptada",1,0)</f>
        <v/>
      </c>
      <c r="X8">
        <f>IF(M8="Realizada",1,0)</f>
        <v/>
      </c>
      <c r="Y8">
        <f>IF(M8="Sin respuesta",1,0)</f>
        <v/>
      </c>
    </row>
    <row r="9">
      <c r="A9" s="1">
        <f>IF(Entrevistas!A9="","",Entrevistas!A9)</f>
        <v/>
      </c>
      <c r="B9" s="1">
        <f>IF(Entrevistas!B9="","",Entrevistas!B9)</f>
        <v/>
      </c>
      <c r="C9" s="1">
        <f>IF(Entrevistas!C9="","",Entrevistas!C9)</f>
        <v/>
      </c>
      <c r="D9" s="1">
        <f>IF(Entrevistas!G9="","",Entrevistas!G9)</f>
        <v/>
      </c>
      <c r="E9" s="1">
        <f>+INDEX(Meta!$C$2:$E$6,MATCH(F9,Meta!$C$2:$C$6,0),2)</f>
        <v/>
      </c>
      <c r="F9" s="1">
        <f>IF(Entrevistas!H9="","",Entrevistas!H9)</f>
        <v/>
      </c>
      <c r="G9" s="1">
        <f>IF(Entrevistas!I9="","",Entrevistas!I9)</f>
        <v/>
      </c>
      <c r="H9" s="1">
        <f>IF(Entrevistas!J9="","",Entrevistas!J9)</f>
        <v/>
      </c>
      <c r="I9" s="2">
        <f>IF(Entrevistas!K9="","",Entrevistas!K9)</f>
        <v/>
      </c>
      <c r="J9" s="2">
        <f>IF(Entrevistas!L9="","",Entrevistas!L9)</f>
        <v/>
      </c>
      <c r="K9" s="2">
        <f>IF(Entrevistas!M9="","",Entrevistas!M9)</f>
        <v/>
      </c>
      <c r="L9" s="2">
        <f>IF(Entrevistas!N9="","",Entrevistas!N9)</f>
        <v/>
      </c>
      <c r="M9" s="2">
        <f>IF(Entrevistas!O9="","",Entrevistas!O9)</f>
        <v/>
      </c>
      <c r="N9" s="2">
        <f>IF(Entrevistas!P9="","",Entrevistas!P9)</f>
        <v/>
      </c>
      <c r="O9" s="2">
        <f>IF(Entrevistas!Q9="","",Entrevistas!Q9)</f>
        <v/>
      </c>
      <c r="P9" s="1">
        <f>IF(Entrevistas!R9="","",Entrevistas!R9)</f>
        <v/>
      </c>
      <c r="Q9" s="1">
        <f>IF(Entrevistas!S9="","",Entrevistas!S9)</f>
        <v/>
      </c>
      <c r="R9" s="1">
        <f>IF(Entrevistas!T9="","",Entrevistas!T9)</f>
        <v/>
      </c>
      <c r="S9" s="1">
        <f>IF(Entrevistas!U9="","",Entrevistas!U9)</f>
        <v/>
      </c>
      <c r="T9" s="1">
        <f>IF(Entrevistas!V9="","",Entrevistas!V9)</f>
        <v/>
      </c>
      <c r="U9">
        <f>IF(I9="Contactado",1,0)</f>
        <v/>
      </c>
      <c r="V9">
        <f>IF(M9="En coordinación",1,0)</f>
        <v/>
      </c>
      <c r="W9">
        <f>IF(M9="Aceptada",1,0)</f>
        <v/>
      </c>
      <c r="X9">
        <f>IF(M9="Realizada",1,0)</f>
        <v/>
      </c>
      <c r="Y9">
        <f>IF(M9="Sin respuesta",1,0)</f>
        <v/>
      </c>
    </row>
    <row r="10">
      <c r="A10" s="1">
        <f>IF(Entrevistas!A10="","",Entrevistas!A10)</f>
        <v/>
      </c>
      <c r="B10" s="1">
        <f>IF(Entrevistas!B10="","",Entrevistas!B10)</f>
        <v/>
      </c>
      <c r="C10" s="1">
        <f>IF(Entrevistas!C10="","",Entrevistas!C10)</f>
        <v/>
      </c>
      <c r="D10" s="1">
        <f>IF(Entrevistas!G10="","",Entrevistas!G10)</f>
        <v/>
      </c>
      <c r="E10" s="1">
        <f>+INDEX(Meta!$C$2:$E$6,MATCH(F10,Meta!$C$2:$C$6,0),2)</f>
        <v/>
      </c>
      <c r="F10" s="1">
        <f>IF(Entrevistas!H10="","",Entrevistas!H10)</f>
        <v/>
      </c>
      <c r="G10" s="1">
        <f>IF(Entrevistas!I10="","",Entrevistas!I10)</f>
        <v/>
      </c>
      <c r="H10" s="1">
        <f>IF(Entrevistas!J10="","",Entrevistas!J10)</f>
        <v/>
      </c>
      <c r="I10" s="2">
        <f>IF(Entrevistas!K10="","",Entrevistas!K10)</f>
        <v/>
      </c>
      <c r="J10" s="2">
        <f>IF(Entrevistas!L10="","",Entrevistas!L10)</f>
        <v/>
      </c>
      <c r="K10" s="2">
        <f>IF(Entrevistas!M10="","",Entrevistas!M10)</f>
        <v/>
      </c>
      <c r="L10" s="2">
        <f>IF(Entrevistas!N10="","",Entrevistas!N10)</f>
        <v/>
      </c>
      <c r="M10" s="2">
        <f>IF(Entrevistas!O10="","",Entrevistas!O10)</f>
        <v/>
      </c>
      <c r="N10" s="2">
        <f>IF(Entrevistas!P10="","",Entrevistas!P10)</f>
        <v/>
      </c>
      <c r="O10" s="2">
        <f>IF(Entrevistas!Q10="","",Entrevistas!Q10)</f>
        <v/>
      </c>
      <c r="P10" s="1">
        <f>IF(Entrevistas!R10="","",Entrevistas!R10)</f>
        <v/>
      </c>
      <c r="Q10" s="1">
        <f>IF(Entrevistas!S10="","",Entrevistas!S10)</f>
        <v/>
      </c>
      <c r="R10" s="1">
        <f>IF(Entrevistas!T10="","",Entrevistas!T10)</f>
        <v/>
      </c>
      <c r="S10" s="1">
        <f>IF(Entrevistas!U10="","",Entrevistas!U10)</f>
        <v/>
      </c>
      <c r="T10" s="1">
        <f>IF(Entrevistas!V10="","",Entrevistas!V10)</f>
        <v/>
      </c>
      <c r="U10">
        <f>IF(I10="Contactado",1,0)</f>
        <v/>
      </c>
      <c r="V10">
        <f>IF(M10="En coordinación",1,0)</f>
        <v/>
      </c>
      <c r="W10">
        <f>IF(M10="Aceptada",1,0)</f>
        <v/>
      </c>
      <c r="X10">
        <f>IF(M10="Realizada",1,0)</f>
        <v/>
      </c>
      <c r="Y10">
        <f>IF(M10="Sin respuesta",1,0)</f>
        <v/>
      </c>
    </row>
    <row r="11">
      <c r="A11" s="1">
        <f>IF(Entrevistas!A11="","",Entrevistas!A11)</f>
        <v/>
      </c>
      <c r="B11" s="1">
        <f>IF(Entrevistas!B11="","",Entrevistas!B11)</f>
        <v/>
      </c>
      <c r="C11" s="1">
        <f>IF(Entrevistas!C11="","",Entrevistas!C11)</f>
        <v/>
      </c>
      <c r="D11" s="1">
        <f>IF(Entrevistas!G11="","",Entrevistas!G11)</f>
        <v/>
      </c>
      <c r="E11" s="1">
        <f>+INDEX(Meta!$C$2:$E$6,MATCH(F11,Meta!$C$2:$C$6,0),2)</f>
        <v/>
      </c>
      <c r="F11" s="1">
        <f>IF(Entrevistas!H11="","",Entrevistas!H11)</f>
        <v/>
      </c>
      <c r="G11" s="1">
        <f>IF(Entrevistas!I11="","",Entrevistas!I11)</f>
        <v/>
      </c>
      <c r="H11" s="1">
        <f>IF(Entrevistas!J11="","",Entrevistas!J11)</f>
        <v/>
      </c>
      <c r="I11" s="2">
        <f>IF(Entrevistas!K11="","",Entrevistas!K11)</f>
        <v/>
      </c>
      <c r="J11" s="2">
        <f>IF(Entrevistas!L11="","",Entrevistas!L11)</f>
        <v/>
      </c>
      <c r="K11" s="2">
        <f>IF(Entrevistas!M11="","",Entrevistas!M11)</f>
        <v/>
      </c>
      <c r="L11" s="2">
        <f>IF(Entrevistas!N11="","",Entrevistas!N11)</f>
        <v/>
      </c>
      <c r="M11" s="2">
        <f>IF(Entrevistas!O11="","",Entrevistas!O11)</f>
        <v/>
      </c>
      <c r="N11" s="2">
        <f>IF(Entrevistas!P11="","",Entrevistas!P11)</f>
        <v/>
      </c>
      <c r="O11" s="2">
        <f>IF(Entrevistas!Q11="","",Entrevistas!Q11)</f>
        <v/>
      </c>
      <c r="P11" s="1">
        <f>IF(Entrevistas!R11="","",Entrevistas!R11)</f>
        <v/>
      </c>
      <c r="Q11" s="1">
        <f>IF(Entrevistas!S11="","",Entrevistas!S11)</f>
        <v/>
      </c>
      <c r="R11" s="1">
        <f>IF(Entrevistas!T11="","",Entrevistas!T11)</f>
        <v/>
      </c>
      <c r="S11" s="1">
        <f>IF(Entrevistas!U11="","",Entrevistas!U11)</f>
        <v/>
      </c>
      <c r="T11" s="1">
        <f>IF(Entrevistas!V11="","",Entrevistas!V11)</f>
        <v/>
      </c>
      <c r="U11">
        <f>IF(I11="Contactado",1,0)</f>
        <v/>
      </c>
      <c r="V11">
        <f>IF(M11="En coordinación",1,0)</f>
        <v/>
      </c>
      <c r="W11">
        <f>IF(M11="Aceptada",1,0)</f>
        <v/>
      </c>
      <c r="X11">
        <f>IF(M11="Realizada",1,0)</f>
        <v/>
      </c>
      <c r="Y11">
        <f>IF(M11="Sin respuesta",1,0)</f>
        <v/>
      </c>
    </row>
    <row r="12">
      <c r="A12" s="1">
        <f>IF(Entrevistas!A12="","",Entrevistas!A12)</f>
        <v/>
      </c>
      <c r="B12" s="1">
        <f>IF(Entrevistas!B12="","",Entrevistas!B12)</f>
        <v/>
      </c>
      <c r="C12" s="1">
        <f>IF(Entrevistas!C12="","",Entrevistas!C12)</f>
        <v/>
      </c>
      <c r="D12" s="1">
        <f>IF(Entrevistas!G12="","",Entrevistas!G12)</f>
        <v/>
      </c>
      <c r="E12" s="1">
        <f>+INDEX(Meta!$C$2:$E$6,MATCH(F12,Meta!$C$2:$C$6,0),2)</f>
        <v/>
      </c>
      <c r="F12" s="1">
        <f>IF(Entrevistas!H12="","",Entrevistas!H12)</f>
        <v/>
      </c>
      <c r="G12" s="1">
        <f>IF(Entrevistas!I12="","",Entrevistas!I12)</f>
        <v/>
      </c>
      <c r="H12" s="1">
        <f>IF(Entrevistas!J12="","",Entrevistas!J12)</f>
        <v/>
      </c>
      <c r="I12" s="2">
        <f>IF(Entrevistas!K12="","",Entrevistas!K12)</f>
        <v/>
      </c>
      <c r="J12" s="2">
        <f>IF(Entrevistas!L12="","",Entrevistas!L12)</f>
        <v/>
      </c>
      <c r="K12" s="2">
        <f>IF(Entrevistas!M12="","",Entrevistas!M12)</f>
        <v/>
      </c>
      <c r="L12" s="2">
        <f>IF(Entrevistas!N12="","",Entrevistas!N12)</f>
        <v/>
      </c>
      <c r="M12" s="2">
        <f>IF(Entrevistas!O12="","",Entrevistas!O12)</f>
        <v/>
      </c>
      <c r="N12" s="2">
        <f>IF(Entrevistas!P12="","",Entrevistas!P12)</f>
        <v/>
      </c>
      <c r="O12" s="2">
        <f>IF(Entrevistas!Q12="","",Entrevistas!Q12)</f>
        <v/>
      </c>
      <c r="P12" s="1">
        <f>IF(Entrevistas!R12="","",Entrevistas!R12)</f>
        <v/>
      </c>
      <c r="Q12" s="1">
        <f>IF(Entrevistas!S12="","",Entrevistas!S12)</f>
        <v/>
      </c>
      <c r="R12" s="1">
        <f>IF(Entrevistas!T12="","",Entrevistas!T12)</f>
        <v/>
      </c>
      <c r="S12" s="1">
        <f>IF(Entrevistas!U12="","",Entrevistas!U12)</f>
        <v/>
      </c>
      <c r="T12" s="1">
        <f>IF(Entrevistas!V12="","",Entrevistas!V12)</f>
        <v/>
      </c>
      <c r="U12">
        <f>IF(I12="Contactado",1,0)</f>
        <v/>
      </c>
      <c r="V12">
        <f>IF(M12="En coordinación",1,0)</f>
        <v/>
      </c>
      <c r="W12">
        <f>IF(M12="Aceptada",1,0)</f>
        <v/>
      </c>
      <c r="X12">
        <f>IF(M12="Realizada",1,0)</f>
        <v/>
      </c>
      <c r="Y12">
        <f>IF(M12="Sin respuesta",1,0)</f>
        <v/>
      </c>
    </row>
    <row r="13">
      <c r="A13" s="1">
        <f>IF(Entrevistas!A13="","",Entrevistas!A13)</f>
        <v/>
      </c>
      <c r="B13" s="1">
        <f>IF(Entrevistas!B13="","",Entrevistas!B13)</f>
        <v/>
      </c>
      <c r="C13" s="1">
        <f>IF(Entrevistas!C13="","",Entrevistas!C13)</f>
        <v/>
      </c>
      <c r="D13" s="1">
        <f>IF(Entrevistas!G13="","",Entrevistas!G13)</f>
        <v/>
      </c>
      <c r="E13" s="1">
        <f>+INDEX(Meta!$C$2:$E$6,MATCH(F13,Meta!$C$2:$C$6,0),2)</f>
        <v/>
      </c>
      <c r="F13" s="1">
        <f>IF(Entrevistas!H13="","",Entrevistas!H13)</f>
        <v/>
      </c>
      <c r="G13" s="1">
        <f>IF(Entrevistas!I13="","",Entrevistas!I13)</f>
        <v/>
      </c>
      <c r="H13" s="1">
        <f>IF(Entrevistas!J13="","",Entrevistas!J13)</f>
        <v/>
      </c>
      <c r="I13" s="2">
        <f>IF(Entrevistas!K13="","",Entrevistas!K13)</f>
        <v/>
      </c>
      <c r="J13" s="2">
        <f>IF(Entrevistas!L13="","",Entrevistas!L13)</f>
        <v/>
      </c>
      <c r="K13" s="2">
        <f>IF(Entrevistas!M13="","",Entrevistas!M13)</f>
        <v/>
      </c>
      <c r="L13" s="2">
        <f>IF(Entrevistas!N13="","",Entrevistas!N13)</f>
        <v/>
      </c>
      <c r="M13" s="2">
        <f>IF(Entrevistas!O13="","",Entrevistas!O13)</f>
        <v/>
      </c>
      <c r="N13" s="2">
        <f>IF(Entrevistas!P13="","",Entrevistas!P13)</f>
        <v/>
      </c>
      <c r="O13" s="2">
        <f>IF(Entrevistas!Q13="","",Entrevistas!Q13)</f>
        <v/>
      </c>
      <c r="P13" s="1">
        <f>IF(Entrevistas!R13="","",Entrevistas!R13)</f>
        <v/>
      </c>
      <c r="Q13" s="1">
        <f>IF(Entrevistas!S13="","",Entrevistas!S13)</f>
        <v/>
      </c>
      <c r="R13" s="1">
        <f>IF(Entrevistas!T13="","",Entrevistas!T13)</f>
        <v/>
      </c>
      <c r="S13" s="1">
        <f>IF(Entrevistas!U13="","",Entrevistas!U13)</f>
        <v/>
      </c>
      <c r="T13" s="1">
        <f>IF(Entrevistas!V13="","",Entrevistas!V13)</f>
        <v/>
      </c>
      <c r="U13">
        <f>IF(I13="Contactado",1,0)</f>
        <v/>
      </c>
      <c r="V13">
        <f>IF(M13="En coordinación",1,0)</f>
        <v/>
      </c>
      <c r="W13">
        <f>IF(M13="Aceptada",1,0)</f>
        <v/>
      </c>
      <c r="X13">
        <f>IF(M13="Realizada",1,0)</f>
        <v/>
      </c>
      <c r="Y13">
        <f>IF(M13="Sin respuesta",1,0)</f>
        <v/>
      </c>
    </row>
    <row r="14">
      <c r="A14" s="1">
        <f>IF(Entrevistas!A14="","",Entrevistas!A14)</f>
        <v/>
      </c>
      <c r="B14" s="1">
        <f>IF(Entrevistas!B14="","",Entrevistas!B14)</f>
        <v/>
      </c>
      <c r="C14" s="1">
        <f>IF(Entrevistas!C14="","",Entrevistas!C14)</f>
        <v/>
      </c>
      <c r="D14" s="1">
        <f>IF(Entrevistas!G14="","",Entrevistas!G14)</f>
        <v/>
      </c>
      <c r="E14" s="1">
        <f>+INDEX(Meta!$C$2:$E$6,MATCH(F14,Meta!$C$2:$C$6,0),2)</f>
        <v/>
      </c>
      <c r="F14" s="1">
        <f>IF(Entrevistas!H14="","",Entrevistas!H14)</f>
        <v/>
      </c>
      <c r="G14" s="1">
        <f>IF(Entrevistas!I14="","",Entrevistas!I14)</f>
        <v/>
      </c>
      <c r="H14" s="1">
        <f>IF(Entrevistas!J14="","",Entrevistas!J14)</f>
        <v/>
      </c>
      <c r="I14" s="2">
        <f>IF(Entrevistas!K14="","",Entrevistas!K14)</f>
        <v/>
      </c>
      <c r="J14" s="2">
        <f>IF(Entrevistas!L14="","",Entrevistas!L14)</f>
        <v/>
      </c>
      <c r="K14" s="2">
        <f>IF(Entrevistas!M14="","",Entrevistas!M14)</f>
        <v/>
      </c>
      <c r="L14" s="2">
        <f>IF(Entrevistas!N14="","",Entrevistas!N14)</f>
        <v/>
      </c>
      <c r="M14" s="2">
        <f>IF(Entrevistas!O14="","",Entrevistas!O14)</f>
        <v/>
      </c>
      <c r="N14" s="2">
        <f>IF(Entrevistas!P14="","",Entrevistas!P14)</f>
        <v/>
      </c>
      <c r="O14" s="2">
        <f>IF(Entrevistas!Q14="","",Entrevistas!Q14)</f>
        <v/>
      </c>
      <c r="P14" s="1">
        <f>IF(Entrevistas!R14="","",Entrevistas!R14)</f>
        <v/>
      </c>
      <c r="Q14" s="1">
        <f>IF(Entrevistas!S14="","",Entrevistas!S14)</f>
        <v/>
      </c>
      <c r="R14" s="1">
        <f>IF(Entrevistas!T14="","",Entrevistas!T14)</f>
        <v/>
      </c>
      <c r="S14" s="1">
        <f>IF(Entrevistas!U14="","",Entrevistas!U14)</f>
        <v/>
      </c>
      <c r="T14" s="1">
        <f>IF(Entrevistas!V14="","",Entrevistas!V14)</f>
        <v/>
      </c>
      <c r="U14">
        <f>IF(I14="Contactado",1,0)</f>
        <v/>
      </c>
      <c r="V14">
        <f>IF(M14="En coordinación",1,0)</f>
        <v/>
      </c>
      <c r="W14">
        <f>IF(M14="Aceptada",1,0)</f>
        <v/>
      </c>
      <c r="X14">
        <f>IF(M14="Realizada",1,0)</f>
        <v/>
      </c>
      <c r="Y14">
        <f>IF(M14="Sin respuesta",1,0)</f>
        <v/>
      </c>
    </row>
    <row r="15">
      <c r="A15" s="1">
        <f>IF(Entrevistas!A15="","",Entrevistas!A15)</f>
        <v/>
      </c>
      <c r="B15" s="1">
        <f>IF(Entrevistas!B15="","",Entrevistas!B15)</f>
        <v/>
      </c>
      <c r="C15" s="1">
        <f>IF(Entrevistas!C15="","",Entrevistas!C15)</f>
        <v/>
      </c>
      <c r="D15" s="1">
        <f>IF(Entrevistas!G15="","",Entrevistas!G15)</f>
        <v/>
      </c>
      <c r="E15" s="1">
        <f>+INDEX(Meta!$C$2:$E$6,MATCH(F15,Meta!$C$2:$C$6,0),2)</f>
        <v/>
      </c>
      <c r="F15" s="1">
        <f>IF(Entrevistas!H15="","",Entrevistas!H15)</f>
        <v/>
      </c>
      <c r="G15" s="1">
        <f>IF(Entrevistas!I15="","",Entrevistas!I15)</f>
        <v/>
      </c>
      <c r="H15" s="1">
        <f>IF(Entrevistas!J15="","",Entrevistas!J15)</f>
        <v/>
      </c>
      <c r="I15" s="2">
        <f>IF(Entrevistas!K15="","",Entrevistas!K15)</f>
        <v/>
      </c>
      <c r="J15" s="2">
        <f>IF(Entrevistas!L15="","",Entrevistas!L15)</f>
        <v/>
      </c>
      <c r="K15" s="2">
        <f>IF(Entrevistas!M15="","",Entrevistas!M15)</f>
        <v/>
      </c>
      <c r="L15" s="2">
        <f>IF(Entrevistas!N15="","",Entrevistas!N15)</f>
        <v/>
      </c>
      <c r="M15" s="2">
        <f>IF(Entrevistas!O15="","",Entrevistas!O15)</f>
        <v/>
      </c>
      <c r="N15" s="2">
        <f>IF(Entrevistas!P15="","",Entrevistas!P15)</f>
        <v/>
      </c>
      <c r="O15" s="2">
        <f>IF(Entrevistas!Q15="","",Entrevistas!Q15)</f>
        <v/>
      </c>
      <c r="P15" s="1">
        <f>IF(Entrevistas!R15="","",Entrevistas!R15)</f>
        <v/>
      </c>
      <c r="Q15" s="1">
        <f>IF(Entrevistas!S15="","",Entrevistas!S15)</f>
        <v/>
      </c>
      <c r="R15" s="1">
        <f>IF(Entrevistas!T15="","",Entrevistas!T15)</f>
        <v/>
      </c>
      <c r="S15" s="1">
        <f>IF(Entrevistas!U15="","",Entrevistas!U15)</f>
        <v/>
      </c>
      <c r="T15" s="1">
        <f>IF(Entrevistas!V15="","",Entrevistas!V15)</f>
        <v/>
      </c>
      <c r="U15">
        <f>IF(I15="Contactado",1,0)</f>
        <v/>
      </c>
      <c r="V15">
        <f>IF(M15="En coordinación",1,0)</f>
        <v/>
      </c>
      <c r="W15">
        <f>IF(M15="Aceptada",1,0)</f>
        <v/>
      </c>
      <c r="X15">
        <f>IF(M15="Realizada",1,0)</f>
        <v/>
      </c>
      <c r="Y15">
        <f>IF(M15="Sin respuesta",1,0)</f>
        <v/>
      </c>
    </row>
    <row r="16">
      <c r="A16" s="1">
        <f>IF(Entrevistas!A16="","",Entrevistas!A16)</f>
        <v/>
      </c>
      <c r="B16" s="1">
        <f>IF(Entrevistas!B16="","",Entrevistas!B16)</f>
        <v/>
      </c>
      <c r="C16" s="1">
        <f>IF(Entrevistas!C16="","",Entrevistas!C16)</f>
        <v/>
      </c>
      <c r="D16" s="1">
        <f>IF(Entrevistas!G16="","",Entrevistas!G16)</f>
        <v/>
      </c>
      <c r="E16" s="1">
        <f>+INDEX(Meta!$C$2:$E$6,MATCH(F16,Meta!$C$2:$C$6,0),2)</f>
        <v/>
      </c>
      <c r="F16" s="1">
        <f>IF(Entrevistas!H16="","",Entrevistas!H16)</f>
        <v/>
      </c>
      <c r="G16" s="1">
        <f>IF(Entrevistas!I16="","",Entrevistas!I16)</f>
        <v/>
      </c>
      <c r="H16" s="1">
        <f>IF(Entrevistas!J16="","",Entrevistas!J16)</f>
        <v/>
      </c>
      <c r="I16" s="2">
        <f>IF(Entrevistas!K16="","",Entrevistas!K16)</f>
        <v/>
      </c>
      <c r="J16" s="2">
        <f>IF(Entrevistas!L16="","",Entrevistas!L16)</f>
        <v/>
      </c>
      <c r="K16" s="2">
        <f>IF(Entrevistas!M16="","",Entrevistas!M16)</f>
        <v/>
      </c>
      <c r="L16" s="2">
        <f>IF(Entrevistas!N16="","",Entrevistas!N16)</f>
        <v/>
      </c>
      <c r="M16" s="2">
        <f>IF(Entrevistas!O16="","",Entrevistas!O16)</f>
        <v/>
      </c>
      <c r="N16" s="2">
        <f>IF(Entrevistas!P16="","",Entrevistas!P16)</f>
        <v/>
      </c>
      <c r="O16" s="2">
        <f>IF(Entrevistas!Q16="","",Entrevistas!Q16)</f>
        <v/>
      </c>
      <c r="P16" s="1">
        <f>IF(Entrevistas!R16="","",Entrevistas!R16)</f>
        <v/>
      </c>
      <c r="Q16" s="1">
        <f>IF(Entrevistas!S16="","",Entrevistas!S16)</f>
        <v/>
      </c>
      <c r="R16" s="1">
        <f>IF(Entrevistas!T16="","",Entrevistas!T16)</f>
        <v/>
      </c>
      <c r="S16" s="1">
        <f>IF(Entrevistas!U16="","",Entrevistas!U16)</f>
        <v/>
      </c>
      <c r="T16" s="1">
        <f>IF(Entrevistas!V16="","",Entrevistas!V16)</f>
        <v/>
      </c>
      <c r="U16">
        <f>IF(I16="Contactado",1,0)</f>
        <v/>
      </c>
      <c r="V16">
        <f>IF(M16="En coordinación",1,0)</f>
        <v/>
      </c>
      <c r="W16">
        <f>IF(M16="Aceptada",1,0)</f>
        <v/>
      </c>
      <c r="X16">
        <f>IF(M16="Realizada",1,0)</f>
        <v/>
      </c>
      <c r="Y16">
        <f>IF(M16="Sin respuesta",1,0)</f>
        <v/>
      </c>
    </row>
    <row r="17">
      <c r="A17" s="1">
        <f>IF(Entrevistas!A17="","",Entrevistas!A17)</f>
        <v/>
      </c>
      <c r="B17" s="1">
        <f>IF(Entrevistas!B17="","",Entrevistas!B17)</f>
        <v/>
      </c>
      <c r="C17" s="1">
        <f>IF(Entrevistas!C17="","",Entrevistas!C17)</f>
        <v/>
      </c>
      <c r="D17" s="1">
        <f>IF(Entrevistas!G17="","",Entrevistas!G17)</f>
        <v/>
      </c>
      <c r="E17" s="1">
        <f>+INDEX(Meta!$C$2:$E$6,MATCH(F17,Meta!$C$2:$C$6,0),2)</f>
        <v/>
      </c>
      <c r="F17" s="1">
        <f>IF(Entrevistas!H17="","",Entrevistas!H17)</f>
        <v/>
      </c>
      <c r="G17" s="1">
        <f>IF(Entrevistas!I17="","",Entrevistas!I17)</f>
        <v/>
      </c>
      <c r="H17" s="1">
        <f>IF(Entrevistas!J17="","",Entrevistas!J17)</f>
        <v/>
      </c>
      <c r="I17" s="2">
        <f>IF(Entrevistas!K17="","",Entrevistas!K17)</f>
        <v/>
      </c>
      <c r="J17" s="2">
        <f>IF(Entrevistas!L17="","",Entrevistas!L17)</f>
        <v/>
      </c>
      <c r="K17" s="2">
        <f>IF(Entrevistas!M17="","",Entrevistas!M17)</f>
        <v/>
      </c>
      <c r="L17" s="2">
        <f>IF(Entrevistas!N17="","",Entrevistas!N17)</f>
        <v/>
      </c>
      <c r="M17" s="2">
        <f>IF(Entrevistas!O17="","",Entrevistas!O17)</f>
        <v/>
      </c>
      <c r="N17" s="2">
        <f>IF(Entrevistas!P17="","",Entrevistas!P17)</f>
        <v/>
      </c>
      <c r="O17" s="2">
        <f>IF(Entrevistas!Q17="","",Entrevistas!Q17)</f>
        <v/>
      </c>
      <c r="P17" s="1">
        <f>IF(Entrevistas!R17="","",Entrevistas!R17)</f>
        <v/>
      </c>
      <c r="Q17" s="1">
        <f>IF(Entrevistas!S17="","",Entrevistas!S17)</f>
        <v/>
      </c>
      <c r="R17" s="1">
        <f>IF(Entrevistas!T17="","",Entrevistas!T17)</f>
        <v/>
      </c>
      <c r="S17" s="1">
        <f>IF(Entrevistas!U17="","",Entrevistas!U17)</f>
        <v/>
      </c>
      <c r="T17" s="1">
        <f>IF(Entrevistas!V17="","",Entrevistas!V17)</f>
        <v/>
      </c>
      <c r="U17">
        <f>IF(I17="Contactado",1,0)</f>
        <v/>
      </c>
      <c r="V17">
        <f>IF(M17="En coordinación",1,0)</f>
        <v/>
      </c>
      <c r="W17">
        <f>IF(M17="Aceptada",1,0)</f>
        <v/>
      </c>
      <c r="X17">
        <f>IF(M17="Realizada",1,0)</f>
        <v/>
      </c>
      <c r="Y17">
        <f>IF(M17="Sin respuesta",1,0)</f>
        <v/>
      </c>
    </row>
    <row r="18">
      <c r="A18" s="1">
        <f>IF(Entrevistas!A18="","",Entrevistas!A18)</f>
        <v/>
      </c>
      <c r="B18" s="1">
        <f>IF(Entrevistas!B18="","",Entrevistas!B18)</f>
        <v/>
      </c>
      <c r="C18" s="1">
        <f>IF(Entrevistas!C18="","",Entrevistas!C18)</f>
        <v/>
      </c>
      <c r="D18" s="1">
        <f>IF(Entrevistas!G18="","",Entrevistas!G18)</f>
        <v/>
      </c>
      <c r="E18" s="1">
        <f>+INDEX(Meta!$C$2:$E$6,MATCH(F18,Meta!$C$2:$C$6,0),2)</f>
        <v/>
      </c>
      <c r="F18" s="1">
        <f>IF(Entrevistas!H18="","",Entrevistas!H18)</f>
        <v/>
      </c>
      <c r="G18" s="1">
        <f>IF(Entrevistas!I18="","",Entrevistas!I18)</f>
        <v/>
      </c>
      <c r="H18" s="1">
        <f>IF(Entrevistas!J18="","",Entrevistas!J18)</f>
        <v/>
      </c>
      <c r="I18" s="2">
        <f>IF(Entrevistas!K18="","",Entrevistas!K18)</f>
        <v/>
      </c>
      <c r="J18" s="2">
        <f>IF(Entrevistas!L18="","",Entrevistas!L18)</f>
        <v/>
      </c>
      <c r="K18" s="2">
        <f>IF(Entrevistas!M18="","",Entrevistas!M18)</f>
        <v/>
      </c>
      <c r="L18" s="2">
        <f>IF(Entrevistas!N18="","",Entrevistas!N18)</f>
        <v/>
      </c>
      <c r="M18" s="2">
        <f>IF(Entrevistas!O18="","",Entrevistas!O18)</f>
        <v/>
      </c>
      <c r="N18" s="2">
        <f>IF(Entrevistas!P18="","",Entrevistas!P18)</f>
        <v/>
      </c>
      <c r="O18" s="2">
        <f>IF(Entrevistas!Q18="","",Entrevistas!Q18)</f>
        <v/>
      </c>
      <c r="P18" s="1">
        <f>IF(Entrevistas!R18="","",Entrevistas!R18)</f>
        <v/>
      </c>
      <c r="Q18" s="1">
        <f>IF(Entrevistas!S18="","",Entrevistas!S18)</f>
        <v/>
      </c>
      <c r="R18" s="1">
        <f>IF(Entrevistas!T18="","",Entrevistas!T18)</f>
        <v/>
      </c>
      <c r="S18" s="1">
        <f>IF(Entrevistas!U18="","",Entrevistas!U18)</f>
        <v/>
      </c>
      <c r="T18" s="1">
        <f>IF(Entrevistas!V18="","",Entrevistas!V18)</f>
        <v/>
      </c>
      <c r="U18">
        <f>IF(I18="Contactado",1,0)</f>
        <v/>
      </c>
      <c r="V18">
        <f>IF(M18="En coordinación",1,0)</f>
        <v/>
      </c>
      <c r="W18">
        <f>IF(M18="Aceptada",1,0)</f>
        <v/>
      </c>
      <c r="X18">
        <f>IF(M18="Realizada",1,0)</f>
        <v/>
      </c>
      <c r="Y18">
        <f>IF(M18="Sin respuesta",1,0)</f>
        <v/>
      </c>
    </row>
    <row r="19">
      <c r="A19" s="1">
        <f>IF(Entrevistas!A19="","",Entrevistas!A19)</f>
        <v/>
      </c>
      <c r="B19" s="1">
        <f>IF(Entrevistas!B19="","",Entrevistas!B19)</f>
        <v/>
      </c>
      <c r="C19" s="1">
        <f>IF(Entrevistas!C19="","",Entrevistas!C19)</f>
        <v/>
      </c>
      <c r="D19" s="1">
        <f>IF(Entrevistas!G19="","",Entrevistas!G19)</f>
        <v/>
      </c>
      <c r="E19" s="1">
        <f>+INDEX(Meta!$C$2:$E$6,MATCH(F19,Meta!$C$2:$C$6,0),2)</f>
        <v/>
      </c>
      <c r="F19" s="1">
        <f>IF(Entrevistas!H19="","",Entrevistas!H19)</f>
        <v/>
      </c>
      <c r="G19" s="1">
        <f>IF(Entrevistas!I19="","",Entrevistas!I19)</f>
        <v/>
      </c>
      <c r="H19" s="1">
        <f>IF(Entrevistas!J19="","",Entrevistas!J19)</f>
        <v/>
      </c>
      <c r="I19" s="2">
        <f>IF(Entrevistas!K19="","",Entrevistas!K19)</f>
        <v/>
      </c>
      <c r="J19" s="2">
        <f>IF(Entrevistas!L19="","",Entrevistas!L19)</f>
        <v/>
      </c>
      <c r="K19" s="2">
        <f>IF(Entrevistas!M19="","",Entrevistas!M19)</f>
        <v/>
      </c>
      <c r="L19" s="2">
        <f>IF(Entrevistas!N19="","",Entrevistas!N19)</f>
        <v/>
      </c>
      <c r="M19" s="2">
        <f>IF(Entrevistas!O19="","",Entrevistas!O19)</f>
        <v/>
      </c>
      <c r="N19" s="2">
        <f>IF(Entrevistas!P19="","",Entrevistas!P19)</f>
        <v/>
      </c>
      <c r="O19" s="2">
        <f>IF(Entrevistas!Q19="","",Entrevistas!Q19)</f>
        <v/>
      </c>
      <c r="P19" s="1">
        <f>IF(Entrevistas!R19="","",Entrevistas!R19)</f>
        <v/>
      </c>
      <c r="Q19" s="1">
        <f>IF(Entrevistas!S19="","",Entrevistas!S19)</f>
        <v/>
      </c>
      <c r="R19" s="1">
        <f>IF(Entrevistas!T19="","",Entrevistas!T19)</f>
        <v/>
      </c>
      <c r="S19" s="1">
        <f>IF(Entrevistas!U19="","",Entrevistas!U19)</f>
        <v/>
      </c>
      <c r="T19" s="1">
        <f>IF(Entrevistas!V19="","",Entrevistas!V19)</f>
        <v/>
      </c>
      <c r="U19">
        <f>IF(I19="Contactado",1,0)</f>
        <v/>
      </c>
      <c r="V19">
        <f>IF(M19="En coordinación",1,0)</f>
        <v/>
      </c>
      <c r="W19">
        <f>IF(M19="Aceptada",1,0)</f>
        <v/>
      </c>
      <c r="X19">
        <f>IF(M19="Realizada",1,0)</f>
        <v/>
      </c>
      <c r="Y19">
        <f>IF(M19="Sin respuesta",1,0)</f>
        <v/>
      </c>
    </row>
    <row r="20">
      <c r="A20" s="1">
        <f>IF(Entrevistas!A20="","",Entrevistas!A20)</f>
        <v/>
      </c>
      <c r="B20" s="1">
        <f>IF(Entrevistas!B20="","",Entrevistas!B20)</f>
        <v/>
      </c>
      <c r="C20" s="1">
        <f>IF(Entrevistas!C20="","",Entrevistas!C20)</f>
        <v/>
      </c>
      <c r="D20" s="1">
        <f>IF(Entrevistas!G20="","",Entrevistas!G20)</f>
        <v/>
      </c>
      <c r="E20" s="1">
        <f>+INDEX(Meta!$C$2:$E$6,MATCH(F20,Meta!$C$2:$C$6,0),2)</f>
        <v/>
      </c>
      <c r="F20" s="1">
        <f>IF(Entrevistas!H20="","",Entrevistas!H20)</f>
        <v/>
      </c>
      <c r="G20" s="1">
        <f>IF(Entrevistas!I20="","",Entrevistas!I20)</f>
        <v/>
      </c>
      <c r="H20" s="1">
        <f>IF(Entrevistas!J20="","",Entrevistas!J20)</f>
        <v/>
      </c>
      <c r="I20" s="2">
        <f>IF(Entrevistas!K20="","",Entrevistas!K20)</f>
        <v/>
      </c>
      <c r="J20" s="2">
        <f>IF(Entrevistas!L20="","",Entrevistas!L20)</f>
        <v/>
      </c>
      <c r="K20" s="2">
        <f>IF(Entrevistas!M20="","",Entrevistas!M20)</f>
        <v/>
      </c>
      <c r="L20" s="2">
        <f>IF(Entrevistas!N20="","",Entrevistas!N20)</f>
        <v/>
      </c>
      <c r="M20" s="2">
        <f>IF(Entrevistas!O20="","",Entrevistas!O20)</f>
        <v/>
      </c>
      <c r="N20" s="2">
        <f>IF(Entrevistas!P20="","",Entrevistas!P20)</f>
        <v/>
      </c>
      <c r="O20" s="2">
        <f>IF(Entrevistas!Q20="","",Entrevistas!Q20)</f>
        <v/>
      </c>
      <c r="P20" s="1">
        <f>IF(Entrevistas!R20="","",Entrevistas!R20)</f>
        <v/>
      </c>
      <c r="Q20" s="1">
        <f>IF(Entrevistas!S20="","",Entrevistas!S20)</f>
        <v/>
      </c>
      <c r="R20" s="1">
        <f>IF(Entrevistas!T20="","",Entrevistas!T20)</f>
        <v/>
      </c>
      <c r="S20" s="1">
        <f>IF(Entrevistas!U20="","",Entrevistas!U20)</f>
        <v/>
      </c>
      <c r="T20" s="1">
        <f>IF(Entrevistas!V20="","",Entrevistas!V20)</f>
        <v/>
      </c>
      <c r="U20">
        <f>IF(I20="Contactado",1,0)</f>
        <v/>
      </c>
      <c r="V20">
        <f>IF(M20="En coordinación",1,0)</f>
        <v/>
      </c>
      <c r="W20">
        <f>IF(M20="Aceptada",1,0)</f>
        <v/>
      </c>
      <c r="X20">
        <f>IF(M20="Realizada",1,0)</f>
        <v/>
      </c>
      <c r="Y20">
        <f>IF(M20="Sin respuesta",1,0)</f>
        <v/>
      </c>
    </row>
    <row r="21">
      <c r="A21" s="1">
        <f>IF(Entrevistas!A21="","",Entrevistas!A21)</f>
        <v/>
      </c>
      <c r="B21" s="1">
        <f>IF(Entrevistas!B21="","",Entrevistas!B21)</f>
        <v/>
      </c>
      <c r="C21" s="1">
        <f>IF(Entrevistas!C21="","",Entrevistas!C21)</f>
        <v/>
      </c>
      <c r="D21" s="1">
        <f>IF(Entrevistas!G21="","",Entrevistas!G21)</f>
        <v/>
      </c>
      <c r="E21" s="1">
        <f>+INDEX(Meta!$C$2:$E$6,MATCH(F21,Meta!$C$2:$C$6,0),2)</f>
        <v/>
      </c>
      <c r="F21" s="1">
        <f>IF(Entrevistas!H21="","",Entrevistas!H21)</f>
        <v/>
      </c>
      <c r="G21" s="1">
        <f>IF(Entrevistas!I21="","",Entrevistas!I21)</f>
        <v/>
      </c>
      <c r="H21" s="1">
        <f>IF(Entrevistas!J21="","",Entrevistas!J21)</f>
        <v/>
      </c>
      <c r="I21" s="2">
        <f>IF(Entrevistas!K21="","",Entrevistas!K21)</f>
        <v/>
      </c>
      <c r="J21" s="2">
        <f>IF(Entrevistas!L21="","",Entrevistas!L21)</f>
        <v/>
      </c>
      <c r="K21" s="2">
        <f>IF(Entrevistas!M21="","",Entrevistas!M21)</f>
        <v/>
      </c>
      <c r="L21" s="2">
        <f>IF(Entrevistas!N21="","",Entrevistas!N21)</f>
        <v/>
      </c>
      <c r="M21" s="2">
        <f>IF(Entrevistas!O21="","",Entrevistas!O21)</f>
        <v/>
      </c>
      <c r="N21" s="2">
        <f>IF(Entrevistas!P21="","",Entrevistas!P21)</f>
        <v/>
      </c>
      <c r="O21" s="2">
        <f>IF(Entrevistas!Q21="","",Entrevistas!Q21)</f>
        <v/>
      </c>
      <c r="P21" s="1">
        <f>IF(Entrevistas!R21="","",Entrevistas!R21)</f>
        <v/>
      </c>
      <c r="Q21" s="1">
        <f>IF(Entrevistas!S21="","",Entrevistas!S21)</f>
        <v/>
      </c>
      <c r="R21" s="1">
        <f>IF(Entrevistas!T21="","",Entrevistas!T21)</f>
        <v/>
      </c>
      <c r="S21" s="1">
        <f>IF(Entrevistas!U21="","",Entrevistas!U21)</f>
        <v/>
      </c>
      <c r="T21" s="1">
        <f>IF(Entrevistas!V21="","",Entrevistas!V21)</f>
        <v/>
      </c>
      <c r="U21">
        <f>IF(I21="Contactado",1,0)</f>
        <v/>
      </c>
      <c r="V21">
        <f>IF(M21="En coordinación",1,0)</f>
        <v/>
      </c>
      <c r="W21">
        <f>IF(M21="Aceptada",1,0)</f>
        <v/>
      </c>
      <c r="X21">
        <f>IF(M21="Realizada",1,0)</f>
        <v/>
      </c>
      <c r="Y21">
        <f>IF(M21="Sin respuesta",1,0)</f>
        <v/>
      </c>
    </row>
    <row r="22">
      <c r="A22" s="1">
        <f>IF(Entrevistas!A22="","",Entrevistas!A22)</f>
        <v/>
      </c>
      <c r="B22" s="1">
        <f>IF(Entrevistas!B22="","",Entrevistas!B22)</f>
        <v/>
      </c>
      <c r="C22" s="1">
        <f>IF(Entrevistas!C22="","",Entrevistas!C22)</f>
        <v/>
      </c>
      <c r="D22" s="1">
        <f>IF(Entrevistas!G22="","",Entrevistas!G22)</f>
        <v/>
      </c>
      <c r="E22" s="1">
        <f>+INDEX(Meta!$C$2:$E$6,MATCH(F22,Meta!$C$2:$C$6,0),2)</f>
        <v/>
      </c>
      <c r="F22" s="1">
        <f>IF(Entrevistas!H22="","",Entrevistas!H22)</f>
        <v/>
      </c>
      <c r="G22" s="1">
        <f>IF(Entrevistas!I22="","",Entrevistas!I22)</f>
        <v/>
      </c>
      <c r="H22" s="1">
        <f>IF(Entrevistas!J22="","",Entrevistas!J22)</f>
        <v/>
      </c>
      <c r="I22" s="2">
        <f>IF(Entrevistas!K22="","",Entrevistas!K22)</f>
        <v/>
      </c>
      <c r="J22" s="2">
        <f>IF(Entrevistas!L22="","",Entrevistas!L22)</f>
        <v/>
      </c>
      <c r="K22" s="2">
        <f>IF(Entrevistas!M22="","",Entrevistas!M22)</f>
        <v/>
      </c>
      <c r="L22" s="2">
        <f>IF(Entrevistas!N22="","",Entrevistas!N22)</f>
        <v/>
      </c>
      <c r="M22" s="2">
        <f>IF(Entrevistas!O22="","",Entrevistas!O22)</f>
        <v/>
      </c>
      <c r="N22" s="2">
        <f>IF(Entrevistas!P22="","",Entrevistas!P22)</f>
        <v/>
      </c>
      <c r="O22" s="2">
        <f>IF(Entrevistas!Q22="","",Entrevistas!Q22)</f>
        <v/>
      </c>
      <c r="P22" s="1">
        <f>IF(Entrevistas!R22="","",Entrevistas!R22)</f>
        <v/>
      </c>
      <c r="Q22" s="1">
        <f>IF(Entrevistas!S22="","",Entrevistas!S22)</f>
        <v/>
      </c>
      <c r="R22" s="1">
        <f>IF(Entrevistas!T22="","",Entrevistas!T22)</f>
        <v/>
      </c>
      <c r="S22" s="1">
        <f>IF(Entrevistas!U22="","",Entrevistas!U22)</f>
        <v/>
      </c>
      <c r="T22" s="1">
        <f>IF(Entrevistas!V22="","",Entrevistas!V22)</f>
        <v/>
      </c>
      <c r="U22">
        <f>IF(I22="Contactado",1,0)</f>
        <v/>
      </c>
      <c r="V22">
        <f>IF(M22="En coordinación",1,0)</f>
        <v/>
      </c>
      <c r="W22">
        <f>IF(M22="Aceptada",1,0)</f>
        <v/>
      </c>
      <c r="X22">
        <f>IF(M22="Realizada",1,0)</f>
        <v/>
      </c>
      <c r="Y22">
        <f>IF(M22="Sin respuesta",1,0)</f>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R31"/>
  <sheetViews>
    <sheetView zoomScale="53" workbookViewId="0">
      <selection activeCell="P16" sqref="P16"/>
    </sheetView>
  </sheetViews>
  <sheetFormatPr baseColWidth="10" defaultRowHeight="14.5"/>
  <cols>
    <col min="3" max="3" width="33" customWidth="true"/>
    <col min="15" max="18" width="14.54296875" customWidth="true"/>
  </cols>
  <sheetData>
    <row r="1">
      <c r="A1" s="3" t="inlineStr">
        <is>
          <t>Identificador</t>
        </is>
      </c>
      <c r="B1" s="3" t="inlineStr">
        <is>
          <t>Nombre</t>
        </is>
      </c>
      <c r="C1" s="3" t="inlineStr">
        <is>
          <t>Tipo de grupo focal</t>
        </is>
      </c>
      <c r="D1" s="3" t="inlineStr">
        <is>
          <t>Institución</t>
        </is>
      </c>
      <c r="E1" s="3" t="inlineStr">
        <is>
          <t>Tipo de actor</t>
        </is>
      </c>
      <c r="F1" s="3" t="inlineStr">
        <is>
          <t>Distrito judicial</t>
        </is>
      </c>
      <c r="G1" s="3" t="inlineStr">
        <is>
          <t>Encargado de contacto</t>
        </is>
      </c>
      <c r="H1" s="3" t="inlineStr">
        <is>
          <t>Contacto</t>
        </is>
      </c>
      <c r="I1" s="3" t="inlineStr">
        <is>
          <t>Fecha de primer contacto</t>
        </is>
      </c>
      <c r="J1" s="3" t="inlineStr">
        <is>
          <t>Fecha de segundo contacto</t>
        </is>
      </c>
      <c r="K1" s="3" t="inlineStr">
        <is>
          <t>Fecha de tercer contacto</t>
        </is>
      </c>
      <c r="L1" s="3" t="inlineStr">
        <is>
          <t>Respuesta del actor</t>
        </is>
      </c>
      <c r="M1" s="3" t="inlineStr">
        <is>
          <t>Fecha de grupo focal</t>
        </is>
      </c>
      <c r="N1" s="3" t="inlineStr">
        <is>
          <t>Asistencia al grupo focal</t>
        </is>
      </c>
      <c r="O1" s="3" t="inlineStr">
        <is>
          <t>Duración total (min)</t>
        </is>
      </c>
      <c r="P1" s="3" t="inlineStr">
        <is>
          <t>Dummy considerado inicialmente</t>
        </is>
      </c>
      <c r="Q1" s="3" t="inlineStr">
        <is>
          <t>Dummy asistencia</t>
        </is>
      </c>
      <c r="R1" s="3" t="inlineStr">
        <is>
          <t>Dummy aceptado</t>
        </is>
      </c>
    </row>
    <row r="2">
      <c r="A2" s="1">
        <f>IF('Reunión de validación'!A2="","",'Reunión de validación'!A2)</f>
        <v/>
      </c>
      <c r="B2" s="1">
        <f>IF('Reunión de validación'!C2="","",'Reunión de validación'!C2)</f>
        <v/>
      </c>
      <c r="C2" s="1">
        <f>+'Reunión de validación'!B2</f>
        <v/>
      </c>
      <c r="D2" s="1">
        <f>IF('Reunión de validación'!D2="","",'Reunión de validación'!D2)</f>
        <v/>
      </c>
      <c r="E2" s="1">
        <f>IF('Reunión de validación'!H2="","",'Reunión de validación'!H2)</f>
        <v/>
      </c>
      <c r="F2" s="1">
        <f>IF('Reunión de validación'!I2="","",'Reunión de validación'!I2)</f>
        <v/>
      </c>
      <c r="G2" s="1">
        <f>IF('Reunión de validación'!J2="","",'Reunión de validación'!J2)</f>
        <v/>
      </c>
      <c r="H2" s="2">
        <f>IF('Reunión de validación'!L2="","",'Reunión de validación'!L2)</f>
        <v/>
      </c>
      <c r="I2" s="2">
        <f>IF('Reunión de validación'!M2="","",'Reunión de validación'!M2)</f>
        <v/>
      </c>
      <c r="J2" s="2">
        <f>IF('Reunión de validación'!N2="","",'Reunión de validación'!N2)</f>
        <v/>
      </c>
      <c r="K2" s="2">
        <f>IF('Reunión de validación'!O2="","",'Reunión de validación'!O2)</f>
        <v/>
      </c>
      <c r="L2" s="2">
        <f>IF('Reunión de validación'!P2="","",'Reunión de validación'!P2)</f>
        <v/>
      </c>
      <c r="M2" s="2">
        <f>IF('Reunión de validación'!Q2="","",'Reunión de validación'!Q2)</f>
        <v/>
      </c>
      <c r="N2" s="1">
        <f>IF('Reunión de validación'!R2="","",'Reunión de validación'!R2)</f>
        <v/>
      </c>
      <c r="O2">
        <f>IF('Reunión de validación'!S2="","",'Reunión de validación'!S2)</f>
        <v/>
      </c>
      <c r="P2" t="n">
        <v>1</v>
      </c>
      <c r="Q2">
        <f>IF(N2="Asistió",1,0)</f>
        <v/>
      </c>
      <c r="R2">
        <f>IF(L2="Aceptada",1,0)</f>
        <v/>
      </c>
    </row>
    <row r="3">
      <c r="A3" s="1">
        <f>IF('Reunión de validación'!A3="","",'Reunión de validación'!A3)</f>
        <v/>
      </c>
      <c r="B3" s="1">
        <f>IF('Reunión de validación'!C3="","",'Reunión de validación'!C3)</f>
        <v/>
      </c>
      <c r="C3" s="1">
        <f>+'Reunión de validación'!B3</f>
        <v/>
      </c>
      <c r="D3" s="1">
        <f>IF('Reunión de validación'!D3="","",'Reunión de validación'!D3)</f>
        <v/>
      </c>
      <c r="E3" s="1">
        <f>IF('Reunión de validación'!H3="","",'Reunión de validación'!H3)</f>
        <v/>
      </c>
      <c r="F3" s="1">
        <f>IF('Reunión de validación'!I3="","",'Reunión de validación'!I3)</f>
        <v/>
      </c>
      <c r="G3" s="1">
        <f>IF('Reunión de validación'!J3="","",'Reunión de validación'!J3)</f>
        <v/>
      </c>
      <c r="H3" s="2">
        <f>IF('Reunión de validación'!L3="","",'Reunión de validación'!L3)</f>
        <v/>
      </c>
      <c r="I3" s="2">
        <f>IF('Reunión de validación'!M3="","",'Reunión de validación'!M3)</f>
        <v/>
      </c>
      <c r="J3" s="2">
        <f>IF('Reunión de validación'!N3="","",'Reunión de validación'!N3)</f>
        <v/>
      </c>
      <c r="K3" s="2">
        <f>IF('Reunión de validación'!O3="","",'Reunión de validación'!O3)</f>
        <v/>
      </c>
      <c r="L3" s="2">
        <f>IF('Reunión de validación'!P3="","",'Reunión de validación'!P3)</f>
        <v/>
      </c>
      <c r="M3" s="2">
        <f>IF('Reunión de validación'!Q3="","",'Reunión de validación'!Q3)</f>
        <v/>
      </c>
      <c r="N3" s="1">
        <f>IF('Reunión de validación'!R3="","",'Reunión de validación'!R3)</f>
        <v/>
      </c>
      <c r="O3">
        <f>IF('Reunión de validación'!S3="","",'Reunión de validación'!S3)</f>
        <v/>
      </c>
      <c r="P3" t="n">
        <v>1</v>
      </c>
      <c r="Q3">
        <f>IF(N3="Asistió",1,0)</f>
        <v/>
      </c>
      <c r="R3">
        <f>IF(L3="Aceptada",1,0)</f>
        <v/>
      </c>
    </row>
    <row r="4">
      <c r="A4" s="1">
        <f>IF('Reunión de validación'!A4="","",'Reunión de validación'!A4)</f>
        <v/>
      </c>
      <c r="B4" s="1">
        <f>IF('Reunión de validación'!C4="","",'Reunión de validación'!C4)</f>
        <v/>
      </c>
      <c r="C4" s="1">
        <f>+'Reunión de validación'!B4</f>
        <v/>
      </c>
      <c r="D4" s="1">
        <f>IF('Reunión de validación'!D4="","",'Reunión de validación'!D4)</f>
        <v/>
      </c>
      <c r="E4" s="1">
        <f>IF('Reunión de validación'!H4="","",'Reunión de validación'!H4)</f>
        <v/>
      </c>
      <c r="F4" s="1">
        <f>IF('Reunión de validación'!I4="","",'Reunión de validación'!I4)</f>
        <v/>
      </c>
      <c r="G4" s="1">
        <f>IF('Reunión de validación'!J4="","",'Reunión de validación'!J4)</f>
        <v/>
      </c>
      <c r="H4" s="2">
        <f>IF('Reunión de validación'!L4="","",'Reunión de validación'!L4)</f>
        <v/>
      </c>
      <c r="I4" s="2">
        <f>IF('Reunión de validación'!M4="","",'Reunión de validación'!M4)</f>
        <v/>
      </c>
      <c r="J4" s="2">
        <f>IF('Reunión de validación'!N4="","",'Reunión de validación'!N4)</f>
        <v/>
      </c>
      <c r="K4" s="2">
        <f>IF('Reunión de validación'!O4="","",'Reunión de validación'!O4)</f>
        <v/>
      </c>
      <c r="L4" s="2">
        <f>IF('Reunión de validación'!P4="","",'Reunión de validación'!P4)</f>
        <v/>
      </c>
      <c r="M4" s="2">
        <f>IF('Reunión de validación'!Q4="","",'Reunión de validación'!Q4)</f>
        <v/>
      </c>
      <c r="N4" s="1">
        <f>IF('Reunión de validación'!R4="","",'Reunión de validación'!R4)</f>
        <v/>
      </c>
      <c r="O4">
        <f>IF('Reunión de validación'!S4="","",'Reunión de validación'!S4)</f>
        <v/>
      </c>
      <c r="P4" t="n">
        <v>1</v>
      </c>
      <c r="Q4">
        <f>IF(N4="Asistió",1,0)</f>
        <v/>
      </c>
      <c r="R4">
        <f>IF(L4="Aceptada",1,0)</f>
        <v/>
      </c>
    </row>
    <row r="5">
      <c r="A5" s="1">
        <f>IF('Reunión de validación'!A5="","",'Reunión de validación'!A5)</f>
        <v/>
      </c>
      <c r="B5" s="1">
        <f>IF('Reunión de validación'!C5="","",'Reunión de validación'!C5)</f>
        <v/>
      </c>
      <c r="C5" s="1">
        <f>+'Reunión de validación'!B5</f>
        <v/>
      </c>
      <c r="D5" s="1">
        <f>IF('Reunión de validación'!D5="","",'Reunión de validación'!D5)</f>
        <v/>
      </c>
      <c r="E5" s="1">
        <f>IF('Reunión de validación'!H5="","",'Reunión de validación'!H5)</f>
        <v/>
      </c>
      <c r="F5" s="1">
        <f>IF('Reunión de validación'!I5="","",'Reunión de validación'!I5)</f>
        <v/>
      </c>
      <c r="G5" s="1">
        <f>IF('Reunión de validación'!J5="","",'Reunión de validación'!J5)</f>
        <v/>
      </c>
      <c r="H5" s="2">
        <f>IF('Reunión de validación'!L5="","",'Reunión de validación'!L5)</f>
        <v/>
      </c>
      <c r="I5" s="2">
        <f>IF('Reunión de validación'!M5="","",'Reunión de validación'!M5)</f>
        <v/>
      </c>
      <c r="J5" s="2">
        <f>IF('Reunión de validación'!N5="","",'Reunión de validación'!N5)</f>
        <v/>
      </c>
      <c r="K5" s="2">
        <f>IF('Reunión de validación'!O5="","",'Reunión de validación'!O5)</f>
        <v/>
      </c>
      <c r="L5" s="2">
        <f>IF('Reunión de validación'!P5="","",'Reunión de validación'!P5)</f>
        <v/>
      </c>
      <c r="M5" s="2">
        <f>IF('Reunión de validación'!Q5="","",'Reunión de validación'!Q5)</f>
        <v/>
      </c>
      <c r="N5" s="1">
        <f>IF('Reunión de validación'!R5="","",'Reunión de validación'!R5)</f>
        <v/>
      </c>
      <c r="O5">
        <f>IF('Reunión de validación'!S5="","",'Reunión de validación'!S5)</f>
        <v/>
      </c>
      <c r="P5" t="n">
        <v>1</v>
      </c>
      <c r="Q5">
        <f>IF(N5="Asistió",1,0)</f>
        <v/>
      </c>
      <c r="R5">
        <f>IF(L5="Aceptada",1,0)</f>
        <v/>
      </c>
    </row>
    <row r="6">
      <c r="A6" s="1">
        <f>IF('Reunión de validación'!A6="","",'Reunión de validación'!A6)</f>
        <v/>
      </c>
      <c r="B6" s="1">
        <f>IF('Reunión de validación'!C6="","",'Reunión de validación'!C6)</f>
        <v/>
      </c>
      <c r="C6" s="1">
        <f>+'Reunión de validación'!B6</f>
        <v/>
      </c>
      <c r="D6" s="1">
        <f>IF('Reunión de validación'!D6="","",'Reunión de validación'!D6)</f>
        <v/>
      </c>
      <c r="E6" s="1">
        <f>IF('Reunión de validación'!H6="","",'Reunión de validación'!H6)</f>
        <v/>
      </c>
      <c r="F6" s="1">
        <f>IF('Reunión de validación'!I6="","",'Reunión de validación'!I6)</f>
        <v/>
      </c>
      <c r="G6" s="1">
        <f>IF('Reunión de validación'!J6="","",'Reunión de validación'!J6)</f>
        <v/>
      </c>
      <c r="H6" s="2">
        <f>IF('Reunión de validación'!L6="","",'Reunión de validación'!L6)</f>
        <v/>
      </c>
      <c r="I6" s="2">
        <f>IF('Reunión de validación'!M6="","",'Reunión de validación'!M6)</f>
        <v/>
      </c>
      <c r="J6" s="2">
        <f>IF('Reunión de validación'!N6="","",'Reunión de validación'!N6)</f>
        <v/>
      </c>
      <c r="K6" s="2">
        <f>IF('Reunión de validación'!O6="","",'Reunión de validación'!O6)</f>
        <v/>
      </c>
      <c r="L6" s="2">
        <f>IF('Reunión de validación'!P6="","",'Reunión de validación'!P6)</f>
        <v/>
      </c>
      <c r="M6" s="2">
        <f>IF('Reunión de validación'!Q6="","",'Reunión de validación'!Q6)</f>
        <v/>
      </c>
      <c r="N6" s="1">
        <f>IF('Reunión de validación'!R6="","",'Reunión de validación'!R6)</f>
        <v/>
      </c>
      <c r="O6">
        <f>IF('Reunión de validación'!S6="","",'Reunión de validación'!S6)</f>
        <v/>
      </c>
      <c r="P6" t="n">
        <v>1</v>
      </c>
      <c r="Q6">
        <f>IF(N6="Asistió",1,0)</f>
        <v/>
      </c>
      <c r="R6">
        <f>IF(L6="Aceptada",1,0)</f>
        <v/>
      </c>
    </row>
    <row r="7">
      <c r="A7" s="1">
        <f>IF('Reunión de validación'!A7="","",'Reunión de validación'!A7)</f>
        <v/>
      </c>
      <c r="B7" s="1">
        <f>IF('Reunión de validación'!C7="","",'Reunión de validación'!C7)</f>
        <v/>
      </c>
      <c r="C7" s="1">
        <f>+'Reunión de validación'!B7</f>
        <v/>
      </c>
      <c r="D7" s="1">
        <f>IF('Reunión de validación'!D7="","",'Reunión de validación'!D7)</f>
        <v/>
      </c>
      <c r="E7" s="1">
        <f>IF('Reunión de validación'!H7="","",'Reunión de validación'!H7)</f>
        <v/>
      </c>
      <c r="F7" s="1">
        <f>IF('Reunión de validación'!I7="","",'Reunión de validación'!I7)</f>
        <v/>
      </c>
      <c r="G7" s="1">
        <f>IF('Reunión de validación'!J7="","",'Reunión de validación'!J7)</f>
        <v/>
      </c>
      <c r="H7" s="2">
        <f>IF('Reunión de validación'!L7="","",'Reunión de validación'!L7)</f>
        <v/>
      </c>
      <c r="I7" s="2">
        <f>IF('Reunión de validación'!M7="","",'Reunión de validación'!M7)</f>
        <v/>
      </c>
      <c r="J7" s="2">
        <f>IF('Reunión de validación'!N7="","",'Reunión de validación'!N7)</f>
        <v/>
      </c>
      <c r="K7" s="2">
        <f>IF('Reunión de validación'!O7="","",'Reunión de validación'!O7)</f>
        <v/>
      </c>
      <c r="L7" s="2">
        <f>IF('Reunión de validación'!P7="","",'Reunión de validación'!P7)</f>
        <v/>
      </c>
      <c r="M7" s="2">
        <f>IF('Reunión de validación'!Q7="","",'Reunión de validación'!Q7)</f>
        <v/>
      </c>
      <c r="N7" s="1">
        <f>IF('Reunión de validación'!R7="","",'Reunión de validación'!R7)</f>
        <v/>
      </c>
      <c r="O7">
        <f>IF('Reunión de validación'!S7="","",'Reunión de validación'!S7)</f>
        <v/>
      </c>
      <c r="P7" t="n">
        <v>1</v>
      </c>
      <c r="Q7">
        <f>IF(N7="Asistió",1,0)</f>
        <v/>
      </c>
      <c r="R7">
        <f>IF(L7="Aceptada",1,0)</f>
        <v/>
      </c>
    </row>
    <row r="8">
      <c r="A8" s="1">
        <f>IF('Reunión de validación'!A8="","",'Reunión de validación'!A8)</f>
        <v/>
      </c>
      <c r="B8" s="1">
        <f>IF('Reunión de validación'!C8="","",'Reunión de validación'!C8)</f>
        <v/>
      </c>
      <c r="C8" s="1">
        <f>+'Reunión de validación'!B8</f>
        <v/>
      </c>
      <c r="D8" s="1">
        <f>IF('Reunión de validación'!D8="","",'Reunión de validación'!D8)</f>
        <v/>
      </c>
      <c r="E8" s="1">
        <f>IF('Reunión de validación'!H8="","",'Reunión de validación'!H8)</f>
        <v/>
      </c>
      <c r="F8" s="1">
        <f>IF('Reunión de validación'!I8="","",'Reunión de validación'!I8)</f>
        <v/>
      </c>
      <c r="G8" s="1">
        <f>IF('Reunión de validación'!J8="","",'Reunión de validación'!J8)</f>
        <v/>
      </c>
      <c r="H8" s="2">
        <f>IF('Reunión de validación'!L8="","",'Reunión de validación'!L8)</f>
        <v/>
      </c>
      <c r="I8" s="2">
        <f>IF('Reunión de validación'!M8="","",'Reunión de validación'!M8)</f>
        <v/>
      </c>
      <c r="J8" s="2">
        <f>IF('Reunión de validación'!N8="","",'Reunión de validación'!N8)</f>
        <v/>
      </c>
      <c r="K8" s="2">
        <f>IF('Reunión de validación'!O8="","",'Reunión de validación'!O8)</f>
        <v/>
      </c>
      <c r="L8" s="2">
        <f>IF('Reunión de validación'!P8="","",'Reunión de validación'!P8)</f>
        <v/>
      </c>
      <c r="M8" s="2">
        <f>IF('Reunión de validación'!Q8="","",'Reunión de validación'!Q8)</f>
        <v/>
      </c>
      <c r="N8" s="1">
        <f>IF('Reunión de validación'!R8="","",'Reunión de validación'!R8)</f>
        <v/>
      </c>
      <c r="O8">
        <f>IF('Reunión de validación'!S8="","",'Reunión de validación'!S8)</f>
        <v/>
      </c>
      <c r="P8" t="n">
        <v>1</v>
      </c>
      <c r="Q8">
        <f>IF(N8="Asistió",1,0)</f>
        <v/>
      </c>
      <c r="R8">
        <f>IF(L8="Aceptada",1,0)</f>
        <v/>
      </c>
    </row>
    <row r="9">
      <c r="A9" s="1">
        <f>IF('Reunión de validación'!A9="","",'Reunión de validación'!A9)</f>
        <v/>
      </c>
      <c r="B9" s="1">
        <f>IF('Reunión de validación'!C9="","",'Reunión de validación'!C9)</f>
        <v/>
      </c>
      <c r="C9" s="1">
        <f>+'Reunión de validación'!B9</f>
        <v/>
      </c>
      <c r="D9" s="1">
        <f>IF('Reunión de validación'!D9="","",'Reunión de validación'!D9)</f>
        <v/>
      </c>
      <c r="E9" s="1">
        <f>IF('Reunión de validación'!H9="","",'Reunión de validación'!H9)</f>
        <v/>
      </c>
      <c r="F9" s="1">
        <f>IF('Reunión de validación'!I9="","",'Reunión de validación'!I9)</f>
        <v/>
      </c>
      <c r="G9" s="1">
        <f>IF('Reunión de validación'!J9="","",'Reunión de validación'!J9)</f>
        <v/>
      </c>
      <c r="H9" s="2">
        <f>IF('Reunión de validación'!L9="","",'Reunión de validación'!L9)</f>
        <v/>
      </c>
      <c r="I9" s="2">
        <f>IF('Reunión de validación'!M9="","",'Reunión de validación'!M9)</f>
        <v/>
      </c>
      <c r="J9" s="2">
        <f>IF('Reunión de validación'!N9="","",'Reunión de validación'!N9)</f>
        <v/>
      </c>
      <c r="K9" s="2">
        <f>IF('Reunión de validación'!O9="","",'Reunión de validación'!O9)</f>
        <v/>
      </c>
      <c r="L9" s="2">
        <f>IF('Reunión de validación'!P9="","",'Reunión de validación'!P9)</f>
        <v/>
      </c>
      <c r="M9" s="2">
        <f>IF('Reunión de validación'!Q9="","",'Reunión de validación'!Q9)</f>
        <v/>
      </c>
      <c r="N9" s="1">
        <f>IF('Reunión de validación'!R9="","",'Reunión de validación'!R9)</f>
        <v/>
      </c>
      <c r="O9">
        <f>IF('Reunión de validación'!S9="","",'Reunión de validación'!S9)</f>
        <v/>
      </c>
      <c r="P9" t="n">
        <v>1</v>
      </c>
      <c r="Q9">
        <f>IF(N9="Asistió",1,0)</f>
        <v/>
      </c>
      <c r="R9">
        <f>IF(L9="Aceptada",1,0)</f>
        <v/>
      </c>
    </row>
    <row r="10">
      <c r="A10" s="1">
        <f>IF('Reunión de validación'!A10="","",'Reunión de validación'!A10)</f>
        <v/>
      </c>
      <c r="B10" s="1">
        <f>IF('Reunión de validación'!C10="","",'Reunión de validación'!C10)</f>
        <v/>
      </c>
      <c r="C10" s="1">
        <f>+'Reunión de validación'!B10</f>
        <v/>
      </c>
      <c r="D10" s="1">
        <f>IF('Reunión de validación'!D10="","",'Reunión de validación'!D10)</f>
        <v/>
      </c>
      <c r="E10" s="1">
        <f>IF('Reunión de validación'!H10="","",'Reunión de validación'!H10)</f>
        <v/>
      </c>
      <c r="F10" s="1">
        <f>IF('Reunión de validación'!I10="","",'Reunión de validación'!I10)</f>
        <v/>
      </c>
      <c r="G10" s="1">
        <f>IF('Reunión de validación'!J10="","",'Reunión de validación'!J10)</f>
        <v/>
      </c>
      <c r="H10" s="2">
        <f>IF('Reunión de validación'!L10="","",'Reunión de validación'!L10)</f>
        <v/>
      </c>
      <c r="I10" s="2">
        <f>IF('Reunión de validación'!M10="","",'Reunión de validación'!M10)</f>
        <v/>
      </c>
      <c r="J10" s="2">
        <f>IF('Reunión de validación'!N10="","",'Reunión de validación'!N10)</f>
        <v/>
      </c>
      <c r="K10" s="2">
        <f>IF('Reunión de validación'!O10="","",'Reunión de validación'!O10)</f>
        <v/>
      </c>
      <c r="L10" s="2">
        <f>IF('Reunión de validación'!P10="","",'Reunión de validación'!P10)</f>
        <v/>
      </c>
      <c r="M10" s="2">
        <f>IF('Reunión de validación'!Q10="","",'Reunión de validación'!Q10)</f>
        <v/>
      </c>
      <c r="N10" s="1">
        <f>IF('Reunión de validación'!R10="","",'Reunión de validación'!R10)</f>
        <v/>
      </c>
      <c r="O10">
        <f>IF('Reunión de validación'!S10="","",'Reunión de validación'!S10)</f>
        <v/>
      </c>
      <c r="P10" t="n">
        <v>1</v>
      </c>
      <c r="Q10">
        <f>IF(N10="Asistió",1,0)</f>
        <v/>
      </c>
      <c r="R10">
        <f>IF(L10="Aceptada",1,0)</f>
        <v/>
      </c>
    </row>
    <row r="11">
      <c r="A11" s="1">
        <f>IF('Reunión de validación'!A11="","",'Reunión de validación'!A11)</f>
        <v/>
      </c>
      <c r="B11" s="1">
        <f>IF('Reunión de validación'!C11="","",'Reunión de validación'!C11)</f>
        <v/>
      </c>
      <c r="C11" s="1">
        <f>+'Reunión de validación'!B11</f>
        <v/>
      </c>
      <c r="D11" s="1">
        <f>IF('Reunión de validación'!D11="","",'Reunión de validación'!D11)</f>
        <v/>
      </c>
      <c r="E11" s="1">
        <f>IF('Reunión de validación'!H11="","",'Reunión de validación'!H11)</f>
        <v/>
      </c>
      <c r="F11" s="1">
        <f>IF('Reunión de validación'!I11="","",'Reunión de validación'!I11)</f>
        <v/>
      </c>
      <c r="G11" s="1">
        <f>IF('Reunión de validación'!J11="","",'Reunión de validación'!J11)</f>
        <v/>
      </c>
      <c r="H11" s="2">
        <f>IF('Reunión de validación'!L11="","",'Reunión de validación'!L11)</f>
        <v/>
      </c>
      <c r="I11" s="2">
        <f>IF('Reunión de validación'!M11="","",'Reunión de validación'!M11)</f>
        <v/>
      </c>
      <c r="J11" s="2">
        <f>IF('Reunión de validación'!N11="","",'Reunión de validación'!N11)</f>
        <v/>
      </c>
      <c r="K11" s="2">
        <f>IF('Reunión de validación'!O11="","",'Reunión de validación'!O11)</f>
        <v/>
      </c>
      <c r="L11" s="2">
        <f>IF('Reunión de validación'!P11="","",'Reunión de validación'!P11)</f>
        <v/>
      </c>
      <c r="M11" s="2">
        <f>IF('Reunión de validación'!Q11="","",'Reunión de validación'!Q11)</f>
        <v/>
      </c>
      <c r="N11" s="1">
        <f>IF('Reunión de validación'!R11="","",'Reunión de validación'!R11)</f>
        <v/>
      </c>
      <c r="O11">
        <f>IF('Reunión de validación'!S11="","",'Reunión de validación'!S11)</f>
        <v/>
      </c>
      <c r="P11" t="n">
        <v>1</v>
      </c>
      <c r="Q11">
        <f>IF(N11="Asistió",1,0)</f>
        <v/>
      </c>
      <c r="R11">
        <f>IF(L11="Aceptada",1,0)</f>
        <v/>
      </c>
    </row>
    <row r="12">
      <c r="A12" s="1">
        <f>IF('Reunión de validación'!A12="","",'Reunión de validación'!A12)</f>
        <v/>
      </c>
      <c r="B12" s="1">
        <f>IF('Reunión de validación'!C12="","",'Reunión de validación'!C12)</f>
        <v/>
      </c>
      <c r="C12" s="1">
        <f>+'Reunión de validación'!B12</f>
        <v/>
      </c>
      <c r="D12" s="1">
        <f>IF('Reunión de validación'!D12="","",'Reunión de validación'!D12)</f>
        <v/>
      </c>
      <c r="E12" s="1">
        <f>IF('Reunión de validación'!H12="","",'Reunión de validación'!H12)</f>
        <v/>
      </c>
      <c r="F12" s="1">
        <f>IF('Reunión de validación'!I12="","",'Reunión de validación'!I12)</f>
        <v/>
      </c>
      <c r="G12" s="1">
        <f>IF('Reunión de validación'!J12="","",'Reunión de validación'!J12)</f>
        <v/>
      </c>
      <c r="H12" s="2">
        <f>IF('Reunión de validación'!L12="","",'Reunión de validación'!L12)</f>
        <v/>
      </c>
      <c r="I12" s="2">
        <f>IF('Reunión de validación'!M12="","",'Reunión de validación'!M12)</f>
        <v/>
      </c>
      <c r="J12" s="2">
        <f>IF('Reunión de validación'!N12="","",'Reunión de validación'!N12)</f>
        <v/>
      </c>
      <c r="K12" s="2">
        <f>IF('Reunión de validación'!O12="","",'Reunión de validación'!O12)</f>
        <v/>
      </c>
      <c r="L12" s="2">
        <f>IF('Reunión de validación'!P12="","",'Reunión de validación'!P12)</f>
        <v/>
      </c>
      <c r="M12" s="2">
        <f>IF('Reunión de validación'!Q12="","",'Reunión de validación'!Q12)</f>
        <v/>
      </c>
      <c r="N12" s="1">
        <f>IF('Reunión de validación'!R12="","",'Reunión de validación'!R12)</f>
        <v/>
      </c>
      <c r="O12">
        <f>IF('Reunión de validación'!S12="","",'Reunión de validación'!S12)</f>
        <v/>
      </c>
      <c r="P12" t="n">
        <v>1</v>
      </c>
      <c r="Q12">
        <f>IF(N12="Asistió",1,0)</f>
        <v/>
      </c>
      <c r="R12">
        <f>IF(L12="Aceptada",1,0)</f>
        <v/>
      </c>
    </row>
    <row r="13">
      <c r="A13" s="1">
        <f>IF('Reunión de validación'!A13="","",'Reunión de validación'!A13)</f>
        <v/>
      </c>
      <c r="B13" s="1">
        <f>IF('Reunión de validación'!C13="","",'Reunión de validación'!C13)</f>
        <v/>
      </c>
      <c r="C13" s="1">
        <f>+'Reunión de validación'!B13</f>
        <v/>
      </c>
      <c r="D13" s="1">
        <f>IF('Reunión de validación'!D13="","",'Reunión de validación'!D13)</f>
        <v/>
      </c>
      <c r="E13" s="1">
        <f>IF('Reunión de validación'!H13="","",'Reunión de validación'!H13)</f>
        <v/>
      </c>
      <c r="F13" s="1">
        <f>IF('Reunión de validación'!I13="","",'Reunión de validación'!I13)</f>
        <v/>
      </c>
      <c r="G13" s="1">
        <f>IF('Reunión de validación'!J13="","",'Reunión de validación'!J13)</f>
        <v/>
      </c>
      <c r="H13" s="2">
        <f>IF('Reunión de validación'!L13="","",'Reunión de validación'!L13)</f>
        <v/>
      </c>
      <c r="I13" s="2">
        <f>IF('Reunión de validación'!M13="","",'Reunión de validación'!M13)</f>
        <v/>
      </c>
      <c r="J13" s="2">
        <f>IF('Reunión de validación'!N13="","",'Reunión de validación'!N13)</f>
        <v/>
      </c>
      <c r="K13" s="2">
        <f>IF('Reunión de validación'!O13="","",'Reunión de validación'!O13)</f>
        <v/>
      </c>
      <c r="L13" s="2">
        <f>IF('Reunión de validación'!P13="","",'Reunión de validación'!P13)</f>
        <v/>
      </c>
      <c r="M13" s="2">
        <f>IF('Reunión de validación'!Q13="","",'Reunión de validación'!Q13)</f>
        <v/>
      </c>
      <c r="N13" s="1">
        <f>IF('Reunión de validación'!R13="","",'Reunión de validación'!R13)</f>
        <v/>
      </c>
      <c r="O13">
        <f>IF('Reunión de validación'!S13="","",'Reunión de validación'!S13)</f>
        <v/>
      </c>
      <c r="P13" t="n">
        <v>1</v>
      </c>
      <c r="Q13">
        <f>IF(N13="Asistió",1,0)</f>
        <v/>
      </c>
      <c r="R13">
        <f>IF(L13="Aceptada",1,0)</f>
        <v/>
      </c>
    </row>
    <row r="14">
      <c r="A14" s="1">
        <f>IF('Reunión de validación'!A14="","",'Reunión de validación'!A14)</f>
        <v/>
      </c>
      <c r="B14" s="1">
        <f>IF('Reunión de validación'!C14="","",'Reunión de validación'!C14)</f>
        <v/>
      </c>
      <c r="C14" s="1">
        <f>+'Reunión de validación'!B14</f>
        <v/>
      </c>
      <c r="D14" s="1">
        <f>IF('Reunión de validación'!D14="","",'Reunión de validación'!D14)</f>
        <v/>
      </c>
      <c r="E14" s="1">
        <f>IF('Reunión de validación'!H14="","",'Reunión de validación'!H14)</f>
        <v/>
      </c>
      <c r="F14" s="1">
        <f>IF('Reunión de validación'!I14="","",'Reunión de validación'!I14)</f>
        <v/>
      </c>
      <c r="G14" s="1">
        <f>IF('Reunión de validación'!J14="","",'Reunión de validación'!J14)</f>
        <v/>
      </c>
      <c r="H14" s="2">
        <f>IF('Reunión de validación'!L14="","",'Reunión de validación'!L14)</f>
        <v/>
      </c>
      <c r="I14" s="2">
        <f>IF('Reunión de validación'!M14="","",'Reunión de validación'!M14)</f>
        <v/>
      </c>
      <c r="J14" s="2">
        <f>IF('Reunión de validación'!N14="","",'Reunión de validación'!N14)</f>
        <v/>
      </c>
      <c r="K14" s="2">
        <f>IF('Reunión de validación'!O14="","",'Reunión de validación'!O14)</f>
        <v/>
      </c>
      <c r="L14" s="2">
        <f>IF('Reunión de validación'!P14="","",'Reunión de validación'!P14)</f>
        <v/>
      </c>
      <c r="M14" s="2">
        <f>IF('Reunión de validación'!Q14="","",'Reunión de validación'!Q14)</f>
        <v/>
      </c>
      <c r="N14" s="1">
        <f>IF('Reunión de validación'!R14="","",'Reunión de validación'!R14)</f>
        <v/>
      </c>
      <c r="O14">
        <f>IF('Reunión de validación'!S14="","",'Reunión de validación'!S14)</f>
        <v/>
      </c>
      <c r="P14" t="n">
        <v>1</v>
      </c>
      <c r="Q14">
        <f>IF(N14="Asistió",1,0)</f>
        <v/>
      </c>
      <c r="R14">
        <f>IF(L14="Aceptada",1,0)</f>
        <v/>
      </c>
    </row>
    <row r="15">
      <c r="A15" s="1">
        <f>IF('Reunión de validación'!A15="","",'Reunión de validación'!A15)</f>
        <v/>
      </c>
      <c r="B15" s="1">
        <f>IF('Reunión de validación'!C15="","",'Reunión de validación'!C15)</f>
        <v/>
      </c>
      <c r="C15" s="1">
        <f>+'Reunión de validación'!B15</f>
        <v/>
      </c>
      <c r="D15" s="1">
        <f>IF('Reunión de validación'!D15="","",'Reunión de validación'!D15)</f>
        <v/>
      </c>
      <c r="E15" s="1">
        <f>IF('Reunión de validación'!H15="","",'Reunión de validación'!H15)</f>
        <v/>
      </c>
      <c r="F15" s="1">
        <f>IF('Reunión de validación'!I15="","",'Reunión de validación'!I15)</f>
        <v/>
      </c>
      <c r="G15" s="1">
        <f>IF('Reunión de validación'!J15="","",'Reunión de validación'!J15)</f>
        <v/>
      </c>
      <c r="H15" s="2">
        <f>IF('Reunión de validación'!L15="","",'Reunión de validación'!L15)</f>
        <v/>
      </c>
      <c r="I15" s="2">
        <f>IF('Reunión de validación'!M15="","",'Reunión de validación'!M15)</f>
        <v/>
      </c>
      <c r="J15" s="2">
        <f>IF('Reunión de validación'!N15="","",'Reunión de validación'!N15)</f>
        <v/>
      </c>
      <c r="K15" s="2">
        <f>IF('Reunión de validación'!O15="","",'Reunión de validación'!O15)</f>
        <v/>
      </c>
      <c r="L15" s="2">
        <f>IF('Reunión de validación'!P15="","",'Reunión de validación'!P15)</f>
        <v/>
      </c>
      <c r="M15" s="2">
        <f>IF('Reunión de validación'!Q15="","",'Reunión de validación'!Q15)</f>
        <v/>
      </c>
      <c r="N15" s="1">
        <f>IF('Reunión de validación'!R15="","",'Reunión de validación'!R15)</f>
        <v/>
      </c>
      <c r="O15">
        <f>IF('Reunión de validación'!S15="","",'Reunión de validación'!S15)</f>
        <v/>
      </c>
      <c r="P15" t="n">
        <v>2</v>
      </c>
      <c r="Q15">
        <f>IF(N15="Asistió",1,0)</f>
        <v/>
      </c>
      <c r="R15">
        <f>IF(L15="Aceptada",1,0)</f>
        <v/>
      </c>
    </row>
    <row r="16">
      <c r="A16" s="1">
        <f>IF('Reunión de validación'!A16="","",'Reunión de validación'!A16)</f>
        <v/>
      </c>
      <c r="B16" s="1">
        <f>IF('Reunión de validación'!C16="","",'Reunión de validación'!C16)</f>
        <v/>
      </c>
      <c r="C16" s="1">
        <f>+'Reunión de validación'!B16</f>
        <v/>
      </c>
      <c r="D16" s="1">
        <f>IF('Reunión de validación'!D16="","",'Reunión de validación'!D16)</f>
        <v/>
      </c>
      <c r="E16" s="1">
        <f>IF('Reunión de validación'!H16="","",'Reunión de validación'!H16)</f>
        <v/>
      </c>
      <c r="F16" s="1">
        <f>IF('Reunión de validación'!I16="","",'Reunión de validación'!I16)</f>
        <v/>
      </c>
      <c r="G16" s="1">
        <f>IF('Reunión de validación'!J16="","",'Reunión de validación'!J16)</f>
        <v/>
      </c>
      <c r="H16" s="2">
        <f>IF('Reunión de validación'!L16="","",'Reunión de validación'!L16)</f>
        <v/>
      </c>
      <c r="I16" s="2">
        <f>IF('Reunión de validación'!M16="","",'Reunión de validación'!M16)</f>
        <v/>
      </c>
      <c r="J16" s="2">
        <f>IF('Reunión de validación'!N16="","",'Reunión de validación'!N16)</f>
        <v/>
      </c>
      <c r="K16" s="2">
        <f>IF('Reunión de validación'!O16="","",'Reunión de validación'!O16)</f>
        <v/>
      </c>
      <c r="L16" s="2">
        <f>IF('Reunión de validación'!P16="","",'Reunión de validación'!P16)</f>
        <v/>
      </c>
      <c r="M16" s="2">
        <f>IF('Reunión de validación'!Q16="","",'Reunión de validación'!Q16)</f>
        <v/>
      </c>
      <c r="N16" s="1">
        <f>IF('Reunión de validación'!R16="","",'Reunión de validación'!R16)</f>
        <v/>
      </c>
      <c r="O16">
        <f>IF('Reunión de validación'!S16="","",'Reunión de validación'!S16)</f>
        <v/>
      </c>
      <c r="P16" t="n">
        <v>3</v>
      </c>
      <c r="Q16">
        <f>IF(N16="Asistió",1,0)</f>
        <v/>
      </c>
      <c r="R16">
        <f>IF(L16="Aceptada",1,0)</f>
        <v/>
      </c>
    </row>
    <row r="17">
      <c r="A17" s="1">
        <f>IF('Reunión de validación'!A17="","",'Reunión de validación'!A17)</f>
        <v/>
      </c>
      <c r="B17" s="1">
        <f>IF('Reunión de validación'!C17="","",'Reunión de validación'!C17)</f>
        <v/>
      </c>
      <c r="C17" s="1">
        <f>+'Reunión de validación'!B17</f>
        <v/>
      </c>
      <c r="D17" s="1">
        <f>IF('Reunión de validación'!D17="","",'Reunión de validación'!D17)</f>
        <v/>
      </c>
      <c r="E17" s="1">
        <f>IF('Reunión de validación'!H17="","",'Reunión de validación'!H17)</f>
        <v/>
      </c>
      <c r="F17" s="1">
        <f>IF('Reunión de validación'!I17="","",'Reunión de validación'!I17)</f>
        <v/>
      </c>
      <c r="G17" s="1">
        <f>IF('Reunión de validación'!J17="","",'Reunión de validación'!J17)</f>
        <v/>
      </c>
      <c r="H17" s="2">
        <f>IF('Reunión de validación'!L17="","",'Reunión de validación'!L17)</f>
        <v/>
      </c>
      <c r="I17" s="2">
        <f>IF('Reunión de validación'!M17="","",'Reunión de validación'!M17)</f>
        <v/>
      </c>
      <c r="J17" s="2">
        <f>IF('Reunión de validación'!N17="","",'Reunión de validación'!N17)</f>
        <v/>
      </c>
      <c r="K17" s="2">
        <f>IF('Reunión de validación'!O17="","",'Reunión de validación'!O17)</f>
        <v/>
      </c>
      <c r="L17" s="2">
        <f>IF('Reunión de validación'!P17="","",'Reunión de validación'!P17)</f>
        <v/>
      </c>
      <c r="M17" s="2">
        <f>IF('Reunión de validación'!Q17="","",'Reunión de validación'!Q17)</f>
        <v/>
      </c>
      <c r="N17" s="1">
        <f>IF('Reunión de validación'!R17="","",'Reunión de validación'!R17)</f>
        <v/>
      </c>
      <c r="O17">
        <f>IF('Reunión de validación'!S17="","",'Reunión de validación'!S17)</f>
        <v/>
      </c>
      <c r="P17" t="n">
        <v>4</v>
      </c>
      <c r="Q17">
        <f>IF(N17="Asistió",1,0)</f>
        <v/>
      </c>
      <c r="R17">
        <f>IF(L17="Aceptada",1,0)</f>
        <v/>
      </c>
    </row>
    <row r="18">
      <c r="A18" s="1">
        <f>IF('Reunión de validación'!A18="","",'Reunión de validación'!A18)</f>
        <v/>
      </c>
      <c r="B18" s="1">
        <f>IF('Reunión de validación'!C18="","",'Reunión de validación'!C18)</f>
        <v/>
      </c>
      <c r="C18" s="1">
        <f>+'Reunión de validación'!B18</f>
        <v/>
      </c>
      <c r="D18" s="1">
        <f>IF('Reunión de validación'!D18="","",'Reunión de validación'!D18)</f>
        <v/>
      </c>
      <c r="E18" s="1">
        <f>IF('Reunión de validación'!H18="","",'Reunión de validación'!H18)</f>
        <v/>
      </c>
      <c r="F18" s="1">
        <f>IF('Reunión de validación'!I18="","",'Reunión de validación'!I18)</f>
        <v/>
      </c>
      <c r="G18" s="1">
        <f>IF('Reunión de validación'!J18="","",'Reunión de validación'!J18)</f>
        <v/>
      </c>
      <c r="H18" s="2">
        <f>IF('Reunión de validación'!L18="","",'Reunión de validación'!L18)</f>
        <v/>
      </c>
      <c r="I18" s="2">
        <f>IF('Reunión de validación'!M18="","",'Reunión de validación'!M18)</f>
        <v/>
      </c>
      <c r="J18" s="2">
        <f>IF('Reunión de validación'!N18="","",'Reunión de validación'!N18)</f>
        <v/>
      </c>
      <c r="K18" s="2">
        <f>IF('Reunión de validación'!O18="","",'Reunión de validación'!O18)</f>
        <v/>
      </c>
      <c r="L18" s="2">
        <f>IF('Reunión de validación'!P18="","",'Reunión de validación'!P18)</f>
        <v/>
      </c>
      <c r="M18" s="2">
        <f>IF('Reunión de validación'!Q18="","",'Reunión de validación'!Q18)</f>
        <v/>
      </c>
      <c r="N18" s="1">
        <f>IF('Reunión de validación'!R18="","",'Reunión de validación'!R18)</f>
        <v/>
      </c>
      <c r="O18">
        <f>IF('Reunión de validación'!S18="","",'Reunión de validación'!S18)</f>
        <v/>
      </c>
      <c r="P18" t="n">
        <v>5</v>
      </c>
      <c r="Q18">
        <f>IF(N18="Asistió",1,0)</f>
        <v/>
      </c>
      <c r="R18">
        <f>IF(L18="Aceptada",1,0)</f>
        <v/>
      </c>
    </row>
    <row r="19">
      <c r="A19" s="1">
        <f>IF('Reunión de validación'!A19="","",'Reunión de validación'!A19)</f>
        <v/>
      </c>
      <c r="B19" s="1">
        <f>IF('Reunión de validación'!C19="","",'Reunión de validación'!C19)</f>
        <v/>
      </c>
      <c r="C19" s="1">
        <f>+'Reunión de validación'!B19</f>
        <v/>
      </c>
      <c r="D19" s="1">
        <f>IF('Reunión de validación'!D19="","",'Reunión de validación'!D19)</f>
        <v/>
      </c>
      <c r="E19" s="1">
        <f>IF('Reunión de validación'!H19="","",'Reunión de validación'!H19)</f>
        <v/>
      </c>
      <c r="F19" s="1">
        <f>IF('Reunión de validación'!I19="","",'Reunión de validación'!I19)</f>
        <v/>
      </c>
      <c r="G19" s="1">
        <f>IF('Reunión de validación'!J19="","",'Reunión de validación'!J19)</f>
        <v/>
      </c>
      <c r="H19" s="2">
        <f>IF('Reunión de validación'!L19="","",'Reunión de validación'!L19)</f>
        <v/>
      </c>
      <c r="I19" s="2">
        <f>IF('Reunión de validación'!M19="","",'Reunión de validación'!M19)</f>
        <v/>
      </c>
      <c r="J19" s="2">
        <f>IF('Reunión de validación'!N19="","",'Reunión de validación'!N19)</f>
        <v/>
      </c>
      <c r="K19" s="2">
        <f>IF('Reunión de validación'!O19="","",'Reunión de validación'!O19)</f>
        <v/>
      </c>
      <c r="L19" s="2">
        <f>IF('Reunión de validación'!P19="","",'Reunión de validación'!P19)</f>
        <v/>
      </c>
      <c r="M19" s="2">
        <f>IF('Reunión de validación'!Q19="","",'Reunión de validación'!Q19)</f>
        <v/>
      </c>
      <c r="N19" s="1">
        <f>IF('Reunión de validación'!R19="","",'Reunión de validación'!R19)</f>
        <v/>
      </c>
      <c r="O19">
        <f>IF('Reunión de validación'!S19="","",'Reunión de validación'!S19)</f>
        <v/>
      </c>
      <c r="P19" t="n">
        <v>6</v>
      </c>
      <c r="Q19">
        <f>IF(N19="Asistió",1,0)</f>
        <v/>
      </c>
      <c r="R19">
        <f>IF(L19="Aceptada",1,0)</f>
        <v/>
      </c>
    </row>
    <row r="20">
      <c r="A20" s="1">
        <f>IF('Reunión de validación'!A20="","",'Reunión de validación'!A20)</f>
        <v/>
      </c>
      <c r="B20" s="1">
        <f>IF('Reunión de validación'!C20="","",'Reunión de validación'!C20)</f>
        <v/>
      </c>
      <c r="C20" s="1">
        <f>+'Reunión de validación'!B20</f>
        <v/>
      </c>
      <c r="D20" s="1">
        <f>IF('Reunión de validación'!D20="","",'Reunión de validación'!D20)</f>
        <v/>
      </c>
      <c r="E20" s="1">
        <f>IF('Reunión de validación'!H20="","",'Reunión de validación'!H20)</f>
        <v/>
      </c>
      <c r="F20" s="1">
        <f>IF('Reunión de validación'!I20="","",'Reunión de validación'!I20)</f>
        <v/>
      </c>
      <c r="G20" s="1">
        <f>IF('Reunión de validación'!J20="","",'Reunión de validación'!J20)</f>
        <v/>
      </c>
      <c r="H20" s="2">
        <f>IF('Reunión de validación'!L20="","",'Reunión de validación'!L20)</f>
        <v/>
      </c>
      <c r="I20" s="2">
        <f>IF('Reunión de validación'!M20="","",'Reunión de validación'!M20)</f>
        <v/>
      </c>
      <c r="J20" s="2">
        <f>IF('Reunión de validación'!N20="","",'Reunión de validación'!N20)</f>
        <v/>
      </c>
      <c r="K20" s="2">
        <f>IF('Reunión de validación'!O20="","",'Reunión de validación'!O20)</f>
        <v/>
      </c>
      <c r="L20" s="2">
        <f>IF('Reunión de validación'!P20="","",'Reunión de validación'!P20)</f>
        <v/>
      </c>
      <c r="M20" s="2">
        <f>IF('Reunión de validación'!Q20="","",'Reunión de validación'!Q20)</f>
        <v/>
      </c>
      <c r="N20" s="1">
        <f>IF('Reunión de validación'!R20="","",'Reunión de validación'!R20)</f>
        <v/>
      </c>
      <c r="O20">
        <f>IF('Reunión de validación'!S20="","",'Reunión de validación'!S20)</f>
        <v/>
      </c>
      <c r="P20" t="n">
        <v>7</v>
      </c>
      <c r="Q20">
        <f>IF(N20="Asistió",1,0)</f>
        <v/>
      </c>
      <c r="R20">
        <f>IF(L20="Aceptada",1,0)</f>
        <v/>
      </c>
    </row>
    <row r="21">
      <c r="A21" s="1">
        <f>IF('Reunión de validación'!A21="","",'Reunión de validación'!A21)</f>
        <v/>
      </c>
      <c r="B21" s="1">
        <f>IF('Reunión de validación'!C21="","",'Reunión de validación'!C21)</f>
        <v/>
      </c>
      <c r="C21" s="1">
        <f>+'Reunión de validación'!B21</f>
        <v/>
      </c>
      <c r="D21" s="1">
        <f>IF('Reunión de validación'!D21="","",'Reunión de validación'!D21)</f>
        <v/>
      </c>
      <c r="E21" s="1">
        <f>IF('Reunión de validación'!H21="","",'Reunión de validación'!H21)</f>
        <v/>
      </c>
      <c r="F21" s="1">
        <f>IF('Reunión de validación'!I21="","",'Reunión de validación'!I21)</f>
        <v/>
      </c>
      <c r="G21" s="1">
        <f>IF('Reunión de validación'!J21="","",'Reunión de validación'!J21)</f>
        <v/>
      </c>
      <c r="H21" s="2">
        <f>IF('Reunión de validación'!L21="","",'Reunión de validación'!L21)</f>
        <v/>
      </c>
      <c r="I21" s="2">
        <f>IF('Reunión de validación'!M21="","",'Reunión de validación'!M21)</f>
        <v/>
      </c>
      <c r="J21" s="2">
        <f>IF('Reunión de validación'!N21="","",'Reunión de validación'!N21)</f>
        <v/>
      </c>
      <c r="K21" s="2">
        <f>IF('Reunión de validación'!O21="","",'Reunión de validación'!O21)</f>
        <v/>
      </c>
      <c r="L21" s="2">
        <f>IF('Reunión de validación'!P21="","",'Reunión de validación'!P21)</f>
        <v/>
      </c>
      <c r="M21" s="2">
        <f>IF('Reunión de validación'!Q21="","",'Reunión de validación'!Q21)</f>
        <v/>
      </c>
      <c r="N21" s="1">
        <f>IF('Reunión de validación'!R21="","",'Reunión de validación'!R21)</f>
        <v/>
      </c>
      <c r="O21">
        <f>IF('Reunión de validación'!S21="","",'Reunión de validación'!S21)</f>
        <v/>
      </c>
      <c r="P21" t="n">
        <v>8</v>
      </c>
      <c r="Q21">
        <f>IF(N21="Asistió",1,0)</f>
        <v/>
      </c>
      <c r="R21">
        <f>IF(L21="Aceptada",1,0)</f>
        <v/>
      </c>
    </row>
    <row r="22">
      <c r="A22" s="1">
        <f>IF('Reunión de validación'!A22="","",'Reunión de validación'!A22)</f>
        <v/>
      </c>
      <c r="B22" s="1">
        <f>IF('Reunión de validación'!C22="","",'Reunión de validación'!C22)</f>
        <v/>
      </c>
      <c r="C22" s="1">
        <f>+'Reunión de validación'!B22</f>
        <v/>
      </c>
      <c r="D22" s="1">
        <f>IF('Reunión de validación'!D22="","",'Reunión de validación'!D22)</f>
        <v/>
      </c>
      <c r="E22" s="1">
        <f>IF('Reunión de validación'!H22="","",'Reunión de validación'!H22)</f>
        <v/>
      </c>
      <c r="F22" s="1">
        <f>IF('Reunión de validación'!I22="","",'Reunión de validación'!I22)</f>
        <v/>
      </c>
      <c r="G22" s="1">
        <f>IF('Reunión de validación'!J22="","",'Reunión de validación'!J22)</f>
        <v/>
      </c>
      <c r="H22" s="2">
        <f>IF('Reunión de validación'!L22="","",'Reunión de validación'!L22)</f>
        <v/>
      </c>
      <c r="I22" s="2">
        <f>IF('Reunión de validación'!M22="","",'Reunión de validación'!M22)</f>
        <v/>
      </c>
      <c r="J22" s="2">
        <f>IF('Reunión de validación'!N22="","",'Reunión de validación'!N22)</f>
        <v/>
      </c>
      <c r="K22" s="2">
        <f>IF('Reunión de validación'!O22="","",'Reunión de validación'!O22)</f>
        <v/>
      </c>
      <c r="L22" s="2">
        <f>IF('Reunión de validación'!P22="","",'Reunión de validación'!P22)</f>
        <v/>
      </c>
      <c r="M22" s="2">
        <f>IF('Reunión de validación'!Q22="","",'Reunión de validación'!Q22)</f>
        <v/>
      </c>
      <c r="N22" s="1">
        <f>IF('Reunión de validación'!R22="","",'Reunión de validación'!R22)</f>
        <v/>
      </c>
      <c r="O22">
        <f>IF('Reunión de validación'!S22="","",'Reunión de validación'!S22)</f>
        <v/>
      </c>
      <c r="P22" t="n">
        <v>9</v>
      </c>
      <c r="Q22">
        <f>IF(N22="Asistió",1,0)</f>
        <v/>
      </c>
      <c r="R22">
        <f>IF(L22="Aceptada",1,0)</f>
        <v/>
      </c>
    </row>
    <row r="23">
      <c r="A23" s="1">
        <f>IF('Reunión de validación'!A23="","",'Reunión de validación'!A23)</f>
        <v/>
      </c>
      <c r="B23" s="1">
        <f>IF('Reunión de validación'!C23="","",'Reunión de validación'!C23)</f>
        <v/>
      </c>
      <c r="C23" s="1">
        <f>+'Reunión de validación'!B23</f>
        <v/>
      </c>
      <c r="D23" s="1">
        <f>IF('Reunión de validación'!D23="","",'Reunión de validación'!D23)</f>
        <v/>
      </c>
      <c r="E23" s="1">
        <f>IF('Reunión de validación'!H23="","",'Reunión de validación'!H23)</f>
        <v/>
      </c>
      <c r="F23" s="1">
        <f>IF('Reunión de validación'!I23="","",'Reunión de validación'!I23)</f>
        <v/>
      </c>
      <c r="G23" s="1">
        <f>IF('Reunión de validación'!J23="","",'Reunión de validación'!J23)</f>
        <v/>
      </c>
      <c r="H23" s="2">
        <f>IF('Reunión de validación'!L23="","",'Reunión de validación'!L23)</f>
        <v/>
      </c>
      <c r="I23" s="2">
        <f>IF('Reunión de validación'!M23="","",'Reunión de validación'!M23)</f>
        <v/>
      </c>
      <c r="J23" s="2">
        <f>IF('Reunión de validación'!N23="","",'Reunión de validación'!N23)</f>
        <v/>
      </c>
      <c r="K23" s="2">
        <f>IF('Reunión de validación'!O23="","",'Reunión de validación'!O23)</f>
        <v/>
      </c>
      <c r="L23" s="2">
        <f>IF('Reunión de validación'!P23="","",'Reunión de validación'!P23)</f>
        <v/>
      </c>
      <c r="M23" s="2">
        <f>IF('Reunión de validación'!Q23="","",'Reunión de validación'!Q23)</f>
        <v/>
      </c>
      <c r="N23" s="1">
        <f>IF('Reunión de validación'!R23="","",'Reunión de validación'!R23)</f>
        <v/>
      </c>
      <c r="O23">
        <f>IF('Reunión de validación'!S23="","",'Reunión de validación'!S23)</f>
        <v/>
      </c>
      <c r="P23" t="n">
        <v>10</v>
      </c>
      <c r="Q23">
        <f>IF(N23="Asistió",1,0)</f>
        <v/>
      </c>
      <c r="R23">
        <f>IF(L23="Aceptada",1,0)</f>
        <v/>
      </c>
    </row>
    <row r="24">
      <c r="A24" s="1">
        <f>IF('Reunión de validación'!A24="","",'Reunión de validación'!A24)</f>
        <v/>
      </c>
      <c r="B24" s="1">
        <f>IF('Reunión de validación'!C24="","",'Reunión de validación'!C24)</f>
        <v/>
      </c>
      <c r="C24" s="1">
        <f>+'Reunión de validación'!B24</f>
        <v/>
      </c>
      <c r="D24" s="1">
        <f>IF('Reunión de validación'!D24="","",'Reunión de validación'!D24)</f>
        <v/>
      </c>
      <c r="E24" s="1">
        <f>IF('Reunión de validación'!H24="","",'Reunión de validación'!H24)</f>
        <v/>
      </c>
      <c r="F24" s="1">
        <f>IF('Reunión de validación'!I24="","",'Reunión de validación'!I24)</f>
        <v/>
      </c>
      <c r="G24" s="1">
        <f>IF('Reunión de validación'!J24="","",'Reunión de validación'!J24)</f>
        <v/>
      </c>
      <c r="H24" s="2">
        <f>IF('Reunión de validación'!L24="","",'Reunión de validación'!L24)</f>
        <v/>
      </c>
      <c r="I24" s="2">
        <f>IF('Reunión de validación'!M24="","",'Reunión de validación'!M24)</f>
        <v/>
      </c>
      <c r="J24" s="2">
        <f>IF('Reunión de validación'!N24="","",'Reunión de validación'!N24)</f>
        <v/>
      </c>
      <c r="K24" s="2">
        <f>IF('Reunión de validación'!O24="","",'Reunión de validación'!O24)</f>
        <v/>
      </c>
      <c r="L24" s="2">
        <f>IF('Reunión de validación'!P24="","",'Reunión de validación'!P24)</f>
        <v/>
      </c>
      <c r="M24" s="2">
        <f>IF('Reunión de validación'!Q24="","",'Reunión de validación'!Q24)</f>
        <v/>
      </c>
      <c r="N24" s="1">
        <f>IF('Reunión de validación'!R24="","",'Reunión de validación'!R24)</f>
        <v/>
      </c>
      <c r="O24">
        <f>IF('Reunión de validación'!S24="","",'Reunión de validación'!S24)</f>
        <v/>
      </c>
      <c r="P24" t="n">
        <v>11</v>
      </c>
      <c r="Q24">
        <f>IF(N24="Asistió",1,0)</f>
        <v/>
      </c>
      <c r="R24">
        <f>IF(L24="Aceptada",1,0)</f>
        <v/>
      </c>
    </row>
    <row r="25">
      <c r="A25" s="1">
        <f>IF('Reunión de validación'!A25="","",'Reunión de validación'!A25)</f>
        <v/>
      </c>
      <c r="B25" s="1">
        <f>IF('Reunión de validación'!C25="","",'Reunión de validación'!C25)</f>
        <v/>
      </c>
      <c r="C25" s="1">
        <f>+'Reunión de validación'!B25</f>
        <v/>
      </c>
      <c r="D25" s="1">
        <f>IF('Reunión de validación'!D25="","",'Reunión de validación'!D25)</f>
        <v/>
      </c>
      <c r="E25" s="1">
        <f>IF('Reunión de validación'!H25="","",'Reunión de validación'!H25)</f>
        <v/>
      </c>
      <c r="F25" s="1">
        <f>IF('Reunión de validación'!I25="","",'Reunión de validación'!I25)</f>
        <v/>
      </c>
      <c r="G25" s="1">
        <f>IF('Reunión de validación'!J25="","",'Reunión de validación'!J25)</f>
        <v/>
      </c>
      <c r="H25" s="2">
        <f>IF('Reunión de validación'!L25="","",'Reunión de validación'!L25)</f>
        <v/>
      </c>
      <c r="I25" s="2">
        <f>IF('Reunión de validación'!M25="","",'Reunión de validación'!M25)</f>
        <v/>
      </c>
      <c r="J25" s="2">
        <f>IF('Reunión de validación'!N25="","",'Reunión de validación'!N25)</f>
        <v/>
      </c>
      <c r="K25" s="2">
        <f>IF('Reunión de validación'!O25="","",'Reunión de validación'!O25)</f>
        <v/>
      </c>
      <c r="L25" s="2">
        <f>IF('Reunión de validación'!P25="","",'Reunión de validación'!P25)</f>
        <v/>
      </c>
      <c r="M25" s="2">
        <f>IF('Reunión de validación'!Q25="","",'Reunión de validación'!Q25)</f>
        <v/>
      </c>
      <c r="N25" s="1">
        <f>IF('Reunión de validación'!R25="","",'Reunión de validación'!R25)</f>
        <v/>
      </c>
      <c r="O25">
        <f>IF('Reunión de validación'!S25="","",'Reunión de validación'!S25)</f>
        <v/>
      </c>
      <c r="P25" t="n">
        <v>12</v>
      </c>
      <c r="Q25">
        <f>IF(N25="Asistió",1,0)</f>
        <v/>
      </c>
      <c r="R25">
        <f>IF(L25="Aceptada",1,0)</f>
        <v/>
      </c>
    </row>
    <row r="26">
      <c r="A26" s="1">
        <f>IF('Reunión de validación'!A26="","",'Reunión de validación'!A26)</f>
        <v/>
      </c>
      <c r="B26" s="1">
        <f>IF('Reunión de validación'!C26="","",'Reunión de validación'!C26)</f>
        <v/>
      </c>
      <c r="C26" s="1">
        <f>+'Reunión de validación'!B26</f>
        <v/>
      </c>
      <c r="D26" s="1">
        <f>IF('Reunión de validación'!D26="","",'Reunión de validación'!D26)</f>
        <v/>
      </c>
      <c r="E26" s="1">
        <f>IF('Reunión de validación'!H26="","",'Reunión de validación'!H26)</f>
        <v/>
      </c>
      <c r="F26" s="1">
        <f>IF('Reunión de validación'!I26="","",'Reunión de validación'!I26)</f>
        <v/>
      </c>
      <c r="G26" s="1">
        <f>IF('Reunión de validación'!J26="","",'Reunión de validación'!J26)</f>
        <v/>
      </c>
      <c r="H26" s="2">
        <f>IF('Reunión de validación'!L26="","",'Reunión de validación'!L26)</f>
        <v/>
      </c>
      <c r="I26" s="2">
        <f>IF('Reunión de validación'!M26="","",'Reunión de validación'!M26)</f>
        <v/>
      </c>
      <c r="J26" s="2">
        <f>IF('Reunión de validación'!N26="","",'Reunión de validación'!N26)</f>
        <v/>
      </c>
      <c r="K26" s="2">
        <f>IF('Reunión de validación'!O26="","",'Reunión de validación'!O26)</f>
        <v/>
      </c>
      <c r="L26" s="2">
        <f>IF('Reunión de validación'!P26="","",'Reunión de validación'!P26)</f>
        <v/>
      </c>
      <c r="M26" s="2">
        <f>IF('Reunión de validación'!Q26="","",'Reunión de validación'!Q26)</f>
        <v/>
      </c>
      <c r="N26" s="1">
        <f>IF('Reunión de validación'!R26="","",'Reunión de validación'!R26)</f>
        <v/>
      </c>
      <c r="O26">
        <f>IF('Reunión de validación'!S26="","",'Reunión de validación'!S26)</f>
        <v/>
      </c>
      <c r="P26" t="n">
        <v>13</v>
      </c>
      <c r="Q26">
        <f>IF(N26="Asistió",1,0)</f>
        <v/>
      </c>
      <c r="R26">
        <f>IF(L26="Aceptada",1,0)</f>
        <v/>
      </c>
    </row>
    <row r="27">
      <c r="A27" s="1">
        <f>IF('Reunión de validación'!A27="","",'Reunión de validación'!A27)</f>
        <v/>
      </c>
      <c r="B27" s="1">
        <f>IF('Reunión de validación'!C27="","",'Reunión de validación'!C27)</f>
        <v/>
      </c>
      <c r="C27" s="1">
        <f>+'Reunión de validación'!B27</f>
        <v/>
      </c>
      <c r="D27" s="1">
        <f>IF('Reunión de validación'!D27="","",'Reunión de validación'!D27)</f>
        <v/>
      </c>
      <c r="E27" s="1">
        <f>IF('Reunión de validación'!H27="","",'Reunión de validación'!H27)</f>
        <v/>
      </c>
      <c r="F27" s="1">
        <f>IF('Reunión de validación'!I27="","",'Reunión de validación'!I27)</f>
        <v/>
      </c>
      <c r="G27" s="1">
        <f>IF('Reunión de validación'!J27="","",'Reunión de validación'!J27)</f>
        <v/>
      </c>
      <c r="H27" s="2">
        <f>IF('Reunión de validación'!L27="","",'Reunión de validación'!L27)</f>
        <v/>
      </c>
      <c r="I27" s="2">
        <f>IF('Reunión de validación'!M27="","",'Reunión de validación'!M27)</f>
        <v/>
      </c>
      <c r="J27" s="2">
        <f>IF('Reunión de validación'!N27="","",'Reunión de validación'!N27)</f>
        <v/>
      </c>
      <c r="K27" s="2">
        <f>IF('Reunión de validación'!O27="","",'Reunión de validación'!O27)</f>
        <v/>
      </c>
      <c r="L27" s="2">
        <f>IF('Reunión de validación'!P27="","",'Reunión de validación'!P27)</f>
        <v/>
      </c>
      <c r="M27" s="2">
        <f>IF('Reunión de validación'!Q27="","",'Reunión de validación'!Q27)</f>
        <v/>
      </c>
      <c r="N27" s="1">
        <f>IF('Reunión de validación'!R27="","",'Reunión de validación'!R27)</f>
        <v/>
      </c>
      <c r="O27">
        <f>IF('Reunión de validación'!S27="","",'Reunión de validación'!S27)</f>
        <v/>
      </c>
      <c r="P27" t="n">
        <v>14</v>
      </c>
      <c r="Q27">
        <f>IF(N27="Asistió",1,0)</f>
        <v/>
      </c>
      <c r="R27">
        <f>IF(L27="Aceptada",1,0)</f>
        <v/>
      </c>
    </row>
    <row r="28">
      <c r="A28" s="1">
        <f>IF('Reunión de validación'!A28="","",'Reunión de validación'!A28)</f>
        <v/>
      </c>
      <c r="B28" s="1">
        <f>IF('Reunión de validación'!C28="","",'Reunión de validación'!C28)</f>
        <v/>
      </c>
      <c r="C28" s="1">
        <f>+'Reunión de validación'!B28</f>
        <v/>
      </c>
      <c r="D28" s="1">
        <f>IF('Reunión de validación'!D28="","",'Reunión de validación'!D28)</f>
        <v/>
      </c>
      <c r="E28" s="1">
        <f>IF('Reunión de validación'!H28="","",'Reunión de validación'!H28)</f>
        <v/>
      </c>
      <c r="F28" s="1">
        <f>IF('Reunión de validación'!I28="","",'Reunión de validación'!I28)</f>
        <v/>
      </c>
      <c r="G28" s="1">
        <f>IF('Reunión de validación'!J28="","",'Reunión de validación'!J28)</f>
        <v/>
      </c>
      <c r="H28" s="2">
        <f>IF('Reunión de validación'!L28="","",'Reunión de validación'!L28)</f>
        <v/>
      </c>
      <c r="I28" s="2">
        <f>IF('Reunión de validación'!M28="","",'Reunión de validación'!M28)</f>
        <v/>
      </c>
      <c r="J28" s="2">
        <f>IF('Reunión de validación'!N28="","",'Reunión de validación'!N28)</f>
        <v/>
      </c>
      <c r="K28" s="2">
        <f>IF('Reunión de validación'!O28="","",'Reunión de validación'!O28)</f>
        <v/>
      </c>
      <c r="L28" s="2">
        <f>IF('Reunión de validación'!P28="","",'Reunión de validación'!P28)</f>
        <v/>
      </c>
      <c r="M28" s="2">
        <f>IF('Reunión de validación'!Q28="","",'Reunión de validación'!Q28)</f>
        <v/>
      </c>
      <c r="N28" s="1">
        <f>IF('Reunión de validación'!R28="","",'Reunión de validación'!R28)</f>
        <v/>
      </c>
      <c r="O28">
        <f>IF('Reunión de validación'!S28="","",'Reunión de validación'!S28)</f>
        <v/>
      </c>
      <c r="P28" t="n">
        <v>15</v>
      </c>
      <c r="Q28">
        <f>IF(N28="Asistió",1,0)</f>
        <v/>
      </c>
      <c r="R28">
        <f>IF(L28="Aceptada",1,0)</f>
        <v/>
      </c>
    </row>
    <row r="29">
      <c r="A29" s="1">
        <f>IF('Reunión de validación'!A29="","",'Reunión de validación'!A29)</f>
        <v/>
      </c>
      <c r="B29" s="1">
        <f>IF('Reunión de validación'!C29="","",'Reunión de validación'!C29)</f>
        <v/>
      </c>
      <c r="C29" s="1">
        <f>+'Reunión de validación'!B29</f>
        <v/>
      </c>
      <c r="D29" s="1">
        <f>IF('Reunión de validación'!D29="","",'Reunión de validación'!D29)</f>
        <v/>
      </c>
      <c r="E29" s="1">
        <f>IF('Reunión de validación'!H29="","",'Reunión de validación'!H29)</f>
        <v/>
      </c>
      <c r="F29" s="1">
        <f>IF('Reunión de validación'!I29="","",'Reunión de validación'!I29)</f>
        <v/>
      </c>
      <c r="G29" s="1">
        <f>IF('Reunión de validación'!J29="","",'Reunión de validación'!J29)</f>
        <v/>
      </c>
      <c r="H29" s="2">
        <f>IF('Reunión de validación'!L29="","",'Reunión de validación'!L29)</f>
        <v/>
      </c>
      <c r="I29" s="2">
        <f>IF('Reunión de validación'!M29="","",'Reunión de validación'!M29)</f>
        <v/>
      </c>
      <c r="J29" s="2">
        <f>IF('Reunión de validación'!N29="","",'Reunión de validación'!N29)</f>
        <v/>
      </c>
      <c r="K29" s="2">
        <f>IF('Reunión de validación'!O29="","",'Reunión de validación'!O29)</f>
        <v/>
      </c>
      <c r="L29" s="2">
        <f>IF('Reunión de validación'!P29="","",'Reunión de validación'!P29)</f>
        <v/>
      </c>
      <c r="M29" s="2">
        <f>IF('Reunión de validación'!Q29="","",'Reunión de validación'!Q29)</f>
        <v/>
      </c>
      <c r="N29" s="1">
        <f>IF('Reunión de validación'!R29="","",'Reunión de validación'!R29)</f>
        <v/>
      </c>
      <c r="O29">
        <f>IF('Reunión de validación'!S29="","",'Reunión de validación'!S29)</f>
        <v/>
      </c>
      <c r="P29" t="n">
        <v>16</v>
      </c>
      <c r="Q29">
        <f>IF(N29="Asistió",1,0)</f>
        <v/>
      </c>
      <c r="R29">
        <f>IF(L29="Aceptada",1,0)</f>
        <v/>
      </c>
    </row>
    <row r="30">
      <c r="A30" s="1">
        <f>IF('Reunión de validación'!A30="","",'Reunión de validación'!A30)</f>
        <v/>
      </c>
      <c r="B30" s="1">
        <f>IF('Reunión de validación'!C30="","",'Reunión de validación'!C30)</f>
        <v/>
      </c>
      <c r="C30" s="1">
        <f>+'Reunión de validación'!B30</f>
        <v/>
      </c>
      <c r="D30" s="1">
        <f>IF('Reunión de validación'!D30="","",'Reunión de validación'!D30)</f>
        <v/>
      </c>
      <c r="E30" s="1">
        <f>IF('Reunión de validación'!H30="","",'Reunión de validación'!H30)</f>
        <v/>
      </c>
      <c r="F30" s="1">
        <f>IF('Reunión de validación'!I30="","",'Reunión de validación'!I30)</f>
        <v/>
      </c>
      <c r="G30" s="1">
        <f>IF('Reunión de validación'!J30="","",'Reunión de validación'!J30)</f>
        <v/>
      </c>
      <c r="H30" s="2">
        <f>IF('Reunión de validación'!L30="","",'Reunión de validación'!L30)</f>
        <v/>
      </c>
      <c r="I30" s="2">
        <f>IF('Reunión de validación'!M30="","",'Reunión de validación'!M30)</f>
        <v/>
      </c>
      <c r="J30" s="2">
        <f>IF('Reunión de validación'!N30="","",'Reunión de validación'!N30)</f>
        <v/>
      </c>
      <c r="K30" s="2">
        <f>IF('Reunión de validación'!O30="","",'Reunión de validación'!O30)</f>
        <v/>
      </c>
      <c r="L30" s="2">
        <f>IF('Reunión de validación'!P30="","",'Reunión de validación'!P30)</f>
        <v/>
      </c>
      <c r="M30" s="2">
        <f>IF('Reunión de validación'!Q30="","",'Reunión de validación'!Q30)</f>
        <v/>
      </c>
      <c r="N30" s="1">
        <f>IF('Reunión de validación'!R30="","",'Reunión de validación'!R30)</f>
        <v/>
      </c>
      <c r="O30">
        <f>IF('Reunión de validación'!S30="","",'Reunión de validación'!S30)</f>
        <v/>
      </c>
      <c r="P30" t="n">
        <v>17</v>
      </c>
      <c r="Q30">
        <f>IF(N30="Asistió",1,0)</f>
        <v/>
      </c>
      <c r="R30">
        <f>IF(L30="Aceptada",1,0)</f>
        <v/>
      </c>
    </row>
    <row r="31">
      <c r="A31" s="1">
        <f>IF('Reunión de validación'!A31="","",'Reunión de validación'!A31)</f>
        <v/>
      </c>
      <c r="B31" s="1">
        <f>IF('Reunión de validación'!C31="","",'Reunión de validación'!C31)</f>
        <v/>
      </c>
      <c r="C31" s="1">
        <f>+'Reunión de validación'!B31</f>
        <v/>
      </c>
      <c r="D31" s="1">
        <f>IF('Reunión de validación'!D31="","",'Reunión de validación'!D31)</f>
        <v/>
      </c>
      <c r="E31" s="1">
        <f>IF('Reunión de validación'!H31="","",'Reunión de validación'!H31)</f>
        <v/>
      </c>
      <c r="F31" s="1">
        <f>IF('Reunión de validación'!I31="","",'Reunión de validación'!I31)</f>
        <v/>
      </c>
      <c r="G31" s="1">
        <f>IF('Reunión de validación'!J31="","",'Reunión de validación'!J31)</f>
        <v/>
      </c>
      <c r="H31" s="2">
        <f>IF('Reunión de validación'!L31="","",'Reunión de validación'!L31)</f>
        <v/>
      </c>
      <c r="I31" s="2">
        <f>IF('Reunión de validación'!M31="","",'Reunión de validación'!M31)</f>
        <v/>
      </c>
      <c r="J31" s="2">
        <f>IF('Reunión de validación'!N31="","",'Reunión de validación'!N31)</f>
        <v/>
      </c>
      <c r="K31" s="2">
        <f>IF('Reunión de validación'!O31="","",'Reunión de validación'!O31)</f>
        <v/>
      </c>
      <c r="L31" s="2">
        <f>IF('Reunión de validación'!P31="","",'Reunión de validación'!P31)</f>
        <v/>
      </c>
      <c r="M31" s="2">
        <f>IF('Reunión de validación'!Q31="","",'Reunión de validación'!Q31)</f>
        <v/>
      </c>
      <c r="N31" s="1">
        <f>IF('Reunión de validación'!R31="","",'Reunión de validación'!R31)</f>
        <v/>
      </c>
      <c r="O31">
        <f>IF('Reunión de validación'!S31="","",'Reunión de validación'!S31)</f>
        <v/>
      </c>
      <c r="P31" t="n">
        <v>18</v>
      </c>
      <c r="Q31">
        <f>IF(N31="Asistió",1,0)</f>
        <v/>
      </c>
      <c r="R31">
        <f>IF(L31="Aceptada",1,0)</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V995"/>
  <sheetViews>
    <sheetView zoomScale="89" zoomScaleNormal="64" workbookViewId="0">
      <selection activeCell="L1" sqref="L1:L1048576"/>
    </sheetView>
  </sheetViews>
  <sheetFormatPr baseColWidth="10" defaultColWidth="11.453125" defaultRowHeight="12.5"/>
  <cols>
    <col min="1" max="1" width="28.81640625" style="1" customWidth="true"/>
    <col min="2" max="2" width="31.54296875" style="1" customWidth="true"/>
    <col min="3" max="3" width="60.81640625" style="1" customWidth="true"/>
    <col min="4" max="4" width="32" style="1" customWidth="true"/>
    <col min="5" max="5" width="21.7265625" style="1" bestFit="true" customWidth="true"/>
    <col min="6" max="6" width="40" style="1" customWidth="true"/>
    <col min="7" max="7" width="20" style="1" bestFit="true" customWidth="true"/>
    <col min="8" max="8" width="11.453125" style="1" customWidth="true"/>
    <col min="9" max="11" width="21" style="2" bestFit="true" customWidth="true"/>
    <col min="12" max="12" width="23.1796875" style="1" customWidth="true"/>
    <col min="13" max="14" width="21" style="2" bestFit="true" customWidth="true"/>
    <col min="15" max="15" width="21" style="1" customWidth="true"/>
    <col min="16" max="17" width="23.1796875" style="1" customWidth="true"/>
    <col min="18" max="18" width="20.453125" style="1" bestFit="true" customWidth="true"/>
    <col min="19" max="19" width="24.453125" style="1" bestFit="true" customWidth="true"/>
    <col min="20" max="20" width="20" style="1" bestFit="true" customWidth="true"/>
    <col min="21" max="21" width="19.7265625" style="1" bestFit="true" customWidth="true"/>
    <col min="22" max="22" width="24.81640625" style="1" bestFit="true" customWidth="true"/>
    <col min="23" max="16384" width="11.453125" style="1" customWidth="true"/>
  </cols>
  <sheetData>
    <row r="1" s="15" customFormat="true" ht="13" customHeight="true">
      <c r="A1" s="14" t="inlineStr">
        <is>
          <t>Identificador</t>
        </is>
      </c>
      <c r="B1" s="14" t="inlineStr">
        <is>
          <t>Nombre</t>
        </is>
      </c>
      <c r="C1" s="14" t="inlineStr">
        <is>
          <t>Institución</t>
        </is>
      </c>
      <c r="D1" s="14" t="inlineStr">
        <is>
          <t>Tipo de entrevistas</t>
        </is>
      </c>
      <c r="E1" s="14" t="inlineStr">
        <is>
          <t>Tipo de actor</t>
        </is>
      </c>
      <c r="F1" s="14" t="inlineStr">
        <is>
          <t>Distrito judicial</t>
        </is>
      </c>
      <c r="G1" s="14" t="inlineStr">
        <is>
          <t>Encargado de contacto</t>
        </is>
      </c>
      <c r="H1" s="14" t="inlineStr">
        <is>
          <t>Contacto</t>
        </is>
      </c>
      <c r="I1" s="17" t="inlineStr">
        <is>
          <t>Fecha de primer contacto</t>
        </is>
      </c>
      <c r="J1" s="17" t="inlineStr">
        <is>
          <t>Fecha de segundo contacto</t>
        </is>
      </c>
      <c r="K1" s="17" t="inlineStr">
        <is>
          <t>Fecha de tercer contacto</t>
        </is>
      </c>
      <c r="L1" s="14" t="inlineStr">
        <is>
          <t>Respuesta del actor</t>
        </is>
      </c>
      <c r="M1" s="17" t="inlineStr">
        <is>
          <t>Fecha de inicio de entrevista</t>
        </is>
      </c>
      <c r="N1" s="17" t="inlineStr">
        <is>
          <t>Fecha de fin de entrevista</t>
        </is>
      </c>
      <c r="O1" s="14" t="inlineStr">
        <is>
          <t>Resultado</t>
        </is>
      </c>
      <c r="P1" s="14" t="inlineStr">
        <is>
          <t>Duración total (min)</t>
        </is>
      </c>
      <c r="Q1" s="14" t="inlineStr">
        <is>
          <t>Modalidad</t>
        </is>
      </c>
      <c r="R1" s="14" t="inlineStr">
        <is>
          <t>Dummy Contacto</t>
        </is>
      </c>
      <c r="S1" s="14" t="inlineStr">
        <is>
          <t>Dummy coordinación</t>
        </is>
      </c>
      <c r="T1" s="14" t="inlineStr">
        <is>
          <t>Dummy aceptada</t>
        </is>
      </c>
      <c r="U1" s="14" t="inlineStr">
        <is>
          <t>Dummy realizada</t>
        </is>
      </c>
      <c r="V1" s="14" t="inlineStr">
        <is>
          <t>Dummy sin respuesta</t>
        </is>
      </c>
    </row>
    <row r="2">
      <c r="A2" s="1">
        <f t="array" ref="A2:A995">+IF('Seguimiento entrevistas'!$C$6:$C$999&lt;&gt;"",'Seguimiento entrevistas'!$C$6:$C$999,"")</f>
        <v/>
      </c>
      <c r="B2" s="1">
        <f t="array" ref="B2:B995">+IF('Seguimiento entrevistas'!D6:D999&lt;&gt;"",'Seguimiento entrevistas'!D6:D999,"")</f>
        <v/>
      </c>
      <c r="C2" s="1">
        <f t="array" ref="C2:C995">+IF('Seguimiento entrevistas'!E6:E999&lt;&gt;"",'Seguimiento entrevistas'!E6:E999,"")</f>
        <v/>
      </c>
      <c r="D2" s="1">
        <f t="array" ref="D2:D995">+IF('Seguimiento entrevistas'!L6:L999&lt;&gt;"",'Seguimiento entrevistas'!L6:L999,"")</f>
        <v/>
      </c>
      <c r="E2" s="1">
        <f t="array" ref="E2:E995">+IF('Seguimiento entrevistas'!I6:I999&lt;&gt;"",'Seguimiento entrevistas'!I6:I999,"")</f>
        <v/>
      </c>
      <c r="F2" s="1">
        <f t="array" ref="F2:F995">+IF('Seguimiento entrevistas'!B6:B999&lt;&gt;"",'Seguimiento entrevistas'!B6:B999,"")</f>
        <v/>
      </c>
      <c r="G2" s="1">
        <f t="array" ref="G2:G995">+IF('Seguimiento entrevistas'!R6:R999&lt;&gt;"",'Seguimiento entrevistas'!R6:R999,"")</f>
        <v/>
      </c>
      <c r="H2" s="1">
        <f t="array" ref="H2:H995">+IF('Seguimiento entrevistas'!T6:T999&lt;&gt;"",'Seguimiento entrevistas'!T6:T999,"")</f>
        <v/>
      </c>
      <c r="I2" s="2">
        <f t="array" ref="I2:I995">+IF('Seguimiento entrevistas'!V6:V999&lt;&gt;"",'Seguimiento entrevistas'!V6:V999,"")</f>
        <v/>
      </c>
      <c r="J2" s="2">
        <f t="array" ref="J2:J995">+IF('Seguimiento entrevistas'!W6:W999&lt;&gt;"",'Seguimiento entrevistas'!W6:W999,"")</f>
        <v/>
      </c>
      <c r="K2" s="2">
        <f t="array" ref="K2:K995">+IF('Seguimiento entrevistas'!X6:X999&lt;&gt;"",'Seguimiento entrevistas'!X6:X999,"")</f>
        <v/>
      </c>
      <c r="L2" s="1">
        <f t="array" ref="L2:L995">+IF('Seguimiento entrevistas'!U6:U999&lt;&gt;"",'Seguimiento entrevistas'!U6:U999,"")</f>
        <v/>
      </c>
      <c r="M2" s="2">
        <f t="array" ref="M2:M995">+IF('Seguimiento entrevistas'!Z6:Z999&lt;&gt;"",'Seguimiento entrevistas'!Z6:Z999,"")</f>
        <v/>
      </c>
      <c r="N2" s="2">
        <f t="array" ref="N2:N995">+IF('Seguimiento entrevistas'!AA6:AA999&lt;&gt;"",'Seguimiento entrevistas'!AA6:AA999,"")</f>
        <v/>
      </c>
      <c r="O2" s="1">
        <f t="array" ref="O2:O995">+IF('Seguimiento entrevistas'!U6:U999&lt;&gt;"",'Seguimiento entrevistas'!U6:U999,"")</f>
        <v/>
      </c>
      <c r="P2" s="1">
        <f t="array" ref="P2:P995">+IF('Seguimiento entrevistas'!AC6:AC999&lt;&gt;"",'Seguimiento entrevistas'!AC6:AC999,"")</f>
        <v/>
      </c>
      <c r="Q2" s="1">
        <f t="array" ref="Q2:Q995">+IF('Seguimiento entrevistas'!AB6:AB999&lt;&gt;"",'Seguimiento entrevistas'!AB6:AB999,"")</f>
        <v/>
      </c>
      <c r="R2" s="1">
        <f>IF(H2="Sí",1,0)</f>
        <v/>
      </c>
      <c r="S2" s="1">
        <f>IF(L2="En coordinación",1,0)</f>
        <v/>
      </c>
      <c r="T2" s="1">
        <f>IF(L2="Aceptada",1,0)</f>
        <v/>
      </c>
      <c r="U2" s="1">
        <f>IF(OR(L2="Realizada completa",L2="Realizada incompleta"),1,0)</f>
        <v/>
      </c>
      <c r="V2" s="1">
        <f>IF(L2="Sin respuesta",1,0)</f>
        <v/>
      </c>
    </row>
    <row r="3">
      <c r="A3" s="1" t="inlineStr">
        <is>
          <t>2</t>
        </is>
      </c>
      <c r="B3" s="1" t="inlineStr">
        <is>
          <t>Isabel López Meza</t>
        </is>
      </c>
      <c r="C3" s="1" t="inlineStr">
        <is>
          <t xml:space="preserve">Paz y esperanza </t>
        </is>
      </c>
      <c r="D3" s="1" t="inlineStr">
        <is>
          <t>Entrevista de actores clave</t>
        </is>
      </c>
      <c r="E3" s="1" t="inlineStr">
        <is>
          <t>Expertos en la temática</t>
        </is>
      </c>
      <c r="F3" s="1" t="inlineStr">
        <is>
          <t>Nacional</t>
        </is>
      </c>
      <c r="G3" s="1" t="inlineStr">
        <is>
          <t>IJM</t>
        </is>
      </c>
      <c r="H3" s="1" t="inlineStr">
        <is>
          <t>No</t>
        </is>
      </c>
      <c r="I3" s="2" t="str"/>
      <c r="J3" s="2" t="str"/>
      <c r="K3" s="2" t="str"/>
      <c r="L3" s="1" t="inlineStr">
        <is>
          <t>No válida</t>
        </is>
      </c>
      <c r="M3" s="2" t="str"/>
      <c r="N3" s="2" t="str"/>
      <c r="O3" s="1" t="inlineStr">
        <is>
          <t>No válida</t>
        </is>
      </c>
      <c r="P3" s="1" t="str"/>
      <c r="Q3" s="1" t="str"/>
      <c r="R3" s="1">
        <f>IF(H3="Sí",1,0)</f>
        <v/>
      </c>
      <c r="S3" s="1">
        <f>IF(L3="En coordinación",1,0)</f>
        <v/>
      </c>
      <c r="T3" s="1">
        <f>IF(L3="Aceptada",1,0)</f>
        <v/>
      </c>
      <c r="U3" s="1">
        <f>IF(OR(L3="Realizada completa",L3="Realizada incompleta"),1,0)</f>
        <v/>
      </c>
      <c r="V3" s="1">
        <f>IF(L3="Sin respuesta",1,0)</f>
        <v/>
      </c>
    </row>
    <row r="4">
      <c r="A4" s="1" t="inlineStr">
        <is>
          <t>3</t>
        </is>
      </c>
      <c r="B4" s="1" t="inlineStr">
        <is>
          <t>Víctor García</t>
        </is>
      </c>
      <c r="C4" s="1" t="inlineStr">
        <is>
          <t>Plan International</t>
        </is>
      </c>
      <c r="D4" s="1" t="inlineStr">
        <is>
          <t>Entrevista de actores clave</t>
        </is>
      </c>
      <c r="E4" s="1" t="inlineStr">
        <is>
          <t>Expertos en la temática</t>
        </is>
      </c>
      <c r="F4" s="1" t="inlineStr">
        <is>
          <t>Nacional</t>
        </is>
      </c>
      <c r="G4" s="1" t="inlineStr">
        <is>
          <t>IJM</t>
        </is>
      </c>
      <c r="H4" s="1" t="inlineStr">
        <is>
          <t>Sí</t>
        </is>
      </c>
      <c r="I4" s="2" t="inlineStr">
        <is>
          <t xml:space="preserve">  5/5/2026</t>
        </is>
      </c>
      <c r="J4" s="2" t="inlineStr">
        <is>
          <t xml:space="preserve"> 6/11/2026</t>
        </is>
      </c>
      <c r="K4" s="2" t="str"/>
      <c r="L4" s="1" t="inlineStr">
        <is>
          <t>Sin respuesta</t>
        </is>
      </c>
      <c r="M4" s="2" t="str"/>
      <c r="N4" s="2" t="str"/>
      <c r="O4" s="1" t="inlineStr">
        <is>
          <t>Sin respuesta</t>
        </is>
      </c>
      <c r="P4" s="1" t="str"/>
      <c r="Q4" s="1" t="str"/>
      <c r="R4" s="1">
        <f>IF(H4="Sí",1,0)</f>
        <v/>
      </c>
      <c r="S4" s="1">
        <f>IF(L4="En coordinación",1,0)</f>
        <v/>
      </c>
      <c r="T4" s="1">
        <f>IF(L4="Aceptada",1,0)</f>
        <v/>
      </c>
      <c r="U4" s="1">
        <f>IF(OR(L4="Realizada completa",L4="Realizada incompleta"),1,0)</f>
        <v/>
      </c>
      <c r="V4" s="1">
        <f>IF(L4="Sin respuesta",1,0)</f>
        <v/>
      </c>
    </row>
    <row r="5">
      <c r="A5" s="1" t="inlineStr">
        <is>
          <t>4</t>
        </is>
      </c>
      <c r="B5" s="1" t="inlineStr">
        <is>
          <t>Marlene Molero Suárez</t>
        </is>
      </c>
      <c r="C5" s="1" t="inlineStr">
        <is>
          <t>Care Perú</t>
        </is>
      </c>
      <c r="D5" s="1" t="inlineStr">
        <is>
          <t>Entrevista de actores clave</t>
        </is>
      </c>
      <c r="E5" s="1" t="inlineStr">
        <is>
          <t>Expertos en la temática</t>
        </is>
      </c>
      <c r="F5" s="1" t="inlineStr">
        <is>
          <t>Nacional</t>
        </is>
      </c>
      <c r="G5" s="1" t="inlineStr">
        <is>
          <t>IJM</t>
        </is>
      </c>
      <c r="H5" s="1" t="inlineStr">
        <is>
          <t>No</t>
        </is>
      </c>
      <c r="I5" s="2" t="inlineStr">
        <is>
          <t xml:space="preserve"> 3/19/2026</t>
        </is>
      </c>
      <c r="J5" s="2" t="str"/>
      <c r="K5" s="2" t="str"/>
      <c r="L5" s="1" t="str"/>
      <c r="M5" s="2" t="str"/>
      <c r="N5" s="2" t="str"/>
      <c r="O5" s="1" t="str"/>
      <c r="P5" s="1" t="str"/>
      <c r="Q5" s="1" t="str"/>
      <c r="R5" s="1">
        <f>IF(H5="Sí",1,0)</f>
        <v/>
      </c>
      <c r="S5" s="1">
        <f>IF(L5="En coordinación",1,0)</f>
        <v/>
      </c>
      <c r="T5" s="1">
        <f>IF(L5="Aceptada",1,0)</f>
        <v/>
      </c>
      <c r="U5" s="1">
        <f>IF(OR(L5="Realizada completa",L5="Realizada incompleta"),1,0)</f>
        <v/>
      </c>
      <c r="V5" s="1">
        <f>IF(L5="Sin respuesta",1,0)</f>
        <v/>
      </c>
    </row>
    <row r="6">
      <c r="A6" s="1" t="inlineStr">
        <is>
          <t>5</t>
        </is>
      </c>
      <c r="B6" s="1" t="inlineStr">
        <is>
          <t>Marilú Martens Cortés</t>
        </is>
      </c>
      <c r="C6" s="1" t="inlineStr">
        <is>
          <t>Care Perú</t>
        </is>
      </c>
      <c r="D6" s="1" t="inlineStr">
        <is>
          <t>Entrevista de actores clave</t>
        </is>
      </c>
      <c r="E6" s="1" t="inlineStr">
        <is>
          <t>Expertos en la temática</t>
        </is>
      </c>
      <c r="F6" s="1" t="inlineStr">
        <is>
          <t>Nacional</t>
        </is>
      </c>
      <c r="G6" s="1" t="inlineStr">
        <is>
          <t>IJM</t>
        </is>
      </c>
      <c r="H6" s="1" t="inlineStr">
        <is>
          <t>Sí</t>
        </is>
      </c>
      <c r="I6" s="2" t="inlineStr">
        <is>
          <t xml:space="preserve"> 3/19/2026</t>
        </is>
      </c>
      <c r="J6" s="2" t="str"/>
      <c r="K6" s="2" t="str"/>
      <c r="L6" s="1" t="inlineStr">
        <is>
          <t>Sin respuesta</t>
        </is>
      </c>
      <c r="M6" s="2" t="str"/>
      <c r="N6" s="2" t="str"/>
      <c r="O6" s="1" t="inlineStr">
        <is>
          <t>Sin respuesta</t>
        </is>
      </c>
      <c r="P6" s="1" t="str"/>
      <c r="Q6" s="1" t="str"/>
      <c r="R6" s="1">
        <f>IF(H6="Sí",1,0)</f>
        <v/>
      </c>
      <c r="S6" s="1">
        <f>IF(L6="En coordinación",1,0)</f>
        <v/>
      </c>
      <c r="T6" s="1">
        <f>IF(L6="Aceptada",1,0)</f>
        <v/>
      </c>
      <c r="U6" s="1">
        <f>IF(OR(L6="Realizada completa",L6="Realizada incompleta"),1,0)</f>
        <v/>
      </c>
      <c r="V6" s="1">
        <f>IF(L6="Sin respuesta",1,0)</f>
        <v/>
      </c>
    </row>
    <row r="7">
      <c r="A7" s="1" t="inlineStr">
        <is>
          <t>6</t>
        </is>
      </c>
      <c r="B7" s="1" t="inlineStr">
        <is>
          <t>Rafael Casas</t>
        </is>
      </c>
      <c r="C7" s="1" t="inlineStr">
        <is>
          <t>Aldeas Infantiles SOS</t>
        </is>
      </c>
      <c r="D7" s="1" t="inlineStr">
        <is>
          <t>Entrevista de actores clave</t>
        </is>
      </c>
      <c r="E7" s="1" t="inlineStr">
        <is>
          <t>Expertos en la temática</t>
        </is>
      </c>
      <c r="F7" s="1" t="inlineStr">
        <is>
          <t>Nacional</t>
        </is>
      </c>
      <c r="G7" s="1" t="inlineStr">
        <is>
          <t>IJM</t>
        </is>
      </c>
      <c r="H7" s="1" t="inlineStr">
        <is>
          <t>Sí</t>
        </is>
      </c>
      <c r="I7" s="2" t="inlineStr">
        <is>
          <t xml:space="preserve"> 3/19/2026</t>
        </is>
      </c>
      <c r="J7" s="2" t="inlineStr">
        <is>
          <t xml:space="preserve"> 3/23/2026</t>
        </is>
      </c>
      <c r="K7" s="2" t="str"/>
      <c r="L7" s="1" t="inlineStr">
        <is>
          <t>Realizada completa</t>
        </is>
      </c>
      <c r="M7" s="2" t="inlineStr">
        <is>
          <t xml:space="preserve"> 8-May</t>
        </is>
      </c>
      <c r="N7" s="2" t="inlineStr">
        <is>
          <t xml:space="preserve"> 8-May</t>
        </is>
      </c>
      <c r="O7" s="1" t="inlineStr">
        <is>
          <t>Realizada completa</t>
        </is>
      </c>
      <c r="P7" s="1" t="inlineStr">
        <is>
          <t>45</t>
        </is>
      </c>
      <c r="Q7" s="1" t="inlineStr">
        <is>
          <t>A distancia asistido</t>
        </is>
      </c>
      <c r="R7" s="1">
        <f>IF(H7="Sí",1,0)</f>
        <v/>
      </c>
      <c r="S7" s="1">
        <f>IF(L7="En coordinación",1,0)</f>
        <v/>
      </c>
      <c r="T7" s="1">
        <f>IF(L7="Aceptada",1,0)</f>
        <v/>
      </c>
      <c r="U7" s="1">
        <f>IF(OR(L7="Realizada completa",L7="Realizada incompleta"),1,0)</f>
        <v/>
      </c>
      <c r="V7" s="1">
        <f>IF(L7="Sin respuesta",1,0)</f>
        <v/>
      </c>
    </row>
    <row r="8">
      <c r="A8" s="1" t="inlineStr">
        <is>
          <t>7</t>
        </is>
      </c>
      <c r="B8" s="1" t="inlineStr">
        <is>
          <t>Sonia Gleci Frisancho Pacheco</t>
        </is>
      </c>
      <c r="C8" s="1" t="inlineStr">
        <is>
          <t>Aldeas Infantiles SOS</t>
        </is>
      </c>
      <c r="D8" s="1" t="inlineStr">
        <is>
          <t>Entrevista de actores clave</t>
        </is>
      </c>
      <c r="E8" s="1" t="inlineStr">
        <is>
          <t>Expertos en la temática</t>
        </is>
      </c>
      <c r="F8" s="1" t="inlineStr">
        <is>
          <t>Nacional</t>
        </is>
      </c>
      <c r="G8" s="1" t="inlineStr">
        <is>
          <t>IJM</t>
        </is>
      </c>
      <c r="H8" s="1" t="inlineStr">
        <is>
          <t>No</t>
        </is>
      </c>
      <c r="I8" s="2" t="inlineStr">
        <is>
          <t xml:space="preserve"> 3/19/2026</t>
        </is>
      </c>
      <c r="J8" s="2" t="str"/>
      <c r="K8" s="2" t="str"/>
      <c r="L8" s="1" t="str"/>
      <c r="M8" s="2" t="str"/>
      <c r="N8" s="2" t="str"/>
      <c r="O8" s="1" t="str"/>
      <c r="P8" s="1" t="str"/>
      <c r="Q8" s="1" t="str"/>
      <c r="R8" s="1">
        <f>IF(H8="Sí",1,0)</f>
        <v/>
      </c>
      <c r="S8" s="1">
        <f>IF(L8="En coordinación",1,0)</f>
        <v/>
      </c>
      <c r="T8" s="1">
        <f>IF(L8="Aceptada",1,0)</f>
        <v/>
      </c>
      <c r="U8" s="1">
        <f>IF(OR(L8="Realizada completa",L8="Realizada incompleta"),1,0)</f>
        <v/>
      </c>
      <c r="V8" s="1">
        <f>IF(L8="Sin respuesta",1,0)</f>
        <v/>
      </c>
    </row>
    <row r="9">
      <c r="A9" s="1" t="inlineStr">
        <is>
          <t>8</t>
        </is>
      </c>
      <c r="B9" s="1" t="inlineStr">
        <is>
          <t>Alejandra Saffon</t>
        </is>
      </c>
      <c r="C9" s="1" t="inlineStr">
        <is>
          <t>Organización para la Cooperación y el Desarrollo Económico</t>
        </is>
      </c>
      <c r="D9" s="1" t="inlineStr">
        <is>
          <t>Entrevista de actores clave</t>
        </is>
      </c>
      <c r="E9" s="1" t="inlineStr">
        <is>
          <t>Expertos en la temática</t>
        </is>
      </c>
      <c r="F9" s="1" t="inlineStr">
        <is>
          <t>Nacional</t>
        </is>
      </c>
      <c r="G9" s="1" t="inlineStr">
        <is>
          <t>IJM</t>
        </is>
      </c>
      <c r="H9" s="1" t="inlineStr">
        <is>
          <t>No</t>
        </is>
      </c>
      <c r="I9" s="2" t="inlineStr">
        <is>
          <t xml:space="preserve"> 3/23/2026</t>
        </is>
      </c>
      <c r="J9" s="2" t="str"/>
      <c r="K9" s="2" t="str"/>
      <c r="L9" s="1" t="str"/>
      <c r="M9" s="2" t="str"/>
      <c r="N9" s="2" t="str"/>
      <c r="O9" s="1" t="str"/>
      <c r="P9" s="1" t="str"/>
      <c r="Q9" s="1" t="str"/>
      <c r="R9" s="1">
        <f>IF(H9="Sí",1,0)</f>
        <v/>
      </c>
      <c r="S9" s="1">
        <f>IF(L9="En coordinación",1,0)</f>
        <v/>
      </c>
      <c r="T9" s="1">
        <f>IF(L9="Aceptada",1,0)</f>
        <v/>
      </c>
      <c r="U9" s="1">
        <f>IF(OR(L9="Realizada completa",L9="Realizada incompleta"),1,0)</f>
        <v/>
      </c>
      <c r="V9" s="1">
        <f>IF(L9="Sin respuesta",1,0)</f>
        <v/>
      </c>
    </row>
    <row r="10">
      <c r="A10" s="1" t="inlineStr">
        <is>
          <t>9</t>
        </is>
      </c>
      <c r="B10" s="1" t="inlineStr">
        <is>
          <t>Elena Portilla Odlianitskaya</t>
        </is>
      </c>
      <c r="C10" s="1" t="inlineStr">
        <is>
          <t>Organización para la Cooperación y el Desarrollo Económico</t>
        </is>
      </c>
      <c r="D10" s="1" t="inlineStr">
        <is>
          <t>Entrevista de actores clave</t>
        </is>
      </c>
      <c r="E10" s="1" t="inlineStr">
        <is>
          <t>Expertos en la temática</t>
        </is>
      </c>
      <c r="F10" s="1" t="inlineStr">
        <is>
          <t>Nacional</t>
        </is>
      </c>
      <c r="G10" s="1" t="inlineStr">
        <is>
          <t>IJM</t>
        </is>
      </c>
      <c r="H10" s="1" t="inlineStr">
        <is>
          <t>No</t>
        </is>
      </c>
      <c r="I10" s="2" t="str"/>
      <c r="J10" s="2" t="str"/>
      <c r="K10" s="2" t="str"/>
      <c r="L10" s="1" t="str"/>
      <c r="M10" s="2" t="str"/>
      <c r="N10" s="2" t="str"/>
      <c r="O10" s="1" t="str"/>
      <c r="P10" s="1" t="str"/>
      <c r="Q10" s="1" t="str"/>
      <c r="R10" s="1">
        <f>IF(H10="Sí",1,0)</f>
        <v/>
      </c>
      <c r="S10" s="1">
        <f>IF(L10="En coordinación",1,0)</f>
        <v/>
      </c>
      <c r="T10" s="1">
        <f>IF(L10="Aceptada",1,0)</f>
        <v/>
      </c>
      <c r="U10" s="1">
        <f>IF(OR(L10="Realizada completa",L10="Realizada incompleta"),1,0)</f>
        <v/>
      </c>
      <c r="V10" s="1">
        <f>IF(L10="Sin respuesta",1,0)</f>
        <v/>
      </c>
    </row>
    <row r="11">
      <c r="A11" s="1" t="inlineStr">
        <is>
          <t>10</t>
        </is>
      </c>
      <c r="B11" s="1" t="inlineStr">
        <is>
          <t>Alejandra Alayza</t>
        </is>
      </c>
      <c r="C11" s="1" t="inlineStr">
        <is>
          <t>Oxfam</t>
        </is>
      </c>
      <c r="D11" s="1" t="inlineStr">
        <is>
          <t>Entrevista de actores clave</t>
        </is>
      </c>
      <c r="E11" s="1" t="inlineStr">
        <is>
          <t>Expertos en la temática</t>
        </is>
      </c>
      <c r="F11" s="1" t="inlineStr">
        <is>
          <t>Nacional</t>
        </is>
      </c>
      <c r="G11" s="1" t="inlineStr">
        <is>
          <t>IJM</t>
        </is>
      </c>
      <c r="H11" s="1" t="inlineStr">
        <is>
          <t>No</t>
        </is>
      </c>
      <c r="I11" s="2" t="str"/>
      <c r="J11" s="2" t="str"/>
      <c r="K11" s="2" t="str"/>
      <c r="L11" s="1" t="str"/>
      <c r="M11" s="2" t="str"/>
      <c r="N11" s="2" t="str"/>
      <c r="O11" s="1" t="str"/>
      <c r="P11" s="1" t="str"/>
      <c r="Q11" s="1" t="str"/>
      <c r="R11" s="1">
        <f>IF(H11="Sí",1,0)</f>
        <v/>
      </c>
      <c r="S11" s="1">
        <f>IF(L11="En coordinación",1,0)</f>
        <v/>
      </c>
      <c r="T11" s="1">
        <f>IF(L11="Aceptada",1,0)</f>
        <v/>
      </c>
      <c r="U11" s="1">
        <f>IF(OR(L11="Realizada completa",L11="Realizada incompleta"),1,0)</f>
        <v/>
      </c>
      <c r="V11" s="1">
        <f>IF(L11="Sin respuesta",1,0)</f>
        <v/>
      </c>
    </row>
    <row r="12">
      <c r="A12" s="1" t="inlineStr">
        <is>
          <t>11</t>
        </is>
      </c>
      <c r="B12" s="1" t="inlineStr">
        <is>
          <t>Miguel Lévano</t>
        </is>
      </c>
      <c r="C12" s="1" t="inlineStr">
        <is>
          <t>Oxfam</t>
        </is>
      </c>
      <c r="D12" s="1" t="inlineStr">
        <is>
          <t>Entrevista de actores clave</t>
        </is>
      </c>
      <c r="E12" s="1" t="inlineStr">
        <is>
          <t>Expertos en la temática</t>
        </is>
      </c>
      <c r="F12" s="1" t="inlineStr">
        <is>
          <t>Nacional</t>
        </is>
      </c>
      <c r="G12" s="1" t="inlineStr">
        <is>
          <t>IJM</t>
        </is>
      </c>
      <c r="H12" s="1" t="inlineStr">
        <is>
          <t>No</t>
        </is>
      </c>
      <c r="I12" s="2" t="str"/>
      <c r="J12" s="2" t="str"/>
      <c r="K12" s="2" t="str"/>
      <c r="L12" s="1" t="str"/>
      <c r="M12" s="2" t="str"/>
      <c r="N12" s="2" t="str"/>
      <c r="O12" s="1" t="str"/>
      <c r="P12" s="1" t="str"/>
      <c r="Q12" s="1" t="str"/>
      <c r="R12" s="1">
        <f>IF(H12="Sí",1,0)</f>
        <v/>
      </c>
      <c r="S12" s="1">
        <f>IF(L12="En coordinación",1,0)</f>
        <v/>
      </c>
      <c r="T12" s="1">
        <f>IF(L12="Aceptada",1,0)</f>
        <v/>
      </c>
      <c r="U12" s="1">
        <f>IF(OR(L12="Realizada completa",L12="Realizada incompleta"),1,0)</f>
        <v/>
      </c>
      <c r="V12" s="1">
        <f>IF(L12="Sin respuesta",1,0)</f>
        <v/>
      </c>
    </row>
    <row r="13">
      <c r="A13" s="1" t="inlineStr">
        <is>
          <t>12</t>
        </is>
      </c>
      <c r="B13" s="1" t="inlineStr">
        <is>
          <t>Esteban Caballero</t>
        </is>
      </c>
      <c r="C13" s="1" t="inlineStr">
        <is>
          <t>UNFPA</t>
        </is>
      </c>
      <c r="D13" s="1" t="inlineStr">
        <is>
          <t>Entrevista de actores clave</t>
        </is>
      </c>
      <c r="E13" s="1" t="inlineStr">
        <is>
          <t>Expertos en la temática</t>
        </is>
      </c>
      <c r="F13" s="1" t="inlineStr">
        <is>
          <t>Distrito Judicial: Ucayali</t>
        </is>
      </c>
      <c r="G13" s="1" t="inlineStr">
        <is>
          <t>IJM</t>
        </is>
      </c>
      <c r="H13" s="1" t="inlineStr">
        <is>
          <t>No</t>
        </is>
      </c>
      <c r="I13" s="2" t="inlineStr">
        <is>
          <t xml:space="preserve"> 3/23/2026</t>
        </is>
      </c>
      <c r="J13" s="2" t="str"/>
      <c r="K13" s="2" t="str"/>
      <c r="L13" s="1" t="str"/>
      <c r="M13" s="2" t="str"/>
      <c r="N13" s="2" t="str"/>
      <c r="O13" s="1" t="str"/>
      <c r="P13" s="1" t="str"/>
      <c r="Q13" s="1" t="str"/>
      <c r="R13" s="1">
        <f>IF(H13="Sí",1,0)</f>
        <v/>
      </c>
      <c r="S13" s="1">
        <f>IF(L13="En coordinación",1,0)</f>
        <v/>
      </c>
      <c r="T13" s="1">
        <f>IF(L13="Aceptada",1,0)</f>
        <v/>
      </c>
      <c r="U13" s="1">
        <f>IF(OR(L13="Realizada completa",L13="Realizada incompleta"),1,0)</f>
        <v/>
      </c>
      <c r="V13" s="1">
        <f>IF(L13="Sin respuesta",1,0)</f>
        <v/>
      </c>
    </row>
    <row r="14">
      <c r="A14" s="1" t="inlineStr">
        <is>
          <t>13</t>
        </is>
      </c>
      <c r="B14" s="1" t="inlineStr">
        <is>
          <t>Hugo González Coltrinari</t>
        </is>
      </c>
      <c r="C14" s="1" t="inlineStr">
        <is>
          <t>UNFPA</t>
        </is>
      </c>
      <c r="D14" s="1" t="inlineStr">
        <is>
          <t>Entrevista de actores clave</t>
        </is>
      </c>
      <c r="E14" s="1" t="inlineStr">
        <is>
          <t>Expertos en la temática</t>
        </is>
      </c>
      <c r="F14" s="1" t="inlineStr">
        <is>
          <t>Nacional</t>
        </is>
      </c>
      <c r="G14" s="1" t="inlineStr">
        <is>
          <t>IJM</t>
        </is>
      </c>
      <c r="H14" s="1" t="inlineStr">
        <is>
          <t>No</t>
        </is>
      </c>
      <c r="I14" s="2" t="str"/>
      <c r="J14" s="2" t="str"/>
      <c r="K14" s="2" t="str"/>
      <c r="L14" s="1" t="str"/>
      <c r="M14" s="2" t="str"/>
      <c r="N14" s="2" t="str"/>
      <c r="O14" s="1" t="str"/>
      <c r="P14" s="1" t="str"/>
      <c r="Q14" s="1" t="str"/>
      <c r="R14" s="1">
        <f>IF(H14="Sí",1,0)</f>
        <v/>
      </c>
      <c r="S14" s="1">
        <f>IF(L14="En coordinación",1,0)</f>
        <v/>
      </c>
      <c r="T14" s="1">
        <f>IF(L14="Aceptada",1,0)</f>
        <v/>
      </c>
      <c r="U14" s="1">
        <f>IF(OR(L14="Realizada completa",L14="Realizada incompleta"),1,0)</f>
        <v/>
      </c>
      <c r="V14" s="1">
        <f>IF(L14="Sin respuesta",1,0)</f>
        <v/>
      </c>
    </row>
    <row r="15">
      <c r="A15" s="1" t="inlineStr">
        <is>
          <t>14</t>
        </is>
      </c>
      <c r="B15" s="1" t="inlineStr">
        <is>
          <t>Tomás Lopes-Teixeira</t>
        </is>
      </c>
      <c r="C15" s="1" t="inlineStr">
        <is>
          <t>Banco Interamericano de Desarrollo</t>
        </is>
      </c>
      <c r="D15" s="1" t="inlineStr">
        <is>
          <t>Entrevista de actores clave</t>
        </is>
      </c>
      <c r="E15" s="1" t="inlineStr">
        <is>
          <t>Expertos en la temática</t>
        </is>
      </c>
      <c r="F15" s="1" t="inlineStr">
        <is>
          <t>Nacional</t>
        </is>
      </c>
      <c r="G15" s="1" t="inlineStr">
        <is>
          <t>IJM</t>
        </is>
      </c>
      <c r="H15" s="1" t="inlineStr">
        <is>
          <t>No</t>
        </is>
      </c>
      <c r="I15" s="2" t="inlineStr">
        <is>
          <t xml:space="preserve"> 3/23/2026</t>
        </is>
      </c>
      <c r="J15" s="2" t="str"/>
      <c r="K15" s="2" t="str"/>
      <c r="L15" s="1" t="str"/>
      <c r="M15" s="2" t="str"/>
      <c r="N15" s="2" t="str"/>
      <c r="O15" s="1" t="str"/>
      <c r="P15" s="1" t="str"/>
      <c r="Q15" s="1" t="str"/>
      <c r="R15" s="1">
        <f>IF(H15="Sí",1,0)</f>
        <v/>
      </c>
      <c r="S15" s="1">
        <f>IF(L15="En coordinación",1,0)</f>
        <v/>
      </c>
      <c r="T15" s="1">
        <f>IF(L15="Aceptada",1,0)</f>
        <v/>
      </c>
      <c r="U15" s="1">
        <f>IF(OR(L15="Realizada completa",L15="Realizada incompleta"),1,0)</f>
        <v/>
      </c>
      <c r="V15" s="1">
        <f>IF(L15="Sin respuesta",1,0)</f>
        <v/>
      </c>
    </row>
    <row r="16">
      <c r="A16" s="1" t="inlineStr">
        <is>
          <t>15</t>
        </is>
      </c>
      <c r="B16" s="1" t="inlineStr">
        <is>
          <t>Issam Abousleiman</t>
        </is>
      </c>
      <c r="C16" s="1" t="inlineStr">
        <is>
          <t>World Bank</t>
        </is>
      </c>
      <c r="D16" s="1" t="inlineStr">
        <is>
          <t>Entrevista de actores clave</t>
        </is>
      </c>
      <c r="E16" s="1" t="inlineStr">
        <is>
          <t>Expertos en la temática</t>
        </is>
      </c>
      <c r="F16" s="1" t="inlineStr">
        <is>
          <t>Distrito Judicial: Apurímac</t>
        </is>
      </c>
      <c r="G16" s="1" t="inlineStr">
        <is>
          <t>IJM</t>
        </is>
      </c>
      <c r="H16" s="1" t="inlineStr">
        <is>
          <t>No</t>
        </is>
      </c>
      <c r="I16" s="2" t="str"/>
      <c r="J16" s="2" t="str"/>
      <c r="K16" s="2" t="str"/>
      <c r="L16" s="1" t="str"/>
      <c r="M16" s="2" t="str"/>
      <c r="N16" s="2" t="str"/>
      <c r="O16" s="1" t="str"/>
      <c r="P16" s="1" t="str"/>
      <c r="Q16" s="1" t="str"/>
      <c r="R16" s="1">
        <f>IF(H16="Sí",1,0)</f>
        <v/>
      </c>
      <c r="S16" s="1">
        <f>IF(L16="En coordinación",1,0)</f>
        <v/>
      </c>
      <c r="T16" s="1">
        <f>IF(L16="Aceptada",1,0)</f>
        <v/>
      </c>
      <c r="U16" s="1">
        <f>IF(OR(L16="Realizada completa",L16="Realizada incompleta"),1,0)</f>
        <v/>
      </c>
      <c r="V16" s="1">
        <f>IF(L16="Sin respuesta",1,0)</f>
        <v/>
      </c>
    </row>
    <row r="17">
      <c r="A17" s="1" t="inlineStr">
        <is>
          <t>16</t>
        </is>
      </c>
      <c r="B17" s="1" t="inlineStr">
        <is>
          <t>Carlos Jesús Vilela</t>
        </is>
      </c>
      <c r="C17" s="1" t="inlineStr">
        <is>
          <t>Jurado Nacional de Elecciones</t>
        </is>
      </c>
      <c r="D17" s="1" t="inlineStr">
        <is>
          <t>Entrevista de actores clave</t>
        </is>
      </c>
      <c r="E17" s="1" t="inlineStr">
        <is>
          <t>Funcionarios del Sistema</t>
        </is>
      </c>
      <c r="F17" s="1" t="inlineStr">
        <is>
          <t>Nacional</t>
        </is>
      </c>
      <c r="G17" s="1" t="inlineStr">
        <is>
          <t>IJM</t>
        </is>
      </c>
      <c r="H17" s="1" t="inlineStr">
        <is>
          <t>Sí</t>
        </is>
      </c>
      <c r="I17" s="2" t="inlineStr">
        <is>
          <t xml:space="preserve"> 3/20/2026</t>
        </is>
      </c>
      <c r="J17" s="2" t="inlineStr">
        <is>
          <t xml:space="preserve"> 4/10/2026</t>
        </is>
      </c>
      <c r="K17" s="2" t="str"/>
      <c r="L17" s="1" t="inlineStr">
        <is>
          <t>Sin respuesta</t>
        </is>
      </c>
      <c r="M17" s="2" t="str"/>
      <c r="N17" s="2" t="str"/>
      <c r="O17" s="1" t="inlineStr">
        <is>
          <t>Sin respuesta</t>
        </is>
      </c>
      <c r="P17" s="1" t="str"/>
      <c r="Q17" s="1" t="str"/>
      <c r="R17" s="1">
        <f>IF(H17="Sí",1,0)</f>
        <v/>
      </c>
      <c r="S17" s="1">
        <f>IF(L17="En coordinación",1,0)</f>
        <v/>
      </c>
      <c r="T17" s="1">
        <f>IF(L17="Aceptada",1,0)</f>
        <v/>
      </c>
      <c r="U17" s="1">
        <f>IF(OR(L17="Realizada completa",L17="Realizada incompleta"),1,0)</f>
        <v/>
      </c>
      <c r="V17" s="1">
        <f>IF(L17="Sin respuesta",1,0)</f>
        <v/>
      </c>
    </row>
    <row r="18">
      <c r="A18" s="1" t="inlineStr">
        <is>
          <t>17</t>
        </is>
      </c>
      <c r="B18" s="1" t="inlineStr">
        <is>
          <t>Mónica Mendez Cabezas</t>
        </is>
      </c>
      <c r="C18" s="1" t="inlineStr">
        <is>
          <t xml:space="preserve">Ministerio de la Mujer </t>
        </is>
      </c>
      <c r="D18" s="1" t="inlineStr">
        <is>
          <t>Entrevista de actores clave</t>
        </is>
      </c>
      <c r="E18" s="1" t="inlineStr">
        <is>
          <t>Funcionarios del Sistema</t>
        </is>
      </c>
      <c r="F18" s="1" t="inlineStr">
        <is>
          <t>Distrito Judicial: Loreto</t>
        </is>
      </c>
      <c r="G18" s="1" t="inlineStr">
        <is>
          <t>IJM</t>
        </is>
      </c>
      <c r="H18" s="1" t="inlineStr">
        <is>
          <t>Sí</t>
        </is>
      </c>
      <c r="I18" s="2" t="inlineStr">
        <is>
          <t xml:space="preserve">  5/5/2026</t>
        </is>
      </c>
      <c r="J18" s="2" t="str"/>
      <c r="K18" s="2" t="str"/>
      <c r="L18" s="1" t="inlineStr">
        <is>
          <t>Sin respuesta</t>
        </is>
      </c>
      <c r="M18" s="2" t="str"/>
      <c r="N18" s="2" t="str"/>
      <c r="O18" s="1" t="inlineStr">
        <is>
          <t>Sin respuesta</t>
        </is>
      </c>
      <c r="P18" s="1" t="str"/>
      <c r="Q18" s="1" t="str"/>
      <c r="R18" s="1">
        <f>IF(H18="Sí",1,0)</f>
        <v/>
      </c>
      <c r="S18" s="1">
        <f>IF(L18="En coordinación",1,0)</f>
        <v/>
      </c>
      <c r="T18" s="1">
        <f>IF(L18="Aceptada",1,0)</f>
        <v/>
      </c>
      <c r="U18" s="1">
        <f>IF(OR(L18="Realizada completa",L18="Realizada incompleta"),1,0)</f>
        <v/>
      </c>
      <c r="V18" s="1">
        <f>IF(L18="Sin respuesta",1,0)</f>
        <v/>
      </c>
    </row>
    <row r="19">
      <c r="A19" s="1" t="inlineStr">
        <is>
          <t>18</t>
        </is>
      </c>
      <c r="B19" s="1" t="inlineStr">
        <is>
          <t>Kenny Jorge Perez Diaz</t>
        </is>
      </c>
      <c r="C19" s="1" t="inlineStr">
        <is>
          <t xml:space="preserve">Ministerio de la Mujer </t>
        </is>
      </c>
      <c r="D19" s="1" t="inlineStr">
        <is>
          <t>Entrevista de actores clave</t>
        </is>
      </c>
      <c r="E19" s="1" t="inlineStr">
        <is>
          <t>Funcionarios del Sistema</t>
        </is>
      </c>
      <c r="F19" s="1" t="inlineStr">
        <is>
          <t>Distrito Judicial: Ayacucho</t>
        </is>
      </c>
      <c r="G19" s="1" t="inlineStr">
        <is>
          <t>IJM</t>
        </is>
      </c>
      <c r="H19" s="1" t="inlineStr">
        <is>
          <t>Sí</t>
        </is>
      </c>
      <c r="I19" s="2" t="inlineStr">
        <is>
          <t xml:space="preserve"> 4/14/2026</t>
        </is>
      </c>
      <c r="J19" s="2" t="str"/>
      <c r="K19" s="2" t="str"/>
      <c r="L19" s="1" t="inlineStr">
        <is>
          <t>Sin respuesta</t>
        </is>
      </c>
      <c r="M19" s="2" t="str"/>
      <c r="N19" s="2" t="str"/>
      <c r="O19" s="1" t="inlineStr">
        <is>
          <t>Sin respuesta</t>
        </is>
      </c>
      <c r="P19" s="1" t="str"/>
      <c r="Q19" s="1" t="str"/>
      <c r="R19" s="1">
        <f>IF(H19="Sí",1,0)</f>
        <v/>
      </c>
      <c r="S19" s="1">
        <f>IF(L19="En coordinación",1,0)</f>
        <v/>
      </c>
      <c r="T19" s="1">
        <f>IF(L19="Aceptada",1,0)</f>
        <v/>
      </c>
      <c r="U19" s="1">
        <f>IF(OR(L19="Realizada completa",L19="Realizada incompleta"),1,0)</f>
        <v/>
      </c>
      <c r="V19" s="1">
        <f>IF(L19="Sin respuesta",1,0)</f>
        <v/>
      </c>
    </row>
    <row r="20">
      <c r="A20" s="1" t="inlineStr">
        <is>
          <t>19</t>
        </is>
      </c>
      <c r="B20" s="1" t="inlineStr">
        <is>
          <t>Laura Esther Agama Fernández</t>
        </is>
      </c>
      <c r="C20" s="1" t="inlineStr">
        <is>
          <t xml:space="preserve">Ministerio de la Mujer </t>
        </is>
      </c>
      <c r="D20" s="1" t="inlineStr">
        <is>
          <t>Entrevista de actores clave</t>
        </is>
      </c>
      <c r="E20" s="1" t="inlineStr">
        <is>
          <t>Funcionarios del Sistema</t>
        </is>
      </c>
      <c r="F20" s="1" t="inlineStr">
        <is>
          <t>Distrito Judicial: Ayacucho</t>
        </is>
      </c>
      <c r="G20" s="1" t="inlineStr">
        <is>
          <t>IJM</t>
        </is>
      </c>
      <c r="H20" s="1" t="inlineStr">
        <is>
          <t>Sí</t>
        </is>
      </c>
      <c r="I20" s="2" t="inlineStr">
        <is>
          <t xml:space="preserve">  5/5/2026</t>
        </is>
      </c>
      <c r="J20" s="2" t="str"/>
      <c r="K20" s="2" t="str"/>
      <c r="L20" s="1" t="inlineStr">
        <is>
          <t>Sin respuesta</t>
        </is>
      </c>
      <c r="M20" s="2" t="str"/>
      <c r="N20" s="2" t="str"/>
      <c r="O20" s="1" t="inlineStr">
        <is>
          <t>Sin respuesta</t>
        </is>
      </c>
      <c r="P20" s="1" t="str"/>
      <c r="Q20" s="1" t="str"/>
      <c r="R20" s="1">
        <f>IF(H20="Sí",1,0)</f>
        <v/>
      </c>
      <c r="S20" s="1">
        <f>IF(L20="En coordinación",1,0)</f>
        <v/>
      </c>
      <c r="T20" s="1">
        <f>IF(L20="Aceptada",1,0)</f>
        <v/>
      </c>
      <c r="U20" s="1">
        <f>IF(OR(L20="Realizada completa",L20="Realizada incompleta"),1,0)</f>
        <v/>
      </c>
      <c r="V20" s="1">
        <f>IF(L20="Sin respuesta",1,0)</f>
        <v/>
      </c>
    </row>
    <row r="21">
      <c r="A21" s="1" t="inlineStr">
        <is>
          <t>20</t>
        </is>
      </c>
      <c r="B21" s="1" t="inlineStr">
        <is>
          <t>Doris Godoy Cortez</t>
        </is>
      </c>
      <c r="C21" s="1" t="inlineStr">
        <is>
          <t>Psicólogos</t>
        </is>
      </c>
      <c r="D21" s="1" t="inlineStr">
        <is>
          <t>Entrevista de actores clave</t>
        </is>
      </c>
      <c r="E21" s="1" t="inlineStr">
        <is>
          <t>Acompañantes</t>
        </is>
      </c>
      <c r="F21" s="1" t="inlineStr">
        <is>
          <t>Distrito Judicial: Huánuco</t>
        </is>
      </c>
      <c r="G21" s="1" t="inlineStr">
        <is>
          <t>IJM</t>
        </is>
      </c>
      <c r="H21" s="1" t="inlineStr">
        <is>
          <t>Sí</t>
        </is>
      </c>
      <c r="I21" s="2" t="inlineStr">
        <is>
          <t xml:space="preserve"> 3/20/2026</t>
        </is>
      </c>
      <c r="J21" s="2" t="str"/>
      <c r="K21" s="2" t="str"/>
      <c r="L21" s="1" t="inlineStr">
        <is>
          <t>Realizada completa</t>
        </is>
      </c>
      <c r="M21" s="2" t="inlineStr">
        <is>
          <t>31-Mar</t>
        </is>
      </c>
      <c r="N21" s="2" t="inlineStr">
        <is>
          <t>31-Mar</t>
        </is>
      </c>
      <c r="O21" s="1" t="inlineStr">
        <is>
          <t>Realizada completa</t>
        </is>
      </c>
      <c r="P21" s="1" t="inlineStr">
        <is>
          <t>60</t>
        </is>
      </c>
      <c r="Q21" s="1" t="inlineStr">
        <is>
          <t>A distancia asistido</t>
        </is>
      </c>
      <c r="R21" s="1">
        <f>IF(H21="Sí",1,0)</f>
        <v/>
      </c>
      <c r="S21" s="1">
        <f>IF(L21="En coordinación",1,0)</f>
        <v/>
      </c>
      <c r="T21" s="1">
        <f>IF(L21="Aceptada",1,0)</f>
        <v/>
      </c>
      <c r="U21" s="1">
        <f>IF(OR(L21="Realizada completa",L21="Realizada incompleta"),1,0)</f>
        <v/>
      </c>
      <c r="V21" s="1">
        <f>IF(L21="Sin respuesta",1,0)</f>
        <v/>
      </c>
    </row>
    <row r="22">
      <c r="A22" s="1" t="inlineStr">
        <is>
          <t>21</t>
        </is>
      </c>
      <c r="B22" s="1" t="inlineStr">
        <is>
          <t>Rosa Peña</t>
        </is>
      </c>
      <c r="C22" s="1" t="inlineStr">
        <is>
          <t>ONG: Kids Alive</t>
        </is>
      </c>
      <c r="D22" s="1" t="inlineStr">
        <is>
          <t>Entrevista de actores clave</t>
        </is>
      </c>
      <c r="E22" s="1" t="inlineStr">
        <is>
          <t>Actores locales</t>
        </is>
      </c>
      <c r="F22" s="1" t="inlineStr">
        <is>
          <t>Distrito Judicial: Ucayali</t>
        </is>
      </c>
      <c r="G22" s="1" t="inlineStr">
        <is>
          <t>IJM</t>
        </is>
      </c>
      <c r="H22" s="1" t="inlineStr">
        <is>
          <t>Sí</t>
        </is>
      </c>
      <c r="I22" s="2" t="inlineStr">
        <is>
          <t xml:space="preserve"> 3/23/2026</t>
        </is>
      </c>
      <c r="J22" s="2" t="str"/>
      <c r="K22" s="2" t="str"/>
      <c r="L22" s="1" t="inlineStr">
        <is>
          <t>Realizada completa</t>
        </is>
      </c>
      <c r="M22" s="2" t="inlineStr">
        <is>
          <t>24-Mar</t>
        </is>
      </c>
      <c r="N22" s="2" t="inlineStr">
        <is>
          <t>24-Mar</t>
        </is>
      </c>
      <c r="O22" s="1" t="inlineStr">
        <is>
          <t>Realizada completa</t>
        </is>
      </c>
      <c r="P22" s="1" t="inlineStr">
        <is>
          <t>42</t>
        </is>
      </c>
      <c r="Q22" s="1" t="inlineStr">
        <is>
          <t>A distancia asistido</t>
        </is>
      </c>
      <c r="R22" s="1">
        <f>IF(H22="Sí",1,0)</f>
        <v/>
      </c>
      <c r="S22" s="1">
        <f>IF(L22="En coordinación",1,0)</f>
        <v/>
      </c>
      <c r="T22" s="1">
        <f>IF(L22="Aceptada",1,0)</f>
        <v/>
      </c>
      <c r="U22" s="1">
        <f>IF(OR(L22="Realizada completa",L22="Realizada incompleta"),1,0)</f>
        <v/>
      </c>
      <c r="V22" s="1">
        <f>IF(L22="Sin respuesta",1,0)</f>
        <v/>
      </c>
    </row>
    <row r="23">
      <c r="A23" s="1" t="inlineStr">
        <is>
          <t>22</t>
        </is>
      </c>
      <c r="B23" s="1" t="inlineStr">
        <is>
          <t>Angie Vargas</t>
        </is>
      </c>
      <c r="C23" s="1" t="inlineStr">
        <is>
          <t>ONG: Movimiento Manuela Ramos</t>
        </is>
      </c>
      <c r="D23" s="1" t="inlineStr">
        <is>
          <t>Entrevista de actores clave</t>
        </is>
      </c>
      <c r="E23" s="1" t="inlineStr">
        <is>
          <t>Actores locales</t>
        </is>
      </c>
      <c r="F23" s="1" t="inlineStr">
        <is>
          <t>Nacional</t>
        </is>
      </c>
      <c r="G23" s="1" t="inlineStr">
        <is>
          <t>IJM</t>
        </is>
      </c>
      <c r="H23" s="1" t="inlineStr">
        <is>
          <t>Sí</t>
        </is>
      </c>
      <c r="I23" s="2" t="inlineStr">
        <is>
          <t xml:space="preserve"> 3/23/2026</t>
        </is>
      </c>
      <c r="J23" s="2" t="inlineStr">
        <is>
          <t xml:space="preserve"> 3/24/2026</t>
        </is>
      </c>
      <c r="K23" s="2" t="str"/>
      <c r="L23" s="1" t="inlineStr">
        <is>
          <t>En coordinación</t>
        </is>
      </c>
      <c r="M23" s="2" t="str"/>
      <c r="N23" s="2" t="str"/>
      <c r="O23" s="1" t="inlineStr">
        <is>
          <t>En coordinación</t>
        </is>
      </c>
      <c r="P23" s="1" t="str"/>
      <c r="Q23" s="1" t="str"/>
      <c r="R23" s="1">
        <f>IF(H23="Sí",1,0)</f>
        <v/>
      </c>
      <c r="S23" s="1">
        <f>IF(L23="En coordinación",1,0)</f>
        <v/>
      </c>
      <c r="T23" s="1">
        <f>IF(L23="Aceptada",1,0)</f>
        <v/>
      </c>
      <c r="U23" s="1">
        <f>IF(OR(L23="Realizada completa",L23="Realizada incompleta"),1,0)</f>
        <v/>
      </c>
      <c r="V23" s="1">
        <f>IF(L23="Sin respuesta",1,0)</f>
        <v/>
      </c>
    </row>
    <row r="24">
      <c r="A24" s="1" t="inlineStr">
        <is>
          <t>23</t>
        </is>
      </c>
      <c r="B24" s="1" t="inlineStr">
        <is>
          <t>Jharith Mogollón Villafuerte</t>
        </is>
      </c>
      <c r="C24" s="1" t="inlineStr">
        <is>
          <t>Asociación Pro Derechos Humanos (APRODEH)</t>
        </is>
      </c>
      <c r="D24" s="1" t="inlineStr">
        <is>
          <t>Entrevista de actores clave</t>
        </is>
      </c>
      <c r="E24" s="1" t="inlineStr">
        <is>
          <t>Acompañantes</t>
        </is>
      </c>
      <c r="F24" s="1" t="inlineStr">
        <is>
          <t>Distrito Judicial: Apurímac</t>
        </is>
      </c>
      <c r="G24" s="1" t="inlineStr">
        <is>
          <t>IJM</t>
        </is>
      </c>
      <c r="H24" s="1" t="inlineStr">
        <is>
          <t>Sí</t>
        </is>
      </c>
      <c r="I24" s="2" t="inlineStr">
        <is>
          <t xml:space="preserve"> 3/23/2026</t>
        </is>
      </c>
      <c r="J24" s="2" t="inlineStr">
        <is>
          <t xml:space="preserve">  5/5/2026</t>
        </is>
      </c>
      <c r="K24" s="2" t="str"/>
      <c r="L24" s="1" t="inlineStr">
        <is>
          <t>Sin respuesta</t>
        </is>
      </c>
      <c r="M24" s="2" t="str"/>
      <c r="N24" s="2" t="str"/>
      <c r="O24" s="1" t="inlineStr">
        <is>
          <t>Sin respuesta</t>
        </is>
      </c>
      <c r="P24" s="1" t="str"/>
      <c r="Q24" s="1" t="str"/>
      <c r="R24" s="1">
        <f>IF(H24="Sí",1,0)</f>
        <v/>
      </c>
      <c r="S24" s="1">
        <f>IF(L24="En coordinación",1,0)</f>
        <v/>
      </c>
      <c r="T24" s="1">
        <f>IF(L24="Aceptada",1,0)</f>
        <v/>
      </c>
      <c r="U24" s="1">
        <f>IF(OR(L24="Realizada completa",L24="Realizada incompleta"),1,0)</f>
        <v/>
      </c>
      <c r="V24" s="1">
        <f>IF(L24="Sin respuesta",1,0)</f>
        <v/>
      </c>
    </row>
    <row r="25">
      <c r="A25" s="1" t="inlineStr">
        <is>
          <t>24</t>
        </is>
      </c>
      <c r="B25" s="1" t="inlineStr">
        <is>
          <t>Rossina Guerrero</t>
        </is>
      </c>
      <c r="C25" s="1" t="inlineStr">
        <is>
          <t>Promoción y Defensa de los Derechos Sexuales y Reproductivos (PROMSEX)</t>
        </is>
      </c>
      <c r="D25" s="1" t="inlineStr">
        <is>
          <t>Entrevista de actores clave</t>
        </is>
      </c>
      <c r="E25" s="1" t="inlineStr">
        <is>
          <t>Actores locales</t>
        </is>
      </c>
      <c r="F25" s="1" t="inlineStr">
        <is>
          <t>Nacional</t>
        </is>
      </c>
      <c r="G25" s="1" t="inlineStr">
        <is>
          <t>IJM</t>
        </is>
      </c>
      <c r="H25" s="1" t="inlineStr">
        <is>
          <t>Sí</t>
        </is>
      </c>
      <c r="I25" s="2" t="inlineStr">
        <is>
          <t xml:space="preserve"> 3/23/2026</t>
        </is>
      </c>
      <c r="J25" s="2" t="str"/>
      <c r="K25" s="2" t="str"/>
      <c r="L25" s="1" t="inlineStr">
        <is>
          <t>Sin respuesta</t>
        </is>
      </c>
      <c r="M25" s="2" t="str"/>
      <c r="N25" s="2" t="str"/>
      <c r="O25" s="1" t="inlineStr">
        <is>
          <t>Sin respuesta</t>
        </is>
      </c>
      <c r="P25" s="1" t="str"/>
      <c r="Q25" s="1" t="str"/>
      <c r="R25" s="1">
        <f>IF(H25="Sí",1,0)</f>
        <v/>
      </c>
      <c r="S25" s="1">
        <f>IF(L25="En coordinación",1,0)</f>
        <v/>
      </c>
      <c r="T25" s="1">
        <f>IF(L25="Aceptada",1,0)</f>
        <v/>
      </c>
      <c r="U25" s="1">
        <f>IF(OR(L25="Realizada completa",L25="Realizada incompleta"),1,0)</f>
        <v/>
      </c>
      <c r="V25" s="1">
        <f>IF(L25="Sin respuesta",1,0)</f>
        <v/>
      </c>
    </row>
    <row r="26">
      <c r="A26" s="1" t="inlineStr">
        <is>
          <t>25</t>
        </is>
      </c>
      <c r="B26" s="1" t="inlineStr">
        <is>
          <t>Augusto Altamirano Vega</t>
        </is>
      </c>
      <c r="C26" s="1" t="inlineStr">
        <is>
          <t>Centros de Acogida Residencial</t>
        </is>
      </c>
      <c r="D26" s="1" t="inlineStr">
        <is>
          <t>Entrevista de actores clave</t>
        </is>
      </c>
      <c r="E26" s="1" t="inlineStr">
        <is>
          <t>Funcionarios del Sistema</t>
        </is>
      </c>
      <c r="F26" s="1" t="inlineStr">
        <is>
          <t>Distrito Judicial: Apurímac</t>
        </is>
      </c>
      <c r="G26" s="1" t="inlineStr">
        <is>
          <t>IJM</t>
        </is>
      </c>
      <c r="H26" s="1" t="inlineStr">
        <is>
          <t>Sí</t>
        </is>
      </c>
      <c r="I26" s="2" t="inlineStr">
        <is>
          <t xml:space="preserve"> 3/23/2026</t>
        </is>
      </c>
      <c r="J26" s="2" t="inlineStr">
        <is>
          <t xml:space="preserve">  5/5/2026</t>
        </is>
      </c>
      <c r="K26" s="2" t="inlineStr">
        <is>
          <t xml:space="preserve"> 5/22/2026</t>
        </is>
      </c>
      <c r="L26" s="1" t="inlineStr">
        <is>
          <t>Realizada completa</t>
        </is>
      </c>
      <c r="M26" s="2" t="inlineStr">
        <is>
          <t>21-Jul</t>
        </is>
      </c>
      <c r="N26" s="2" t="inlineStr">
        <is>
          <t>21-Jul</t>
        </is>
      </c>
      <c r="O26" s="1" t="inlineStr">
        <is>
          <t>Realizada completa</t>
        </is>
      </c>
      <c r="P26" s="1" t="inlineStr">
        <is>
          <t>29</t>
        </is>
      </c>
      <c r="Q26" s="1" t="inlineStr">
        <is>
          <t>A distancia asistido</t>
        </is>
      </c>
      <c r="R26" s="1">
        <f>IF(H26="Sí",1,0)</f>
        <v/>
      </c>
      <c r="S26" s="1">
        <f>IF(L26="En coordinación",1,0)</f>
        <v/>
      </c>
      <c r="T26" s="1">
        <f>IF(L26="Aceptada",1,0)</f>
        <v/>
      </c>
      <c r="U26" s="1">
        <f>IF(OR(L26="Realizada completa",L26="Realizada incompleta"),1,0)</f>
        <v/>
      </c>
      <c r="V26" s="1">
        <f>IF(L26="Sin respuesta",1,0)</f>
        <v/>
      </c>
    </row>
    <row r="27">
      <c r="A27" s="1" t="inlineStr">
        <is>
          <t>26</t>
        </is>
      </c>
      <c r="B27" s="1" t="inlineStr">
        <is>
          <t>María Luci Malpartida Galán</t>
        </is>
      </c>
      <c r="C27" s="1" t="inlineStr">
        <is>
          <t>Centros de Acogida Residencial</t>
        </is>
      </c>
      <c r="D27" s="1" t="inlineStr">
        <is>
          <t>Entrevista de actores clave</t>
        </is>
      </c>
      <c r="E27" s="1" t="inlineStr">
        <is>
          <t>Funcionarios del Sistema</t>
        </is>
      </c>
      <c r="F27" s="1" t="inlineStr">
        <is>
          <t>Nacional</t>
        </is>
      </c>
      <c r="G27" s="1" t="inlineStr">
        <is>
          <t>IJM</t>
        </is>
      </c>
      <c r="H27" s="1" t="inlineStr">
        <is>
          <t>Sí</t>
        </is>
      </c>
      <c r="I27" s="2" t="inlineStr">
        <is>
          <t xml:space="preserve">  5/5/2026</t>
        </is>
      </c>
      <c r="J27" s="2" t="str"/>
      <c r="K27" s="2" t="str"/>
      <c r="L27" s="1" t="inlineStr">
        <is>
          <t>Sin respuesta</t>
        </is>
      </c>
      <c r="M27" s="2" t="str"/>
      <c r="N27" s="2" t="str"/>
      <c r="O27" s="1" t="inlineStr">
        <is>
          <t>Sin respuesta</t>
        </is>
      </c>
      <c r="P27" s="1" t="str"/>
      <c r="Q27" s="1" t="str"/>
      <c r="R27" s="1">
        <f>IF(H27="Sí",1,0)</f>
        <v/>
      </c>
      <c r="S27" s="1">
        <f>IF(L27="En coordinación",1,0)</f>
        <v/>
      </c>
      <c r="T27" s="1">
        <f>IF(L27="Aceptada",1,0)</f>
        <v/>
      </c>
      <c r="U27" s="1">
        <f>IF(OR(L27="Realizada completa",L27="Realizada incompleta"),1,0)</f>
        <v/>
      </c>
      <c r="V27" s="1">
        <f>IF(L27="Sin respuesta",1,0)</f>
        <v/>
      </c>
    </row>
    <row r="28">
      <c r="A28" s="1" t="inlineStr">
        <is>
          <t>27</t>
        </is>
      </c>
      <c r="B28" s="1" t="inlineStr">
        <is>
          <t>Rosa Viviana Ciriaco Marcatinco</t>
        </is>
      </c>
      <c r="C28" s="1" t="inlineStr">
        <is>
          <t>Centros de Acogida Residencial</t>
        </is>
      </c>
      <c r="D28" s="1" t="inlineStr">
        <is>
          <t>Entrevista de actores clave</t>
        </is>
      </c>
      <c r="E28" s="1" t="inlineStr">
        <is>
          <t>Funcionarios del Sistema</t>
        </is>
      </c>
      <c r="F28" s="1" t="inlineStr">
        <is>
          <t>Distrito Judicial: Ayacucho</t>
        </is>
      </c>
      <c r="G28" s="1" t="inlineStr">
        <is>
          <t>IJM</t>
        </is>
      </c>
      <c r="H28" s="1" t="inlineStr">
        <is>
          <t>Sí</t>
        </is>
      </c>
      <c r="I28" s="2" t="inlineStr">
        <is>
          <t xml:space="preserve">  5/5/2026</t>
        </is>
      </c>
      <c r="J28" s="2" t="str"/>
      <c r="K28" s="2" t="str"/>
      <c r="L28" s="1" t="inlineStr">
        <is>
          <t>Realizada completa</t>
        </is>
      </c>
      <c r="M28" s="2" t="inlineStr">
        <is>
          <t>25-May</t>
        </is>
      </c>
      <c r="N28" s="2" t="inlineStr">
        <is>
          <t>25-May</t>
        </is>
      </c>
      <c r="O28" s="1" t="inlineStr">
        <is>
          <t>Realizada completa</t>
        </is>
      </c>
      <c r="P28" s="1" t="inlineStr">
        <is>
          <t>52</t>
        </is>
      </c>
      <c r="Q28" s="1" t="inlineStr">
        <is>
          <t>A distancia asistido</t>
        </is>
      </c>
      <c r="R28" s="1">
        <f>IF(H28="Sí",1,0)</f>
        <v/>
      </c>
      <c r="S28" s="1">
        <f>IF(L28="En coordinación",1,0)</f>
        <v/>
      </c>
      <c r="T28" s="1">
        <f>IF(L28="Aceptada",1,0)</f>
        <v/>
      </c>
      <c r="U28" s="1">
        <f>IF(OR(L28="Realizada completa",L28="Realizada incompleta"),1,0)</f>
        <v/>
      </c>
      <c r="V28" s="1">
        <f>IF(L28="Sin respuesta",1,0)</f>
        <v/>
      </c>
    </row>
    <row r="29">
      <c r="A29" s="1" t="inlineStr">
        <is>
          <t>28</t>
        </is>
      </c>
      <c r="B29" s="1" t="inlineStr">
        <is>
          <t>Karen De Los Milagros Ucañan Cachy</t>
        </is>
      </c>
      <c r="C29" s="1" t="inlineStr">
        <is>
          <t>Centros de Acogida Residencial</t>
        </is>
      </c>
      <c r="D29" s="1" t="inlineStr">
        <is>
          <t>Entrevista de actores clave</t>
        </is>
      </c>
      <c r="E29" s="1" t="inlineStr">
        <is>
          <t>Funcionarios del Sistema</t>
        </is>
      </c>
      <c r="F29" s="1" t="inlineStr">
        <is>
          <t>Distrito Judicial: Huánuco</t>
        </is>
      </c>
      <c r="G29" s="1" t="inlineStr">
        <is>
          <t>IJM</t>
        </is>
      </c>
      <c r="H29" s="1" t="inlineStr">
        <is>
          <t>Sí</t>
        </is>
      </c>
      <c r="I29" s="2" t="inlineStr">
        <is>
          <t xml:space="preserve">  5/5/2026</t>
        </is>
      </c>
      <c r="J29" s="2" t="str"/>
      <c r="K29" s="2" t="str"/>
      <c r="L29" s="1" t="inlineStr">
        <is>
          <t>Sin respuesta</t>
        </is>
      </c>
      <c r="M29" s="2" t="str"/>
      <c r="N29" s="2" t="str"/>
      <c r="O29" s="1" t="inlineStr">
        <is>
          <t>Sin respuesta</t>
        </is>
      </c>
      <c r="P29" s="1" t="str"/>
      <c r="Q29" s="1" t="str"/>
      <c r="R29" s="1">
        <f>IF(H29="Sí",1,0)</f>
        <v/>
      </c>
      <c r="S29" s="1">
        <f>IF(L29="En coordinación",1,0)</f>
        <v/>
      </c>
      <c r="T29" s="1">
        <f>IF(L29="Aceptada",1,0)</f>
        <v/>
      </c>
      <c r="U29" s="1">
        <f>IF(OR(L29="Realizada completa",L29="Realizada incompleta"),1,0)</f>
        <v/>
      </c>
      <c r="V29" s="1">
        <f>IF(L29="Sin respuesta",1,0)</f>
        <v/>
      </c>
    </row>
    <row r="30">
      <c r="A30" s="1" t="inlineStr">
        <is>
          <t>29</t>
        </is>
      </c>
      <c r="B30" s="1" t="inlineStr">
        <is>
          <t>Israel Mendez Miguel</t>
        </is>
      </c>
      <c r="C30" s="1" t="inlineStr">
        <is>
          <t>Centros de Acogida Residencial</t>
        </is>
      </c>
      <c r="D30" s="1" t="inlineStr">
        <is>
          <t>Entrevista de actores clave</t>
        </is>
      </c>
      <c r="E30" s="1" t="inlineStr">
        <is>
          <t>Funcionarios del Sistema</t>
        </is>
      </c>
      <c r="F30" s="1" t="inlineStr">
        <is>
          <t>Nacional</t>
        </is>
      </c>
      <c r="G30" s="1" t="inlineStr">
        <is>
          <t>IJM</t>
        </is>
      </c>
      <c r="H30" s="1" t="inlineStr">
        <is>
          <t>Sí</t>
        </is>
      </c>
      <c r="I30" s="2" t="inlineStr">
        <is>
          <t xml:space="preserve">  5/5/2026</t>
        </is>
      </c>
      <c r="J30" s="2" t="str"/>
      <c r="K30" s="2" t="str"/>
      <c r="L30" s="1" t="inlineStr">
        <is>
          <t>Rechazada</t>
        </is>
      </c>
      <c r="M30" s="2" t="str"/>
      <c r="N30" s="2" t="str"/>
      <c r="O30" s="1" t="inlineStr">
        <is>
          <t>Rechazada</t>
        </is>
      </c>
      <c r="P30" s="1" t="str"/>
      <c r="Q30" s="1" t="str"/>
      <c r="R30" s="1">
        <f>IF(H30="Sí",1,0)</f>
        <v/>
      </c>
      <c r="S30" s="1">
        <f>IF(L30="En coordinación",1,0)</f>
        <v/>
      </c>
      <c r="T30" s="1">
        <f>IF(L30="Aceptada",1,0)</f>
        <v/>
      </c>
      <c r="U30" s="1">
        <f>IF(OR(L30="Realizada completa",L30="Realizada incompleta"),1,0)</f>
        <v/>
      </c>
      <c r="V30" s="1">
        <f>IF(L30="Sin respuesta",1,0)</f>
        <v/>
      </c>
    </row>
    <row r="31">
      <c r="A31" s="1" t="inlineStr">
        <is>
          <t>30</t>
        </is>
      </c>
      <c r="B31" s="1" t="inlineStr">
        <is>
          <t>María Barbara Venemans De Wilde</t>
        </is>
      </c>
      <c r="C31" s="1" t="inlineStr">
        <is>
          <t>Centros de Acogida Residencial</t>
        </is>
      </c>
      <c r="D31" s="1" t="inlineStr">
        <is>
          <t>Entrevista de actores clave</t>
        </is>
      </c>
      <c r="E31" s="1" t="inlineStr">
        <is>
          <t>Funcionarios del Sistema</t>
        </is>
      </c>
      <c r="F31" s="1" t="inlineStr">
        <is>
          <t>Nacional</t>
        </is>
      </c>
      <c r="G31" s="1" t="inlineStr">
        <is>
          <t>IJM</t>
        </is>
      </c>
      <c r="H31" s="1" t="inlineStr">
        <is>
          <t>Sí</t>
        </is>
      </c>
      <c r="I31" s="2" t="inlineStr">
        <is>
          <t xml:space="preserve">  5/5/2026</t>
        </is>
      </c>
      <c r="J31" s="2" t="str"/>
      <c r="K31" s="2" t="str"/>
      <c r="L31" s="1" t="inlineStr">
        <is>
          <t>Sin respuesta</t>
        </is>
      </c>
      <c r="M31" s="2" t="str"/>
      <c r="N31" s="2" t="str"/>
      <c r="O31" s="1" t="inlineStr">
        <is>
          <t>Sin respuesta</t>
        </is>
      </c>
      <c r="P31" s="1" t="str"/>
      <c r="Q31" s="1" t="str"/>
      <c r="R31" s="1">
        <f>IF(H31="Sí",1,0)</f>
        <v/>
      </c>
      <c r="S31" s="1">
        <f>IF(L31="En coordinación",1,0)</f>
        <v/>
      </c>
      <c r="T31" s="1">
        <f>IF(L31="Aceptada",1,0)</f>
        <v/>
      </c>
      <c r="U31" s="1">
        <f>IF(OR(L31="Realizada completa",L31="Realizada incompleta"),1,0)</f>
        <v/>
      </c>
      <c r="V31" s="1">
        <f>IF(L31="Sin respuesta",1,0)</f>
        <v/>
      </c>
    </row>
    <row r="32">
      <c r="A32" s="1" t="inlineStr">
        <is>
          <t>31</t>
        </is>
      </c>
      <c r="B32" s="1" t="inlineStr">
        <is>
          <t>Martha Fernandez Albornett</t>
        </is>
      </c>
      <c r="C32" s="1" t="inlineStr">
        <is>
          <t>Asociación Protección Población Vulnerable</t>
        </is>
      </c>
      <c r="D32" s="1" t="inlineStr">
        <is>
          <t>Entrevista de actores clave</t>
        </is>
      </c>
      <c r="E32" s="1" t="inlineStr">
        <is>
          <t>Actores locales</t>
        </is>
      </c>
      <c r="F32" s="1" t="inlineStr">
        <is>
          <t>Nacional</t>
        </is>
      </c>
      <c r="G32" s="1" t="inlineStr">
        <is>
          <t>IJM</t>
        </is>
      </c>
      <c r="H32" s="1" t="inlineStr">
        <is>
          <t>Sí</t>
        </is>
      </c>
      <c r="I32" s="2" t="inlineStr">
        <is>
          <t xml:space="preserve">  5/5/2026</t>
        </is>
      </c>
      <c r="J32" s="2" t="str"/>
      <c r="K32" s="2" t="str"/>
      <c r="L32" s="1" t="inlineStr">
        <is>
          <t>Sin respuesta</t>
        </is>
      </c>
      <c r="M32" s="2" t="str"/>
      <c r="N32" s="2" t="str"/>
      <c r="O32" s="1" t="inlineStr">
        <is>
          <t>Sin respuesta</t>
        </is>
      </c>
      <c r="P32" s="1" t="str"/>
      <c r="Q32" s="1" t="str"/>
      <c r="R32" s="1">
        <f>IF(H32="Sí",1,0)</f>
        <v/>
      </c>
      <c r="S32" s="1">
        <f>IF(L32="En coordinación",1,0)</f>
        <v/>
      </c>
      <c r="T32" s="1">
        <f>IF(L32="Aceptada",1,0)</f>
        <v/>
      </c>
      <c r="U32" s="1">
        <f>IF(OR(L32="Realizada completa",L32="Realizada incompleta"),1,0)</f>
        <v/>
      </c>
      <c r="V32" s="1">
        <f>IF(L32="Sin respuesta",1,0)</f>
        <v/>
      </c>
    </row>
    <row r="33">
      <c r="A33" s="1" t="inlineStr">
        <is>
          <t>32</t>
        </is>
      </c>
      <c r="B33" s="1" t="inlineStr">
        <is>
          <t>Rocío Roncal Rojas</t>
        </is>
      </c>
      <c r="C33" s="1" t="inlineStr">
        <is>
          <t>Asociación Kallpa</t>
        </is>
      </c>
      <c r="D33" s="1" t="inlineStr">
        <is>
          <t>Entrevista de actores clave</t>
        </is>
      </c>
      <c r="E33" s="1" t="inlineStr">
        <is>
          <t>Actores locales</t>
        </is>
      </c>
      <c r="F33" s="1" t="inlineStr">
        <is>
          <t>Nacional</t>
        </is>
      </c>
      <c r="G33" s="1" t="inlineStr">
        <is>
          <t>IJM</t>
        </is>
      </c>
      <c r="H33" s="1" t="inlineStr">
        <is>
          <t>Sí</t>
        </is>
      </c>
      <c r="I33" s="2" t="inlineStr">
        <is>
          <t xml:space="preserve">  5/5/2026</t>
        </is>
      </c>
      <c r="J33" s="2" t="inlineStr">
        <is>
          <t xml:space="preserve"> 5/20/2026</t>
        </is>
      </c>
      <c r="K33" s="2" t="str"/>
      <c r="L33" s="1" t="inlineStr">
        <is>
          <t>Sin respuesta</t>
        </is>
      </c>
      <c r="M33" s="2" t="str"/>
      <c r="N33" s="2" t="str"/>
      <c r="O33" s="1" t="inlineStr">
        <is>
          <t>Sin respuesta</t>
        </is>
      </c>
      <c r="P33" s="1" t="str"/>
      <c r="Q33" s="1" t="str"/>
      <c r="R33" s="1">
        <f>IF(H33="Sí",1,0)</f>
        <v/>
      </c>
      <c r="S33" s="1">
        <f>IF(L33="En coordinación",1,0)</f>
        <v/>
      </c>
      <c r="T33" s="1">
        <f>IF(L33="Aceptada",1,0)</f>
        <v/>
      </c>
      <c r="U33" s="1">
        <f>IF(OR(L33="Realizada completa",L33="Realizada incompleta"),1,0)</f>
        <v/>
      </c>
      <c r="V33" s="1">
        <f>IF(L33="Sin respuesta",1,0)</f>
        <v/>
      </c>
    </row>
    <row r="34">
      <c r="A34" s="1" t="inlineStr">
        <is>
          <t>33</t>
        </is>
      </c>
      <c r="B34" s="1" t="inlineStr">
        <is>
          <t>Pascual Benjamín Rivera Montoya</t>
        </is>
      </c>
      <c r="C34" s="1" t="inlineStr">
        <is>
          <t>Centro de Protección del Menor</t>
        </is>
      </c>
      <c r="D34" s="1" t="inlineStr">
        <is>
          <t>Entrevista de actores clave</t>
        </is>
      </c>
      <c r="E34" s="1" t="inlineStr">
        <is>
          <t>Acompañantes</t>
        </is>
      </c>
      <c r="F34" s="1" t="inlineStr">
        <is>
          <t>Distrito Judicial: Apurímac</t>
        </is>
      </c>
      <c r="G34" s="1" t="inlineStr">
        <is>
          <t>IJM</t>
        </is>
      </c>
      <c r="H34" s="1" t="inlineStr">
        <is>
          <t>Sí</t>
        </is>
      </c>
      <c r="I34" s="2" t="inlineStr">
        <is>
          <t xml:space="preserve">  5/5/2026</t>
        </is>
      </c>
      <c r="J34" s="2" t="str"/>
      <c r="K34" s="2" t="str"/>
      <c r="L34" s="1" t="inlineStr">
        <is>
          <t>Sin respuesta</t>
        </is>
      </c>
      <c r="M34" s="2" t="str"/>
      <c r="N34" s="2" t="str"/>
      <c r="O34" s="1" t="inlineStr">
        <is>
          <t>Sin respuesta</t>
        </is>
      </c>
      <c r="P34" s="1" t="str"/>
      <c r="Q34" s="1" t="str"/>
      <c r="R34" s="1">
        <f>IF(H34="Sí",1,0)</f>
        <v/>
      </c>
      <c r="S34" s="1">
        <f>IF(L34="En coordinación",1,0)</f>
        <v/>
      </c>
      <c r="T34" s="1">
        <f>IF(L34="Aceptada",1,0)</f>
        <v/>
      </c>
      <c r="U34" s="1">
        <f>IF(OR(L34="Realizada completa",L34="Realizada incompleta"),1,0)</f>
        <v/>
      </c>
      <c r="V34" s="1">
        <f>IF(L34="Sin respuesta",1,0)</f>
        <v/>
      </c>
    </row>
    <row r="35">
      <c r="A35" s="1" t="inlineStr">
        <is>
          <t>34</t>
        </is>
      </c>
      <c r="B35" s="1" t="inlineStr">
        <is>
          <t>Coronel Ernesto Peña</t>
        </is>
      </c>
      <c r="C35" s="1" t="inlineStr">
        <is>
          <t>Jueces de Paz</t>
        </is>
      </c>
      <c r="D35" s="1" t="inlineStr">
        <is>
          <t>Entrevista de actores clave</t>
        </is>
      </c>
      <c r="E35" s="1" t="inlineStr">
        <is>
          <t>Funcionarios del Sistema</t>
        </is>
      </c>
      <c r="F35" s="1" t="inlineStr">
        <is>
          <t>Nacional</t>
        </is>
      </c>
      <c r="G35" s="1" t="inlineStr">
        <is>
          <t>IJM</t>
        </is>
      </c>
      <c r="H35" s="1" t="inlineStr">
        <is>
          <t>Sí</t>
        </is>
      </c>
      <c r="I35" s="2" t="inlineStr">
        <is>
          <t xml:space="preserve"> 3/23/2026</t>
        </is>
      </c>
      <c r="J35" s="2" t="inlineStr">
        <is>
          <t xml:space="preserve">  5/5/2026</t>
        </is>
      </c>
      <c r="K35" s="2" t="str"/>
      <c r="L35" s="1" t="inlineStr">
        <is>
          <t>Sin respuesta</t>
        </is>
      </c>
      <c r="M35" s="2" t="str"/>
      <c r="N35" s="2" t="str"/>
      <c r="O35" s="1" t="inlineStr">
        <is>
          <t>Sin respuesta</t>
        </is>
      </c>
      <c r="P35" s="1" t="str"/>
      <c r="Q35" s="1" t="str"/>
      <c r="R35" s="1">
        <f>IF(H35="Sí",1,0)</f>
        <v/>
      </c>
      <c r="S35" s="1">
        <f>IF(L35="En coordinación",1,0)</f>
        <v/>
      </c>
      <c r="T35" s="1">
        <f>IF(L35="Aceptada",1,0)</f>
        <v/>
      </c>
      <c r="U35" s="1">
        <f>IF(OR(L35="Realizada completa",L35="Realizada incompleta"),1,0)</f>
        <v/>
      </c>
      <c r="V35" s="1">
        <f>IF(L35="Sin respuesta",1,0)</f>
        <v/>
      </c>
    </row>
    <row r="36">
      <c r="A36" s="1" t="inlineStr">
        <is>
          <t>35</t>
        </is>
      </c>
      <c r="B36" s="1" t="inlineStr">
        <is>
          <t>Fátima Joyo Zaga</t>
        </is>
      </c>
      <c r="C36" s="1" t="inlineStr">
        <is>
          <t>Jueces de Paz</t>
        </is>
      </c>
      <c r="D36" s="1" t="inlineStr">
        <is>
          <t>Entrevista de actores clave</t>
        </is>
      </c>
      <c r="E36" s="1" t="inlineStr">
        <is>
          <t>Funcionarios del Sistema</t>
        </is>
      </c>
      <c r="F36" s="1" t="inlineStr">
        <is>
          <t>Distrito Judicial: Cajamarca</t>
        </is>
      </c>
      <c r="G36" s="1" t="inlineStr">
        <is>
          <t>IJM</t>
        </is>
      </c>
      <c r="H36" s="1" t="inlineStr">
        <is>
          <t>Sí</t>
        </is>
      </c>
      <c r="I36" s="2" t="inlineStr">
        <is>
          <t xml:space="preserve">  5/5/2026</t>
        </is>
      </c>
      <c r="J36" s="2" t="str"/>
      <c r="K36" s="2" t="str"/>
      <c r="L36" s="1" t="inlineStr">
        <is>
          <t>Rechazada</t>
        </is>
      </c>
      <c r="M36" s="2" t="str"/>
      <c r="N36" s="2" t="str"/>
      <c r="O36" s="1" t="inlineStr">
        <is>
          <t>Rechazada</t>
        </is>
      </c>
      <c r="P36" s="1" t="str"/>
      <c r="Q36" s="1" t="str"/>
      <c r="R36" s="1">
        <f>IF(H36="Sí",1,0)</f>
        <v/>
      </c>
      <c r="S36" s="1">
        <f>IF(L36="En coordinación",1,0)</f>
        <v/>
      </c>
      <c r="T36" s="1">
        <f>IF(L36="Aceptada",1,0)</f>
        <v/>
      </c>
      <c r="U36" s="1">
        <f>IF(OR(L36="Realizada completa",L36="Realizada incompleta"),1,0)</f>
        <v/>
      </c>
      <c r="V36" s="1">
        <f>IF(L36="Sin respuesta",1,0)</f>
        <v/>
      </c>
    </row>
    <row r="37">
      <c r="A37" s="1" t="inlineStr">
        <is>
          <t>36</t>
        </is>
      </c>
      <c r="B37" s="1" t="inlineStr">
        <is>
          <t>Epifania Chagua Timoteo</t>
        </is>
      </c>
      <c r="C37" s="1" t="inlineStr">
        <is>
          <t>Jueces de Paz</t>
        </is>
      </c>
      <c r="D37" s="1" t="inlineStr">
        <is>
          <t>Entrevista de actores clave</t>
        </is>
      </c>
      <c r="E37" s="1" t="inlineStr">
        <is>
          <t>Funcionarios del Sistema</t>
        </is>
      </c>
      <c r="F37" s="1" t="inlineStr">
        <is>
          <t>Distrito Judicial: Apurímac</t>
        </is>
      </c>
      <c r="G37" s="1" t="inlineStr">
        <is>
          <t>IJM</t>
        </is>
      </c>
      <c r="H37" s="1" t="inlineStr">
        <is>
          <t>Sí</t>
        </is>
      </c>
      <c r="I37" s="2" t="inlineStr">
        <is>
          <t xml:space="preserve">  5/5/2026</t>
        </is>
      </c>
      <c r="J37" s="2" t="inlineStr">
        <is>
          <t xml:space="preserve">  5/6/2026</t>
        </is>
      </c>
      <c r="K37" s="2" t="str"/>
      <c r="L37" s="1" t="inlineStr">
        <is>
          <t>En coordinación</t>
        </is>
      </c>
      <c r="M37" s="2" t="str"/>
      <c r="N37" s="2" t="str"/>
      <c r="O37" s="1" t="inlineStr">
        <is>
          <t>En coordinación</t>
        </is>
      </c>
      <c r="P37" s="1" t="str"/>
      <c r="Q37" s="1" t="str"/>
      <c r="R37" s="1">
        <f>IF(H37="Sí",1,0)</f>
        <v/>
      </c>
      <c r="S37" s="1">
        <f>IF(L37="En coordinación",1,0)</f>
        <v/>
      </c>
      <c r="T37" s="1">
        <f>IF(L37="Aceptada",1,0)</f>
        <v/>
      </c>
      <c r="U37" s="1">
        <f>IF(OR(L37="Realizada completa",L37="Realizada incompleta"),1,0)</f>
        <v/>
      </c>
      <c r="V37" s="1">
        <f>IF(L37="Sin respuesta",1,0)</f>
        <v/>
      </c>
    </row>
    <row r="38">
      <c r="A38" s="1" t="inlineStr">
        <is>
          <t>37</t>
        </is>
      </c>
      <c r="B38" s="1" t="inlineStr">
        <is>
          <t>Banesa Farfan Saravia</t>
        </is>
      </c>
      <c r="C38" s="1" t="inlineStr">
        <is>
          <t>Asociación Sin Fines de Lucro Ñañaykuna</t>
        </is>
      </c>
      <c r="D38" s="1" t="inlineStr">
        <is>
          <t>Entrevista de actores clave</t>
        </is>
      </c>
      <c r="E38" s="1" t="inlineStr">
        <is>
          <t>Actores locales</t>
        </is>
      </c>
      <c r="F38" s="1" t="inlineStr">
        <is>
          <t>Nacional</t>
        </is>
      </c>
      <c r="G38" s="1" t="inlineStr">
        <is>
          <t>APOYO</t>
        </is>
      </c>
      <c r="H38" s="1" t="inlineStr">
        <is>
          <t>Sí</t>
        </is>
      </c>
      <c r="I38" s="2" t="inlineStr">
        <is>
          <t xml:space="preserve"> 3/24/2026</t>
        </is>
      </c>
      <c r="J38" s="2" t="str"/>
      <c r="K38" s="2" t="str"/>
      <c r="L38" s="1" t="inlineStr">
        <is>
          <t>Realizada completa</t>
        </is>
      </c>
      <c r="M38" s="2" t="inlineStr">
        <is>
          <t>31-Mar</t>
        </is>
      </c>
      <c r="N38" s="2" t="inlineStr">
        <is>
          <t>31-Mar</t>
        </is>
      </c>
      <c r="O38" s="1" t="inlineStr">
        <is>
          <t>Realizada completa</t>
        </is>
      </c>
      <c r="P38" s="1" t="inlineStr">
        <is>
          <t>55</t>
        </is>
      </c>
      <c r="Q38" s="1" t="inlineStr">
        <is>
          <t>A distancia asistido</t>
        </is>
      </c>
      <c r="R38" s="1">
        <f>IF(H38="Sí",1,0)</f>
        <v/>
      </c>
      <c r="S38" s="1">
        <f>IF(L38="En coordinación",1,0)</f>
        <v/>
      </c>
      <c r="T38" s="1">
        <f>IF(L38="Aceptada",1,0)</f>
        <v/>
      </c>
      <c r="U38" s="1">
        <f>IF(OR(L38="Realizada completa",L38="Realizada incompleta"),1,0)</f>
        <v/>
      </c>
      <c r="V38" s="1">
        <f>IF(L38="Sin respuesta",1,0)</f>
        <v/>
      </c>
    </row>
    <row r="39">
      <c r="A39" s="1" t="inlineStr">
        <is>
          <t>38</t>
        </is>
      </c>
      <c r="B39" s="1" t="inlineStr">
        <is>
          <t>Rocío Silva Santiesteban</t>
        </is>
      </c>
      <c r="C39" s="1" t="inlineStr">
        <is>
          <t>DEMUS Estudio para la Defensa de los Derechos de la Mujer</t>
        </is>
      </c>
      <c r="D39" s="1" t="inlineStr">
        <is>
          <t>Entrevista de actores clave</t>
        </is>
      </c>
      <c r="E39" s="1" t="inlineStr">
        <is>
          <t>Actores locales</t>
        </is>
      </c>
      <c r="F39" s="1" t="inlineStr">
        <is>
          <t>Distrito Judicial: Ucayali</t>
        </is>
      </c>
      <c r="G39" s="1" t="inlineStr">
        <is>
          <t>IJM</t>
        </is>
      </c>
      <c r="H39" s="1" t="inlineStr">
        <is>
          <t>Sí</t>
        </is>
      </c>
      <c r="I39" s="2" t="inlineStr">
        <is>
          <t xml:space="preserve">  5/5/2026</t>
        </is>
      </c>
      <c r="J39" s="2" t="str"/>
      <c r="K39" s="2" t="str"/>
      <c r="L39" s="1" t="inlineStr">
        <is>
          <t>Rechazada</t>
        </is>
      </c>
      <c r="M39" s="2" t="str"/>
      <c r="N39" s="2" t="str"/>
      <c r="O39" s="1" t="inlineStr">
        <is>
          <t>Rechazada</t>
        </is>
      </c>
      <c r="P39" s="1" t="str"/>
      <c r="Q39" s="1" t="str"/>
      <c r="R39" s="1">
        <f>IF(H39="Sí",1,0)</f>
        <v/>
      </c>
      <c r="S39" s="1">
        <f>IF(L39="En coordinación",1,0)</f>
        <v/>
      </c>
      <c r="T39" s="1">
        <f>IF(L39="Aceptada",1,0)</f>
        <v/>
      </c>
      <c r="U39" s="1">
        <f>IF(OR(L39="Realizada completa",L39="Realizada incompleta"),1,0)</f>
        <v/>
      </c>
      <c r="V39" s="1">
        <f>IF(L39="Sin respuesta",1,0)</f>
        <v/>
      </c>
    </row>
    <row r="40">
      <c r="A40" s="1" t="inlineStr">
        <is>
          <t>39</t>
        </is>
      </c>
      <c r="B40" s="1" t="inlineStr">
        <is>
          <t>Magali Aguilar</t>
        </is>
      </c>
      <c r="C40" s="1" t="inlineStr">
        <is>
          <t>Asociación Madres Luchando por Justicia</t>
        </is>
      </c>
      <c r="D40" s="1" t="inlineStr">
        <is>
          <t>Entrevista de actores clave</t>
        </is>
      </c>
      <c r="E40" s="1" t="inlineStr">
        <is>
          <t>Actores locales</t>
        </is>
      </c>
      <c r="F40" s="1" t="inlineStr">
        <is>
          <t>Nacional</t>
        </is>
      </c>
      <c r="G40" s="1" t="inlineStr">
        <is>
          <t>IJM</t>
        </is>
      </c>
      <c r="H40" s="1" t="inlineStr">
        <is>
          <t>Sí</t>
        </is>
      </c>
      <c r="I40" s="2" t="inlineStr">
        <is>
          <t xml:space="preserve"> 3/23/2026</t>
        </is>
      </c>
      <c r="J40" s="2" t="str"/>
      <c r="K40" s="2" t="str"/>
      <c r="L40" s="1" t="inlineStr">
        <is>
          <t>Realizada completa</t>
        </is>
      </c>
      <c r="M40" s="2" t="inlineStr">
        <is>
          <t>24-Mar</t>
        </is>
      </c>
      <c r="N40" s="2" t="inlineStr">
        <is>
          <t>24-Mar</t>
        </is>
      </c>
      <c r="O40" s="1" t="inlineStr">
        <is>
          <t>Realizada completa</t>
        </is>
      </c>
      <c r="P40" s="1" t="inlineStr">
        <is>
          <t>72</t>
        </is>
      </c>
      <c r="Q40" s="1" t="inlineStr">
        <is>
          <t>A distancia asistido</t>
        </is>
      </c>
      <c r="R40" s="1">
        <f>IF(H40="Sí",1,0)</f>
        <v/>
      </c>
      <c r="S40" s="1">
        <f>IF(L40="En coordinación",1,0)</f>
        <v/>
      </c>
      <c r="T40" s="1">
        <f>IF(L40="Aceptada",1,0)</f>
        <v/>
      </c>
      <c r="U40" s="1">
        <f>IF(OR(L40="Realizada completa",L40="Realizada incompleta"),1,0)</f>
        <v/>
      </c>
      <c r="V40" s="1">
        <f>IF(L40="Sin respuesta",1,0)</f>
        <v/>
      </c>
    </row>
    <row r="41">
      <c r="A41" s="1" t="inlineStr">
        <is>
          <t>40</t>
        </is>
      </c>
      <c r="B41" s="1" t="inlineStr">
        <is>
          <t>Laura Maurtua</t>
        </is>
      </c>
      <c r="C41" s="1" t="inlineStr">
        <is>
          <t>Mujeres Uniendo Esfuerzos por Alcanzar sus Sueños</t>
        </is>
      </c>
      <c r="D41" s="1" t="inlineStr">
        <is>
          <t>Entrevista de actores clave</t>
        </is>
      </c>
      <c r="E41" s="1" t="inlineStr">
        <is>
          <t>Actores locales</t>
        </is>
      </c>
      <c r="F41" s="1" t="inlineStr">
        <is>
          <t>Nacional</t>
        </is>
      </c>
      <c r="G41" s="1" t="inlineStr">
        <is>
          <t>IJM</t>
        </is>
      </c>
      <c r="H41" s="1" t="inlineStr">
        <is>
          <t>No</t>
        </is>
      </c>
      <c r="I41" s="2" t="str"/>
      <c r="J41" s="2" t="str"/>
      <c r="K41" s="2" t="str"/>
      <c r="L41" s="1" t="str"/>
      <c r="M41" s="2" t="str"/>
      <c r="N41" s="2" t="str"/>
      <c r="O41" s="1" t="str"/>
      <c r="P41" s="1" t="str"/>
      <c r="Q41" s="1" t="str"/>
      <c r="R41" s="1">
        <f>IF(H41="Sí",1,0)</f>
        <v/>
      </c>
      <c r="S41" s="1">
        <f>IF(L41="En coordinación",1,0)</f>
        <v/>
      </c>
      <c r="T41" s="1">
        <f>IF(L41="Aceptada",1,0)</f>
        <v/>
      </c>
      <c r="U41" s="1">
        <f>IF(OR(L41="Realizada completa",L41="Realizada incompleta"),1,0)</f>
        <v/>
      </c>
      <c r="V41" s="1">
        <f>IF(L41="Sin respuesta",1,0)</f>
        <v/>
      </c>
    </row>
    <row r="42">
      <c r="A42" s="1" t="inlineStr">
        <is>
          <t>41</t>
        </is>
      </c>
      <c r="B42" s="1" t="inlineStr">
        <is>
          <t>Flavia Martinez Tarazona</t>
        </is>
      </c>
      <c r="C42" s="1" t="inlineStr">
        <is>
          <t>Hablemos sin Tabúes</t>
        </is>
      </c>
      <c r="D42" s="1" t="inlineStr">
        <is>
          <t>Entrevista de actores clave</t>
        </is>
      </c>
      <c r="E42" s="1" t="inlineStr">
        <is>
          <t>Actores locales</t>
        </is>
      </c>
      <c r="F42" s="1" t="inlineStr">
        <is>
          <t>Nacional</t>
        </is>
      </c>
      <c r="G42" s="1" t="inlineStr">
        <is>
          <t>IJM</t>
        </is>
      </c>
      <c r="H42" s="1" t="inlineStr">
        <is>
          <t>Sí</t>
        </is>
      </c>
      <c r="I42" s="2" t="inlineStr">
        <is>
          <t xml:space="preserve">  4/6/2026</t>
        </is>
      </c>
      <c r="J42" s="2" t="inlineStr">
        <is>
          <t xml:space="preserve">  5/5/2026</t>
        </is>
      </c>
      <c r="K42" s="2" t="str"/>
      <c r="L42" s="1" t="inlineStr">
        <is>
          <t>Sin respuesta</t>
        </is>
      </c>
      <c r="M42" s="2" t="str"/>
      <c r="N42" s="2" t="str"/>
      <c r="O42" s="1" t="inlineStr">
        <is>
          <t>Sin respuesta</t>
        </is>
      </c>
      <c r="P42" s="1" t="str"/>
      <c r="Q42" s="1" t="str"/>
      <c r="R42" s="1">
        <f>IF(H42="Sí",1,0)</f>
        <v/>
      </c>
      <c r="S42" s="1">
        <f>IF(L42="En coordinación",1,0)</f>
        <v/>
      </c>
      <c r="T42" s="1">
        <f>IF(L42="Aceptada",1,0)</f>
        <v/>
      </c>
      <c r="U42" s="1">
        <f>IF(OR(L42="Realizada completa",L42="Realizada incompleta"),1,0)</f>
        <v/>
      </c>
      <c r="V42" s="1">
        <f>IF(L42="Sin respuesta",1,0)</f>
        <v/>
      </c>
    </row>
    <row r="43">
      <c r="A43" s="1" t="inlineStr">
        <is>
          <t>42</t>
        </is>
      </c>
      <c r="B43" s="1" t="inlineStr">
        <is>
          <t>Lorena Farroñan</t>
        </is>
      </c>
      <c r="C43" s="1" t="inlineStr">
        <is>
          <t>Tukuy Sunquywan Yanapsqayki</t>
        </is>
      </c>
      <c r="D43" s="1" t="inlineStr">
        <is>
          <t>Entrevista de actores clave</t>
        </is>
      </c>
      <c r="E43" s="1" t="inlineStr">
        <is>
          <t>Actores locales</t>
        </is>
      </c>
      <c r="F43" s="1" t="inlineStr">
        <is>
          <t>Nacional</t>
        </is>
      </c>
      <c r="G43" s="1" t="inlineStr">
        <is>
          <t>IJM</t>
        </is>
      </c>
      <c r="H43" s="1" t="inlineStr">
        <is>
          <t>Sí</t>
        </is>
      </c>
      <c r="I43" s="2" t="inlineStr">
        <is>
          <t xml:space="preserve"> 3/23/2026</t>
        </is>
      </c>
      <c r="J43" s="2" t="inlineStr">
        <is>
          <t xml:space="preserve"> 4/17/2026</t>
        </is>
      </c>
      <c r="K43" s="2" t="inlineStr">
        <is>
          <t xml:space="preserve">  5/5/2026</t>
        </is>
      </c>
      <c r="L43" s="1" t="inlineStr">
        <is>
          <t>Sin respuesta</t>
        </is>
      </c>
      <c r="M43" s="2" t="str"/>
      <c r="N43" s="2" t="str"/>
      <c r="O43" s="1" t="inlineStr">
        <is>
          <t>Sin respuesta</t>
        </is>
      </c>
      <c r="P43" s="1" t="str"/>
      <c r="Q43" s="1" t="str"/>
      <c r="R43" s="1">
        <f>IF(H43="Sí",1,0)</f>
        <v/>
      </c>
      <c r="S43" s="1">
        <f>IF(L43="En coordinación",1,0)</f>
        <v/>
      </c>
      <c r="T43" s="1">
        <f>IF(L43="Aceptada",1,0)</f>
        <v/>
      </c>
      <c r="U43" s="1">
        <f>IF(OR(L43="Realizada completa",L43="Realizada incompleta"),1,0)</f>
        <v/>
      </c>
      <c r="V43" s="1">
        <f>IF(L43="Sin respuesta",1,0)</f>
        <v/>
      </c>
    </row>
    <row r="44">
      <c r="A44" s="1" t="inlineStr">
        <is>
          <t>43</t>
        </is>
      </c>
      <c r="B44" s="1" t="inlineStr">
        <is>
          <t>Cecilia Ancajima</t>
        </is>
      </c>
      <c r="C44" s="1" t="inlineStr">
        <is>
          <t>Asociación La Casa de la Mujer</t>
        </is>
      </c>
      <c r="D44" s="1" t="inlineStr">
        <is>
          <t>Entrevista de actores clave</t>
        </is>
      </c>
      <c r="E44" s="1" t="inlineStr">
        <is>
          <t>Actores locales</t>
        </is>
      </c>
      <c r="F44" s="1" t="inlineStr">
        <is>
          <t>Nacional</t>
        </is>
      </c>
      <c r="G44" s="1" t="inlineStr">
        <is>
          <t>IJM</t>
        </is>
      </c>
      <c r="H44" s="1" t="inlineStr">
        <is>
          <t>Sí</t>
        </is>
      </c>
      <c r="I44" s="2" t="inlineStr">
        <is>
          <t xml:space="preserve">  5/5/2026</t>
        </is>
      </c>
      <c r="J44" s="2" t="str"/>
      <c r="K44" s="2" t="str"/>
      <c r="L44" s="1" t="inlineStr">
        <is>
          <t>Sin respuesta</t>
        </is>
      </c>
      <c r="M44" s="2" t="str"/>
      <c r="N44" s="2" t="str"/>
      <c r="O44" s="1" t="inlineStr">
        <is>
          <t>Sin respuesta</t>
        </is>
      </c>
      <c r="P44" s="1" t="str"/>
      <c r="Q44" s="1" t="str"/>
      <c r="R44" s="1">
        <f>IF(H44="Sí",1,0)</f>
        <v/>
      </c>
      <c r="S44" s="1">
        <f>IF(L44="En coordinación",1,0)</f>
        <v/>
      </c>
      <c r="T44" s="1">
        <f>IF(L44="Aceptada",1,0)</f>
        <v/>
      </c>
      <c r="U44" s="1">
        <f>IF(OR(L44="Realizada completa",L44="Realizada incompleta"),1,0)</f>
        <v/>
      </c>
      <c r="V44" s="1">
        <f>IF(L44="Sin respuesta",1,0)</f>
        <v/>
      </c>
    </row>
    <row r="45">
      <c r="A45" s="1" t="inlineStr">
        <is>
          <t>44</t>
        </is>
      </c>
      <c r="B45" s="1" t="inlineStr">
        <is>
          <t>Estrelia Nizama Ruiz</t>
        </is>
      </c>
      <c r="C45" s="1" t="inlineStr">
        <is>
          <t>Inppares</t>
        </is>
      </c>
      <c r="D45" s="1" t="inlineStr">
        <is>
          <t>Entrevista de actores clave</t>
        </is>
      </c>
      <c r="E45" s="1" t="inlineStr">
        <is>
          <t>Actores locales</t>
        </is>
      </c>
      <c r="F45" s="1" t="inlineStr">
        <is>
          <t>Nacional</t>
        </is>
      </c>
      <c r="G45" s="1" t="inlineStr">
        <is>
          <t>IJM</t>
        </is>
      </c>
      <c r="H45" s="1" t="inlineStr">
        <is>
          <t>Sí</t>
        </is>
      </c>
      <c r="I45" s="2" t="inlineStr">
        <is>
          <t xml:space="preserve"> 4/17/2026</t>
        </is>
      </c>
      <c r="J45" s="2" t="inlineStr">
        <is>
          <t xml:space="preserve">  5/5/2026</t>
        </is>
      </c>
      <c r="K45" s="2" t="str"/>
      <c r="L45" s="1" t="inlineStr">
        <is>
          <t>Realizada completa</t>
        </is>
      </c>
      <c r="M45" s="2" t="inlineStr">
        <is>
          <t>21-May</t>
        </is>
      </c>
      <c r="N45" s="2" t="inlineStr">
        <is>
          <t>21-May</t>
        </is>
      </c>
      <c r="O45" s="1" t="inlineStr">
        <is>
          <t>Realizada completa</t>
        </is>
      </c>
      <c r="P45" s="1" t="inlineStr">
        <is>
          <t>43</t>
        </is>
      </c>
      <c r="Q45" s="1" t="inlineStr">
        <is>
          <t>A distancia asistido</t>
        </is>
      </c>
      <c r="R45" s="1">
        <f>IF(H45="Sí",1,0)</f>
        <v/>
      </c>
      <c r="S45" s="1">
        <f>IF(L45="En coordinación",1,0)</f>
        <v/>
      </c>
      <c r="T45" s="1">
        <f>IF(L45="Aceptada",1,0)</f>
        <v/>
      </c>
      <c r="U45" s="1">
        <f>IF(OR(L45="Realizada completa",L45="Realizada incompleta"),1,0)</f>
        <v/>
      </c>
      <c r="V45" s="1">
        <f>IF(L45="Sin respuesta",1,0)</f>
        <v/>
      </c>
    </row>
    <row r="46">
      <c r="A46" s="1" t="inlineStr">
        <is>
          <t>45</t>
        </is>
      </c>
      <c r="B46" s="1" t="inlineStr">
        <is>
          <t>Elba Zegarra Vila</t>
        </is>
      </c>
      <c r="C46" s="1" t="inlineStr">
        <is>
          <t>Mama Alice</t>
        </is>
      </c>
      <c r="D46" s="1" t="inlineStr">
        <is>
          <t>Entrevista de actores clave</t>
        </is>
      </c>
      <c r="E46" s="1" t="inlineStr">
        <is>
          <t>Actores locales</t>
        </is>
      </c>
      <c r="F46" s="1" t="inlineStr">
        <is>
          <t>Distrito Judicial: Ayacucho</t>
        </is>
      </c>
      <c r="G46" s="1" t="inlineStr">
        <is>
          <t>IJM</t>
        </is>
      </c>
      <c r="H46" s="1" t="inlineStr">
        <is>
          <t>No</t>
        </is>
      </c>
      <c r="I46" s="2" t="str"/>
      <c r="J46" s="2" t="str"/>
      <c r="K46" s="2" t="str"/>
      <c r="L46" s="1" t="str"/>
      <c r="M46" s="2" t="str"/>
      <c r="N46" s="2" t="str"/>
      <c r="O46" s="1" t="str"/>
      <c r="P46" s="1" t="str"/>
      <c r="Q46" s="1" t="str"/>
      <c r="R46" s="1">
        <f>IF(H46="Sí",1,0)</f>
        <v/>
      </c>
      <c r="S46" s="1">
        <f>IF(L46="En coordinación",1,0)</f>
        <v/>
      </c>
      <c r="T46" s="1">
        <f>IF(L46="Aceptada",1,0)</f>
        <v/>
      </c>
      <c r="U46" s="1">
        <f>IF(OR(L46="Realizada completa",L46="Realizada incompleta"),1,0)</f>
        <v/>
      </c>
      <c r="V46" s="1">
        <f>IF(L46="Sin respuesta",1,0)</f>
        <v/>
      </c>
    </row>
    <row r="47">
      <c r="A47" s="1" t="inlineStr">
        <is>
          <t>46</t>
        </is>
      </c>
      <c r="B47" s="1" t="inlineStr">
        <is>
          <t>Flavio Flores Chuquipoma</t>
        </is>
      </c>
      <c r="C47" s="1" t="inlineStr">
        <is>
          <t>Central Única Nacional de Rondas Campesinas del Perú - CUNARC-P</t>
        </is>
      </c>
      <c r="D47" s="1" t="inlineStr">
        <is>
          <t>Entrevista de actores clave</t>
        </is>
      </c>
      <c r="E47" s="1" t="inlineStr">
        <is>
          <t>Actores locales</t>
        </is>
      </c>
      <c r="F47" s="1" t="inlineStr">
        <is>
          <t>Nacional</t>
        </is>
      </c>
      <c r="G47" s="1" t="inlineStr">
        <is>
          <t>IJM</t>
        </is>
      </c>
      <c r="H47" s="1" t="inlineStr">
        <is>
          <t>Sí</t>
        </is>
      </c>
      <c r="I47" s="2" t="inlineStr">
        <is>
          <t xml:space="preserve"> 3/24/2026</t>
        </is>
      </c>
      <c r="J47" s="2" t="str"/>
      <c r="K47" s="2" t="str"/>
      <c r="L47" s="1" t="inlineStr">
        <is>
          <t>Realizada completa</t>
        </is>
      </c>
      <c r="M47" s="2" t="inlineStr">
        <is>
          <t>24-Mar</t>
        </is>
      </c>
      <c r="N47" s="2" t="inlineStr">
        <is>
          <t>24-Mar</t>
        </is>
      </c>
      <c r="O47" s="1" t="inlineStr">
        <is>
          <t>Realizada completa</t>
        </is>
      </c>
      <c r="P47" s="1" t="inlineStr">
        <is>
          <t>43</t>
        </is>
      </c>
      <c r="Q47" s="1" t="inlineStr">
        <is>
          <t>A distancia asistido</t>
        </is>
      </c>
      <c r="R47" s="1">
        <f>IF(H47="Sí",1,0)</f>
        <v/>
      </c>
      <c r="S47" s="1">
        <f>IF(L47="En coordinación",1,0)</f>
        <v/>
      </c>
      <c r="T47" s="1">
        <f>IF(L47="Aceptada",1,0)</f>
        <v/>
      </c>
      <c r="U47" s="1">
        <f>IF(OR(L47="Realizada completa",L47="Realizada incompleta"),1,0)</f>
        <v/>
      </c>
      <c r="V47" s="1">
        <f>IF(L47="Sin respuesta",1,0)</f>
        <v/>
      </c>
    </row>
    <row r="48">
      <c r="A48" s="1" t="inlineStr">
        <is>
          <t>47</t>
        </is>
      </c>
      <c r="B48" s="1" t="inlineStr">
        <is>
          <t>Mendoza Barrantes Mericia</t>
        </is>
      </c>
      <c r="C48" s="1" t="inlineStr">
        <is>
          <t xml:space="preserve">Estrategias Rurales </t>
        </is>
      </c>
      <c r="D48" s="1" t="inlineStr">
        <is>
          <t>Entrevista de actores clave</t>
        </is>
      </c>
      <c r="E48" s="1" t="inlineStr">
        <is>
          <t>Actores locales</t>
        </is>
      </c>
      <c r="F48" s="1" t="inlineStr">
        <is>
          <t>Nacional</t>
        </is>
      </c>
      <c r="G48" s="1" t="inlineStr">
        <is>
          <t>IJM</t>
        </is>
      </c>
      <c r="H48" s="1" t="inlineStr">
        <is>
          <t>Sí</t>
        </is>
      </c>
      <c r="I48" s="2" t="inlineStr">
        <is>
          <t xml:space="preserve"> 3/24/2026</t>
        </is>
      </c>
      <c r="J48" s="2" t="inlineStr">
        <is>
          <t xml:space="preserve"> 3/30/2026</t>
        </is>
      </c>
      <c r="K48" s="2" t="str"/>
      <c r="L48" s="1" t="inlineStr">
        <is>
          <t>Sin respuesta</t>
        </is>
      </c>
      <c r="M48" s="2" t="str"/>
      <c r="N48" s="2" t="str"/>
      <c r="O48" s="1" t="inlineStr">
        <is>
          <t>Sin respuesta</t>
        </is>
      </c>
      <c r="P48" s="1" t="str"/>
      <c r="Q48" s="1" t="str"/>
      <c r="R48" s="1">
        <f>IF(H48="Sí",1,0)</f>
        <v/>
      </c>
      <c r="S48" s="1">
        <f>IF(L48="En coordinación",1,0)</f>
        <v/>
      </c>
      <c r="T48" s="1">
        <f>IF(L48="Aceptada",1,0)</f>
        <v/>
      </c>
      <c r="U48" s="1">
        <f>IF(OR(L48="Realizada completa",L48="Realizada incompleta"),1,0)</f>
        <v/>
      </c>
      <c r="V48" s="1">
        <f>IF(L48="Sin respuesta",1,0)</f>
        <v/>
      </c>
    </row>
    <row r="49">
      <c r="A49" s="1" t="inlineStr">
        <is>
          <t>48</t>
        </is>
      </c>
      <c r="B49" s="1" t="inlineStr">
        <is>
          <t>Calizaya Cruz Nicanor Efrain</t>
        </is>
      </c>
      <c r="C49" s="1" t="inlineStr">
        <is>
          <t xml:space="preserve">Estrategias Rurales </t>
        </is>
      </c>
      <c r="D49" s="1" t="inlineStr">
        <is>
          <t>Entrevista de actores clave</t>
        </is>
      </c>
      <c r="E49" s="1" t="inlineStr">
        <is>
          <t>Actores locales</t>
        </is>
      </c>
      <c r="F49" s="1" t="inlineStr">
        <is>
          <t>Nacional</t>
        </is>
      </c>
      <c r="G49" s="1" t="inlineStr">
        <is>
          <t>IJM</t>
        </is>
      </c>
      <c r="H49" s="1" t="inlineStr">
        <is>
          <t>Sí</t>
        </is>
      </c>
      <c r="I49" s="2" t="inlineStr">
        <is>
          <t xml:space="preserve"> 3/24/2026</t>
        </is>
      </c>
      <c r="J49" s="2" t="inlineStr">
        <is>
          <t xml:space="preserve"> 3/30/2026</t>
        </is>
      </c>
      <c r="K49" s="2" t="str"/>
      <c r="L49" s="1" t="inlineStr">
        <is>
          <t>Sin respuesta</t>
        </is>
      </c>
      <c r="M49" s="2" t="str"/>
      <c r="N49" s="2" t="str"/>
      <c r="O49" s="1" t="inlineStr">
        <is>
          <t>Sin respuesta</t>
        </is>
      </c>
      <c r="P49" s="1" t="str"/>
      <c r="Q49" s="1" t="str"/>
      <c r="R49" s="1">
        <f>IF(H49="Sí",1,0)</f>
        <v/>
      </c>
      <c r="S49" s="1">
        <f>IF(L49="En coordinación",1,0)</f>
        <v/>
      </c>
      <c r="T49" s="1">
        <f>IF(L49="Aceptada",1,0)</f>
        <v/>
      </c>
      <c r="U49" s="1">
        <f>IF(OR(L49="Realizada completa",L49="Realizada incompleta"),1,0)</f>
        <v/>
      </c>
      <c r="V49" s="1">
        <f>IF(L49="Sin respuesta",1,0)</f>
        <v/>
      </c>
    </row>
    <row r="50">
      <c r="A50" s="1" t="inlineStr">
        <is>
          <t>49</t>
        </is>
      </c>
      <c r="B50" s="1" t="inlineStr">
        <is>
          <t>Ketty Marcelo López</t>
        </is>
      </c>
      <c r="C50" s="1" t="inlineStr">
        <is>
          <t>Organización Nacional de Mujeres Indígenas Andinas y Amazónicas del Perú (ONAMIAP)</t>
        </is>
      </c>
      <c r="D50" s="1" t="inlineStr">
        <is>
          <t>Entrevista de actores clave</t>
        </is>
      </c>
      <c r="E50" s="1" t="inlineStr">
        <is>
          <t>Actores locales</t>
        </is>
      </c>
      <c r="F50" s="1" t="inlineStr">
        <is>
          <t>Nacional</t>
        </is>
      </c>
      <c r="G50" s="1" t="inlineStr">
        <is>
          <t>IJM</t>
        </is>
      </c>
      <c r="H50" s="1" t="inlineStr">
        <is>
          <t>Sí</t>
        </is>
      </c>
      <c r="I50" s="2" t="inlineStr">
        <is>
          <t xml:space="preserve">  5/5/2026</t>
        </is>
      </c>
      <c r="J50" s="2" t="str"/>
      <c r="K50" s="2" t="str"/>
      <c r="L50" s="1" t="inlineStr">
        <is>
          <t>Sin respuesta</t>
        </is>
      </c>
      <c r="M50" s="2" t="str"/>
      <c r="N50" s="2" t="str"/>
      <c r="O50" s="1" t="inlineStr">
        <is>
          <t>Sin respuesta</t>
        </is>
      </c>
      <c r="P50" s="1" t="str"/>
      <c r="Q50" s="1" t="str"/>
      <c r="R50" s="1">
        <f>IF(H50="Sí",1,0)</f>
        <v/>
      </c>
      <c r="S50" s="1">
        <f>IF(L50="En coordinación",1,0)</f>
        <v/>
      </c>
      <c r="T50" s="1">
        <f>IF(L50="Aceptada",1,0)</f>
        <v/>
      </c>
      <c r="U50" s="1">
        <f>IF(OR(L50="Realizada completa",L50="Realizada incompleta"),1,0)</f>
        <v/>
      </c>
      <c r="V50" s="1">
        <f>IF(L50="Sin respuesta",1,0)</f>
        <v/>
      </c>
    </row>
    <row r="51">
      <c r="A51" s="1" t="inlineStr">
        <is>
          <t>50</t>
        </is>
      </c>
      <c r="B51" s="1" t="inlineStr">
        <is>
          <t>Por definir</t>
        </is>
      </c>
      <c r="C51" s="1" t="inlineStr">
        <is>
          <t>Federación de Rondas Campesinas de Cajamarca y Norte del Perú (FEROCAFENOP)</t>
        </is>
      </c>
      <c r="D51" s="1" t="inlineStr">
        <is>
          <t>Entrevista de actores clave</t>
        </is>
      </c>
      <c r="E51" s="1" t="inlineStr">
        <is>
          <t>Actores locales</t>
        </is>
      </c>
      <c r="F51" s="1" t="inlineStr">
        <is>
          <t>Nacional</t>
        </is>
      </c>
      <c r="G51" s="1" t="inlineStr">
        <is>
          <t>IJM</t>
        </is>
      </c>
      <c r="H51" s="1" t="inlineStr">
        <is>
          <t>No</t>
        </is>
      </c>
      <c r="I51" s="2" t="str"/>
      <c r="J51" s="2" t="str"/>
      <c r="K51" s="2" t="str"/>
      <c r="L51" s="1" t="str"/>
      <c r="M51" s="2" t="str"/>
      <c r="N51" s="2" t="str"/>
      <c r="O51" s="1" t="str"/>
      <c r="P51" s="1" t="str"/>
      <c r="Q51" s="1" t="str"/>
      <c r="R51" s="1">
        <f>IF(H51="Sí",1,0)</f>
        <v/>
      </c>
      <c r="S51" s="1">
        <f>IF(L51="En coordinación",1,0)</f>
        <v/>
      </c>
      <c r="T51" s="1">
        <f>IF(L51="Aceptada",1,0)</f>
        <v/>
      </c>
      <c r="U51" s="1">
        <f>IF(OR(L51="Realizada completa",L51="Realizada incompleta"),1,0)</f>
        <v/>
      </c>
      <c r="V51" s="1">
        <f>IF(L51="Sin respuesta",1,0)</f>
        <v/>
      </c>
    </row>
    <row r="52">
      <c r="A52" s="1" t="inlineStr">
        <is>
          <t>51</t>
        </is>
      </c>
      <c r="B52" s="1" t="inlineStr">
        <is>
          <t>Kathia Villar</t>
        </is>
      </c>
      <c r="C52" s="1" t="inlineStr">
        <is>
          <t>Asociación Amar C</t>
        </is>
      </c>
      <c r="D52" s="1" t="inlineStr">
        <is>
          <t>Entrevista de actores clave</t>
        </is>
      </c>
      <c r="E52" s="1" t="inlineStr">
        <is>
          <t>Actores locales</t>
        </is>
      </c>
      <c r="F52" s="1" t="inlineStr">
        <is>
          <t>Distrito Judicial: Lima Norte</t>
        </is>
      </c>
      <c r="G52" s="1" t="inlineStr">
        <is>
          <t>IJM</t>
        </is>
      </c>
      <c r="H52" s="1" t="inlineStr">
        <is>
          <t>Sí</t>
        </is>
      </c>
      <c r="I52" s="2" t="inlineStr">
        <is>
          <t xml:space="preserve"> 3/24/2026</t>
        </is>
      </c>
      <c r="J52" s="2" t="inlineStr">
        <is>
          <t xml:space="preserve"> 3/26/2026</t>
        </is>
      </c>
      <c r="K52" s="2" t="inlineStr">
        <is>
          <t xml:space="preserve">  5/5/2026</t>
        </is>
      </c>
      <c r="L52" s="1" t="inlineStr">
        <is>
          <t>Sin respuesta</t>
        </is>
      </c>
      <c r="M52" s="2" t="str"/>
      <c r="N52" s="2" t="str"/>
      <c r="O52" s="1" t="inlineStr">
        <is>
          <t>Sin respuesta</t>
        </is>
      </c>
      <c r="P52" s="1" t="str"/>
      <c r="Q52" s="1" t="str"/>
      <c r="R52" s="1">
        <f>IF(H52="Sí",1,0)</f>
        <v/>
      </c>
      <c r="S52" s="1">
        <f>IF(L52="En coordinación",1,0)</f>
        <v/>
      </c>
      <c r="T52" s="1">
        <f>IF(L52="Aceptada",1,0)</f>
        <v/>
      </c>
      <c r="U52" s="1">
        <f>IF(OR(L52="Realizada completa",L52="Realizada incompleta"),1,0)</f>
        <v/>
      </c>
      <c r="V52" s="1">
        <f>IF(L52="Sin respuesta",1,0)</f>
        <v/>
      </c>
    </row>
    <row r="53">
      <c r="A53" s="1" t="inlineStr">
        <is>
          <t>52</t>
        </is>
      </c>
      <c r="B53" s="1" t="inlineStr">
        <is>
          <t>Silvia Sandobal Gerrero</t>
        </is>
      </c>
      <c r="C53" s="1" t="inlineStr">
        <is>
          <t>Asociación Igualdad y Desarrollo</t>
        </is>
      </c>
      <c r="D53" s="1" t="inlineStr">
        <is>
          <t>Entrevista de actores clave</t>
        </is>
      </c>
      <c r="E53" s="1" t="inlineStr">
        <is>
          <t>Actores locales</t>
        </is>
      </c>
      <c r="F53" s="1" t="inlineStr">
        <is>
          <t>Distrito Judicial: Loreto</t>
        </is>
      </c>
      <c r="G53" s="1" t="inlineStr">
        <is>
          <t>IJM</t>
        </is>
      </c>
      <c r="H53" s="1" t="inlineStr">
        <is>
          <t>Sí</t>
        </is>
      </c>
      <c r="I53" s="2" t="inlineStr">
        <is>
          <t xml:space="preserve"> 3/24/2026</t>
        </is>
      </c>
      <c r="J53" s="2" t="inlineStr">
        <is>
          <t xml:space="preserve">  4/6/2026</t>
        </is>
      </c>
      <c r="K53" s="2" t="inlineStr">
        <is>
          <t xml:space="preserve">  4/7/2026</t>
        </is>
      </c>
      <c r="L53" s="1" t="inlineStr">
        <is>
          <t>Realizada completa</t>
        </is>
      </c>
      <c r="M53" s="2" t="inlineStr">
        <is>
          <t xml:space="preserve"> 7-Apr</t>
        </is>
      </c>
      <c r="N53" s="2" t="inlineStr">
        <is>
          <t xml:space="preserve"> 7-Apr</t>
        </is>
      </c>
      <c r="O53" s="1" t="inlineStr">
        <is>
          <t>Realizada completa</t>
        </is>
      </c>
      <c r="P53" s="1" t="inlineStr">
        <is>
          <t>58</t>
        </is>
      </c>
      <c r="Q53" s="1" t="inlineStr">
        <is>
          <t>A distancia asistido</t>
        </is>
      </c>
      <c r="R53" s="1">
        <f>IF(H53="Sí",1,0)</f>
        <v/>
      </c>
      <c r="S53" s="1">
        <f>IF(L53="En coordinación",1,0)</f>
        <v/>
      </c>
      <c r="T53" s="1">
        <f>IF(L53="Aceptada",1,0)</f>
        <v/>
      </c>
      <c r="U53" s="1">
        <f>IF(OR(L53="Realizada completa",L53="Realizada incompleta"),1,0)</f>
        <v/>
      </c>
      <c r="V53" s="1">
        <f>IF(L53="Sin respuesta",1,0)</f>
        <v/>
      </c>
    </row>
    <row r="54">
      <c r="A54" s="1" t="inlineStr">
        <is>
          <t>53</t>
        </is>
      </c>
      <c r="B54" s="1" t="inlineStr">
        <is>
          <t>Alejandra Ballón-Gutiérrez</t>
        </is>
      </c>
      <c r="C54" s="1" t="inlineStr">
        <is>
          <t>Alfombra Roja</t>
        </is>
      </c>
      <c r="D54" s="1" t="inlineStr">
        <is>
          <t>Entrevista de actores clave</t>
        </is>
      </c>
      <c r="E54" s="1" t="inlineStr">
        <is>
          <t>Actores locales</t>
        </is>
      </c>
      <c r="F54" s="1" t="inlineStr">
        <is>
          <t>Distrito Judicial: Ucayali</t>
        </is>
      </c>
      <c r="G54" s="1" t="inlineStr">
        <is>
          <t>IJM</t>
        </is>
      </c>
      <c r="H54" s="1" t="inlineStr">
        <is>
          <t>Sí</t>
        </is>
      </c>
      <c r="I54" s="2" t="inlineStr">
        <is>
          <t xml:space="preserve">  5/5/2026</t>
        </is>
      </c>
      <c r="J54" s="2" t="str"/>
      <c r="K54" s="2" t="str"/>
      <c r="L54" s="1" t="inlineStr">
        <is>
          <t>Sin respuesta</t>
        </is>
      </c>
      <c r="M54" s="2" t="str"/>
      <c r="N54" s="2" t="str"/>
      <c r="O54" s="1" t="inlineStr">
        <is>
          <t>Sin respuesta</t>
        </is>
      </c>
      <c r="P54" s="1" t="str"/>
      <c r="Q54" s="1" t="str"/>
      <c r="R54" s="1">
        <f>IF(H54="Sí",1,0)</f>
        <v/>
      </c>
      <c r="S54" s="1">
        <f>IF(L54="En coordinación",1,0)</f>
        <v/>
      </c>
      <c r="T54" s="1">
        <f>IF(L54="Aceptada",1,0)</f>
        <v/>
      </c>
      <c r="U54" s="1">
        <f>IF(OR(L54="Realizada completa",L54="Realizada incompleta"),1,0)</f>
        <v/>
      </c>
      <c r="V54" s="1">
        <f>IF(L54="Sin respuesta",1,0)</f>
        <v/>
      </c>
    </row>
    <row r="55">
      <c r="A55" s="1" t="inlineStr">
        <is>
          <t>54</t>
        </is>
      </c>
      <c r="B55" s="1" t="inlineStr">
        <is>
          <t>Mercedes Neves Murillo</t>
        </is>
      </c>
      <c r="C55" s="1" t="inlineStr">
        <is>
          <t>Foro Regional Por Los Derechos Sexuales Y Reproductivos (FORDES)</t>
        </is>
      </c>
      <c r="D55" s="1" t="inlineStr">
        <is>
          <t>Entrevista de actores clave</t>
        </is>
      </c>
      <c r="E55" s="1" t="inlineStr">
        <is>
          <t>Actores locales</t>
        </is>
      </c>
      <c r="F55" s="1" t="inlineStr">
        <is>
          <t>Nacional</t>
        </is>
      </c>
      <c r="G55" s="1" t="inlineStr">
        <is>
          <t>IJM</t>
        </is>
      </c>
      <c r="H55" s="1" t="inlineStr">
        <is>
          <t>No</t>
        </is>
      </c>
      <c r="I55" s="2" t="str"/>
      <c r="J55" s="2" t="str"/>
      <c r="K55" s="2" t="str"/>
      <c r="L55" s="1" t="str"/>
      <c r="M55" s="2" t="str"/>
      <c r="N55" s="2" t="str"/>
      <c r="O55" s="1" t="str"/>
      <c r="P55" s="1" t="str"/>
      <c r="Q55" s="1" t="str"/>
      <c r="R55" s="1">
        <f>IF(H55="Sí",1,0)</f>
        <v/>
      </c>
      <c r="S55" s="1">
        <f>IF(L55="En coordinación",1,0)</f>
        <v/>
      </c>
      <c r="T55" s="1">
        <f>IF(L55="Aceptada",1,0)</f>
        <v/>
      </c>
      <c r="U55" s="1">
        <f>IF(OR(L55="Realizada completa",L55="Realizada incompleta"),1,0)</f>
        <v/>
      </c>
      <c r="V55" s="1">
        <f>IF(L55="Sin respuesta",1,0)</f>
        <v/>
      </c>
    </row>
    <row r="56">
      <c r="A56" s="1" t="inlineStr">
        <is>
          <t>55</t>
        </is>
      </c>
      <c r="B56" s="1" t="inlineStr">
        <is>
          <t>Rosemary Pioc</t>
        </is>
      </c>
      <c r="C56" s="1" t="inlineStr">
        <is>
          <t>Consejo de Mujeres Awajún Wampis Umukai Yawi - COMUAWUY</t>
        </is>
      </c>
      <c r="D56" s="1" t="inlineStr">
        <is>
          <t>Entrevista de actores clave</t>
        </is>
      </c>
      <c r="E56" s="1" t="inlineStr">
        <is>
          <t>Actores locales</t>
        </is>
      </c>
      <c r="F56" s="1" t="inlineStr">
        <is>
          <t>Nacional</t>
        </is>
      </c>
      <c r="G56" s="1" t="inlineStr">
        <is>
          <t>IJM</t>
        </is>
      </c>
      <c r="H56" s="1" t="inlineStr">
        <is>
          <t>No</t>
        </is>
      </c>
      <c r="I56" s="2" t="str"/>
      <c r="J56" s="2" t="str"/>
      <c r="K56" s="2" t="str"/>
      <c r="L56" s="1" t="str"/>
      <c r="M56" s="2" t="str"/>
      <c r="N56" s="2" t="str"/>
      <c r="O56" s="1" t="str"/>
      <c r="P56" s="1" t="str"/>
      <c r="Q56" s="1" t="str"/>
      <c r="R56" s="1">
        <f>IF(H56="Sí",1,0)</f>
        <v/>
      </c>
      <c r="S56" s="1">
        <f>IF(L56="En coordinación",1,0)</f>
        <v/>
      </c>
      <c r="T56" s="1">
        <f>IF(L56="Aceptada",1,0)</f>
        <v/>
      </c>
      <c r="U56" s="1">
        <f>IF(OR(L56="Realizada completa",L56="Realizada incompleta"),1,0)</f>
        <v/>
      </c>
      <c r="V56" s="1">
        <f>IF(L56="Sin respuesta",1,0)</f>
        <v/>
      </c>
    </row>
    <row r="57">
      <c r="A57" s="1" t="inlineStr">
        <is>
          <t>56</t>
        </is>
      </c>
      <c r="B57" s="1" t="inlineStr">
        <is>
          <t>Henry Mercado</t>
        </is>
      </c>
      <c r="C57" s="1" t="inlineStr">
        <is>
          <t>Abogados</t>
        </is>
      </c>
      <c r="D57" s="1" t="inlineStr">
        <is>
          <t>Entrevista de actores clave</t>
        </is>
      </c>
      <c r="E57" s="1" t="inlineStr">
        <is>
          <t>Acompañantes</t>
        </is>
      </c>
      <c r="F57" s="1" t="inlineStr">
        <is>
          <t>Distrito Judicial: Ayacucho</t>
        </is>
      </c>
      <c r="G57" s="1" t="inlineStr">
        <is>
          <t>IJM</t>
        </is>
      </c>
      <c r="H57" s="1" t="inlineStr">
        <is>
          <t>Sí</t>
        </is>
      </c>
      <c r="I57" s="2" t="inlineStr">
        <is>
          <t xml:space="preserve"> 3/24/2026</t>
        </is>
      </c>
      <c r="J57" s="2" t="inlineStr">
        <is>
          <t xml:space="preserve"> 3/25/2026</t>
        </is>
      </c>
      <c r="K57" s="2" t="str"/>
      <c r="L57" s="1" t="inlineStr">
        <is>
          <t>Realizada completa</t>
        </is>
      </c>
      <c r="M57" s="2" t="inlineStr">
        <is>
          <t xml:space="preserve"> 1-Apr</t>
        </is>
      </c>
      <c r="N57" s="2" t="inlineStr">
        <is>
          <t xml:space="preserve"> 1-Apr</t>
        </is>
      </c>
      <c r="O57" s="1" t="inlineStr">
        <is>
          <t>Realizada completa</t>
        </is>
      </c>
      <c r="P57" s="1" t="inlineStr">
        <is>
          <t>34</t>
        </is>
      </c>
      <c r="Q57" s="1" t="inlineStr">
        <is>
          <t>A distancia asistido</t>
        </is>
      </c>
      <c r="R57" s="1">
        <f>IF(H57="Sí",1,0)</f>
        <v/>
      </c>
      <c r="S57" s="1">
        <f>IF(L57="En coordinación",1,0)</f>
        <v/>
      </c>
      <c r="T57" s="1">
        <f>IF(L57="Aceptada",1,0)</f>
        <v/>
      </c>
      <c r="U57" s="1">
        <f>IF(OR(L57="Realizada completa",L57="Realizada incompleta"),1,0)</f>
        <v/>
      </c>
      <c r="V57" s="1">
        <f>IF(L57="Sin respuesta",1,0)</f>
        <v/>
      </c>
    </row>
    <row r="58">
      <c r="A58" s="1" t="inlineStr">
        <is>
          <t>57</t>
        </is>
      </c>
      <c r="B58" s="1" t="inlineStr">
        <is>
          <t>Lorena Ruiz</t>
        </is>
      </c>
      <c r="C58" s="1" t="inlineStr">
        <is>
          <t>ONG: Kids Alive</t>
        </is>
      </c>
      <c r="D58" s="1" t="inlineStr">
        <is>
          <t>Entrevista de actores clave</t>
        </is>
      </c>
      <c r="E58" s="1" t="inlineStr">
        <is>
          <t>Actores locales</t>
        </is>
      </c>
      <c r="F58" s="1" t="inlineStr">
        <is>
          <t>Nacional</t>
        </is>
      </c>
      <c r="G58" s="1" t="inlineStr">
        <is>
          <t>IJM</t>
        </is>
      </c>
      <c r="H58" s="1" t="inlineStr">
        <is>
          <t>Sí</t>
        </is>
      </c>
      <c r="I58" s="2" t="inlineStr">
        <is>
          <t xml:space="preserve"> 3/25/2026</t>
        </is>
      </c>
      <c r="J58" s="2" t="str"/>
      <c r="K58" s="2" t="str"/>
      <c r="L58" s="1" t="inlineStr">
        <is>
          <t>Realizada completa</t>
        </is>
      </c>
      <c r="M58" s="2" t="inlineStr">
        <is>
          <t>24-Apr</t>
        </is>
      </c>
      <c r="N58" s="2" t="inlineStr">
        <is>
          <t>24-Apr</t>
        </is>
      </c>
      <c r="O58" s="1" t="inlineStr">
        <is>
          <t>Realizada completa</t>
        </is>
      </c>
      <c r="P58" s="1" t="inlineStr">
        <is>
          <t>42</t>
        </is>
      </c>
      <c r="Q58" s="1" t="inlineStr">
        <is>
          <t>A distancia asistido</t>
        </is>
      </c>
      <c r="R58" s="1">
        <f>IF(H58="Sí",1,0)</f>
        <v/>
      </c>
      <c r="S58" s="1">
        <f>IF(L58="En coordinación",1,0)</f>
        <v/>
      </c>
      <c r="T58" s="1">
        <f>IF(L58="Aceptada",1,0)</f>
        <v/>
      </c>
      <c r="U58" s="1">
        <f>IF(OR(L58="Realizada completa",L58="Realizada incompleta"),1,0)</f>
        <v/>
      </c>
      <c r="V58" s="1">
        <f>IF(L58="Sin respuesta",1,0)</f>
        <v/>
      </c>
    </row>
    <row r="59">
      <c r="A59" s="1" t="inlineStr">
        <is>
          <t>58</t>
        </is>
      </c>
      <c r="B59" s="1" t="inlineStr">
        <is>
          <t>María Ysabel Cedano</t>
        </is>
      </c>
      <c r="C59" s="1" t="inlineStr">
        <is>
          <t>Abogados</t>
        </is>
      </c>
      <c r="D59" s="1" t="inlineStr">
        <is>
          <t>Entrevista de actores clave</t>
        </is>
      </c>
      <c r="E59" s="1" t="inlineStr">
        <is>
          <t>Acompañantes</t>
        </is>
      </c>
      <c r="F59" s="1" t="inlineStr">
        <is>
          <t>Distrito Judicial: Huánuco</t>
        </is>
      </c>
      <c r="G59" s="1" t="inlineStr">
        <is>
          <t>IJM</t>
        </is>
      </c>
      <c r="H59" s="1" t="inlineStr">
        <is>
          <t>Sí</t>
        </is>
      </c>
      <c r="I59" s="2" t="str"/>
      <c r="J59" s="2" t="str"/>
      <c r="K59" s="2" t="str"/>
      <c r="L59" s="1" t="inlineStr">
        <is>
          <t>Sin respuesta</t>
        </is>
      </c>
      <c r="M59" s="2" t="str"/>
      <c r="N59" s="2" t="str"/>
      <c r="O59" s="1" t="inlineStr">
        <is>
          <t>Sin respuesta</t>
        </is>
      </c>
      <c r="P59" s="1" t="str"/>
      <c r="Q59" s="1" t="str"/>
      <c r="R59" s="1">
        <f>IF(H59="Sí",1,0)</f>
        <v/>
      </c>
      <c r="S59" s="1">
        <f>IF(L59="En coordinación",1,0)</f>
        <v/>
      </c>
      <c r="T59" s="1">
        <f>IF(L59="Aceptada",1,0)</f>
        <v/>
      </c>
      <c r="U59" s="1">
        <f>IF(OR(L59="Realizada completa",L59="Realizada incompleta"),1,0)</f>
        <v/>
      </c>
      <c r="V59" s="1">
        <f>IF(L59="Sin respuesta",1,0)</f>
        <v/>
      </c>
    </row>
    <row r="60">
      <c r="A60" s="1" t="inlineStr">
        <is>
          <t>59</t>
        </is>
      </c>
      <c r="B60" s="1" t="inlineStr">
        <is>
          <t>Rocío Villanueva Flores</t>
        </is>
      </c>
      <c r="C60" s="1" t="inlineStr">
        <is>
          <t>Abogados</t>
        </is>
      </c>
      <c r="D60" s="1" t="inlineStr">
        <is>
          <t>Entrevista de actores clave</t>
        </is>
      </c>
      <c r="E60" s="1" t="inlineStr">
        <is>
          <t>Acompañantes</t>
        </is>
      </c>
      <c r="F60" s="1" t="inlineStr">
        <is>
          <t>Nacional</t>
        </is>
      </c>
      <c r="G60" s="1" t="inlineStr">
        <is>
          <t>IJM</t>
        </is>
      </c>
      <c r="H60" s="1" t="inlineStr">
        <is>
          <t>Sí</t>
        </is>
      </c>
      <c r="I60" s="2" t="str"/>
      <c r="J60" s="2" t="str"/>
      <c r="K60" s="2" t="str"/>
      <c r="L60" s="1" t="inlineStr">
        <is>
          <t>Sin respuesta</t>
        </is>
      </c>
      <c r="M60" s="2" t="str"/>
      <c r="N60" s="2" t="str"/>
      <c r="O60" s="1" t="inlineStr">
        <is>
          <t>Sin respuesta</t>
        </is>
      </c>
      <c r="P60" s="1" t="str"/>
      <c r="Q60" s="1" t="str"/>
      <c r="R60" s="1">
        <f>IF(H60="Sí",1,0)</f>
        <v/>
      </c>
      <c r="S60" s="1">
        <f>IF(L60="En coordinación",1,0)</f>
        <v/>
      </c>
      <c r="T60" s="1">
        <f>IF(L60="Aceptada",1,0)</f>
        <v/>
      </c>
      <c r="U60" s="1">
        <f>IF(OR(L60="Realizada completa",L60="Realizada incompleta"),1,0)</f>
        <v/>
      </c>
      <c r="V60" s="1">
        <f>IF(L60="Sin respuesta",1,0)</f>
        <v/>
      </c>
    </row>
    <row r="61">
      <c r="A61" s="1" t="inlineStr">
        <is>
          <t>60</t>
        </is>
      </c>
      <c r="B61" s="1" t="inlineStr">
        <is>
          <t>Eliana Revollar Añaños</t>
        </is>
      </c>
      <c r="C61" s="1" t="inlineStr">
        <is>
          <t>Abogados</t>
        </is>
      </c>
      <c r="D61" s="1" t="inlineStr">
        <is>
          <t>Entrevista de actores clave</t>
        </is>
      </c>
      <c r="E61" s="1" t="inlineStr">
        <is>
          <t>Actores locales</t>
        </is>
      </c>
      <c r="F61" s="1" t="inlineStr">
        <is>
          <t>Distrito Judicial: Lima Norte</t>
        </is>
      </c>
      <c r="G61" s="1" t="inlineStr">
        <is>
          <t>IJM</t>
        </is>
      </c>
      <c r="H61" s="1" t="inlineStr">
        <is>
          <t>No</t>
        </is>
      </c>
      <c r="I61" s="2" t="str"/>
      <c r="J61" s="2" t="str"/>
      <c r="K61" s="2" t="str"/>
      <c r="L61" s="1" t="str"/>
      <c r="M61" s="2" t="str"/>
      <c r="N61" s="2" t="str"/>
      <c r="O61" s="1" t="str"/>
      <c r="P61" s="1" t="str"/>
      <c r="Q61" s="1" t="str"/>
      <c r="R61" s="1">
        <f>IF(H61="Sí",1,0)</f>
        <v/>
      </c>
      <c r="S61" s="1">
        <f>IF(L61="En coordinación",1,0)</f>
        <v/>
      </c>
      <c r="T61" s="1">
        <f>IF(L61="Aceptada",1,0)</f>
        <v/>
      </c>
      <c r="U61" s="1">
        <f>IF(OR(L61="Realizada completa",L61="Realizada incompleta"),1,0)</f>
        <v/>
      </c>
      <c r="V61" s="1">
        <f>IF(L61="Sin respuesta",1,0)</f>
        <v/>
      </c>
    </row>
    <row r="62">
      <c r="A62" s="1" t="inlineStr">
        <is>
          <t>61</t>
        </is>
      </c>
      <c r="B62" s="1" t="inlineStr">
        <is>
          <t>Jacqueline Julissa Pérez Castañeda</t>
        </is>
      </c>
      <c r="C62" s="1" t="inlineStr">
        <is>
          <t>Ministerio Público (Fiscalía)</t>
        </is>
      </c>
      <c r="D62" s="1" t="inlineStr">
        <is>
          <t>Entrevista de actores clave</t>
        </is>
      </c>
      <c r="E62" s="1" t="inlineStr">
        <is>
          <t>Funcionarios del Sistema</t>
        </is>
      </c>
      <c r="F62" s="1" t="inlineStr">
        <is>
          <t>Distrito Judicial: Lima Norte</t>
        </is>
      </c>
      <c r="G62" s="1" t="inlineStr">
        <is>
          <t>IJM</t>
        </is>
      </c>
      <c r="H62" s="1" t="inlineStr">
        <is>
          <t>Sí</t>
        </is>
      </c>
      <c r="I62" s="2" t="inlineStr">
        <is>
          <t xml:space="preserve"> 3/24/2026</t>
        </is>
      </c>
      <c r="J62" s="2" t="inlineStr">
        <is>
          <t xml:space="preserve"> 5/22/2026</t>
        </is>
      </c>
      <c r="K62" s="2" t="str"/>
      <c r="L62" s="1" t="inlineStr">
        <is>
          <t>Sin respuesta</t>
        </is>
      </c>
      <c r="M62" s="2" t="str"/>
      <c r="N62" s="2" t="str"/>
      <c r="O62" s="1" t="inlineStr">
        <is>
          <t>Sin respuesta</t>
        </is>
      </c>
      <c r="P62" s="1" t="str"/>
      <c r="Q62" s="1" t="str"/>
      <c r="R62" s="1">
        <f>IF(H62="Sí",1,0)</f>
        <v/>
      </c>
      <c r="S62" s="1">
        <f>IF(L62="En coordinación",1,0)</f>
        <v/>
      </c>
      <c r="T62" s="1">
        <f>IF(L62="Aceptada",1,0)</f>
        <v/>
      </c>
      <c r="U62" s="1">
        <f>IF(OR(L62="Realizada completa",L62="Realizada incompleta"),1,0)</f>
        <v/>
      </c>
      <c r="V62" s="1">
        <f>IF(L62="Sin respuesta",1,0)</f>
        <v/>
      </c>
    </row>
    <row r="63">
      <c r="A63" s="1" t="inlineStr">
        <is>
          <t>62</t>
        </is>
      </c>
      <c r="B63" s="1" t="inlineStr">
        <is>
          <t>Delia Milagros Espinoza Valenzuela</t>
        </is>
      </c>
      <c r="C63" s="1" t="inlineStr">
        <is>
          <t>Ministerio Público (Fiscalía)</t>
        </is>
      </c>
      <c r="D63" s="1" t="inlineStr">
        <is>
          <t>Entrevista de actores clave</t>
        </is>
      </c>
      <c r="E63" s="1" t="inlineStr">
        <is>
          <t>Funcionarios del Sistema</t>
        </is>
      </c>
      <c r="F63" s="1" t="inlineStr">
        <is>
          <t>Nacional</t>
        </is>
      </c>
      <c r="G63" s="1" t="inlineStr">
        <is>
          <t>IJM</t>
        </is>
      </c>
      <c r="H63" s="1" t="inlineStr">
        <is>
          <t>Sí</t>
        </is>
      </c>
      <c r="I63" s="2" t="inlineStr">
        <is>
          <t xml:space="preserve">  5/5/2026</t>
        </is>
      </c>
      <c r="J63" s="2" t="str"/>
      <c r="K63" s="2" t="str"/>
      <c r="L63" s="1" t="inlineStr">
        <is>
          <t>Sin respuesta</t>
        </is>
      </c>
      <c r="M63" s="2" t="str"/>
      <c r="N63" s="2" t="str"/>
      <c r="O63" s="1" t="inlineStr">
        <is>
          <t>Sin respuesta</t>
        </is>
      </c>
      <c r="P63" s="1" t="str"/>
      <c r="Q63" s="1" t="str"/>
      <c r="R63" s="1">
        <f>IF(H63="Sí",1,0)</f>
        <v/>
      </c>
      <c r="S63" s="1">
        <f>IF(L63="En coordinación",1,0)</f>
        <v/>
      </c>
      <c r="T63" s="1">
        <f>IF(L63="Aceptada",1,0)</f>
        <v/>
      </c>
      <c r="U63" s="1">
        <f>IF(OR(L63="Realizada completa",L63="Realizada incompleta"),1,0)</f>
        <v/>
      </c>
      <c r="V63" s="1">
        <f>IF(L63="Sin respuesta",1,0)</f>
        <v/>
      </c>
    </row>
    <row r="64">
      <c r="A64" s="1" t="inlineStr">
        <is>
          <t>63</t>
        </is>
      </c>
      <c r="B64" s="1" t="inlineStr">
        <is>
          <t>Judith Gisella Caruhapoma Ortega</t>
        </is>
      </c>
      <c r="C64" s="1" t="inlineStr">
        <is>
          <t>Ministerio Público (Fiscalía)</t>
        </is>
      </c>
      <c r="D64" s="1" t="inlineStr">
        <is>
          <t>Entrevista de actores clave</t>
        </is>
      </c>
      <c r="E64" s="1" t="inlineStr">
        <is>
          <t>Funcionarios del Sistema</t>
        </is>
      </c>
      <c r="F64" s="1" t="inlineStr">
        <is>
          <t>Distrito Judicial: Ayacucho</t>
        </is>
      </c>
      <c r="G64" s="1" t="inlineStr">
        <is>
          <t>IJM</t>
        </is>
      </c>
      <c r="H64" s="1" t="inlineStr">
        <is>
          <t>Sí</t>
        </is>
      </c>
      <c r="I64" s="2" t="inlineStr">
        <is>
          <t xml:space="preserve"> 3/24/2026</t>
        </is>
      </c>
      <c r="J64" s="2" t="inlineStr">
        <is>
          <t xml:space="preserve">  5/5/2026</t>
        </is>
      </c>
      <c r="K64" s="2" t="str"/>
      <c r="L64" s="1" t="inlineStr">
        <is>
          <t>Sin respuesta</t>
        </is>
      </c>
      <c r="M64" s="2" t="str"/>
      <c r="N64" s="2" t="str"/>
      <c r="O64" s="1" t="inlineStr">
        <is>
          <t>Sin respuesta</t>
        </is>
      </c>
      <c r="P64" s="1" t="str"/>
      <c r="Q64" s="1" t="str"/>
      <c r="R64" s="1">
        <f>IF(H64="Sí",1,0)</f>
        <v/>
      </c>
      <c r="S64" s="1">
        <f>IF(L64="En coordinación",1,0)</f>
        <v/>
      </c>
      <c r="T64" s="1">
        <f>IF(L64="Aceptada",1,0)</f>
        <v/>
      </c>
      <c r="U64" s="1">
        <f>IF(OR(L64="Realizada completa",L64="Realizada incompleta"),1,0)</f>
        <v/>
      </c>
      <c r="V64" s="1">
        <f>IF(L64="Sin respuesta",1,0)</f>
        <v/>
      </c>
    </row>
    <row r="65">
      <c r="A65" s="1" t="inlineStr">
        <is>
          <t>64</t>
        </is>
      </c>
      <c r="B65" s="1" t="inlineStr">
        <is>
          <t>Ingrid Carola Chumbe Rodriguez</t>
        </is>
      </c>
      <c r="C65" s="1" t="inlineStr">
        <is>
          <t>Ministerio Público (Fiscalía)</t>
        </is>
      </c>
      <c r="D65" s="1" t="inlineStr">
        <is>
          <t>Entrevista de actores clave</t>
        </is>
      </c>
      <c r="E65" s="1" t="inlineStr">
        <is>
          <t>Funcionarios del Sistema</t>
        </is>
      </c>
      <c r="F65" s="1" t="inlineStr">
        <is>
          <t>Nacional</t>
        </is>
      </c>
      <c r="G65" s="1" t="inlineStr">
        <is>
          <t>IJM</t>
        </is>
      </c>
      <c r="H65" s="1" t="inlineStr">
        <is>
          <t>Sí</t>
        </is>
      </c>
      <c r="I65" s="2" t="inlineStr">
        <is>
          <t xml:space="preserve"> 3/20/2026</t>
        </is>
      </c>
      <c r="J65" s="2" t="inlineStr">
        <is>
          <t xml:space="preserve"> 3/24/2026</t>
        </is>
      </c>
      <c r="K65" s="2" t="str"/>
      <c r="L65" s="1" t="inlineStr">
        <is>
          <t>Sin respuesta</t>
        </is>
      </c>
      <c r="M65" s="2" t="str"/>
      <c r="N65" s="2" t="str"/>
      <c r="O65" s="1" t="inlineStr">
        <is>
          <t>Sin respuesta</t>
        </is>
      </c>
      <c r="P65" s="1" t="str"/>
      <c r="Q65" s="1" t="str"/>
      <c r="R65" s="1">
        <f>IF(H65="Sí",1,0)</f>
        <v/>
      </c>
      <c r="S65" s="1">
        <f>IF(L65="En coordinación",1,0)</f>
        <v/>
      </c>
      <c r="T65" s="1">
        <f>IF(L65="Aceptada",1,0)</f>
        <v/>
      </c>
      <c r="U65" s="1">
        <f>IF(OR(L65="Realizada completa",L65="Realizada incompleta"),1,0)</f>
        <v/>
      </c>
      <c r="V65" s="1">
        <f>IF(L65="Sin respuesta",1,0)</f>
        <v/>
      </c>
    </row>
    <row r="66">
      <c r="A66" s="1" t="inlineStr">
        <is>
          <t>65</t>
        </is>
      </c>
      <c r="B66" s="1" t="inlineStr">
        <is>
          <t>Juan Carlos Villena Campana</t>
        </is>
      </c>
      <c r="C66" s="1" t="inlineStr">
        <is>
          <t>Ministerio Público (Fiscalía)</t>
        </is>
      </c>
      <c r="D66" s="1" t="inlineStr">
        <is>
          <t>Entrevista de actores clave</t>
        </is>
      </c>
      <c r="E66" s="1" t="inlineStr">
        <is>
          <t>Funcionarios del Sistema</t>
        </is>
      </c>
      <c r="F66" s="1" t="inlineStr">
        <is>
          <t>Nacional</t>
        </is>
      </c>
      <c r="G66" s="1" t="inlineStr">
        <is>
          <t>IJM</t>
        </is>
      </c>
      <c r="H66" s="1" t="inlineStr">
        <is>
          <t>Sí</t>
        </is>
      </c>
      <c r="I66" s="2" t="inlineStr">
        <is>
          <t xml:space="preserve">  5/5/2026</t>
        </is>
      </c>
      <c r="J66" s="2" t="str"/>
      <c r="K66" s="2" t="str"/>
      <c r="L66" s="1" t="inlineStr">
        <is>
          <t>Sin respuesta</t>
        </is>
      </c>
      <c r="M66" s="2" t="str"/>
      <c r="N66" s="2" t="str"/>
      <c r="O66" s="1" t="inlineStr">
        <is>
          <t>Sin respuesta</t>
        </is>
      </c>
      <c r="P66" s="1" t="str"/>
      <c r="Q66" s="1" t="str"/>
      <c r="R66" s="1">
        <f>IF(H66="Sí",1,0)</f>
        <v/>
      </c>
      <c r="S66" s="1">
        <f>IF(L66="En coordinación",1,0)</f>
        <v/>
      </c>
      <c r="T66" s="1">
        <f>IF(L66="Aceptada",1,0)</f>
        <v/>
      </c>
      <c r="U66" s="1">
        <f>IF(OR(L66="Realizada completa",L66="Realizada incompleta"),1,0)</f>
        <v/>
      </c>
      <c r="V66" s="1">
        <f>IF(L66="Sin respuesta",1,0)</f>
        <v/>
      </c>
    </row>
    <row r="67">
      <c r="A67" s="1" t="inlineStr">
        <is>
          <t>66</t>
        </is>
      </c>
      <c r="B67" s="1" t="inlineStr">
        <is>
          <t>Sebastian Ticona Flores</t>
        </is>
      </c>
      <c r="C67" s="1" t="inlineStr">
        <is>
          <t>Ministerio Público (Fiscalía)</t>
        </is>
      </c>
      <c r="D67" s="1" t="inlineStr">
        <is>
          <t>Entrevista de actores clave</t>
        </is>
      </c>
      <c r="E67" s="1" t="inlineStr">
        <is>
          <t>Funcionarios del Sistema</t>
        </is>
      </c>
      <c r="F67" s="1" t="inlineStr">
        <is>
          <t>Distrito Judicial: Cajamarca</t>
        </is>
      </c>
      <c r="G67" s="1" t="inlineStr">
        <is>
          <t>IJM</t>
        </is>
      </c>
      <c r="H67" s="1" t="inlineStr">
        <is>
          <t>Sí</t>
        </is>
      </c>
      <c r="I67" s="2" t="inlineStr">
        <is>
          <t xml:space="preserve">  5/5/2026</t>
        </is>
      </c>
      <c r="J67" s="2" t="inlineStr">
        <is>
          <t xml:space="preserve"> 5/20/2026</t>
        </is>
      </c>
      <c r="K67" s="2" t="str"/>
      <c r="L67" s="1" t="inlineStr">
        <is>
          <t>Sin respuesta</t>
        </is>
      </c>
      <c r="M67" s="2" t="str"/>
      <c r="N67" s="2" t="str"/>
      <c r="O67" s="1" t="inlineStr">
        <is>
          <t>Sin respuesta</t>
        </is>
      </c>
      <c r="P67" s="1" t="str"/>
      <c r="Q67" s="1" t="str"/>
      <c r="R67" s="1">
        <f>IF(H67="Sí",1,0)</f>
        <v/>
      </c>
      <c r="S67" s="1">
        <f>IF(L67="En coordinación",1,0)</f>
        <v/>
      </c>
      <c r="T67" s="1">
        <f>IF(L67="Aceptada",1,0)</f>
        <v/>
      </c>
      <c r="U67" s="1">
        <f>IF(OR(L67="Realizada completa",L67="Realizada incompleta"),1,0)</f>
        <v/>
      </c>
      <c r="V67" s="1">
        <f>IF(L67="Sin respuesta",1,0)</f>
        <v/>
      </c>
    </row>
    <row r="68">
      <c r="A68" s="1" t="inlineStr">
        <is>
          <t>67</t>
        </is>
      </c>
      <c r="B68" s="1" t="inlineStr">
        <is>
          <t>Griselda Venero De Monteagudo</t>
        </is>
      </c>
      <c r="C68" s="1" t="inlineStr">
        <is>
          <t>Ministerio Público (Fiscalía)</t>
        </is>
      </c>
      <c r="D68" s="1" t="inlineStr">
        <is>
          <t>Entrevista de actores clave</t>
        </is>
      </c>
      <c r="E68" s="1" t="inlineStr">
        <is>
          <t>Funcionarios del Sistema</t>
        </is>
      </c>
      <c r="F68" s="1" t="inlineStr">
        <is>
          <t>Nacional</t>
        </is>
      </c>
      <c r="G68" s="1" t="inlineStr">
        <is>
          <t>IJM</t>
        </is>
      </c>
      <c r="H68" s="1" t="inlineStr">
        <is>
          <t>Sí</t>
        </is>
      </c>
      <c r="I68" s="2" t="inlineStr">
        <is>
          <t xml:space="preserve">  5/5/2026</t>
        </is>
      </c>
      <c r="J68" s="2" t="inlineStr">
        <is>
          <t xml:space="preserve"> 5/20/2026</t>
        </is>
      </c>
      <c r="K68" s="2" t="str"/>
      <c r="L68" s="1" t="inlineStr">
        <is>
          <t>Sin respuesta</t>
        </is>
      </c>
      <c r="M68" s="2" t="str"/>
      <c r="N68" s="2" t="str"/>
      <c r="O68" s="1" t="inlineStr">
        <is>
          <t>Sin respuesta</t>
        </is>
      </c>
      <c r="P68" s="1" t="str"/>
      <c r="Q68" s="1" t="str"/>
      <c r="R68" s="1">
        <f>IF(H68="Sí",1,0)</f>
        <v/>
      </c>
      <c r="S68" s="1">
        <f>IF(L68="En coordinación",1,0)</f>
        <v/>
      </c>
      <c r="T68" s="1">
        <f>IF(L68="Aceptada",1,0)</f>
        <v/>
      </c>
      <c r="U68" s="1">
        <f>IF(OR(L68="Realizada completa",L68="Realizada incompleta"),1,0)</f>
        <v/>
      </c>
      <c r="V68" s="1">
        <f>IF(L68="Sin respuesta",1,0)</f>
        <v/>
      </c>
    </row>
    <row r="69">
      <c r="A69" s="1" t="inlineStr">
        <is>
          <t>68</t>
        </is>
      </c>
      <c r="B69" s="1" t="inlineStr">
        <is>
          <t>Sofia Milla Meza</t>
        </is>
      </c>
      <c r="C69" s="1" t="inlineStr">
        <is>
          <t>Ministerio Público (Fiscalía)</t>
        </is>
      </c>
      <c r="D69" s="1" t="inlineStr">
        <is>
          <t>Entrevista de actores clave</t>
        </is>
      </c>
      <c r="E69" s="1" t="inlineStr">
        <is>
          <t>Funcionarios del Sistema</t>
        </is>
      </c>
      <c r="F69" s="1" t="inlineStr">
        <is>
          <t>Nacional</t>
        </is>
      </c>
      <c r="G69" s="1" t="inlineStr">
        <is>
          <t>IJM</t>
        </is>
      </c>
      <c r="H69" s="1" t="inlineStr">
        <is>
          <t>Sí</t>
        </is>
      </c>
      <c r="I69" s="2" t="inlineStr">
        <is>
          <t xml:space="preserve">  5/5/2026</t>
        </is>
      </c>
      <c r="J69" s="2" t="inlineStr">
        <is>
          <t xml:space="preserve"> 5/20/2026</t>
        </is>
      </c>
      <c r="K69" s="2" t="str"/>
      <c r="L69" s="1" t="inlineStr">
        <is>
          <t>Sin respuesta</t>
        </is>
      </c>
      <c r="M69" s="2" t="str"/>
      <c r="N69" s="2" t="str"/>
      <c r="O69" s="1" t="inlineStr">
        <is>
          <t>Sin respuesta</t>
        </is>
      </c>
      <c r="P69" s="1" t="str"/>
      <c r="Q69" s="1" t="str"/>
      <c r="R69" s="1">
        <f>IF(H69="Sí",1,0)</f>
        <v/>
      </c>
      <c r="S69" s="1">
        <f>IF(L69="En coordinación",1,0)</f>
        <v/>
      </c>
      <c r="T69" s="1">
        <f>IF(L69="Aceptada",1,0)</f>
        <v/>
      </c>
      <c r="U69" s="1">
        <f>IF(OR(L69="Realizada completa",L69="Realizada incompleta"),1,0)</f>
        <v/>
      </c>
      <c r="V69" s="1">
        <f>IF(L69="Sin respuesta",1,0)</f>
        <v/>
      </c>
    </row>
    <row r="70">
      <c r="A70" s="1" t="inlineStr">
        <is>
          <t>69</t>
        </is>
      </c>
      <c r="B70" s="1" t="inlineStr">
        <is>
          <t>Jhonny Ruelas Roque</t>
        </is>
      </c>
      <c r="C70" s="1" t="inlineStr">
        <is>
          <t>Ministerio Público (Fiscalía)</t>
        </is>
      </c>
      <c r="D70" s="1" t="inlineStr">
        <is>
          <t>Entrevista de actores clave</t>
        </is>
      </c>
      <c r="E70" s="1" t="inlineStr">
        <is>
          <t>Funcionarios del Sistema</t>
        </is>
      </c>
      <c r="F70" s="1" t="inlineStr">
        <is>
          <t>Distrito Judicial: Apurímac</t>
        </is>
      </c>
      <c r="G70" s="1" t="inlineStr">
        <is>
          <t>IJM</t>
        </is>
      </c>
      <c r="H70" s="1" t="inlineStr">
        <is>
          <t>Sí</t>
        </is>
      </c>
      <c r="I70" s="2" t="inlineStr">
        <is>
          <t xml:space="preserve">  5/5/2026</t>
        </is>
      </c>
      <c r="J70" s="2" t="inlineStr">
        <is>
          <t xml:space="preserve"> 5/20/2026</t>
        </is>
      </c>
      <c r="K70" s="2" t="str"/>
      <c r="L70" s="1" t="inlineStr">
        <is>
          <t>Sin respuesta</t>
        </is>
      </c>
      <c r="M70" s="2" t="str"/>
      <c r="N70" s="2" t="str"/>
      <c r="O70" s="1" t="inlineStr">
        <is>
          <t>Sin respuesta</t>
        </is>
      </c>
      <c r="P70" s="1" t="str"/>
      <c r="Q70" s="1" t="str"/>
      <c r="R70" s="1">
        <f>IF(H70="Sí",1,0)</f>
        <v/>
      </c>
      <c r="S70" s="1">
        <f>IF(L70="En coordinación",1,0)</f>
        <v/>
      </c>
      <c r="T70" s="1">
        <f>IF(L70="Aceptada",1,0)</f>
        <v/>
      </c>
      <c r="U70" s="1">
        <f>IF(OR(L70="Realizada completa",L70="Realizada incompleta"),1,0)</f>
        <v/>
      </c>
      <c r="V70" s="1">
        <f>IF(L70="Sin respuesta",1,0)</f>
        <v/>
      </c>
    </row>
    <row r="71">
      <c r="A71" s="1" t="inlineStr">
        <is>
          <t>70</t>
        </is>
      </c>
      <c r="B71" s="1" t="inlineStr">
        <is>
          <t>Gilder Zapana Mayta</t>
        </is>
      </c>
      <c r="C71" s="1" t="inlineStr">
        <is>
          <t>Ministerio Público (Fiscalía)</t>
        </is>
      </c>
      <c r="D71" s="1" t="inlineStr">
        <is>
          <t>Entrevista de actores clave</t>
        </is>
      </c>
      <c r="E71" s="1" t="inlineStr">
        <is>
          <t>Funcionarios del Sistema</t>
        </is>
      </c>
      <c r="F71" s="1" t="inlineStr">
        <is>
          <t>Distrito Judicial: Apurímac</t>
        </is>
      </c>
      <c r="G71" s="1" t="inlineStr">
        <is>
          <t>IJM</t>
        </is>
      </c>
      <c r="H71" s="1" t="inlineStr">
        <is>
          <t>Sí</t>
        </is>
      </c>
      <c r="I71" s="2" t="inlineStr">
        <is>
          <t xml:space="preserve">  5/5/2026</t>
        </is>
      </c>
      <c r="J71" s="2" t="str"/>
      <c r="K71" s="2" t="str"/>
      <c r="L71" s="1" t="inlineStr">
        <is>
          <t>Sin respuesta</t>
        </is>
      </c>
      <c r="M71" s="2" t="str"/>
      <c r="N71" s="2" t="str"/>
      <c r="O71" s="1" t="inlineStr">
        <is>
          <t>Sin respuesta</t>
        </is>
      </c>
      <c r="P71" s="1" t="str"/>
      <c r="Q71" s="1" t="str"/>
      <c r="R71" s="1">
        <f>IF(H71="Sí",1,0)</f>
        <v/>
      </c>
      <c r="S71" s="1">
        <f>IF(L71="En coordinación",1,0)</f>
        <v/>
      </c>
      <c r="T71" s="1">
        <f>IF(L71="Aceptada",1,0)</f>
        <v/>
      </c>
      <c r="U71" s="1">
        <f>IF(OR(L71="Realizada completa",L71="Realizada incompleta"),1,0)</f>
        <v/>
      </c>
      <c r="V71" s="1">
        <f>IF(L71="Sin respuesta",1,0)</f>
        <v/>
      </c>
    </row>
    <row r="72">
      <c r="A72" s="1" t="inlineStr">
        <is>
          <t>71</t>
        </is>
      </c>
      <c r="B72" s="1" t="inlineStr">
        <is>
          <t>Helem Retamozo Meza</t>
        </is>
      </c>
      <c r="C72" s="1" t="inlineStr">
        <is>
          <t>Ministerio Público (Fiscalía)</t>
        </is>
      </c>
      <c r="D72" s="1" t="inlineStr">
        <is>
          <t>Entrevista de actores clave</t>
        </is>
      </c>
      <c r="E72" s="1" t="inlineStr">
        <is>
          <t>Funcionarios del Sistema</t>
        </is>
      </c>
      <c r="F72" s="1" t="inlineStr">
        <is>
          <t>Distrito Judicial: Apurímac</t>
        </is>
      </c>
      <c r="G72" s="1" t="inlineStr">
        <is>
          <t>IJM</t>
        </is>
      </c>
      <c r="H72" s="1" t="inlineStr">
        <is>
          <t>Sí</t>
        </is>
      </c>
      <c r="I72" s="2" t="inlineStr">
        <is>
          <t xml:space="preserve">  5/5/2026</t>
        </is>
      </c>
      <c r="J72" s="2" t="str"/>
      <c r="K72" s="2" t="str"/>
      <c r="L72" s="1" t="inlineStr">
        <is>
          <t>Sin respuesta</t>
        </is>
      </c>
      <c r="M72" s="2" t="str"/>
      <c r="N72" s="2" t="str"/>
      <c r="O72" s="1" t="inlineStr">
        <is>
          <t>Sin respuesta</t>
        </is>
      </c>
      <c r="P72" s="1" t="str"/>
      <c r="Q72" s="1" t="str"/>
      <c r="R72" s="1">
        <f>IF(H72="Sí",1,0)</f>
        <v/>
      </c>
      <c r="S72" s="1">
        <f>IF(L72="En coordinación",1,0)</f>
        <v/>
      </c>
      <c r="T72" s="1">
        <f>IF(L72="Aceptada",1,0)</f>
        <v/>
      </c>
      <c r="U72" s="1">
        <f>IF(OR(L72="Realizada completa",L72="Realizada incompleta"),1,0)</f>
        <v/>
      </c>
      <c r="V72" s="1">
        <f>IF(L72="Sin respuesta",1,0)</f>
        <v/>
      </c>
    </row>
    <row r="73">
      <c r="A73" s="1" t="inlineStr">
        <is>
          <t>72</t>
        </is>
      </c>
      <c r="B73" s="1" t="inlineStr">
        <is>
          <t>Diana Ildaura Suquilanda Zavalaga</t>
        </is>
      </c>
      <c r="C73" s="1" t="inlineStr">
        <is>
          <t>Ministerio Público (Fiscalía)</t>
        </is>
      </c>
      <c r="D73" s="1" t="inlineStr">
        <is>
          <t>Entrevista de actores clave</t>
        </is>
      </c>
      <c r="E73" s="1" t="inlineStr">
        <is>
          <t>Funcionarios del Sistema</t>
        </is>
      </c>
      <c r="F73" s="1" t="inlineStr">
        <is>
          <t>Distrito Judicial: Apurímac</t>
        </is>
      </c>
      <c r="G73" s="1" t="inlineStr">
        <is>
          <t>IJM</t>
        </is>
      </c>
      <c r="H73" s="1" t="inlineStr">
        <is>
          <t>Sí</t>
        </is>
      </c>
      <c r="I73" s="2" t="inlineStr">
        <is>
          <t xml:space="preserve"> 3/20/2026</t>
        </is>
      </c>
      <c r="J73" s="2" t="inlineStr">
        <is>
          <t xml:space="preserve">  5/5/2026</t>
        </is>
      </c>
      <c r="K73" s="2" t="str"/>
      <c r="L73" s="1" t="inlineStr">
        <is>
          <t>Sin respuesta</t>
        </is>
      </c>
      <c r="M73" s="2" t="str"/>
      <c r="N73" s="2" t="str"/>
      <c r="O73" s="1" t="inlineStr">
        <is>
          <t>Sin respuesta</t>
        </is>
      </c>
      <c r="P73" s="1" t="str"/>
      <c r="Q73" s="1" t="str"/>
      <c r="R73" s="1">
        <f>IF(H73="Sí",1,0)</f>
        <v/>
      </c>
      <c r="S73" s="1">
        <f>IF(L73="En coordinación",1,0)</f>
        <v/>
      </c>
      <c r="T73" s="1">
        <f>IF(L73="Aceptada",1,0)</f>
        <v/>
      </c>
      <c r="U73" s="1">
        <f>IF(OR(L73="Realizada completa",L73="Realizada incompleta"),1,0)</f>
        <v/>
      </c>
      <c r="V73" s="1">
        <f>IF(L73="Sin respuesta",1,0)</f>
        <v/>
      </c>
    </row>
    <row r="74">
      <c r="A74" s="1" t="inlineStr">
        <is>
          <t>73</t>
        </is>
      </c>
      <c r="B74" s="1" t="inlineStr">
        <is>
          <t>Pedro Luza Chullo</t>
        </is>
      </c>
      <c r="C74" s="1" t="inlineStr">
        <is>
          <t>Ministerio Público (Fiscalía)</t>
        </is>
      </c>
      <c r="D74" s="1" t="inlineStr">
        <is>
          <t>Entrevista de actores clave</t>
        </is>
      </c>
      <c r="E74" s="1" t="inlineStr">
        <is>
          <t>Funcionarios del Sistema</t>
        </is>
      </c>
      <c r="F74" s="1" t="inlineStr">
        <is>
          <t>Distrito Judicial: Huánuco</t>
        </is>
      </c>
      <c r="G74" s="1" t="inlineStr">
        <is>
          <t>IJM</t>
        </is>
      </c>
      <c r="H74" s="1" t="inlineStr">
        <is>
          <t>Sí</t>
        </is>
      </c>
      <c r="I74" s="2" t="inlineStr">
        <is>
          <t xml:space="preserve">  5/5/2026</t>
        </is>
      </c>
      <c r="J74" s="2" t="str"/>
      <c r="K74" s="2" t="str"/>
      <c r="L74" s="1" t="inlineStr">
        <is>
          <t>Sin respuesta</t>
        </is>
      </c>
      <c r="M74" s="2" t="str"/>
      <c r="N74" s="2" t="str"/>
      <c r="O74" s="1" t="inlineStr">
        <is>
          <t>Sin respuesta</t>
        </is>
      </c>
      <c r="P74" s="1" t="str"/>
      <c r="Q74" s="1" t="str"/>
      <c r="R74" s="1">
        <f>IF(H74="Sí",1,0)</f>
        <v/>
      </c>
      <c r="S74" s="1">
        <f>IF(L74="En coordinación",1,0)</f>
        <v/>
      </c>
      <c r="T74" s="1">
        <f>IF(L74="Aceptada",1,0)</f>
        <v/>
      </c>
      <c r="U74" s="1">
        <f>IF(OR(L74="Realizada completa",L74="Realizada incompleta"),1,0)</f>
        <v/>
      </c>
      <c r="V74" s="1">
        <f>IF(L74="Sin respuesta",1,0)</f>
        <v/>
      </c>
    </row>
    <row r="75">
      <c r="A75" s="1" t="inlineStr">
        <is>
          <t>74</t>
        </is>
      </c>
      <c r="B75" s="1" t="inlineStr">
        <is>
          <t>Mirco Coz Berrospi</t>
        </is>
      </c>
      <c r="C75" s="1" t="inlineStr">
        <is>
          <t>Ministerio Público (Fiscalía)</t>
        </is>
      </c>
      <c r="D75" s="1" t="inlineStr">
        <is>
          <t>Entrevista de actores clave</t>
        </is>
      </c>
      <c r="E75" s="1" t="inlineStr">
        <is>
          <t>Funcionarios del Sistema</t>
        </is>
      </c>
      <c r="F75" s="1" t="inlineStr">
        <is>
          <t>Distrito Judicial: Huánuco</t>
        </is>
      </c>
      <c r="G75" s="1" t="inlineStr">
        <is>
          <t>IJM</t>
        </is>
      </c>
      <c r="H75" s="1" t="inlineStr">
        <is>
          <t>Sí</t>
        </is>
      </c>
      <c r="I75" s="2" t="inlineStr">
        <is>
          <t xml:space="preserve">  5/5/2026</t>
        </is>
      </c>
      <c r="J75" s="2" t="str"/>
      <c r="K75" s="2" t="str"/>
      <c r="L75" s="1" t="inlineStr">
        <is>
          <t>Sin respuesta</t>
        </is>
      </c>
      <c r="M75" s="2" t="str"/>
      <c r="N75" s="2" t="str"/>
      <c r="O75" s="1" t="inlineStr">
        <is>
          <t>Sin respuesta</t>
        </is>
      </c>
      <c r="P75" s="1" t="str"/>
      <c r="Q75" s="1" t="str"/>
      <c r="R75" s="1">
        <f>IF(H75="Sí",1,0)</f>
        <v/>
      </c>
      <c r="S75" s="1">
        <f>IF(L75="En coordinación",1,0)</f>
        <v/>
      </c>
      <c r="T75" s="1">
        <f>IF(L75="Aceptada",1,0)</f>
        <v/>
      </c>
      <c r="U75" s="1">
        <f>IF(OR(L75="Realizada completa",L75="Realizada incompleta"),1,0)</f>
        <v/>
      </c>
      <c r="V75" s="1">
        <f>IF(L75="Sin respuesta",1,0)</f>
        <v/>
      </c>
    </row>
    <row r="76">
      <c r="A76" s="1" t="inlineStr">
        <is>
          <t>75</t>
        </is>
      </c>
      <c r="B76" s="1" t="inlineStr">
        <is>
          <t>Maria Elena Tores Quispe</t>
        </is>
      </c>
      <c r="C76" s="1" t="inlineStr">
        <is>
          <t>Ministerio Público (Fiscalía)</t>
        </is>
      </c>
      <c r="D76" s="1" t="inlineStr">
        <is>
          <t>Entrevista de actores clave</t>
        </is>
      </c>
      <c r="E76" s="1" t="inlineStr">
        <is>
          <t>Funcionarios del Sistema</t>
        </is>
      </c>
      <c r="F76" s="1" t="inlineStr">
        <is>
          <t>Distrito Judicial: Huánuco</t>
        </is>
      </c>
      <c r="G76" s="1" t="inlineStr">
        <is>
          <t>IJM</t>
        </is>
      </c>
      <c r="H76" s="1" t="inlineStr">
        <is>
          <t>No</t>
        </is>
      </c>
      <c r="I76" s="2" t="str"/>
      <c r="J76" s="2" t="str"/>
      <c r="K76" s="2" t="str"/>
      <c r="L76" s="1" t="str"/>
      <c r="M76" s="2" t="str"/>
      <c r="N76" s="2" t="str"/>
      <c r="O76" s="1" t="str"/>
      <c r="P76" s="1" t="str"/>
      <c r="Q76" s="1" t="str"/>
      <c r="R76" s="1">
        <f>IF(H76="Sí",1,0)</f>
        <v/>
      </c>
      <c r="S76" s="1">
        <f>IF(L76="En coordinación",1,0)</f>
        <v/>
      </c>
      <c r="T76" s="1">
        <f>IF(L76="Aceptada",1,0)</f>
        <v/>
      </c>
      <c r="U76" s="1">
        <f>IF(OR(L76="Realizada completa",L76="Realizada incompleta"),1,0)</f>
        <v/>
      </c>
      <c r="V76" s="1">
        <f>IF(L76="Sin respuesta",1,0)</f>
        <v/>
      </c>
    </row>
    <row r="77">
      <c r="A77" s="1" t="inlineStr">
        <is>
          <t>76</t>
        </is>
      </c>
      <c r="B77" s="1" t="inlineStr">
        <is>
          <t>Claudia Belinda Chirito Cano</t>
        </is>
      </c>
      <c r="C77" s="1" t="inlineStr">
        <is>
          <t>Ministerio Público (Fiscalía)</t>
        </is>
      </c>
      <c r="D77" s="1" t="inlineStr">
        <is>
          <t>Entrevista de actores clave</t>
        </is>
      </c>
      <c r="E77" s="1" t="inlineStr">
        <is>
          <t>Funcionarios del Sistema</t>
        </is>
      </c>
      <c r="F77" s="1" t="inlineStr">
        <is>
          <t>Distrito Judicial: Ucayali</t>
        </is>
      </c>
      <c r="G77" s="1" t="inlineStr">
        <is>
          <t>IJM</t>
        </is>
      </c>
      <c r="H77" s="1" t="inlineStr">
        <is>
          <t>Sí</t>
        </is>
      </c>
      <c r="I77" s="2" t="inlineStr">
        <is>
          <t xml:space="preserve"> 3/25/2026</t>
        </is>
      </c>
      <c r="J77" s="2" t="inlineStr">
        <is>
          <t xml:space="preserve">  5/5/2026</t>
        </is>
      </c>
      <c r="K77" s="2" t="str"/>
      <c r="L77" s="1" t="inlineStr">
        <is>
          <t>Sin respuesta</t>
        </is>
      </c>
      <c r="M77" s="2" t="str"/>
      <c r="N77" s="2" t="str"/>
      <c r="O77" s="1" t="inlineStr">
        <is>
          <t>Sin respuesta</t>
        </is>
      </c>
      <c r="P77" s="1" t="str"/>
      <c r="Q77" s="1" t="str"/>
      <c r="R77" s="1">
        <f>IF(H77="Sí",1,0)</f>
        <v/>
      </c>
      <c r="S77" s="1">
        <f>IF(L77="En coordinación",1,0)</f>
        <v/>
      </c>
      <c r="T77" s="1">
        <f>IF(L77="Aceptada",1,0)</f>
        <v/>
      </c>
      <c r="U77" s="1">
        <f>IF(OR(L77="Realizada completa",L77="Realizada incompleta"),1,0)</f>
        <v/>
      </c>
      <c r="V77" s="1">
        <f>IF(L77="Sin respuesta",1,0)</f>
        <v/>
      </c>
    </row>
    <row r="78">
      <c r="A78" s="1" t="inlineStr">
        <is>
          <t>77</t>
        </is>
      </c>
      <c r="B78" s="1" t="inlineStr">
        <is>
          <t>Marco Antonio Yaipen Zapata</t>
        </is>
      </c>
      <c r="C78" s="1" t="inlineStr">
        <is>
          <t>Ministerio Público (Fiscalía)</t>
        </is>
      </c>
      <c r="D78" s="1" t="inlineStr">
        <is>
          <t>Entrevista de actores clave</t>
        </is>
      </c>
      <c r="E78" s="1" t="inlineStr">
        <is>
          <t>Funcionarios del Sistema</t>
        </is>
      </c>
      <c r="F78" s="1" t="inlineStr">
        <is>
          <t>Distrito Judicial: Ucayali</t>
        </is>
      </c>
      <c r="G78" s="1" t="inlineStr">
        <is>
          <t>IJM</t>
        </is>
      </c>
      <c r="H78" s="1" t="inlineStr">
        <is>
          <t>Sí</t>
        </is>
      </c>
      <c r="I78" s="2" t="inlineStr">
        <is>
          <t xml:space="preserve">  5/5/2026</t>
        </is>
      </c>
      <c r="J78" s="2" t="str"/>
      <c r="K78" s="2" t="str"/>
      <c r="L78" s="1" t="inlineStr">
        <is>
          <t>Sin respuesta</t>
        </is>
      </c>
      <c r="M78" s="2" t="str"/>
      <c r="N78" s="2" t="str"/>
      <c r="O78" s="1" t="inlineStr">
        <is>
          <t>Sin respuesta</t>
        </is>
      </c>
      <c r="P78" s="1" t="str"/>
      <c r="Q78" s="1" t="str"/>
      <c r="R78" s="1">
        <f>IF(H78="Sí",1,0)</f>
        <v/>
      </c>
      <c r="S78" s="1">
        <f>IF(L78="En coordinación",1,0)</f>
        <v/>
      </c>
      <c r="T78" s="1">
        <f>IF(L78="Aceptada",1,0)</f>
        <v/>
      </c>
      <c r="U78" s="1">
        <f>IF(OR(L78="Realizada completa",L78="Realizada incompleta"),1,0)</f>
        <v/>
      </c>
      <c r="V78" s="1">
        <f>IF(L78="Sin respuesta",1,0)</f>
        <v/>
      </c>
    </row>
    <row r="79">
      <c r="A79" s="1" t="inlineStr">
        <is>
          <t>78</t>
        </is>
      </c>
      <c r="B79" s="1" t="inlineStr">
        <is>
          <t>Gladys Pendola Arviza</t>
        </is>
      </c>
      <c r="C79" s="1" t="inlineStr">
        <is>
          <t>Ministerio Público (Fiscalía)</t>
        </is>
      </c>
      <c r="D79" s="1" t="inlineStr">
        <is>
          <t>Entrevista de actores clave</t>
        </is>
      </c>
      <c r="E79" s="1" t="inlineStr">
        <is>
          <t>Funcionarios del Sistema</t>
        </is>
      </c>
      <c r="F79" s="1" t="inlineStr">
        <is>
          <t>Distrito Judicial: Ucayali</t>
        </is>
      </c>
      <c r="G79" s="1" t="inlineStr">
        <is>
          <t>IJM</t>
        </is>
      </c>
      <c r="H79" s="1" t="inlineStr">
        <is>
          <t>Sí</t>
        </is>
      </c>
      <c r="I79" s="2" t="inlineStr">
        <is>
          <t xml:space="preserve">  5/5/2026</t>
        </is>
      </c>
      <c r="J79" s="2" t="str"/>
      <c r="K79" s="2" t="str"/>
      <c r="L79" s="1" t="inlineStr">
        <is>
          <t>Sin respuesta</t>
        </is>
      </c>
      <c r="M79" s="2" t="str"/>
      <c r="N79" s="2" t="str"/>
      <c r="O79" s="1" t="inlineStr">
        <is>
          <t>Sin respuesta</t>
        </is>
      </c>
      <c r="P79" s="1" t="str"/>
      <c r="Q79" s="1" t="str"/>
      <c r="R79" s="1">
        <f>IF(H79="Sí",1,0)</f>
        <v/>
      </c>
      <c r="S79" s="1">
        <f>IF(L79="En coordinación",1,0)</f>
        <v/>
      </c>
      <c r="T79" s="1">
        <f>IF(L79="Aceptada",1,0)</f>
        <v/>
      </c>
      <c r="U79" s="1">
        <f>IF(OR(L79="Realizada completa",L79="Realizada incompleta"),1,0)</f>
        <v/>
      </c>
      <c r="V79" s="1">
        <f>IF(L79="Sin respuesta",1,0)</f>
        <v/>
      </c>
    </row>
    <row r="80">
      <c r="A80" s="1" t="inlineStr">
        <is>
          <t>79</t>
        </is>
      </c>
      <c r="B80" s="1" t="inlineStr">
        <is>
          <t>Fritz Elias Espinoza</t>
        </is>
      </c>
      <c r="C80" s="1" t="inlineStr">
        <is>
          <t>Ministerio Público (Fiscalía)</t>
        </is>
      </c>
      <c r="D80" s="1" t="inlineStr">
        <is>
          <t>Entrevista de actores clave</t>
        </is>
      </c>
      <c r="E80" s="1" t="inlineStr">
        <is>
          <t>Funcionarios del Sistema</t>
        </is>
      </c>
      <c r="F80" s="1" t="inlineStr">
        <is>
          <t>Distrito Judicial: Puente Piedra-Ventanilla</t>
        </is>
      </c>
      <c r="G80" s="1" t="inlineStr">
        <is>
          <t>IJM</t>
        </is>
      </c>
      <c r="H80" s="1" t="inlineStr">
        <is>
          <t>Sí</t>
        </is>
      </c>
      <c r="I80" s="2" t="inlineStr">
        <is>
          <t xml:space="preserve">  5/5/2026</t>
        </is>
      </c>
      <c r="J80" s="2" t="str"/>
      <c r="K80" s="2" t="str"/>
      <c r="L80" s="1" t="inlineStr">
        <is>
          <t>Sin respuesta</t>
        </is>
      </c>
      <c r="M80" s="2" t="str"/>
      <c r="N80" s="2" t="str"/>
      <c r="O80" s="1" t="inlineStr">
        <is>
          <t>Sin respuesta</t>
        </is>
      </c>
      <c r="P80" s="1" t="str"/>
      <c r="Q80" s="1" t="str"/>
      <c r="R80" s="1">
        <f>IF(H80="Sí",1,0)</f>
        <v/>
      </c>
      <c r="S80" s="1">
        <f>IF(L80="En coordinación",1,0)</f>
        <v/>
      </c>
      <c r="T80" s="1">
        <f>IF(L80="Aceptada",1,0)</f>
        <v/>
      </c>
      <c r="U80" s="1">
        <f>IF(OR(L80="Realizada completa",L80="Realizada incompleta"),1,0)</f>
        <v/>
      </c>
      <c r="V80" s="1">
        <f>IF(L80="Sin respuesta",1,0)</f>
        <v/>
      </c>
    </row>
    <row r="81">
      <c r="A81" s="1" t="inlineStr">
        <is>
          <t>80</t>
        </is>
      </c>
      <c r="B81" s="1" t="inlineStr">
        <is>
          <t>Raúl Solórzano Cosar</t>
        </is>
      </c>
      <c r="C81" s="1" t="inlineStr">
        <is>
          <t>Ministerio Público (Fiscalía)</t>
        </is>
      </c>
      <c r="D81" s="1" t="inlineStr">
        <is>
          <t>Entrevista de actores clave</t>
        </is>
      </c>
      <c r="E81" s="1" t="inlineStr">
        <is>
          <t>Funcionarios del Sistema</t>
        </is>
      </c>
      <c r="F81" s="1" t="inlineStr">
        <is>
          <t>Distrito Judicial: Puente Piedra-Ventanilla</t>
        </is>
      </c>
      <c r="G81" s="1" t="inlineStr">
        <is>
          <t>IJM</t>
        </is>
      </c>
      <c r="H81" s="1" t="inlineStr">
        <is>
          <t>No</t>
        </is>
      </c>
      <c r="I81" s="2" t="str"/>
      <c r="J81" s="2" t="str"/>
      <c r="K81" s="2" t="str"/>
      <c r="L81" s="1" t="str"/>
      <c r="M81" s="2" t="str"/>
      <c r="N81" s="2" t="str"/>
      <c r="O81" s="1" t="str"/>
      <c r="P81" s="1" t="str"/>
      <c r="Q81" s="1" t="str"/>
      <c r="R81" s="1">
        <f>IF(H81="Sí",1,0)</f>
        <v/>
      </c>
      <c r="S81" s="1">
        <f>IF(L81="En coordinación",1,0)</f>
        <v/>
      </c>
      <c r="T81" s="1">
        <f>IF(L81="Aceptada",1,0)</f>
        <v/>
      </c>
      <c r="U81" s="1">
        <f>IF(OR(L81="Realizada completa",L81="Realizada incompleta"),1,0)</f>
        <v/>
      </c>
      <c r="V81" s="1">
        <f>IF(L81="Sin respuesta",1,0)</f>
        <v/>
      </c>
    </row>
    <row r="82">
      <c r="A82" s="1" t="inlineStr">
        <is>
          <t>81</t>
        </is>
      </c>
      <c r="B82" s="1" t="inlineStr">
        <is>
          <t>Marco Leopoldo De La Cruz Espejo</t>
        </is>
      </c>
      <c r="C82" s="1" t="inlineStr">
        <is>
          <t>Ministerio Público (Fiscalía)</t>
        </is>
      </c>
      <c r="D82" s="1" t="inlineStr">
        <is>
          <t>Entrevista de actores clave</t>
        </is>
      </c>
      <c r="E82" s="1" t="inlineStr">
        <is>
          <t>Funcionarios del Sistema</t>
        </is>
      </c>
      <c r="F82" s="1" t="inlineStr">
        <is>
          <t>Distrito Judicial: Puente Piedra-Ventanilla</t>
        </is>
      </c>
      <c r="G82" s="1" t="inlineStr">
        <is>
          <t>IJM</t>
        </is>
      </c>
      <c r="H82" s="1" t="inlineStr">
        <is>
          <t>No</t>
        </is>
      </c>
      <c r="I82" s="2" t="str"/>
      <c r="J82" s="2" t="str"/>
      <c r="K82" s="2" t="str"/>
      <c r="L82" s="1" t="str"/>
      <c r="M82" s="2" t="str"/>
      <c r="N82" s="2" t="str"/>
      <c r="O82" s="1" t="str"/>
      <c r="P82" s="1" t="str"/>
      <c r="Q82" s="1" t="str"/>
      <c r="R82" s="1">
        <f>IF(H82="Sí",1,0)</f>
        <v/>
      </c>
      <c r="S82" s="1">
        <f>IF(L82="En coordinación",1,0)</f>
        <v/>
      </c>
      <c r="T82" s="1">
        <f>IF(L82="Aceptada",1,0)</f>
        <v/>
      </c>
      <c r="U82" s="1">
        <f>IF(OR(L82="Realizada completa",L82="Realizada incompleta"),1,0)</f>
        <v/>
      </c>
      <c r="V82" s="1">
        <f>IF(L82="Sin respuesta",1,0)</f>
        <v/>
      </c>
    </row>
    <row r="83">
      <c r="A83" s="1" t="inlineStr">
        <is>
          <t>82</t>
        </is>
      </c>
      <c r="B83" s="1" t="inlineStr">
        <is>
          <t>Cristian Araujo Morales</t>
        </is>
      </c>
      <c r="C83" s="1" t="inlineStr">
        <is>
          <t>Ministerio Público (Fiscalía)</t>
        </is>
      </c>
      <c r="D83" s="1" t="inlineStr">
        <is>
          <t>Entrevista de actores clave</t>
        </is>
      </c>
      <c r="E83" s="1" t="inlineStr">
        <is>
          <t>Funcionarios del Sistema</t>
        </is>
      </c>
      <c r="F83" s="1" t="inlineStr">
        <is>
          <t>Distrito Judicial: Ayacucho</t>
        </is>
      </c>
      <c r="G83" s="1" t="inlineStr">
        <is>
          <t>IJM</t>
        </is>
      </c>
      <c r="H83" s="1" t="inlineStr">
        <is>
          <t>Sí</t>
        </is>
      </c>
      <c r="I83" s="2" t="inlineStr">
        <is>
          <t xml:space="preserve"> 3/26/2026</t>
        </is>
      </c>
      <c r="J83" s="2" t="inlineStr">
        <is>
          <t xml:space="preserve">  5/5/2026</t>
        </is>
      </c>
      <c r="K83" s="2" t="str"/>
      <c r="L83" s="1" t="inlineStr">
        <is>
          <t>Sin respuesta</t>
        </is>
      </c>
      <c r="M83" s="2" t="str"/>
      <c r="N83" s="2" t="str"/>
      <c r="O83" s="1" t="inlineStr">
        <is>
          <t>Sin respuesta</t>
        </is>
      </c>
      <c r="P83" s="1" t="str"/>
      <c r="Q83" s="1" t="str"/>
      <c r="R83" s="1">
        <f>IF(H83="Sí",1,0)</f>
        <v/>
      </c>
      <c r="S83" s="1">
        <f>IF(L83="En coordinación",1,0)</f>
        <v/>
      </c>
      <c r="T83" s="1">
        <f>IF(L83="Aceptada",1,0)</f>
        <v/>
      </c>
      <c r="U83" s="1">
        <f>IF(OR(L83="Realizada completa",L83="Realizada incompleta"),1,0)</f>
        <v/>
      </c>
      <c r="V83" s="1">
        <f>IF(L83="Sin respuesta",1,0)</f>
        <v/>
      </c>
    </row>
    <row r="84">
      <c r="A84" s="1" t="inlineStr">
        <is>
          <t>83</t>
        </is>
      </c>
      <c r="B84" s="1" t="inlineStr">
        <is>
          <t>Luis Antonio Tejada Llerena</t>
        </is>
      </c>
      <c r="C84" s="1" t="inlineStr">
        <is>
          <t>Ministerio Público (Fiscalía)</t>
        </is>
      </c>
      <c r="D84" s="1" t="inlineStr">
        <is>
          <t>Entrevista de actores clave</t>
        </is>
      </c>
      <c r="E84" s="1" t="inlineStr">
        <is>
          <t>Funcionarios del Sistema</t>
        </is>
      </c>
      <c r="F84" s="1" t="inlineStr">
        <is>
          <t>Distrito Judicial: Ayacucho</t>
        </is>
      </c>
      <c r="G84" s="1" t="inlineStr">
        <is>
          <t>IJM</t>
        </is>
      </c>
      <c r="H84" s="1" t="inlineStr">
        <is>
          <t>Sí</t>
        </is>
      </c>
      <c r="I84" s="2" t="inlineStr">
        <is>
          <t xml:space="preserve">  5/5/2026</t>
        </is>
      </c>
      <c r="J84" s="2" t="str"/>
      <c r="K84" s="2" t="str"/>
      <c r="L84" s="1" t="inlineStr">
        <is>
          <t>Sin respuesta</t>
        </is>
      </c>
      <c r="M84" s="2" t="str"/>
      <c r="N84" s="2" t="str"/>
      <c r="O84" s="1" t="inlineStr">
        <is>
          <t>Sin respuesta</t>
        </is>
      </c>
      <c r="P84" s="1" t="str"/>
      <c r="Q84" s="1" t="str"/>
      <c r="R84" s="1">
        <f>IF(H84="Sí",1,0)</f>
        <v/>
      </c>
      <c r="S84" s="1">
        <f>IF(L84="En coordinación",1,0)</f>
        <v/>
      </c>
      <c r="T84" s="1">
        <f>IF(L84="Aceptada",1,0)</f>
        <v/>
      </c>
      <c r="U84" s="1">
        <f>IF(OR(L84="Realizada completa",L84="Realizada incompleta"),1,0)</f>
        <v/>
      </c>
      <c r="V84" s="1">
        <f>IF(L84="Sin respuesta",1,0)</f>
        <v/>
      </c>
    </row>
    <row r="85">
      <c r="A85" s="1" t="inlineStr">
        <is>
          <t>84</t>
        </is>
      </c>
      <c r="B85" s="1" t="inlineStr">
        <is>
          <t>Miguel Angel Villalobos Caballero</t>
        </is>
      </c>
      <c r="C85" s="1" t="inlineStr">
        <is>
          <t>Ministerio Público (Fiscalía)</t>
        </is>
      </c>
      <c r="D85" s="1" t="inlineStr">
        <is>
          <t>Entrevista de actores clave</t>
        </is>
      </c>
      <c r="E85" s="1" t="inlineStr">
        <is>
          <t>Funcionarios del Sistema</t>
        </is>
      </c>
      <c r="F85" s="1" t="inlineStr">
        <is>
          <t>Distrito Judicial: Lima Norte</t>
        </is>
      </c>
      <c r="G85" s="1" t="inlineStr">
        <is>
          <t>IJM</t>
        </is>
      </c>
      <c r="H85" s="1" t="inlineStr">
        <is>
          <t>Sí</t>
        </is>
      </c>
      <c r="I85" s="2" t="inlineStr">
        <is>
          <t xml:space="preserve">  5/5/2026</t>
        </is>
      </c>
      <c r="J85" s="2" t="str"/>
      <c r="K85" s="2" t="str"/>
      <c r="L85" s="1" t="inlineStr">
        <is>
          <t>Sin respuesta</t>
        </is>
      </c>
      <c r="M85" s="2" t="str"/>
      <c r="N85" s="2" t="str"/>
      <c r="O85" s="1" t="inlineStr">
        <is>
          <t>Sin respuesta</t>
        </is>
      </c>
      <c r="P85" s="1" t="str"/>
      <c r="Q85" s="1" t="str"/>
      <c r="R85" s="1">
        <f>IF(H85="Sí",1,0)</f>
        <v/>
      </c>
      <c r="S85" s="1">
        <f>IF(L85="En coordinación",1,0)</f>
        <v/>
      </c>
      <c r="T85" s="1">
        <f>IF(L85="Aceptada",1,0)</f>
        <v/>
      </c>
      <c r="U85" s="1">
        <f>IF(OR(L85="Realizada completa",L85="Realizada incompleta"),1,0)</f>
        <v/>
      </c>
      <c r="V85" s="1">
        <f>IF(L85="Sin respuesta",1,0)</f>
        <v/>
      </c>
    </row>
    <row r="86">
      <c r="A86" s="1" t="inlineStr">
        <is>
          <t>85</t>
        </is>
      </c>
      <c r="B86" s="1" t="inlineStr">
        <is>
          <t xml:space="preserve">Lilian Rueda Curimanea </t>
        </is>
      </c>
      <c r="C86" s="1" t="inlineStr">
        <is>
          <t>Ministerio Público (Fiscalía)</t>
        </is>
      </c>
      <c r="D86" s="1" t="inlineStr">
        <is>
          <t>Entrevista de actores clave</t>
        </is>
      </c>
      <c r="E86" s="1" t="inlineStr">
        <is>
          <t>Funcionarios del Sistema</t>
        </is>
      </c>
      <c r="F86" s="1" t="inlineStr">
        <is>
          <t>Distrito Judicial: Cajamarca</t>
        </is>
      </c>
      <c r="G86" s="1" t="inlineStr">
        <is>
          <t>IJM</t>
        </is>
      </c>
      <c r="H86" s="1" t="inlineStr">
        <is>
          <t>Sí</t>
        </is>
      </c>
      <c r="I86" s="2" t="inlineStr">
        <is>
          <t xml:space="preserve"> 3/26/2026</t>
        </is>
      </c>
      <c r="J86" s="2" t="str"/>
      <c r="K86" s="2" t="str"/>
      <c r="L86" s="1" t="inlineStr">
        <is>
          <t>Sin respuesta</t>
        </is>
      </c>
      <c r="M86" s="2" t="str"/>
      <c r="N86" s="2" t="str"/>
      <c r="O86" s="1" t="inlineStr">
        <is>
          <t>Sin respuesta</t>
        </is>
      </c>
      <c r="P86" s="1" t="str"/>
      <c r="Q86" s="1" t="str"/>
      <c r="R86" s="1">
        <f>IF(H86="Sí",1,0)</f>
        <v/>
      </c>
      <c r="S86" s="1">
        <f>IF(L86="En coordinación",1,0)</f>
        <v/>
      </c>
      <c r="T86" s="1">
        <f>IF(L86="Aceptada",1,0)</f>
        <v/>
      </c>
      <c r="U86" s="1">
        <f>IF(OR(L86="Realizada completa",L86="Realizada incompleta"),1,0)</f>
        <v/>
      </c>
      <c r="V86" s="1">
        <f>IF(L86="Sin respuesta",1,0)</f>
        <v/>
      </c>
    </row>
    <row r="87">
      <c r="A87" s="1" t="inlineStr">
        <is>
          <t>86</t>
        </is>
      </c>
      <c r="B87" s="1" t="inlineStr">
        <is>
          <t>Jorge Fernandez Mavila</t>
        </is>
      </c>
      <c r="C87" s="1" t="inlineStr">
        <is>
          <t>Ministerio Público (Fiscalía)</t>
        </is>
      </c>
      <c r="D87" s="1" t="inlineStr">
        <is>
          <t>Entrevista de actores clave</t>
        </is>
      </c>
      <c r="E87" s="1" t="inlineStr">
        <is>
          <t>Funcionarios del Sistema</t>
        </is>
      </c>
      <c r="F87" s="1" t="inlineStr">
        <is>
          <t>Distrito Judicial: Cajamarca</t>
        </is>
      </c>
      <c r="G87" s="1" t="inlineStr">
        <is>
          <t>IJM</t>
        </is>
      </c>
      <c r="H87" s="1" t="inlineStr">
        <is>
          <t>Sí</t>
        </is>
      </c>
      <c r="I87" s="2" t="inlineStr">
        <is>
          <t xml:space="preserve"> 3/26/2026</t>
        </is>
      </c>
      <c r="J87" s="2" t="str"/>
      <c r="K87" s="2" t="str"/>
      <c r="L87" s="1" t="inlineStr">
        <is>
          <t>Sin respuesta</t>
        </is>
      </c>
      <c r="M87" s="2" t="str"/>
      <c r="N87" s="2" t="str"/>
      <c r="O87" s="1" t="inlineStr">
        <is>
          <t>Sin respuesta</t>
        </is>
      </c>
      <c r="P87" s="1" t="str"/>
      <c r="Q87" s="1" t="str"/>
      <c r="R87" s="1">
        <f>IF(H87="Sí",1,0)</f>
        <v/>
      </c>
      <c r="S87" s="1">
        <f>IF(L87="En coordinación",1,0)</f>
        <v/>
      </c>
      <c r="T87" s="1">
        <f>IF(L87="Aceptada",1,0)</f>
        <v/>
      </c>
      <c r="U87" s="1">
        <f>IF(OR(L87="Realizada completa",L87="Realizada incompleta"),1,0)</f>
        <v/>
      </c>
      <c r="V87" s="1">
        <f>IF(L87="Sin respuesta",1,0)</f>
        <v/>
      </c>
    </row>
    <row r="88">
      <c r="A88" s="1" t="inlineStr">
        <is>
          <t>87</t>
        </is>
      </c>
      <c r="B88" s="1" t="inlineStr">
        <is>
          <t>Armando Molero Pimienta</t>
        </is>
      </c>
      <c r="C88" s="1" t="inlineStr">
        <is>
          <t>Ministerio Público (Fiscalía)</t>
        </is>
      </c>
      <c r="D88" s="1" t="inlineStr">
        <is>
          <t>Entrevista de actores clave</t>
        </is>
      </c>
      <c r="E88" s="1" t="inlineStr">
        <is>
          <t>Funcionarios del Sistema</t>
        </is>
      </c>
      <c r="F88" s="1" t="inlineStr">
        <is>
          <t>Distrito Judicial: Loreto</t>
        </is>
      </c>
      <c r="G88" s="1" t="inlineStr">
        <is>
          <t>IJM</t>
        </is>
      </c>
      <c r="H88" s="1" t="inlineStr">
        <is>
          <t>No</t>
        </is>
      </c>
      <c r="I88" s="2" t="str"/>
      <c r="J88" s="2" t="str"/>
      <c r="K88" s="2" t="str"/>
      <c r="L88" s="1" t="str"/>
      <c r="M88" s="2" t="str"/>
      <c r="N88" s="2" t="str"/>
      <c r="O88" s="1" t="str"/>
      <c r="P88" s="1" t="str"/>
      <c r="Q88" s="1" t="str"/>
      <c r="R88" s="1">
        <f>IF(H88="Sí",1,0)</f>
        <v/>
      </c>
      <c r="S88" s="1">
        <f>IF(L88="En coordinación",1,0)</f>
        <v/>
      </c>
      <c r="T88" s="1">
        <f>IF(L88="Aceptada",1,0)</f>
        <v/>
      </c>
      <c r="U88" s="1">
        <f>IF(OR(L88="Realizada completa",L88="Realizada incompleta"),1,0)</f>
        <v/>
      </c>
      <c r="V88" s="1">
        <f>IF(L88="Sin respuesta",1,0)</f>
        <v/>
      </c>
    </row>
    <row r="89">
      <c r="A89" s="1" t="inlineStr">
        <is>
          <t>88</t>
        </is>
      </c>
      <c r="B89" s="1" t="inlineStr">
        <is>
          <t>Rodolfo Huaman Flores</t>
        </is>
      </c>
      <c r="C89" s="1" t="inlineStr">
        <is>
          <t>Ministerio Público (Fiscalía)</t>
        </is>
      </c>
      <c r="D89" s="1" t="inlineStr">
        <is>
          <t>Entrevista de actores clave</t>
        </is>
      </c>
      <c r="E89" s="1" t="inlineStr">
        <is>
          <t>Funcionarios del Sistema</t>
        </is>
      </c>
      <c r="F89" s="1" t="inlineStr">
        <is>
          <t>Distrito Judicial: Apurímac</t>
        </is>
      </c>
      <c r="G89" s="1" t="inlineStr">
        <is>
          <t>IJM</t>
        </is>
      </c>
      <c r="H89" s="1" t="inlineStr">
        <is>
          <t>Sí</t>
        </is>
      </c>
      <c r="I89" s="2" t="inlineStr">
        <is>
          <t xml:space="preserve"> 3/26/2026</t>
        </is>
      </c>
      <c r="J89" s="2" t="str"/>
      <c r="K89" s="2" t="str"/>
      <c r="L89" s="1" t="inlineStr">
        <is>
          <t>Realizada completa</t>
        </is>
      </c>
      <c r="M89" s="2" t="inlineStr">
        <is>
          <t xml:space="preserve"> 1-Apr</t>
        </is>
      </c>
      <c r="N89" s="2" t="inlineStr">
        <is>
          <t xml:space="preserve"> 1-Apr</t>
        </is>
      </c>
      <c r="O89" s="1" t="inlineStr">
        <is>
          <t>Realizada completa</t>
        </is>
      </c>
      <c r="P89" s="1" t="inlineStr">
        <is>
          <t>42</t>
        </is>
      </c>
      <c r="Q89" s="1" t="inlineStr">
        <is>
          <t>A distancia asistido</t>
        </is>
      </c>
      <c r="R89" s="1">
        <f>IF(H89="Sí",1,0)</f>
        <v/>
      </c>
      <c r="S89" s="1">
        <f>IF(L89="En coordinación",1,0)</f>
        <v/>
      </c>
      <c r="T89" s="1">
        <f>IF(L89="Aceptada",1,0)</f>
        <v/>
      </c>
      <c r="U89" s="1">
        <f>IF(OR(L89="Realizada completa",L89="Realizada incompleta"),1,0)</f>
        <v/>
      </c>
      <c r="V89" s="1">
        <f>IF(L89="Sin respuesta",1,0)</f>
        <v/>
      </c>
    </row>
    <row r="90">
      <c r="A90" s="1" t="inlineStr">
        <is>
          <t>89</t>
        </is>
      </c>
      <c r="B90" s="1" t="inlineStr">
        <is>
          <t>John Henrry Martel Trujillo</t>
        </is>
      </c>
      <c r="C90" s="1" t="inlineStr">
        <is>
          <t>Ministerio Público (Fiscalía)</t>
        </is>
      </c>
      <c r="D90" s="1" t="inlineStr">
        <is>
          <t>Entrevista de actores clave</t>
        </is>
      </c>
      <c r="E90" s="1" t="inlineStr">
        <is>
          <t>Funcionarios del Sistema</t>
        </is>
      </c>
      <c r="F90" s="1" t="inlineStr">
        <is>
          <t>Distrito Judicial: Loreto</t>
        </is>
      </c>
      <c r="G90" s="1" t="inlineStr">
        <is>
          <t>IJM</t>
        </is>
      </c>
      <c r="H90" s="1" t="inlineStr">
        <is>
          <t>No</t>
        </is>
      </c>
      <c r="I90" s="2" t="str"/>
      <c r="J90" s="2" t="str"/>
      <c r="K90" s="2" t="str"/>
      <c r="L90" s="1" t="str"/>
      <c r="M90" s="2" t="str"/>
      <c r="N90" s="2" t="str"/>
      <c r="O90" s="1" t="str"/>
      <c r="P90" s="1" t="str"/>
      <c r="Q90" s="1" t="str"/>
      <c r="R90" s="1">
        <f>IF(H90="Sí",1,0)</f>
        <v/>
      </c>
      <c r="S90" s="1">
        <f>IF(L90="En coordinación",1,0)</f>
        <v/>
      </c>
      <c r="T90" s="1">
        <f>IF(L90="Aceptada",1,0)</f>
        <v/>
      </c>
      <c r="U90" s="1">
        <f>IF(OR(L90="Realizada completa",L90="Realizada incompleta"),1,0)</f>
        <v/>
      </c>
      <c r="V90" s="1">
        <f>IF(L90="Sin respuesta",1,0)</f>
        <v/>
      </c>
    </row>
    <row r="91">
      <c r="A91" s="1" t="inlineStr">
        <is>
          <t>90</t>
        </is>
      </c>
      <c r="B91" s="1" t="inlineStr">
        <is>
          <t>Mariano Rodolfo Valdivia Valdarrago</t>
        </is>
      </c>
      <c r="C91" s="1" t="inlineStr">
        <is>
          <t>Ministerio Público (Fiscalía)</t>
        </is>
      </c>
      <c r="D91" s="1" t="inlineStr">
        <is>
          <t>Entrevista de actores clave</t>
        </is>
      </c>
      <c r="E91" s="1" t="inlineStr">
        <is>
          <t>Funcionarios del Sistema</t>
        </is>
      </c>
      <c r="F91" s="1" t="inlineStr">
        <is>
          <t>Nacional</t>
        </is>
      </c>
      <c r="G91" s="1" t="inlineStr">
        <is>
          <t>IJM</t>
        </is>
      </c>
      <c r="H91" s="1" t="inlineStr">
        <is>
          <t>No</t>
        </is>
      </c>
      <c r="I91" s="2" t="str"/>
      <c r="J91" s="2" t="str"/>
      <c r="K91" s="2" t="str"/>
      <c r="L91" s="1" t="str"/>
      <c r="M91" s="2" t="str"/>
      <c r="N91" s="2" t="str"/>
      <c r="O91" s="1" t="str"/>
      <c r="P91" s="1" t="str"/>
      <c r="Q91" s="1" t="str"/>
      <c r="R91" s="1">
        <f>IF(H91="Sí",1,0)</f>
        <v/>
      </c>
      <c r="S91" s="1">
        <f>IF(L91="En coordinación",1,0)</f>
        <v/>
      </c>
      <c r="T91" s="1">
        <f>IF(L91="Aceptada",1,0)</f>
        <v/>
      </c>
      <c r="U91" s="1">
        <f>IF(OR(L91="Realizada completa",L91="Realizada incompleta"),1,0)</f>
        <v/>
      </c>
      <c r="V91" s="1">
        <f>IF(L91="Sin respuesta",1,0)</f>
        <v/>
      </c>
    </row>
    <row r="92">
      <c r="A92" s="1" t="inlineStr">
        <is>
          <t>91</t>
        </is>
      </c>
      <c r="B92" s="1" t="inlineStr">
        <is>
          <t>Rodolfo Vega Billan</t>
        </is>
      </c>
      <c r="C92" s="1" t="inlineStr">
        <is>
          <t>Ministerio Público (Fiscalía)</t>
        </is>
      </c>
      <c r="D92" s="1" t="inlineStr">
        <is>
          <t>Entrevista de actores clave</t>
        </is>
      </c>
      <c r="E92" s="1" t="inlineStr">
        <is>
          <t>Funcionarios del Sistema</t>
        </is>
      </c>
      <c r="F92" s="1" t="inlineStr">
        <is>
          <t>Distrito Judicial: Cajamarca</t>
        </is>
      </c>
      <c r="G92" s="1" t="inlineStr">
        <is>
          <t>IJM</t>
        </is>
      </c>
      <c r="H92" s="1" t="inlineStr">
        <is>
          <t>No</t>
        </is>
      </c>
      <c r="I92" s="2" t="str"/>
      <c r="J92" s="2" t="str"/>
      <c r="K92" s="2" t="str"/>
      <c r="L92" s="1" t="str"/>
      <c r="M92" s="2" t="str"/>
      <c r="N92" s="2" t="str"/>
      <c r="O92" s="1" t="str"/>
      <c r="P92" s="1" t="str"/>
      <c r="Q92" s="1" t="str"/>
      <c r="R92" s="1">
        <f>IF(H92="Sí",1,0)</f>
        <v/>
      </c>
      <c r="S92" s="1">
        <f>IF(L92="En coordinación",1,0)</f>
        <v/>
      </c>
      <c r="T92" s="1">
        <f>IF(L92="Aceptada",1,0)</f>
        <v/>
      </c>
      <c r="U92" s="1">
        <f>IF(OR(L92="Realizada completa",L92="Realizada incompleta"),1,0)</f>
        <v/>
      </c>
      <c r="V92" s="1">
        <f>IF(L92="Sin respuesta",1,0)</f>
        <v/>
      </c>
    </row>
    <row r="93">
      <c r="A93" s="1" t="inlineStr">
        <is>
          <t>92</t>
        </is>
      </c>
      <c r="B93" s="1" t="inlineStr">
        <is>
          <t>Fanny Elizabeth Suarez Coaguila</t>
        </is>
      </c>
      <c r="C93" s="1" t="inlineStr">
        <is>
          <t>Ministerio Público (Fiscalía)</t>
        </is>
      </c>
      <c r="D93" s="1" t="inlineStr">
        <is>
          <t>Entrevista de actores clave</t>
        </is>
      </c>
      <c r="E93" s="1" t="inlineStr">
        <is>
          <t>Funcionarios del Sistema</t>
        </is>
      </c>
      <c r="F93" s="1" t="inlineStr">
        <is>
          <t>Nacional</t>
        </is>
      </c>
      <c r="G93" s="1" t="inlineStr">
        <is>
          <t>IJM</t>
        </is>
      </c>
      <c r="H93" s="1" t="inlineStr">
        <is>
          <t>Sí</t>
        </is>
      </c>
      <c r="I93" s="2" t="inlineStr">
        <is>
          <t xml:space="preserve"> 3/26/2026</t>
        </is>
      </c>
      <c r="J93" s="2" t="str"/>
      <c r="K93" s="2" t="str"/>
      <c r="L93" s="1" t="inlineStr">
        <is>
          <t>Sin respuesta</t>
        </is>
      </c>
      <c r="M93" s="2" t="str"/>
      <c r="N93" s="2" t="str"/>
      <c r="O93" s="1" t="inlineStr">
        <is>
          <t>Sin respuesta</t>
        </is>
      </c>
      <c r="P93" s="1" t="str"/>
      <c r="Q93" s="1" t="str"/>
      <c r="R93" s="1">
        <f>IF(H93="Sí",1,0)</f>
        <v/>
      </c>
      <c r="S93" s="1">
        <f>IF(L93="En coordinación",1,0)</f>
        <v/>
      </c>
      <c r="T93" s="1">
        <f>IF(L93="Aceptada",1,0)</f>
        <v/>
      </c>
      <c r="U93" s="1">
        <f>IF(OR(L93="Realizada completa",L93="Realizada incompleta"),1,0)</f>
        <v/>
      </c>
      <c r="V93" s="1">
        <f>IF(L93="Sin respuesta",1,0)</f>
        <v/>
      </c>
    </row>
    <row r="94">
      <c r="A94" s="1" t="inlineStr">
        <is>
          <t>93</t>
        </is>
      </c>
      <c r="B94" s="1" t="inlineStr">
        <is>
          <t>Cesar Manuel Calderón Moreno</t>
        </is>
      </c>
      <c r="C94" s="1" t="inlineStr">
        <is>
          <t>Ministerio Público (Fiscalía)</t>
        </is>
      </c>
      <c r="D94" s="1" t="inlineStr">
        <is>
          <t>Entrevista de actores clave</t>
        </is>
      </c>
      <c r="E94" s="1" t="inlineStr">
        <is>
          <t>Funcionarios del Sistema</t>
        </is>
      </c>
      <c r="F94" s="1" t="inlineStr">
        <is>
          <t>Distrito Judicial: Cajamarca</t>
        </is>
      </c>
      <c r="G94" s="1" t="inlineStr">
        <is>
          <t>IJM</t>
        </is>
      </c>
      <c r="H94" s="1" t="inlineStr">
        <is>
          <t>Sí</t>
        </is>
      </c>
      <c r="I94" s="2" t="inlineStr">
        <is>
          <t xml:space="preserve"> 3/26/2026</t>
        </is>
      </c>
      <c r="J94" s="2" t="str"/>
      <c r="K94" s="2" t="str"/>
      <c r="L94" s="1" t="inlineStr">
        <is>
          <t>Sin respuesta</t>
        </is>
      </c>
      <c r="M94" s="2" t="str"/>
      <c r="N94" s="2" t="str"/>
      <c r="O94" s="1" t="inlineStr">
        <is>
          <t>Sin respuesta</t>
        </is>
      </c>
      <c r="P94" s="1" t="str"/>
      <c r="Q94" s="1" t="str"/>
      <c r="R94" s="1">
        <f>IF(H94="Sí",1,0)</f>
        <v/>
      </c>
      <c r="S94" s="1">
        <f>IF(L94="En coordinación",1,0)</f>
        <v/>
      </c>
      <c r="T94" s="1">
        <f>IF(L94="Aceptada",1,0)</f>
        <v/>
      </c>
      <c r="U94" s="1">
        <f>IF(OR(L94="Realizada completa",L94="Realizada incompleta"),1,0)</f>
        <v/>
      </c>
      <c r="V94" s="1">
        <f>IF(L94="Sin respuesta",1,0)</f>
        <v/>
      </c>
    </row>
    <row r="95">
      <c r="A95" s="1" t="inlineStr">
        <is>
          <t>94</t>
        </is>
      </c>
      <c r="B95" s="1" t="inlineStr">
        <is>
          <t>Liz Ivone Torres Díaz</t>
        </is>
      </c>
      <c r="C95" s="1" t="inlineStr">
        <is>
          <t>Ministerio Público (Fiscalía)</t>
        </is>
      </c>
      <c r="D95" s="1" t="inlineStr">
        <is>
          <t>Entrevista de actores clave</t>
        </is>
      </c>
      <c r="E95" s="1" t="inlineStr">
        <is>
          <t>Funcionarios del Sistema</t>
        </is>
      </c>
      <c r="F95" s="1" t="inlineStr">
        <is>
          <t>Distrito Judicial: Ucayali</t>
        </is>
      </c>
      <c r="G95" s="1" t="inlineStr">
        <is>
          <t>IJM</t>
        </is>
      </c>
      <c r="H95" s="1" t="inlineStr">
        <is>
          <t>No</t>
        </is>
      </c>
      <c r="I95" s="2" t="str"/>
      <c r="J95" s="2" t="str"/>
      <c r="K95" s="2" t="str"/>
      <c r="L95" s="1" t="str"/>
      <c r="M95" s="2" t="str"/>
      <c r="N95" s="2" t="str"/>
      <c r="O95" s="1" t="str"/>
      <c r="P95" s="1" t="str"/>
      <c r="Q95" s="1" t="str"/>
      <c r="R95" s="1">
        <f>IF(H95="Sí",1,0)</f>
        <v/>
      </c>
      <c r="S95" s="1">
        <f>IF(L95="En coordinación",1,0)</f>
        <v/>
      </c>
      <c r="T95" s="1">
        <f>IF(L95="Aceptada",1,0)</f>
        <v/>
      </c>
      <c r="U95" s="1">
        <f>IF(OR(L95="Realizada completa",L95="Realizada incompleta"),1,0)</f>
        <v/>
      </c>
      <c r="V95" s="1">
        <f>IF(L95="Sin respuesta",1,0)</f>
        <v/>
      </c>
    </row>
    <row r="96">
      <c r="A96" s="1" t="inlineStr">
        <is>
          <t>95</t>
        </is>
      </c>
      <c r="B96" s="1" t="inlineStr">
        <is>
          <t>Abilio Escobar Quispe</t>
        </is>
      </c>
      <c r="C96" s="1" t="inlineStr">
        <is>
          <t>Ministerio Público (Fiscalía)</t>
        </is>
      </c>
      <c r="D96" s="1" t="inlineStr">
        <is>
          <t>Entrevista de actores clave</t>
        </is>
      </c>
      <c r="E96" s="1" t="inlineStr">
        <is>
          <t>Funcionarios del Sistema</t>
        </is>
      </c>
      <c r="F96" s="1" t="inlineStr">
        <is>
          <t>Nacional</t>
        </is>
      </c>
      <c r="G96" s="1" t="inlineStr">
        <is>
          <t>IJM</t>
        </is>
      </c>
      <c r="H96" s="1" t="inlineStr">
        <is>
          <t>Sí</t>
        </is>
      </c>
      <c r="I96" s="2" t="inlineStr">
        <is>
          <t xml:space="preserve"> 3/26/2026</t>
        </is>
      </c>
      <c r="J96" s="2" t="str"/>
      <c r="K96" s="2" t="str"/>
      <c r="L96" s="1" t="inlineStr">
        <is>
          <t>Sin respuesta</t>
        </is>
      </c>
      <c r="M96" s="2" t="str"/>
      <c r="N96" s="2" t="str"/>
      <c r="O96" s="1" t="inlineStr">
        <is>
          <t>Sin respuesta</t>
        </is>
      </c>
      <c r="P96" s="1" t="str"/>
      <c r="Q96" s="1" t="str"/>
      <c r="R96" s="1">
        <f>IF(H96="Sí",1,0)</f>
        <v/>
      </c>
      <c r="S96" s="1">
        <f>IF(L96="En coordinación",1,0)</f>
        <v/>
      </c>
      <c r="T96" s="1">
        <f>IF(L96="Aceptada",1,0)</f>
        <v/>
      </c>
      <c r="U96" s="1">
        <f>IF(OR(L96="Realizada completa",L96="Realizada incompleta"),1,0)</f>
        <v/>
      </c>
      <c r="V96" s="1">
        <f>IF(L96="Sin respuesta",1,0)</f>
        <v/>
      </c>
    </row>
    <row r="97">
      <c r="A97" s="1" t="inlineStr">
        <is>
          <t>96</t>
        </is>
      </c>
      <c r="B97" s="1" t="inlineStr">
        <is>
          <t>Diana Suquilanda Zavalaga</t>
        </is>
      </c>
      <c r="C97" s="1" t="inlineStr">
        <is>
          <t>Ministerio Público (Fiscalía)</t>
        </is>
      </c>
      <c r="D97" s="1" t="inlineStr">
        <is>
          <t>Entrevista de actores clave</t>
        </is>
      </c>
      <c r="E97" s="1" t="inlineStr">
        <is>
          <t>Funcionarios del Sistema</t>
        </is>
      </c>
      <c r="F97" s="1" t="inlineStr">
        <is>
          <t>Distrito Judicial: Puente Piedra-Ventanilla</t>
        </is>
      </c>
      <c r="G97" s="1" t="inlineStr">
        <is>
          <t>IJM</t>
        </is>
      </c>
      <c r="H97" s="1" t="inlineStr">
        <is>
          <t>No</t>
        </is>
      </c>
      <c r="I97" s="2" t="inlineStr">
        <is>
          <t xml:space="preserve"> 3/20/2026</t>
        </is>
      </c>
      <c r="J97" s="2" t="str"/>
      <c r="K97" s="2" t="str"/>
      <c r="L97" s="1" t="str"/>
      <c r="M97" s="2" t="str"/>
      <c r="N97" s="2" t="str"/>
      <c r="O97" s="1" t="str"/>
      <c r="P97" s="1" t="str"/>
      <c r="Q97" s="1" t="str"/>
      <c r="R97" s="1">
        <f>IF(H97="Sí",1,0)</f>
        <v/>
      </c>
      <c r="S97" s="1">
        <f>IF(L97="En coordinación",1,0)</f>
        <v/>
      </c>
      <c r="T97" s="1">
        <f>IF(L97="Aceptada",1,0)</f>
        <v/>
      </c>
      <c r="U97" s="1">
        <f>IF(OR(L97="Realizada completa",L97="Realizada incompleta"),1,0)</f>
        <v/>
      </c>
      <c r="V97" s="1">
        <f>IF(L97="Sin respuesta",1,0)</f>
        <v/>
      </c>
    </row>
    <row r="98">
      <c r="A98" s="1" t="inlineStr">
        <is>
          <t>97</t>
        </is>
      </c>
      <c r="B98" s="1" t="inlineStr">
        <is>
          <t>Luis Alberto Garcia Santos</t>
        </is>
      </c>
      <c r="C98" s="1" t="inlineStr">
        <is>
          <t>Ministerio Público (Fiscalía)</t>
        </is>
      </c>
      <c r="D98" s="1" t="inlineStr">
        <is>
          <t>Entrevista de actores clave</t>
        </is>
      </c>
      <c r="E98" s="1" t="inlineStr">
        <is>
          <t>Funcionarios del Sistema</t>
        </is>
      </c>
      <c r="F98" s="1" t="inlineStr">
        <is>
          <t>Distrito Judicial: Lima Norte</t>
        </is>
      </c>
      <c r="G98" s="1" t="inlineStr">
        <is>
          <t>IJM</t>
        </is>
      </c>
      <c r="H98" s="1" t="inlineStr">
        <is>
          <t>Sí</t>
        </is>
      </c>
      <c r="I98" s="2" t="inlineStr">
        <is>
          <t xml:space="preserve"> 3/26/2026</t>
        </is>
      </c>
      <c r="J98" s="2" t="str"/>
      <c r="K98" s="2" t="str"/>
      <c r="L98" s="1" t="inlineStr">
        <is>
          <t>Sin respuesta</t>
        </is>
      </c>
      <c r="M98" s="2" t="str"/>
      <c r="N98" s="2" t="str"/>
      <c r="O98" s="1" t="inlineStr">
        <is>
          <t>Sin respuesta</t>
        </is>
      </c>
      <c r="P98" s="1" t="str"/>
      <c r="Q98" s="1" t="str"/>
      <c r="R98" s="1">
        <f>IF(H98="Sí",1,0)</f>
        <v/>
      </c>
      <c r="S98" s="1">
        <f>IF(L98="En coordinación",1,0)</f>
        <v/>
      </c>
      <c r="T98" s="1">
        <f>IF(L98="Aceptada",1,0)</f>
        <v/>
      </c>
      <c r="U98" s="1">
        <f>IF(OR(L98="Realizada completa",L98="Realizada incompleta"),1,0)</f>
        <v/>
      </c>
      <c r="V98" s="1">
        <f>IF(L98="Sin respuesta",1,0)</f>
        <v/>
      </c>
    </row>
    <row r="99">
      <c r="A99" s="1" t="inlineStr">
        <is>
          <t>98</t>
        </is>
      </c>
      <c r="B99" s="1" t="inlineStr">
        <is>
          <t>Henry Rómulo Lahud Ordóñez</t>
        </is>
      </c>
      <c r="C99" s="1" t="inlineStr">
        <is>
          <t>Ministerio Público (Fiscalía)</t>
        </is>
      </c>
      <c r="D99" s="1" t="inlineStr">
        <is>
          <t>Entrevista de actores clave</t>
        </is>
      </c>
      <c r="E99" s="1" t="inlineStr">
        <is>
          <t>Funcionarios del Sistema</t>
        </is>
      </c>
      <c r="F99" s="1" t="inlineStr">
        <is>
          <t>Distrito Judicial: Lima Norte</t>
        </is>
      </c>
      <c r="G99" s="1" t="inlineStr">
        <is>
          <t>IJM</t>
        </is>
      </c>
      <c r="H99" s="1" t="inlineStr">
        <is>
          <t>No</t>
        </is>
      </c>
      <c r="I99" s="2" t="str"/>
      <c r="J99" s="2" t="str"/>
      <c r="K99" s="2" t="str"/>
      <c r="L99" s="1" t="str"/>
      <c r="M99" s="2" t="str"/>
      <c r="N99" s="2" t="str"/>
      <c r="O99" s="1" t="str"/>
      <c r="P99" s="1" t="str"/>
      <c r="Q99" s="1" t="str"/>
      <c r="R99" s="1">
        <f>IF(H99="Sí",1,0)</f>
        <v/>
      </c>
      <c r="S99" s="1">
        <f>IF(L99="En coordinación",1,0)</f>
        <v/>
      </c>
      <c r="T99" s="1">
        <f>IF(L99="Aceptada",1,0)</f>
        <v/>
      </c>
      <c r="U99" s="1">
        <f>IF(OR(L99="Realizada completa",L99="Realizada incompleta"),1,0)</f>
        <v/>
      </c>
      <c r="V99" s="1">
        <f>IF(L99="Sin respuesta",1,0)</f>
        <v/>
      </c>
    </row>
    <row r="100">
      <c r="A100" s="1" t="inlineStr">
        <is>
          <t>99</t>
        </is>
      </c>
      <c r="B100" s="1" t="inlineStr">
        <is>
          <t>Esperanza Huamán Aguado</t>
        </is>
      </c>
      <c r="C100" s="1" t="inlineStr">
        <is>
          <t>Ministerio Público (Fiscalía)</t>
        </is>
      </c>
      <c r="D100" s="1" t="inlineStr">
        <is>
          <t>Entrevista de actores clave</t>
        </is>
      </c>
      <c r="E100" s="1" t="inlineStr">
        <is>
          <t>Funcionarios del Sistema</t>
        </is>
      </c>
      <c r="F100" s="1" t="inlineStr">
        <is>
          <t>Distrito Judicial: Lima Norte</t>
        </is>
      </c>
      <c r="G100" s="1" t="inlineStr">
        <is>
          <t>IJM</t>
        </is>
      </c>
      <c r="H100" s="1" t="inlineStr">
        <is>
          <t>No</t>
        </is>
      </c>
      <c r="I100" s="2" t="str"/>
      <c r="J100" s="2" t="str"/>
      <c r="K100" s="2" t="str"/>
      <c r="L100" s="1" t="str"/>
      <c r="M100" s="2" t="str"/>
      <c r="N100" s="2" t="str"/>
      <c r="O100" s="1" t="str"/>
      <c r="P100" s="1" t="str"/>
      <c r="Q100" s="1" t="str"/>
      <c r="R100" s="1">
        <f>IF(H100="Sí",1,0)</f>
        <v/>
      </c>
      <c r="S100" s="1">
        <f>IF(L100="En coordinación",1,0)</f>
        <v/>
      </c>
      <c r="T100" s="1">
        <f>IF(L100="Aceptada",1,0)</f>
        <v/>
      </c>
      <c r="U100" s="1">
        <f>IF(OR(L100="Realizada completa",L100="Realizada incompleta"),1,0)</f>
        <v/>
      </c>
      <c r="V100" s="1">
        <f>IF(L100="Sin respuesta",1,0)</f>
        <v/>
      </c>
    </row>
    <row r="101">
      <c r="A101" s="1" t="inlineStr">
        <is>
          <t>100</t>
        </is>
      </c>
      <c r="B101" s="1" t="inlineStr">
        <is>
          <t>Lizbeth Benites Chuman</t>
        </is>
      </c>
      <c r="C101" s="1" t="inlineStr">
        <is>
          <t>Ministerio Público (Fiscalía)</t>
        </is>
      </c>
      <c r="D101" s="1" t="inlineStr">
        <is>
          <t>Entrevista de actores clave</t>
        </is>
      </c>
      <c r="E101" s="1" t="inlineStr">
        <is>
          <t>Funcionarios del Sistema</t>
        </is>
      </c>
      <c r="F101" s="1" t="inlineStr">
        <is>
          <t>Distrito Judicial: Huánuco</t>
        </is>
      </c>
      <c r="G101" s="1" t="inlineStr">
        <is>
          <t>IJM</t>
        </is>
      </c>
      <c r="H101" s="1" t="inlineStr">
        <is>
          <t>Sí</t>
        </is>
      </c>
      <c r="I101" s="2" t="inlineStr">
        <is>
          <t xml:space="preserve"> 3/26/2026</t>
        </is>
      </c>
      <c r="J101" s="2" t="str"/>
      <c r="K101" s="2" t="str"/>
      <c r="L101" s="1" t="inlineStr">
        <is>
          <t>Sin respuesta</t>
        </is>
      </c>
      <c r="M101" s="2" t="str"/>
      <c r="N101" s="2" t="str"/>
      <c r="O101" s="1" t="inlineStr">
        <is>
          <t>Sin respuesta</t>
        </is>
      </c>
      <c r="P101" s="1" t="str"/>
      <c r="Q101" s="1" t="str"/>
      <c r="R101" s="1">
        <f>IF(H101="Sí",1,0)</f>
        <v/>
      </c>
      <c r="S101" s="1">
        <f>IF(L101="En coordinación",1,0)</f>
        <v/>
      </c>
      <c r="T101" s="1">
        <f>IF(L101="Aceptada",1,0)</f>
        <v/>
      </c>
      <c r="U101" s="1">
        <f>IF(OR(L101="Realizada completa",L101="Realizada incompleta"),1,0)</f>
        <v/>
      </c>
      <c r="V101" s="1">
        <f>IF(L101="Sin respuesta",1,0)</f>
        <v/>
      </c>
    </row>
    <row r="102">
      <c r="A102" s="1" t="inlineStr">
        <is>
          <t>101</t>
        </is>
      </c>
      <c r="B102" s="1" t="inlineStr">
        <is>
          <t>German Davila Gabriel</t>
        </is>
      </c>
      <c r="C102" s="1" t="inlineStr">
        <is>
          <t>Ministerio Público (Fiscalía)</t>
        </is>
      </c>
      <c r="D102" s="1" t="inlineStr">
        <is>
          <t>Entrevista de actores clave</t>
        </is>
      </c>
      <c r="E102" s="1" t="inlineStr">
        <is>
          <t>Funcionarios del Sistema</t>
        </is>
      </c>
      <c r="F102" s="1" t="inlineStr">
        <is>
          <t>Distrito Judicial: Huánuco</t>
        </is>
      </c>
      <c r="G102" s="1" t="inlineStr">
        <is>
          <t>IJM</t>
        </is>
      </c>
      <c r="H102" s="1" t="inlineStr">
        <is>
          <t>No</t>
        </is>
      </c>
      <c r="I102" s="2" t="str"/>
      <c r="J102" s="2" t="str"/>
      <c r="K102" s="2" t="str"/>
      <c r="L102" s="1" t="str"/>
      <c r="M102" s="2" t="str"/>
      <c r="N102" s="2" t="str"/>
      <c r="O102" s="1" t="str"/>
      <c r="P102" s="1" t="str"/>
      <c r="Q102" s="1" t="str"/>
      <c r="R102" s="1">
        <f>IF(H102="Sí",1,0)</f>
        <v/>
      </c>
      <c r="S102" s="1">
        <f>IF(L102="En coordinación",1,0)</f>
        <v/>
      </c>
      <c r="T102" s="1">
        <f>IF(L102="Aceptada",1,0)</f>
        <v/>
      </c>
      <c r="U102" s="1">
        <f>IF(OR(L102="Realizada completa",L102="Realizada incompleta"),1,0)</f>
        <v/>
      </c>
      <c r="V102" s="1">
        <f>IF(L102="Sin respuesta",1,0)</f>
        <v/>
      </c>
    </row>
    <row r="103">
      <c r="A103" s="1" t="inlineStr">
        <is>
          <t>102</t>
        </is>
      </c>
      <c r="B103" s="1" t="inlineStr">
        <is>
          <t>Fernando Hoyos Portal</t>
        </is>
      </c>
      <c r="C103" s="1" t="inlineStr">
        <is>
          <t>Ministerio Público (Fiscalía)</t>
        </is>
      </c>
      <c r="D103" s="1" t="inlineStr">
        <is>
          <t>Entrevista de actores clave</t>
        </is>
      </c>
      <c r="E103" s="1" t="inlineStr">
        <is>
          <t>Funcionarios del Sistema</t>
        </is>
      </c>
      <c r="F103" s="1" t="inlineStr">
        <is>
          <t>Distrito Judicial: Huánuco</t>
        </is>
      </c>
      <c r="G103" s="1" t="inlineStr">
        <is>
          <t>IJM</t>
        </is>
      </c>
      <c r="H103" s="1" t="inlineStr">
        <is>
          <t>No</t>
        </is>
      </c>
      <c r="I103" s="2" t="str"/>
      <c r="J103" s="2" t="str"/>
      <c r="K103" s="2" t="str"/>
      <c r="L103" s="1" t="str"/>
      <c r="M103" s="2" t="str"/>
      <c r="N103" s="2" t="str"/>
      <c r="O103" s="1" t="str"/>
      <c r="P103" s="1" t="str"/>
      <c r="Q103" s="1" t="str"/>
      <c r="R103" s="1">
        <f>IF(H103="Sí",1,0)</f>
        <v/>
      </c>
      <c r="S103" s="1">
        <f>IF(L103="En coordinación",1,0)</f>
        <v/>
      </c>
      <c r="T103" s="1">
        <f>IF(L103="Aceptada",1,0)</f>
        <v/>
      </c>
      <c r="U103" s="1">
        <f>IF(OR(L103="Realizada completa",L103="Realizada incompleta"),1,0)</f>
        <v/>
      </c>
      <c r="V103" s="1">
        <f>IF(L103="Sin respuesta",1,0)</f>
        <v/>
      </c>
    </row>
    <row r="104">
      <c r="A104" s="1" t="inlineStr">
        <is>
          <t>103</t>
        </is>
      </c>
      <c r="B104" s="1" t="inlineStr">
        <is>
          <t xml:space="preserve">Victoria  Cuba Sotomayor </t>
        </is>
      </c>
      <c r="C104" s="1" t="inlineStr">
        <is>
          <t>Ministerio Público (Fiscalía)</t>
        </is>
      </c>
      <c r="D104" s="1" t="inlineStr">
        <is>
          <t>Entrevista de actores clave</t>
        </is>
      </c>
      <c r="E104" s="1" t="inlineStr">
        <is>
          <t>Funcionarios del Sistema</t>
        </is>
      </c>
      <c r="F104" s="1" t="inlineStr">
        <is>
          <t>Distrito Judicial: Ucayali</t>
        </is>
      </c>
      <c r="G104" s="1" t="inlineStr">
        <is>
          <t>IJM</t>
        </is>
      </c>
      <c r="H104" s="1" t="inlineStr">
        <is>
          <t>Sí</t>
        </is>
      </c>
      <c r="I104" s="2" t="inlineStr">
        <is>
          <t xml:space="preserve"> 3/26/2026</t>
        </is>
      </c>
      <c r="J104" s="2" t="str"/>
      <c r="K104" s="2" t="str"/>
      <c r="L104" s="1" t="inlineStr">
        <is>
          <t>Sin respuesta</t>
        </is>
      </c>
      <c r="M104" s="2" t="str"/>
      <c r="N104" s="2" t="str"/>
      <c r="O104" s="1" t="inlineStr">
        <is>
          <t>Sin respuesta</t>
        </is>
      </c>
      <c r="P104" s="1" t="str"/>
      <c r="Q104" s="1" t="str"/>
      <c r="R104" s="1">
        <f>IF(H104="Sí",1,0)</f>
        <v/>
      </c>
      <c r="S104" s="1">
        <f>IF(L104="En coordinación",1,0)</f>
        <v/>
      </c>
      <c r="T104" s="1">
        <f>IF(L104="Aceptada",1,0)</f>
        <v/>
      </c>
      <c r="U104" s="1">
        <f>IF(OR(L104="Realizada completa",L104="Realizada incompleta"),1,0)</f>
        <v/>
      </c>
      <c r="V104" s="1">
        <f>IF(L104="Sin respuesta",1,0)</f>
        <v/>
      </c>
    </row>
    <row r="105">
      <c r="A105" s="1" t="inlineStr">
        <is>
          <t>104</t>
        </is>
      </c>
      <c r="B105" s="1" t="inlineStr">
        <is>
          <t>Ingrid Chumbe Rodriguez</t>
        </is>
      </c>
      <c r="C105" s="1" t="inlineStr">
        <is>
          <t>Ministerio Público (Fiscalía)</t>
        </is>
      </c>
      <c r="D105" s="1" t="inlineStr">
        <is>
          <t>Entrevista de actores clave</t>
        </is>
      </c>
      <c r="E105" s="1" t="inlineStr">
        <is>
          <t>Funcionarios del Sistema</t>
        </is>
      </c>
      <c r="F105" s="1" t="inlineStr">
        <is>
          <t>Distrito Judicial: Ucayali</t>
        </is>
      </c>
      <c r="G105" s="1" t="inlineStr">
        <is>
          <t>IJM</t>
        </is>
      </c>
      <c r="H105" s="1" t="inlineStr">
        <is>
          <t>Sí</t>
        </is>
      </c>
      <c r="I105" s="2" t="inlineStr">
        <is>
          <t xml:space="preserve"> 3/20/2026</t>
        </is>
      </c>
      <c r="J105" s="2" t="inlineStr">
        <is>
          <t xml:space="preserve"> 3/26/2026</t>
        </is>
      </c>
      <c r="K105" s="2" t="str"/>
      <c r="L105" s="1" t="inlineStr">
        <is>
          <t>Sin respuesta</t>
        </is>
      </c>
      <c r="M105" s="2" t="str"/>
      <c r="N105" s="2" t="str"/>
      <c r="O105" s="1" t="inlineStr">
        <is>
          <t>Sin respuesta</t>
        </is>
      </c>
      <c r="P105" s="1" t="str"/>
      <c r="Q105" s="1" t="str"/>
      <c r="R105" s="1">
        <f>IF(H105="Sí",1,0)</f>
        <v/>
      </c>
      <c r="S105" s="1">
        <f>IF(L105="En coordinación",1,0)</f>
        <v/>
      </c>
      <c r="T105" s="1">
        <f>IF(L105="Aceptada",1,0)</f>
        <v/>
      </c>
      <c r="U105" s="1">
        <f>IF(OR(L105="Realizada completa",L105="Realizada incompleta"),1,0)</f>
        <v/>
      </c>
      <c r="V105" s="1">
        <f>IF(L105="Sin respuesta",1,0)</f>
        <v/>
      </c>
    </row>
    <row r="106">
      <c r="A106" s="1" t="inlineStr">
        <is>
          <t>105</t>
        </is>
      </c>
      <c r="B106" s="1" t="inlineStr">
        <is>
          <t>Rocio Estacion Casanova</t>
        </is>
      </c>
      <c r="C106" s="1" t="inlineStr">
        <is>
          <t>Ministerio Público (Fiscalía)</t>
        </is>
      </c>
      <c r="D106" s="1" t="inlineStr">
        <is>
          <t>Entrevista de actores clave</t>
        </is>
      </c>
      <c r="E106" s="1" t="inlineStr">
        <is>
          <t>Funcionarios del Sistema</t>
        </is>
      </c>
      <c r="F106" s="1" t="inlineStr">
        <is>
          <t>Distrito Judicial: Ucayali</t>
        </is>
      </c>
      <c r="G106" s="1" t="inlineStr">
        <is>
          <t>IJM</t>
        </is>
      </c>
      <c r="H106" s="1" t="inlineStr">
        <is>
          <t>No</t>
        </is>
      </c>
      <c r="I106" s="2" t="str"/>
      <c r="J106" s="2" t="str"/>
      <c r="K106" s="2" t="str"/>
      <c r="L106" s="1" t="str"/>
      <c r="M106" s="2" t="str"/>
      <c r="N106" s="2" t="str"/>
      <c r="O106" s="1" t="str"/>
      <c r="P106" s="1" t="str"/>
      <c r="Q106" s="1" t="str"/>
      <c r="R106" s="1">
        <f>IF(H106="Sí",1,0)</f>
        <v/>
      </c>
      <c r="S106" s="1">
        <f>IF(L106="En coordinación",1,0)</f>
        <v/>
      </c>
      <c r="T106" s="1">
        <f>IF(L106="Aceptada",1,0)</f>
        <v/>
      </c>
      <c r="U106" s="1">
        <f>IF(OR(L106="Realizada completa",L106="Realizada incompleta"),1,0)</f>
        <v/>
      </c>
      <c r="V106" s="1">
        <f>IF(L106="Sin respuesta",1,0)</f>
        <v/>
      </c>
    </row>
    <row r="107">
      <c r="A107" s="1" t="inlineStr">
        <is>
          <t>106</t>
        </is>
      </c>
      <c r="B107" s="1" t="inlineStr">
        <is>
          <t>Miranda Vidaurre</t>
        </is>
      </c>
      <c r="C107" s="1" t="inlineStr">
        <is>
          <t>Ministerio Público (Fiscalía)</t>
        </is>
      </c>
      <c r="D107" s="1" t="inlineStr">
        <is>
          <t>Entrevista de actores clave</t>
        </is>
      </c>
      <c r="E107" s="1" t="inlineStr">
        <is>
          <t>Funcionarios del Sistema</t>
        </is>
      </c>
      <c r="F107" s="1" t="inlineStr">
        <is>
          <t>Distrito Judicial: Puente Piedra-Ventanilla</t>
        </is>
      </c>
      <c r="G107" s="1" t="inlineStr">
        <is>
          <t>IJM</t>
        </is>
      </c>
      <c r="H107" s="1" t="inlineStr">
        <is>
          <t>No</t>
        </is>
      </c>
      <c r="I107" s="2" t="str"/>
      <c r="J107" s="2" t="str"/>
      <c r="K107" s="2" t="str"/>
      <c r="L107" s="1" t="str"/>
      <c r="M107" s="2" t="str"/>
      <c r="N107" s="2" t="str"/>
      <c r="O107" s="1" t="str"/>
      <c r="P107" s="1" t="str"/>
      <c r="Q107" s="1" t="str"/>
      <c r="R107" s="1">
        <f>IF(H107="Sí",1,0)</f>
        <v/>
      </c>
      <c r="S107" s="1">
        <f>IF(L107="En coordinación",1,0)</f>
        <v/>
      </c>
      <c r="T107" s="1">
        <f>IF(L107="Aceptada",1,0)</f>
        <v/>
      </c>
      <c r="U107" s="1">
        <f>IF(OR(L107="Realizada completa",L107="Realizada incompleta"),1,0)</f>
        <v/>
      </c>
      <c r="V107" s="1">
        <f>IF(L107="Sin respuesta",1,0)</f>
        <v/>
      </c>
    </row>
    <row r="108">
      <c r="A108" s="1" t="inlineStr">
        <is>
          <t>107</t>
        </is>
      </c>
      <c r="B108" s="1" t="inlineStr">
        <is>
          <t>Edgar Alfredo Rebaza Vargas</t>
        </is>
      </c>
      <c r="C108" s="1" t="inlineStr">
        <is>
          <t>Ministerio Público (Fiscalía)</t>
        </is>
      </c>
      <c r="D108" s="1" t="inlineStr">
        <is>
          <t>Entrevista de actores clave</t>
        </is>
      </c>
      <c r="E108" s="1" t="inlineStr">
        <is>
          <t>Funcionarios del Sistema</t>
        </is>
      </c>
      <c r="F108" s="1" t="inlineStr">
        <is>
          <t>Distrito Judicial: Puente Piedra-Ventanilla</t>
        </is>
      </c>
      <c r="G108" s="1" t="inlineStr">
        <is>
          <t>IJM</t>
        </is>
      </c>
      <c r="H108" s="1" t="inlineStr">
        <is>
          <t>No</t>
        </is>
      </c>
      <c r="I108" s="2" t="str"/>
      <c r="J108" s="2" t="str"/>
      <c r="K108" s="2" t="str"/>
      <c r="L108" s="1" t="str"/>
      <c r="M108" s="2" t="str"/>
      <c r="N108" s="2" t="str"/>
      <c r="O108" s="1" t="str"/>
      <c r="P108" s="1" t="str"/>
      <c r="Q108" s="1" t="str"/>
      <c r="R108" s="1">
        <f>IF(H108="Sí",1,0)</f>
        <v/>
      </c>
      <c r="S108" s="1">
        <f>IF(L108="En coordinación",1,0)</f>
        <v/>
      </c>
      <c r="T108" s="1">
        <f>IF(L108="Aceptada",1,0)</f>
        <v/>
      </c>
      <c r="U108" s="1">
        <f>IF(OR(L108="Realizada completa",L108="Realizada incompleta"),1,0)</f>
        <v/>
      </c>
      <c r="V108" s="1">
        <f>IF(L108="Sin respuesta",1,0)</f>
        <v/>
      </c>
    </row>
    <row r="109">
      <c r="A109" s="1" t="inlineStr">
        <is>
          <t>108</t>
        </is>
      </c>
      <c r="B109" s="1" t="inlineStr">
        <is>
          <t>Marco de la Cruz Espejo</t>
        </is>
      </c>
      <c r="C109" s="1" t="inlineStr">
        <is>
          <t>Ministerio Público (Fiscalía)</t>
        </is>
      </c>
      <c r="D109" s="1" t="inlineStr">
        <is>
          <t>Entrevista de actores clave</t>
        </is>
      </c>
      <c r="E109" s="1" t="inlineStr">
        <is>
          <t>Funcionarios del Sistema</t>
        </is>
      </c>
      <c r="F109" s="1" t="inlineStr">
        <is>
          <t>Distrito Judicial: Puente Piedra-Ventanilla</t>
        </is>
      </c>
      <c r="G109" s="1" t="inlineStr">
        <is>
          <t>IJM</t>
        </is>
      </c>
      <c r="H109" s="1" t="inlineStr">
        <is>
          <t>Sí</t>
        </is>
      </c>
      <c r="I109" s="2" t="inlineStr">
        <is>
          <t xml:space="preserve">  5/5/2026</t>
        </is>
      </c>
      <c r="J109" s="2" t="str"/>
      <c r="K109" s="2" t="str"/>
      <c r="L109" s="1" t="inlineStr">
        <is>
          <t>Sin respuesta</t>
        </is>
      </c>
      <c r="M109" s="2" t="str"/>
      <c r="N109" s="2" t="str"/>
      <c r="O109" s="1" t="inlineStr">
        <is>
          <t>Sin respuesta</t>
        </is>
      </c>
      <c r="P109" s="1" t="str"/>
      <c r="Q109" s="1" t="str"/>
      <c r="R109" s="1">
        <f>IF(H109="Sí",1,0)</f>
        <v/>
      </c>
      <c r="S109" s="1">
        <f>IF(L109="En coordinación",1,0)</f>
        <v/>
      </c>
      <c r="T109" s="1">
        <f>IF(L109="Aceptada",1,0)</f>
        <v/>
      </c>
      <c r="U109" s="1">
        <f>IF(OR(L109="Realizada completa",L109="Realizada incompleta"),1,0)</f>
        <v/>
      </c>
      <c r="V109" s="1">
        <f>IF(L109="Sin respuesta",1,0)</f>
        <v/>
      </c>
    </row>
    <row r="110">
      <c r="A110" s="1" t="inlineStr">
        <is>
          <t>109</t>
        </is>
      </c>
      <c r="B110" s="1" t="inlineStr">
        <is>
          <t>Luis Humberto Castilla Malca</t>
        </is>
      </c>
      <c r="C110" s="1" t="inlineStr">
        <is>
          <t>Poder Judicial</t>
        </is>
      </c>
      <c r="D110" s="1" t="inlineStr">
        <is>
          <t>Entrevista de actores clave</t>
        </is>
      </c>
      <c r="E110" s="1" t="inlineStr">
        <is>
          <t>Funcionarios del Sistema</t>
        </is>
      </c>
      <c r="F110" s="1" t="inlineStr">
        <is>
          <t>Distrito Judicial: Huánuco</t>
        </is>
      </c>
      <c r="G110" s="1" t="inlineStr">
        <is>
          <t>IJM</t>
        </is>
      </c>
      <c r="H110" s="1" t="inlineStr">
        <is>
          <t>No</t>
        </is>
      </c>
      <c r="I110" s="2" t="str"/>
      <c r="J110" s="2" t="str"/>
      <c r="K110" s="2" t="str"/>
      <c r="L110" s="1" t="str"/>
      <c r="M110" s="2" t="str"/>
      <c r="N110" s="2" t="str"/>
      <c r="O110" s="1" t="str"/>
      <c r="P110" s="1" t="str"/>
      <c r="Q110" s="1" t="str"/>
      <c r="R110" s="1">
        <f>IF(H110="Sí",1,0)</f>
        <v/>
      </c>
      <c r="S110" s="1">
        <f>IF(L110="En coordinación",1,0)</f>
        <v/>
      </c>
      <c r="T110" s="1">
        <f>IF(L110="Aceptada",1,0)</f>
        <v/>
      </c>
      <c r="U110" s="1">
        <f>IF(OR(L110="Realizada completa",L110="Realizada incompleta"),1,0)</f>
        <v/>
      </c>
      <c r="V110" s="1">
        <f>IF(L110="Sin respuesta",1,0)</f>
        <v/>
      </c>
    </row>
    <row r="111">
      <c r="A111" s="1" t="inlineStr">
        <is>
          <t>110</t>
        </is>
      </c>
      <c r="B111" s="1" t="inlineStr">
        <is>
          <t>Juan Carlos Santillan Tuesta</t>
        </is>
      </c>
      <c r="C111" s="1" t="inlineStr">
        <is>
          <t>Poder Judicial</t>
        </is>
      </c>
      <c r="D111" s="1" t="inlineStr">
        <is>
          <t>Entrevista de actores clave</t>
        </is>
      </c>
      <c r="E111" s="1" t="inlineStr">
        <is>
          <t>Funcionarios del Sistema</t>
        </is>
      </c>
      <c r="F111" s="1" t="inlineStr">
        <is>
          <t>Nacional</t>
        </is>
      </c>
      <c r="G111" s="1" t="inlineStr">
        <is>
          <t>IJM</t>
        </is>
      </c>
      <c r="H111" s="1" t="inlineStr">
        <is>
          <t>No</t>
        </is>
      </c>
      <c r="I111" s="2" t="str"/>
      <c r="J111" s="2" t="str"/>
      <c r="K111" s="2" t="str"/>
      <c r="L111" s="1" t="str"/>
      <c r="M111" s="2" t="str"/>
      <c r="N111" s="2" t="str"/>
      <c r="O111" s="1" t="str"/>
      <c r="P111" s="1" t="str"/>
      <c r="Q111" s="1" t="str"/>
      <c r="R111" s="1">
        <f>IF(H111="Sí",1,0)</f>
        <v/>
      </c>
      <c r="S111" s="1">
        <f>IF(L111="En coordinación",1,0)</f>
        <v/>
      </c>
      <c r="T111" s="1">
        <f>IF(L111="Aceptada",1,0)</f>
        <v/>
      </c>
      <c r="U111" s="1">
        <f>IF(OR(L111="Realizada completa",L111="Realizada incompleta"),1,0)</f>
        <v/>
      </c>
      <c r="V111" s="1">
        <f>IF(L111="Sin respuesta",1,0)</f>
        <v/>
      </c>
    </row>
    <row r="112">
      <c r="A112" s="1" t="inlineStr">
        <is>
          <t>111</t>
        </is>
      </c>
      <c r="B112" s="1" t="inlineStr">
        <is>
          <t>Carmen Maria Lopez Vasquez</t>
        </is>
      </c>
      <c r="C112" s="1" t="inlineStr">
        <is>
          <t>Poder Judicial</t>
        </is>
      </c>
      <c r="D112" s="1" t="inlineStr">
        <is>
          <t>Entrevista de actores clave</t>
        </is>
      </c>
      <c r="E112" s="1" t="inlineStr">
        <is>
          <t>Funcionarios del Sistema</t>
        </is>
      </c>
      <c r="F112" s="1" t="inlineStr">
        <is>
          <t>Distrito Judicial: Cajamarca</t>
        </is>
      </c>
      <c r="G112" s="1" t="inlineStr">
        <is>
          <t>IJM</t>
        </is>
      </c>
      <c r="H112" s="1" t="inlineStr">
        <is>
          <t>No</t>
        </is>
      </c>
      <c r="I112" s="2" t="str"/>
      <c r="J112" s="2" t="str"/>
      <c r="K112" s="2" t="str"/>
      <c r="L112" s="1" t="str"/>
      <c r="M112" s="2" t="str"/>
      <c r="N112" s="2" t="str"/>
      <c r="O112" s="1" t="str"/>
      <c r="P112" s="1" t="str"/>
      <c r="Q112" s="1" t="str"/>
      <c r="R112" s="1">
        <f>IF(H112="Sí",1,0)</f>
        <v/>
      </c>
      <c r="S112" s="1">
        <f>IF(L112="En coordinación",1,0)</f>
        <v/>
      </c>
      <c r="T112" s="1">
        <f>IF(L112="Aceptada",1,0)</f>
        <v/>
      </c>
      <c r="U112" s="1">
        <f>IF(OR(L112="Realizada completa",L112="Realizada incompleta"),1,0)</f>
        <v/>
      </c>
      <c r="V112" s="1">
        <f>IF(L112="Sin respuesta",1,0)</f>
        <v/>
      </c>
    </row>
    <row r="113">
      <c r="A113" s="1" t="inlineStr">
        <is>
          <t>112</t>
        </is>
      </c>
      <c r="B113" s="1" t="inlineStr">
        <is>
          <t>Sandra Teresa Sulca Martinez</t>
        </is>
      </c>
      <c r="C113" s="1" t="inlineStr">
        <is>
          <t>Poder Judicial</t>
        </is>
      </c>
      <c r="D113" s="1" t="inlineStr">
        <is>
          <t>Entrevista de actores clave</t>
        </is>
      </c>
      <c r="E113" s="1" t="inlineStr">
        <is>
          <t>Funcionarios del Sistema</t>
        </is>
      </c>
      <c r="F113" s="1" t="inlineStr">
        <is>
          <t>Nacional</t>
        </is>
      </c>
      <c r="G113" s="1" t="inlineStr">
        <is>
          <t>IJM</t>
        </is>
      </c>
      <c r="H113" s="1" t="inlineStr">
        <is>
          <t>No</t>
        </is>
      </c>
      <c r="I113" s="2" t="str"/>
      <c r="J113" s="2" t="str"/>
      <c r="K113" s="2" t="str"/>
      <c r="L113" s="1" t="str"/>
      <c r="M113" s="2" t="str"/>
      <c r="N113" s="2" t="str"/>
      <c r="O113" s="1" t="str"/>
      <c r="P113" s="1" t="str"/>
      <c r="Q113" s="1" t="str"/>
      <c r="R113" s="1">
        <f>IF(H113="Sí",1,0)</f>
        <v/>
      </c>
      <c r="S113" s="1">
        <f>IF(L113="En coordinación",1,0)</f>
        <v/>
      </c>
      <c r="T113" s="1">
        <f>IF(L113="Aceptada",1,0)</f>
        <v/>
      </c>
      <c r="U113" s="1">
        <f>IF(OR(L113="Realizada completa",L113="Realizada incompleta"),1,0)</f>
        <v/>
      </c>
      <c r="V113" s="1">
        <f>IF(L113="Sin respuesta",1,0)</f>
        <v/>
      </c>
    </row>
    <row r="114">
      <c r="A114" s="1" t="inlineStr">
        <is>
          <t>113</t>
        </is>
      </c>
      <c r="B114" s="1" t="inlineStr">
        <is>
          <t>Geronimo De La Cruz Jaime</t>
        </is>
      </c>
      <c r="C114" s="1" t="inlineStr">
        <is>
          <t>Poder Judicial</t>
        </is>
      </c>
      <c r="D114" s="1" t="inlineStr">
        <is>
          <t>Entrevista de actores clave</t>
        </is>
      </c>
      <c r="E114" s="1" t="inlineStr">
        <is>
          <t>Funcionarios del Sistema</t>
        </is>
      </c>
      <c r="F114" s="1" t="inlineStr">
        <is>
          <t>Nacional</t>
        </is>
      </c>
      <c r="G114" s="1" t="inlineStr">
        <is>
          <t>IJM</t>
        </is>
      </c>
      <c r="H114" s="1" t="inlineStr">
        <is>
          <t>No</t>
        </is>
      </c>
      <c r="I114" s="2" t="str"/>
      <c r="J114" s="2" t="str"/>
      <c r="K114" s="2" t="str"/>
      <c r="L114" s="1" t="str"/>
      <c r="M114" s="2" t="str"/>
      <c r="N114" s="2" t="str"/>
      <c r="O114" s="1" t="str"/>
      <c r="P114" s="1" t="str"/>
      <c r="Q114" s="1" t="str"/>
      <c r="R114" s="1">
        <f>IF(H114="Sí",1,0)</f>
        <v/>
      </c>
      <c r="S114" s="1">
        <f>IF(L114="En coordinación",1,0)</f>
        <v/>
      </c>
      <c r="T114" s="1">
        <f>IF(L114="Aceptada",1,0)</f>
        <v/>
      </c>
      <c r="U114" s="1">
        <f>IF(OR(L114="Realizada completa",L114="Realizada incompleta"),1,0)</f>
        <v/>
      </c>
      <c r="V114" s="1">
        <f>IF(L114="Sin respuesta",1,0)</f>
        <v/>
      </c>
    </row>
    <row r="115">
      <c r="A115" s="1" t="inlineStr">
        <is>
          <t>114</t>
        </is>
      </c>
      <c r="B115" s="1" t="inlineStr">
        <is>
          <t>Jim Ramirez Figueroa</t>
        </is>
      </c>
      <c r="C115" s="1" t="inlineStr">
        <is>
          <t>Poder Judicial</t>
        </is>
      </c>
      <c r="D115" s="1" t="inlineStr">
        <is>
          <t>Entrevista de actores clave</t>
        </is>
      </c>
      <c r="E115" s="1" t="inlineStr">
        <is>
          <t>Funcionarios del Sistema</t>
        </is>
      </c>
      <c r="F115" s="1" t="inlineStr">
        <is>
          <t>Nacional</t>
        </is>
      </c>
      <c r="G115" s="1" t="inlineStr">
        <is>
          <t>IJM</t>
        </is>
      </c>
      <c r="H115" s="1" t="inlineStr">
        <is>
          <t>No</t>
        </is>
      </c>
      <c r="I115" s="2" t="str"/>
      <c r="J115" s="2" t="str"/>
      <c r="K115" s="2" t="str"/>
      <c r="L115" s="1" t="str"/>
      <c r="M115" s="2" t="str"/>
      <c r="N115" s="2" t="str"/>
      <c r="O115" s="1" t="str"/>
      <c r="P115" s="1" t="str"/>
      <c r="Q115" s="1" t="str"/>
      <c r="R115" s="1">
        <f>IF(H115="Sí",1,0)</f>
        <v/>
      </c>
      <c r="S115" s="1">
        <f>IF(L115="En coordinación",1,0)</f>
        <v/>
      </c>
      <c r="T115" s="1">
        <f>IF(L115="Aceptada",1,0)</f>
        <v/>
      </c>
      <c r="U115" s="1">
        <f>IF(OR(L115="Realizada completa",L115="Realizada incompleta"),1,0)</f>
        <v/>
      </c>
      <c r="V115" s="1">
        <f>IF(L115="Sin respuesta",1,0)</f>
        <v/>
      </c>
    </row>
    <row r="116">
      <c r="A116" s="1" t="inlineStr">
        <is>
          <t>115</t>
        </is>
      </c>
      <c r="B116" s="1" t="inlineStr">
        <is>
          <t>Rocio Marin Sandoval</t>
        </is>
      </c>
      <c r="C116" s="1" t="inlineStr">
        <is>
          <t>Poder Judicial</t>
        </is>
      </c>
      <c r="D116" s="1" t="inlineStr">
        <is>
          <t>Entrevista de actores clave</t>
        </is>
      </c>
      <c r="E116" s="1" t="inlineStr">
        <is>
          <t>Funcionarios del Sistema</t>
        </is>
      </c>
      <c r="F116" s="1" t="inlineStr">
        <is>
          <t>Distrito Judicial: Puente Piedra-Ventanilla</t>
        </is>
      </c>
      <c r="G116" s="1" t="inlineStr">
        <is>
          <t>IJM</t>
        </is>
      </c>
      <c r="H116" s="1" t="inlineStr">
        <is>
          <t>No</t>
        </is>
      </c>
      <c r="I116" s="2" t="str"/>
      <c r="J116" s="2" t="str"/>
      <c r="K116" s="2" t="str"/>
      <c r="L116" s="1" t="str"/>
      <c r="M116" s="2" t="str"/>
      <c r="N116" s="2" t="str"/>
      <c r="O116" s="1" t="str"/>
      <c r="P116" s="1" t="str"/>
      <c r="Q116" s="1" t="str"/>
      <c r="R116" s="1">
        <f>IF(H116="Sí",1,0)</f>
        <v/>
      </c>
      <c r="S116" s="1">
        <f>IF(L116="En coordinación",1,0)</f>
        <v/>
      </c>
      <c r="T116" s="1">
        <f>IF(L116="Aceptada",1,0)</f>
        <v/>
      </c>
      <c r="U116" s="1">
        <f>IF(OR(L116="Realizada completa",L116="Realizada incompleta"),1,0)</f>
        <v/>
      </c>
      <c r="V116" s="1">
        <f>IF(L116="Sin respuesta",1,0)</f>
        <v/>
      </c>
    </row>
    <row r="117">
      <c r="A117" s="1" t="inlineStr">
        <is>
          <t>116</t>
        </is>
      </c>
      <c r="B117" s="1" t="inlineStr">
        <is>
          <t>Hermogenes Lima Chayña</t>
        </is>
      </c>
      <c r="C117" s="1" t="inlineStr">
        <is>
          <t>Poder Judicial</t>
        </is>
      </c>
      <c r="D117" s="1" t="inlineStr">
        <is>
          <t>Entrevista de actores clave</t>
        </is>
      </c>
      <c r="E117" s="1" t="inlineStr">
        <is>
          <t>Funcionarios del Sistema</t>
        </is>
      </c>
      <c r="F117" s="1" t="inlineStr">
        <is>
          <t>Distrito Judicial: Ucayali</t>
        </is>
      </c>
      <c r="G117" s="1" t="inlineStr">
        <is>
          <t>IJM</t>
        </is>
      </c>
      <c r="H117" s="1" t="inlineStr">
        <is>
          <t>Sí</t>
        </is>
      </c>
      <c r="I117" s="2" t="str"/>
      <c r="J117" s="2" t="str"/>
      <c r="K117" s="2" t="str"/>
      <c r="L117" s="1" t="inlineStr">
        <is>
          <t>Realizada completa</t>
        </is>
      </c>
      <c r="M117" s="2" t="inlineStr">
        <is>
          <t>11-Jul</t>
        </is>
      </c>
      <c r="N117" s="2" t="inlineStr">
        <is>
          <t>11-Jul</t>
        </is>
      </c>
      <c r="O117" s="1" t="inlineStr">
        <is>
          <t>Realizada completa</t>
        </is>
      </c>
      <c r="P117" s="1" t="inlineStr">
        <is>
          <t>36</t>
        </is>
      </c>
      <c r="Q117" s="1" t="inlineStr">
        <is>
          <t>A distancia asistido</t>
        </is>
      </c>
      <c r="R117" s="1">
        <f>IF(H117="Sí",1,0)</f>
        <v/>
      </c>
      <c r="S117" s="1">
        <f>IF(L117="En coordinación",1,0)</f>
        <v/>
      </c>
      <c r="T117" s="1">
        <f>IF(L117="Aceptada",1,0)</f>
        <v/>
      </c>
      <c r="U117" s="1">
        <f>IF(OR(L117="Realizada completa",L117="Realizada incompleta"),1,0)</f>
        <v/>
      </c>
      <c r="V117" s="1">
        <f>IF(L117="Sin respuesta",1,0)</f>
        <v/>
      </c>
    </row>
    <row r="118">
      <c r="A118" s="1" t="inlineStr">
        <is>
          <t>117</t>
        </is>
      </c>
      <c r="B118" s="1" t="inlineStr">
        <is>
          <t>Jessenia Tafur Rios</t>
        </is>
      </c>
      <c r="C118" s="1" t="inlineStr">
        <is>
          <t>Poder Judicial</t>
        </is>
      </c>
      <c r="D118" s="1" t="inlineStr">
        <is>
          <t>Entrevista de actores clave</t>
        </is>
      </c>
      <c r="E118" s="1" t="inlineStr">
        <is>
          <t>Funcionarios del Sistema</t>
        </is>
      </c>
      <c r="F118" s="1" t="inlineStr">
        <is>
          <t>Distrito Judicial: Loreto</t>
        </is>
      </c>
      <c r="G118" s="1" t="inlineStr">
        <is>
          <t>IJM</t>
        </is>
      </c>
      <c r="H118" s="1" t="inlineStr">
        <is>
          <t>No</t>
        </is>
      </c>
      <c r="I118" s="2" t="str"/>
      <c r="J118" s="2" t="str"/>
      <c r="K118" s="2" t="str"/>
      <c r="L118" s="1" t="str"/>
      <c r="M118" s="2" t="str"/>
      <c r="N118" s="2" t="str"/>
      <c r="O118" s="1" t="str"/>
      <c r="P118" s="1" t="str"/>
      <c r="Q118" s="1" t="str"/>
      <c r="R118" s="1">
        <f>IF(H118="Sí",1,0)</f>
        <v/>
      </c>
      <c r="S118" s="1">
        <f>IF(L118="En coordinación",1,0)</f>
        <v/>
      </c>
      <c r="T118" s="1">
        <f>IF(L118="Aceptada",1,0)</f>
        <v/>
      </c>
      <c r="U118" s="1">
        <f>IF(OR(L118="Realizada completa",L118="Realizada incompleta"),1,0)</f>
        <v/>
      </c>
      <c r="V118" s="1">
        <f>IF(L118="Sin respuesta",1,0)</f>
        <v/>
      </c>
    </row>
    <row r="119">
      <c r="A119" s="1" t="inlineStr">
        <is>
          <t>118</t>
        </is>
      </c>
      <c r="B119" s="1" t="inlineStr">
        <is>
          <t>Federick Rivera Berrospi</t>
        </is>
      </c>
      <c r="C119" s="1" t="inlineStr">
        <is>
          <t>Poder Judicial</t>
        </is>
      </c>
      <c r="D119" s="1" t="inlineStr">
        <is>
          <t>Entrevista de actores clave</t>
        </is>
      </c>
      <c r="E119" s="1" t="inlineStr">
        <is>
          <t>Funcionarios del Sistema</t>
        </is>
      </c>
      <c r="F119" s="1" t="inlineStr">
        <is>
          <t>Nacional</t>
        </is>
      </c>
      <c r="G119" s="1" t="inlineStr">
        <is>
          <t>IJM</t>
        </is>
      </c>
      <c r="H119" s="1" t="inlineStr">
        <is>
          <t>No</t>
        </is>
      </c>
      <c r="I119" s="2" t="str"/>
      <c r="J119" s="2" t="str"/>
      <c r="K119" s="2" t="str"/>
      <c r="L119" s="1" t="str"/>
      <c r="M119" s="2" t="str"/>
      <c r="N119" s="2" t="str"/>
      <c r="O119" s="1" t="str"/>
      <c r="P119" s="1" t="str"/>
      <c r="Q119" s="1" t="str"/>
      <c r="R119" s="1">
        <f>IF(H119="Sí",1,0)</f>
        <v/>
      </c>
      <c r="S119" s="1">
        <f>IF(L119="En coordinación",1,0)</f>
        <v/>
      </c>
      <c r="T119" s="1">
        <f>IF(L119="Aceptada",1,0)</f>
        <v/>
      </c>
      <c r="U119" s="1">
        <f>IF(OR(L119="Realizada completa",L119="Realizada incompleta"),1,0)</f>
        <v/>
      </c>
      <c r="V119" s="1">
        <f>IF(L119="Sin respuesta",1,0)</f>
        <v/>
      </c>
    </row>
    <row r="120">
      <c r="A120" s="1" t="inlineStr">
        <is>
          <t>119</t>
        </is>
      </c>
      <c r="B120" s="1" t="inlineStr">
        <is>
          <t>Rosario Marlene Dávila Arquiñigo</t>
        </is>
      </c>
      <c r="C120" s="1" t="inlineStr">
        <is>
          <t>Poder Judicial</t>
        </is>
      </c>
      <c r="D120" s="1" t="inlineStr">
        <is>
          <t>Entrevista de actores clave</t>
        </is>
      </c>
      <c r="E120" s="1" t="inlineStr">
        <is>
          <t>Funcionarios del Sistema</t>
        </is>
      </c>
      <c r="F120" s="1" t="inlineStr">
        <is>
          <t>Nacional</t>
        </is>
      </c>
      <c r="G120" s="1" t="inlineStr">
        <is>
          <t>IJM</t>
        </is>
      </c>
      <c r="H120" s="1" t="inlineStr">
        <is>
          <t>No</t>
        </is>
      </c>
      <c r="I120" s="2" t="str"/>
      <c r="J120" s="2" t="str"/>
      <c r="K120" s="2" t="str"/>
      <c r="L120" s="1" t="str"/>
      <c r="M120" s="2" t="str"/>
      <c r="N120" s="2" t="str"/>
      <c r="O120" s="1" t="str"/>
      <c r="P120" s="1" t="str"/>
      <c r="Q120" s="1" t="str"/>
      <c r="R120" s="1">
        <f>IF(H120="Sí",1,0)</f>
        <v/>
      </c>
      <c r="S120" s="1">
        <f>IF(L120="En coordinación",1,0)</f>
        <v/>
      </c>
      <c r="T120" s="1">
        <f>IF(L120="Aceptada",1,0)</f>
        <v/>
      </c>
      <c r="U120" s="1">
        <f>IF(OR(L120="Realizada completa",L120="Realizada incompleta"),1,0)</f>
        <v/>
      </c>
      <c r="V120" s="1">
        <f>IF(L120="Sin respuesta",1,0)</f>
        <v/>
      </c>
    </row>
    <row r="121">
      <c r="A121" s="1" t="inlineStr">
        <is>
          <t>120</t>
        </is>
      </c>
      <c r="B121" s="1" t="inlineStr">
        <is>
          <t>Silvia Salazar Mendoza</t>
        </is>
      </c>
      <c r="C121" s="1" t="inlineStr">
        <is>
          <t>Poder Judicial</t>
        </is>
      </c>
      <c r="D121" s="1" t="inlineStr">
        <is>
          <t>Entrevista de actores clave</t>
        </is>
      </c>
      <c r="E121" s="1" t="inlineStr">
        <is>
          <t>Funcionarios del Sistema</t>
        </is>
      </c>
      <c r="F121" s="1" t="inlineStr">
        <is>
          <t>Nacional</t>
        </is>
      </c>
      <c r="G121" s="1" t="inlineStr">
        <is>
          <t>IJM</t>
        </is>
      </c>
      <c r="H121" s="1" t="inlineStr">
        <is>
          <t>No</t>
        </is>
      </c>
      <c r="I121" s="2" t="str"/>
      <c r="J121" s="2" t="str"/>
      <c r="K121" s="2" t="str"/>
      <c r="L121" s="1" t="str"/>
      <c r="M121" s="2" t="str"/>
      <c r="N121" s="2" t="str"/>
      <c r="O121" s="1" t="str"/>
      <c r="P121" s="1" t="str"/>
      <c r="Q121" s="1" t="str"/>
      <c r="R121" s="1">
        <f>IF(H121="Sí",1,0)</f>
        <v/>
      </c>
      <c r="S121" s="1">
        <f>IF(L121="En coordinación",1,0)</f>
        <v/>
      </c>
      <c r="T121" s="1">
        <f>IF(L121="Aceptada",1,0)</f>
        <v/>
      </c>
      <c r="U121" s="1">
        <f>IF(OR(L121="Realizada completa",L121="Realizada incompleta"),1,0)</f>
        <v/>
      </c>
      <c r="V121" s="1">
        <f>IF(L121="Sin respuesta",1,0)</f>
        <v/>
      </c>
    </row>
    <row r="122">
      <c r="A122" s="1" t="inlineStr">
        <is>
          <t>121</t>
        </is>
      </c>
      <c r="B122" s="1" t="inlineStr">
        <is>
          <t>Jorge Eduardo Ángeles Valiente</t>
        </is>
      </c>
      <c r="C122" s="1" t="inlineStr">
        <is>
          <t>Poder Judicial</t>
        </is>
      </c>
      <c r="D122" s="1" t="inlineStr">
        <is>
          <t>Entrevista de actores clave</t>
        </is>
      </c>
      <c r="E122" s="1" t="inlineStr">
        <is>
          <t>Funcionarios del Sistema</t>
        </is>
      </c>
      <c r="F122" s="1" t="inlineStr">
        <is>
          <t>Distrito Judicial: Puente Piedra-Ventanilla</t>
        </is>
      </c>
      <c r="G122" s="1" t="inlineStr">
        <is>
          <t>IJM</t>
        </is>
      </c>
      <c r="H122" s="1" t="inlineStr">
        <is>
          <t>No</t>
        </is>
      </c>
      <c r="I122" s="2" t="str"/>
      <c r="J122" s="2" t="str"/>
      <c r="K122" s="2" t="str"/>
      <c r="L122" s="1" t="str"/>
      <c r="M122" s="2" t="str"/>
      <c r="N122" s="2" t="str"/>
      <c r="O122" s="1" t="str"/>
      <c r="P122" s="1" t="str"/>
      <c r="Q122" s="1" t="str"/>
      <c r="R122" s="1">
        <f>IF(H122="Sí",1,0)</f>
        <v/>
      </c>
      <c r="S122" s="1">
        <f>IF(L122="En coordinación",1,0)</f>
        <v/>
      </c>
      <c r="T122" s="1">
        <f>IF(L122="Aceptada",1,0)</f>
        <v/>
      </c>
      <c r="U122" s="1">
        <f>IF(OR(L122="Realizada completa",L122="Realizada incompleta"),1,0)</f>
        <v/>
      </c>
      <c r="V122" s="1">
        <f>IF(L122="Sin respuesta",1,0)</f>
        <v/>
      </c>
    </row>
    <row r="123">
      <c r="A123" s="1" t="inlineStr">
        <is>
          <t>122</t>
        </is>
      </c>
      <c r="B123" s="1" t="inlineStr">
        <is>
          <t>Raquel Ocampo Alvarado</t>
        </is>
      </c>
      <c r="C123" s="1" t="inlineStr">
        <is>
          <t>Poder Judicial</t>
        </is>
      </c>
      <c r="D123" s="1" t="inlineStr">
        <is>
          <t>Entrevista de actores clave</t>
        </is>
      </c>
      <c r="E123" s="1" t="inlineStr">
        <is>
          <t>Funcionarios del Sistema</t>
        </is>
      </c>
      <c r="F123" s="1" t="inlineStr">
        <is>
          <t>Nacional</t>
        </is>
      </c>
      <c r="G123" s="1" t="inlineStr">
        <is>
          <t>IJM</t>
        </is>
      </c>
      <c r="H123" s="1" t="inlineStr">
        <is>
          <t>No</t>
        </is>
      </c>
      <c r="I123" s="2" t="str"/>
      <c r="J123" s="2" t="str"/>
      <c r="K123" s="2" t="str"/>
      <c r="L123" s="1" t="str"/>
      <c r="M123" s="2" t="str"/>
      <c r="N123" s="2" t="str"/>
      <c r="O123" s="1" t="str"/>
      <c r="P123" s="1" t="str"/>
      <c r="Q123" s="1" t="str"/>
      <c r="R123" s="1">
        <f>IF(H123="Sí",1,0)</f>
        <v/>
      </c>
      <c r="S123" s="1">
        <f>IF(L123="En coordinación",1,0)</f>
        <v/>
      </c>
      <c r="T123" s="1">
        <f>IF(L123="Aceptada",1,0)</f>
        <v/>
      </c>
      <c r="U123" s="1">
        <f>IF(OR(L123="Realizada completa",L123="Realizada incompleta"),1,0)</f>
        <v/>
      </c>
      <c r="V123" s="1">
        <f>IF(L123="Sin respuesta",1,0)</f>
        <v/>
      </c>
    </row>
    <row r="124">
      <c r="A124" s="1" t="inlineStr">
        <is>
          <t>123</t>
        </is>
      </c>
      <c r="B124" s="1" t="inlineStr">
        <is>
          <t>Loaiza Suarez</t>
        </is>
      </c>
      <c r="C124" s="1" t="inlineStr">
        <is>
          <t>Poder Judicial</t>
        </is>
      </c>
      <c r="D124" s="1" t="inlineStr">
        <is>
          <t>Entrevista de actores clave</t>
        </is>
      </c>
      <c r="E124" s="1" t="inlineStr">
        <is>
          <t>Funcionarios del Sistema</t>
        </is>
      </c>
      <c r="F124" s="1" t="inlineStr">
        <is>
          <t>Nacional</t>
        </is>
      </c>
      <c r="G124" s="1" t="inlineStr">
        <is>
          <t>IJM</t>
        </is>
      </c>
      <c r="H124" s="1" t="inlineStr">
        <is>
          <t>No</t>
        </is>
      </c>
      <c r="I124" s="2" t="str"/>
      <c r="J124" s="2" t="str"/>
      <c r="K124" s="2" t="str"/>
      <c r="L124" s="1" t="str"/>
      <c r="M124" s="2" t="str"/>
      <c r="N124" s="2" t="str"/>
      <c r="O124" s="1" t="str"/>
      <c r="P124" s="1" t="str"/>
      <c r="Q124" s="1" t="str"/>
      <c r="R124" s="1">
        <f>IF(H124="Sí",1,0)</f>
        <v/>
      </c>
      <c r="S124" s="1">
        <f>IF(L124="En coordinación",1,0)</f>
        <v/>
      </c>
      <c r="T124" s="1">
        <f>IF(L124="Aceptada",1,0)</f>
        <v/>
      </c>
      <c r="U124" s="1">
        <f>IF(OR(L124="Realizada completa",L124="Realizada incompleta"),1,0)</f>
        <v/>
      </c>
      <c r="V124" s="1">
        <f>IF(L124="Sin respuesta",1,0)</f>
        <v/>
      </c>
    </row>
    <row r="125">
      <c r="A125" s="1" t="inlineStr">
        <is>
          <t>124</t>
        </is>
      </c>
      <c r="B125" s="1" t="inlineStr">
        <is>
          <t>Ana Cecilia Garay Molina</t>
        </is>
      </c>
      <c r="C125" s="1" t="inlineStr">
        <is>
          <t>Poder Judicial</t>
        </is>
      </c>
      <c r="D125" s="1" t="inlineStr">
        <is>
          <t>Entrevista de actores clave</t>
        </is>
      </c>
      <c r="E125" s="1" t="inlineStr">
        <is>
          <t>Funcionarios del Sistema</t>
        </is>
      </c>
      <c r="F125" s="1" t="inlineStr">
        <is>
          <t>Nacional</t>
        </is>
      </c>
      <c r="G125" s="1" t="inlineStr">
        <is>
          <t>IJM</t>
        </is>
      </c>
      <c r="H125" s="1" t="inlineStr">
        <is>
          <t>No</t>
        </is>
      </c>
      <c r="I125" s="2" t="str"/>
      <c r="J125" s="2" t="str"/>
      <c r="K125" s="2" t="str"/>
      <c r="L125" s="1" t="str"/>
      <c r="M125" s="2" t="str"/>
      <c r="N125" s="2" t="str"/>
      <c r="O125" s="1" t="str"/>
      <c r="P125" s="1" t="str"/>
      <c r="Q125" s="1" t="str"/>
      <c r="R125" s="1">
        <f>IF(H125="Sí",1,0)</f>
        <v/>
      </c>
      <c r="S125" s="1">
        <f>IF(L125="En coordinación",1,0)</f>
        <v/>
      </c>
      <c r="T125" s="1">
        <f>IF(L125="Aceptada",1,0)</f>
        <v/>
      </c>
      <c r="U125" s="1">
        <f>IF(OR(L125="Realizada completa",L125="Realizada incompleta"),1,0)</f>
        <v/>
      </c>
      <c r="V125" s="1">
        <f>IF(L125="Sin respuesta",1,0)</f>
        <v/>
      </c>
    </row>
    <row r="126">
      <c r="A126" s="1" t="inlineStr">
        <is>
          <t>125</t>
        </is>
      </c>
      <c r="B126" s="1" t="inlineStr">
        <is>
          <t>Janet Ofelia Lourdes Tello Gilardi</t>
        </is>
      </c>
      <c r="C126" s="1" t="inlineStr">
        <is>
          <t>Poder Judicial</t>
        </is>
      </c>
      <c r="D126" s="1" t="inlineStr">
        <is>
          <t>Entrevista de actores clave</t>
        </is>
      </c>
      <c r="E126" s="1" t="inlineStr">
        <is>
          <t>Funcionarios del Sistema</t>
        </is>
      </c>
      <c r="F126" s="1" t="inlineStr">
        <is>
          <t>Nacional</t>
        </is>
      </c>
      <c r="G126" s="1" t="inlineStr">
        <is>
          <t>IJM</t>
        </is>
      </c>
      <c r="H126" s="1" t="inlineStr">
        <is>
          <t>No</t>
        </is>
      </c>
      <c r="I126" s="2" t="str"/>
      <c r="J126" s="2" t="str"/>
      <c r="K126" s="2" t="str"/>
      <c r="L126" s="1" t="str"/>
      <c r="M126" s="2" t="str"/>
      <c r="N126" s="2" t="str"/>
      <c r="O126" s="1" t="str"/>
      <c r="P126" s="1" t="str"/>
      <c r="Q126" s="1" t="str"/>
      <c r="R126" s="1">
        <f>IF(H126="Sí",1,0)</f>
        <v/>
      </c>
      <c r="S126" s="1">
        <f>IF(L126="En coordinación",1,0)</f>
        <v/>
      </c>
      <c r="T126" s="1">
        <f>IF(L126="Aceptada",1,0)</f>
        <v/>
      </c>
      <c r="U126" s="1">
        <f>IF(OR(L126="Realizada completa",L126="Realizada incompleta"),1,0)</f>
        <v/>
      </c>
      <c r="V126" s="1">
        <f>IF(L126="Sin respuesta",1,0)</f>
        <v/>
      </c>
    </row>
    <row r="127">
      <c r="A127" s="1" t="inlineStr">
        <is>
          <t>126</t>
        </is>
      </c>
      <c r="B127" s="1" t="inlineStr">
        <is>
          <t>Ana Maria Aranda Rodriguez</t>
        </is>
      </c>
      <c r="C127" s="1" t="inlineStr">
        <is>
          <t>Poder Judicial</t>
        </is>
      </c>
      <c r="D127" s="1" t="inlineStr">
        <is>
          <t>Entrevista de actores clave</t>
        </is>
      </c>
      <c r="E127" s="1" t="inlineStr">
        <is>
          <t>Funcionarios del Sistema</t>
        </is>
      </c>
      <c r="F127" s="1" t="inlineStr">
        <is>
          <t>Distrito Judicial: Ucayali</t>
        </is>
      </c>
      <c r="G127" s="1" t="inlineStr">
        <is>
          <t>IJM</t>
        </is>
      </c>
      <c r="H127" s="1" t="inlineStr">
        <is>
          <t>No</t>
        </is>
      </c>
      <c r="I127" s="2" t="str"/>
      <c r="J127" s="2" t="str"/>
      <c r="K127" s="2" t="str"/>
      <c r="L127" s="1" t="str"/>
      <c r="M127" s="2" t="str"/>
      <c r="N127" s="2" t="str"/>
      <c r="O127" s="1" t="str"/>
      <c r="P127" s="1" t="str"/>
      <c r="Q127" s="1" t="str"/>
      <c r="R127" s="1">
        <f>IF(H127="Sí",1,0)</f>
        <v/>
      </c>
      <c r="S127" s="1">
        <f>IF(L127="En coordinación",1,0)</f>
        <v/>
      </c>
      <c r="T127" s="1">
        <f>IF(L127="Aceptada",1,0)</f>
        <v/>
      </c>
      <c r="U127" s="1">
        <f>IF(OR(L127="Realizada completa",L127="Realizada incompleta"),1,0)</f>
        <v/>
      </c>
      <c r="V127" s="1">
        <f>IF(L127="Sin respuesta",1,0)</f>
        <v/>
      </c>
    </row>
    <row r="128">
      <c r="A128" s="1" t="inlineStr">
        <is>
          <t>127</t>
        </is>
      </c>
      <c r="B128" s="1" t="inlineStr">
        <is>
          <t>Claudia Cabaillas Quevedo</t>
        </is>
      </c>
      <c r="C128" s="1" t="inlineStr">
        <is>
          <t>Poder Judicial</t>
        </is>
      </c>
      <c r="D128" s="1" t="inlineStr">
        <is>
          <t>Entrevista de actores clave</t>
        </is>
      </c>
      <c r="E128" s="1" t="inlineStr">
        <is>
          <t>Funcionarios del Sistema</t>
        </is>
      </c>
      <c r="F128" s="1" t="inlineStr">
        <is>
          <t>Nacional</t>
        </is>
      </c>
      <c r="G128" s="1" t="inlineStr">
        <is>
          <t>IJM</t>
        </is>
      </c>
      <c r="H128" s="1" t="inlineStr">
        <is>
          <t>No</t>
        </is>
      </c>
      <c r="I128" s="2" t="str"/>
      <c r="J128" s="2" t="str"/>
      <c r="K128" s="2" t="str"/>
      <c r="L128" s="1" t="str"/>
      <c r="M128" s="2" t="str"/>
      <c r="N128" s="2" t="str"/>
      <c r="O128" s="1" t="str"/>
      <c r="P128" s="1" t="str"/>
      <c r="Q128" s="1" t="str"/>
      <c r="R128" s="1">
        <f>IF(H128="Sí",1,0)</f>
        <v/>
      </c>
      <c r="S128" s="1">
        <f>IF(L128="En coordinación",1,0)</f>
        <v/>
      </c>
      <c r="T128" s="1">
        <f>IF(L128="Aceptada",1,0)</f>
        <v/>
      </c>
      <c r="U128" s="1">
        <f>IF(OR(L128="Realizada completa",L128="Realizada incompleta"),1,0)</f>
        <v/>
      </c>
      <c r="V128" s="1">
        <f>IF(L128="Sin respuesta",1,0)</f>
        <v/>
      </c>
    </row>
    <row r="129">
      <c r="A129" s="1" t="inlineStr">
        <is>
          <t>128</t>
        </is>
      </c>
      <c r="B129" s="1" t="inlineStr">
        <is>
          <t>Allen Jonny Neyra Ascencios</t>
        </is>
      </c>
      <c r="C129" s="1" t="inlineStr">
        <is>
          <t>Poder Judicial</t>
        </is>
      </c>
      <c r="D129" s="1" t="inlineStr">
        <is>
          <t>Entrevista de actores clave</t>
        </is>
      </c>
      <c r="E129" s="1" t="inlineStr">
        <is>
          <t>Funcionarios del Sistema</t>
        </is>
      </c>
      <c r="F129" s="1" t="inlineStr">
        <is>
          <t>Distrito Judicial: Lima Norte</t>
        </is>
      </c>
      <c r="G129" s="1" t="inlineStr">
        <is>
          <t>IJM</t>
        </is>
      </c>
      <c r="H129" s="1" t="inlineStr">
        <is>
          <t>No</t>
        </is>
      </c>
      <c r="I129" s="2" t="str"/>
      <c r="J129" s="2" t="str"/>
      <c r="K129" s="2" t="str"/>
      <c r="L129" s="1" t="str"/>
      <c r="M129" s="2" t="str"/>
      <c r="N129" s="2" t="str"/>
      <c r="O129" s="1" t="str"/>
      <c r="P129" s="1" t="str"/>
      <c r="Q129" s="1" t="str"/>
      <c r="R129" s="1">
        <f>IF(H129="Sí",1,0)</f>
        <v/>
      </c>
      <c r="S129" s="1">
        <f>IF(L129="En coordinación",1,0)</f>
        <v/>
      </c>
      <c r="T129" s="1">
        <f>IF(L129="Aceptada",1,0)</f>
        <v/>
      </c>
      <c r="U129" s="1">
        <f>IF(OR(L129="Realizada completa",L129="Realizada incompleta"),1,0)</f>
        <v/>
      </c>
      <c r="V129" s="1">
        <f>IF(L129="Sin respuesta",1,0)</f>
        <v/>
      </c>
    </row>
    <row r="130">
      <c r="A130" s="1" t="inlineStr">
        <is>
          <t>129</t>
        </is>
      </c>
      <c r="B130" s="1" t="inlineStr">
        <is>
          <t>Yone Pedro Li Córdova</t>
        </is>
      </c>
      <c r="C130" s="1" t="inlineStr">
        <is>
          <t>Poder Judicial</t>
        </is>
      </c>
      <c r="D130" s="1" t="inlineStr">
        <is>
          <t>Entrevista de actores clave</t>
        </is>
      </c>
      <c r="E130" s="1" t="inlineStr">
        <is>
          <t>Funcionarios del Sistema</t>
        </is>
      </c>
      <c r="F130" s="1" t="inlineStr">
        <is>
          <t>Nacional</t>
        </is>
      </c>
      <c r="G130" s="1" t="inlineStr">
        <is>
          <t>IJM</t>
        </is>
      </c>
      <c r="H130" s="1" t="inlineStr">
        <is>
          <t>No</t>
        </is>
      </c>
      <c r="I130" s="2" t="str"/>
      <c r="J130" s="2" t="str"/>
      <c r="K130" s="2" t="str"/>
      <c r="L130" s="1" t="str"/>
      <c r="M130" s="2" t="str"/>
      <c r="N130" s="2" t="str"/>
      <c r="O130" s="1" t="str"/>
      <c r="P130" s="1" t="str"/>
      <c r="Q130" s="1" t="str"/>
      <c r="R130" s="1">
        <f>IF(H130="Sí",1,0)</f>
        <v/>
      </c>
      <c r="S130" s="1">
        <f>IF(L130="En coordinación",1,0)</f>
        <v/>
      </c>
      <c r="T130" s="1">
        <f>IF(L130="Aceptada",1,0)</f>
        <v/>
      </c>
      <c r="U130" s="1">
        <f>IF(OR(L130="Realizada completa",L130="Realizada incompleta"),1,0)</f>
        <v/>
      </c>
      <c r="V130" s="1">
        <f>IF(L130="Sin respuesta",1,0)</f>
        <v/>
      </c>
    </row>
    <row r="131">
      <c r="A131" s="1" t="inlineStr">
        <is>
          <t>130</t>
        </is>
      </c>
      <c r="B131" s="1" t="inlineStr">
        <is>
          <t>Jenny Maribel Bazan Escalante</t>
        </is>
      </c>
      <c r="C131" s="1" t="inlineStr">
        <is>
          <t>Poder Judicial</t>
        </is>
      </c>
      <c r="D131" s="1" t="inlineStr">
        <is>
          <t>Entrevista de actores clave</t>
        </is>
      </c>
      <c r="E131" s="1" t="inlineStr">
        <is>
          <t>Funcionarios del Sistema</t>
        </is>
      </c>
      <c r="F131" s="1" t="inlineStr">
        <is>
          <t>Nacional</t>
        </is>
      </c>
      <c r="G131" s="1" t="inlineStr">
        <is>
          <t>IJM</t>
        </is>
      </c>
      <c r="H131" s="1" t="inlineStr">
        <is>
          <t>No</t>
        </is>
      </c>
      <c r="I131" s="2" t="str"/>
      <c r="J131" s="2" t="str"/>
      <c r="K131" s="2" t="str"/>
      <c r="L131" s="1" t="str"/>
      <c r="M131" s="2" t="str"/>
      <c r="N131" s="2" t="str"/>
      <c r="O131" s="1" t="str"/>
      <c r="P131" s="1" t="str"/>
      <c r="Q131" s="1" t="str"/>
      <c r="R131" s="1">
        <f>IF(H131="Sí",1,0)</f>
        <v/>
      </c>
      <c r="S131" s="1">
        <f>IF(L131="En coordinación",1,0)</f>
        <v/>
      </c>
      <c r="T131" s="1">
        <f>IF(L131="Aceptada",1,0)</f>
        <v/>
      </c>
      <c r="U131" s="1">
        <f>IF(OR(L131="Realizada completa",L131="Realizada incompleta"),1,0)</f>
        <v/>
      </c>
      <c r="V131" s="1">
        <f>IF(L131="Sin respuesta",1,0)</f>
        <v/>
      </c>
    </row>
    <row r="132">
      <c r="A132" s="1" t="inlineStr">
        <is>
          <t>131</t>
        </is>
      </c>
      <c r="B132" s="1" t="inlineStr">
        <is>
          <t>Jorge Eduardo Ángeles Valiente</t>
        </is>
      </c>
      <c r="C132" s="1" t="inlineStr">
        <is>
          <t>Poder Judicial</t>
        </is>
      </c>
      <c r="D132" s="1" t="inlineStr">
        <is>
          <t>Entrevista de actores clave</t>
        </is>
      </c>
      <c r="E132" s="1" t="inlineStr">
        <is>
          <t>Funcionarios del Sistema</t>
        </is>
      </c>
      <c r="F132" s="1" t="inlineStr">
        <is>
          <t>Nacional</t>
        </is>
      </c>
      <c r="G132" s="1" t="inlineStr">
        <is>
          <t>IJM</t>
        </is>
      </c>
      <c r="H132" s="1" t="inlineStr">
        <is>
          <t>No</t>
        </is>
      </c>
      <c r="I132" s="2" t="str"/>
      <c r="J132" s="2" t="str"/>
      <c r="K132" s="2" t="str"/>
      <c r="L132" s="1" t="str"/>
      <c r="M132" s="2" t="str"/>
      <c r="N132" s="2" t="str"/>
      <c r="O132" s="1" t="str"/>
      <c r="P132" s="1" t="str"/>
      <c r="Q132" s="1" t="str"/>
      <c r="R132" s="1">
        <f>IF(H132="Sí",1,0)</f>
        <v/>
      </c>
      <c r="S132" s="1">
        <f>IF(L132="En coordinación",1,0)</f>
        <v/>
      </c>
      <c r="T132" s="1">
        <f>IF(L132="Aceptada",1,0)</f>
        <v/>
      </c>
      <c r="U132" s="1">
        <f>IF(OR(L132="Realizada completa",L132="Realizada incompleta"),1,0)</f>
        <v/>
      </c>
      <c r="V132" s="1">
        <f>IF(L132="Sin respuesta",1,0)</f>
        <v/>
      </c>
    </row>
    <row r="133">
      <c r="A133" s="1" t="inlineStr">
        <is>
          <t>132</t>
        </is>
      </c>
      <c r="B133" s="1" t="inlineStr">
        <is>
          <t>Cabrera Barrantes Norberto</t>
        </is>
      </c>
      <c r="C133" s="1" t="inlineStr">
        <is>
          <t>Poder Judicial</t>
        </is>
      </c>
      <c r="D133" s="1" t="inlineStr">
        <is>
          <t>Entrevista de actores clave</t>
        </is>
      </c>
      <c r="E133" s="1" t="inlineStr">
        <is>
          <t>Funcionarios del Sistema</t>
        </is>
      </c>
      <c r="F133" s="1" t="inlineStr">
        <is>
          <t>Nacional</t>
        </is>
      </c>
      <c r="G133" s="1" t="inlineStr">
        <is>
          <t>IJM</t>
        </is>
      </c>
      <c r="H133" s="1" t="inlineStr">
        <is>
          <t>No</t>
        </is>
      </c>
      <c r="I133" s="2" t="str"/>
      <c r="J133" s="2" t="str"/>
      <c r="K133" s="2" t="str"/>
      <c r="L133" s="1" t="str"/>
      <c r="M133" s="2" t="str"/>
      <c r="N133" s="2" t="str"/>
      <c r="O133" s="1" t="str"/>
      <c r="P133" s="1" t="str"/>
      <c r="Q133" s="1" t="str"/>
      <c r="R133" s="1">
        <f>IF(H133="Sí",1,0)</f>
        <v/>
      </c>
      <c r="S133" s="1">
        <f>IF(L133="En coordinación",1,0)</f>
        <v/>
      </c>
      <c r="T133" s="1">
        <f>IF(L133="Aceptada",1,0)</f>
        <v/>
      </c>
      <c r="U133" s="1">
        <f>IF(OR(L133="Realizada completa",L133="Realizada incompleta"),1,0)</f>
        <v/>
      </c>
      <c r="V133" s="1">
        <f>IF(L133="Sin respuesta",1,0)</f>
        <v/>
      </c>
    </row>
    <row r="134">
      <c r="A134" s="1" t="inlineStr">
        <is>
          <t>133</t>
        </is>
      </c>
      <c r="B134" s="1" t="inlineStr">
        <is>
          <t>Reynaldo Elias Cajamarca Porras</t>
        </is>
      </c>
      <c r="C134" s="1" t="inlineStr">
        <is>
          <t>Poder Judicial</t>
        </is>
      </c>
      <c r="D134" s="1" t="inlineStr">
        <is>
          <t>Entrevista de actores clave</t>
        </is>
      </c>
      <c r="E134" s="1" t="inlineStr">
        <is>
          <t>Funcionarios del Sistema</t>
        </is>
      </c>
      <c r="F134" s="1" t="inlineStr">
        <is>
          <t>Nacional</t>
        </is>
      </c>
      <c r="G134" s="1" t="inlineStr">
        <is>
          <t>IJM</t>
        </is>
      </c>
      <c r="H134" s="1" t="inlineStr">
        <is>
          <t>No</t>
        </is>
      </c>
      <c r="I134" s="2" t="str"/>
      <c r="J134" s="2" t="str"/>
      <c r="K134" s="2" t="str"/>
      <c r="L134" s="1" t="str"/>
      <c r="M134" s="2" t="str"/>
      <c r="N134" s="2" t="str"/>
      <c r="O134" s="1" t="str"/>
      <c r="P134" s="1" t="str"/>
      <c r="Q134" s="1" t="str"/>
      <c r="R134" s="1">
        <f>IF(H134="Sí",1,0)</f>
        <v/>
      </c>
      <c r="S134" s="1">
        <f>IF(L134="En coordinación",1,0)</f>
        <v/>
      </c>
      <c r="T134" s="1">
        <f>IF(L134="Aceptada",1,0)</f>
        <v/>
      </c>
      <c r="U134" s="1">
        <f>IF(OR(L134="Realizada completa",L134="Realizada incompleta"),1,0)</f>
        <v/>
      </c>
      <c r="V134" s="1">
        <f>IF(L134="Sin respuesta",1,0)</f>
        <v/>
      </c>
    </row>
    <row r="135">
      <c r="A135" s="1" t="inlineStr">
        <is>
          <t>134</t>
        </is>
      </c>
      <c r="B135" s="1" t="inlineStr">
        <is>
          <t>Marino Gabriel Cusimayta Barreto</t>
        </is>
      </c>
      <c r="C135" s="1" t="inlineStr">
        <is>
          <t>Poder Judicial</t>
        </is>
      </c>
      <c r="D135" s="1" t="inlineStr">
        <is>
          <t>Entrevista de actores clave</t>
        </is>
      </c>
      <c r="E135" s="1" t="inlineStr">
        <is>
          <t>Funcionarios del Sistema</t>
        </is>
      </c>
      <c r="F135" s="1" t="inlineStr">
        <is>
          <t>Nacional</t>
        </is>
      </c>
      <c r="G135" s="1" t="inlineStr">
        <is>
          <t>IJM</t>
        </is>
      </c>
      <c r="H135" s="1" t="inlineStr">
        <is>
          <t>No</t>
        </is>
      </c>
      <c r="I135" s="2" t="str"/>
      <c r="J135" s="2" t="str"/>
      <c r="K135" s="2" t="str"/>
      <c r="L135" s="1" t="str"/>
      <c r="M135" s="2" t="str"/>
      <c r="N135" s="2" t="str"/>
      <c r="O135" s="1" t="str"/>
      <c r="P135" s="1" t="str"/>
      <c r="Q135" s="1" t="str"/>
      <c r="R135" s="1">
        <f>IF(H135="Sí",1,0)</f>
        <v/>
      </c>
      <c r="S135" s="1">
        <f>IF(L135="En coordinación",1,0)</f>
        <v/>
      </c>
      <c r="T135" s="1">
        <f>IF(L135="Aceptada",1,0)</f>
        <v/>
      </c>
      <c r="U135" s="1">
        <f>IF(OR(L135="Realizada completa",L135="Realizada incompleta"),1,0)</f>
        <v/>
      </c>
      <c r="V135" s="1">
        <f>IF(L135="Sin respuesta",1,0)</f>
        <v/>
      </c>
    </row>
    <row r="136">
      <c r="A136" s="1" t="inlineStr">
        <is>
          <t>135</t>
        </is>
      </c>
      <c r="B136" s="1" t="inlineStr">
        <is>
          <t>Jorge Guillermo Fernández Ceballos</t>
        </is>
      </c>
      <c r="C136" s="1" t="inlineStr">
        <is>
          <t>Poder Judicial</t>
        </is>
      </c>
      <c r="D136" s="1" t="inlineStr">
        <is>
          <t>Entrevista de actores clave</t>
        </is>
      </c>
      <c r="E136" s="1" t="inlineStr">
        <is>
          <t>Funcionarios del Sistema</t>
        </is>
      </c>
      <c r="F136" s="1" t="inlineStr">
        <is>
          <t>Distrito Judicial: Loreto</t>
        </is>
      </c>
      <c r="G136" s="1" t="inlineStr">
        <is>
          <t>IJM</t>
        </is>
      </c>
      <c r="H136" s="1" t="inlineStr">
        <is>
          <t>No</t>
        </is>
      </c>
      <c r="I136" s="2" t="str"/>
      <c r="J136" s="2" t="str"/>
      <c r="K136" s="2" t="str"/>
      <c r="L136" s="1" t="str"/>
      <c r="M136" s="2" t="str"/>
      <c r="N136" s="2" t="str"/>
      <c r="O136" s="1" t="str"/>
      <c r="P136" s="1" t="str"/>
      <c r="Q136" s="1" t="str"/>
      <c r="R136" s="1">
        <f>IF(H136="Sí",1,0)</f>
        <v/>
      </c>
      <c r="S136" s="1">
        <f>IF(L136="En coordinación",1,0)</f>
        <v/>
      </c>
      <c r="T136" s="1">
        <f>IF(L136="Aceptada",1,0)</f>
        <v/>
      </c>
      <c r="U136" s="1">
        <f>IF(OR(L136="Realizada completa",L136="Realizada incompleta"),1,0)</f>
        <v/>
      </c>
      <c r="V136" s="1">
        <f>IF(L136="Sin respuesta",1,0)</f>
        <v/>
      </c>
    </row>
    <row r="137">
      <c r="A137" s="1" t="inlineStr">
        <is>
          <t>136</t>
        </is>
      </c>
      <c r="B137" s="1" t="inlineStr">
        <is>
          <t>Ricardo Samuel Del Pozo Moreno</t>
        </is>
      </c>
      <c r="C137" s="1" t="inlineStr">
        <is>
          <t>Poder Judicial</t>
        </is>
      </c>
      <c r="D137" s="1" t="inlineStr">
        <is>
          <t>Entrevista de actores clave</t>
        </is>
      </c>
      <c r="E137" s="1" t="inlineStr">
        <is>
          <t>Funcionarios del Sistema</t>
        </is>
      </c>
      <c r="F137" s="1" t="inlineStr">
        <is>
          <t>Distrito Judicial: Huánuco</t>
        </is>
      </c>
      <c r="G137" s="1" t="inlineStr">
        <is>
          <t>IJM</t>
        </is>
      </c>
      <c r="H137" s="1" t="inlineStr">
        <is>
          <t>No</t>
        </is>
      </c>
      <c r="I137" s="2" t="str"/>
      <c r="J137" s="2" t="str"/>
      <c r="K137" s="2" t="str"/>
      <c r="L137" s="1" t="str"/>
      <c r="M137" s="2" t="str"/>
      <c r="N137" s="2" t="str"/>
      <c r="O137" s="1" t="str"/>
      <c r="P137" s="1" t="str"/>
      <c r="Q137" s="1" t="str"/>
      <c r="R137" s="1">
        <f>IF(H137="Sí",1,0)</f>
        <v/>
      </c>
      <c r="S137" s="1">
        <f>IF(L137="En coordinación",1,0)</f>
        <v/>
      </c>
      <c r="T137" s="1">
        <f>IF(L137="Aceptada",1,0)</f>
        <v/>
      </c>
      <c r="U137" s="1">
        <f>IF(OR(L137="Realizada completa",L137="Realizada incompleta"),1,0)</f>
        <v/>
      </c>
      <c r="V137" s="1">
        <f>IF(L137="Sin respuesta",1,0)</f>
        <v/>
      </c>
    </row>
    <row r="138">
      <c r="A138" s="1" t="inlineStr">
        <is>
          <t>137</t>
        </is>
      </c>
      <c r="B138" s="1" t="inlineStr">
        <is>
          <t>Ana Mirella Vasquez Bustamante</t>
        </is>
      </c>
      <c r="C138" s="1" t="inlineStr">
        <is>
          <t>Poder Judicial</t>
        </is>
      </c>
      <c r="D138" s="1" t="inlineStr">
        <is>
          <t>Entrevista de actores clave</t>
        </is>
      </c>
      <c r="E138" s="1" t="inlineStr">
        <is>
          <t>Funcionarios del Sistema</t>
        </is>
      </c>
      <c r="F138" s="1" t="inlineStr">
        <is>
          <t>Nacional</t>
        </is>
      </c>
      <c r="G138" s="1" t="inlineStr">
        <is>
          <t>IJM</t>
        </is>
      </c>
      <c r="H138" s="1" t="inlineStr">
        <is>
          <t>No</t>
        </is>
      </c>
      <c r="I138" s="2" t="str"/>
      <c r="J138" s="2" t="str"/>
      <c r="K138" s="2" t="str"/>
      <c r="L138" s="1" t="str"/>
      <c r="M138" s="2" t="str"/>
      <c r="N138" s="2" t="str"/>
      <c r="O138" s="1" t="str"/>
      <c r="P138" s="1" t="str"/>
      <c r="Q138" s="1" t="str"/>
      <c r="R138" s="1">
        <f>IF(H138="Sí",1,0)</f>
        <v/>
      </c>
      <c r="S138" s="1">
        <f>IF(L138="En coordinación",1,0)</f>
        <v/>
      </c>
      <c r="T138" s="1">
        <f>IF(L138="Aceptada",1,0)</f>
        <v/>
      </c>
      <c r="U138" s="1">
        <f>IF(OR(L138="Realizada completa",L138="Realizada incompleta"),1,0)</f>
        <v/>
      </c>
      <c r="V138" s="1">
        <f>IF(L138="Sin respuesta",1,0)</f>
        <v/>
      </c>
    </row>
    <row r="139">
      <c r="A139" s="1" t="inlineStr">
        <is>
          <t>138</t>
        </is>
      </c>
      <c r="B139" s="1" t="inlineStr">
        <is>
          <t>Renzo Manuel Medina Chavez</t>
        </is>
      </c>
      <c r="C139" s="1" t="inlineStr">
        <is>
          <t>Poder Judicial</t>
        </is>
      </c>
      <c r="D139" s="1" t="inlineStr">
        <is>
          <t>Entrevista de actores clave</t>
        </is>
      </c>
      <c r="E139" s="1" t="inlineStr">
        <is>
          <t>Funcionarios del Sistema</t>
        </is>
      </c>
      <c r="F139" s="1" t="inlineStr">
        <is>
          <t>Nacional</t>
        </is>
      </c>
      <c r="G139" s="1" t="inlineStr">
        <is>
          <t>IJM</t>
        </is>
      </c>
      <c r="H139" s="1" t="inlineStr">
        <is>
          <t>No</t>
        </is>
      </c>
      <c r="I139" s="2" t="str"/>
      <c r="J139" s="2" t="str"/>
      <c r="K139" s="2" t="str"/>
      <c r="L139" s="1" t="str"/>
      <c r="M139" s="2" t="str"/>
      <c r="N139" s="2" t="str"/>
      <c r="O139" s="1" t="str"/>
      <c r="P139" s="1" t="str"/>
      <c r="Q139" s="1" t="str"/>
      <c r="R139" s="1">
        <f>IF(H139="Sí",1,0)</f>
        <v/>
      </c>
      <c r="S139" s="1">
        <f>IF(L139="En coordinación",1,0)</f>
        <v/>
      </c>
      <c r="T139" s="1">
        <f>IF(L139="Aceptada",1,0)</f>
        <v/>
      </c>
      <c r="U139" s="1">
        <f>IF(OR(L139="Realizada completa",L139="Realizada incompleta"),1,0)</f>
        <v/>
      </c>
      <c r="V139" s="1">
        <f>IF(L139="Sin respuesta",1,0)</f>
        <v/>
      </c>
    </row>
    <row r="140">
      <c r="A140" s="1" t="inlineStr">
        <is>
          <t>139</t>
        </is>
      </c>
      <c r="B140" s="1" t="inlineStr">
        <is>
          <t>Denny Chavez Morales</t>
        </is>
      </c>
      <c r="C140" s="1" t="inlineStr">
        <is>
          <t>Poder Judicial</t>
        </is>
      </c>
      <c r="D140" s="1" t="inlineStr">
        <is>
          <t>Entrevista de actores clave</t>
        </is>
      </c>
      <c r="E140" s="1" t="inlineStr">
        <is>
          <t>Funcionarios del Sistema</t>
        </is>
      </c>
      <c r="F140" s="1" t="inlineStr">
        <is>
          <t>Distrito Judicial: Ucayali</t>
        </is>
      </c>
      <c r="G140" s="1" t="inlineStr">
        <is>
          <t>IJM</t>
        </is>
      </c>
      <c r="H140" s="1" t="inlineStr">
        <is>
          <t>No</t>
        </is>
      </c>
      <c r="I140" s="2" t="str"/>
      <c r="J140" s="2" t="str"/>
      <c r="K140" s="2" t="str"/>
      <c r="L140" s="1" t="str"/>
      <c r="M140" s="2" t="str"/>
      <c r="N140" s="2" t="str"/>
      <c r="O140" s="1" t="str"/>
      <c r="P140" s="1" t="str"/>
      <c r="Q140" s="1" t="str"/>
      <c r="R140" s="1">
        <f>IF(H140="Sí",1,0)</f>
        <v/>
      </c>
      <c r="S140" s="1">
        <f>IF(L140="En coordinación",1,0)</f>
        <v/>
      </c>
      <c r="T140" s="1">
        <f>IF(L140="Aceptada",1,0)</f>
        <v/>
      </c>
      <c r="U140" s="1">
        <f>IF(OR(L140="Realizada completa",L140="Realizada incompleta"),1,0)</f>
        <v/>
      </c>
      <c r="V140" s="1">
        <f>IF(L140="Sin respuesta",1,0)</f>
        <v/>
      </c>
    </row>
    <row r="141">
      <c r="A141" s="1" t="inlineStr">
        <is>
          <t>140</t>
        </is>
      </c>
      <c r="B141" s="1" t="inlineStr">
        <is>
          <t>Oscar Manuel Arriola Delgado</t>
        </is>
      </c>
      <c r="C141" s="1" t="inlineStr">
        <is>
          <t>Policía Nacional del Perú</t>
        </is>
      </c>
      <c r="D141" s="1" t="inlineStr">
        <is>
          <t>Entrevista de actores clave</t>
        </is>
      </c>
      <c r="E141" s="1" t="inlineStr">
        <is>
          <t>Funcionarios del Sistema</t>
        </is>
      </c>
      <c r="F141" s="1" t="inlineStr">
        <is>
          <t>Nacional</t>
        </is>
      </c>
      <c r="G141" s="1" t="inlineStr">
        <is>
          <t>IJM</t>
        </is>
      </c>
      <c r="H141" s="1" t="inlineStr">
        <is>
          <t>Sí</t>
        </is>
      </c>
      <c r="I141" s="2" t="inlineStr">
        <is>
          <t xml:space="preserve"> 3/26/2026</t>
        </is>
      </c>
      <c r="J141" s="2" t="inlineStr">
        <is>
          <t xml:space="preserve">  5/5/2026</t>
        </is>
      </c>
      <c r="K141" s="2" t="inlineStr">
        <is>
          <t xml:space="preserve"> 5/22/2026</t>
        </is>
      </c>
      <c r="L141" s="1" t="inlineStr">
        <is>
          <t>Sin respuesta</t>
        </is>
      </c>
      <c r="M141" s="2" t="str"/>
      <c r="N141" s="2" t="str"/>
      <c r="O141" s="1" t="inlineStr">
        <is>
          <t>Sin respuesta</t>
        </is>
      </c>
      <c r="P141" s="1" t="str"/>
      <c r="Q141" s="1" t="str"/>
      <c r="R141" s="1">
        <f>IF(H141="Sí",1,0)</f>
        <v/>
      </c>
      <c r="S141" s="1">
        <f>IF(L141="En coordinación",1,0)</f>
        <v/>
      </c>
      <c r="T141" s="1">
        <f>IF(L141="Aceptada",1,0)</f>
        <v/>
      </c>
      <c r="U141" s="1">
        <f>IF(OR(L141="Realizada completa",L141="Realizada incompleta"),1,0)</f>
        <v/>
      </c>
      <c r="V141" s="1">
        <f>IF(L141="Sin respuesta",1,0)</f>
        <v/>
      </c>
    </row>
    <row r="142">
      <c r="A142" s="1" t="inlineStr">
        <is>
          <t>141</t>
        </is>
      </c>
      <c r="B142" s="1" t="inlineStr">
        <is>
          <t>Eliam Rene Silva García</t>
        </is>
      </c>
      <c r="C142" s="1" t="inlineStr">
        <is>
          <t>Policía Nacional del Perú</t>
        </is>
      </c>
      <c r="D142" s="1" t="inlineStr">
        <is>
          <t>Entrevista de actores clave</t>
        </is>
      </c>
      <c r="E142" s="1" t="inlineStr">
        <is>
          <t>Funcionarios del Sistema</t>
        </is>
      </c>
      <c r="F142" s="1" t="inlineStr">
        <is>
          <t>Nacional</t>
        </is>
      </c>
      <c r="G142" s="1" t="inlineStr">
        <is>
          <t>IJM</t>
        </is>
      </c>
      <c r="H142" s="1" t="inlineStr">
        <is>
          <t>No</t>
        </is>
      </c>
      <c r="I142" s="2" t="str"/>
      <c r="J142" s="2" t="str"/>
      <c r="K142" s="2" t="str"/>
      <c r="L142" s="1" t="str"/>
      <c r="M142" s="2" t="str"/>
      <c r="N142" s="2" t="str"/>
      <c r="O142" s="1" t="str"/>
      <c r="P142" s="1" t="str"/>
      <c r="Q142" s="1" t="str"/>
      <c r="R142" s="1">
        <f>IF(H142="Sí",1,0)</f>
        <v/>
      </c>
      <c r="S142" s="1">
        <f>IF(L142="En coordinación",1,0)</f>
        <v/>
      </c>
      <c r="T142" s="1">
        <f>IF(L142="Aceptada",1,0)</f>
        <v/>
      </c>
      <c r="U142" s="1">
        <f>IF(OR(L142="Realizada completa",L142="Realizada incompleta"),1,0)</f>
        <v/>
      </c>
      <c r="V142" s="1">
        <f>IF(L142="Sin respuesta",1,0)</f>
        <v/>
      </c>
    </row>
    <row r="143">
      <c r="A143" s="1" t="inlineStr">
        <is>
          <t>142</t>
        </is>
      </c>
      <c r="B143" s="1" t="inlineStr">
        <is>
          <t>Nerdaly Sareli Cerrón Poma</t>
        </is>
      </c>
      <c r="C143" s="1" t="inlineStr">
        <is>
          <t>Policía Nacional del Perú</t>
        </is>
      </c>
      <c r="D143" s="1" t="inlineStr">
        <is>
          <t>Entrevista de actores clave</t>
        </is>
      </c>
      <c r="E143" s="1" t="inlineStr">
        <is>
          <t>Funcionarios del Sistema</t>
        </is>
      </c>
      <c r="F143" s="1" t="inlineStr">
        <is>
          <t>Distrito Judicial: Ayacucho</t>
        </is>
      </c>
      <c r="G143" s="1" t="inlineStr">
        <is>
          <t>IJM</t>
        </is>
      </c>
      <c r="H143" s="1" t="inlineStr">
        <is>
          <t>No</t>
        </is>
      </c>
      <c r="I143" s="2" t="str"/>
      <c r="J143" s="2" t="str"/>
      <c r="K143" s="2" t="str"/>
      <c r="L143" s="1" t="str"/>
      <c r="M143" s="2" t="str"/>
      <c r="N143" s="2" t="str"/>
      <c r="O143" s="1" t="str"/>
      <c r="P143" s="1" t="str"/>
      <c r="Q143" s="1" t="str"/>
      <c r="R143" s="1">
        <f>IF(H143="Sí",1,0)</f>
        <v/>
      </c>
      <c r="S143" s="1">
        <f>IF(L143="En coordinación",1,0)</f>
        <v/>
      </c>
      <c r="T143" s="1">
        <f>IF(L143="Aceptada",1,0)</f>
        <v/>
      </c>
      <c r="U143" s="1">
        <f>IF(OR(L143="Realizada completa",L143="Realizada incompleta"),1,0)</f>
        <v/>
      </c>
      <c r="V143" s="1">
        <f>IF(L143="Sin respuesta",1,0)</f>
        <v/>
      </c>
    </row>
    <row r="144">
      <c r="A144" s="1" t="inlineStr">
        <is>
          <t>143</t>
        </is>
      </c>
      <c r="B144" s="1" t="inlineStr">
        <is>
          <t>COMISARIA DE LA MUJER  (Independencia)</t>
        </is>
      </c>
      <c r="C144" s="1" t="inlineStr">
        <is>
          <t>Policía Nacional del Perú</t>
        </is>
      </c>
      <c r="D144" s="1" t="inlineStr">
        <is>
          <t>Entrevista de actores clave</t>
        </is>
      </c>
      <c r="E144" s="1" t="inlineStr">
        <is>
          <t>Funcionarios del Sistema</t>
        </is>
      </c>
      <c r="F144" s="1" t="inlineStr">
        <is>
          <t>Nacional</t>
        </is>
      </c>
      <c r="G144" s="1" t="inlineStr">
        <is>
          <t>IJM</t>
        </is>
      </c>
      <c r="H144" s="1" t="inlineStr">
        <is>
          <t>Sí</t>
        </is>
      </c>
      <c r="I144" s="2" t="inlineStr">
        <is>
          <t xml:space="preserve">  3/6/2026</t>
        </is>
      </c>
      <c r="J144" s="2" t="inlineStr">
        <is>
          <t xml:space="preserve"> 3/26/2026</t>
        </is>
      </c>
      <c r="K144" s="2" t="inlineStr">
        <is>
          <t xml:space="preserve"> 5/22/2026</t>
        </is>
      </c>
      <c r="L144" s="1" t="inlineStr">
        <is>
          <t>Rechazada</t>
        </is>
      </c>
      <c r="M144" s="2" t="str"/>
      <c r="N144" s="2" t="str"/>
      <c r="O144" s="1" t="inlineStr">
        <is>
          <t>Rechazada</t>
        </is>
      </c>
      <c r="P144" s="1" t="str"/>
      <c r="Q144" s="1" t="str"/>
      <c r="R144" s="1">
        <f>IF(H144="Sí",1,0)</f>
        <v/>
      </c>
      <c r="S144" s="1">
        <f>IF(L144="En coordinación",1,0)</f>
        <v/>
      </c>
      <c r="T144" s="1">
        <f>IF(L144="Aceptada",1,0)</f>
        <v/>
      </c>
      <c r="U144" s="1">
        <f>IF(OR(L144="Realizada completa",L144="Realizada incompleta"),1,0)</f>
        <v/>
      </c>
      <c r="V144" s="1">
        <f>IF(L144="Sin respuesta",1,0)</f>
        <v/>
      </c>
    </row>
    <row r="145">
      <c r="A145" s="1" t="inlineStr">
        <is>
          <t>144</t>
        </is>
      </c>
      <c r="B145" s="1" t="inlineStr">
        <is>
          <t>Carlos Alejandro Céspedes Muñoz</t>
        </is>
      </c>
      <c r="C145" s="1" t="inlineStr">
        <is>
          <t>Policía Nacional del Perú</t>
        </is>
      </c>
      <c r="D145" s="1" t="inlineStr">
        <is>
          <t>Entrevista de actores clave</t>
        </is>
      </c>
      <c r="E145" s="1" t="inlineStr">
        <is>
          <t>Funcionarios del Sistema</t>
        </is>
      </c>
      <c r="F145" s="1" t="inlineStr">
        <is>
          <t>Nacional</t>
        </is>
      </c>
      <c r="G145" s="1" t="inlineStr">
        <is>
          <t>IJM</t>
        </is>
      </c>
      <c r="H145" s="1" t="inlineStr">
        <is>
          <t>Sí</t>
        </is>
      </c>
      <c r="I145" s="2" t="inlineStr">
        <is>
          <t xml:space="preserve">  5/5/2026</t>
        </is>
      </c>
      <c r="J145" s="2" t="inlineStr">
        <is>
          <t xml:space="preserve"> 5/22/2026</t>
        </is>
      </c>
      <c r="K145" s="2" t="str"/>
      <c r="L145" s="1" t="inlineStr">
        <is>
          <t>Sin respuesta</t>
        </is>
      </c>
      <c r="M145" s="2" t="str"/>
      <c r="N145" s="2" t="str"/>
      <c r="O145" s="1" t="inlineStr">
        <is>
          <t>Sin respuesta</t>
        </is>
      </c>
      <c r="P145" s="1" t="str"/>
      <c r="Q145" s="1" t="str"/>
      <c r="R145" s="1">
        <f>IF(H145="Sí",1,0)</f>
        <v/>
      </c>
      <c r="S145" s="1">
        <f>IF(L145="En coordinación",1,0)</f>
        <v/>
      </c>
      <c r="T145" s="1">
        <f>IF(L145="Aceptada",1,0)</f>
        <v/>
      </c>
      <c r="U145" s="1">
        <f>IF(OR(L145="Realizada completa",L145="Realizada incompleta"),1,0)</f>
        <v/>
      </c>
      <c r="V145" s="1">
        <f>IF(L145="Sin respuesta",1,0)</f>
        <v/>
      </c>
    </row>
    <row r="146">
      <c r="A146" s="1" t="inlineStr">
        <is>
          <t>145</t>
        </is>
      </c>
      <c r="B146" s="1" t="inlineStr">
        <is>
          <t>Luis Miguel Gamarra Chavarry</t>
        </is>
      </c>
      <c r="C146" s="1" t="inlineStr">
        <is>
          <t>Policía Nacional del Perú</t>
        </is>
      </c>
      <c r="D146" s="1" t="inlineStr">
        <is>
          <t>Entrevista de actores clave</t>
        </is>
      </c>
      <c r="E146" s="1" t="inlineStr">
        <is>
          <t>Funcionarios del Sistema</t>
        </is>
      </c>
      <c r="F146" s="1" t="inlineStr">
        <is>
          <t>Nacional</t>
        </is>
      </c>
      <c r="G146" s="1" t="inlineStr">
        <is>
          <t>IJM</t>
        </is>
      </c>
      <c r="H146" s="1" t="inlineStr">
        <is>
          <t>Sí</t>
        </is>
      </c>
      <c r="I146" s="2" t="inlineStr">
        <is>
          <t xml:space="preserve">  5/5/2026</t>
        </is>
      </c>
      <c r="J146" s="2" t="inlineStr">
        <is>
          <t xml:space="preserve"> 5/22/2026</t>
        </is>
      </c>
      <c r="K146" s="2" t="str"/>
      <c r="L146" s="1" t="inlineStr">
        <is>
          <t>Sin respuesta</t>
        </is>
      </c>
      <c r="M146" s="2" t="str"/>
      <c r="N146" s="2" t="str"/>
      <c r="O146" s="1" t="inlineStr">
        <is>
          <t>Sin respuesta</t>
        </is>
      </c>
      <c r="P146" s="1" t="str"/>
      <c r="Q146" s="1" t="str"/>
      <c r="R146" s="1">
        <f>IF(H146="Sí",1,0)</f>
        <v/>
      </c>
      <c r="S146" s="1">
        <f>IF(L146="En coordinación",1,0)</f>
        <v/>
      </c>
      <c r="T146" s="1">
        <f>IF(L146="Aceptada",1,0)</f>
        <v/>
      </c>
      <c r="U146" s="1">
        <f>IF(OR(L146="Realizada completa",L146="Realizada incompleta"),1,0)</f>
        <v/>
      </c>
      <c r="V146" s="1">
        <f>IF(L146="Sin respuesta",1,0)</f>
        <v/>
      </c>
    </row>
    <row r="147">
      <c r="A147" s="1" t="inlineStr">
        <is>
          <t>146</t>
        </is>
      </c>
      <c r="B147" s="1" t="inlineStr">
        <is>
          <t>Zenón Santos Loayza Díaz</t>
        </is>
      </c>
      <c r="C147" s="1" t="inlineStr">
        <is>
          <t>Policía Nacional del Perú</t>
        </is>
      </c>
      <c r="D147" s="1" t="inlineStr">
        <is>
          <t>Entrevista de actores clave</t>
        </is>
      </c>
      <c r="E147" s="1" t="inlineStr">
        <is>
          <t>Funcionarios del Sistema</t>
        </is>
      </c>
      <c r="F147" s="1" t="inlineStr">
        <is>
          <t>Nacional</t>
        </is>
      </c>
      <c r="G147" s="1" t="inlineStr">
        <is>
          <t>IJM</t>
        </is>
      </c>
      <c r="H147" s="1" t="inlineStr">
        <is>
          <t>Sí</t>
        </is>
      </c>
      <c r="I147" s="2" t="inlineStr">
        <is>
          <t xml:space="preserve">  5/5/2026</t>
        </is>
      </c>
      <c r="J147" s="2" t="str"/>
      <c r="K147" s="2" t="str"/>
      <c r="L147" s="1" t="inlineStr">
        <is>
          <t>Sin respuesta</t>
        </is>
      </c>
      <c r="M147" s="2" t="str"/>
      <c r="N147" s="2" t="str"/>
      <c r="O147" s="1" t="inlineStr">
        <is>
          <t>Sin respuesta</t>
        </is>
      </c>
      <c r="P147" s="1" t="str"/>
      <c r="Q147" s="1" t="str"/>
      <c r="R147" s="1">
        <f>IF(H147="Sí",1,0)</f>
        <v/>
      </c>
      <c r="S147" s="1">
        <f>IF(L147="En coordinación",1,0)</f>
        <v/>
      </c>
      <c r="T147" s="1">
        <f>IF(L147="Aceptada",1,0)</f>
        <v/>
      </c>
      <c r="U147" s="1">
        <f>IF(OR(L147="Realizada completa",L147="Realizada incompleta"),1,0)</f>
        <v/>
      </c>
      <c r="V147" s="1">
        <f>IF(L147="Sin respuesta",1,0)</f>
        <v/>
      </c>
    </row>
    <row r="148">
      <c r="A148" s="1" t="inlineStr">
        <is>
          <t>147</t>
        </is>
      </c>
      <c r="B148" s="1" t="inlineStr">
        <is>
          <t>Fredy López Mendoza</t>
        </is>
      </c>
      <c r="C148" s="1" t="inlineStr">
        <is>
          <t>Policía Nacional del Perú</t>
        </is>
      </c>
      <c r="D148" s="1" t="inlineStr">
        <is>
          <t>Entrevista de actores clave</t>
        </is>
      </c>
      <c r="E148" s="1" t="inlineStr">
        <is>
          <t>Funcionarios del Sistema</t>
        </is>
      </c>
      <c r="F148" s="1" t="inlineStr">
        <is>
          <t>Distrito Judicial: Cajamarca</t>
        </is>
      </c>
      <c r="G148" s="1" t="inlineStr">
        <is>
          <t>IJM</t>
        </is>
      </c>
      <c r="H148" s="1" t="inlineStr">
        <is>
          <t>Sí</t>
        </is>
      </c>
      <c r="I148" s="2" t="inlineStr">
        <is>
          <t xml:space="preserve">  5/5/2026</t>
        </is>
      </c>
      <c r="J148" s="2" t="str"/>
      <c r="K148" s="2" t="str"/>
      <c r="L148" s="1" t="inlineStr">
        <is>
          <t>Sin respuesta</t>
        </is>
      </c>
      <c r="M148" s="2" t="str"/>
      <c r="N148" s="2" t="str"/>
      <c r="O148" s="1" t="inlineStr">
        <is>
          <t>Sin respuesta</t>
        </is>
      </c>
      <c r="P148" s="1" t="str"/>
      <c r="Q148" s="1" t="str"/>
      <c r="R148" s="1">
        <f>IF(H148="Sí",1,0)</f>
        <v/>
      </c>
      <c r="S148" s="1">
        <f>IF(L148="En coordinación",1,0)</f>
        <v/>
      </c>
      <c r="T148" s="1">
        <f>IF(L148="Aceptada",1,0)</f>
        <v/>
      </c>
      <c r="U148" s="1">
        <f>IF(OR(L148="Realizada completa",L148="Realizada incompleta"),1,0)</f>
        <v/>
      </c>
      <c r="V148" s="1">
        <f>IF(L148="Sin respuesta",1,0)</f>
        <v/>
      </c>
    </row>
    <row r="149">
      <c r="A149" s="1" t="inlineStr">
        <is>
          <t>148</t>
        </is>
      </c>
      <c r="B149" s="1" t="inlineStr">
        <is>
          <t>Región Policial Lambayeque de la PNP</t>
        </is>
      </c>
      <c r="C149" s="1" t="inlineStr">
        <is>
          <t>Policía Nacional del Perú</t>
        </is>
      </c>
      <c r="D149" s="1" t="inlineStr">
        <is>
          <t>Entrevista de actores clave</t>
        </is>
      </c>
      <c r="E149" s="1" t="inlineStr">
        <is>
          <t>Funcionarios del Sistema</t>
        </is>
      </c>
      <c r="F149" s="1" t="inlineStr">
        <is>
          <t>Distrito Judicial: Apurímac</t>
        </is>
      </c>
      <c r="G149" s="1" t="inlineStr">
        <is>
          <t>IJM</t>
        </is>
      </c>
      <c r="H149" s="1" t="inlineStr">
        <is>
          <t>Sí</t>
        </is>
      </c>
      <c r="I149" s="2" t="inlineStr">
        <is>
          <t xml:space="preserve">  5/5/2026</t>
        </is>
      </c>
      <c r="J149" s="2" t="str"/>
      <c r="K149" s="2" t="str"/>
      <c r="L149" s="1" t="inlineStr">
        <is>
          <t>Sin respuesta</t>
        </is>
      </c>
      <c r="M149" s="2" t="str"/>
      <c r="N149" s="2" t="str"/>
      <c r="O149" s="1" t="inlineStr">
        <is>
          <t>Sin respuesta</t>
        </is>
      </c>
      <c r="P149" s="1" t="str"/>
      <c r="Q149" s="1" t="str"/>
      <c r="R149" s="1">
        <f>IF(H149="Sí",1,0)</f>
        <v/>
      </c>
      <c r="S149" s="1">
        <f>IF(L149="En coordinación",1,0)</f>
        <v/>
      </c>
      <c r="T149" s="1">
        <f>IF(L149="Aceptada",1,0)</f>
        <v/>
      </c>
      <c r="U149" s="1">
        <f>IF(OR(L149="Realizada completa",L149="Realizada incompleta"),1,0)</f>
        <v/>
      </c>
      <c r="V149" s="1">
        <f>IF(L149="Sin respuesta",1,0)</f>
        <v/>
      </c>
    </row>
    <row r="150">
      <c r="A150" s="1" t="inlineStr">
        <is>
          <t>149</t>
        </is>
      </c>
      <c r="B150" s="1" t="inlineStr">
        <is>
          <t>Región Policial La Libertad de la PNP</t>
        </is>
      </c>
      <c r="C150" s="1" t="inlineStr">
        <is>
          <t>Policía Nacional del Perú</t>
        </is>
      </c>
      <c r="D150" s="1" t="inlineStr">
        <is>
          <t>Entrevista de actores clave</t>
        </is>
      </c>
      <c r="E150" s="1" t="inlineStr">
        <is>
          <t>Funcionarios del Sistema</t>
        </is>
      </c>
      <c r="F150" s="1" t="inlineStr">
        <is>
          <t>Nacional</t>
        </is>
      </c>
      <c r="G150" s="1" t="inlineStr">
        <is>
          <t>IJM</t>
        </is>
      </c>
      <c r="H150" s="1" t="inlineStr">
        <is>
          <t>Sí</t>
        </is>
      </c>
      <c r="I150" s="2" t="inlineStr">
        <is>
          <t xml:space="preserve">  5/5/2026</t>
        </is>
      </c>
      <c r="J150" s="2" t="str"/>
      <c r="K150" s="2" t="str"/>
      <c r="L150" s="1" t="inlineStr">
        <is>
          <t>Sin respuesta</t>
        </is>
      </c>
      <c r="M150" s="2" t="str"/>
      <c r="N150" s="2" t="str"/>
      <c r="O150" s="1" t="inlineStr">
        <is>
          <t>Sin respuesta</t>
        </is>
      </c>
      <c r="P150" s="1" t="str"/>
      <c r="Q150" s="1" t="str"/>
      <c r="R150" s="1">
        <f>IF(H150="Sí",1,0)</f>
        <v/>
      </c>
      <c r="S150" s="1">
        <f>IF(L150="En coordinación",1,0)</f>
        <v/>
      </c>
      <c r="T150" s="1">
        <f>IF(L150="Aceptada",1,0)</f>
        <v/>
      </c>
      <c r="U150" s="1">
        <f>IF(OR(L150="Realizada completa",L150="Realizada incompleta"),1,0)</f>
        <v/>
      </c>
      <c r="V150" s="1">
        <f>IF(L150="Sin respuesta",1,0)</f>
        <v/>
      </c>
    </row>
    <row r="151">
      <c r="A151" s="1" t="inlineStr">
        <is>
          <t>150</t>
        </is>
      </c>
      <c r="B151" s="1" t="inlineStr">
        <is>
          <t>Región Policial Loreto de la PNP</t>
        </is>
      </c>
      <c r="C151" s="1" t="inlineStr">
        <is>
          <t>Policía Nacional del Perú</t>
        </is>
      </c>
      <c r="D151" s="1" t="inlineStr">
        <is>
          <t>Entrevista de actores clave</t>
        </is>
      </c>
      <c r="E151" s="1" t="inlineStr">
        <is>
          <t>Funcionarios del Sistema</t>
        </is>
      </c>
      <c r="F151" s="1" t="inlineStr">
        <is>
          <t>Nacional</t>
        </is>
      </c>
      <c r="G151" s="1" t="inlineStr">
        <is>
          <t>IJM</t>
        </is>
      </c>
      <c r="H151" s="1" t="inlineStr">
        <is>
          <t>Sí</t>
        </is>
      </c>
      <c r="I151" s="2" t="inlineStr">
        <is>
          <t xml:space="preserve">  5/5/2026</t>
        </is>
      </c>
      <c r="J151" s="2" t="str"/>
      <c r="K151" s="2" t="str"/>
      <c r="L151" s="1" t="inlineStr">
        <is>
          <t>Sin respuesta</t>
        </is>
      </c>
      <c r="M151" s="2" t="str"/>
      <c r="N151" s="2" t="str"/>
      <c r="O151" s="1" t="inlineStr">
        <is>
          <t>Sin respuesta</t>
        </is>
      </c>
      <c r="P151" s="1" t="str"/>
      <c r="Q151" s="1" t="str"/>
      <c r="R151" s="1">
        <f>IF(H151="Sí",1,0)</f>
        <v/>
      </c>
      <c r="S151" s="1">
        <f>IF(L151="En coordinación",1,0)</f>
        <v/>
      </c>
      <c r="T151" s="1">
        <f>IF(L151="Aceptada",1,0)</f>
        <v/>
      </c>
      <c r="U151" s="1">
        <f>IF(OR(L151="Realizada completa",L151="Realizada incompleta"),1,0)</f>
        <v/>
      </c>
      <c r="V151" s="1">
        <f>IF(L151="Sin respuesta",1,0)</f>
        <v/>
      </c>
    </row>
    <row r="152">
      <c r="A152" s="1" t="inlineStr">
        <is>
          <t>151</t>
        </is>
      </c>
      <c r="B152" s="1" t="inlineStr">
        <is>
          <t>Región Policial Huánuco de la PNP</t>
        </is>
      </c>
      <c r="C152" s="1" t="inlineStr">
        <is>
          <t>Policía Nacional del Perú</t>
        </is>
      </c>
      <c r="D152" s="1" t="inlineStr">
        <is>
          <t>Entrevista de actores clave</t>
        </is>
      </c>
      <c r="E152" s="1" t="inlineStr">
        <is>
          <t>Funcionarios del Sistema</t>
        </is>
      </c>
      <c r="F152" s="1" t="inlineStr">
        <is>
          <t>Distrito Judicial: Cajamarca</t>
        </is>
      </c>
      <c r="G152" s="1" t="inlineStr">
        <is>
          <t>IJM</t>
        </is>
      </c>
      <c r="H152" s="1" t="inlineStr">
        <is>
          <t>Sí</t>
        </is>
      </c>
      <c r="I152" s="2" t="inlineStr">
        <is>
          <t xml:space="preserve">  5/5/2026</t>
        </is>
      </c>
      <c r="J152" s="2" t="str"/>
      <c r="K152" s="2" t="str"/>
      <c r="L152" s="1" t="inlineStr">
        <is>
          <t>Rechazada</t>
        </is>
      </c>
      <c r="M152" s="2" t="str"/>
      <c r="N152" s="2" t="str"/>
      <c r="O152" s="1" t="inlineStr">
        <is>
          <t>Rechazada</t>
        </is>
      </c>
      <c r="P152" s="1" t="str"/>
      <c r="Q152" s="1" t="str"/>
      <c r="R152" s="1">
        <f>IF(H152="Sí",1,0)</f>
        <v/>
      </c>
      <c r="S152" s="1">
        <f>IF(L152="En coordinación",1,0)</f>
        <v/>
      </c>
      <c r="T152" s="1">
        <f>IF(L152="Aceptada",1,0)</f>
        <v/>
      </c>
      <c r="U152" s="1">
        <f>IF(OR(L152="Realizada completa",L152="Realizada incompleta"),1,0)</f>
        <v/>
      </c>
      <c r="V152" s="1">
        <f>IF(L152="Sin respuesta",1,0)</f>
        <v/>
      </c>
    </row>
    <row r="153">
      <c r="A153" s="1" t="inlineStr">
        <is>
          <t>152</t>
        </is>
      </c>
      <c r="B153" s="1" t="inlineStr">
        <is>
          <t xml:space="preserve">Región Policial Arequipa de la PNP </t>
        </is>
      </c>
      <c r="C153" s="1" t="inlineStr">
        <is>
          <t>Policía Nacional del Perú</t>
        </is>
      </c>
      <c r="D153" s="1" t="inlineStr">
        <is>
          <t>Entrevista de actores clave</t>
        </is>
      </c>
      <c r="E153" s="1" t="inlineStr">
        <is>
          <t>Funcionarios del Sistema</t>
        </is>
      </c>
      <c r="F153" s="1" t="inlineStr">
        <is>
          <t>Nacional</t>
        </is>
      </c>
      <c r="G153" s="1" t="inlineStr">
        <is>
          <t>IJM</t>
        </is>
      </c>
      <c r="H153" s="1" t="inlineStr">
        <is>
          <t>Sí</t>
        </is>
      </c>
      <c r="I153" s="2" t="inlineStr">
        <is>
          <t xml:space="preserve">  5/5/2026</t>
        </is>
      </c>
      <c r="J153" s="2" t="str"/>
      <c r="K153" s="2" t="str"/>
      <c r="L153" s="1" t="inlineStr">
        <is>
          <t>Sin respuesta</t>
        </is>
      </c>
      <c r="M153" s="2" t="str"/>
      <c r="N153" s="2" t="str"/>
      <c r="O153" s="1" t="inlineStr">
        <is>
          <t>Sin respuesta</t>
        </is>
      </c>
      <c r="P153" s="1" t="str"/>
      <c r="Q153" s="1" t="str"/>
      <c r="R153" s="1">
        <f>IF(H153="Sí",1,0)</f>
        <v/>
      </c>
      <c r="S153" s="1">
        <f>IF(L153="En coordinación",1,0)</f>
        <v/>
      </c>
      <c r="T153" s="1">
        <f>IF(L153="Aceptada",1,0)</f>
        <v/>
      </c>
      <c r="U153" s="1">
        <f>IF(OR(L153="Realizada completa",L153="Realizada incompleta"),1,0)</f>
        <v/>
      </c>
      <c r="V153" s="1">
        <f>IF(L153="Sin respuesta",1,0)</f>
        <v/>
      </c>
    </row>
    <row r="154">
      <c r="A154" s="1" t="inlineStr">
        <is>
          <t>153</t>
        </is>
      </c>
      <c r="B154" s="1" t="inlineStr">
        <is>
          <t xml:space="preserve">Región Policial Puno de la PNP </t>
        </is>
      </c>
      <c r="C154" s="1" t="inlineStr">
        <is>
          <t>Policía Nacional del Perú</t>
        </is>
      </c>
      <c r="D154" s="1" t="inlineStr">
        <is>
          <t>Entrevista de actores clave</t>
        </is>
      </c>
      <c r="E154" s="1" t="inlineStr">
        <is>
          <t>Funcionarios del Sistema</t>
        </is>
      </c>
      <c r="F154" s="1" t="inlineStr">
        <is>
          <t>Distrito Judicial: Lima Norte</t>
        </is>
      </c>
      <c r="G154" s="1" t="inlineStr">
        <is>
          <t>IJM</t>
        </is>
      </c>
      <c r="H154" s="1" t="inlineStr">
        <is>
          <t>Sí</t>
        </is>
      </c>
      <c r="I154" s="2" t="inlineStr">
        <is>
          <t xml:space="preserve">  5/5/2026</t>
        </is>
      </c>
      <c r="J154" s="2" t="str"/>
      <c r="K154" s="2" t="str"/>
      <c r="L154" s="1" t="inlineStr">
        <is>
          <t>Sin respuesta</t>
        </is>
      </c>
      <c r="M154" s="2" t="str"/>
      <c r="N154" s="2" t="str"/>
      <c r="O154" s="1" t="inlineStr">
        <is>
          <t>Sin respuesta</t>
        </is>
      </c>
      <c r="P154" s="1" t="str"/>
      <c r="Q154" s="1" t="str"/>
      <c r="R154" s="1">
        <f>IF(H154="Sí",1,0)</f>
        <v/>
      </c>
      <c r="S154" s="1">
        <f>IF(L154="En coordinación",1,0)</f>
        <v/>
      </c>
      <c r="T154" s="1">
        <f>IF(L154="Aceptada",1,0)</f>
        <v/>
      </c>
      <c r="U154" s="1">
        <f>IF(OR(L154="Realizada completa",L154="Realizada incompleta"),1,0)</f>
        <v/>
      </c>
      <c r="V154" s="1">
        <f>IF(L154="Sin respuesta",1,0)</f>
        <v/>
      </c>
    </row>
    <row r="155">
      <c r="A155" s="1" t="inlineStr">
        <is>
          <t>154</t>
        </is>
      </c>
      <c r="B155" s="1" t="inlineStr">
        <is>
          <t xml:space="preserve">Región Policial Ucayali de la PNP </t>
        </is>
      </c>
      <c r="C155" s="1" t="inlineStr">
        <is>
          <t>Policía Nacional del Perú</t>
        </is>
      </c>
      <c r="D155" s="1" t="inlineStr">
        <is>
          <t>Entrevista de actores clave</t>
        </is>
      </c>
      <c r="E155" s="1" t="inlineStr">
        <is>
          <t>Funcionarios del Sistema</t>
        </is>
      </c>
      <c r="F155" s="1" t="inlineStr">
        <is>
          <t>Nacional</t>
        </is>
      </c>
      <c r="G155" s="1" t="inlineStr">
        <is>
          <t>IJM</t>
        </is>
      </c>
      <c r="H155" s="1" t="inlineStr">
        <is>
          <t>Sí</t>
        </is>
      </c>
      <c r="I155" s="2" t="inlineStr">
        <is>
          <t xml:space="preserve">  5/5/2026</t>
        </is>
      </c>
      <c r="J155" s="2" t="str"/>
      <c r="K155" s="2" t="str"/>
      <c r="L155" s="1" t="inlineStr">
        <is>
          <t>Sin respuesta</t>
        </is>
      </c>
      <c r="M155" s="2" t="str"/>
      <c r="N155" s="2" t="str"/>
      <c r="O155" s="1" t="inlineStr">
        <is>
          <t>Sin respuesta</t>
        </is>
      </c>
      <c r="P155" s="1" t="str"/>
      <c r="Q155" s="1" t="str"/>
      <c r="R155" s="1">
        <f>IF(H155="Sí",1,0)</f>
        <v/>
      </c>
      <c r="S155" s="1">
        <f>IF(L155="En coordinación",1,0)</f>
        <v/>
      </c>
      <c r="T155" s="1">
        <f>IF(L155="Aceptada",1,0)</f>
        <v/>
      </c>
      <c r="U155" s="1">
        <f>IF(OR(L155="Realizada completa",L155="Realizada incompleta"),1,0)</f>
        <v/>
      </c>
      <c r="V155" s="1">
        <f>IF(L155="Sin respuesta",1,0)</f>
        <v/>
      </c>
    </row>
    <row r="156">
      <c r="A156" s="1" t="inlineStr">
        <is>
          <t>155</t>
        </is>
      </c>
      <c r="B156" s="1" t="inlineStr">
        <is>
          <t>Eva Ambicho Mandujano</t>
        </is>
      </c>
      <c r="C156" s="1" t="inlineStr">
        <is>
          <t>Policía Nacional del Perú</t>
        </is>
      </c>
      <c r="D156" s="1" t="inlineStr">
        <is>
          <t>Entrevista de actores clave</t>
        </is>
      </c>
      <c r="E156" s="1" t="inlineStr">
        <is>
          <t>Funcionarios del Sistema</t>
        </is>
      </c>
      <c r="F156" s="1" t="inlineStr">
        <is>
          <t>Distrito Judicial: Loreto</t>
        </is>
      </c>
      <c r="G156" s="1" t="inlineStr">
        <is>
          <t>IJM</t>
        </is>
      </c>
      <c r="H156" s="1" t="inlineStr">
        <is>
          <t>Sí</t>
        </is>
      </c>
      <c r="I156" s="2" t="inlineStr">
        <is>
          <t xml:space="preserve">  5/5/2026</t>
        </is>
      </c>
      <c r="J156" s="2" t="str"/>
      <c r="K156" s="2" t="str"/>
      <c r="L156" s="1" t="inlineStr">
        <is>
          <t>Realizada completa</t>
        </is>
      </c>
      <c r="M156" s="2" t="inlineStr">
        <is>
          <t>12-May</t>
        </is>
      </c>
      <c r="N156" s="2" t="inlineStr">
        <is>
          <t>12-May</t>
        </is>
      </c>
      <c r="O156" s="1" t="inlineStr">
        <is>
          <t>Realizada completa</t>
        </is>
      </c>
      <c r="P156" s="1" t="inlineStr">
        <is>
          <t>43</t>
        </is>
      </c>
      <c r="Q156" s="1" t="inlineStr">
        <is>
          <t>A distancia asistido</t>
        </is>
      </c>
      <c r="R156" s="1">
        <f>IF(H156="Sí",1,0)</f>
        <v/>
      </c>
      <c r="S156" s="1">
        <f>IF(L156="En coordinación",1,0)</f>
        <v/>
      </c>
      <c r="T156" s="1">
        <f>IF(L156="Aceptada",1,0)</f>
        <v/>
      </c>
      <c r="U156" s="1">
        <f>IF(OR(L156="Realizada completa",L156="Realizada incompleta"),1,0)</f>
        <v/>
      </c>
      <c r="V156" s="1">
        <f>IF(L156="Sin respuesta",1,0)</f>
        <v/>
      </c>
    </row>
    <row r="157">
      <c r="A157" s="1" t="inlineStr">
        <is>
          <t>156</t>
        </is>
      </c>
      <c r="B157" s="1" t="inlineStr">
        <is>
          <t xml:space="preserve">Región Policial Junín de la PNP </t>
        </is>
      </c>
      <c r="C157" s="1" t="inlineStr">
        <is>
          <t>Policía Nacional del Perú</t>
        </is>
      </c>
      <c r="D157" s="1" t="inlineStr">
        <is>
          <t>Entrevista de actores clave</t>
        </is>
      </c>
      <c r="E157" s="1" t="inlineStr">
        <is>
          <t>Funcionarios del Sistema</t>
        </is>
      </c>
      <c r="F157" s="1" t="inlineStr">
        <is>
          <t>Nacional</t>
        </is>
      </c>
      <c r="G157" s="1" t="inlineStr">
        <is>
          <t>IJM</t>
        </is>
      </c>
      <c r="H157" s="1" t="inlineStr">
        <is>
          <t>Sí</t>
        </is>
      </c>
      <c r="I157" s="2" t="inlineStr">
        <is>
          <t xml:space="preserve">  5/5/2026</t>
        </is>
      </c>
      <c r="J157" s="2" t="str"/>
      <c r="K157" s="2" t="str"/>
      <c r="L157" s="1" t="inlineStr">
        <is>
          <t>Rechazada</t>
        </is>
      </c>
      <c r="M157" s="2" t="str"/>
      <c r="N157" s="2" t="str"/>
      <c r="O157" s="1" t="inlineStr">
        <is>
          <t>Rechazada</t>
        </is>
      </c>
      <c r="P157" s="1" t="str"/>
      <c r="Q157" s="1" t="str"/>
      <c r="R157" s="1">
        <f>IF(H157="Sí",1,0)</f>
        <v/>
      </c>
      <c r="S157" s="1">
        <f>IF(L157="En coordinación",1,0)</f>
        <v/>
      </c>
      <c r="T157" s="1">
        <f>IF(L157="Aceptada",1,0)</f>
        <v/>
      </c>
      <c r="U157" s="1">
        <f>IF(OR(L157="Realizada completa",L157="Realizada incompleta"),1,0)</f>
        <v/>
      </c>
      <c r="V157" s="1">
        <f>IF(L157="Sin respuesta",1,0)</f>
        <v/>
      </c>
    </row>
    <row r="158">
      <c r="A158" s="1" t="inlineStr">
        <is>
          <t>157</t>
        </is>
      </c>
      <c r="B158" s="1" t="inlineStr">
        <is>
          <t xml:space="preserve">Región Policial Cusco de la PNP </t>
        </is>
      </c>
      <c r="C158" s="1" t="inlineStr">
        <is>
          <t>Policía Nacional del Perú</t>
        </is>
      </c>
      <c r="D158" s="1" t="inlineStr">
        <is>
          <t>Entrevista de actores clave</t>
        </is>
      </c>
      <c r="E158" s="1" t="inlineStr">
        <is>
          <t>Funcionarios del Sistema</t>
        </is>
      </c>
      <c r="F158" s="1" t="inlineStr">
        <is>
          <t>Nacional</t>
        </is>
      </c>
      <c r="G158" s="1" t="inlineStr">
        <is>
          <t>IJM</t>
        </is>
      </c>
      <c r="H158" s="1" t="inlineStr">
        <is>
          <t>Sí</t>
        </is>
      </c>
      <c r="I158" s="2" t="inlineStr">
        <is>
          <t xml:space="preserve">  5/5/2026</t>
        </is>
      </c>
      <c r="J158" s="2" t="str"/>
      <c r="K158" s="2" t="str"/>
      <c r="L158" s="1" t="inlineStr">
        <is>
          <t>Sin respuesta</t>
        </is>
      </c>
      <c r="M158" s="2" t="str"/>
      <c r="N158" s="2" t="str"/>
      <c r="O158" s="1" t="inlineStr">
        <is>
          <t>Sin respuesta</t>
        </is>
      </c>
      <c r="P158" s="1" t="str"/>
      <c r="Q158" s="1" t="str"/>
      <c r="R158" s="1">
        <f>IF(H158="Sí",1,0)</f>
        <v/>
      </c>
      <c r="S158" s="1">
        <f>IF(L158="En coordinación",1,0)</f>
        <v/>
      </c>
      <c r="T158" s="1">
        <f>IF(L158="Aceptada",1,0)</f>
        <v/>
      </c>
      <c r="U158" s="1">
        <f>IF(OR(L158="Realizada completa",L158="Realizada incompleta"),1,0)</f>
        <v/>
      </c>
      <c r="V158" s="1">
        <f>IF(L158="Sin respuesta",1,0)</f>
        <v/>
      </c>
    </row>
    <row r="159">
      <c r="A159" s="1" t="inlineStr">
        <is>
          <t>158</t>
        </is>
      </c>
      <c r="B159" s="1" t="inlineStr">
        <is>
          <t>Región Policial Ayacucho de la PNP</t>
        </is>
      </c>
      <c r="C159" s="1" t="inlineStr">
        <is>
          <t>Policía Nacional del Perú</t>
        </is>
      </c>
      <c r="D159" s="1" t="inlineStr">
        <is>
          <t>Entrevista de actores clave</t>
        </is>
      </c>
      <c r="E159" s="1" t="inlineStr">
        <is>
          <t>Funcionarios del Sistema</t>
        </is>
      </c>
      <c r="F159" s="1" t="inlineStr">
        <is>
          <t>Distrito Judicial: Ayacucho</t>
        </is>
      </c>
      <c r="G159" s="1" t="inlineStr">
        <is>
          <t>IJM</t>
        </is>
      </c>
      <c r="H159" s="1" t="inlineStr">
        <is>
          <t>Sí</t>
        </is>
      </c>
      <c r="I159" s="2" t="inlineStr">
        <is>
          <t xml:space="preserve">  5/5/2026</t>
        </is>
      </c>
      <c r="J159" s="2" t="str"/>
      <c r="K159" s="2" t="str"/>
      <c r="L159" s="1" t="inlineStr">
        <is>
          <t>Sin respuesta</t>
        </is>
      </c>
      <c r="M159" s="2" t="str"/>
      <c r="N159" s="2" t="str"/>
      <c r="O159" s="1" t="inlineStr">
        <is>
          <t>Sin respuesta</t>
        </is>
      </c>
      <c r="P159" s="1" t="str"/>
      <c r="Q159" s="1" t="str"/>
      <c r="R159" s="1">
        <f>IF(H159="Sí",1,0)</f>
        <v/>
      </c>
      <c r="S159" s="1">
        <f>IF(L159="En coordinación",1,0)</f>
        <v/>
      </c>
      <c r="T159" s="1">
        <f>IF(L159="Aceptada",1,0)</f>
        <v/>
      </c>
      <c r="U159" s="1">
        <f>IF(OR(L159="Realizada completa",L159="Realizada incompleta"),1,0)</f>
        <v/>
      </c>
      <c r="V159" s="1">
        <f>IF(L159="Sin respuesta",1,0)</f>
        <v/>
      </c>
    </row>
    <row r="160">
      <c r="A160" s="1" t="inlineStr">
        <is>
          <t>159</t>
        </is>
      </c>
      <c r="B160" s="1" t="inlineStr">
        <is>
          <t xml:space="preserve">Región Policial Arequipa de la PNP </t>
        </is>
      </c>
      <c r="C160" s="1" t="inlineStr">
        <is>
          <t>Policía Nacional del Perú</t>
        </is>
      </c>
      <c r="D160" s="1" t="inlineStr">
        <is>
          <t>Entrevista de actores clave</t>
        </is>
      </c>
      <c r="E160" s="1" t="inlineStr">
        <is>
          <t>Funcionarios del Sistema</t>
        </is>
      </c>
      <c r="F160" s="1" t="inlineStr">
        <is>
          <t>Nacional</t>
        </is>
      </c>
      <c r="G160" s="1" t="inlineStr">
        <is>
          <t>IJM</t>
        </is>
      </c>
      <c r="H160" s="1" t="inlineStr">
        <is>
          <t>Sí</t>
        </is>
      </c>
      <c r="I160" s="2" t="inlineStr">
        <is>
          <t xml:space="preserve">  5/5/2026</t>
        </is>
      </c>
      <c r="J160" s="2" t="str"/>
      <c r="K160" s="2" t="str"/>
      <c r="L160" s="1" t="inlineStr">
        <is>
          <t>Sin respuesta</t>
        </is>
      </c>
      <c r="M160" s="2" t="str"/>
      <c r="N160" s="2" t="str"/>
      <c r="O160" s="1" t="inlineStr">
        <is>
          <t>Sin respuesta</t>
        </is>
      </c>
      <c r="P160" s="1" t="str"/>
      <c r="Q160" s="1" t="str"/>
      <c r="R160" s="1">
        <f>IF(H160="Sí",1,0)</f>
        <v/>
      </c>
      <c r="S160" s="1">
        <f>IF(L160="En coordinación",1,0)</f>
        <v/>
      </c>
      <c r="T160" s="1">
        <f>IF(L160="Aceptada",1,0)</f>
        <v/>
      </c>
      <c r="U160" s="1">
        <f>IF(OR(L160="Realizada completa",L160="Realizada incompleta"),1,0)</f>
        <v/>
      </c>
      <c r="V160" s="1">
        <f>IF(L160="Sin respuesta",1,0)</f>
        <v/>
      </c>
    </row>
    <row r="161">
      <c r="A161" s="1" t="inlineStr">
        <is>
          <t>160</t>
        </is>
      </c>
      <c r="B161" s="1" t="inlineStr">
        <is>
          <t>Región Policial San Martín de la PNP</t>
        </is>
      </c>
      <c r="C161" s="1" t="inlineStr">
        <is>
          <t>Policía Nacional del Perú</t>
        </is>
      </c>
      <c r="D161" s="1" t="inlineStr">
        <is>
          <t>Entrevista de actores clave</t>
        </is>
      </c>
      <c r="E161" s="1" t="inlineStr">
        <is>
          <t>Funcionarios del Sistema</t>
        </is>
      </c>
      <c r="F161" s="1" t="inlineStr">
        <is>
          <t>Nacional</t>
        </is>
      </c>
      <c r="G161" s="1" t="inlineStr">
        <is>
          <t>IJM</t>
        </is>
      </c>
      <c r="H161" s="1" t="inlineStr">
        <is>
          <t>Sí</t>
        </is>
      </c>
      <c r="I161" s="2" t="inlineStr">
        <is>
          <t xml:space="preserve">  5/5/2026</t>
        </is>
      </c>
      <c r="J161" s="2" t="str"/>
      <c r="K161" s="2" t="str"/>
      <c r="L161" s="1" t="inlineStr">
        <is>
          <t>Sin respuesta</t>
        </is>
      </c>
      <c r="M161" s="2" t="str"/>
      <c r="N161" s="2" t="str"/>
      <c r="O161" s="1" t="inlineStr">
        <is>
          <t>Sin respuesta</t>
        </is>
      </c>
      <c r="P161" s="1" t="str"/>
      <c r="Q161" s="1" t="str"/>
      <c r="R161" s="1">
        <f>IF(H161="Sí",1,0)</f>
        <v/>
      </c>
      <c r="S161" s="1">
        <f>IF(L161="En coordinación",1,0)</f>
        <v/>
      </c>
      <c r="T161" s="1">
        <f>IF(L161="Aceptada",1,0)</f>
        <v/>
      </c>
      <c r="U161" s="1">
        <f>IF(OR(L161="Realizada completa",L161="Realizada incompleta"),1,0)</f>
        <v/>
      </c>
      <c r="V161" s="1">
        <f>IF(L161="Sin respuesta",1,0)</f>
        <v/>
      </c>
    </row>
    <row r="162">
      <c r="A162" s="1" t="inlineStr">
        <is>
          <t>161</t>
        </is>
      </c>
      <c r="B162" s="1" t="inlineStr">
        <is>
          <t>Región Policial Áncash de la PNP</t>
        </is>
      </c>
      <c r="C162" s="1" t="inlineStr">
        <is>
          <t>Policía Nacional del Perú</t>
        </is>
      </c>
      <c r="D162" s="1" t="inlineStr">
        <is>
          <t>Entrevista de actores clave</t>
        </is>
      </c>
      <c r="E162" s="1" t="inlineStr">
        <is>
          <t>Funcionarios del Sistema</t>
        </is>
      </c>
      <c r="F162" s="1" t="inlineStr">
        <is>
          <t>Distrito Judicial: Lima Norte</t>
        </is>
      </c>
      <c r="G162" s="1" t="inlineStr">
        <is>
          <t>IJM</t>
        </is>
      </c>
      <c r="H162" s="1" t="inlineStr">
        <is>
          <t>Sí</t>
        </is>
      </c>
      <c r="I162" s="2" t="inlineStr">
        <is>
          <t xml:space="preserve">  5/5/2026</t>
        </is>
      </c>
      <c r="J162" s="2" t="str"/>
      <c r="K162" s="2" t="str"/>
      <c r="L162" s="1" t="inlineStr">
        <is>
          <t>Rechazada</t>
        </is>
      </c>
      <c r="M162" s="2" t="str"/>
      <c r="N162" s="2" t="str"/>
      <c r="O162" s="1" t="inlineStr">
        <is>
          <t>Rechazada</t>
        </is>
      </c>
      <c r="P162" s="1" t="str"/>
      <c r="Q162" s="1" t="str"/>
      <c r="R162" s="1">
        <f>IF(H162="Sí",1,0)</f>
        <v/>
      </c>
      <c r="S162" s="1">
        <f>IF(L162="En coordinación",1,0)</f>
        <v/>
      </c>
      <c r="T162" s="1">
        <f>IF(L162="Aceptada",1,0)</f>
        <v/>
      </c>
      <c r="U162" s="1">
        <f>IF(OR(L162="Realizada completa",L162="Realizada incompleta"),1,0)</f>
        <v/>
      </c>
      <c r="V162" s="1">
        <f>IF(L162="Sin respuesta",1,0)</f>
        <v/>
      </c>
    </row>
    <row r="163">
      <c r="A163" s="1" t="inlineStr">
        <is>
          <t>162</t>
        </is>
      </c>
      <c r="B163" s="1" t="inlineStr">
        <is>
          <t xml:space="preserve">Frente Policial Ica de la PNP </t>
        </is>
      </c>
      <c r="C163" s="1" t="inlineStr">
        <is>
          <t>Policía Nacional del Perú</t>
        </is>
      </c>
      <c r="D163" s="1" t="inlineStr">
        <is>
          <t>Entrevista de actores clave</t>
        </is>
      </c>
      <c r="E163" s="1" t="inlineStr">
        <is>
          <t>Funcionarios del Sistema</t>
        </is>
      </c>
      <c r="F163" s="1" t="inlineStr">
        <is>
          <t>Distrito Judicial: Lima Norte</t>
        </is>
      </c>
      <c r="G163" s="1" t="inlineStr">
        <is>
          <t>IJM</t>
        </is>
      </c>
      <c r="H163" s="1" t="inlineStr">
        <is>
          <t>Sí</t>
        </is>
      </c>
      <c r="I163" s="2" t="inlineStr">
        <is>
          <t xml:space="preserve">  5/5/2026</t>
        </is>
      </c>
      <c r="J163" s="2" t="inlineStr">
        <is>
          <t xml:space="preserve"> 5/19/2026</t>
        </is>
      </c>
      <c r="K163" s="2" t="str"/>
      <c r="L163" s="1" t="inlineStr">
        <is>
          <t>Sin respuesta</t>
        </is>
      </c>
      <c r="M163" s="2" t="str"/>
      <c r="N163" s="2" t="str"/>
      <c r="O163" s="1" t="inlineStr">
        <is>
          <t>Sin respuesta</t>
        </is>
      </c>
      <c r="P163" s="1" t="str"/>
      <c r="Q163" s="1" t="str"/>
      <c r="R163" s="1">
        <f>IF(H163="Sí",1,0)</f>
        <v/>
      </c>
      <c r="S163" s="1">
        <f>IF(L163="En coordinación",1,0)</f>
        <v/>
      </c>
      <c r="T163" s="1">
        <f>IF(L163="Aceptada",1,0)</f>
        <v/>
      </c>
      <c r="U163" s="1">
        <f>IF(OR(L163="Realizada completa",L163="Realizada incompleta"),1,0)</f>
        <v/>
      </c>
      <c r="V163" s="1">
        <f>IF(L163="Sin respuesta",1,0)</f>
        <v/>
      </c>
    </row>
    <row r="164">
      <c r="A164" s="1" t="inlineStr">
        <is>
          <t>163</t>
        </is>
      </c>
      <c r="B164" s="1" t="inlineStr">
        <is>
          <t>Rosa Alicia Noriega Portal</t>
        </is>
      </c>
      <c r="C164" s="1" t="inlineStr">
        <is>
          <t>Policía Nacional del Perú</t>
        </is>
      </c>
      <c r="D164" s="1" t="inlineStr">
        <is>
          <t>Entrevista de actores clave</t>
        </is>
      </c>
      <c r="E164" s="1" t="inlineStr">
        <is>
          <t>Funcionarios del Sistema</t>
        </is>
      </c>
      <c r="F164" s="1" t="inlineStr">
        <is>
          <t>Distrito Judicial: Lima Norte</t>
        </is>
      </c>
      <c r="G164" s="1" t="inlineStr">
        <is>
          <t>IJM</t>
        </is>
      </c>
      <c r="H164" s="1" t="inlineStr">
        <is>
          <t>Sí</t>
        </is>
      </c>
      <c r="I164" s="2" t="inlineStr">
        <is>
          <t xml:space="preserve">  5/5/2026</t>
        </is>
      </c>
      <c r="J164" s="2" t="str"/>
      <c r="K164" s="2" t="str"/>
      <c r="L164" s="1" t="inlineStr">
        <is>
          <t>Sin respuesta</t>
        </is>
      </c>
      <c r="M164" s="2" t="str"/>
      <c r="N164" s="2" t="str"/>
      <c r="O164" s="1" t="inlineStr">
        <is>
          <t>Sin respuesta</t>
        </is>
      </c>
      <c r="P164" s="1" t="str"/>
      <c r="Q164" s="1" t="str"/>
      <c r="R164" s="1">
        <f>IF(H164="Sí",1,0)</f>
        <v/>
      </c>
      <c r="S164" s="1">
        <f>IF(L164="En coordinación",1,0)</f>
        <v/>
      </c>
      <c r="T164" s="1">
        <f>IF(L164="Aceptada",1,0)</f>
        <v/>
      </c>
      <c r="U164" s="1">
        <f>IF(OR(L164="Realizada completa",L164="Realizada incompleta"),1,0)</f>
        <v/>
      </c>
      <c r="V164" s="1">
        <f>IF(L164="Sin respuesta",1,0)</f>
        <v/>
      </c>
    </row>
    <row r="165">
      <c r="A165" s="1" t="inlineStr">
        <is>
          <t>164</t>
        </is>
      </c>
      <c r="B165" s="1" t="inlineStr">
        <is>
          <t>Frente Policial Apurímac de la PNP</t>
        </is>
      </c>
      <c r="C165" s="1" t="inlineStr">
        <is>
          <t>Policía Nacional del Perú</t>
        </is>
      </c>
      <c r="D165" s="1" t="inlineStr">
        <is>
          <t>Entrevista de actores clave</t>
        </is>
      </c>
      <c r="E165" s="1" t="inlineStr">
        <is>
          <t>Funcionarios del Sistema</t>
        </is>
      </c>
      <c r="F165" s="1" t="inlineStr">
        <is>
          <t>Distrito Judicial: Lima Norte</t>
        </is>
      </c>
      <c r="G165" s="1" t="inlineStr">
        <is>
          <t>IJM</t>
        </is>
      </c>
      <c r="H165" s="1" t="inlineStr">
        <is>
          <t>No</t>
        </is>
      </c>
      <c r="I165" s="2" t="str"/>
      <c r="J165" s="2" t="str"/>
      <c r="K165" s="2" t="str"/>
      <c r="L165" s="1" t="str"/>
      <c r="M165" s="2" t="str"/>
      <c r="N165" s="2" t="str"/>
      <c r="O165" s="1" t="str"/>
      <c r="P165" s="1" t="str"/>
      <c r="Q165" s="1" t="str"/>
      <c r="R165" s="1">
        <f>IF(H165="Sí",1,0)</f>
        <v/>
      </c>
      <c r="S165" s="1">
        <f>IF(L165="En coordinación",1,0)</f>
        <v/>
      </c>
      <c r="T165" s="1">
        <f>IF(L165="Aceptada",1,0)</f>
        <v/>
      </c>
      <c r="U165" s="1">
        <f>IF(OR(L165="Realizada completa",L165="Realizada incompleta"),1,0)</f>
        <v/>
      </c>
      <c r="V165" s="1">
        <f>IF(L165="Sin respuesta",1,0)</f>
        <v/>
      </c>
    </row>
    <row r="166">
      <c r="A166" s="1" t="inlineStr">
        <is>
          <t>165</t>
        </is>
      </c>
      <c r="B166" s="1" t="inlineStr">
        <is>
          <t xml:space="preserve">Región Policial Lima de la PNP </t>
        </is>
      </c>
      <c r="C166" s="1" t="inlineStr">
        <is>
          <t>Policía Nacional del Perú</t>
        </is>
      </c>
      <c r="D166" s="1" t="inlineStr">
        <is>
          <t>Entrevista de actores clave</t>
        </is>
      </c>
      <c r="E166" s="1" t="inlineStr">
        <is>
          <t>Funcionarios del Sistema</t>
        </is>
      </c>
      <c r="F166" s="1" t="inlineStr">
        <is>
          <t>Distrito Judicial: Lima Norte</t>
        </is>
      </c>
      <c r="G166" s="1" t="inlineStr">
        <is>
          <t>IJM</t>
        </is>
      </c>
      <c r="H166" s="1" t="inlineStr">
        <is>
          <t>No</t>
        </is>
      </c>
      <c r="I166" s="2" t="str"/>
      <c r="J166" s="2" t="str"/>
      <c r="K166" s="2" t="str"/>
      <c r="L166" s="1" t="str"/>
      <c r="M166" s="2" t="str"/>
      <c r="N166" s="2" t="str"/>
      <c r="O166" s="1" t="str"/>
      <c r="P166" s="1" t="str"/>
      <c r="Q166" s="1" t="str"/>
      <c r="R166" s="1">
        <f>IF(H166="Sí",1,0)</f>
        <v/>
      </c>
      <c r="S166" s="1">
        <f>IF(L166="En coordinación",1,0)</f>
        <v/>
      </c>
      <c r="T166" s="1">
        <f>IF(L166="Aceptada",1,0)</f>
        <v/>
      </c>
      <c r="U166" s="1">
        <f>IF(OR(L166="Realizada completa",L166="Realizada incompleta"),1,0)</f>
        <v/>
      </c>
      <c r="V166" s="1">
        <f>IF(L166="Sin respuesta",1,0)</f>
        <v/>
      </c>
    </row>
    <row r="167">
      <c r="A167" s="1" t="inlineStr">
        <is>
          <t>166</t>
        </is>
      </c>
      <c r="B167" s="1" t="inlineStr">
        <is>
          <t>Región Policial de Amazonas de la PNP</t>
        </is>
      </c>
      <c r="C167" s="1" t="inlineStr">
        <is>
          <t>Policía Nacional del Perú</t>
        </is>
      </c>
      <c r="D167" s="1" t="inlineStr">
        <is>
          <t>Entrevista de actores clave</t>
        </is>
      </c>
      <c r="E167" s="1" t="inlineStr">
        <is>
          <t>Funcionarios del Sistema</t>
        </is>
      </c>
      <c r="F167" s="1" t="inlineStr">
        <is>
          <t>Distrito Judicial: Puente Piedra-Ventanilla</t>
        </is>
      </c>
      <c r="G167" s="1" t="inlineStr">
        <is>
          <t>IJM</t>
        </is>
      </c>
      <c r="H167" s="1" t="inlineStr">
        <is>
          <t>No</t>
        </is>
      </c>
      <c r="I167" s="2" t="str"/>
      <c r="J167" s="2" t="str"/>
      <c r="K167" s="2" t="str"/>
      <c r="L167" s="1" t="str"/>
      <c r="M167" s="2" t="str"/>
      <c r="N167" s="2" t="str"/>
      <c r="O167" s="1" t="str"/>
      <c r="P167" s="1" t="str"/>
      <c r="Q167" s="1" t="str"/>
      <c r="R167" s="1">
        <f>IF(H167="Sí",1,0)</f>
        <v/>
      </c>
      <c r="S167" s="1">
        <f>IF(L167="En coordinación",1,0)</f>
        <v/>
      </c>
      <c r="T167" s="1">
        <f>IF(L167="Aceptada",1,0)</f>
        <v/>
      </c>
      <c r="U167" s="1">
        <f>IF(OR(L167="Realizada completa",L167="Realizada incompleta"),1,0)</f>
        <v/>
      </c>
      <c r="V167" s="1">
        <f>IF(L167="Sin respuesta",1,0)</f>
        <v/>
      </c>
    </row>
    <row r="168">
      <c r="A168" s="1" t="inlineStr">
        <is>
          <t>167</t>
        </is>
      </c>
      <c r="B168" s="1" t="inlineStr">
        <is>
          <t>Frente Policial Cajamarca de la PNP</t>
        </is>
      </c>
      <c r="C168" s="1" t="inlineStr">
        <is>
          <t>Policía Nacional del Perú</t>
        </is>
      </c>
      <c r="D168" s="1" t="inlineStr">
        <is>
          <t>Entrevista de actores clave</t>
        </is>
      </c>
      <c r="E168" s="1" t="inlineStr">
        <is>
          <t>Funcionarios del Sistema</t>
        </is>
      </c>
      <c r="F168" s="1" t="inlineStr">
        <is>
          <t>Distrito Judicial: Puente Piedra-Ventanilla</t>
        </is>
      </c>
      <c r="G168" s="1" t="inlineStr">
        <is>
          <t>IJM</t>
        </is>
      </c>
      <c r="H168" s="1" t="inlineStr">
        <is>
          <t>No</t>
        </is>
      </c>
      <c r="I168" s="2" t="str"/>
      <c r="J168" s="2" t="str"/>
      <c r="K168" s="2" t="str"/>
      <c r="L168" s="1" t="str"/>
      <c r="M168" s="2" t="str"/>
      <c r="N168" s="2" t="str"/>
      <c r="O168" s="1" t="str"/>
      <c r="P168" s="1" t="str"/>
      <c r="Q168" s="1" t="str"/>
      <c r="R168" s="1">
        <f>IF(H168="Sí",1,0)</f>
        <v/>
      </c>
      <c r="S168" s="1">
        <f>IF(L168="En coordinación",1,0)</f>
        <v/>
      </c>
      <c r="T168" s="1">
        <f>IF(L168="Aceptada",1,0)</f>
        <v/>
      </c>
      <c r="U168" s="1">
        <f>IF(OR(L168="Realizada completa",L168="Realizada incompleta"),1,0)</f>
        <v/>
      </c>
      <c r="V168" s="1">
        <f>IF(L168="Sin respuesta",1,0)</f>
        <v/>
      </c>
    </row>
    <row r="169">
      <c r="A169" s="1" t="inlineStr">
        <is>
          <t>168</t>
        </is>
      </c>
      <c r="B169" s="1" t="inlineStr">
        <is>
          <t>DIVPNA Comas</t>
        </is>
      </c>
      <c r="C169" s="1" t="inlineStr">
        <is>
          <t>Policía Nacional del Perú</t>
        </is>
      </c>
      <c r="D169" s="1" t="inlineStr">
        <is>
          <t>Entrevista de actores clave</t>
        </is>
      </c>
      <c r="E169" s="1" t="inlineStr">
        <is>
          <t>Funcionarios del Sistema</t>
        </is>
      </c>
      <c r="F169" s="1" t="inlineStr">
        <is>
          <t>Distrito Judicial: Apurímac</t>
        </is>
      </c>
      <c r="G169" s="1" t="inlineStr">
        <is>
          <t>IJM</t>
        </is>
      </c>
      <c r="H169" s="1" t="inlineStr">
        <is>
          <t>No</t>
        </is>
      </c>
      <c r="I169" s="2" t="str"/>
      <c r="J169" s="2" t="str"/>
      <c r="K169" s="2" t="str"/>
      <c r="L169" s="1" t="str"/>
      <c r="M169" s="2" t="str"/>
      <c r="N169" s="2" t="str"/>
      <c r="O169" s="1" t="str"/>
      <c r="P169" s="1" t="str"/>
      <c r="Q169" s="1" t="str"/>
      <c r="R169" s="1">
        <f>IF(H169="Sí",1,0)</f>
        <v/>
      </c>
      <c r="S169" s="1">
        <f>IF(L169="En coordinación",1,0)</f>
        <v/>
      </c>
      <c r="T169" s="1">
        <f>IF(L169="Aceptada",1,0)</f>
        <v/>
      </c>
      <c r="U169" s="1">
        <f>IF(OR(L169="Realizada completa",L169="Realizada incompleta"),1,0)</f>
        <v/>
      </c>
      <c r="V169" s="1">
        <f>IF(L169="Sin respuesta",1,0)</f>
        <v/>
      </c>
    </row>
    <row r="170">
      <c r="A170" s="1" t="inlineStr">
        <is>
          <t>169</t>
        </is>
      </c>
      <c r="B170" s="1" t="inlineStr">
        <is>
          <t>Sonia Alvarez Quevedo</t>
        </is>
      </c>
      <c r="C170" s="1" t="inlineStr">
        <is>
          <t>Policía Nacional del Perú</t>
        </is>
      </c>
      <c r="D170" s="1" t="inlineStr">
        <is>
          <t>Entrevista de actores clave</t>
        </is>
      </c>
      <c r="E170" s="1" t="inlineStr">
        <is>
          <t>Funcionarios del Sistema</t>
        </is>
      </c>
      <c r="F170" s="1" t="inlineStr">
        <is>
          <t>Distrito Judicial: Huánuco</t>
        </is>
      </c>
      <c r="G170" s="1" t="inlineStr">
        <is>
          <t>IJM</t>
        </is>
      </c>
      <c r="H170" s="1" t="inlineStr">
        <is>
          <t>No</t>
        </is>
      </c>
      <c r="I170" s="2" t="str"/>
      <c r="J170" s="2" t="str"/>
      <c r="K170" s="2" t="str"/>
      <c r="L170" s="1" t="str"/>
      <c r="M170" s="2" t="str"/>
      <c r="N170" s="2" t="str"/>
      <c r="O170" s="1" t="str"/>
      <c r="P170" s="1" t="str"/>
      <c r="Q170" s="1" t="str"/>
      <c r="R170" s="1">
        <f>IF(H170="Sí",1,0)</f>
        <v/>
      </c>
      <c r="S170" s="1">
        <f>IF(L170="En coordinación",1,0)</f>
        <v/>
      </c>
      <c r="T170" s="1">
        <f>IF(L170="Aceptada",1,0)</f>
        <v/>
      </c>
      <c r="U170" s="1">
        <f>IF(OR(L170="Realizada completa",L170="Realizada incompleta"),1,0)</f>
        <v/>
      </c>
      <c r="V170" s="1">
        <f>IF(L170="Sin respuesta",1,0)</f>
        <v/>
      </c>
    </row>
    <row r="171">
      <c r="A171" s="1" t="inlineStr">
        <is>
          <t>170</t>
        </is>
      </c>
      <c r="B171" s="1" t="inlineStr">
        <is>
          <t>Maribel Amalia Varias Aguilar</t>
        </is>
      </c>
      <c r="C171" s="1" t="inlineStr">
        <is>
          <t>Policía Nacional del Perú</t>
        </is>
      </c>
      <c r="D171" s="1" t="inlineStr">
        <is>
          <t>Entrevista de actores clave</t>
        </is>
      </c>
      <c r="E171" s="1" t="inlineStr">
        <is>
          <t>Funcionarios del Sistema</t>
        </is>
      </c>
      <c r="F171" s="1" t="inlineStr">
        <is>
          <t>Distrito Judicial: Cajamarca</t>
        </is>
      </c>
      <c r="G171" s="1" t="inlineStr">
        <is>
          <t>IJM</t>
        </is>
      </c>
      <c r="H171" s="1" t="inlineStr">
        <is>
          <t>No</t>
        </is>
      </c>
      <c r="I171" s="2" t="str"/>
      <c r="J171" s="2" t="str"/>
      <c r="K171" s="2" t="str"/>
      <c r="L171" s="1" t="str"/>
      <c r="M171" s="2" t="str"/>
      <c r="N171" s="2" t="str"/>
      <c r="O171" s="1" t="str"/>
      <c r="P171" s="1" t="str"/>
      <c r="Q171" s="1" t="str"/>
      <c r="R171" s="1">
        <f>IF(H171="Sí",1,0)</f>
        <v/>
      </c>
      <c r="S171" s="1">
        <f>IF(L171="En coordinación",1,0)</f>
        <v/>
      </c>
      <c r="T171" s="1">
        <f>IF(L171="Aceptada",1,0)</f>
        <v/>
      </c>
      <c r="U171" s="1">
        <f>IF(OR(L171="Realizada completa",L171="Realizada incompleta"),1,0)</f>
        <v/>
      </c>
      <c r="V171" s="1">
        <f>IF(L171="Sin respuesta",1,0)</f>
        <v/>
      </c>
    </row>
    <row r="172">
      <c r="A172" s="1" t="inlineStr">
        <is>
          <t>171</t>
        </is>
      </c>
      <c r="B172" s="1" t="inlineStr">
        <is>
          <t>Evelin Yauri Aliaga</t>
        </is>
      </c>
      <c r="C172" s="1" t="inlineStr">
        <is>
          <t>Policía Nacional del Perú</t>
        </is>
      </c>
      <c r="D172" s="1" t="inlineStr">
        <is>
          <t>Entrevista de actores clave</t>
        </is>
      </c>
      <c r="E172" s="1" t="inlineStr">
        <is>
          <t>Funcionarios del Sistema</t>
        </is>
      </c>
      <c r="F172" s="1" t="inlineStr">
        <is>
          <t>Distrito Judicial: Ucayali</t>
        </is>
      </c>
      <c r="G172" s="1" t="inlineStr">
        <is>
          <t>IJM</t>
        </is>
      </c>
      <c r="H172" s="1" t="inlineStr">
        <is>
          <t>No</t>
        </is>
      </c>
      <c r="I172" s="2" t="str"/>
      <c r="J172" s="2" t="str"/>
      <c r="K172" s="2" t="str"/>
      <c r="L172" s="1" t="str"/>
      <c r="M172" s="2" t="str"/>
      <c r="N172" s="2" t="str"/>
      <c r="O172" s="1" t="str"/>
      <c r="P172" s="1" t="str"/>
      <c r="Q172" s="1" t="str"/>
      <c r="R172" s="1">
        <f>IF(H172="Sí",1,0)</f>
        <v/>
      </c>
      <c r="S172" s="1">
        <f>IF(L172="En coordinación",1,0)</f>
        <v/>
      </c>
      <c r="T172" s="1">
        <f>IF(L172="Aceptada",1,0)</f>
        <v/>
      </c>
      <c r="U172" s="1">
        <f>IF(OR(L172="Realizada completa",L172="Realizada incompleta"),1,0)</f>
        <v/>
      </c>
      <c r="V172" s="1">
        <f>IF(L172="Sin respuesta",1,0)</f>
        <v/>
      </c>
    </row>
    <row r="173">
      <c r="A173" s="1" t="inlineStr">
        <is>
          <t>172</t>
        </is>
      </c>
      <c r="B173" s="1" t="inlineStr">
        <is>
          <t>Denisse Jannet Espinoza Mendoza</t>
        </is>
      </c>
      <c r="C173" s="1" t="inlineStr">
        <is>
          <t>Policía Nacional del Perú</t>
        </is>
      </c>
      <c r="D173" s="1" t="inlineStr">
        <is>
          <t>Entrevista de actores clave</t>
        </is>
      </c>
      <c r="E173" s="1" t="inlineStr">
        <is>
          <t>Funcionarios del Sistema</t>
        </is>
      </c>
      <c r="F173" s="1" t="inlineStr">
        <is>
          <t>Nacional</t>
        </is>
      </c>
      <c r="G173" s="1" t="inlineStr">
        <is>
          <t>IJM</t>
        </is>
      </c>
      <c r="H173" s="1" t="inlineStr">
        <is>
          <t>No</t>
        </is>
      </c>
      <c r="I173" s="2" t="str"/>
      <c r="J173" s="2" t="str"/>
      <c r="K173" s="2" t="str"/>
      <c r="L173" s="1" t="str"/>
      <c r="M173" s="2" t="str"/>
      <c r="N173" s="2" t="str"/>
      <c r="O173" s="1" t="str"/>
      <c r="P173" s="1" t="str"/>
      <c r="Q173" s="1" t="str"/>
      <c r="R173" s="1">
        <f>IF(H173="Sí",1,0)</f>
        <v/>
      </c>
      <c r="S173" s="1">
        <f>IF(L173="En coordinación",1,0)</f>
        <v/>
      </c>
      <c r="T173" s="1">
        <f>IF(L173="Aceptada",1,0)</f>
        <v/>
      </c>
      <c r="U173" s="1">
        <f>IF(OR(L173="Realizada completa",L173="Realizada incompleta"),1,0)</f>
        <v/>
      </c>
      <c r="V173" s="1">
        <f>IF(L173="Sin respuesta",1,0)</f>
        <v/>
      </c>
    </row>
    <row r="174">
      <c r="A174" s="1" t="inlineStr">
        <is>
          <t>173</t>
        </is>
      </c>
      <c r="B174" s="1" t="inlineStr">
        <is>
          <t>Manuel Tamayo</t>
        </is>
      </c>
      <c r="C174" s="1" t="inlineStr">
        <is>
          <t>Policía Nacional del Perú</t>
        </is>
      </c>
      <c r="D174" s="1" t="inlineStr">
        <is>
          <t>Entrevista de actores clave</t>
        </is>
      </c>
      <c r="E174" s="1" t="inlineStr">
        <is>
          <t>Funcionarios del Sistema</t>
        </is>
      </c>
      <c r="F174" s="1" t="inlineStr">
        <is>
          <t>Nacional</t>
        </is>
      </c>
      <c r="G174" s="1" t="inlineStr">
        <is>
          <t>IJM</t>
        </is>
      </c>
      <c r="H174" s="1" t="inlineStr">
        <is>
          <t>No</t>
        </is>
      </c>
      <c r="I174" s="2" t="str"/>
      <c r="J174" s="2" t="str"/>
      <c r="K174" s="2" t="str"/>
      <c r="L174" s="1" t="str"/>
      <c r="M174" s="2" t="str"/>
      <c r="N174" s="2" t="str"/>
      <c r="O174" s="1" t="str"/>
      <c r="P174" s="1" t="str"/>
      <c r="Q174" s="1" t="str"/>
      <c r="R174" s="1">
        <f>IF(H174="Sí",1,0)</f>
        <v/>
      </c>
      <c r="S174" s="1">
        <f>IF(L174="En coordinación",1,0)</f>
        <v/>
      </c>
      <c r="T174" s="1">
        <f>IF(L174="Aceptada",1,0)</f>
        <v/>
      </c>
      <c r="U174" s="1">
        <f>IF(OR(L174="Realizada completa",L174="Realizada incompleta"),1,0)</f>
        <v/>
      </c>
      <c r="V174" s="1">
        <f>IF(L174="Sin respuesta",1,0)</f>
        <v/>
      </c>
    </row>
    <row r="175">
      <c r="A175" s="1" t="inlineStr">
        <is>
          <t>174</t>
        </is>
      </c>
      <c r="B175" s="1" t="inlineStr">
        <is>
          <t>Rosa Hidalgo</t>
        </is>
      </c>
      <c r="C175" s="1" t="inlineStr">
        <is>
          <t>Policía Nacional del Perú</t>
        </is>
      </c>
      <c r="D175" s="1" t="inlineStr">
        <is>
          <t>Entrevista de actores clave</t>
        </is>
      </c>
      <c r="E175" s="1" t="inlineStr">
        <is>
          <t>Funcionarios del Sistema</t>
        </is>
      </c>
      <c r="F175" s="1" t="inlineStr">
        <is>
          <t>Distrito Judicial: Loreto</t>
        </is>
      </c>
      <c r="G175" s="1" t="inlineStr">
        <is>
          <t>IJM</t>
        </is>
      </c>
      <c r="H175" s="1" t="inlineStr">
        <is>
          <t>No</t>
        </is>
      </c>
      <c r="I175" s="2" t="str"/>
      <c r="J175" s="2" t="str"/>
      <c r="K175" s="2" t="str"/>
      <c r="L175" s="1" t="str"/>
      <c r="M175" s="2" t="str"/>
      <c r="N175" s="2" t="str"/>
      <c r="O175" s="1" t="str"/>
      <c r="P175" s="1" t="str"/>
      <c r="Q175" s="1" t="str"/>
      <c r="R175" s="1">
        <f>IF(H175="Sí",1,0)</f>
        <v/>
      </c>
      <c r="S175" s="1">
        <f>IF(L175="En coordinación",1,0)</f>
        <v/>
      </c>
      <c r="T175" s="1">
        <f>IF(L175="Aceptada",1,0)</f>
        <v/>
      </c>
      <c r="U175" s="1">
        <f>IF(OR(L175="Realizada completa",L175="Realizada incompleta"),1,0)</f>
        <v/>
      </c>
      <c r="V175" s="1">
        <f>IF(L175="Sin respuesta",1,0)</f>
        <v/>
      </c>
    </row>
    <row r="176">
      <c r="A176" s="1" t="inlineStr">
        <is>
          <t>175</t>
        </is>
      </c>
      <c r="B176" s="1" t="inlineStr">
        <is>
          <t>Luzmelit Oliva Tapia</t>
        </is>
      </c>
      <c r="C176" s="1" t="inlineStr">
        <is>
          <t>Policía Nacional del Perú</t>
        </is>
      </c>
      <c r="D176" s="1" t="inlineStr">
        <is>
          <t>Entrevista de actores clave</t>
        </is>
      </c>
      <c r="E176" s="1" t="inlineStr">
        <is>
          <t>Funcionarios del Sistema</t>
        </is>
      </c>
      <c r="F176" s="1" t="inlineStr">
        <is>
          <t>Nacional</t>
        </is>
      </c>
      <c r="G176" s="1" t="str"/>
      <c r="H176" s="1" t="inlineStr">
        <is>
          <t>Sí</t>
        </is>
      </c>
      <c r="I176" s="2" t="str"/>
      <c r="J176" s="2" t="str"/>
      <c r="K176" s="2" t="str"/>
      <c r="L176" s="1" t="inlineStr">
        <is>
          <t>Realizada completa</t>
        </is>
      </c>
      <c r="M176" s="2" t="inlineStr">
        <is>
          <t>15-Jun</t>
        </is>
      </c>
      <c r="N176" s="2" t="inlineStr">
        <is>
          <t>15-Jun</t>
        </is>
      </c>
      <c r="O176" s="1" t="inlineStr">
        <is>
          <t>Realizada completa</t>
        </is>
      </c>
      <c r="P176" s="1" t="inlineStr">
        <is>
          <t>36</t>
        </is>
      </c>
      <c r="Q176" s="1" t="inlineStr">
        <is>
          <t>A distancia asistido</t>
        </is>
      </c>
      <c r="R176" s="1">
        <f>IF(H176="Sí",1,0)</f>
        <v/>
      </c>
      <c r="S176" s="1">
        <f>IF(L176="En coordinación",1,0)</f>
        <v/>
      </c>
      <c r="T176" s="1">
        <f>IF(L176="Aceptada",1,0)</f>
        <v/>
      </c>
      <c r="U176" s="1">
        <f>IF(OR(L176="Realizada completa",L176="Realizada incompleta"),1,0)</f>
        <v/>
      </c>
      <c r="V176" s="1">
        <f>IF(L176="Sin respuesta",1,0)</f>
        <v/>
      </c>
    </row>
    <row r="177">
      <c r="A177" s="1" t="inlineStr">
        <is>
          <t>176</t>
        </is>
      </c>
      <c r="B177" s="1" t="inlineStr">
        <is>
          <t>Bethy Norma Hernandez Dominguez</t>
        </is>
      </c>
      <c r="C177" s="1" t="inlineStr">
        <is>
          <t>Centros de Emergencia Mujer</t>
        </is>
      </c>
      <c r="D177" s="1" t="inlineStr">
        <is>
          <t>Entrevista de actores clave</t>
        </is>
      </c>
      <c r="E177" s="1" t="inlineStr">
        <is>
          <t>Acompañantes</t>
        </is>
      </c>
      <c r="F177" s="1" t="inlineStr">
        <is>
          <t>Distrito Judicial: Ucayali</t>
        </is>
      </c>
      <c r="G177" s="1" t="inlineStr">
        <is>
          <t>IJM</t>
        </is>
      </c>
      <c r="H177" s="1" t="inlineStr">
        <is>
          <t>No</t>
        </is>
      </c>
      <c r="I177" s="2" t="str"/>
      <c r="J177" s="2" t="str"/>
      <c r="K177" s="2" t="str"/>
      <c r="L177" s="1" t="str"/>
      <c r="M177" s="2" t="str"/>
      <c r="N177" s="2" t="str"/>
      <c r="O177" s="1" t="str"/>
      <c r="P177" s="1" t="str"/>
      <c r="Q177" s="1" t="str"/>
      <c r="R177" s="1">
        <f>IF(H177="Sí",1,0)</f>
        <v/>
      </c>
      <c r="S177" s="1">
        <f>IF(L177="En coordinación",1,0)</f>
        <v/>
      </c>
      <c r="T177" s="1">
        <f>IF(L177="Aceptada",1,0)</f>
        <v/>
      </c>
      <c r="U177" s="1">
        <f>IF(OR(L177="Realizada completa",L177="Realizada incompleta"),1,0)</f>
        <v/>
      </c>
      <c r="V177" s="1">
        <f>IF(L177="Sin respuesta",1,0)</f>
        <v/>
      </c>
    </row>
    <row r="178">
      <c r="A178" s="1" t="inlineStr">
        <is>
          <t>177</t>
        </is>
      </c>
      <c r="B178" s="1" t="inlineStr">
        <is>
          <t>Lucy Emilia Chaupis Valverde</t>
        </is>
      </c>
      <c r="C178" s="1" t="inlineStr">
        <is>
          <t>Centros de Emergencia Mujer</t>
        </is>
      </c>
      <c r="D178" s="1" t="inlineStr">
        <is>
          <t>Entrevista de actores clave</t>
        </is>
      </c>
      <c r="E178" s="1" t="inlineStr">
        <is>
          <t>Acompañantes</t>
        </is>
      </c>
      <c r="F178" s="1" t="inlineStr">
        <is>
          <t>Distrito Judicial: Ucayali</t>
        </is>
      </c>
      <c r="G178" s="1" t="inlineStr">
        <is>
          <t>IJM</t>
        </is>
      </c>
      <c r="H178" s="1" t="inlineStr">
        <is>
          <t>No</t>
        </is>
      </c>
      <c r="I178" s="2" t="str"/>
      <c r="J178" s="2" t="str"/>
      <c r="K178" s="2" t="str"/>
      <c r="L178" s="1" t="str"/>
      <c r="M178" s="2" t="str"/>
      <c r="N178" s="2" t="str"/>
      <c r="O178" s="1" t="str"/>
      <c r="P178" s="1" t="str"/>
      <c r="Q178" s="1" t="str"/>
      <c r="R178" s="1">
        <f>IF(H178="Sí",1,0)</f>
        <v/>
      </c>
      <c r="S178" s="1">
        <f>IF(L178="En coordinación",1,0)</f>
        <v/>
      </c>
      <c r="T178" s="1">
        <f>IF(L178="Aceptada",1,0)</f>
        <v/>
      </c>
      <c r="U178" s="1">
        <f>IF(OR(L178="Realizada completa",L178="Realizada incompleta"),1,0)</f>
        <v/>
      </c>
      <c r="V178" s="1">
        <f>IF(L178="Sin respuesta",1,0)</f>
        <v/>
      </c>
    </row>
    <row r="179">
      <c r="A179" s="1" t="inlineStr">
        <is>
          <t>178</t>
        </is>
      </c>
      <c r="B179" s="1" t="inlineStr">
        <is>
          <t>Freddy Héctor Mallqui Basilio</t>
        </is>
      </c>
      <c r="C179" s="1" t="inlineStr">
        <is>
          <t>Centros de Emergencia Mujer</t>
        </is>
      </c>
      <c r="D179" s="1" t="inlineStr">
        <is>
          <t>Entrevista de actores clave</t>
        </is>
      </c>
      <c r="E179" s="1" t="inlineStr">
        <is>
          <t>Acompañantes</t>
        </is>
      </c>
      <c r="F179" s="1" t="inlineStr">
        <is>
          <t>Distrito Judicial: Huánuco</t>
        </is>
      </c>
      <c r="G179" s="1" t="inlineStr">
        <is>
          <t>IJM</t>
        </is>
      </c>
      <c r="H179" s="1" t="inlineStr">
        <is>
          <t>No</t>
        </is>
      </c>
      <c r="I179" s="2" t="str"/>
      <c r="J179" s="2" t="str"/>
      <c r="K179" s="2" t="str"/>
      <c r="L179" s="1" t="str"/>
      <c r="M179" s="2" t="str"/>
      <c r="N179" s="2" t="str"/>
      <c r="O179" s="1" t="str"/>
      <c r="P179" s="1" t="str"/>
      <c r="Q179" s="1" t="str"/>
      <c r="R179" s="1">
        <f>IF(H179="Sí",1,0)</f>
        <v/>
      </c>
      <c r="S179" s="1">
        <f>IF(L179="En coordinación",1,0)</f>
        <v/>
      </c>
      <c r="T179" s="1">
        <f>IF(L179="Aceptada",1,0)</f>
        <v/>
      </c>
      <c r="U179" s="1">
        <f>IF(OR(L179="Realizada completa",L179="Realizada incompleta"),1,0)</f>
        <v/>
      </c>
      <c r="V179" s="1">
        <f>IF(L179="Sin respuesta",1,0)</f>
        <v/>
      </c>
    </row>
    <row r="180">
      <c r="A180" s="1" t="inlineStr">
        <is>
          <t>179</t>
        </is>
      </c>
      <c r="B180" s="1" t="inlineStr">
        <is>
          <t>Karin Rosario Crispín Sotelo</t>
        </is>
      </c>
      <c r="C180" s="1" t="inlineStr">
        <is>
          <t>Centros de Emergencia Mujer</t>
        </is>
      </c>
      <c r="D180" s="1" t="inlineStr">
        <is>
          <t>Entrevista de actores clave</t>
        </is>
      </c>
      <c r="E180" s="1" t="inlineStr">
        <is>
          <t>Acompañantes</t>
        </is>
      </c>
      <c r="F180" s="1" t="inlineStr">
        <is>
          <t>Distrito Judicial: Huánuco</t>
        </is>
      </c>
      <c r="G180" s="1" t="inlineStr">
        <is>
          <t>IJM</t>
        </is>
      </c>
      <c r="H180" s="1" t="inlineStr">
        <is>
          <t>No</t>
        </is>
      </c>
      <c r="I180" s="2" t="str"/>
      <c r="J180" s="2" t="str"/>
      <c r="K180" s="2" t="str"/>
      <c r="L180" s="1" t="str"/>
      <c r="M180" s="2" t="str"/>
      <c r="N180" s="2" t="str"/>
      <c r="O180" s="1" t="str"/>
      <c r="P180" s="1" t="str"/>
      <c r="Q180" s="1" t="str"/>
      <c r="R180" s="1">
        <f>IF(H180="Sí",1,0)</f>
        <v/>
      </c>
      <c r="S180" s="1">
        <f>IF(L180="En coordinación",1,0)</f>
        <v/>
      </c>
      <c r="T180" s="1">
        <f>IF(L180="Aceptada",1,0)</f>
        <v/>
      </c>
      <c r="U180" s="1">
        <f>IF(OR(L180="Realizada completa",L180="Realizada incompleta"),1,0)</f>
        <v/>
      </c>
      <c r="V180" s="1">
        <f>IF(L180="Sin respuesta",1,0)</f>
        <v/>
      </c>
    </row>
    <row r="181">
      <c r="A181" s="1" t="inlineStr">
        <is>
          <t>180</t>
        </is>
      </c>
      <c r="B181" s="1" t="inlineStr">
        <is>
          <t>Yuli Jaime De La Cruz</t>
        </is>
      </c>
      <c r="C181" s="1" t="inlineStr">
        <is>
          <t>Centros de Emergencia Mujer</t>
        </is>
      </c>
      <c r="D181" s="1" t="inlineStr">
        <is>
          <t>Entrevista de actores clave</t>
        </is>
      </c>
      <c r="E181" s="1" t="inlineStr">
        <is>
          <t>Acompañantes</t>
        </is>
      </c>
      <c r="F181" s="1" t="inlineStr">
        <is>
          <t>Distrito Judicial: Ayacucho</t>
        </is>
      </c>
      <c r="G181" s="1" t="inlineStr">
        <is>
          <t>IJM</t>
        </is>
      </c>
      <c r="H181" s="1" t="inlineStr">
        <is>
          <t>No</t>
        </is>
      </c>
      <c r="I181" s="2" t="str"/>
      <c r="J181" s="2" t="str"/>
      <c r="K181" s="2" t="str"/>
      <c r="L181" s="1" t="str"/>
      <c r="M181" s="2" t="str"/>
      <c r="N181" s="2" t="str"/>
      <c r="O181" s="1" t="str"/>
      <c r="P181" s="1" t="str"/>
      <c r="Q181" s="1" t="str"/>
      <c r="R181" s="1">
        <f>IF(H181="Sí",1,0)</f>
        <v/>
      </c>
      <c r="S181" s="1">
        <f>IF(L181="En coordinación",1,0)</f>
        <v/>
      </c>
      <c r="T181" s="1">
        <f>IF(L181="Aceptada",1,0)</f>
        <v/>
      </c>
      <c r="U181" s="1">
        <f>IF(OR(L181="Realizada completa",L181="Realizada incompleta"),1,0)</f>
        <v/>
      </c>
      <c r="V181" s="1">
        <f>IF(L181="Sin respuesta",1,0)</f>
        <v/>
      </c>
    </row>
    <row r="182">
      <c r="A182" s="1" t="inlineStr">
        <is>
          <t>181</t>
        </is>
      </c>
      <c r="B182" s="1" t="inlineStr">
        <is>
          <t>Roxana Rojas Mendoza</t>
        </is>
      </c>
      <c r="C182" s="1" t="inlineStr">
        <is>
          <t>Centros de Emergencia Mujer</t>
        </is>
      </c>
      <c r="D182" s="1" t="inlineStr">
        <is>
          <t>Entrevista de actores clave</t>
        </is>
      </c>
      <c r="E182" s="1" t="inlineStr">
        <is>
          <t>Acompañantes</t>
        </is>
      </c>
      <c r="F182" s="1" t="inlineStr">
        <is>
          <t>Distrito Judicial: Ayacucho</t>
        </is>
      </c>
      <c r="G182" s="1" t="inlineStr">
        <is>
          <t>IJM</t>
        </is>
      </c>
      <c r="H182" s="1" t="inlineStr">
        <is>
          <t>No</t>
        </is>
      </c>
      <c r="I182" s="2" t="str"/>
      <c r="J182" s="2" t="str"/>
      <c r="K182" s="2" t="str"/>
      <c r="L182" s="1" t="str"/>
      <c r="M182" s="2" t="str"/>
      <c r="N182" s="2" t="str"/>
      <c r="O182" s="1" t="str"/>
      <c r="P182" s="1" t="str"/>
      <c r="Q182" s="1" t="str"/>
      <c r="R182" s="1">
        <f>IF(H182="Sí",1,0)</f>
        <v/>
      </c>
      <c r="S182" s="1">
        <f>IF(L182="En coordinación",1,0)</f>
        <v/>
      </c>
      <c r="T182" s="1">
        <f>IF(L182="Aceptada",1,0)</f>
        <v/>
      </c>
      <c r="U182" s="1">
        <f>IF(OR(L182="Realizada completa",L182="Realizada incompleta"),1,0)</f>
        <v/>
      </c>
      <c r="V182" s="1">
        <f>IF(L182="Sin respuesta",1,0)</f>
        <v/>
      </c>
    </row>
    <row r="183">
      <c r="A183" s="1" t="inlineStr">
        <is>
          <t>182</t>
        </is>
      </c>
      <c r="B183" s="1" t="inlineStr">
        <is>
          <t>Felix Dulio Sobrado Chavez</t>
        </is>
      </c>
      <c r="C183" s="1" t="inlineStr">
        <is>
          <t>Centros de Emergencia Mujer</t>
        </is>
      </c>
      <c r="D183" s="1" t="inlineStr">
        <is>
          <t>Entrevista de actores clave</t>
        </is>
      </c>
      <c r="E183" s="1" t="inlineStr">
        <is>
          <t>Acompañantes</t>
        </is>
      </c>
      <c r="F183" s="1" t="inlineStr">
        <is>
          <t>Distrito Judicial: Ayacucho</t>
        </is>
      </c>
      <c r="G183" s="1" t="inlineStr">
        <is>
          <t>IJM</t>
        </is>
      </c>
      <c r="H183" s="1" t="inlineStr">
        <is>
          <t>No</t>
        </is>
      </c>
      <c r="I183" s="2" t="str"/>
      <c r="J183" s="2" t="str"/>
      <c r="K183" s="2" t="str"/>
      <c r="L183" s="1" t="str"/>
      <c r="M183" s="2" t="str"/>
      <c r="N183" s="2" t="str"/>
      <c r="O183" s="1" t="str"/>
      <c r="P183" s="1" t="str"/>
      <c r="Q183" s="1" t="str"/>
      <c r="R183" s="1">
        <f>IF(H183="Sí",1,0)</f>
        <v/>
      </c>
      <c r="S183" s="1">
        <f>IF(L183="En coordinación",1,0)</f>
        <v/>
      </c>
      <c r="T183" s="1">
        <f>IF(L183="Aceptada",1,0)</f>
        <v/>
      </c>
      <c r="U183" s="1">
        <f>IF(OR(L183="Realizada completa",L183="Realizada incompleta"),1,0)</f>
        <v/>
      </c>
      <c r="V183" s="1">
        <f>IF(L183="Sin respuesta",1,0)</f>
        <v/>
      </c>
    </row>
    <row r="184">
      <c r="A184" s="1" t="inlineStr">
        <is>
          <t>183</t>
        </is>
      </c>
      <c r="B184" s="1" t="inlineStr">
        <is>
          <t>Deysi Luz Flores Huamán</t>
        </is>
      </c>
      <c r="C184" s="1" t="inlineStr">
        <is>
          <t>Centros de Emergencia Mujer</t>
        </is>
      </c>
      <c r="D184" s="1" t="inlineStr">
        <is>
          <t>Entrevista de actores clave</t>
        </is>
      </c>
      <c r="E184" s="1" t="inlineStr">
        <is>
          <t>Acompañantes</t>
        </is>
      </c>
      <c r="F184" s="1" t="inlineStr">
        <is>
          <t>Distrito Judicial: Cajamarca</t>
        </is>
      </c>
      <c r="G184" s="1" t="inlineStr">
        <is>
          <t>IJM</t>
        </is>
      </c>
      <c r="H184" s="1" t="inlineStr">
        <is>
          <t>No</t>
        </is>
      </c>
      <c r="I184" s="2" t="str"/>
      <c r="J184" s="2" t="str"/>
      <c r="K184" s="2" t="str"/>
      <c r="L184" s="1" t="str"/>
      <c r="M184" s="2" t="str"/>
      <c r="N184" s="2" t="str"/>
      <c r="O184" s="1" t="str"/>
      <c r="P184" s="1" t="str"/>
      <c r="Q184" s="1" t="str"/>
      <c r="R184" s="1">
        <f>IF(H184="Sí",1,0)</f>
        <v/>
      </c>
      <c r="S184" s="1">
        <f>IF(L184="En coordinación",1,0)</f>
        <v/>
      </c>
      <c r="T184" s="1">
        <f>IF(L184="Aceptada",1,0)</f>
        <v/>
      </c>
      <c r="U184" s="1">
        <f>IF(OR(L184="Realizada completa",L184="Realizada incompleta"),1,0)</f>
        <v/>
      </c>
      <c r="V184" s="1">
        <f>IF(L184="Sin respuesta",1,0)</f>
        <v/>
      </c>
    </row>
    <row r="185">
      <c r="A185" s="1" t="inlineStr">
        <is>
          <t>184</t>
        </is>
      </c>
      <c r="B185" s="1" t="inlineStr">
        <is>
          <t>Carmen Dora Martínez Del Aguila</t>
        </is>
      </c>
      <c r="C185" s="1" t="inlineStr">
        <is>
          <t>Centros de Emergencia Mujer</t>
        </is>
      </c>
      <c r="D185" s="1" t="inlineStr">
        <is>
          <t>Entrevista de actores clave</t>
        </is>
      </c>
      <c r="E185" s="1" t="inlineStr">
        <is>
          <t>Acompañantes</t>
        </is>
      </c>
      <c r="F185" s="1" t="inlineStr">
        <is>
          <t>Distrito Judicial: Cajamarca</t>
        </is>
      </c>
      <c r="G185" s="1" t="inlineStr">
        <is>
          <t>IJM</t>
        </is>
      </c>
      <c r="H185" s="1" t="inlineStr">
        <is>
          <t>No</t>
        </is>
      </c>
      <c r="I185" s="2" t="str"/>
      <c r="J185" s="2" t="str"/>
      <c r="K185" s="2" t="str"/>
      <c r="L185" s="1" t="str"/>
      <c r="M185" s="2" t="str"/>
      <c r="N185" s="2" t="str"/>
      <c r="O185" s="1" t="str"/>
      <c r="P185" s="1" t="str"/>
      <c r="Q185" s="1" t="str"/>
      <c r="R185" s="1">
        <f>IF(H185="Sí",1,0)</f>
        <v/>
      </c>
      <c r="S185" s="1">
        <f>IF(L185="En coordinación",1,0)</f>
        <v/>
      </c>
      <c r="T185" s="1">
        <f>IF(L185="Aceptada",1,0)</f>
        <v/>
      </c>
      <c r="U185" s="1">
        <f>IF(OR(L185="Realizada completa",L185="Realizada incompleta"),1,0)</f>
        <v/>
      </c>
      <c r="V185" s="1">
        <f>IF(L185="Sin respuesta",1,0)</f>
        <v/>
      </c>
    </row>
    <row r="186">
      <c r="A186" s="1" t="inlineStr">
        <is>
          <t>185</t>
        </is>
      </c>
      <c r="B186" s="1" t="inlineStr">
        <is>
          <t>Silvio Mestanza Dominguez</t>
        </is>
      </c>
      <c r="C186" s="1" t="inlineStr">
        <is>
          <t>Centros de Emergencia Mujer</t>
        </is>
      </c>
      <c r="D186" s="1" t="inlineStr">
        <is>
          <t>Entrevista de actores clave</t>
        </is>
      </c>
      <c r="E186" s="1" t="inlineStr">
        <is>
          <t>Funcionarios del Sistema</t>
        </is>
      </c>
      <c r="F186" s="1" t="inlineStr">
        <is>
          <t>Distrito Judicial: Cajamarca</t>
        </is>
      </c>
      <c r="G186" s="1" t="inlineStr">
        <is>
          <t>IJM</t>
        </is>
      </c>
      <c r="H186" s="1" t="inlineStr">
        <is>
          <t>Sí</t>
        </is>
      </c>
      <c r="I186" s="2" t="inlineStr">
        <is>
          <t xml:space="preserve">  5/5/2026</t>
        </is>
      </c>
      <c r="J186" s="2" t="inlineStr">
        <is>
          <t xml:space="preserve"> 5/22/2026</t>
        </is>
      </c>
      <c r="K186" s="2" t="str"/>
      <c r="L186" s="1" t="inlineStr">
        <is>
          <t>Sin respuesta</t>
        </is>
      </c>
      <c r="M186" s="2" t="str"/>
      <c r="N186" s="2" t="str"/>
      <c r="O186" s="1" t="inlineStr">
        <is>
          <t>Sin respuesta</t>
        </is>
      </c>
      <c r="P186" s="1" t="str"/>
      <c r="Q186" s="1" t="str"/>
      <c r="R186" s="1">
        <f>IF(H186="Sí",1,0)</f>
        <v/>
      </c>
      <c r="S186" s="1">
        <f>IF(L186="En coordinación",1,0)</f>
        <v/>
      </c>
      <c r="T186" s="1">
        <f>IF(L186="Aceptada",1,0)</f>
        <v/>
      </c>
      <c r="U186" s="1">
        <f>IF(OR(L186="Realizada completa",L186="Realizada incompleta"),1,0)</f>
        <v/>
      </c>
      <c r="V186" s="1">
        <f>IF(L186="Sin respuesta",1,0)</f>
        <v/>
      </c>
    </row>
    <row r="187">
      <c r="A187" s="1" t="inlineStr">
        <is>
          <t>186</t>
        </is>
      </c>
      <c r="B187" s="1" t="inlineStr">
        <is>
          <t xml:space="preserve"> Jose Miguel Chavez Montero</t>
        </is>
      </c>
      <c r="C187" s="1" t="inlineStr">
        <is>
          <t>Centros de Emergencia Mujer</t>
        </is>
      </c>
      <c r="D187" s="1" t="inlineStr">
        <is>
          <t>Entrevista de actores clave</t>
        </is>
      </c>
      <c r="E187" s="1" t="inlineStr">
        <is>
          <t>Funcionarios del Sistema</t>
        </is>
      </c>
      <c r="F187" s="1" t="inlineStr">
        <is>
          <t>Nacional</t>
        </is>
      </c>
      <c r="G187" s="1" t="inlineStr">
        <is>
          <t>IJM</t>
        </is>
      </c>
      <c r="H187" s="1" t="inlineStr">
        <is>
          <t>Sí</t>
        </is>
      </c>
      <c r="I187" s="2" t="inlineStr">
        <is>
          <t xml:space="preserve">  5/5/2026</t>
        </is>
      </c>
      <c r="J187" s="2" t="str"/>
      <c r="K187" s="2" t="str"/>
      <c r="L187" s="1" t="inlineStr">
        <is>
          <t>Sin respuesta</t>
        </is>
      </c>
      <c r="M187" s="2" t="str"/>
      <c r="N187" s="2" t="str"/>
      <c r="O187" s="1" t="inlineStr">
        <is>
          <t>Sin respuesta</t>
        </is>
      </c>
      <c r="P187" s="1" t="str"/>
      <c r="Q187" s="1" t="str"/>
      <c r="R187" s="1">
        <f>IF(H187="Sí",1,0)</f>
        <v/>
      </c>
      <c r="S187" s="1">
        <f>IF(L187="En coordinación",1,0)</f>
        <v/>
      </c>
      <c r="T187" s="1">
        <f>IF(L187="Aceptada",1,0)</f>
        <v/>
      </c>
      <c r="U187" s="1">
        <f>IF(OR(L187="Realizada completa",L187="Realizada incompleta"),1,0)</f>
        <v/>
      </c>
      <c r="V187" s="1">
        <f>IF(L187="Sin respuesta",1,0)</f>
        <v/>
      </c>
    </row>
    <row r="188">
      <c r="A188" s="1" t="inlineStr">
        <is>
          <t>187</t>
        </is>
      </c>
      <c r="B188" s="1" t="inlineStr">
        <is>
          <t>Yamille Llona Pinillos</t>
        </is>
      </c>
      <c r="C188" s="1" t="inlineStr">
        <is>
          <t>Centros de Emergencia Mujer</t>
        </is>
      </c>
      <c r="D188" s="1" t="inlineStr">
        <is>
          <t>Entrevista de actores clave</t>
        </is>
      </c>
      <c r="E188" s="1" t="inlineStr">
        <is>
          <t>Funcionarios del Sistema</t>
        </is>
      </c>
      <c r="F188" s="1" t="inlineStr">
        <is>
          <t>Distrito Judicial: Puente Piedra-Ventanilla</t>
        </is>
      </c>
      <c r="G188" s="1" t="inlineStr">
        <is>
          <t>IJM</t>
        </is>
      </c>
      <c r="H188" s="1" t="inlineStr">
        <is>
          <t>Sí</t>
        </is>
      </c>
      <c r="I188" s="2" t="inlineStr">
        <is>
          <t xml:space="preserve">  5/5/2026</t>
        </is>
      </c>
      <c r="J188" s="2" t="str"/>
      <c r="K188" s="2" t="str"/>
      <c r="L188" s="1" t="inlineStr">
        <is>
          <t>Sin respuesta</t>
        </is>
      </c>
      <c r="M188" s="2" t="str"/>
      <c r="N188" s="2" t="str"/>
      <c r="O188" s="1" t="inlineStr">
        <is>
          <t>Sin respuesta</t>
        </is>
      </c>
      <c r="P188" s="1" t="str"/>
      <c r="Q188" s="1" t="str"/>
      <c r="R188" s="1">
        <f>IF(H188="Sí",1,0)</f>
        <v/>
      </c>
      <c r="S188" s="1">
        <f>IF(L188="En coordinación",1,0)</f>
        <v/>
      </c>
      <c r="T188" s="1">
        <f>IF(L188="Aceptada",1,0)</f>
        <v/>
      </c>
      <c r="U188" s="1">
        <f>IF(OR(L188="Realizada completa",L188="Realizada incompleta"),1,0)</f>
        <v/>
      </c>
      <c r="V188" s="1">
        <f>IF(L188="Sin respuesta",1,0)</f>
        <v/>
      </c>
    </row>
    <row r="189">
      <c r="A189" s="1" t="inlineStr">
        <is>
          <t>188</t>
        </is>
      </c>
      <c r="B189" s="1" t="inlineStr">
        <is>
          <t>Felipe Vara Marquez</t>
        </is>
      </c>
      <c r="C189" s="1" t="inlineStr">
        <is>
          <t>Centros de Emergencia Mujer</t>
        </is>
      </c>
      <c r="D189" s="1" t="inlineStr">
        <is>
          <t>Entrevista de actores clave</t>
        </is>
      </c>
      <c r="E189" s="1" t="inlineStr">
        <is>
          <t>Funcionarios del Sistema</t>
        </is>
      </c>
      <c r="F189" s="1" t="inlineStr">
        <is>
          <t>Nacional</t>
        </is>
      </c>
      <c r="G189" s="1" t="inlineStr">
        <is>
          <t>IJM</t>
        </is>
      </c>
      <c r="H189" s="1" t="inlineStr">
        <is>
          <t>Sí</t>
        </is>
      </c>
      <c r="I189" s="2" t="inlineStr">
        <is>
          <t xml:space="preserve">  5/5/2026</t>
        </is>
      </c>
      <c r="J189" s="2" t="str"/>
      <c r="K189" s="2" t="str"/>
      <c r="L189" s="1" t="inlineStr">
        <is>
          <t>Sin respuesta</t>
        </is>
      </c>
      <c r="M189" s="2" t="str"/>
      <c r="N189" s="2" t="str"/>
      <c r="O189" s="1" t="inlineStr">
        <is>
          <t>Sin respuesta</t>
        </is>
      </c>
      <c r="P189" s="1" t="str"/>
      <c r="Q189" s="1" t="str"/>
      <c r="R189" s="1">
        <f>IF(H189="Sí",1,0)</f>
        <v/>
      </c>
      <c r="S189" s="1">
        <f>IF(L189="En coordinación",1,0)</f>
        <v/>
      </c>
      <c r="T189" s="1">
        <f>IF(L189="Aceptada",1,0)</f>
        <v/>
      </c>
      <c r="U189" s="1">
        <f>IF(OR(L189="Realizada completa",L189="Realizada incompleta"),1,0)</f>
        <v/>
      </c>
      <c r="V189" s="1">
        <f>IF(L189="Sin respuesta",1,0)</f>
        <v/>
      </c>
    </row>
    <row r="190">
      <c r="A190" s="1" t="inlineStr">
        <is>
          <t>189</t>
        </is>
      </c>
      <c r="B190" s="1" t="inlineStr">
        <is>
          <t>Yrma Eloisa Pezo Diaz</t>
        </is>
      </c>
      <c r="C190" s="1" t="inlineStr">
        <is>
          <t>Centros de Emergencia Mujer</t>
        </is>
      </c>
      <c r="D190" s="1" t="inlineStr">
        <is>
          <t>Entrevista de actores clave</t>
        </is>
      </c>
      <c r="E190" s="1" t="inlineStr">
        <is>
          <t>Funcionarios del Sistema</t>
        </is>
      </c>
      <c r="F190" s="1" t="inlineStr">
        <is>
          <t>Nacional</t>
        </is>
      </c>
      <c r="G190" s="1" t="inlineStr">
        <is>
          <t>IJM</t>
        </is>
      </c>
      <c r="H190" s="1" t="inlineStr">
        <is>
          <t>Sí</t>
        </is>
      </c>
      <c r="I190" s="2" t="inlineStr">
        <is>
          <t xml:space="preserve">  5/5/2026</t>
        </is>
      </c>
      <c r="J190" s="2" t="str"/>
      <c r="K190" s="2" t="str"/>
      <c r="L190" s="1" t="inlineStr">
        <is>
          <t>Sin respuesta</t>
        </is>
      </c>
      <c r="M190" s="2" t="str"/>
      <c r="N190" s="2" t="str"/>
      <c r="O190" s="1" t="inlineStr">
        <is>
          <t>Sin respuesta</t>
        </is>
      </c>
      <c r="P190" s="1" t="str"/>
      <c r="Q190" s="1" t="str"/>
      <c r="R190" s="1">
        <f>IF(H190="Sí",1,0)</f>
        <v/>
      </c>
      <c r="S190" s="1">
        <f>IF(L190="En coordinación",1,0)</f>
        <v/>
      </c>
      <c r="T190" s="1">
        <f>IF(L190="Aceptada",1,0)</f>
        <v/>
      </c>
      <c r="U190" s="1">
        <f>IF(OR(L190="Realizada completa",L190="Realizada incompleta"),1,0)</f>
        <v/>
      </c>
      <c r="V190" s="1">
        <f>IF(L190="Sin respuesta",1,0)</f>
        <v/>
      </c>
    </row>
    <row r="191">
      <c r="A191" s="1" t="inlineStr">
        <is>
          <t>190</t>
        </is>
      </c>
      <c r="B191" s="1" t="inlineStr">
        <is>
          <t>Mary Isabel Zavala Julca</t>
        </is>
      </c>
      <c r="C191" s="1" t="inlineStr">
        <is>
          <t>Centros de Emergencia Mujer</t>
        </is>
      </c>
      <c r="D191" s="1" t="inlineStr">
        <is>
          <t>Entrevista de actores clave</t>
        </is>
      </c>
      <c r="E191" s="1" t="inlineStr">
        <is>
          <t>Funcionarios del Sistema</t>
        </is>
      </c>
      <c r="F191" s="1" t="inlineStr">
        <is>
          <t>Nacional</t>
        </is>
      </c>
      <c r="G191" s="1" t="inlineStr">
        <is>
          <t>IJM</t>
        </is>
      </c>
      <c r="H191" s="1" t="inlineStr">
        <is>
          <t>Sí</t>
        </is>
      </c>
      <c r="I191" s="2" t="inlineStr">
        <is>
          <t xml:space="preserve">  5/5/2026</t>
        </is>
      </c>
      <c r="J191" s="2" t="str"/>
      <c r="K191" s="2" t="str"/>
      <c r="L191" s="1" t="inlineStr">
        <is>
          <t>Sin respuesta</t>
        </is>
      </c>
      <c r="M191" s="2" t="str"/>
      <c r="N191" s="2" t="str"/>
      <c r="O191" s="1" t="inlineStr">
        <is>
          <t>Sin respuesta</t>
        </is>
      </c>
      <c r="P191" s="1" t="str"/>
      <c r="Q191" s="1" t="str"/>
      <c r="R191" s="1">
        <f>IF(H191="Sí",1,0)</f>
        <v/>
      </c>
      <c r="S191" s="1">
        <f>IF(L191="En coordinación",1,0)</f>
        <v/>
      </c>
      <c r="T191" s="1">
        <f>IF(L191="Aceptada",1,0)</f>
        <v/>
      </c>
      <c r="U191" s="1">
        <f>IF(OR(L191="Realizada completa",L191="Realizada incompleta"),1,0)</f>
        <v/>
      </c>
      <c r="V191" s="1">
        <f>IF(L191="Sin respuesta",1,0)</f>
        <v/>
      </c>
    </row>
    <row r="192">
      <c r="A192" s="1" t="inlineStr">
        <is>
          <t>191</t>
        </is>
      </c>
      <c r="B192" s="1" t="inlineStr">
        <is>
          <t>Elizabeth Malpartida Bonilla</t>
        </is>
      </c>
      <c r="C192" s="1" t="inlineStr">
        <is>
          <t>Centros de Emergencia Mujer</t>
        </is>
      </c>
      <c r="D192" s="1" t="inlineStr">
        <is>
          <t>Entrevista de actores clave</t>
        </is>
      </c>
      <c r="E192" s="1" t="inlineStr">
        <is>
          <t>Funcionarios del Sistema</t>
        </is>
      </c>
      <c r="F192" s="1" t="inlineStr">
        <is>
          <t>Nacional</t>
        </is>
      </c>
      <c r="G192" s="1" t="inlineStr">
        <is>
          <t>IJM</t>
        </is>
      </c>
      <c r="H192" s="1" t="inlineStr">
        <is>
          <t>Sí</t>
        </is>
      </c>
      <c r="I192" s="2" t="inlineStr">
        <is>
          <t xml:space="preserve">  5/5/2026</t>
        </is>
      </c>
      <c r="J192" s="2" t="str"/>
      <c r="K192" s="2" t="str"/>
      <c r="L192" s="1" t="inlineStr">
        <is>
          <t>Sin respuesta</t>
        </is>
      </c>
      <c r="M192" s="2" t="str"/>
      <c r="N192" s="2" t="str"/>
      <c r="O192" s="1" t="inlineStr">
        <is>
          <t>Sin respuesta</t>
        </is>
      </c>
      <c r="P192" s="1" t="str"/>
      <c r="Q192" s="1" t="str"/>
      <c r="R192" s="1">
        <f>IF(H192="Sí",1,0)</f>
        <v/>
      </c>
      <c r="S192" s="1">
        <f>IF(L192="En coordinación",1,0)</f>
        <v/>
      </c>
      <c r="T192" s="1">
        <f>IF(L192="Aceptada",1,0)</f>
        <v/>
      </c>
      <c r="U192" s="1">
        <f>IF(OR(L192="Realizada completa",L192="Realizada incompleta"),1,0)</f>
        <v/>
      </c>
      <c r="V192" s="1">
        <f>IF(L192="Sin respuesta",1,0)</f>
        <v/>
      </c>
    </row>
    <row r="193">
      <c r="A193" s="1" t="inlineStr">
        <is>
          <t>192</t>
        </is>
      </c>
      <c r="B193" s="1" t="inlineStr">
        <is>
          <t>Yhina Maribel Coaquira Huarilloclla</t>
        </is>
      </c>
      <c r="C193" s="1" t="inlineStr">
        <is>
          <t>Centros de Emergencia Mujer</t>
        </is>
      </c>
      <c r="D193" s="1" t="inlineStr">
        <is>
          <t>Entrevista de actores clave</t>
        </is>
      </c>
      <c r="E193" s="1" t="inlineStr">
        <is>
          <t>Funcionarios del Sistema</t>
        </is>
      </c>
      <c r="F193" s="1" t="inlineStr">
        <is>
          <t>Nacional</t>
        </is>
      </c>
      <c r="G193" s="1" t="inlineStr">
        <is>
          <t>IJM</t>
        </is>
      </c>
      <c r="H193" s="1" t="inlineStr">
        <is>
          <t>Sí</t>
        </is>
      </c>
      <c r="I193" s="2" t="inlineStr">
        <is>
          <t xml:space="preserve">  5/5/2026</t>
        </is>
      </c>
      <c r="J193" s="2" t="str"/>
      <c r="K193" s="2" t="str"/>
      <c r="L193" s="1" t="inlineStr">
        <is>
          <t>Sin respuesta</t>
        </is>
      </c>
      <c r="M193" s="2" t="str"/>
      <c r="N193" s="2" t="str"/>
      <c r="O193" s="1" t="inlineStr">
        <is>
          <t>Sin respuesta</t>
        </is>
      </c>
      <c r="P193" s="1" t="str"/>
      <c r="Q193" s="1" t="str"/>
      <c r="R193" s="1">
        <f>IF(H193="Sí",1,0)</f>
        <v/>
      </c>
      <c r="S193" s="1">
        <f>IF(L193="En coordinación",1,0)</f>
        <v/>
      </c>
      <c r="T193" s="1">
        <f>IF(L193="Aceptada",1,0)</f>
        <v/>
      </c>
      <c r="U193" s="1">
        <f>IF(OR(L193="Realizada completa",L193="Realizada incompleta"),1,0)</f>
        <v/>
      </c>
      <c r="V193" s="1">
        <f>IF(L193="Sin respuesta",1,0)</f>
        <v/>
      </c>
    </row>
    <row r="194">
      <c r="A194" s="1" t="inlineStr">
        <is>
          <t>193</t>
        </is>
      </c>
      <c r="B194" s="1" t="inlineStr">
        <is>
          <t>Rebeca Luna Asencios</t>
        </is>
      </c>
      <c r="C194" s="1" t="inlineStr">
        <is>
          <t>Centros de Emergencia Mujer</t>
        </is>
      </c>
      <c r="D194" s="1" t="inlineStr">
        <is>
          <t>Entrevista de actores clave</t>
        </is>
      </c>
      <c r="E194" s="1" t="inlineStr">
        <is>
          <t>Acompañantes</t>
        </is>
      </c>
      <c r="F194" s="1" t="inlineStr">
        <is>
          <t>Nacional</t>
        </is>
      </c>
      <c r="G194" s="1" t="inlineStr">
        <is>
          <t>IJM</t>
        </is>
      </c>
      <c r="H194" s="1" t="inlineStr">
        <is>
          <t>No</t>
        </is>
      </c>
      <c r="I194" s="2" t="str"/>
      <c r="J194" s="2" t="str"/>
      <c r="K194" s="2" t="str"/>
      <c r="L194" s="1" t="str"/>
      <c r="M194" s="2" t="str"/>
      <c r="N194" s="2" t="str"/>
      <c r="O194" s="1" t="str"/>
      <c r="P194" s="1" t="str"/>
      <c r="Q194" s="1" t="str"/>
      <c r="R194" s="1">
        <f>IF(H194="Sí",1,0)</f>
        <v/>
      </c>
      <c r="S194" s="1">
        <f>IF(L194="En coordinación",1,0)</f>
        <v/>
      </c>
      <c r="T194" s="1">
        <f>IF(L194="Aceptada",1,0)</f>
        <v/>
      </c>
      <c r="U194" s="1">
        <f>IF(OR(L194="Realizada completa",L194="Realizada incompleta"),1,0)</f>
        <v/>
      </c>
      <c r="V194" s="1">
        <f>IF(L194="Sin respuesta",1,0)</f>
        <v/>
      </c>
    </row>
    <row r="195">
      <c r="A195" s="1" t="inlineStr">
        <is>
          <t>194</t>
        </is>
      </c>
      <c r="B195" s="1" t="inlineStr">
        <is>
          <t>Frits Acosta Garcia</t>
        </is>
      </c>
      <c r="C195" s="1" t="inlineStr">
        <is>
          <t>Centros de Emergencia Mujer</t>
        </is>
      </c>
      <c r="D195" s="1" t="inlineStr">
        <is>
          <t>Entrevista de actores clave</t>
        </is>
      </c>
      <c r="E195" s="1" t="inlineStr">
        <is>
          <t>Acompañantes</t>
        </is>
      </c>
      <c r="F195" s="1" t="inlineStr">
        <is>
          <t>Nacional</t>
        </is>
      </c>
      <c r="G195" s="1" t="inlineStr">
        <is>
          <t>IJM</t>
        </is>
      </c>
      <c r="H195" s="1" t="inlineStr">
        <is>
          <t>No</t>
        </is>
      </c>
      <c r="I195" s="2" t="str"/>
      <c r="J195" s="2" t="str"/>
      <c r="K195" s="2" t="str"/>
      <c r="L195" s="1" t="str"/>
      <c r="M195" s="2" t="str"/>
      <c r="N195" s="2" t="str"/>
      <c r="O195" s="1" t="str"/>
      <c r="P195" s="1" t="str"/>
      <c r="Q195" s="1" t="str"/>
      <c r="R195" s="1">
        <f>IF(H195="Sí",1,0)</f>
        <v/>
      </c>
      <c r="S195" s="1">
        <f>IF(L195="En coordinación",1,0)</f>
        <v/>
      </c>
      <c r="T195" s="1">
        <f>IF(L195="Aceptada",1,0)</f>
        <v/>
      </c>
      <c r="U195" s="1">
        <f>IF(OR(L195="Realizada completa",L195="Realizada incompleta"),1,0)</f>
        <v/>
      </c>
      <c r="V195" s="1">
        <f>IF(L195="Sin respuesta",1,0)</f>
        <v/>
      </c>
    </row>
    <row r="196">
      <c r="A196" s="1" t="inlineStr">
        <is>
          <t>195</t>
        </is>
      </c>
      <c r="B196" s="1" t="inlineStr">
        <is>
          <t>Flor De Milagros Conopuma Lara</t>
        </is>
      </c>
      <c r="C196" s="1" t="inlineStr">
        <is>
          <t>Centros de Emergencia Mujer</t>
        </is>
      </c>
      <c r="D196" s="1" t="inlineStr">
        <is>
          <t>Entrevista de actores clave</t>
        </is>
      </c>
      <c r="E196" s="1" t="inlineStr">
        <is>
          <t>Acompañantes</t>
        </is>
      </c>
      <c r="F196" s="1" t="inlineStr">
        <is>
          <t>Distrito Judicial: Huánuco</t>
        </is>
      </c>
      <c r="G196" s="1" t="inlineStr">
        <is>
          <t>IJM</t>
        </is>
      </c>
      <c r="H196" s="1" t="inlineStr">
        <is>
          <t>No</t>
        </is>
      </c>
      <c r="I196" s="2" t="str"/>
      <c r="J196" s="2" t="str"/>
      <c r="K196" s="2" t="str"/>
      <c r="L196" s="1" t="str"/>
      <c r="M196" s="2" t="str"/>
      <c r="N196" s="2" t="str"/>
      <c r="O196" s="1" t="str"/>
      <c r="P196" s="1" t="str"/>
      <c r="Q196" s="1" t="str"/>
      <c r="R196" s="1">
        <f>IF(H196="Sí",1,0)</f>
        <v/>
      </c>
      <c r="S196" s="1">
        <f>IF(L196="En coordinación",1,0)</f>
        <v/>
      </c>
      <c r="T196" s="1">
        <f>IF(L196="Aceptada",1,0)</f>
        <v/>
      </c>
      <c r="U196" s="1">
        <f>IF(OR(L196="Realizada completa",L196="Realizada incompleta"),1,0)</f>
        <v/>
      </c>
      <c r="V196" s="1">
        <f>IF(L196="Sin respuesta",1,0)</f>
        <v/>
      </c>
    </row>
    <row r="197">
      <c r="A197" s="1" t="inlineStr">
        <is>
          <t>196</t>
        </is>
      </c>
      <c r="B197" s="1" t="inlineStr">
        <is>
          <t>Doris Elizabeth Rabanal Castañeda</t>
        </is>
      </c>
      <c r="C197" s="1" t="inlineStr">
        <is>
          <t>Centros de Emergencia Mujer</t>
        </is>
      </c>
      <c r="D197" s="1" t="inlineStr">
        <is>
          <t>Entrevista de actores clave</t>
        </is>
      </c>
      <c r="E197" s="1" t="inlineStr">
        <is>
          <t>Acompañantes</t>
        </is>
      </c>
      <c r="F197" s="1" t="inlineStr">
        <is>
          <t>Nacional</t>
        </is>
      </c>
      <c r="G197" s="1" t="inlineStr">
        <is>
          <t>IJM</t>
        </is>
      </c>
      <c r="H197" s="1" t="inlineStr">
        <is>
          <t>No</t>
        </is>
      </c>
      <c r="I197" s="2" t="str"/>
      <c r="J197" s="2" t="str"/>
      <c r="K197" s="2" t="str"/>
      <c r="L197" s="1" t="str"/>
      <c r="M197" s="2" t="str"/>
      <c r="N197" s="2" t="str"/>
      <c r="O197" s="1" t="str"/>
      <c r="P197" s="1" t="str"/>
      <c r="Q197" s="1" t="str"/>
      <c r="R197" s="1">
        <f>IF(H197="Sí",1,0)</f>
        <v/>
      </c>
      <c r="S197" s="1">
        <f>IF(L197="En coordinación",1,0)</f>
        <v/>
      </c>
      <c r="T197" s="1">
        <f>IF(L197="Aceptada",1,0)</f>
        <v/>
      </c>
      <c r="U197" s="1">
        <f>IF(OR(L197="Realizada completa",L197="Realizada incompleta"),1,0)</f>
        <v/>
      </c>
      <c r="V197" s="1">
        <f>IF(L197="Sin respuesta",1,0)</f>
        <v/>
      </c>
    </row>
    <row r="198">
      <c r="A198" s="1" t="inlineStr">
        <is>
          <t>197</t>
        </is>
      </c>
      <c r="B198" s="1" t="inlineStr">
        <is>
          <t>Aurora Lucila Castrejon Valdez</t>
        </is>
      </c>
      <c r="C198" s="1" t="inlineStr">
        <is>
          <t>Centros de Emergencia Mujer</t>
        </is>
      </c>
      <c r="D198" s="1" t="inlineStr">
        <is>
          <t>Entrevista de actores clave</t>
        </is>
      </c>
      <c r="E198" s="1" t="inlineStr">
        <is>
          <t>Acompañantes</t>
        </is>
      </c>
      <c r="F198" s="1" t="inlineStr">
        <is>
          <t>Distrito Judicial: Ucayali</t>
        </is>
      </c>
      <c r="G198" s="1" t="inlineStr">
        <is>
          <t>IJM</t>
        </is>
      </c>
      <c r="H198" s="1" t="inlineStr">
        <is>
          <t>No</t>
        </is>
      </c>
      <c r="I198" s="2" t="str"/>
      <c r="J198" s="2" t="str"/>
      <c r="K198" s="2" t="str"/>
      <c r="L198" s="1" t="str"/>
      <c r="M198" s="2" t="str"/>
      <c r="N198" s="2" t="str"/>
      <c r="O198" s="1" t="str"/>
      <c r="P198" s="1" t="str"/>
      <c r="Q198" s="1" t="str"/>
      <c r="R198" s="1">
        <f>IF(H198="Sí",1,0)</f>
        <v/>
      </c>
      <c r="S198" s="1">
        <f>IF(L198="En coordinación",1,0)</f>
        <v/>
      </c>
      <c r="T198" s="1">
        <f>IF(L198="Aceptada",1,0)</f>
        <v/>
      </c>
      <c r="U198" s="1">
        <f>IF(OR(L198="Realizada completa",L198="Realizada incompleta"),1,0)</f>
        <v/>
      </c>
      <c r="V198" s="1">
        <f>IF(L198="Sin respuesta",1,0)</f>
        <v/>
      </c>
    </row>
    <row r="199">
      <c r="A199" s="1" t="inlineStr">
        <is>
          <t>198</t>
        </is>
      </c>
      <c r="B199" s="1" t="inlineStr">
        <is>
          <t>Milagro Soledad Vallejos Castañeda</t>
        </is>
      </c>
      <c r="C199" s="1" t="inlineStr">
        <is>
          <t>Centros de Emergencia Mujer</t>
        </is>
      </c>
      <c r="D199" s="1" t="inlineStr">
        <is>
          <t>Entrevista de actores clave</t>
        </is>
      </c>
      <c r="E199" s="1" t="inlineStr">
        <is>
          <t>Acompañantes</t>
        </is>
      </c>
      <c r="F199" s="1" t="inlineStr">
        <is>
          <t>Nacional</t>
        </is>
      </c>
      <c r="G199" s="1" t="inlineStr">
        <is>
          <t>IJM</t>
        </is>
      </c>
      <c r="H199" s="1" t="inlineStr">
        <is>
          <t>No</t>
        </is>
      </c>
      <c r="I199" s="2" t="str"/>
      <c r="J199" s="2" t="str"/>
      <c r="K199" s="2" t="str"/>
      <c r="L199" s="1" t="str"/>
      <c r="M199" s="2" t="str"/>
      <c r="N199" s="2" t="str"/>
      <c r="O199" s="1" t="str"/>
      <c r="P199" s="1" t="str"/>
      <c r="Q199" s="1" t="str"/>
      <c r="R199" s="1">
        <f>IF(H199="Sí",1,0)</f>
        <v/>
      </c>
      <c r="S199" s="1">
        <f>IF(L199="En coordinación",1,0)</f>
        <v/>
      </c>
      <c r="T199" s="1">
        <f>IF(L199="Aceptada",1,0)</f>
        <v/>
      </c>
      <c r="U199" s="1">
        <f>IF(OR(L199="Realizada completa",L199="Realizada incompleta"),1,0)</f>
        <v/>
      </c>
      <c r="V199" s="1">
        <f>IF(L199="Sin respuesta",1,0)</f>
        <v/>
      </c>
    </row>
    <row r="200">
      <c r="A200" s="1" t="inlineStr">
        <is>
          <t>199</t>
        </is>
      </c>
      <c r="B200" s="1" t="inlineStr">
        <is>
          <t>Martin Ernesto Zambrano Chilon</t>
        </is>
      </c>
      <c r="C200" s="1" t="inlineStr">
        <is>
          <t>Centros de Emergencia Mujer</t>
        </is>
      </c>
      <c r="D200" s="1" t="inlineStr">
        <is>
          <t>Entrevista de actores clave</t>
        </is>
      </c>
      <c r="E200" s="1" t="inlineStr">
        <is>
          <t>Acompañantes</t>
        </is>
      </c>
      <c r="F200" s="1" t="inlineStr">
        <is>
          <t>Distrito Judicial: Apurímac</t>
        </is>
      </c>
      <c r="G200" s="1" t="inlineStr">
        <is>
          <t>IJM</t>
        </is>
      </c>
      <c r="H200" s="1" t="inlineStr">
        <is>
          <t>No</t>
        </is>
      </c>
      <c r="I200" s="2" t="str"/>
      <c r="J200" s="2" t="str"/>
      <c r="K200" s="2" t="str"/>
      <c r="L200" s="1" t="str"/>
      <c r="M200" s="2" t="str"/>
      <c r="N200" s="2" t="str"/>
      <c r="O200" s="1" t="str"/>
      <c r="P200" s="1" t="str"/>
      <c r="Q200" s="1" t="str"/>
      <c r="R200" s="1">
        <f>IF(H200="Sí",1,0)</f>
        <v/>
      </c>
      <c r="S200" s="1">
        <f>IF(L200="En coordinación",1,0)</f>
        <v/>
      </c>
      <c r="T200" s="1">
        <f>IF(L200="Aceptada",1,0)</f>
        <v/>
      </c>
      <c r="U200" s="1">
        <f>IF(OR(L200="Realizada completa",L200="Realizada incompleta"),1,0)</f>
        <v/>
      </c>
      <c r="V200" s="1">
        <f>IF(L200="Sin respuesta",1,0)</f>
        <v/>
      </c>
    </row>
    <row r="201">
      <c r="A201" s="1" t="inlineStr">
        <is>
          <t>200</t>
        </is>
      </c>
      <c r="B201" s="1" t="inlineStr">
        <is>
          <t>Mariela Gianinna Sebastiani Chavez</t>
        </is>
      </c>
      <c r="C201" s="1" t="inlineStr">
        <is>
          <t>Centros de Emergencia Mujer</t>
        </is>
      </c>
      <c r="D201" s="1" t="inlineStr">
        <is>
          <t>Entrevista de actores clave</t>
        </is>
      </c>
      <c r="E201" s="1" t="inlineStr">
        <is>
          <t>Acompañantes</t>
        </is>
      </c>
      <c r="F201" s="1" t="inlineStr">
        <is>
          <t>Distrito Judicial: Loreto</t>
        </is>
      </c>
      <c r="G201" s="1" t="inlineStr">
        <is>
          <t>IJM</t>
        </is>
      </c>
      <c r="H201" s="1" t="inlineStr">
        <is>
          <t>No</t>
        </is>
      </c>
      <c r="I201" s="2" t="str"/>
      <c r="J201" s="2" t="str"/>
      <c r="K201" s="2" t="str"/>
      <c r="L201" s="1" t="str"/>
      <c r="M201" s="2" t="str"/>
      <c r="N201" s="2" t="str"/>
      <c r="O201" s="1" t="str"/>
      <c r="P201" s="1" t="str"/>
      <c r="Q201" s="1" t="str"/>
      <c r="R201" s="1">
        <f>IF(H201="Sí",1,0)</f>
        <v/>
      </c>
      <c r="S201" s="1">
        <f>IF(L201="En coordinación",1,0)</f>
        <v/>
      </c>
      <c r="T201" s="1">
        <f>IF(L201="Aceptada",1,0)</f>
        <v/>
      </c>
      <c r="U201" s="1">
        <f>IF(OR(L201="Realizada completa",L201="Realizada incompleta"),1,0)</f>
        <v/>
      </c>
      <c r="V201" s="1">
        <f>IF(L201="Sin respuesta",1,0)</f>
        <v/>
      </c>
    </row>
    <row r="202">
      <c r="A202" s="1" t="inlineStr">
        <is>
          <t>201</t>
        </is>
      </c>
      <c r="B202" s="1" t="inlineStr">
        <is>
          <t>Janet Martha Gómez Huamán</t>
        </is>
      </c>
      <c r="C202" s="1" t="inlineStr">
        <is>
          <t>Centros de Emergencia Mujer</t>
        </is>
      </c>
      <c r="D202" s="1" t="inlineStr">
        <is>
          <t>Entrevista de actores clave</t>
        </is>
      </c>
      <c r="E202" s="1" t="inlineStr">
        <is>
          <t>Acompañantes</t>
        </is>
      </c>
      <c r="F202" s="1" t="inlineStr">
        <is>
          <t>Distrito Judicial: Cajamarca</t>
        </is>
      </c>
      <c r="G202" s="1" t="inlineStr">
        <is>
          <t>IJM</t>
        </is>
      </c>
      <c r="H202" s="1" t="inlineStr">
        <is>
          <t>No</t>
        </is>
      </c>
      <c r="I202" s="2" t="str"/>
      <c r="J202" s="2" t="str"/>
      <c r="K202" s="2" t="str"/>
      <c r="L202" s="1" t="str"/>
      <c r="M202" s="2" t="str"/>
      <c r="N202" s="2" t="str"/>
      <c r="O202" s="1" t="str"/>
      <c r="P202" s="1" t="str"/>
      <c r="Q202" s="1" t="str"/>
      <c r="R202" s="1">
        <f>IF(H202="Sí",1,0)</f>
        <v/>
      </c>
      <c r="S202" s="1">
        <f>IF(L202="En coordinación",1,0)</f>
        <v/>
      </c>
      <c r="T202" s="1">
        <f>IF(L202="Aceptada",1,0)</f>
        <v/>
      </c>
      <c r="U202" s="1">
        <f>IF(OR(L202="Realizada completa",L202="Realizada incompleta"),1,0)</f>
        <v/>
      </c>
      <c r="V202" s="1">
        <f>IF(L202="Sin respuesta",1,0)</f>
        <v/>
      </c>
    </row>
    <row r="203">
      <c r="A203" s="1" t="inlineStr">
        <is>
          <t>202</t>
        </is>
      </c>
      <c r="B203" s="1" t="inlineStr">
        <is>
          <t>Patricia Milagros Garrido Rengifo</t>
        </is>
      </c>
      <c r="C203" s="1" t="inlineStr">
        <is>
          <t>Aurora</t>
        </is>
      </c>
      <c r="D203" s="1" t="inlineStr">
        <is>
          <t>Entrevista de actores clave</t>
        </is>
      </c>
      <c r="E203" s="1" t="inlineStr">
        <is>
          <t>Acompañantes</t>
        </is>
      </c>
      <c r="F203" s="1" t="inlineStr">
        <is>
          <t>Nacional</t>
        </is>
      </c>
      <c r="G203" s="1" t="inlineStr">
        <is>
          <t>IJM</t>
        </is>
      </c>
      <c r="H203" s="1" t="inlineStr">
        <is>
          <t>No</t>
        </is>
      </c>
      <c r="I203" s="2" t="str"/>
      <c r="J203" s="2" t="str"/>
      <c r="K203" s="2" t="str"/>
      <c r="L203" s="1" t="str"/>
      <c r="M203" s="2" t="str"/>
      <c r="N203" s="2" t="str"/>
      <c r="O203" s="1" t="str"/>
      <c r="P203" s="1" t="str"/>
      <c r="Q203" s="1" t="str"/>
      <c r="R203" s="1">
        <f>IF(H203="Sí",1,0)</f>
        <v/>
      </c>
      <c r="S203" s="1">
        <f>IF(L203="En coordinación",1,0)</f>
        <v/>
      </c>
      <c r="T203" s="1">
        <f>IF(L203="Aceptada",1,0)</f>
        <v/>
      </c>
      <c r="U203" s="1">
        <f>IF(OR(L203="Realizada completa",L203="Realizada incompleta"),1,0)</f>
        <v/>
      </c>
      <c r="V203" s="1">
        <f>IF(L203="Sin respuesta",1,0)</f>
        <v/>
      </c>
    </row>
    <row r="204">
      <c r="A204" s="1" t="inlineStr">
        <is>
          <t>203</t>
        </is>
      </c>
      <c r="B204" s="1" t="inlineStr">
        <is>
          <t>Melchora Milagros Ríos García</t>
        </is>
      </c>
      <c r="C204" s="1" t="inlineStr">
        <is>
          <t>Aurora</t>
        </is>
      </c>
      <c r="D204" s="1" t="inlineStr">
        <is>
          <t>Entrevista de actores clave</t>
        </is>
      </c>
      <c r="E204" s="1" t="inlineStr">
        <is>
          <t>Funcionarios del Sistema</t>
        </is>
      </c>
      <c r="F204" s="1" t="inlineStr">
        <is>
          <t>Nacional</t>
        </is>
      </c>
      <c r="G204" s="1" t="inlineStr">
        <is>
          <t>IJM</t>
        </is>
      </c>
      <c r="H204" s="1" t="inlineStr">
        <is>
          <t>Sí</t>
        </is>
      </c>
      <c r="I204" s="2" t="inlineStr">
        <is>
          <t xml:space="preserve">  5/5/2026</t>
        </is>
      </c>
      <c r="J204" s="2" t="str"/>
      <c r="K204" s="2" t="str"/>
      <c r="L204" s="1" t="inlineStr">
        <is>
          <t>Sin respuesta</t>
        </is>
      </c>
      <c r="M204" s="2" t="str"/>
      <c r="N204" s="2" t="str"/>
      <c r="O204" s="1" t="inlineStr">
        <is>
          <t>Sin respuesta</t>
        </is>
      </c>
      <c r="P204" s="1" t="str"/>
      <c r="Q204" s="1" t="str"/>
      <c r="R204" s="1">
        <f>IF(H204="Sí",1,0)</f>
        <v/>
      </c>
      <c r="S204" s="1">
        <f>IF(L204="En coordinación",1,0)</f>
        <v/>
      </c>
      <c r="T204" s="1">
        <f>IF(L204="Aceptada",1,0)</f>
        <v/>
      </c>
      <c r="U204" s="1">
        <f>IF(OR(L204="Realizada completa",L204="Realizada incompleta"),1,0)</f>
        <v/>
      </c>
      <c r="V204" s="1">
        <f>IF(L204="Sin respuesta",1,0)</f>
        <v/>
      </c>
    </row>
    <row r="205">
      <c r="A205" s="1" t="inlineStr">
        <is>
          <t>204</t>
        </is>
      </c>
      <c r="B205" s="1" t="inlineStr">
        <is>
          <t>Laura Agama Fernández</t>
        </is>
      </c>
      <c r="C205" s="1" t="inlineStr">
        <is>
          <t>Aurora</t>
        </is>
      </c>
      <c r="D205" s="1" t="inlineStr">
        <is>
          <t>Entrevista de actores clave</t>
        </is>
      </c>
      <c r="E205" s="1" t="inlineStr">
        <is>
          <t>Funcionarios del Sistema</t>
        </is>
      </c>
      <c r="F205" s="1" t="inlineStr">
        <is>
          <t>Distrito Judicial: Lima Norte</t>
        </is>
      </c>
      <c r="G205" s="1" t="inlineStr">
        <is>
          <t>IJM</t>
        </is>
      </c>
      <c r="H205" s="1" t="inlineStr">
        <is>
          <t>Sí</t>
        </is>
      </c>
      <c r="I205" s="2" t="inlineStr">
        <is>
          <t xml:space="preserve">  5/5/2026</t>
        </is>
      </c>
      <c r="J205" s="2" t="str"/>
      <c r="K205" s="2" t="str"/>
      <c r="L205" s="1" t="inlineStr">
        <is>
          <t>Sin respuesta</t>
        </is>
      </c>
      <c r="M205" s="2" t="str"/>
      <c r="N205" s="2" t="str"/>
      <c r="O205" s="1" t="inlineStr">
        <is>
          <t>Sin respuesta</t>
        </is>
      </c>
      <c r="P205" s="1" t="str"/>
      <c r="Q205" s="1" t="str"/>
      <c r="R205" s="1">
        <f>IF(H205="Sí",1,0)</f>
        <v/>
      </c>
      <c r="S205" s="1">
        <f>IF(L205="En coordinación",1,0)</f>
        <v/>
      </c>
      <c r="T205" s="1">
        <f>IF(L205="Aceptada",1,0)</f>
        <v/>
      </c>
      <c r="U205" s="1">
        <f>IF(OR(L205="Realizada completa",L205="Realizada incompleta"),1,0)</f>
        <v/>
      </c>
      <c r="V205" s="1">
        <f>IF(L205="Sin respuesta",1,0)</f>
        <v/>
      </c>
    </row>
    <row r="206">
      <c r="A206" s="1" t="inlineStr">
        <is>
          <t>205</t>
        </is>
      </c>
      <c r="B206" s="1" t="inlineStr">
        <is>
          <t>Gerardo Alfonso Marín Lopez</t>
        </is>
      </c>
      <c r="C206" s="1" t="inlineStr">
        <is>
          <t>Aurora</t>
        </is>
      </c>
      <c r="D206" s="1" t="inlineStr">
        <is>
          <t>Entrevista de actores clave</t>
        </is>
      </c>
      <c r="E206" s="1" t="inlineStr">
        <is>
          <t>Funcionarios del Sistema</t>
        </is>
      </c>
      <c r="F206" s="1" t="inlineStr">
        <is>
          <t>Nacional</t>
        </is>
      </c>
      <c r="G206" s="1" t="inlineStr">
        <is>
          <t>IJM</t>
        </is>
      </c>
      <c r="H206" s="1" t="inlineStr">
        <is>
          <t>Sí</t>
        </is>
      </c>
      <c r="I206" s="2" t="inlineStr">
        <is>
          <t xml:space="preserve">  5/5/2026</t>
        </is>
      </c>
      <c r="J206" s="2" t="str"/>
      <c r="K206" s="2" t="str"/>
      <c r="L206" s="1" t="inlineStr">
        <is>
          <t>Rechazada</t>
        </is>
      </c>
      <c r="M206" s="2" t="str"/>
      <c r="N206" s="2" t="str"/>
      <c r="O206" s="1" t="inlineStr">
        <is>
          <t>Rechazada</t>
        </is>
      </c>
      <c r="P206" s="1" t="str"/>
      <c r="Q206" s="1" t="str"/>
      <c r="R206" s="1">
        <f>IF(H206="Sí",1,0)</f>
        <v/>
      </c>
      <c r="S206" s="1">
        <f>IF(L206="En coordinación",1,0)</f>
        <v/>
      </c>
      <c r="T206" s="1">
        <f>IF(L206="Aceptada",1,0)</f>
        <v/>
      </c>
      <c r="U206" s="1">
        <f>IF(OR(L206="Realizada completa",L206="Realizada incompleta"),1,0)</f>
        <v/>
      </c>
      <c r="V206" s="1">
        <f>IF(L206="Sin respuesta",1,0)</f>
        <v/>
      </c>
    </row>
    <row r="207">
      <c r="A207" s="1" t="inlineStr">
        <is>
          <t>206</t>
        </is>
      </c>
      <c r="B207" s="1" t="inlineStr">
        <is>
          <t>Nelly Herrera Santos</t>
        </is>
      </c>
      <c r="C207" s="1" t="inlineStr">
        <is>
          <t>Centro Legal Comunitario María Trinidad Enriquez</t>
        </is>
      </c>
      <c r="D207" s="1" t="inlineStr">
        <is>
          <t>Entrevista de actores clave</t>
        </is>
      </c>
      <c r="E207" s="1" t="inlineStr">
        <is>
          <t>Acompañantes</t>
        </is>
      </c>
      <c r="F207" s="1" t="inlineStr">
        <is>
          <t>Nacional</t>
        </is>
      </c>
      <c r="G207" s="1" t="inlineStr">
        <is>
          <t>IJM</t>
        </is>
      </c>
      <c r="H207" s="1" t="inlineStr">
        <is>
          <t>Sí</t>
        </is>
      </c>
      <c r="I207" s="2" t="inlineStr">
        <is>
          <t xml:space="preserve"> 3/26/2026</t>
        </is>
      </c>
      <c r="J207" s="2" t="str"/>
      <c r="K207" s="2" t="str"/>
      <c r="L207" s="1" t="inlineStr">
        <is>
          <t>Aceptada</t>
        </is>
      </c>
      <c r="M207" s="2" t="str"/>
      <c r="N207" s="2" t="str"/>
      <c r="O207" s="1" t="inlineStr">
        <is>
          <t>Aceptada</t>
        </is>
      </c>
      <c r="P207" s="1" t="str"/>
      <c r="Q207" s="1" t="str"/>
      <c r="R207" s="1">
        <f>IF(H207="Sí",1,0)</f>
        <v/>
      </c>
      <c r="S207" s="1">
        <f>IF(L207="En coordinación",1,0)</f>
        <v/>
      </c>
      <c r="T207" s="1">
        <f>IF(L207="Aceptada",1,0)</f>
        <v/>
      </c>
      <c r="U207" s="1">
        <f>IF(OR(L207="Realizada completa",L207="Realizada incompleta"),1,0)</f>
        <v/>
      </c>
      <c r="V207" s="1">
        <f>IF(L207="Sin respuesta",1,0)</f>
        <v/>
      </c>
    </row>
    <row r="208">
      <c r="A208" s="1" t="inlineStr">
        <is>
          <t>207</t>
        </is>
      </c>
      <c r="B208" s="1" t="inlineStr">
        <is>
          <t>Por definir</t>
        </is>
      </c>
      <c r="C208" s="1" t="inlineStr">
        <is>
          <t>Acompañante Integral de Víctimas</t>
        </is>
      </c>
      <c r="D208" s="1" t="inlineStr">
        <is>
          <t>Entrevista de actores clave</t>
        </is>
      </c>
      <c r="E208" s="1" t="inlineStr">
        <is>
          <t>Acompañantes</t>
        </is>
      </c>
      <c r="F208" s="1" t="inlineStr">
        <is>
          <t>Nacional</t>
        </is>
      </c>
      <c r="G208" s="1" t="inlineStr">
        <is>
          <t>IJM</t>
        </is>
      </c>
      <c r="H208" s="1" t="inlineStr">
        <is>
          <t>No</t>
        </is>
      </c>
      <c r="I208" s="2" t="str"/>
      <c r="J208" s="2" t="str"/>
      <c r="K208" s="2" t="str"/>
      <c r="L208" s="1" t="str"/>
      <c r="M208" s="2" t="str"/>
      <c r="N208" s="2" t="str"/>
      <c r="O208" s="1" t="str"/>
      <c r="P208" s="1" t="str"/>
      <c r="Q208" s="1" t="str"/>
      <c r="R208" s="1">
        <f>IF(H208="Sí",1,0)</f>
        <v/>
      </c>
      <c r="S208" s="1">
        <f>IF(L208="En coordinación",1,0)</f>
        <v/>
      </c>
      <c r="T208" s="1">
        <f>IF(L208="Aceptada",1,0)</f>
        <v/>
      </c>
      <c r="U208" s="1">
        <f>IF(OR(L208="Realizada completa",L208="Realizada incompleta"),1,0)</f>
        <v/>
      </c>
      <c r="V208" s="1">
        <f>IF(L208="Sin respuesta",1,0)</f>
        <v/>
      </c>
    </row>
    <row r="209">
      <c r="A209" s="1" t="inlineStr">
        <is>
          <t>208</t>
        </is>
      </c>
      <c r="B209" s="1" t="inlineStr">
        <is>
          <t>Raquel Salcedo</t>
        </is>
      </c>
      <c r="C209" s="1" t="inlineStr">
        <is>
          <t>Red Nacional de Promoción de la Mujer – RNPM</t>
        </is>
      </c>
      <c r="D209" s="1" t="inlineStr">
        <is>
          <t>Entrevista de actores clave</t>
        </is>
      </c>
      <c r="E209" s="1" t="inlineStr">
        <is>
          <t>Acompañantes</t>
        </is>
      </c>
      <c r="F209" s="1" t="inlineStr">
        <is>
          <t>Nacional</t>
        </is>
      </c>
      <c r="G209" s="1" t="inlineStr">
        <is>
          <t>IJM</t>
        </is>
      </c>
      <c r="H209" s="1" t="inlineStr">
        <is>
          <t>No</t>
        </is>
      </c>
      <c r="I209" s="2" t="str"/>
      <c r="J209" s="2" t="str"/>
      <c r="K209" s="2" t="str"/>
      <c r="L209" s="1" t="str"/>
      <c r="M209" s="2" t="str"/>
      <c r="N209" s="2" t="str"/>
      <c r="O209" s="1" t="str"/>
      <c r="P209" s="1" t="str"/>
      <c r="Q209" s="1" t="str"/>
      <c r="R209" s="1">
        <f>IF(H209="Sí",1,0)</f>
        <v/>
      </c>
      <c r="S209" s="1">
        <f>IF(L209="En coordinación",1,0)</f>
        <v/>
      </c>
      <c r="T209" s="1">
        <f>IF(L209="Aceptada",1,0)</f>
        <v/>
      </c>
      <c r="U209" s="1">
        <f>IF(OR(L209="Realizada completa",L209="Realizada incompleta"),1,0)</f>
        <v/>
      </c>
      <c r="V209" s="1">
        <f>IF(L209="Sin respuesta",1,0)</f>
        <v/>
      </c>
    </row>
    <row r="210">
      <c r="A210" s="1" t="inlineStr">
        <is>
          <t>209</t>
        </is>
      </c>
      <c r="B210" s="1" t="inlineStr">
        <is>
          <t>Rita Rengifo Melendez</t>
        </is>
      </c>
      <c r="C210" s="1" t="inlineStr">
        <is>
          <t>Red Nacional de Promoción de la Mujer – RNPM</t>
        </is>
      </c>
      <c r="D210" s="1" t="inlineStr">
        <is>
          <t>Entrevista de actores clave</t>
        </is>
      </c>
      <c r="E210" s="1" t="inlineStr">
        <is>
          <t>Acompañantes</t>
        </is>
      </c>
      <c r="F210" s="1" t="inlineStr">
        <is>
          <t>Distrito Judicial: Loreto</t>
        </is>
      </c>
      <c r="G210" s="1" t="inlineStr">
        <is>
          <t>IJM</t>
        </is>
      </c>
      <c r="H210" s="1" t="inlineStr">
        <is>
          <t>No</t>
        </is>
      </c>
      <c r="I210" s="2" t="str"/>
      <c r="J210" s="2" t="str"/>
      <c r="K210" s="2" t="str"/>
      <c r="L210" s="1" t="str"/>
      <c r="M210" s="2" t="str"/>
      <c r="N210" s="2" t="str"/>
      <c r="O210" s="1" t="str"/>
      <c r="P210" s="1" t="str"/>
      <c r="Q210" s="1" t="str"/>
      <c r="R210" s="1">
        <f>IF(H210="Sí",1,0)</f>
        <v/>
      </c>
      <c r="S210" s="1">
        <f>IF(L210="En coordinación",1,0)</f>
        <v/>
      </c>
      <c r="T210" s="1">
        <f>IF(L210="Aceptada",1,0)</f>
        <v/>
      </c>
      <c r="U210" s="1">
        <f>IF(OR(L210="Realizada completa",L210="Realizada incompleta"),1,0)</f>
        <v/>
      </c>
      <c r="V210" s="1">
        <f>IF(L210="Sin respuesta",1,0)</f>
        <v/>
      </c>
    </row>
    <row r="211">
      <c r="A211" s="1" t="inlineStr">
        <is>
          <t>210</t>
        </is>
      </c>
      <c r="B211" s="1" t="inlineStr">
        <is>
          <t>Lidia Saavedra</t>
        </is>
      </c>
      <c r="C211" s="1" t="inlineStr">
        <is>
          <t>Red Nacional de Promoción de la Mujer – RNPM</t>
        </is>
      </c>
      <c r="D211" s="1" t="inlineStr">
        <is>
          <t>Entrevista de actores clave</t>
        </is>
      </c>
      <c r="E211" s="1" t="inlineStr">
        <is>
          <t>Acompañantes</t>
        </is>
      </c>
      <c r="F211" s="1" t="inlineStr">
        <is>
          <t>Distrito Judicial: Ayacucho</t>
        </is>
      </c>
      <c r="G211" s="1" t="inlineStr">
        <is>
          <t>IJM</t>
        </is>
      </c>
      <c r="H211" s="1" t="inlineStr">
        <is>
          <t>No</t>
        </is>
      </c>
      <c r="I211" s="2" t="str"/>
      <c r="J211" s="2" t="str"/>
      <c r="K211" s="2" t="str"/>
      <c r="L211" s="1" t="str"/>
      <c r="M211" s="2" t="str"/>
      <c r="N211" s="2" t="str"/>
      <c r="O211" s="1" t="str"/>
      <c r="P211" s="1" t="str"/>
      <c r="Q211" s="1" t="str"/>
      <c r="R211" s="1">
        <f>IF(H211="Sí",1,0)</f>
        <v/>
      </c>
      <c r="S211" s="1">
        <f>IF(L211="En coordinación",1,0)</f>
        <v/>
      </c>
      <c r="T211" s="1">
        <f>IF(L211="Aceptada",1,0)</f>
        <v/>
      </c>
      <c r="U211" s="1">
        <f>IF(OR(L211="Realizada completa",L211="Realizada incompleta"),1,0)</f>
        <v/>
      </c>
      <c r="V211" s="1">
        <f>IF(L211="Sin respuesta",1,0)</f>
        <v/>
      </c>
    </row>
    <row r="212">
      <c r="A212" s="1" t="inlineStr">
        <is>
          <t>211</t>
        </is>
      </c>
      <c r="B212" s="1" t="inlineStr">
        <is>
          <t>Hilda Huayhua Mamani</t>
        </is>
      </c>
      <c r="C212" s="1" t="inlineStr">
        <is>
          <t>Red Nacional de Promoción de la Mujer – RNPM</t>
        </is>
      </c>
      <c r="D212" s="1" t="inlineStr">
        <is>
          <t>Entrevista de actores clave</t>
        </is>
      </c>
      <c r="E212" s="1" t="inlineStr">
        <is>
          <t>Acompañantes</t>
        </is>
      </c>
      <c r="F212" s="1" t="inlineStr">
        <is>
          <t>Nacional</t>
        </is>
      </c>
      <c r="G212" s="1" t="inlineStr">
        <is>
          <t>IJM</t>
        </is>
      </c>
      <c r="H212" s="1" t="inlineStr">
        <is>
          <t>Sí</t>
        </is>
      </c>
      <c r="I212" s="2" t="inlineStr">
        <is>
          <t xml:space="preserve"> 3/30/2026</t>
        </is>
      </c>
      <c r="J212" s="2" t="str"/>
      <c r="K212" s="2" t="str"/>
      <c r="L212" s="1" t="inlineStr">
        <is>
          <t>Sin respuesta</t>
        </is>
      </c>
      <c r="M212" s="2" t="str"/>
      <c r="N212" s="2" t="str"/>
      <c r="O212" s="1" t="inlineStr">
        <is>
          <t>Sin respuesta</t>
        </is>
      </c>
      <c r="P212" s="1" t="str"/>
      <c r="Q212" s="1" t="str"/>
      <c r="R212" s="1">
        <f>IF(H212="Sí",1,0)</f>
        <v/>
      </c>
      <c r="S212" s="1">
        <f>IF(L212="En coordinación",1,0)</f>
        <v/>
      </c>
      <c r="T212" s="1">
        <f>IF(L212="Aceptada",1,0)</f>
        <v/>
      </c>
      <c r="U212" s="1">
        <f>IF(OR(L212="Realizada completa",L212="Realizada incompleta"),1,0)</f>
        <v/>
      </c>
      <c r="V212" s="1">
        <f>IF(L212="Sin respuesta",1,0)</f>
        <v/>
      </c>
    </row>
    <row r="213">
      <c r="A213" s="1" t="inlineStr">
        <is>
          <t>212</t>
        </is>
      </c>
      <c r="B213" s="1" t="inlineStr">
        <is>
          <t>Yessenia Chombo Zeballos</t>
        </is>
      </c>
      <c r="C213" s="1" t="inlineStr">
        <is>
          <t>Red Nacional de Promoción de la Mujer – RNPM</t>
        </is>
      </c>
      <c r="D213" s="1" t="inlineStr">
        <is>
          <t>Entrevista de actores clave</t>
        </is>
      </c>
      <c r="E213" s="1" t="inlineStr">
        <is>
          <t>Acompañantes</t>
        </is>
      </c>
      <c r="F213" s="1" t="inlineStr">
        <is>
          <t>Nacional</t>
        </is>
      </c>
      <c r="G213" s="1" t="inlineStr">
        <is>
          <t>IJM</t>
        </is>
      </c>
      <c r="H213" s="1" t="inlineStr">
        <is>
          <t>Sí</t>
        </is>
      </c>
      <c r="I213" s="2" t="inlineStr">
        <is>
          <t xml:space="preserve"> 3/30/2026</t>
        </is>
      </c>
      <c r="J213" s="2" t="str"/>
      <c r="K213" s="2" t="str"/>
      <c r="L213" s="1" t="inlineStr">
        <is>
          <t>Sin respuesta</t>
        </is>
      </c>
      <c r="M213" s="2" t="str"/>
      <c r="N213" s="2" t="str"/>
      <c r="O213" s="1" t="inlineStr">
        <is>
          <t>Sin respuesta</t>
        </is>
      </c>
      <c r="P213" s="1" t="str"/>
      <c r="Q213" s="1" t="str"/>
      <c r="R213" s="1">
        <f>IF(H213="Sí",1,0)</f>
        <v/>
      </c>
      <c r="S213" s="1">
        <f>IF(L213="En coordinación",1,0)</f>
        <v/>
      </c>
      <c r="T213" s="1">
        <f>IF(L213="Aceptada",1,0)</f>
        <v/>
      </c>
      <c r="U213" s="1">
        <f>IF(OR(L213="Realizada completa",L213="Realizada incompleta"),1,0)</f>
        <v/>
      </c>
      <c r="V213" s="1">
        <f>IF(L213="Sin respuesta",1,0)</f>
        <v/>
      </c>
    </row>
    <row r="214">
      <c r="A214" s="1" t="inlineStr">
        <is>
          <t>213</t>
        </is>
      </c>
      <c r="B214" s="1" t="inlineStr">
        <is>
          <t>Pilar Manrique</t>
        </is>
      </c>
      <c r="C214" s="1" t="inlineStr">
        <is>
          <t>Red Nacional de Promoción de la Mujer – RNPM</t>
        </is>
      </c>
      <c r="D214" s="1" t="inlineStr">
        <is>
          <t>Entrevista de actores clave</t>
        </is>
      </c>
      <c r="E214" s="1" t="inlineStr">
        <is>
          <t>Acompañantes</t>
        </is>
      </c>
      <c r="F214" s="1" t="inlineStr">
        <is>
          <t>Nacional</t>
        </is>
      </c>
      <c r="G214" s="1" t="inlineStr">
        <is>
          <t>IJM</t>
        </is>
      </c>
      <c r="H214" s="1" t="inlineStr">
        <is>
          <t>No</t>
        </is>
      </c>
      <c r="I214" s="2" t="str"/>
      <c r="J214" s="2" t="str"/>
      <c r="K214" s="2" t="str"/>
      <c r="L214" s="1" t="str"/>
      <c r="M214" s="2" t="str"/>
      <c r="N214" s="2" t="str"/>
      <c r="O214" s="1" t="str"/>
      <c r="P214" s="1" t="str"/>
      <c r="Q214" s="1" t="str"/>
      <c r="R214" s="1">
        <f>IF(H214="Sí",1,0)</f>
        <v/>
      </c>
      <c r="S214" s="1">
        <f>IF(L214="En coordinación",1,0)</f>
        <v/>
      </c>
      <c r="T214" s="1">
        <f>IF(L214="Aceptada",1,0)</f>
        <v/>
      </c>
      <c r="U214" s="1">
        <f>IF(OR(L214="Realizada completa",L214="Realizada incompleta"),1,0)</f>
        <v/>
      </c>
      <c r="V214" s="1">
        <f>IF(L214="Sin respuesta",1,0)</f>
        <v/>
      </c>
    </row>
    <row r="215">
      <c r="A215" s="1" t="inlineStr">
        <is>
          <t>214</t>
        </is>
      </c>
      <c r="B215" s="1" t="inlineStr">
        <is>
          <t>Mercedes Arce</t>
        </is>
      </c>
      <c r="C215" s="1" t="inlineStr">
        <is>
          <t>CHS Alternativo</t>
        </is>
      </c>
      <c r="D215" s="1" t="inlineStr">
        <is>
          <t>Entrevista de actores clave</t>
        </is>
      </c>
      <c r="E215" s="1" t="inlineStr">
        <is>
          <t>Actores locales</t>
        </is>
      </c>
      <c r="F215" s="1" t="inlineStr">
        <is>
          <t>Distrito Judicial: Loreto</t>
        </is>
      </c>
      <c r="G215" s="1" t="inlineStr">
        <is>
          <t>IJM</t>
        </is>
      </c>
      <c r="H215" s="1" t="inlineStr">
        <is>
          <t>Sí</t>
        </is>
      </c>
      <c r="I215" s="2" t="inlineStr">
        <is>
          <t xml:space="preserve"> 6/25/2026</t>
        </is>
      </c>
      <c r="J215" s="2" t="str"/>
      <c r="K215" s="2" t="str"/>
      <c r="L215" s="1" t="inlineStr">
        <is>
          <t>Realizada completa</t>
        </is>
      </c>
      <c r="M215" s="2" t="inlineStr">
        <is>
          <t>30-Jun</t>
        </is>
      </c>
      <c r="N215" s="2" t="inlineStr">
        <is>
          <t>30-Jun</t>
        </is>
      </c>
      <c r="O215" s="1" t="inlineStr">
        <is>
          <t>Realizada completa</t>
        </is>
      </c>
      <c r="P215" s="1" t="inlineStr">
        <is>
          <t>45</t>
        </is>
      </c>
      <c r="Q215" s="1" t="inlineStr">
        <is>
          <t>A distancia asistido</t>
        </is>
      </c>
      <c r="R215" s="1">
        <f>IF(H215="Sí",1,0)</f>
        <v/>
      </c>
      <c r="S215" s="1">
        <f>IF(L215="En coordinación",1,0)</f>
        <v/>
      </c>
      <c r="T215" s="1">
        <f>IF(L215="Aceptada",1,0)</f>
        <v/>
      </c>
      <c r="U215" s="1">
        <f>IF(OR(L215="Realizada completa",L215="Realizada incompleta"),1,0)</f>
        <v/>
      </c>
      <c r="V215" s="1">
        <f>IF(L215="Sin respuesta",1,0)</f>
        <v/>
      </c>
    </row>
    <row r="216">
      <c r="A216" s="1" t="inlineStr">
        <is>
          <t>215</t>
        </is>
      </c>
      <c r="B216" s="1" t="inlineStr">
        <is>
          <t>Amire Romina Ortiz Arica</t>
        </is>
      </c>
      <c r="C216" s="1" t="inlineStr">
        <is>
          <t>Acción por Igualdad</t>
        </is>
      </c>
      <c r="D216" s="1" t="inlineStr">
        <is>
          <t>Entrevista de actores clave</t>
        </is>
      </c>
      <c r="E216" s="1" t="inlineStr">
        <is>
          <t>Actores locales</t>
        </is>
      </c>
      <c r="F216" s="1" t="inlineStr">
        <is>
          <t>Nacional</t>
        </is>
      </c>
      <c r="G216" s="1" t="inlineStr">
        <is>
          <t>IJM</t>
        </is>
      </c>
      <c r="H216" s="1" t="inlineStr">
        <is>
          <t>Sí</t>
        </is>
      </c>
      <c r="I216" s="2" t="str"/>
      <c r="J216" s="2" t="str"/>
      <c r="K216" s="2" t="str"/>
      <c r="L216" s="1" t="inlineStr">
        <is>
          <t>Realizada completa</t>
        </is>
      </c>
      <c r="M216" s="2" t="inlineStr">
        <is>
          <t xml:space="preserve"> 7-Jul</t>
        </is>
      </c>
      <c r="N216" s="2" t="inlineStr">
        <is>
          <t xml:space="preserve"> 7-Jul</t>
        </is>
      </c>
      <c r="O216" s="1" t="inlineStr">
        <is>
          <t>Realizada completa</t>
        </is>
      </c>
      <c r="P216" s="1" t="inlineStr">
        <is>
          <t>41</t>
        </is>
      </c>
      <c r="Q216" s="1" t="inlineStr">
        <is>
          <t>A distancia asistido</t>
        </is>
      </c>
      <c r="R216" s="1">
        <f>IF(H216="Sí",1,0)</f>
        <v/>
      </c>
      <c r="S216" s="1">
        <f>IF(L216="En coordinación",1,0)</f>
        <v/>
      </c>
      <c r="T216" s="1">
        <f>IF(L216="Aceptada",1,0)</f>
        <v/>
      </c>
      <c r="U216" s="1">
        <f>IF(OR(L216="Realizada completa",L216="Realizada incompleta"),1,0)</f>
        <v/>
      </c>
      <c r="V216" s="1">
        <f>IF(L216="Sin respuesta",1,0)</f>
        <v/>
      </c>
    </row>
    <row r="217">
      <c r="A217" s="1" t="inlineStr">
        <is>
          <t>216</t>
        </is>
      </c>
      <c r="B217" s="1" t="inlineStr">
        <is>
          <t>Yohanny González</t>
        </is>
      </c>
      <c r="C217" s="1" t="inlineStr">
        <is>
          <t>Pasos firmes</t>
        </is>
      </c>
      <c r="D217" s="1" t="inlineStr">
        <is>
          <t>Entrevista de actores clave</t>
        </is>
      </c>
      <c r="E217" s="1" t="inlineStr">
        <is>
          <t>Actores locales</t>
        </is>
      </c>
      <c r="F217" s="1" t="inlineStr">
        <is>
          <t>Distrito Judicial: Apurímac</t>
        </is>
      </c>
      <c r="G217" s="1" t="inlineStr">
        <is>
          <t>IJM</t>
        </is>
      </c>
      <c r="H217" s="1" t="inlineStr">
        <is>
          <t>No</t>
        </is>
      </c>
      <c r="I217" s="2" t="str"/>
      <c r="J217" s="2" t="str"/>
      <c r="K217" s="2" t="str"/>
      <c r="L217" s="1" t="str"/>
      <c r="M217" s="2" t="str"/>
      <c r="N217" s="2" t="str"/>
      <c r="O217" s="1" t="str"/>
      <c r="P217" s="1" t="str"/>
      <c r="Q217" s="1" t="str"/>
      <c r="R217" s="1">
        <f>IF(H217="Sí",1,0)</f>
        <v/>
      </c>
      <c r="S217" s="1">
        <f>IF(L217="En coordinación",1,0)</f>
        <v/>
      </c>
      <c r="T217" s="1">
        <f>IF(L217="Aceptada",1,0)</f>
        <v/>
      </c>
      <c r="U217" s="1">
        <f>IF(OR(L217="Realizada completa",L217="Realizada incompleta"),1,0)</f>
        <v/>
      </c>
      <c r="V217" s="1">
        <f>IF(L217="Sin respuesta",1,0)</f>
        <v/>
      </c>
    </row>
    <row r="218">
      <c r="A218" s="1" t="inlineStr">
        <is>
          <t>217</t>
        </is>
      </c>
      <c r="B218" s="1" t="inlineStr">
        <is>
          <t>Clea Guerra</t>
        </is>
      </c>
      <c r="C218" s="1" t="inlineStr">
        <is>
          <t>Comité de América Latina y el Caribe para la Defensa de los Derechos de las Mujeres (CLADEM) Perú</t>
        </is>
      </c>
      <c r="D218" s="1" t="inlineStr">
        <is>
          <t>Entrevista de actores clave</t>
        </is>
      </c>
      <c r="E218" s="1" t="inlineStr">
        <is>
          <t>Acompañantes</t>
        </is>
      </c>
      <c r="F218" s="1" t="inlineStr">
        <is>
          <t>Nacional</t>
        </is>
      </c>
      <c r="G218" s="1" t="inlineStr">
        <is>
          <t>IJM</t>
        </is>
      </c>
      <c r="H218" s="1" t="inlineStr">
        <is>
          <t>No</t>
        </is>
      </c>
      <c r="I218" s="2" t="str"/>
      <c r="J218" s="2" t="str"/>
      <c r="K218" s="2" t="str"/>
      <c r="L218" s="1" t="str"/>
      <c r="M218" s="2" t="str"/>
      <c r="N218" s="2" t="str"/>
      <c r="O218" s="1" t="str"/>
      <c r="P218" s="1" t="str"/>
      <c r="Q218" s="1" t="str"/>
      <c r="R218" s="1">
        <f>IF(H218="Sí",1,0)</f>
        <v/>
      </c>
      <c r="S218" s="1">
        <f>IF(L218="En coordinación",1,0)</f>
        <v/>
      </c>
      <c r="T218" s="1">
        <f>IF(L218="Aceptada",1,0)</f>
        <v/>
      </c>
      <c r="U218" s="1">
        <f>IF(OR(L218="Realizada completa",L218="Realizada incompleta"),1,0)</f>
        <v/>
      </c>
      <c r="V218" s="1">
        <f>IF(L218="Sin respuesta",1,0)</f>
        <v/>
      </c>
    </row>
    <row r="219">
      <c r="A219" s="1" t="inlineStr">
        <is>
          <t>218</t>
        </is>
      </c>
      <c r="B219" s="1" t="inlineStr">
        <is>
          <t>Luz Medina Gonzales</t>
        </is>
      </c>
      <c r="C219" s="1" t="inlineStr">
        <is>
          <t xml:space="preserve">Red Interdistrital de Mujeres de Lima Metropolitana Contra la Violencia </t>
        </is>
      </c>
      <c r="D219" s="1" t="inlineStr">
        <is>
          <t>Entrevista de actores clave</t>
        </is>
      </c>
      <c r="E219" s="1" t="inlineStr">
        <is>
          <t>Acompañantes</t>
        </is>
      </c>
      <c r="F219" s="1" t="inlineStr">
        <is>
          <t>Nacional</t>
        </is>
      </c>
      <c r="G219" s="1" t="inlineStr">
        <is>
          <t>IJM</t>
        </is>
      </c>
      <c r="H219" s="1" t="inlineStr">
        <is>
          <t>No</t>
        </is>
      </c>
      <c r="I219" s="2" t="str"/>
      <c r="J219" s="2" t="str"/>
      <c r="K219" s="2" t="str"/>
      <c r="L219" s="1" t="str"/>
      <c r="M219" s="2" t="str"/>
      <c r="N219" s="2" t="str"/>
      <c r="O219" s="1" t="str"/>
      <c r="P219" s="1" t="str"/>
      <c r="Q219" s="1" t="str"/>
      <c r="R219" s="1">
        <f>IF(H219="Sí",1,0)</f>
        <v/>
      </c>
      <c r="S219" s="1">
        <f>IF(L219="En coordinación",1,0)</f>
        <v/>
      </c>
      <c r="T219" s="1">
        <f>IF(L219="Aceptada",1,0)</f>
        <v/>
      </c>
      <c r="U219" s="1">
        <f>IF(OR(L219="Realizada completa",L219="Realizada incompleta"),1,0)</f>
        <v/>
      </c>
      <c r="V219" s="1">
        <f>IF(L219="Sin respuesta",1,0)</f>
        <v/>
      </c>
    </row>
    <row r="220">
      <c r="A220" s="1" t="inlineStr">
        <is>
          <t>219</t>
        </is>
      </c>
      <c r="B220" s="1" t="inlineStr">
        <is>
          <t>Víctor Félix Choquehuanca Vilca</t>
        </is>
      </c>
      <c r="C220" s="1" t="inlineStr">
        <is>
          <t>FOVIDA</t>
        </is>
      </c>
      <c r="D220" s="1" t="inlineStr">
        <is>
          <t>Entrevista de actores clave</t>
        </is>
      </c>
      <c r="E220" s="1" t="inlineStr">
        <is>
          <t>Actores locales</t>
        </is>
      </c>
      <c r="F220" s="1" t="inlineStr">
        <is>
          <t>Nacional</t>
        </is>
      </c>
      <c r="G220" s="1" t="inlineStr">
        <is>
          <t>IJM</t>
        </is>
      </c>
      <c r="H220" s="1" t="inlineStr">
        <is>
          <t>No</t>
        </is>
      </c>
      <c r="I220" s="2" t="str"/>
      <c r="J220" s="2" t="str"/>
      <c r="K220" s="2" t="str"/>
      <c r="L220" s="1" t="str"/>
      <c r="M220" s="2" t="str"/>
      <c r="N220" s="2" t="str"/>
      <c r="O220" s="1" t="str"/>
      <c r="P220" s="1" t="str"/>
      <c r="Q220" s="1" t="str"/>
      <c r="R220" s="1">
        <f>IF(H220="Sí",1,0)</f>
        <v/>
      </c>
      <c r="S220" s="1">
        <f>IF(L220="En coordinación",1,0)</f>
        <v/>
      </c>
      <c r="T220" s="1">
        <f>IF(L220="Aceptada",1,0)</f>
        <v/>
      </c>
      <c r="U220" s="1">
        <f>IF(OR(L220="Realizada completa",L220="Realizada incompleta"),1,0)</f>
        <v/>
      </c>
      <c r="V220" s="1">
        <f>IF(L220="Sin respuesta",1,0)</f>
        <v/>
      </c>
    </row>
    <row r="221">
      <c r="A221" s="1" t="inlineStr">
        <is>
          <t>220</t>
        </is>
      </c>
      <c r="B221" s="1" t="inlineStr">
        <is>
          <t>Billy Rimari Quinto</t>
        </is>
      </c>
      <c r="C221" s="1" t="inlineStr">
        <is>
          <t>FOVIDA</t>
        </is>
      </c>
      <c r="D221" s="1" t="inlineStr">
        <is>
          <t>Entrevista de actores clave</t>
        </is>
      </c>
      <c r="E221" s="1" t="inlineStr">
        <is>
          <t>Actores locales</t>
        </is>
      </c>
      <c r="F221" s="1" t="inlineStr">
        <is>
          <t>Nacional</t>
        </is>
      </c>
      <c r="G221" s="1" t="inlineStr">
        <is>
          <t>IJM</t>
        </is>
      </c>
      <c r="H221" s="1" t="inlineStr">
        <is>
          <t>No</t>
        </is>
      </c>
      <c r="I221" s="2" t="str"/>
      <c r="J221" s="2" t="str"/>
      <c r="K221" s="2" t="str"/>
      <c r="L221" s="1" t="str"/>
      <c r="M221" s="2" t="str"/>
      <c r="N221" s="2" t="str"/>
      <c r="O221" s="1" t="str"/>
      <c r="P221" s="1" t="str"/>
      <c r="Q221" s="1" t="str"/>
      <c r="R221" s="1">
        <f>IF(H221="Sí",1,0)</f>
        <v/>
      </c>
      <c r="S221" s="1">
        <f>IF(L221="En coordinación",1,0)</f>
        <v/>
      </c>
      <c r="T221" s="1">
        <f>IF(L221="Aceptada",1,0)</f>
        <v/>
      </c>
      <c r="U221" s="1">
        <f>IF(OR(L221="Realizada completa",L221="Realizada incompleta"),1,0)</f>
        <v/>
      </c>
      <c r="V221" s="1">
        <f>IF(L221="Sin respuesta",1,0)</f>
        <v/>
      </c>
    </row>
    <row r="222">
      <c r="A222" s="1" t="inlineStr">
        <is>
          <t>221</t>
        </is>
      </c>
      <c r="B222" s="1" t="inlineStr">
        <is>
          <t>Yovana Garfias Damiano</t>
        </is>
      </c>
      <c r="C222" s="1" t="inlineStr">
        <is>
          <t>FOVIDA</t>
        </is>
      </c>
      <c r="D222" s="1" t="inlineStr">
        <is>
          <t>Entrevista de actores clave</t>
        </is>
      </c>
      <c r="E222" s="1" t="inlineStr">
        <is>
          <t>Actores locales</t>
        </is>
      </c>
      <c r="F222" s="1" t="inlineStr">
        <is>
          <t>Nacional</t>
        </is>
      </c>
      <c r="G222" s="1" t="inlineStr">
        <is>
          <t>IJM</t>
        </is>
      </c>
      <c r="H222" s="1" t="inlineStr">
        <is>
          <t>No</t>
        </is>
      </c>
      <c r="I222" s="2" t="str"/>
      <c r="J222" s="2" t="str"/>
      <c r="K222" s="2" t="str"/>
      <c r="L222" s="1" t="str"/>
      <c r="M222" s="2" t="str"/>
      <c r="N222" s="2" t="str"/>
      <c r="O222" s="1" t="str"/>
      <c r="P222" s="1" t="str"/>
      <c r="Q222" s="1" t="str"/>
      <c r="R222" s="1">
        <f>IF(H222="Sí",1,0)</f>
        <v/>
      </c>
      <c r="S222" s="1">
        <f>IF(L222="En coordinación",1,0)</f>
        <v/>
      </c>
      <c r="T222" s="1">
        <f>IF(L222="Aceptada",1,0)</f>
        <v/>
      </c>
      <c r="U222" s="1">
        <f>IF(OR(L222="Realizada completa",L222="Realizada incompleta"),1,0)</f>
        <v/>
      </c>
      <c r="V222" s="1">
        <f>IF(L222="Sin respuesta",1,0)</f>
        <v/>
      </c>
    </row>
    <row r="223">
      <c r="A223" s="1" t="inlineStr">
        <is>
          <t>222</t>
        </is>
      </c>
      <c r="B223" s="1" t="inlineStr">
        <is>
          <t>Nixa Ynes Ahuite Laiche</t>
        </is>
      </c>
      <c r="C223" s="1" t="inlineStr">
        <is>
          <t>Orientadoras Judiciales</t>
        </is>
      </c>
      <c r="D223" s="1" t="inlineStr">
        <is>
          <t>Entrevista de actores clave</t>
        </is>
      </c>
      <c r="E223" s="1" t="inlineStr">
        <is>
          <t>Acompañantes</t>
        </is>
      </c>
      <c r="F223" s="1" t="inlineStr">
        <is>
          <t>Distrito Judicial: Loreto</t>
        </is>
      </c>
      <c r="G223" s="1" t="inlineStr">
        <is>
          <t>IJM</t>
        </is>
      </c>
      <c r="H223" s="1" t="inlineStr">
        <is>
          <t>No</t>
        </is>
      </c>
      <c r="I223" s="2" t="str"/>
      <c r="J223" s="2" t="str"/>
      <c r="K223" s="2" t="str"/>
      <c r="L223" s="1" t="str"/>
      <c r="M223" s="2" t="str"/>
      <c r="N223" s="2" t="str"/>
      <c r="O223" s="1" t="str"/>
      <c r="P223" s="1" t="str"/>
      <c r="Q223" s="1" t="str"/>
      <c r="R223" s="1">
        <f>IF(H223="Sí",1,0)</f>
        <v/>
      </c>
      <c r="S223" s="1">
        <f>IF(L223="En coordinación",1,0)</f>
        <v/>
      </c>
      <c r="T223" s="1">
        <f>IF(L223="Aceptada",1,0)</f>
        <v/>
      </c>
      <c r="U223" s="1">
        <f>IF(OR(L223="Realizada completa",L223="Realizada incompleta"),1,0)</f>
        <v/>
      </c>
      <c r="V223" s="1">
        <f>IF(L223="Sin respuesta",1,0)</f>
        <v/>
      </c>
    </row>
    <row r="224">
      <c r="A224" s="1" t="inlineStr">
        <is>
          <t>223</t>
        </is>
      </c>
      <c r="B224" s="1" t="inlineStr">
        <is>
          <t>Ania Pastor</t>
        </is>
      </c>
      <c r="C224" s="1" t="inlineStr">
        <is>
          <t>Orientadoras Judiciales</t>
        </is>
      </c>
      <c r="D224" s="1" t="inlineStr">
        <is>
          <t>Entrevista de actores clave</t>
        </is>
      </c>
      <c r="E224" s="1" t="inlineStr">
        <is>
          <t>Acompañantes</t>
        </is>
      </c>
      <c r="F224" s="1" t="inlineStr">
        <is>
          <t>Nacional</t>
        </is>
      </c>
      <c r="G224" s="1" t="inlineStr">
        <is>
          <t>IJM</t>
        </is>
      </c>
      <c r="H224" s="1" t="inlineStr">
        <is>
          <t>No</t>
        </is>
      </c>
      <c r="I224" s="2" t="str"/>
      <c r="J224" s="2" t="str"/>
      <c r="K224" s="2" t="str"/>
      <c r="L224" s="1" t="str"/>
      <c r="M224" s="2" t="str"/>
      <c r="N224" s="2" t="str"/>
      <c r="O224" s="1" t="str"/>
      <c r="P224" s="1" t="str"/>
      <c r="Q224" s="1" t="str"/>
      <c r="R224" s="1">
        <f>IF(H224="Sí",1,0)</f>
        <v/>
      </c>
      <c r="S224" s="1">
        <f>IF(L224="En coordinación",1,0)</f>
        <v/>
      </c>
      <c r="T224" s="1">
        <f>IF(L224="Aceptada",1,0)</f>
        <v/>
      </c>
      <c r="U224" s="1">
        <f>IF(OR(L224="Realizada completa",L224="Realizada incompleta"),1,0)</f>
        <v/>
      </c>
      <c r="V224" s="1">
        <f>IF(L224="Sin respuesta",1,0)</f>
        <v/>
      </c>
    </row>
    <row r="225">
      <c r="A225" s="1" t="inlineStr">
        <is>
          <t>224</t>
        </is>
      </c>
      <c r="B225" s="1" t="inlineStr">
        <is>
          <t>Elizabeth Estrella Quispe</t>
        </is>
      </c>
      <c r="C225" s="1" t="inlineStr">
        <is>
          <t>Orientadoras Judiciales</t>
        </is>
      </c>
      <c r="D225" s="1" t="inlineStr">
        <is>
          <t>Entrevista de actores clave</t>
        </is>
      </c>
      <c r="E225" s="1" t="inlineStr">
        <is>
          <t>Acompañantes</t>
        </is>
      </c>
      <c r="F225" s="1" t="inlineStr">
        <is>
          <t>Nacional</t>
        </is>
      </c>
      <c r="G225" s="1" t="inlineStr">
        <is>
          <t>IJM</t>
        </is>
      </c>
      <c r="H225" s="1" t="inlineStr">
        <is>
          <t>No</t>
        </is>
      </c>
      <c r="I225" s="2" t="str"/>
      <c r="J225" s="2" t="str"/>
      <c r="K225" s="2" t="str"/>
      <c r="L225" s="1" t="str"/>
      <c r="M225" s="2" t="str"/>
      <c r="N225" s="2" t="str"/>
      <c r="O225" s="1" t="str"/>
      <c r="P225" s="1" t="str"/>
      <c r="Q225" s="1" t="str"/>
      <c r="R225" s="1">
        <f>IF(H225="Sí",1,0)</f>
        <v/>
      </c>
      <c r="S225" s="1">
        <f>IF(L225="En coordinación",1,0)</f>
        <v/>
      </c>
      <c r="T225" s="1">
        <f>IF(L225="Aceptada",1,0)</f>
        <v/>
      </c>
      <c r="U225" s="1">
        <f>IF(OR(L225="Realizada completa",L225="Realizada incompleta"),1,0)</f>
        <v/>
      </c>
      <c r="V225" s="1">
        <f>IF(L225="Sin respuesta",1,0)</f>
        <v/>
      </c>
    </row>
    <row r="226">
      <c r="A226" s="1" t="inlineStr">
        <is>
          <t>225</t>
        </is>
      </c>
      <c r="B226" s="1" t="inlineStr">
        <is>
          <t>María Juarez Vera</t>
        </is>
      </c>
      <c r="C226" s="1" t="inlineStr">
        <is>
          <t>Orientadoras Judiciales</t>
        </is>
      </c>
      <c r="D226" s="1" t="inlineStr">
        <is>
          <t>Entrevista de actores clave</t>
        </is>
      </c>
      <c r="E226" s="1" t="inlineStr">
        <is>
          <t>Acompañantes</t>
        </is>
      </c>
      <c r="F226" s="1" t="inlineStr">
        <is>
          <t>Nacional</t>
        </is>
      </c>
      <c r="G226" s="1" t="inlineStr">
        <is>
          <t>IJM</t>
        </is>
      </c>
      <c r="H226" s="1" t="inlineStr">
        <is>
          <t>No</t>
        </is>
      </c>
      <c r="I226" s="2" t="str"/>
      <c r="J226" s="2" t="str"/>
      <c r="K226" s="2" t="str"/>
      <c r="L226" s="1" t="str"/>
      <c r="M226" s="2" t="str"/>
      <c r="N226" s="2" t="str"/>
      <c r="O226" s="1" t="str"/>
      <c r="P226" s="1" t="str"/>
      <c r="Q226" s="1" t="str"/>
      <c r="R226" s="1">
        <f>IF(H226="Sí",1,0)</f>
        <v/>
      </c>
      <c r="S226" s="1">
        <f>IF(L226="En coordinación",1,0)</f>
        <v/>
      </c>
      <c r="T226" s="1">
        <f>IF(L226="Aceptada",1,0)</f>
        <v/>
      </c>
      <c r="U226" s="1">
        <f>IF(OR(L226="Realizada completa",L226="Realizada incompleta"),1,0)</f>
        <v/>
      </c>
      <c r="V226" s="1">
        <f>IF(L226="Sin respuesta",1,0)</f>
        <v/>
      </c>
    </row>
    <row r="227">
      <c r="A227" s="1" t="inlineStr">
        <is>
          <t>226</t>
        </is>
      </c>
      <c r="B227" s="1" t="inlineStr">
        <is>
          <t>Ana Isabo</t>
        </is>
      </c>
      <c r="C227" s="1" t="inlineStr">
        <is>
          <t>Orientadoras Judiciales</t>
        </is>
      </c>
      <c r="D227" s="1" t="inlineStr">
        <is>
          <t>Entrevista de actores clave</t>
        </is>
      </c>
      <c r="E227" s="1" t="inlineStr">
        <is>
          <t>Acompañantes</t>
        </is>
      </c>
      <c r="F227" s="1" t="inlineStr">
        <is>
          <t>Nacional</t>
        </is>
      </c>
      <c r="G227" s="1" t="inlineStr">
        <is>
          <t>IJM</t>
        </is>
      </c>
      <c r="H227" s="1" t="inlineStr">
        <is>
          <t>No</t>
        </is>
      </c>
      <c r="I227" s="2" t="str"/>
      <c r="J227" s="2" t="str"/>
      <c r="K227" s="2" t="str"/>
      <c r="L227" s="1" t="str"/>
      <c r="M227" s="2" t="str"/>
      <c r="N227" s="2" t="str"/>
      <c r="O227" s="1" t="str"/>
      <c r="P227" s="1" t="str"/>
      <c r="Q227" s="1" t="str"/>
      <c r="R227" s="1">
        <f>IF(H227="Sí",1,0)</f>
        <v/>
      </c>
      <c r="S227" s="1">
        <f>IF(L227="En coordinación",1,0)</f>
        <v/>
      </c>
      <c r="T227" s="1">
        <f>IF(L227="Aceptada",1,0)</f>
        <v/>
      </c>
      <c r="U227" s="1">
        <f>IF(OR(L227="Realizada completa",L227="Realizada incompleta"),1,0)</f>
        <v/>
      </c>
      <c r="V227" s="1">
        <f>IF(L227="Sin respuesta",1,0)</f>
        <v/>
      </c>
    </row>
    <row r="228">
      <c r="A228" s="1" t="inlineStr">
        <is>
          <t>227</t>
        </is>
      </c>
      <c r="B228" s="1" t="inlineStr">
        <is>
          <t>Pilar Rojas Torres</t>
        </is>
      </c>
      <c r="C228" s="1" t="inlineStr">
        <is>
          <t>Orientadoras Judiciales</t>
        </is>
      </c>
      <c r="D228" s="1" t="inlineStr">
        <is>
          <t>Entrevista de actores clave</t>
        </is>
      </c>
      <c r="E228" s="1" t="inlineStr">
        <is>
          <t>Acompañantes</t>
        </is>
      </c>
      <c r="F228" s="1" t="inlineStr">
        <is>
          <t>Nacional</t>
        </is>
      </c>
      <c r="G228" s="1" t="inlineStr">
        <is>
          <t>IJM</t>
        </is>
      </c>
      <c r="H228" s="1" t="inlineStr">
        <is>
          <t>No</t>
        </is>
      </c>
      <c r="I228" s="2" t="str"/>
      <c r="J228" s="2" t="str"/>
      <c r="K228" s="2" t="str"/>
      <c r="L228" s="1" t="str"/>
      <c r="M228" s="2" t="str"/>
      <c r="N228" s="2" t="str"/>
      <c r="O228" s="1" t="str"/>
      <c r="P228" s="1" t="str"/>
      <c r="Q228" s="1" t="str"/>
      <c r="R228" s="1">
        <f>IF(H228="Sí",1,0)</f>
        <v/>
      </c>
      <c r="S228" s="1">
        <f>IF(L228="En coordinación",1,0)</f>
        <v/>
      </c>
      <c r="T228" s="1">
        <f>IF(L228="Aceptada",1,0)</f>
        <v/>
      </c>
      <c r="U228" s="1">
        <f>IF(OR(L228="Realizada completa",L228="Realizada incompleta"),1,0)</f>
        <v/>
      </c>
      <c r="V228" s="1">
        <f>IF(L228="Sin respuesta",1,0)</f>
        <v/>
      </c>
    </row>
    <row r="229">
      <c r="A229" s="1" t="inlineStr">
        <is>
          <t>228</t>
        </is>
      </c>
      <c r="B229" s="1" t="inlineStr">
        <is>
          <t>Marlenny Cespedes Rio</t>
        </is>
      </c>
      <c r="C229" s="1" t="inlineStr">
        <is>
          <t>Orientadoras Judiciales</t>
        </is>
      </c>
      <c r="D229" s="1" t="inlineStr">
        <is>
          <t>Entrevista de actores clave</t>
        </is>
      </c>
      <c r="E229" s="1" t="inlineStr">
        <is>
          <t>Acompañantes</t>
        </is>
      </c>
      <c r="F229" s="1" t="inlineStr">
        <is>
          <t>Distrito Judicial: Apurímac</t>
        </is>
      </c>
      <c r="G229" s="1" t="inlineStr">
        <is>
          <t>IJM</t>
        </is>
      </c>
      <c r="H229" s="1" t="inlineStr">
        <is>
          <t>Sí</t>
        </is>
      </c>
      <c r="I229" s="2" t="inlineStr">
        <is>
          <t xml:space="preserve">  4/8/2026</t>
        </is>
      </c>
      <c r="J229" s="2" t="str"/>
      <c r="K229" s="2" t="str"/>
      <c r="L229" s="1" t="inlineStr">
        <is>
          <t>Sin respuesta</t>
        </is>
      </c>
      <c r="M229" s="2" t="str"/>
      <c r="N229" s="2" t="str"/>
      <c r="O229" s="1" t="inlineStr">
        <is>
          <t>Sin respuesta</t>
        </is>
      </c>
      <c r="P229" s="1" t="str"/>
      <c r="Q229" s="1" t="str"/>
      <c r="R229" s="1">
        <f>IF(H229="Sí",1,0)</f>
        <v/>
      </c>
      <c r="S229" s="1">
        <f>IF(L229="En coordinación",1,0)</f>
        <v/>
      </c>
      <c r="T229" s="1">
        <f>IF(L229="Aceptada",1,0)</f>
        <v/>
      </c>
      <c r="U229" s="1">
        <f>IF(OR(L229="Realizada completa",L229="Realizada incompleta"),1,0)</f>
        <v/>
      </c>
      <c r="V229" s="1">
        <f>IF(L229="Sin respuesta",1,0)</f>
        <v/>
      </c>
    </row>
    <row r="230">
      <c r="A230" s="1" t="inlineStr">
        <is>
          <t>229</t>
        </is>
      </c>
      <c r="B230" s="1" t="inlineStr">
        <is>
          <t>Evelyn Muñoz Oscategui</t>
        </is>
      </c>
      <c r="C230" s="1" t="inlineStr">
        <is>
          <t>Orientadoras Judiciales</t>
        </is>
      </c>
      <c r="D230" s="1" t="inlineStr">
        <is>
          <t>Entrevista de actores clave</t>
        </is>
      </c>
      <c r="E230" s="1" t="inlineStr">
        <is>
          <t>Acompañantes</t>
        </is>
      </c>
      <c r="F230" s="1" t="inlineStr">
        <is>
          <t>Distrito Judicial: Huánuco</t>
        </is>
      </c>
      <c r="G230" s="1" t="inlineStr">
        <is>
          <t>IJM</t>
        </is>
      </c>
      <c r="H230" s="1" t="inlineStr">
        <is>
          <t>No</t>
        </is>
      </c>
      <c r="I230" s="2" t="str"/>
      <c r="J230" s="2" t="str"/>
      <c r="K230" s="2" t="str"/>
      <c r="L230" s="1" t="str"/>
      <c r="M230" s="2" t="str"/>
      <c r="N230" s="2" t="str"/>
      <c r="O230" s="1" t="str"/>
      <c r="P230" s="1" t="str"/>
      <c r="Q230" s="1" t="str"/>
      <c r="R230" s="1">
        <f>IF(H230="Sí",1,0)</f>
        <v/>
      </c>
      <c r="S230" s="1">
        <f>IF(L230="En coordinación",1,0)</f>
        <v/>
      </c>
      <c r="T230" s="1">
        <f>IF(L230="Aceptada",1,0)</f>
        <v/>
      </c>
      <c r="U230" s="1">
        <f>IF(OR(L230="Realizada completa",L230="Realizada incompleta"),1,0)</f>
        <v/>
      </c>
      <c r="V230" s="1">
        <f>IF(L230="Sin respuesta",1,0)</f>
        <v/>
      </c>
    </row>
    <row r="231">
      <c r="A231" s="1" t="inlineStr">
        <is>
          <t>230</t>
        </is>
      </c>
      <c r="B231" s="1" t="inlineStr">
        <is>
          <t>Maria Elena Figueroa</t>
        </is>
      </c>
      <c r="C231" s="1" t="inlineStr">
        <is>
          <t>Orientadoras Judiciales</t>
        </is>
      </c>
      <c r="D231" s="1" t="inlineStr">
        <is>
          <t>Entrevista de actores clave</t>
        </is>
      </c>
      <c r="E231" s="1" t="inlineStr">
        <is>
          <t>Acompañantes</t>
        </is>
      </c>
      <c r="F231" s="1" t="inlineStr">
        <is>
          <t>Nacional</t>
        </is>
      </c>
      <c r="G231" s="1" t="inlineStr">
        <is>
          <t>IJM</t>
        </is>
      </c>
      <c r="H231" s="1" t="inlineStr">
        <is>
          <t>No</t>
        </is>
      </c>
      <c r="I231" s="2" t="str"/>
      <c r="J231" s="2" t="str"/>
      <c r="K231" s="2" t="str"/>
      <c r="L231" s="1" t="str"/>
      <c r="M231" s="2" t="str"/>
      <c r="N231" s="2" t="str"/>
      <c r="O231" s="1" t="str"/>
      <c r="P231" s="1" t="str"/>
      <c r="Q231" s="1" t="str"/>
      <c r="R231" s="1">
        <f>IF(H231="Sí",1,0)</f>
        <v/>
      </c>
      <c r="S231" s="1">
        <f>IF(L231="En coordinación",1,0)</f>
        <v/>
      </c>
      <c r="T231" s="1">
        <f>IF(L231="Aceptada",1,0)</f>
        <v/>
      </c>
      <c r="U231" s="1">
        <f>IF(OR(L231="Realizada completa",L231="Realizada incompleta"),1,0)</f>
        <v/>
      </c>
      <c r="V231" s="1">
        <f>IF(L231="Sin respuesta",1,0)</f>
        <v/>
      </c>
    </row>
    <row r="232">
      <c r="A232" s="1" t="inlineStr">
        <is>
          <t>231</t>
        </is>
      </c>
      <c r="B232" s="1" t="inlineStr">
        <is>
          <t>Maria Teresa Barreda</t>
        </is>
      </c>
      <c r="C232" s="1" t="inlineStr">
        <is>
          <t>Orientadoras Judiciales</t>
        </is>
      </c>
      <c r="D232" s="1" t="inlineStr">
        <is>
          <t>Entrevista de actores clave</t>
        </is>
      </c>
      <c r="E232" s="1" t="inlineStr">
        <is>
          <t>Acompañantes</t>
        </is>
      </c>
      <c r="F232" s="1" t="inlineStr">
        <is>
          <t>Nacional</t>
        </is>
      </c>
      <c r="G232" s="1" t="inlineStr">
        <is>
          <t>IJM</t>
        </is>
      </c>
      <c r="H232" s="1" t="inlineStr">
        <is>
          <t>No</t>
        </is>
      </c>
      <c r="I232" s="2" t="str"/>
      <c r="J232" s="2" t="str"/>
      <c r="K232" s="2" t="str"/>
      <c r="L232" s="1" t="str"/>
      <c r="M232" s="2" t="str"/>
      <c r="N232" s="2" t="str"/>
      <c r="O232" s="1" t="str"/>
      <c r="P232" s="1" t="str"/>
      <c r="Q232" s="1" t="str"/>
      <c r="R232" s="1">
        <f>IF(H232="Sí",1,0)</f>
        <v/>
      </c>
      <c r="S232" s="1">
        <f>IF(L232="En coordinación",1,0)</f>
        <v/>
      </c>
      <c r="T232" s="1">
        <f>IF(L232="Aceptada",1,0)</f>
        <v/>
      </c>
      <c r="U232" s="1">
        <f>IF(OR(L232="Realizada completa",L232="Realizada incompleta"),1,0)</f>
        <v/>
      </c>
      <c r="V232" s="1">
        <f>IF(L232="Sin respuesta",1,0)</f>
        <v/>
      </c>
    </row>
    <row r="233">
      <c r="A233" s="1" t="inlineStr">
        <is>
          <t>232</t>
        </is>
      </c>
      <c r="B233" s="1" t="inlineStr">
        <is>
          <t>Virginia Yañez Díaz</t>
        </is>
      </c>
      <c r="C233" s="1" t="inlineStr">
        <is>
          <t>Orientadoras Judiciales</t>
        </is>
      </c>
      <c r="D233" s="1" t="inlineStr">
        <is>
          <t>Entrevista de actores clave</t>
        </is>
      </c>
      <c r="E233" s="1" t="inlineStr">
        <is>
          <t>Acompañantes</t>
        </is>
      </c>
      <c r="F233" s="1" t="inlineStr">
        <is>
          <t>Nacional</t>
        </is>
      </c>
      <c r="G233" s="1" t="inlineStr">
        <is>
          <t>IJM</t>
        </is>
      </c>
      <c r="H233" s="1" t="inlineStr">
        <is>
          <t>No</t>
        </is>
      </c>
      <c r="I233" s="2" t="str"/>
      <c r="J233" s="2" t="str"/>
      <c r="K233" s="2" t="str"/>
      <c r="L233" s="1" t="str"/>
      <c r="M233" s="2" t="str"/>
      <c r="N233" s="2" t="str"/>
      <c r="O233" s="1" t="str"/>
      <c r="P233" s="1" t="str"/>
      <c r="Q233" s="1" t="str"/>
      <c r="R233" s="1">
        <f>IF(H233="Sí",1,0)</f>
        <v/>
      </c>
      <c r="S233" s="1">
        <f>IF(L233="En coordinación",1,0)</f>
        <v/>
      </c>
      <c r="T233" s="1">
        <f>IF(L233="Aceptada",1,0)</f>
        <v/>
      </c>
      <c r="U233" s="1">
        <f>IF(OR(L233="Realizada completa",L233="Realizada incompleta"),1,0)</f>
        <v/>
      </c>
      <c r="V233" s="1">
        <f>IF(L233="Sin respuesta",1,0)</f>
        <v/>
      </c>
    </row>
    <row r="234">
      <c r="A234" s="1" t="inlineStr">
        <is>
          <t>233</t>
        </is>
      </c>
      <c r="B234" s="1" t="inlineStr">
        <is>
          <t>Maria Arispe</t>
        </is>
      </c>
      <c r="C234" s="1" t="inlineStr">
        <is>
          <t>Orientadoras Judiciales</t>
        </is>
      </c>
      <c r="D234" s="1" t="inlineStr">
        <is>
          <t>Entrevista de actores clave</t>
        </is>
      </c>
      <c r="E234" s="1" t="inlineStr">
        <is>
          <t>Acompañantes</t>
        </is>
      </c>
      <c r="F234" s="1" t="inlineStr">
        <is>
          <t>Nacional</t>
        </is>
      </c>
      <c r="G234" s="1" t="inlineStr">
        <is>
          <t>IJM</t>
        </is>
      </c>
      <c r="H234" s="1" t="inlineStr">
        <is>
          <t>No</t>
        </is>
      </c>
      <c r="I234" s="2" t="str"/>
      <c r="J234" s="2" t="str"/>
      <c r="K234" s="2" t="str"/>
      <c r="L234" s="1" t="str"/>
      <c r="M234" s="2" t="str"/>
      <c r="N234" s="2" t="str"/>
      <c r="O234" s="1" t="str"/>
      <c r="P234" s="1" t="str"/>
      <c r="Q234" s="1" t="str"/>
      <c r="R234" s="1">
        <f>IF(H234="Sí",1,0)</f>
        <v/>
      </c>
      <c r="S234" s="1">
        <f>IF(L234="En coordinación",1,0)</f>
        <v/>
      </c>
      <c r="T234" s="1">
        <f>IF(L234="Aceptada",1,0)</f>
        <v/>
      </c>
      <c r="U234" s="1">
        <f>IF(OR(L234="Realizada completa",L234="Realizada incompleta"),1,0)</f>
        <v/>
      </c>
      <c r="V234" s="1">
        <f>IF(L234="Sin respuesta",1,0)</f>
        <v/>
      </c>
    </row>
    <row r="235">
      <c r="A235" s="1" t="inlineStr">
        <is>
          <t>234</t>
        </is>
      </c>
      <c r="B235" s="1" t="inlineStr">
        <is>
          <t>Janet Ortega</t>
        </is>
      </c>
      <c r="C235" s="1" t="inlineStr">
        <is>
          <t>Orientadoras Judiciales</t>
        </is>
      </c>
      <c r="D235" s="1" t="inlineStr">
        <is>
          <t>Entrevista de actores clave</t>
        </is>
      </c>
      <c r="E235" s="1" t="inlineStr">
        <is>
          <t>Acompañantes</t>
        </is>
      </c>
      <c r="F235" s="1" t="inlineStr">
        <is>
          <t>Nacional</t>
        </is>
      </c>
      <c r="G235" s="1" t="inlineStr">
        <is>
          <t>IJM</t>
        </is>
      </c>
      <c r="H235" s="1" t="inlineStr">
        <is>
          <t>No</t>
        </is>
      </c>
      <c r="I235" s="2" t="str"/>
      <c r="J235" s="2" t="str"/>
      <c r="K235" s="2" t="str"/>
      <c r="L235" s="1" t="str"/>
      <c r="M235" s="2" t="str"/>
      <c r="N235" s="2" t="str"/>
      <c r="O235" s="1" t="str"/>
      <c r="P235" s="1" t="str"/>
      <c r="Q235" s="1" t="str"/>
      <c r="R235" s="1">
        <f>IF(H235="Sí",1,0)</f>
        <v/>
      </c>
      <c r="S235" s="1">
        <f>IF(L235="En coordinación",1,0)</f>
        <v/>
      </c>
      <c r="T235" s="1">
        <f>IF(L235="Aceptada",1,0)</f>
        <v/>
      </c>
      <c r="U235" s="1">
        <f>IF(OR(L235="Realizada completa",L235="Realizada incompleta"),1,0)</f>
        <v/>
      </c>
      <c r="V235" s="1">
        <f>IF(L235="Sin respuesta",1,0)</f>
        <v/>
      </c>
    </row>
    <row r="236">
      <c r="A236" s="1" t="inlineStr">
        <is>
          <t>235</t>
        </is>
      </c>
      <c r="B236" s="1" t="inlineStr">
        <is>
          <t>Cynthia Solono Gammarra</t>
        </is>
      </c>
      <c r="C236" s="1" t="inlineStr">
        <is>
          <t>Orientadoras Judiciales</t>
        </is>
      </c>
      <c r="D236" s="1" t="inlineStr">
        <is>
          <t>Entrevista de actores clave</t>
        </is>
      </c>
      <c r="E236" s="1" t="inlineStr">
        <is>
          <t>Acompañantes</t>
        </is>
      </c>
      <c r="F236" s="1" t="inlineStr">
        <is>
          <t>Nacional</t>
        </is>
      </c>
      <c r="G236" s="1" t="inlineStr">
        <is>
          <t>IJM</t>
        </is>
      </c>
      <c r="H236" s="1" t="inlineStr">
        <is>
          <t>No</t>
        </is>
      </c>
      <c r="I236" s="2" t="str"/>
      <c r="J236" s="2" t="str"/>
      <c r="K236" s="2" t="str"/>
      <c r="L236" s="1" t="str"/>
      <c r="M236" s="2" t="str"/>
      <c r="N236" s="2" t="str"/>
      <c r="O236" s="1" t="str"/>
      <c r="P236" s="1" t="str"/>
      <c r="Q236" s="1" t="str"/>
      <c r="R236" s="1">
        <f>IF(H236="Sí",1,0)</f>
        <v/>
      </c>
      <c r="S236" s="1">
        <f>IF(L236="En coordinación",1,0)</f>
        <v/>
      </c>
      <c r="T236" s="1">
        <f>IF(L236="Aceptada",1,0)</f>
        <v/>
      </c>
      <c r="U236" s="1">
        <f>IF(OR(L236="Realizada completa",L236="Realizada incompleta"),1,0)</f>
        <v/>
      </c>
      <c r="V236" s="1">
        <f>IF(L236="Sin respuesta",1,0)</f>
        <v/>
      </c>
    </row>
    <row r="237">
      <c r="A237" s="1" t="inlineStr">
        <is>
          <t>236</t>
        </is>
      </c>
      <c r="B237" s="1" t="inlineStr">
        <is>
          <t>Margot Nivin Vargas</t>
        </is>
      </c>
      <c r="C237" s="1" t="inlineStr">
        <is>
          <t>Orientadoras Judiciales</t>
        </is>
      </c>
      <c r="D237" s="1" t="inlineStr">
        <is>
          <t>Entrevista de actores clave</t>
        </is>
      </c>
      <c r="E237" s="1" t="inlineStr">
        <is>
          <t>Acompañantes</t>
        </is>
      </c>
      <c r="F237" s="1" t="inlineStr">
        <is>
          <t>Nacional</t>
        </is>
      </c>
      <c r="G237" s="1" t="inlineStr">
        <is>
          <t>IJM</t>
        </is>
      </c>
      <c r="H237" s="1" t="inlineStr">
        <is>
          <t>No</t>
        </is>
      </c>
      <c r="I237" s="2" t="str"/>
      <c r="J237" s="2" t="str"/>
      <c r="K237" s="2" t="str"/>
      <c r="L237" s="1" t="str"/>
      <c r="M237" s="2" t="str"/>
      <c r="N237" s="2" t="str"/>
      <c r="O237" s="1" t="str"/>
      <c r="P237" s="1" t="str"/>
      <c r="Q237" s="1" t="str"/>
      <c r="R237" s="1">
        <f>IF(H237="Sí",1,0)</f>
        <v/>
      </c>
      <c r="S237" s="1">
        <f>IF(L237="En coordinación",1,0)</f>
        <v/>
      </c>
      <c r="T237" s="1">
        <f>IF(L237="Aceptada",1,0)</f>
        <v/>
      </c>
      <c r="U237" s="1">
        <f>IF(OR(L237="Realizada completa",L237="Realizada incompleta"),1,0)</f>
        <v/>
      </c>
      <c r="V237" s="1">
        <f>IF(L237="Sin respuesta",1,0)</f>
        <v/>
      </c>
    </row>
    <row r="238">
      <c r="A238" s="1" t="inlineStr">
        <is>
          <t>237</t>
        </is>
      </c>
      <c r="B238" s="1" t="inlineStr">
        <is>
          <t>Marlene Vivanco</t>
        </is>
      </c>
      <c r="C238" s="1" t="inlineStr">
        <is>
          <t>Orientadoras Judiciales</t>
        </is>
      </c>
      <c r="D238" s="1" t="inlineStr">
        <is>
          <t>Entrevista de actores clave</t>
        </is>
      </c>
      <c r="E238" s="1" t="inlineStr">
        <is>
          <t>Acompañantes</t>
        </is>
      </c>
      <c r="F238" s="1" t="inlineStr">
        <is>
          <t>Nacional</t>
        </is>
      </c>
      <c r="G238" s="1" t="inlineStr">
        <is>
          <t>IJM</t>
        </is>
      </c>
      <c r="H238" s="1" t="inlineStr">
        <is>
          <t>No</t>
        </is>
      </c>
      <c r="I238" s="2" t="str"/>
      <c r="J238" s="2" t="str"/>
      <c r="K238" s="2" t="str"/>
      <c r="L238" s="1" t="str"/>
      <c r="M238" s="2" t="str"/>
      <c r="N238" s="2" t="str"/>
      <c r="O238" s="1" t="str"/>
      <c r="P238" s="1" t="str"/>
      <c r="Q238" s="1" t="str"/>
      <c r="R238" s="1">
        <f>IF(H238="Sí",1,0)</f>
        <v/>
      </c>
      <c r="S238" s="1">
        <f>IF(L238="En coordinación",1,0)</f>
        <v/>
      </c>
      <c r="T238" s="1">
        <f>IF(L238="Aceptada",1,0)</f>
        <v/>
      </c>
      <c r="U238" s="1">
        <f>IF(OR(L238="Realizada completa",L238="Realizada incompleta"),1,0)</f>
        <v/>
      </c>
      <c r="V238" s="1">
        <f>IF(L238="Sin respuesta",1,0)</f>
        <v/>
      </c>
    </row>
    <row r="239">
      <c r="A239" s="1" t="inlineStr">
        <is>
          <t>238</t>
        </is>
      </c>
      <c r="B239" s="1" t="inlineStr">
        <is>
          <t>Margarita Juarez Vera</t>
        </is>
      </c>
      <c r="C239" s="1" t="inlineStr">
        <is>
          <t>Orientadoras Judiciales</t>
        </is>
      </c>
      <c r="D239" s="1" t="inlineStr">
        <is>
          <t>Entrevista de actores clave</t>
        </is>
      </c>
      <c r="E239" s="1" t="inlineStr">
        <is>
          <t>Acompañantes</t>
        </is>
      </c>
      <c r="F239" s="1" t="inlineStr">
        <is>
          <t>Nacional</t>
        </is>
      </c>
      <c r="G239" s="1" t="inlineStr">
        <is>
          <t>IJM</t>
        </is>
      </c>
      <c r="H239" s="1" t="inlineStr">
        <is>
          <t>No</t>
        </is>
      </c>
      <c r="I239" s="2" t="str"/>
      <c r="J239" s="2" t="str"/>
      <c r="K239" s="2" t="str"/>
      <c r="L239" s="1" t="str"/>
      <c r="M239" s="2" t="str"/>
      <c r="N239" s="2" t="str"/>
      <c r="O239" s="1" t="str"/>
      <c r="P239" s="1" t="str"/>
      <c r="Q239" s="1" t="str"/>
      <c r="R239" s="1">
        <f>IF(H239="Sí",1,0)</f>
        <v/>
      </c>
      <c r="S239" s="1">
        <f>IF(L239="En coordinación",1,0)</f>
        <v/>
      </c>
      <c r="T239" s="1">
        <f>IF(L239="Aceptada",1,0)</f>
        <v/>
      </c>
      <c r="U239" s="1">
        <f>IF(OR(L239="Realizada completa",L239="Realizada incompleta"),1,0)</f>
        <v/>
      </c>
      <c r="V239" s="1">
        <f>IF(L239="Sin respuesta",1,0)</f>
        <v/>
      </c>
    </row>
    <row r="240">
      <c r="A240" s="1" t="inlineStr">
        <is>
          <t>239</t>
        </is>
      </c>
      <c r="B240" s="1" t="inlineStr">
        <is>
          <t>Miluska Meza Sanchez</t>
        </is>
      </c>
      <c r="C240" s="1" t="inlineStr">
        <is>
          <t>Orientadoras Judiciales</t>
        </is>
      </c>
      <c r="D240" s="1" t="inlineStr">
        <is>
          <t>Entrevista de actores clave</t>
        </is>
      </c>
      <c r="E240" s="1" t="inlineStr">
        <is>
          <t>Acompañantes</t>
        </is>
      </c>
      <c r="F240" s="1" t="inlineStr">
        <is>
          <t>Nacional</t>
        </is>
      </c>
      <c r="G240" s="1" t="inlineStr">
        <is>
          <t>IJM</t>
        </is>
      </c>
      <c r="H240" s="1" t="inlineStr">
        <is>
          <t>No</t>
        </is>
      </c>
      <c r="I240" s="2" t="str"/>
      <c r="J240" s="2" t="str"/>
      <c r="K240" s="2" t="str"/>
      <c r="L240" s="1" t="str"/>
      <c r="M240" s="2" t="str"/>
      <c r="N240" s="2" t="str"/>
      <c r="O240" s="1" t="str"/>
      <c r="P240" s="1" t="str"/>
      <c r="Q240" s="1" t="str"/>
      <c r="R240" s="1">
        <f>IF(H240="Sí",1,0)</f>
        <v/>
      </c>
      <c r="S240" s="1">
        <f>IF(L240="En coordinación",1,0)</f>
        <v/>
      </c>
      <c r="T240" s="1">
        <f>IF(L240="Aceptada",1,0)</f>
        <v/>
      </c>
      <c r="U240" s="1">
        <f>IF(OR(L240="Realizada completa",L240="Realizada incompleta"),1,0)</f>
        <v/>
      </c>
      <c r="V240" s="1">
        <f>IF(L240="Sin respuesta",1,0)</f>
        <v/>
      </c>
    </row>
    <row r="241">
      <c r="A241" s="1" t="inlineStr">
        <is>
          <t>240</t>
        </is>
      </c>
      <c r="B241" s="1" t="inlineStr">
        <is>
          <t>Yaqueline Loayza</t>
        </is>
      </c>
      <c r="C241" s="1" t="inlineStr">
        <is>
          <t>Orientadoras Judiciales</t>
        </is>
      </c>
      <c r="D241" s="1" t="inlineStr">
        <is>
          <t>Entrevista de actores clave</t>
        </is>
      </c>
      <c r="E241" s="1" t="inlineStr">
        <is>
          <t>Acompañantes</t>
        </is>
      </c>
      <c r="F241" s="1" t="inlineStr">
        <is>
          <t>Nacional</t>
        </is>
      </c>
      <c r="G241" s="1" t="inlineStr">
        <is>
          <t>IJM</t>
        </is>
      </c>
      <c r="H241" s="1" t="inlineStr">
        <is>
          <t>No</t>
        </is>
      </c>
      <c r="I241" s="2" t="str"/>
      <c r="J241" s="2" t="str"/>
      <c r="K241" s="2" t="str"/>
      <c r="L241" s="1" t="str"/>
      <c r="M241" s="2" t="str"/>
      <c r="N241" s="2" t="str"/>
      <c r="O241" s="1" t="str"/>
      <c r="P241" s="1" t="str"/>
      <c r="Q241" s="1" t="str"/>
      <c r="R241" s="1">
        <f>IF(H241="Sí",1,0)</f>
        <v/>
      </c>
      <c r="S241" s="1">
        <f>IF(L241="En coordinación",1,0)</f>
        <v/>
      </c>
      <c r="T241" s="1">
        <f>IF(L241="Aceptada",1,0)</f>
        <v/>
      </c>
      <c r="U241" s="1">
        <f>IF(OR(L241="Realizada completa",L241="Realizada incompleta"),1,0)</f>
        <v/>
      </c>
      <c r="V241" s="1">
        <f>IF(L241="Sin respuesta",1,0)</f>
        <v/>
      </c>
    </row>
    <row r="242">
      <c r="A242" s="1" t="inlineStr">
        <is>
          <t>241</t>
        </is>
      </c>
      <c r="B242" s="1" t="inlineStr">
        <is>
          <t>Graciela Satan Reyes</t>
        </is>
      </c>
      <c r="C242" s="1" t="inlineStr">
        <is>
          <t>Orientadoras Judiciales</t>
        </is>
      </c>
      <c r="D242" s="1" t="inlineStr">
        <is>
          <t>Entrevista de actores clave</t>
        </is>
      </c>
      <c r="E242" s="1" t="inlineStr">
        <is>
          <t>Acompañantes</t>
        </is>
      </c>
      <c r="F242" s="1" t="inlineStr">
        <is>
          <t>Nacional</t>
        </is>
      </c>
      <c r="G242" s="1" t="inlineStr">
        <is>
          <t>IJM</t>
        </is>
      </c>
      <c r="H242" s="1" t="inlineStr">
        <is>
          <t>No</t>
        </is>
      </c>
      <c r="I242" s="2" t="str"/>
      <c r="J242" s="2" t="str"/>
      <c r="K242" s="2" t="str"/>
      <c r="L242" s="1" t="str"/>
      <c r="M242" s="2" t="str"/>
      <c r="N242" s="2" t="str"/>
      <c r="O242" s="1" t="str"/>
      <c r="P242" s="1" t="str"/>
      <c r="Q242" s="1" t="str"/>
      <c r="R242" s="1">
        <f>IF(H242="Sí",1,0)</f>
        <v/>
      </c>
      <c r="S242" s="1">
        <f>IF(L242="En coordinación",1,0)</f>
        <v/>
      </c>
      <c r="T242" s="1">
        <f>IF(L242="Aceptada",1,0)</f>
        <v/>
      </c>
      <c r="U242" s="1">
        <f>IF(OR(L242="Realizada completa",L242="Realizada incompleta"),1,0)</f>
        <v/>
      </c>
      <c r="V242" s="1">
        <f>IF(L242="Sin respuesta",1,0)</f>
        <v/>
      </c>
    </row>
    <row r="243">
      <c r="A243" s="1" t="inlineStr">
        <is>
          <t>242</t>
        </is>
      </c>
      <c r="B243" s="1" t="inlineStr">
        <is>
          <t>Cynthia Tatiana Clavijo Saldorriaga</t>
        </is>
      </c>
      <c r="C243" s="1" t="inlineStr">
        <is>
          <t>Orientadoras Judiciales</t>
        </is>
      </c>
      <c r="D243" s="1" t="inlineStr">
        <is>
          <t>Entrevista de actores clave</t>
        </is>
      </c>
      <c r="E243" s="1" t="inlineStr">
        <is>
          <t>Acompañantes</t>
        </is>
      </c>
      <c r="F243" s="1" t="inlineStr">
        <is>
          <t>Nacional</t>
        </is>
      </c>
      <c r="G243" s="1" t="inlineStr">
        <is>
          <t>IJM</t>
        </is>
      </c>
      <c r="H243" s="1" t="inlineStr">
        <is>
          <t>No</t>
        </is>
      </c>
      <c r="I243" s="2" t="str"/>
      <c r="J243" s="2" t="str"/>
      <c r="K243" s="2" t="str"/>
      <c r="L243" s="1" t="str"/>
      <c r="M243" s="2" t="str"/>
      <c r="N243" s="2" t="str"/>
      <c r="O243" s="1" t="str"/>
      <c r="P243" s="1" t="str"/>
      <c r="Q243" s="1" t="str"/>
      <c r="R243" s="1">
        <f>IF(H243="Sí",1,0)</f>
        <v/>
      </c>
      <c r="S243" s="1">
        <f>IF(L243="En coordinación",1,0)</f>
        <v/>
      </c>
      <c r="T243" s="1">
        <f>IF(L243="Aceptada",1,0)</f>
        <v/>
      </c>
      <c r="U243" s="1">
        <f>IF(OR(L243="Realizada completa",L243="Realizada incompleta"),1,0)</f>
        <v/>
      </c>
      <c r="V243" s="1">
        <f>IF(L243="Sin respuesta",1,0)</f>
        <v/>
      </c>
    </row>
    <row r="244">
      <c r="A244" s="1" t="inlineStr">
        <is>
          <t>243</t>
        </is>
      </c>
      <c r="B244" s="1" t="inlineStr">
        <is>
          <t>Georgina Gladys</t>
        </is>
      </c>
      <c r="C244" s="1" t="inlineStr">
        <is>
          <t>Orientadoras Judiciales</t>
        </is>
      </c>
      <c r="D244" s="1" t="inlineStr">
        <is>
          <t>Entrevista de actores clave</t>
        </is>
      </c>
      <c r="E244" s="1" t="inlineStr">
        <is>
          <t>Acompañantes</t>
        </is>
      </c>
      <c r="F244" s="1" t="inlineStr">
        <is>
          <t>Distrito Judicial: Lima Norte</t>
        </is>
      </c>
      <c r="G244" s="1" t="inlineStr">
        <is>
          <t>IJM</t>
        </is>
      </c>
      <c r="H244" s="1" t="inlineStr">
        <is>
          <t>No</t>
        </is>
      </c>
      <c r="I244" s="2" t="str"/>
      <c r="J244" s="2" t="str"/>
      <c r="K244" s="2" t="str"/>
      <c r="L244" s="1" t="str"/>
      <c r="M244" s="2" t="str"/>
      <c r="N244" s="2" t="str"/>
      <c r="O244" s="1" t="str"/>
      <c r="P244" s="1" t="str"/>
      <c r="Q244" s="1" t="str"/>
      <c r="R244" s="1">
        <f>IF(H244="Sí",1,0)</f>
        <v/>
      </c>
      <c r="S244" s="1">
        <f>IF(L244="En coordinación",1,0)</f>
        <v/>
      </c>
      <c r="T244" s="1">
        <f>IF(L244="Aceptada",1,0)</f>
        <v/>
      </c>
      <c r="U244" s="1">
        <f>IF(OR(L244="Realizada completa",L244="Realizada incompleta"),1,0)</f>
        <v/>
      </c>
      <c r="V244" s="1">
        <f>IF(L244="Sin respuesta",1,0)</f>
        <v/>
      </c>
    </row>
    <row r="245">
      <c r="A245" s="1" t="inlineStr">
        <is>
          <t>244</t>
        </is>
      </c>
      <c r="B245" s="1" t="inlineStr">
        <is>
          <t>Rita Rengifo Garcia</t>
        </is>
      </c>
      <c r="C245" s="1" t="inlineStr">
        <is>
          <t>Orientadoras Judiciales</t>
        </is>
      </c>
      <c r="D245" s="1" t="inlineStr">
        <is>
          <t>Entrevista de actores clave</t>
        </is>
      </c>
      <c r="E245" s="1" t="inlineStr">
        <is>
          <t>Acompañantes</t>
        </is>
      </c>
      <c r="F245" s="1" t="inlineStr">
        <is>
          <t>Nacional</t>
        </is>
      </c>
      <c r="G245" s="1" t="inlineStr">
        <is>
          <t>IJM</t>
        </is>
      </c>
      <c r="H245" s="1" t="inlineStr">
        <is>
          <t>No</t>
        </is>
      </c>
      <c r="I245" s="2" t="str"/>
      <c r="J245" s="2" t="str"/>
      <c r="K245" s="2" t="str"/>
      <c r="L245" s="1" t="str"/>
      <c r="M245" s="2" t="str"/>
      <c r="N245" s="2" t="str"/>
      <c r="O245" s="1" t="str"/>
      <c r="P245" s="1" t="str"/>
      <c r="Q245" s="1" t="str"/>
      <c r="R245" s="1">
        <f>IF(H245="Sí",1,0)</f>
        <v/>
      </c>
      <c r="S245" s="1">
        <f>IF(L245="En coordinación",1,0)</f>
        <v/>
      </c>
      <c r="T245" s="1">
        <f>IF(L245="Aceptada",1,0)</f>
        <v/>
      </c>
      <c r="U245" s="1">
        <f>IF(OR(L245="Realizada completa",L245="Realizada incompleta"),1,0)</f>
        <v/>
      </c>
      <c r="V245" s="1">
        <f>IF(L245="Sin respuesta",1,0)</f>
        <v/>
      </c>
    </row>
    <row r="246">
      <c r="A246" s="1" t="inlineStr">
        <is>
          <t>245</t>
        </is>
      </c>
      <c r="B246" s="1" t="inlineStr">
        <is>
          <t>Maribel Pacaya</t>
        </is>
      </c>
      <c r="C246" s="1" t="inlineStr">
        <is>
          <t>Orientadoras Judiciales</t>
        </is>
      </c>
      <c r="D246" s="1" t="inlineStr">
        <is>
          <t>Entrevista de actores clave</t>
        </is>
      </c>
      <c r="E246" s="1" t="inlineStr">
        <is>
          <t>Acompañantes</t>
        </is>
      </c>
      <c r="F246" s="1" t="inlineStr">
        <is>
          <t>Nacional</t>
        </is>
      </c>
      <c r="G246" s="1" t="inlineStr">
        <is>
          <t>IJM</t>
        </is>
      </c>
      <c r="H246" s="1" t="inlineStr">
        <is>
          <t>No</t>
        </is>
      </c>
      <c r="I246" s="2" t="str"/>
      <c r="J246" s="2" t="str"/>
      <c r="K246" s="2" t="str"/>
      <c r="L246" s="1" t="str"/>
      <c r="M246" s="2" t="str"/>
      <c r="N246" s="2" t="str"/>
      <c r="O246" s="1" t="str"/>
      <c r="P246" s="1" t="str"/>
      <c r="Q246" s="1" t="str"/>
      <c r="R246" s="1">
        <f>IF(H246="Sí",1,0)</f>
        <v/>
      </c>
      <c r="S246" s="1">
        <f>IF(L246="En coordinación",1,0)</f>
        <v/>
      </c>
      <c r="T246" s="1">
        <f>IF(L246="Aceptada",1,0)</f>
        <v/>
      </c>
      <c r="U246" s="1">
        <f>IF(OR(L246="Realizada completa",L246="Realizada incompleta"),1,0)</f>
        <v/>
      </c>
      <c r="V246" s="1">
        <f>IF(L246="Sin respuesta",1,0)</f>
        <v/>
      </c>
    </row>
    <row r="247">
      <c r="A247" s="1" t="inlineStr">
        <is>
          <t>246</t>
        </is>
      </c>
      <c r="B247" s="1" t="inlineStr">
        <is>
          <t>Lucy Laos Quintana</t>
        </is>
      </c>
      <c r="C247" s="1" t="inlineStr">
        <is>
          <t>Orientadoras Judiciales</t>
        </is>
      </c>
      <c r="D247" s="1" t="inlineStr">
        <is>
          <t>Entrevista de actores clave</t>
        </is>
      </c>
      <c r="E247" s="1" t="inlineStr">
        <is>
          <t>Acompañantes</t>
        </is>
      </c>
      <c r="F247" s="1" t="inlineStr">
        <is>
          <t>Nacional</t>
        </is>
      </c>
      <c r="G247" s="1" t="inlineStr">
        <is>
          <t>IJM</t>
        </is>
      </c>
      <c r="H247" s="1" t="inlineStr">
        <is>
          <t>No</t>
        </is>
      </c>
      <c r="I247" s="2" t="str"/>
      <c r="J247" s="2" t="str"/>
      <c r="K247" s="2" t="str"/>
      <c r="L247" s="1" t="str"/>
      <c r="M247" s="2" t="str"/>
      <c r="N247" s="2" t="str"/>
      <c r="O247" s="1" t="str"/>
      <c r="P247" s="1" t="str"/>
      <c r="Q247" s="1" t="str"/>
      <c r="R247" s="1">
        <f>IF(H247="Sí",1,0)</f>
        <v/>
      </c>
      <c r="S247" s="1">
        <f>IF(L247="En coordinación",1,0)</f>
        <v/>
      </c>
      <c r="T247" s="1">
        <f>IF(L247="Aceptada",1,0)</f>
        <v/>
      </c>
      <c r="U247" s="1">
        <f>IF(OR(L247="Realizada completa",L247="Realizada incompleta"),1,0)</f>
        <v/>
      </c>
      <c r="V247" s="1">
        <f>IF(L247="Sin respuesta",1,0)</f>
        <v/>
      </c>
    </row>
    <row r="248">
      <c r="A248" s="1" t="inlineStr">
        <is>
          <t>247</t>
        </is>
      </c>
      <c r="B248" s="1" t="inlineStr">
        <is>
          <t>Maria Vega Riguez</t>
        </is>
      </c>
      <c r="C248" s="1" t="inlineStr">
        <is>
          <t>Orientadoras Judiciales</t>
        </is>
      </c>
      <c r="D248" s="1" t="inlineStr">
        <is>
          <t>Entrevista de actores clave</t>
        </is>
      </c>
      <c r="E248" s="1" t="inlineStr">
        <is>
          <t>Acompañantes</t>
        </is>
      </c>
      <c r="F248" s="1" t="inlineStr">
        <is>
          <t>Distrito Judicial: Lima Norte</t>
        </is>
      </c>
      <c r="G248" s="1" t="inlineStr">
        <is>
          <t>IJM</t>
        </is>
      </c>
      <c r="H248" s="1" t="inlineStr">
        <is>
          <t>No</t>
        </is>
      </c>
      <c r="I248" s="2" t="str"/>
      <c r="J248" s="2" t="str"/>
      <c r="K248" s="2" t="str"/>
      <c r="L248" s="1" t="str"/>
      <c r="M248" s="2" t="str"/>
      <c r="N248" s="2" t="str"/>
      <c r="O248" s="1" t="str"/>
      <c r="P248" s="1" t="str"/>
      <c r="Q248" s="1" t="str"/>
      <c r="R248" s="1">
        <f>IF(H248="Sí",1,0)</f>
        <v/>
      </c>
      <c r="S248" s="1">
        <f>IF(L248="En coordinación",1,0)</f>
        <v/>
      </c>
      <c r="T248" s="1">
        <f>IF(L248="Aceptada",1,0)</f>
        <v/>
      </c>
      <c r="U248" s="1">
        <f>IF(OR(L248="Realizada completa",L248="Realizada incompleta"),1,0)</f>
        <v/>
      </c>
      <c r="V248" s="1">
        <f>IF(L248="Sin respuesta",1,0)</f>
        <v/>
      </c>
    </row>
    <row r="249">
      <c r="A249" s="1" t="inlineStr">
        <is>
          <t>248</t>
        </is>
      </c>
      <c r="B249" s="1" t="inlineStr">
        <is>
          <t>Rosa Ofelia Tauma Flores</t>
        </is>
      </c>
      <c r="C249" s="1" t="inlineStr">
        <is>
          <t>Orientadoras Judiciales</t>
        </is>
      </c>
      <c r="D249" s="1" t="inlineStr">
        <is>
          <t>Entrevista de actores clave</t>
        </is>
      </c>
      <c r="E249" s="1" t="inlineStr">
        <is>
          <t>Acompañantes</t>
        </is>
      </c>
      <c r="F249" s="1" t="inlineStr">
        <is>
          <t>Distrito Judicial: Loreto</t>
        </is>
      </c>
      <c r="G249" s="1" t="inlineStr">
        <is>
          <t>IJM</t>
        </is>
      </c>
      <c r="H249" s="1" t="inlineStr">
        <is>
          <t>Sí</t>
        </is>
      </c>
      <c r="I249" s="2" t="inlineStr">
        <is>
          <t xml:space="preserve">  4/8/2026</t>
        </is>
      </c>
      <c r="J249" s="2" t="str"/>
      <c r="K249" s="2" t="str"/>
      <c r="L249" s="1" t="inlineStr">
        <is>
          <t>Realizada completa</t>
        </is>
      </c>
      <c r="M249" s="2" t="inlineStr">
        <is>
          <t xml:space="preserve"> 9-Apr</t>
        </is>
      </c>
      <c r="N249" s="2" t="inlineStr">
        <is>
          <t xml:space="preserve"> 9-Apr</t>
        </is>
      </c>
      <c r="O249" s="1" t="inlineStr">
        <is>
          <t>Realizada completa</t>
        </is>
      </c>
      <c r="P249" s="1" t="inlineStr">
        <is>
          <t>44</t>
        </is>
      </c>
      <c r="Q249" s="1" t="inlineStr">
        <is>
          <t>A distancia asistido</t>
        </is>
      </c>
      <c r="R249" s="1">
        <f>IF(H249="Sí",1,0)</f>
        <v/>
      </c>
      <c r="S249" s="1">
        <f>IF(L249="En coordinación",1,0)</f>
        <v/>
      </c>
      <c r="T249" s="1">
        <f>IF(L249="Aceptada",1,0)</f>
        <v/>
      </c>
      <c r="U249" s="1">
        <f>IF(OR(L249="Realizada completa",L249="Realizada incompleta"),1,0)</f>
        <v/>
      </c>
      <c r="V249" s="1">
        <f>IF(L249="Sin respuesta",1,0)</f>
        <v/>
      </c>
    </row>
    <row r="250">
      <c r="A250" s="1" t="inlineStr">
        <is>
          <t>249</t>
        </is>
      </c>
      <c r="B250" s="1" t="inlineStr">
        <is>
          <t>Nina Betty Sanchez</t>
        </is>
      </c>
      <c r="C250" s="1" t="inlineStr">
        <is>
          <t>Orientadoras Judiciales</t>
        </is>
      </c>
      <c r="D250" s="1" t="inlineStr">
        <is>
          <t>Entrevista de actores clave</t>
        </is>
      </c>
      <c r="E250" s="1" t="inlineStr">
        <is>
          <t>Acompañantes</t>
        </is>
      </c>
      <c r="F250" s="1" t="inlineStr">
        <is>
          <t>Distrito Judicial: Ucayali</t>
        </is>
      </c>
      <c r="G250" s="1" t="inlineStr">
        <is>
          <t>IJM</t>
        </is>
      </c>
      <c r="H250" s="1" t="inlineStr">
        <is>
          <t>No</t>
        </is>
      </c>
      <c r="I250" s="2" t="str"/>
      <c r="J250" s="2" t="str"/>
      <c r="K250" s="2" t="str"/>
      <c r="L250" s="1" t="str"/>
      <c r="M250" s="2" t="str"/>
      <c r="N250" s="2" t="str"/>
      <c r="O250" s="1" t="str"/>
      <c r="P250" s="1" t="str"/>
      <c r="Q250" s="1" t="str"/>
      <c r="R250" s="1">
        <f>IF(H250="Sí",1,0)</f>
        <v/>
      </c>
      <c r="S250" s="1">
        <f>IF(L250="En coordinación",1,0)</f>
        <v/>
      </c>
      <c r="T250" s="1">
        <f>IF(L250="Aceptada",1,0)</f>
        <v/>
      </c>
      <c r="U250" s="1">
        <f>IF(OR(L250="Realizada completa",L250="Realizada incompleta"),1,0)</f>
        <v/>
      </c>
      <c r="V250" s="1">
        <f>IF(L250="Sin respuesta",1,0)</f>
        <v/>
      </c>
    </row>
    <row r="251">
      <c r="A251" s="1" t="inlineStr">
        <is>
          <t>250</t>
        </is>
      </c>
      <c r="B251" s="1" t="inlineStr">
        <is>
          <t>Feliza Ponce Ventura</t>
        </is>
      </c>
      <c r="C251" s="1" t="inlineStr">
        <is>
          <t>Orientadoras Judiciales</t>
        </is>
      </c>
      <c r="D251" s="1" t="inlineStr">
        <is>
          <t>Entrevista de actores clave</t>
        </is>
      </c>
      <c r="E251" s="1" t="inlineStr">
        <is>
          <t>Acompañantes</t>
        </is>
      </c>
      <c r="F251" s="1" t="inlineStr">
        <is>
          <t>Nacional</t>
        </is>
      </c>
      <c r="G251" s="1" t="inlineStr">
        <is>
          <t>IJM</t>
        </is>
      </c>
      <c r="H251" s="1" t="inlineStr">
        <is>
          <t>No</t>
        </is>
      </c>
      <c r="I251" s="2" t="str"/>
      <c r="J251" s="2" t="str"/>
      <c r="K251" s="2" t="str"/>
      <c r="L251" s="1" t="str"/>
      <c r="M251" s="2" t="str"/>
      <c r="N251" s="2" t="str"/>
      <c r="O251" s="1" t="str"/>
      <c r="P251" s="1" t="str"/>
      <c r="Q251" s="1" t="str"/>
      <c r="R251" s="1">
        <f>IF(H251="Sí",1,0)</f>
        <v/>
      </c>
      <c r="S251" s="1">
        <f>IF(L251="En coordinación",1,0)</f>
        <v/>
      </c>
      <c r="T251" s="1">
        <f>IF(L251="Aceptada",1,0)</f>
        <v/>
      </c>
      <c r="U251" s="1">
        <f>IF(OR(L251="Realizada completa",L251="Realizada incompleta"),1,0)</f>
        <v/>
      </c>
      <c r="V251" s="1">
        <f>IF(L251="Sin respuesta",1,0)</f>
        <v/>
      </c>
    </row>
    <row r="252">
      <c r="A252" s="1" t="inlineStr">
        <is>
          <t>251</t>
        </is>
      </c>
      <c r="B252" s="1" t="inlineStr">
        <is>
          <t>Gilda Lopa Sebastian</t>
        </is>
      </c>
      <c r="C252" s="1" t="inlineStr">
        <is>
          <t>Orientadoras Judiciales</t>
        </is>
      </c>
      <c r="D252" s="1" t="inlineStr">
        <is>
          <t>Entrevista de actores clave</t>
        </is>
      </c>
      <c r="E252" s="1" t="inlineStr">
        <is>
          <t>Acompañantes</t>
        </is>
      </c>
      <c r="F252" s="1" t="inlineStr">
        <is>
          <t>Nacional</t>
        </is>
      </c>
      <c r="G252" s="1" t="inlineStr">
        <is>
          <t>IJM</t>
        </is>
      </c>
      <c r="H252" s="1" t="inlineStr">
        <is>
          <t>No</t>
        </is>
      </c>
      <c r="I252" s="2" t="str"/>
      <c r="J252" s="2" t="str"/>
      <c r="K252" s="2" t="str"/>
      <c r="L252" s="1" t="str"/>
      <c r="M252" s="2" t="str"/>
      <c r="N252" s="2" t="str"/>
      <c r="O252" s="1" t="str"/>
      <c r="P252" s="1" t="str"/>
      <c r="Q252" s="1" t="str"/>
      <c r="R252" s="1">
        <f>IF(H252="Sí",1,0)</f>
        <v/>
      </c>
      <c r="S252" s="1">
        <f>IF(L252="En coordinación",1,0)</f>
        <v/>
      </c>
      <c r="T252" s="1">
        <f>IF(L252="Aceptada",1,0)</f>
        <v/>
      </c>
      <c r="U252" s="1">
        <f>IF(OR(L252="Realizada completa",L252="Realizada incompleta"),1,0)</f>
        <v/>
      </c>
      <c r="V252" s="1">
        <f>IF(L252="Sin respuesta",1,0)</f>
        <v/>
      </c>
    </row>
    <row r="253">
      <c r="A253" s="1" t="inlineStr">
        <is>
          <t>252</t>
        </is>
      </c>
      <c r="B253" s="1" t="inlineStr">
        <is>
          <t>Epifania Valdiviezo</t>
        </is>
      </c>
      <c r="C253" s="1" t="inlineStr">
        <is>
          <t>Orientadoras Judiciales</t>
        </is>
      </c>
      <c r="D253" s="1" t="inlineStr">
        <is>
          <t>Entrevista de actores clave</t>
        </is>
      </c>
      <c r="E253" s="1" t="inlineStr">
        <is>
          <t>Acompañantes</t>
        </is>
      </c>
      <c r="F253" s="1" t="inlineStr">
        <is>
          <t>Distrito Judicial: Ucayali</t>
        </is>
      </c>
      <c r="G253" s="1" t="inlineStr">
        <is>
          <t>IJM</t>
        </is>
      </c>
      <c r="H253" s="1" t="inlineStr">
        <is>
          <t>Sí</t>
        </is>
      </c>
      <c r="I253" s="2" t="inlineStr">
        <is>
          <t xml:space="preserve">  4/8/2026</t>
        </is>
      </c>
      <c r="J253" s="2" t="str"/>
      <c r="K253" s="2" t="str"/>
      <c r="L253" s="1" t="inlineStr">
        <is>
          <t>Realizada completa</t>
        </is>
      </c>
      <c r="M253" s="2" t="inlineStr">
        <is>
          <t>10-Apr</t>
        </is>
      </c>
      <c r="N253" s="2" t="inlineStr">
        <is>
          <t>10-Apr</t>
        </is>
      </c>
      <c r="O253" s="1" t="inlineStr">
        <is>
          <t>Realizada completa</t>
        </is>
      </c>
      <c r="P253" s="1" t="inlineStr">
        <is>
          <t>52</t>
        </is>
      </c>
      <c r="Q253" s="1" t="inlineStr">
        <is>
          <t>A distancia asistido</t>
        </is>
      </c>
      <c r="R253" s="1">
        <f>IF(H253="Sí",1,0)</f>
        <v/>
      </c>
      <c r="S253" s="1">
        <f>IF(L253="En coordinación",1,0)</f>
        <v/>
      </c>
      <c r="T253" s="1">
        <f>IF(L253="Aceptada",1,0)</f>
        <v/>
      </c>
      <c r="U253" s="1">
        <f>IF(OR(L253="Realizada completa",L253="Realizada incompleta"),1,0)</f>
        <v/>
      </c>
      <c r="V253" s="1">
        <f>IF(L253="Sin respuesta",1,0)</f>
        <v/>
      </c>
    </row>
    <row r="254">
      <c r="A254" s="1" t="inlineStr">
        <is>
          <t>253</t>
        </is>
      </c>
      <c r="B254" s="1" t="inlineStr">
        <is>
          <t xml:space="preserve">Delia Marfil </t>
        </is>
      </c>
      <c r="C254" s="1" t="inlineStr">
        <is>
          <t>Orientadoras Judiciales</t>
        </is>
      </c>
      <c r="D254" s="1" t="inlineStr">
        <is>
          <t>Entrevista de actores clave</t>
        </is>
      </c>
      <c r="E254" s="1" t="inlineStr">
        <is>
          <t>Acompañantes</t>
        </is>
      </c>
      <c r="F254" s="1" t="inlineStr">
        <is>
          <t>Distrito Judicial: Ucayali</t>
        </is>
      </c>
      <c r="G254" s="1" t="inlineStr">
        <is>
          <t>IJM</t>
        </is>
      </c>
      <c r="H254" s="1" t="inlineStr">
        <is>
          <t>No</t>
        </is>
      </c>
      <c r="I254" s="2" t="str"/>
      <c r="J254" s="2" t="str"/>
      <c r="K254" s="2" t="str"/>
      <c r="L254" s="1" t="str"/>
      <c r="M254" s="2" t="str"/>
      <c r="N254" s="2" t="str"/>
      <c r="O254" s="1" t="str"/>
      <c r="P254" s="1" t="str"/>
      <c r="Q254" s="1" t="str"/>
      <c r="R254" s="1">
        <f>IF(H254="Sí",1,0)</f>
        <v/>
      </c>
      <c r="S254" s="1">
        <f>IF(L254="En coordinación",1,0)</f>
        <v/>
      </c>
      <c r="T254" s="1">
        <f>IF(L254="Aceptada",1,0)</f>
        <v/>
      </c>
      <c r="U254" s="1">
        <f>IF(OR(L254="Realizada completa",L254="Realizada incompleta"),1,0)</f>
        <v/>
      </c>
      <c r="V254" s="1">
        <f>IF(L254="Sin respuesta",1,0)</f>
        <v/>
      </c>
    </row>
    <row r="255">
      <c r="A255" s="1" t="inlineStr">
        <is>
          <t>254</t>
        </is>
      </c>
      <c r="B255" s="1" t="inlineStr">
        <is>
          <t>María Dolores Gutiérrez</t>
        </is>
      </c>
      <c r="C255" s="1" t="inlineStr">
        <is>
          <t>Orientadoras Judiciales</t>
        </is>
      </c>
      <c r="D255" s="1" t="inlineStr">
        <is>
          <t>Entrevista de actores clave</t>
        </is>
      </c>
      <c r="E255" s="1" t="inlineStr">
        <is>
          <t>Acompañantes</t>
        </is>
      </c>
      <c r="F255" s="1" t="inlineStr">
        <is>
          <t>Nacional</t>
        </is>
      </c>
      <c r="G255" s="1" t="inlineStr">
        <is>
          <t>IJM</t>
        </is>
      </c>
      <c r="H255" s="1" t="inlineStr">
        <is>
          <t>No</t>
        </is>
      </c>
      <c r="I255" s="2" t="str"/>
      <c r="J255" s="2" t="str"/>
      <c r="K255" s="2" t="str"/>
      <c r="L255" s="1" t="str"/>
      <c r="M255" s="2" t="str"/>
      <c r="N255" s="2" t="str"/>
      <c r="O255" s="1" t="str"/>
      <c r="P255" s="1" t="str"/>
      <c r="Q255" s="1" t="str"/>
      <c r="R255" s="1">
        <f>IF(H255="Sí",1,0)</f>
        <v/>
      </c>
      <c r="S255" s="1">
        <f>IF(L255="En coordinación",1,0)</f>
        <v/>
      </c>
      <c r="T255" s="1">
        <f>IF(L255="Aceptada",1,0)</f>
        <v/>
      </c>
      <c r="U255" s="1">
        <f>IF(OR(L255="Realizada completa",L255="Realizada incompleta"),1,0)</f>
        <v/>
      </c>
      <c r="V255" s="1">
        <f>IF(L255="Sin respuesta",1,0)</f>
        <v/>
      </c>
    </row>
    <row r="256">
      <c r="A256" s="1" t="inlineStr">
        <is>
          <t>255</t>
        </is>
      </c>
      <c r="B256" s="1" t="inlineStr">
        <is>
          <t>Sonia Condori Mitma</t>
        </is>
      </c>
      <c r="C256" s="1" t="inlineStr">
        <is>
          <t>Orientadoras Judiciales</t>
        </is>
      </c>
      <c r="D256" s="1" t="inlineStr">
        <is>
          <t>Entrevista de actores clave</t>
        </is>
      </c>
      <c r="E256" s="1" t="inlineStr">
        <is>
          <t>Acompañantes</t>
        </is>
      </c>
      <c r="F256" s="1" t="inlineStr">
        <is>
          <t>Distrito Judicial: Ayacucho</t>
        </is>
      </c>
      <c r="G256" s="1" t="inlineStr">
        <is>
          <t>IJM</t>
        </is>
      </c>
      <c r="H256" s="1" t="inlineStr">
        <is>
          <t>Sí</t>
        </is>
      </c>
      <c r="I256" s="2" t="str"/>
      <c r="J256" s="2" t="str"/>
      <c r="K256" s="2" t="str"/>
      <c r="L256" s="1" t="inlineStr">
        <is>
          <t>Realizada completa</t>
        </is>
      </c>
      <c r="M256" s="2" t="inlineStr">
        <is>
          <t>10-Apr</t>
        </is>
      </c>
      <c r="N256" s="2" t="inlineStr">
        <is>
          <t>10-Apr</t>
        </is>
      </c>
      <c r="O256" s="1" t="inlineStr">
        <is>
          <t>Realizada completa</t>
        </is>
      </c>
      <c r="P256" s="1" t="inlineStr">
        <is>
          <t>48</t>
        </is>
      </c>
      <c r="Q256" s="1" t="inlineStr">
        <is>
          <t>A distancia asistido</t>
        </is>
      </c>
      <c r="R256" s="1">
        <f>IF(H256="Sí",1,0)</f>
        <v/>
      </c>
      <c r="S256" s="1">
        <f>IF(L256="En coordinación",1,0)</f>
        <v/>
      </c>
      <c r="T256" s="1">
        <f>IF(L256="Aceptada",1,0)</f>
        <v/>
      </c>
      <c r="U256" s="1">
        <f>IF(OR(L256="Realizada completa",L256="Realizada incompleta"),1,0)</f>
        <v/>
      </c>
      <c r="V256" s="1">
        <f>IF(L256="Sin respuesta",1,0)</f>
        <v/>
      </c>
    </row>
    <row r="257">
      <c r="A257" s="1" t="inlineStr">
        <is>
          <t>256</t>
        </is>
      </c>
      <c r="B257" s="1" t="inlineStr">
        <is>
          <t>Leyden María Capa Barrios</t>
        </is>
      </c>
      <c r="C257" s="1" t="inlineStr">
        <is>
          <t>Orientadoras Judiciales</t>
        </is>
      </c>
      <c r="D257" s="1" t="inlineStr">
        <is>
          <t>Entrevista de actores clave</t>
        </is>
      </c>
      <c r="E257" s="1" t="inlineStr">
        <is>
          <t>Acompañantes</t>
        </is>
      </c>
      <c r="F257" s="1" t="inlineStr">
        <is>
          <t>Nacional</t>
        </is>
      </c>
      <c r="G257" s="1" t="inlineStr">
        <is>
          <t>IJM</t>
        </is>
      </c>
      <c r="H257" s="1" t="inlineStr">
        <is>
          <t>Sí</t>
        </is>
      </c>
      <c r="I257" s="2" t="inlineStr">
        <is>
          <t xml:space="preserve">  4/8/2026</t>
        </is>
      </c>
      <c r="J257" s="2" t="str"/>
      <c r="K257" s="2" t="str"/>
      <c r="L257" s="1" t="inlineStr">
        <is>
          <t>Realizada completa</t>
        </is>
      </c>
      <c r="M257" s="2" t="inlineStr">
        <is>
          <t>14-Apr</t>
        </is>
      </c>
      <c r="N257" s="2" t="inlineStr">
        <is>
          <t>14-Apr</t>
        </is>
      </c>
      <c r="O257" s="1" t="inlineStr">
        <is>
          <t>Realizada completa</t>
        </is>
      </c>
      <c r="P257" s="1" t="inlineStr">
        <is>
          <t>45</t>
        </is>
      </c>
      <c r="Q257" s="1" t="inlineStr">
        <is>
          <t>A distancia asistido</t>
        </is>
      </c>
      <c r="R257" s="1">
        <f>IF(H257="Sí",1,0)</f>
        <v/>
      </c>
      <c r="S257" s="1">
        <f>IF(L257="En coordinación",1,0)</f>
        <v/>
      </c>
      <c r="T257" s="1">
        <f>IF(L257="Aceptada",1,0)</f>
        <v/>
      </c>
      <c r="U257" s="1">
        <f>IF(OR(L257="Realizada completa",L257="Realizada incompleta"),1,0)</f>
        <v/>
      </c>
      <c r="V257" s="1">
        <f>IF(L257="Sin respuesta",1,0)</f>
        <v/>
      </c>
    </row>
    <row r="258">
      <c r="A258" s="1" t="inlineStr">
        <is>
          <t>257</t>
        </is>
      </c>
      <c r="B258" s="1" t="inlineStr">
        <is>
          <t>Nancy Navarro</t>
        </is>
      </c>
      <c r="C258" s="1" t="inlineStr">
        <is>
          <t>Orientadoras Judiciales</t>
        </is>
      </c>
      <c r="D258" s="1" t="inlineStr">
        <is>
          <t>Entrevista de actores clave</t>
        </is>
      </c>
      <c r="E258" s="1" t="inlineStr">
        <is>
          <t>Acompañantes</t>
        </is>
      </c>
      <c r="F258" s="1" t="inlineStr">
        <is>
          <t>Nacional</t>
        </is>
      </c>
      <c r="G258" s="1" t="inlineStr">
        <is>
          <t>IJM</t>
        </is>
      </c>
      <c r="H258" s="1" t="inlineStr">
        <is>
          <t>No</t>
        </is>
      </c>
      <c r="I258" s="2" t="inlineStr">
        <is>
          <t xml:space="preserve"> 5/29/2026</t>
        </is>
      </c>
      <c r="J258" s="2" t="str"/>
      <c r="K258" s="2" t="str"/>
      <c r="L258" s="1" t="inlineStr">
        <is>
          <t>Sin respuesta</t>
        </is>
      </c>
      <c r="M258" s="2" t="str"/>
      <c r="N258" s="2" t="str"/>
      <c r="O258" s="1" t="inlineStr">
        <is>
          <t>Sin respuesta</t>
        </is>
      </c>
      <c r="P258" s="1" t="str"/>
      <c r="Q258" s="1" t="str"/>
      <c r="R258" s="1">
        <f>IF(H258="Sí",1,0)</f>
        <v/>
      </c>
      <c r="S258" s="1">
        <f>IF(L258="En coordinación",1,0)</f>
        <v/>
      </c>
      <c r="T258" s="1">
        <f>IF(L258="Aceptada",1,0)</f>
        <v/>
      </c>
      <c r="U258" s="1">
        <f>IF(OR(L258="Realizada completa",L258="Realizada incompleta"),1,0)</f>
        <v/>
      </c>
      <c r="V258" s="1">
        <f>IF(L258="Sin respuesta",1,0)</f>
        <v/>
      </c>
    </row>
    <row r="259">
      <c r="A259" s="1" t="inlineStr">
        <is>
          <t>258</t>
        </is>
      </c>
      <c r="B259" s="1" t="inlineStr">
        <is>
          <t>Rosa Rivera</t>
        </is>
      </c>
      <c r="C259" s="1" t="inlineStr">
        <is>
          <t>Orientadoras Judiciales</t>
        </is>
      </c>
      <c r="D259" s="1" t="inlineStr">
        <is>
          <t>Entrevista de actores clave</t>
        </is>
      </c>
      <c r="E259" s="1" t="inlineStr">
        <is>
          <t>Acompañantes</t>
        </is>
      </c>
      <c r="F259" s="1" t="inlineStr">
        <is>
          <t>Nacional</t>
        </is>
      </c>
      <c r="G259" s="1" t="inlineStr">
        <is>
          <t>IJM</t>
        </is>
      </c>
      <c r="H259" s="1" t="inlineStr">
        <is>
          <t>No</t>
        </is>
      </c>
      <c r="I259" s="2" t="str"/>
      <c r="J259" s="2" t="str"/>
      <c r="K259" s="2" t="str"/>
      <c r="L259" s="1" t="str"/>
      <c r="M259" s="2" t="str"/>
      <c r="N259" s="2" t="str"/>
      <c r="O259" s="1" t="str"/>
      <c r="P259" s="1" t="str"/>
      <c r="Q259" s="1" t="str"/>
      <c r="R259" s="1">
        <f>IF(H259="Sí",1,0)</f>
        <v/>
      </c>
      <c r="S259" s="1">
        <f>IF(L259="En coordinación",1,0)</f>
        <v/>
      </c>
      <c r="T259" s="1">
        <f>IF(L259="Aceptada",1,0)</f>
        <v/>
      </c>
      <c r="U259" s="1">
        <f>IF(OR(L259="Realizada completa",L259="Realizada incompleta"),1,0)</f>
        <v/>
      </c>
      <c r="V259" s="1">
        <f>IF(L259="Sin respuesta",1,0)</f>
        <v/>
      </c>
    </row>
    <row r="260">
      <c r="A260" s="1" t="inlineStr">
        <is>
          <t>259</t>
        </is>
      </c>
      <c r="B260" s="1" t="inlineStr">
        <is>
          <t>Jhinna Pinclu Calaypo</t>
        </is>
      </c>
      <c r="C260" s="1" t="inlineStr">
        <is>
          <t>Orientadoras Judiciales</t>
        </is>
      </c>
      <c r="D260" s="1" t="inlineStr">
        <is>
          <t>Entrevista de actores clave</t>
        </is>
      </c>
      <c r="E260" s="1" t="inlineStr">
        <is>
          <t>Acompañantes</t>
        </is>
      </c>
      <c r="F260" s="1" t="inlineStr">
        <is>
          <t>Nacional</t>
        </is>
      </c>
      <c r="G260" s="1" t="inlineStr">
        <is>
          <t>IJM</t>
        </is>
      </c>
      <c r="H260" s="1" t="inlineStr">
        <is>
          <t>No</t>
        </is>
      </c>
      <c r="I260" s="2" t="str"/>
      <c r="J260" s="2" t="str"/>
      <c r="K260" s="2" t="str"/>
      <c r="L260" s="1" t="str"/>
      <c r="M260" s="2" t="str"/>
      <c r="N260" s="2" t="str"/>
      <c r="O260" s="1" t="str"/>
      <c r="P260" s="1" t="str"/>
      <c r="Q260" s="1" t="str"/>
      <c r="R260" s="1">
        <f>IF(H260="Sí",1,0)</f>
        <v/>
      </c>
      <c r="S260" s="1">
        <f>IF(L260="En coordinación",1,0)</f>
        <v/>
      </c>
      <c r="T260" s="1">
        <f>IF(L260="Aceptada",1,0)</f>
        <v/>
      </c>
      <c r="U260" s="1">
        <f>IF(OR(L260="Realizada completa",L260="Realizada incompleta"),1,0)</f>
        <v/>
      </c>
      <c r="V260" s="1">
        <f>IF(L260="Sin respuesta",1,0)</f>
        <v/>
      </c>
    </row>
    <row r="261">
      <c r="A261" s="1" t="inlineStr">
        <is>
          <t>260</t>
        </is>
      </c>
      <c r="B261" s="1" t="inlineStr">
        <is>
          <t>Walter Eleodoro Martinez Laura</t>
        </is>
      </c>
      <c r="C261" s="1" t="inlineStr">
        <is>
          <t>Defensa Pública</t>
        </is>
      </c>
      <c r="D261" s="1" t="inlineStr">
        <is>
          <t>Entrevista de actores clave</t>
        </is>
      </c>
      <c r="E261" s="1" t="inlineStr">
        <is>
          <t>Funcionarios del Sistema</t>
        </is>
      </c>
      <c r="F261" s="1" t="inlineStr">
        <is>
          <t>Nacional</t>
        </is>
      </c>
      <c r="G261" s="1" t="inlineStr">
        <is>
          <t>IJM</t>
        </is>
      </c>
      <c r="H261" s="1" t="inlineStr">
        <is>
          <t>Sí</t>
        </is>
      </c>
      <c r="I261" s="2" t="inlineStr">
        <is>
          <t xml:space="preserve">  5/5/2026</t>
        </is>
      </c>
      <c r="J261" s="2" t="str"/>
      <c r="K261" s="2" t="str"/>
      <c r="L261" s="1" t="inlineStr">
        <is>
          <t>Sin respuesta</t>
        </is>
      </c>
      <c r="M261" s="2" t="str"/>
      <c r="N261" s="2" t="str"/>
      <c r="O261" s="1" t="inlineStr">
        <is>
          <t>Sin respuesta</t>
        </is>
      </c>
      <c r="P261" s="1" t="str"/>
      <c r="Q261" s="1" t="str"/>
      <c r="R261" s="1">
        <f>IF(H261="Sí",1,0)</f>
        <v/>
      </c>
      <c r="S261" s="1">
        <f>IF(L261="En coordinación",1,0)</f>
        <v/>
      </c>
      <c r="T261" s="1">
        <f>IF(L261="Aceptada",1,0)</f>
        <v/>
      </c>
      <c r="U261" s="1">
        <f>IF(OR(L261="Realizada completa",L261="Realizada incompleta"),1,0)</f>
        <v/>
      </c>
      <c r="V261" s="1">
        <f>IF(L261="Sin respuesta",1,0)</f>
        <v/>
      </c>
    </row>
    <row r="262">
      <c r="A262" s="1" t="inlineStr">
        <is>
          <t>261</t>
        </is>
      </c>
      <c r="B262" s="1" t="inlineStr">
        <is>
          <t>Julio Cesar Zumaeta Hernandez</t>
        </is>
      </c>
      <c r="C262" s="1" t="inlineStr">
        <is>
          <t>Defensa Pública</t>
        </is>
      </c>
      <c r="D262" s="1" t="inlineStr">
        <is>
          <t>Entrevista de actores clave</t>
        </is>
      </c>
      <c r="E262" s="1" t="inlineStr">
        <is>
          <t>Funcionarios del Sistema</t>
        </is>
      </c>
      <c r="F262" s="1" t="inlineStr">
        <is>
          <t>Nacional</t>
        </is>
      </c>
      <c r="G262" s="1" t="inlineStr">
        <is>
          <t>IJM</t>
        </is>
      </c>
      <c r="H262" s="1" t="inlineStr">
        <is>
          <t>Sí</t>
        </is>
      </c>
      <c r="I262" s="2" t="inlineStr">
        <is>
          <t xml:space="preserve">  5/5/2026</t>
        </is>
      </c>
      <c r="J262" s="2" t="str"/>
      <c r="K262" s="2" t="str"/>
      <c r="L262" s="1" t="inlineStr">
        <is>
          <t>Sin respuesta</t>
        </is>
      </c>
      <c r="M262" s="2" t="str"/>
      <c r="N262" s="2" t="str"/>
      <c r="O262" s="1" t="inlineStr">
        <is>
          <t>Sin respuesta</t>
        </is>
      </c>
      <c r="P262" s="1" t="str"/>
      <c r="Q262" s="1" t="str"/>
      <c r="R262" s="1">
        <f>IF(H262="Sí",1,0)</f>
        <v/>
      </c>
      <c r="S262" s="1">
        <f>IF(L262="En coordinación",1,0)</f>
        <v/>
      </c>
      <c r="T262" s="1">
        <f>IF(L262="Aceptada",1,0)</f>
        <v/>
      </c>
      <c r="U262" s="1">
        <f>IF(OR(L262="Realizada completa",L262="Realizada incompleta"),1,0)</f>
        <v/>
      </c>
      <c r="V262" s="1">
        <f>IF(L262="Sin respuesta",1,0)</f>
        <v/>
      </c>
    </row>
    <row r="263">
      <c r="A263" s="1" t="inlineStr">
        <is>
          <t>262</t>
        </is>
      </c>
      <c r="B263" s="1" t="inlineStr">
        <is>
          <t>Raul Eduardo Melgarejo Olortegui</t>
        </is>
      </c>
      <c r="C263" s="1" t="inlineStr">
        <is>
          <t>Defensa Pública</t>
        </is>
      </c>
      <c r="D263" s="1" t="inlineStr">
        <is>
          <t>Entrevista de actores clave</t>
        </is>
      </c>
      <c r="E263" s="1" t="inlineStr">
        <is>
          <t>Funcionarios del Sistema</t>
        </is>
      </c>
      <c r="F263" s="1" t="inlineStr">
        <is>
          <t>Nacional</t>
        </is>
      </c>
      <c r="G263" s="1" t="inlineStr">
        <is>
          <t>IJM</t>
        </is>
      </c>
      <c r="H263" s="1" t="inlineStr">
        <is>
          <t>Sí</t>
        </is>
      </c>
      <c r="I263" s="2" t="inlineStr">
        <is>
          <t xml:space="preserve">  5/5/2026</t>
        </is>
      </c>
      <c r="J263" s="2" t="str"/>
      <c r="K263" s="2" t="str"/>
      <c r="L263" s="1" t="inlineStr">
        <is>
          <t>Sin respuesta</t>
        </is>
      </c>
      <c r="M263" s="2" t="str"/>
      <c r="N263" s="2" t="str"/>
      <c r="O263" s="1" t="inlineStr">
        <is>
          <t>Sin respuesta</t>
        </is>
      </c>
      <c r="P263" s="1" t="str"/>
      <c r="Q263" s="1" t="str"/>
      <c r="R263" s="1">
        <f>IF(H263="Sí",1,0)</f>
        <v/>
      </c>
      <c r="S263" s="1">
        <f>IF(L263="En coordinación",1,0)</f>
        <v/>
      </c>
      <c r="T263" s="1">
        <f>IF(L263="Aceptada",1,0)</f>
        <v/>
      </c>
      <c r="U263" s="1">
        <f>IF(OR(L263="Realizada completa",L263="Realizada incompleta"),1,0)</f>
        <v/>
      </c>
      <c r="V263" s="1">
        <f>IF(L263="Sin respuesta",1,0)</f>
        <v/>
      </c>
    </row>
    <row r="264">
      <c r="A264" s="1" t="inlineStr">
        <is>
          <t>263</t>
        </is>
      </c>
      <c r="B264" s="1" t="inlineStr">
        <is>
          <t>Silber Sanchez Camacho</t>
        </is>
      </c>
      <c r="C264" s="1" t="inlineStr">
        <is>
          <t>Defensa Pública</t>
        </is>
      </c>
      <c r="D264" s="1" t="inlineStr">
        <is>
          <t>Entrevista de actores clave</t>
        </is>
      </c>
      <c r="E264" s="1" t="inlineStr">
        <is>
          <t>Funcionarios del Sistema</t>
        </is>
      </c>
      <c r="F264" s="1" t="inlineStr">
        <is>
          <t>Distrito Judicial: Lima Norte</t>
        </is>
      </c>
      <c r="G264" s="1" t="inlineStr">
        <is>
          <t>IJM</t>
        </is>
      </c>
      <c r="H264" s="1" t="inlineStr">
        <is>
          <t>Sí</t>
        </is>
      </c>
      <c r="I264" s="2" t="inlineStr">
        <is>
          <t>Sin respuesta</t>
        </is>
      </c>
      <c r="J264" s="2" t="inlineStr">
        <is>
          <t xml:space="preserve">  6/6/2026</t>
        </is>
      </c>
      <c r="K264" s="2" t="str"/>
      <c r="L264" s="1" t="inlineStr">
        <is>
          <t>En coordinación</t>
        </is>
      </c>
      <c r="M264" s="2" t="str"/>
      <c r="N264" s="2" t="str"/>
      <c r="O264" s="1" t="inlineStr">
        <is>
          <t>En coordinación</t>
        </is>
      </c>
      <c r="P264" s="1" t="str"/>
      <c r="Q264" s="1" t="str"/>
      <c r="R264" s="1">
        <f>IF(H264="Sí",1,0)</f>
        <v/>
      </c>
      <c r="S264" s="1">
        <f>IF(L264="En coordinación",1,0)</f>
        <v/>
      </c>
      <c r="T264" s="1">
        <f>IF(L264="Aceptada",1,0)</f>
        <v/>
      </c>
      <c r="U264" s="1">
        <f>IF(OR(L264="Realizada completa",L264="Realizada incompleta"),1,0)</f>
        <v/>
      </c>
      <c r="V264" s="1">
        <f>IF(L264="Sin respuesta",1,0)</f>
        <v/>
      </c>
    </row>
    <row r="265">
      <c r="A265" s="1" t="inlineStr">
        <is>
          <t>264</t>
        </is>
      </c>
      <c r="B265" s="1" t="inlineStr">
        <is>
          <t>Elena Zoila Villegas Portilla</t>
        </is>
      </c>
      <c r="C265" s="1" t="inlineStr">
        <is>
          <t>Defensa Pública</t>
        </is>
      </c>
      <c r="D265" s="1" t="inlineStr">
        <is>
          <t>Entrevista de actores clave</t>
        </is>
      </c>
      <c r="E265" s="1" t="inlineStr">
        <is>
          <t>Funcionarios del Sistema</t>
        </is>
      </c>
      <c r="F265" s="1" t="inlineStr">
        <is>
          <t>Nacional</t>
        </is>
      </c>
      <c r="G265" s="1" t="inlineStr">
        <is>
          <t>IJM</t>
        </is>
      </c>
      <c r="H265" s="1" t="inlineStr">
        <is>
          <t>Sí</t>
        </is>
      </c>
      <c r="I265" s="2" t="inlineStr">
        <is>
          <t xml:space="preserve">  5/5/2026</t>
        </is>
      </c>
      <c r="J265" s="2" t="str"/>
      <c r="K265" s="2" t="str"/>
      <c r="L265" s="1" t="inlineStr">
        <is>
          <t>Realizada completa</t>
        </is>
      </c>
      <c r="M265" s="2" t="inlineStr">
        <is>
          <t>24-Apr</t>
        </is>
      </c>
      <c r="N265" s="2" t="inlineStr">
        <is>
          <t>24-Apr</t>
        </is>
      </c>
      <c r="O265" s="1" t="inlineStr">
        <is>
          <t>Realizada completa</t>
        </is>
      </c>
      <c r="P265" s="1" t="inlineStr">
        <is>
          <t>30</t>
        </is>
      </c>
      <c r="Q265" s="1" t="inlineStr">
        <is>
          <t>A distancia asistido</t>
        </is>
      </c>
      <c r="R265" s="1">
        <f>IF(H265="Sí",1,0)</f>
        <v/>
      </c>
      <c r="S265" s="1">
        <f>IF(L265="En coordinación",1,0)</f>
        <v/>
      </c>
      <c r="T265" s="1">
        <f>IF(L265="Aceptada",1,0)</f>
        <v/>
      </c>
      <c r="U265" s="1">
        <f>IF(OR(L265="Realizada completa",L265="Realizada incompleta"),1,0)</f>
        <v/>
      </c>
      <c r="V265" s="1">
        <f>IF(L265="Sin respuesta",1,0)</f>
        <v/>
      </c>
    </row>
    <row r="266">
      <c r="A266" s="1" t="inlineStr">
        <is>
          <t>265</t>
        </is>
      </c>
      <c r="B266" s="1" t="inlineStr">
        <is>
          <t>Wilver Felix Bautista Vallejo</t>
        </is>
      </c>
      <c r="C266" s="1" t="inlineStr">
        <is>
          <t>Defensa Pública</t>
        </is>
      </c>
      <c r="D266" s="1" t="inlineStr">
        <is>
          <t>Entrevista de actores clave</t>
        </is>
      </c>
      <c r="E266" s="1" t="inlineStr">
        <is>
          <t>Funcionarios del Sistema</t>
        </is>
      </c>
      <c r="F266" s="1" t="inlineStr">
        <is>
          <t>Distrito Judicial: Loreto</t>
        </is>
      </c>
      <c r="G266" s="1" t="inlineStr">
        <is>
          <t>IJM</t>
        </is>
      </c>
      <c r="H266" s="1" t="inlineStr">
        <is>
          <t>Sí</t>
        </is>
      </c>
      <c r="I266" s="2" t="inlineStr">
        <is>
          <t xml:space="preserve">  5/5/2026</t>
        </is>
      </c>
      <c r="J266" s="2" t="str"/>
      <c r="K266" s="2" t="str"/>
      <c r="L266" s="1" t="inlineStr">
        <is>
          <t>Sin respuesta</t>
        </is>
      </c>
      <c r="M266" s="2" t="str"/>
      <c r="N266" s="2" t="str"/>
      <c r="O266" s="1" t="inlineStr">
        <is>
          <t>Sin respuesta</t>
        </is>
      </c>
      <c r="P266" s="1" t="str"/>
      <c r="Q266" s="1" t="str"/>
      <c r="R266" s="1">
        <f>IF(H266="Sí",1,0)</f>
        <v/>
      </c>
      <c r="S266" s="1">
        <f>IF(L266="En coordinación",1,0)</f>
        <v/>
      </c>
      <c r="T266" s="1">
        <f>IF(L266="Aceptada",1,0)</f>
        <v/>
      </c>
      <c r="U266" s="1">
        <f>IF(OR(L266="Realizada completa",L266="Realizada incompleta"),1,0)</f>
        <v/>
      </c>
      <c r="V266" s="1">
        <f>IF(L266="Sin respuesta",1,0)</f>
        <v/>
      </c>
    </row>
    <row r="267">
      <c r="A267" s="1" t="inlineStr">
        <is>
          <t>266</t>
        </is>
      </c>
      <c r="B267" s="1" t="inlineStr">
        <is>
          <t>Andy William Guevara Acuña</t>
        </is>
      </c>
      <c r="C267" s="1" t="inlineStr">
        <is>
          <t>Defensa Pública</t>
        </is>
      </c>
      <c r="D267" s="1" t="inlineStr">
        <is>
          <t>Entrevista de actores clave</t>
        </is>
      </c>
      <c r="E267" s="1" t="inlineStr">
        <is>
          <t>Funcionarios del Sistema</t>
        </is>
      </c>
      <c r="F267" s="1" t="inlineStr">
        <is>
          <t>Distrito Judicial: Loreto</t>
        </is>
      </c>
      <c r="G267" s="1" t="inlineStr">
        <is>
          <t>IJM</t>
        </is>
      </c>
      <c r="H267" s="1" t="inlineStr">
        <is>
          <t>Sí</t>
        </is>
      </c>
      <c r="I267" s="2" t="inlineStr">
        <is>
          <t xml:space="preserve">  5/5/2026</t>
        </is>
      </c>
      <c r="J267" s="2" t="str"/>
      <c r="K267" s="2" t="str"/>
      <c r="L267" s="1" t="inlineStr">
        <is>
          <t>Sin respuesta</t>
        </is>
      </c>
      <c r="M267" s="2" t="str"/>
      <c r="N267" s="2" t="str"/>
      <c r="O267" s="1" t="inlineStr">
        <is>
          <t>Sin respuesta</t>
        </is>
      </c>
      <c r="P267" s="1" t="str"/>
      <c r="Q267" s="1" t="str"/>
      <c r="R267" s="1">
        <f>IF(H267="Sí",1,0)</f>
        <v/>
      </c>
      <c r="S267" s="1">
        <f>IF(L267="En coordinación",1,0)</f>
        <v/>
      </c>
      <c r="T267" s="1">
        <f>IF(L267="Aceptada",1,0)</f>
        <v/>
      </c>
      <c r="U267" s="1">
        <f>IF(OR(L267="Realizada completa",L267="Realizada incompleta"),1,0)</f>
        <v/>
      </c>
      <c r="V267" s="1">
        <f>IF(L267="Sin respuesta",1,0)</f>
        <v/>
      </c>
    </row>
    <row r="268">
      <c r="A268" s="1" t="inlineStr">
        <is>
          <t>267</t>
        </is>
      </c>
      <c r="B268" s="1" t="inlineStr">
        <is>
          <t>Richard Florentino Ponciano Anchante</t>
        </is>
      </c>
      <c r="C268" s="1" t="inlineStr">
        <is>
          <t>Defensa Pública</t>
        </is>
      </c>
      <c r="D268" s="1" t="inlineStr">
        <is>
          <t>Entrevista de actores clave</t>
        </is>
      </c>
      <c r="E268" s="1" t="inlineStr">
        <is>
          <t>Funcionarios del Sistema</t>
        </is>
      </c>
      <c r="F268" s="1" t="inlineStr">
        <is>
          <t>Nacional</t>
        </is>
      </c>
      <c r="G268" s="1" t="inlineStr">
        <is>
          <t>IJM</t>
        </is>
      </c>
      <c r="H268" s="1" t="inlineStr">
        <is>
          <t>Sí</t>
        </is>
      </c>
      <c r="I268" s="2" t="inlineStr">
        <is>
          <t xml:space="preserve">  5/5/2026</t>
        </is>
      </c>
      <c r="J268" s="2" t="inlineStr">
        <is>
          <t xml:space="preserve">  6/3/2026</t>
        </is>
      </c>
      <c r="K268" s="2" t="str"/>
      <c r="L268" s="1" t="inlineStr">
        <is>
          <t>En coordinación</t>
        </is>
      </c>
      <c r="M268" s="2" t="str"/>
      <c r="N268" s="2" t="str"/>
      <c r="O268" s="1" t="inlineStr">
        <is>
          <t>En coordinación</t>
        </is>
      </c>
      <c r="P268" s="1" t="str"/>
      <c r="Q268" s="1" t="str"/>
      <c r="R268" s="1">
        <f>IF(H268="Sí",1,0)</f>
        <v/>
      </c>
      <c r="S268" s="1">
        <f>IF(L268="En coordinación",1,0)</f>
        <v/>
      </c>
      <c r="T268" s="1">
        <f>IF(L268="Aceptada",1,0)</f>
        <v/>
      </c>
      <c r="U268" s="1">
        <f>IF(OR(L268="Realizada completa",L268="Realizada incompleta"),1,0)</f>
        <v/>
      </c>
      <c r="V268" s="1">
        <f>IF(L268="Sin respuesta",1,0)</f>
        <v/>
      </c>
    </row>
    <row r="269">
      <c r="A269" s="1" t="inlineStr">
        <is>
          <t>268</t>
        </is>
      </c>
      <c r="B269" s="1" t="inlineStr">
        <is>
          <t>Karla Lisseth Medina Grimaldo</t>
        </is>
      </c>
      <c r="C269" s="1" t="inlineStr">
        <is>
          <t>Defensa Pública</t>
        </is>
      </c>
      <c r="D269" s="1" t="inlineStr">
        <is>
          <t>Entrevista de actores clave</t>
        </is>
      </c>
      <c r="E269" s="1" t="inlineStr">
        <is>
          <t>Funcionarios del Sistema</t>
        </is>
      </c>
      <c r="F269" s="1" t="inlineStr">
        <is>
          <t>Nacional</t>
        </is>
      </c>
      <c r="G269" s="1" t="inlineStr">
        <is>
          <t>IJM</t>
        </is>
      </c>
      <c r="H269" s="1" t="inlineStr">
        <is>
          <t>Sí</t>
        </is>
      </c>
      <c r="I269" s="2" t="inlineStr">
        <is>
          <t xml:space="preserve">  5/5/2026</t>
        </is>
      </c>
      <c r="J269" s="2" t="str"/>
      <c r="K269" s="2" t="str"/>
      <c r="L269" s="1" t="inlineStr">
        <is>
          <t>Sin respuesta</t>
        </is>
      </c>
      <c r="M269" s="2" t="str"/>
      <c r="N269" s="2" t="str"/>
      <c r="O269" s="1" t="inlineStr">
        <is>
          <t>Sin respuesta</t>
        </is>
      </c>
      <c r="P269" s="1" t="str"/>
      <c r="Q269" s="1" t="str"/>
      <c r="R269" s="1">
        <f>IF(H269="Sí",1,0)</f>
        <v/>
      </c>
      <c r="S269" s="1">
        <f>IF(L269="En coordinación",1,0)</f>
        <v/>
      </c>
      <c r="T269" s="1">
        <f>IF(L269="Aceptada",1,0)</f>
        <v/>
      </c>
      <c r="U269" s="1">
        <f>IF(OR(L269="Realizada completa",L269="Realizada incompleta"),1,0)</f>
        <v/>
      </c>
      <c r="V269" s="1">
        <f>IF(L269="Sin respuesta",1,0)</f>
        <v/>
      </c>
    </row>
    <row r="270">
      <c r="A270" s="1" t="inlineStr">
        <is>
          <t>269</t>
        </is>
      </c>
      <c r="B270" s="1" t="inlineStr">
        <is>
          <t>Robert Chavez Hurtado</t>
        </is>
      </c>
      <c r="C270" s="1" t="inlineStr">
        <is>
          <t>Defensa Pública</t>
        </is>
      </c>
      <c r="D270" s="1" t="inlineStr">
        <is>
          <t>Entrevista de actores clave</t>
        </is>
      </c>
      <c r="E270" s="1" t="inlineStr">
        <is>
          <t>Acompañantes</t>
        </is>
      </c>
      <c r="F270" s="1" t="inlineStr">
        <is>
          <t>Nacional</t>
        </is>
      </c>
      <c r="G270" s="1" t="inlineStr">
        <is>
          <t>IJM</t>
        </is>
      </c>
      <c r="H270" s="1" t="inlineStr">
        <is>
          <t>No</t>
        </is>
      </c>
      <c r="I270" s="2" t="str"/>
      <c r="J270" s="2" t="str"/>
      <c r="K270" s="2" t="str"/>
      <c r="L270" s="1" t="str"/>
      <c r="M270" s="2" t="str"/>
      <c r="N270" s="2" t="str"/>
      <c r="O270" s="1" t="str"/>
      <c r="P270" s="1" t="str"/>
      <c r="Q270" s="1" t="str"/>
      <c r="R270" s="1">
        <f>IF(H270="Sí",1,0)</f>
        <v/>
      </c>
      <c r="S270" s="1">
        <f>IF(L270="En coordinación",1,0)</f>
        <v/>
      </c>
      <c r="T270" s="1">
        <f>IF(L270="Aceptada",1,0)</f>
        <v/>
      </c>
      <c r="U270" s="1">
        <f>IF(OR(L270="Realizada completa",L270="Realizada incompleta"),1,0)</f>
        <v/>
      </c>
      <c r="V270" s="1">
        <f>IF(L270="Sin respuesta",1,0)</f>
        <v/>
      </c>
    </row>
    <row r="271">
      <c r="A271" s="1" t="inlineStr">
        <is>
          <t>270</t>
        </is>
      </c>
      <c r="B271" s="1" t="inlineStr">
        <is>
          <t>Sthevens Alain Cunya Ordoñez</t>
        </is>
      </c>
      <c r="C271" s="1" t="inlineStr">
        <is>
          <t>Defensa Pública</t>
        </is>
      </c>
      <c r="D271" s="1" t="inlineStr">
        <is>
          <t>Entrevista de actores clave</t>
        </is>
      </c>
      <c r="E271" s="1" t="inlineStr">
        <is>
          <t>Acompañantes</t>
        </is>
      </c>
      <c r="F271" s="1" t="inlineStr">
        <is>
          <t>Nacional</t>
        </is>
      </c>
      <c r="G271" s="1" t="inlineStr">
        <is>
          <t>IJM</t>
        </is>
      </c>
      <c r="H271" s="1" t="inlineStr">
        <is>
          <t>No</t>
        </is>
      </c>
      <c r="I271" s="2" t="str"/>
      <c r="J271" s="2" t="str"/>
      <c r="K271" s="2" t="str"/>
      <c r="L271" s="1" t="str"/>
      <c r="M271" s="2" t="str"/>
      <c r="N271" s="2" t="str"/>
      <c r="O271" s="1" t="str"/>
      <c r="P271" s="1" t="str"/>
      <c r="Q271" s="1" t="str"/>
      <c r="R271" s="1">
        <f>IF(H271="Sí",1,0)</f>
        <v/>
      </c>
      <c r="S271" s="1">
        <f>IF(L271="En coordinación",1,0)</f>
        <v/>
      </c>
      <c r="T271" s="1">
        <f>IF(L271="Aceptada",1,0)</f>
        <v/>
      </c>
      <c r="U271" s="1">
        <f>IF(OR(L271="Realizada completa",L271="Realizada incompleta"),1,0)</f>
        <v/>
      </c>
      <c r="V271" s="1">
        <f>IF(L271="Sin respuesta",1,0)</f>
        <v/>
      </c>
    </row>
    <row r="272">
      <c r="A272" s="1" t="inlineStr">
        <is>
          <t>271</t>
        </is>
      </c>
      <c r="B272" s="1" t="inlineStr">
        <is>
          <t>Carmen Cecilia Cook Gonzales</t>
        </is>
      </c>
      <c r="C272" s="1" t="inlineStr">
        <is>
          <t>Defensa Pública</t>
        </is>
      </c>
      <c r="D272" s="1" t="inlineStr">
        <is>
          <t>Entrevista de actores clave</t>
        </is>
      </c>
      <c r="E272" s="1" t="inlineStr">
        <is>
          <t>Acompañantes</t>
        </is>
      </c>
      <c r="F272" s="1" t="inlineStr">
        <is>
          <t>Nacional</t>
        </is>
      </c>
      <c r="G272" s="1" t="inlineStr">
        <is>
          <t>IJM</t>
        </is>
      </c>
      <c r="H272" s="1" t="inlineStr">
        <is>
          <t>No</t>
        </is>
      </c>
      <c r="I272" s="2" t="str"/>
      <c r="J272" s="2" t="str"/>
      <c r="K272" s="2" t="str"/>
      <c r="L272" s="1" t="str"/>
      <c r="M272" s="2" t="str"/>
      <c r="N272" s="2" t="str"/>
      <c r="O272" s="1" t="str"/>
      <c r="P272" s="1" t="str"/>
      <c r="Q272" s="1" t="str"/>
      <c r="R272" s="1">
        <f>IF(H272="Sí",1,0)</f>
        <v/>
      </c>
      <c r="S272" s="1">
        <f>IF(L272="En coordinación",1,0)</f>
        <v/>
      </c>
      <c r="T272" s="1">
        <f>IF(L272="Aceptada",1,0)</f>
        <v/>
      </c>
      <c r="U272" s="1">
        <f>IF(OR(L272="Realizada completa",L272="Realizada incompleta"),1,0)</f>
        <v/>
      </c>
      <c r="V272" s="1">
        <f>IF(L272="Sin respuesta",1,0)</f>
        <v/>
      </c>
    </row>
    <row r="273">
      <c r="A273" s="1" t="inlineStr">
        <is>
          <t>272</t>
        </is>
      </c>
      <c r="B273" s="1" t="inlineStr">
        <is>
          <t>Rolando Federico Depaz Hizo</t>
        </is>
      </c>
      <c r="C273" s="1" t="inlineStr">
        <is>
          <t>Defensa Pública</t>
        </is>
      </c>
      <c r="D273" s="1" t="inlineStr">
        <is>
          <t>Entrevista de actores clave</t>
        </is>
      </c>
      <c r="E273" s="1" t="inlineStr">
        <is>
          <t>Acompañantes</t>
        </is>
      </c>
      <c r="F273" s="1" t="inlineStr">
        <is>
          <t>Nacional</t>
        </is>
      </c>
      <c r="G273" s="1" t="inlineStr">
        <is>
          <t>IJM</t>
        </is>
      </c>
      <c r="H273" s="1" t="inlineStr">
        <is>
          <t>No</t>
        </is>
      </c>
      <c r="I273" s="2" t="str"/>
      <c r="J273" s="2" t="str"/>
      <c r="K273" s="2" t="str"/>
      <c r="L273" s="1" t="str"/>
      <c r="M273" s="2" t="str"/>
      <c r="N273" s="2" t="str"/>
      <c r="O273" s="1" t="str"/>
      <c r="P273" s="1" t="str"/>
      <c r="Q273" s="1" t="str"/>
      <c r="R273" s="1">
        <f>IF(H273="Sí",1,0)</f>
        <v/>
      </c>
      <c r="S273" s="1">
        <f>IF(L273="En coordinación",1,0)</f>
        <v/>
      </c>
      <c r="T273" s="1">
        <f>IF(L273="Aceptada",1,0)</f>
        <v/>
      </c>
      <c r="U273" s="1">
        <f>IF(OR(L273="Realizada completa",L273="Realizada incompleta"),1,0)</f>
        <v/>
      </c>
      <c r="V273" s="1">
        <f>IF(L273="Sin respuesta",1,0)</f>
        <v/>
      </c>
    </row>
    <row r="274">
      <c r="A274" s="1" t="inlineStr">
        <is>
          <t>273</t>
        </is>
      </c>
      <c r="B274" s="1" t="inlineStr">
        <is>
          <t>Gustavo Joe Matta Nuñez</t>
        </is>
      </c>
      <c r="C274" s="1" t="inlineStr">
        <is>
          <t>Defensa Pública</t>
        </is>
      </c>
      <c r="D274" s="1" t="inlineStr">
        <is>
          <t>Entrevista de actores clave</t>
        </is>
      </c>
      <c r="E274" s="1" t="inlineStr">
        <is>
          <t>Acompañantes</t>
        </is>
      </c>
      <c r="F274" s="1" t="inlineStr">
        <is>
          <t>Nacional</t>
        </is>
      </c>
      <c r="G274" s="1" t="inlineStr">
        <is>
          <t>IJM</t>
        </is>
      </c>
      <c r="H274" s="1" t="inlineStr">
        <is>
          <t>No</t>
        </is>
      </c>
      <c r="I274" s="2" t="str"/>
      <c r="J274" s="2" t="str"/>
      <c r="K274" s="2" t="str"/>
      <c r="L274" s="1" t="str"/>
      <c r="M274" s="2" t="str"/>
      <c r="N274" s="2" t="str"/>
      <c r="O274" s="1" t="str"/>
      <c r="P274" s="1" t="str"/>
      <c r="Q274" s="1" t="str"/>
      <c r="R274" s="1">
        <f>IF(H274="Sí",1,0)</f>
        <v/>
      </c>
      <c r="S274" s="1">
        <f>IF(L274="En coordinación",1,0)</f>
        <v/>
      </c>
      <c r="T274" s="1">
        <f>IF(L274="Aceptada",1,0)</f>
        <v/>
      </c>
      <c r="U274" s="1">
        <f>IF(OR(L274="Realizada completa",L274="Realizada incompleta"),1,0)</f>
        <v/>
      </c>
      <c r="V274" s="1">
        <f>IF(L274="Sin respuesta",1,0)</f>
        <v/>
      </c>
    </row>
    <row r="275">
      <c r="A275" s="1" t="inlineStr">
        <is>
          <t>274</t>
        </is>
      </c>
      <c r="B275" s="1" t="inlineStr">
        <is>
          <t>María Rosa Marín Villanueva</t>
        </is>
      </c>
      <c r="C275" s="1" t="inlineStr">
        <is>
          <t>Defensa Pública</t>
        </is>
      </c>
      <c r="D275" s="1" t="inlineStr">
        <is>
          <t>Entrevista de actores clave</t>
        </is>
      </c>
      <c r="E275" s="1" t="inlineStr">
        <is>
          <t>Acompañantes</t>
        </is>
      </c>
      <c r="F275" s="1" t="inlineStr">
        <is>
          <t>Nacional</t>
        </is>
      </c>
      <c r="G275" s="1" t="inlineStr">
        <is>
          <t>IJM</t>
        </is>
      </c>
      <c r="H275" s="1" t="inlineStr">
        <is>
          <t>No</t>
        </is>
      </c>
      <c r="I275" s="2" t="str"/>
      <c r="J275" s="2" t="str"/>
      <c r="K275" s="2" t="str"/>
      <c r="L275" s="1" t="str"/>
      <c r="M275" s="2" t="str"/>
      <c r="N275" s="2" t="str"/>
      <c r="O275" s="1" t="str"/>
      <c r="P275" s="1" t="str"/>
      <c r="Q275" s="1" t="str"/>
      <c r="R275" s="1">
        <f>IF(H275="Sí",1,0)</f>
        <v/>
      </c>
      <c r="S275" s="1">
        <f>IF(L275="En coordinación",1,0)</f>
        <v/>
      </c>
      <c r="T275" s="1">
        <f>IF(L275="Aceptada",1,0)</f>
        <v/>
      </c>
      <c r="U275" s="1">
        <f>IF(OR(L275="Realizada completa",L275="Realizada incompleta"),1,0)</f>
        <v/>
      </c>
      <c r="V275" s="1">
        <f>IF(L275="Sin respuesta",1,0)</f>
        <v/>
      </c>
    </row>
    <row r="276">
      <c r="A276" s="1" t="inlineStr">
        <is>
          <t>275</t>
        </is>
      </c>
      <c r="B276" s="1" t="inlineStr">
        <is>
          <t>Samuel Diaz Gonzales</t>
        </is>
      </c>
      <c r="C276" s="1" t="inlineStr">
        <is>
          <t>Defensa Pública</t>
        </is>
      </c>
      <c r="D276" s="1" t="inlineStr">
        <is>
          <t>Entrevista de actores clave</t>
        </is>
      </c>
      <c r="E276" s="1" t="inlineStr">
        <is>
          <t>Acompañantes</t>
        </is>
      </c>
      <c r="F276" s="1" t="inlineStr">
        <is>
          <t>Nacional</t>
        </is>
      </c>
      <c r="G276" s="1" t="inlineStr">
        <is>
          <t>IJM</t>
        </is>
      </c>
      <c r="H276" s="1" t="inlineStr">
        <is>
          <t>No</t>
        </is>
      </c>
      <c r="I276" s="2" t="inlineStr">
        <is>
          <t xml:space="preserve"> 5/29/2026</t>
        </is>
      </c>
      <c r="J276" s="2" t="str"/>
      <c r="K276" s="2" t="str"/>
      <c r="L276" s="1" t="inlineStr">
        <is>
          <t>Sin respuesta</t>
        </is>
      </c>
      <c r="M276" s="2" t="str"/>
      <c r="N276" s="2" t="str"/>
      <c r="O276" s="1" t="inlineStr">
        <is>
          <t>Sin respuesta</t>
        </is>
      </c>
      <c r="P276" s="1" t="str"/>
      <c r="Q276" s="1" t="str"/>
      <c r="R276" s="1">
        <f>IF(H276="Sí",1,0)</f>
        <v/>
      </c>
      <c r="S276" s="1">
        <f>IF(L276="En coordinación",1,0)</f>
        <v/>
      </c>
      <c r="T276" s="1">
        <f>IF(L276="Aceptada",1,0)</f>
        <v/>
      </c>
      <c r="U276" s="1">
        <f>IF(OR(L276="Realizada completa",L276="Realizada incompleta"),1,0)</f>
        <v/>
      </c>
      <c r="V276" s="1">
        <f>IF(L276="Sin respuesta",1,0)</f>
        <v/>
      </c>
    </row>
    <row r="277">
      <c r="A277" s="1" t="inlineStr">
        <is>
          <t>276</t>
        </is>
      </c>
      <c r="B277" s="1" t="inlineStr">
        <is>
          <t>Jorge Manuel Puicon Uceda</t>
        </is>
      </c>
      <c r="C277" s="1" t="inlineStr">
        <is>
          <t>Defensa Pública</t>
        </is>
      </c>
      <c r="D277" s="1" t="inlineStr">
        <is>
          <t>Entrevista de actores clave</t>
        </is>
      </c>
      <c r="E277" s="1" t="inlineStr">
        <is>
          <t>Acompañantes</t>
        </is>
      </c>
      <c r="F277" s="1" t="inlineStr">
        <is>
          <t>Nacional</t>
        </is>
      </c>
      <c r="G277" s="1" t="inlineStr">
        <is>
          <t>IJM</t>
        </is>
      </c>
      <c r="H277" s="1" t="inlineStr">
        <is>
          <t>No</t>
        </is>
      </c>
      <c r="I277" s="2" t="inlineStr">
        <is>
          <t xml:space="preserve"> 5/29/2026</t>
        </is>
      </c>
      <c r="J277" s="2" t="str"/>
      <c r="K277" s="2" t="str"/>
      <c r="L277" s="1" t="inlineStr">
        <is>
          <t>Sin respuesta</t>
        </is>
      </c>
      <c r="M277" s="2" t="str"/>
      <c r="N277" s="2" t="str"/>
      <c r="O277" s="1" t="inlineStr">
        <is>
          <t>Sin respuesta</t>
        </is>
      </c>
      <c r="P277" s="1" t="str"/>
      <c r="Q277" s="1" t="str"/>
      <c r="R277" s="1">
        <f>IF(H277="Sí",1,0)</f>
        <v/>
      </c>
      <c r="S277" s="1">
        <f>IF(L277="En coordinación",1,0)</f>
        <v/>
      </c>
      <c r="T277" s="1">
        <f>IF(L277="Aceptada",1,0)</f>
        <v/>
      </c>
      <c r="U277" s="1">
        <f>IF(OR(L277="Realizada completa",L277="Realizada incompleta"),1,0)</f>
        <v/>
      </c>
      <c r="V277" s="1">
        <f>IF(L277="Sin respuesta",1,0)</f>
        <v/>
      </c>
    </row>
    <row r="278">
      <c r="A278" s="1" t="inlineStr">
        <is>
          <t>277</t>
        </is>
      </c>
      <c r="B278" s="1" t="inlineStr">
        <is>
          <t>Carlos Manuel Gallegos Puma</t>
        </is>
      </c>
      <c r="C278" s="1" t="inlineStr">
        <is>
          <t>Defensa Pública</t>
        </is>
      </c>
      <c r="D278" s="1" t="inlineStr">
        <is>
          <t>Entrevista de actores clave</t>
        </is>
      </c>
      <c r="E278" s="1" t="inlineStr">
        <is>
          <t>Acompañantes</t>
        </is>
      </c>
      <c r="F278" s="1" t="inlineStr">
        <is>
          <t>Distrito Judicial: Ucayali</t>
        </is>
      </c>
      <c r="G278" s="1" t="inlineStr">
        <is>
          <t>IJM</t>
        </is>
      </c>
      <c r="H278" s="1" t="inlineStr">
        <is>
          <t>No</t>
        </is>
      </c>
      <c r="I278" s="2" t="inlineStr">
        <is>
          <t xml:space="preserve"> 5/29/2026</t>
        </is>
      </c>
      <c r="J278" s="2" t="str"/>
      <c r="K278" s="2" t="str"/>
      <c r="L278" s="1" t="inlineStr">
        <is>
          <t>Sin respuesta</t>
        </is>
      </c>
      <c r="M278" s="2" t="str"/>
      <c r="N278" s="2" t="str"/>
      <c r="O278" s="1" t="inlineStr">
        <is>
          <t>Sin respuesta</t>
        </is>
      </c>
      <c r="P278" s="1" t="str"/>
      <c r="Q278" s="1" t="str"/>
      <c r="R278" s="1">
        <f>IF(H278="Sí",1,0)</f>
        <v/>
      </c>
      <c r="S278" s="1">
        <f>IF(L278="En coordinación",1,0)</f>
        <v/>
      </c>
      <c r="T278" s="1">
        <f>IF(L278="Aceptada",1,0)</f>
        <v/>
      </c>
      <c r="U278" s="1">
        <f>IF(OR(L278="Realizada completa",L278="Realizada incompleta"),1,0)</f>
        <v/>
      </c>
      <c r="V278" s="1">
        <f>IF(L278="Sin respuesta",1,0)</f>
        <v/>
      </c>
    </row>
    <row r="279">
      <c r="A279" s="1" t="inlineStr">
        <is>
          <t>278</t>
        </is>
      </c>
      <c r="B279" s="1" t="inlineStr">
        <is>
          <t>Jose Manuel Guevara Caicedo</t>
        </is>
      </c>
      <c r="C279" s="1" t="inlineStr">
        <is>
          <t>Defensa Pública</t>
        </is>
      </c>
      <c r="D279" s="1" t="inlineStr">
        <is>
          <t>Entrevista de actores clave</t>
        </is>
      </c>
      <c r="E279" s="1" t="inlineStr">
        <is>
          <t>Acompañantes</t>
        </is>
      </c>
      <c r="F279" s="1" t="inlineStr">
        <is>
          <t>Distrito Judicial: Apurímac</t>
        </is>
      </c>
      <c r="G279" s="1" t="inlineStr">
        <is>
          <t>IJM</t>
        </is>
      </c>
      <c r="H279" s="1" t="inlineStr">
        <is>
          <t>No</t>
        </is>
      </c>
      <c r="I279" s="2" t="inlineStr">
        <is>
          <t xml:space="preserve"> 5/29/2026</t>
        </is>
      </c>
      <c r="J279" s="2" t="str"/>
      <c r="K279" s="2" t="str"/>
      <c r="L279" s="1" t="inlineStr">
        <is>
          <t>Sin respuesta</t>
        </is>
      </c>
      <c r="M279" s="2" t="str"/>
      <c r="N279" s="2" t="str"/>
      <c r="O279" s="1" t="inlineStr">
        <is>
          <t>Sin respuesta</t>
        </is>
      </c>
      <c r="P279" s="1" t="str"/>
      <c r="Q279" s="1" t="str"/>
      <c r="R279" s="1">
        <f>IF(H279="Sí",1,0)</f>
        <v/>
      </c>
      <c r="S279" s="1">
        <f>IF(L279="En coordinación",1,0)</f>
        <v/>
      </c>
      <c r="T279" s="1">
        <f>IF(L279="Aceptada",1,0)</f>
        <v/>
      </c>
      <c r="U279" s="1">
        <f>IF(OR(L279="Realizada completa",L279="Realizada incompleta"),1,0)</f>
        <v/>
      </c>
      <c r="V279" s="1">
        <f>IF(L279="Sin respuesta",1,0)</f>
        <v/>
      </c>
    </row>
    <row r="280">
      <c r="A280" s="1" t="inlineStr">
        <is>
          <t>279</t>
        </is>
      </c>
      <c r="B280" s="1" t="inlineStr">
        <is>
          <t>Julio Raúl Navarro Mendevil</t>
        </is>
      </c>
      <c r="C280" s="1" t="inlineStr">
        <is>
          <t>Defensa Pública</t>
        </is>
      </c>
      <c r="D280" s="1" t="inlineStr">
        <is>
          <t>Entrevista de actores clave</t>
        </is>
      </c>
      <c r="E280" s="1" t="inlineStr">
        <is>
          <t>Acompañantes</t>
        </is>
      </c>
      <c r="F280" s="1" t="inlineStr">
        <is>
          <t>Distrito Judicial: Ayacucho</t>
        </is>
      </c>
      <c r="G280" s="1" t="inlineStr">
        <is>
          <t>IJM</t>
        </is>
      </c>
      <c r="H280" s="1" t="inlineStr">
        <is>
          <t>No</t>
        </is>
      </c>
      <c r="I280" s="2" t="str"/>
      <c r="J280" s="2" t="str"/>
      <c r="K280" s="2" t="str"/>
      <c r="L280" s="1" t="str"/>
      <c r="M280" s="2" t="str"/>
      <c r="N280" s="2" t="str"/>
      <c r="O280" s="1" t="str"/>
      <c r="P280" s="1" t="str"/>
      <c r="Q280" s="1" t="str"/>
      <c r="R280" s="1">
        <f>IF(H280="Sí",1,0)</f>
        <v/>
      </c>
      <c r="S280" s="1">
        <f>IF(L280="En coordinación",1,0)</f>
        <v/>
      </c>
      <c r="T280" s="1">
        <f>IF(L280="Aceptada",1,0)</f>
        <v/>
      </c>
      <c r="U280" s="1">
        <f>IF(OR(L280="Realizada completa",L280="Realizada incompleta"),1,0)</f>
        <v/>
      </c>
      <c r="V280" s="1">
        <f>IF(L280="Sin respuesta",1,0)</f>
        <v/>
      </c>
    </row>
    <row r="281">
      <c r="A281" s="1" t="inlineStr">
        <is>
          <t>280</t>
        </is>
      </c>
      <c r="B281" s="1" t="inlineStr">
        <is>
          <t>Eberth William Mendoza Neira</t>
        </is>
      </c>
      <c r="C281" s="1" t="inlineStr">
        <is>
          <t>Defensa Pública</t>
        </is>
      </c>
      <c r="D281" s="1" t="inlineStr">
        <is>
          <t>Entrevista de actores clave</t>
        </is>
      </c>
      <c r="E281" s="1" t="inlineStr">
        <is>
          <t>Acompañantes</t>
        </is>
      </c>
      <c r="F281" s="1" t="inlineStr">
        <is>
          <t>Distrito Judicial: Huánuco</t>
        </is>
      </c>
      <c r="G281" s="1" t="inlineStr">
        <is>
          <t>IJM</t>
        </is>
      </c>
      <c r="H281" s="1" t="inlineStr">
        <is>
          <t>No</t>
        </is>
      </c>
      <c r="I281" s="2" t="inlineStr">
        <is>
          <t xml:space="preserve"> 5/29/2026</t>
        </is>
      </c>
      <c r="J281" s="2" t="str"/>
      <c r="K281" s="2" t="str"/>
      <c r="L281" s="1" t="inlineStr">
        <is>
          <t>Sin respuesta</t>
        </is>
      </c>
      <c r="M281" s="2" t="str"/>
      <c r="N281" s="2" t="str"/>
      <c r="O281" s="1" t="inlineStr">
        <is>
          <t>Sin respuesta</t>
        </is>
      </c>
      <c r="P281" s="1" t="str"/>
      <c r="Q281" s="1" t="str"/>
      <c r="R281" s="1">
        <f>IF(H281="Sí",1,0)</f>
        <v/>
      </c>
      <c r="S281" s="1">
        <f>IF(L281="En coordinación",1,0)</f>
        <v/>
      </c>
      <c r="T281" s="1">
        <f>IF(L281="Aceptada",1,0)</f>
        <v/>
      </c>
      <c r="U281" s="1">
        <f>IF(OR(L281="Realizada completa",L281="Realizada incompleta"),1,0)</f>
        <v/>
      </c>
      <c r="V281" s="1">
        <f>IF(L281="Sin respuesta",1,0)</f>
        <v/>
      </c>
    </row>
    <row r="282">
      <c r="A282" s="1" t="inlineStr">
        <is>
          <t>281</t>
        </is>
      </c>
      <c r="B282" s="1" t="inlineStr">
        <is>
          <t>Luis Carlos Paredes Arbildo</t>
        </is>
      </c>
      <c r="C282" s="1" t="inlineStr">
        <is>
          <t>Defensa Pública</t>
        </is>
      </c>
      <c r="D282" s="1" t="inlineStr">
        <is>
          <t>Entrevista de actores clave</t>
        </is>
      </c>
      <c r="E282" s="1" t="inlineStr">
        <is>
          <t>Acompañantes</t>
        </is>
      </c>
      <c r="F282" s="1" t="inlineStr">
        <is>
          <t>Distrito Judicial: Lima Norte</t>
        </is>
      </c>
      <c r="G282" s="1" t="inlineStr">
        <is>
          <t>IJM</t>
        </is>
      </c>
      <c r="H282" s="1" t="inlineStr">
        <is>
          <t>No</t>
        </is>
      </c>
      <c r="I282" s="2" t="inlineStr">
        <is>
          <t xml:space="preserve"> 5/29/2026</t>
        </is>
      </c>
      <c r="J282" s="2" t="str"/>
      <c r="K282" s="2" t="str"/>
      <c r="L282" s="1" t="inlineStr">
        <is>
          <t>Sin respuesta</t>
        </is>
      </c>
      <c r="M282" s="2" t="str"/>
      <c r="N282" s="2" t="str"/>
      <c r="O282" s="1" t="inlineStr">
        <is>
          <t>Sin respuesta</t>
        </is>
      </c>
      <c r="P282" s="1" t="str"/>
      <c r="Q282" s="1" t="str"/>
      <c r="R282" s="1">
        <f>IF(H282="Sí",1,0)</f>
        <v/>
      </c>
      <c r="S282" s="1">
        <f>IF(L282="En coordinación",1,0)</f>
        <v/>
      </c>
      <c r="T282" s="1">
        <f>IF(L282="Aceptada",1,0)</f>
        <v/>
      </c>
      <c r="U282" s="1">
        <f>IF(OR(L282="Realizada completa",L282="Realizada incompleta"),1,0)</f>
        <v/>
      </c>
      <c r="V282" s="1">
        <f>IF(L282="Sin respuesta",1,0)</f>
        <v/>
      </c>
    </row>
    <row r="283">
      <c r="A283" s="1" t="inlineStr">
        <is>
          <t>282</t>
        </is>
      </c>
      <c r="B283" s="1" t="inlineStr">
        <is>
          <t>Cesar Arque Meza</t>
        </is>
      </c>
      <c r="C283" s="1" t="inlineStr">
        <is>
          <t>Defensa Pública</t>
        </is>
      </c>
      <c r="D283" s="1" t="inlineStr">
        <is>
          <t>Entrevista de actores clave</t>
        </is>
      </c>
      <c r="E283" s="1" t="inlineStr">
        <is>
          <t>Acompañantes</t>
        </is>
      </c>
      <c r="F283" s="1" t="inlineStr">
        <is>
          <t>Nacional</t>
        </is>
      </c>
      <c r="G283" s="1" t="inlineStr">
        <is>
          <t>IJM</t>
        </is>
      </c>
      <c r="H283" s="1" t="inlineStr">
        <is>
          <t>Sí</t>
        </is>
      </c>
      <c r="I283" s="2" t="inlineStr">
        <is>
          <t xml:space="preserve"> 6/29/2026</t>
        </is>
      </c>
      <c r="J283" s="2" t="str"/>
      <c r="K283" s="2" t="str"/>
      <c r="L283" s="1" t="inlineStr">
        <is>
          <t>En coordinación</t>
        </is>
      </c>
      <c r="M283" s="2" t="str"/>
      <c r="N283" s="2" t="str"/>
      <c r="O283" s="1" t="inlineStr">
        <is>
          <t>En coordinación</t>
        </is>
      </c>
      <c r="P283" s="1" t="str"/>
      <c r="Q283" s="1" t="str"/>
      <c r="R283" s="1">
        <f>IF(H283="Sí",1,0)</f>
        <v/>
      </c>
      <c r="S283" s="1">
        <f>IF(L283="En coordinación",1,0)</f>
        <v/>
      </c>
      <c r="T283" s="1">
        <f>IF(L283="Aceptada",1,0)</f>
        <v/>
      </c>
      <c r="U283" s="1">
        <f>IF(OR(L283="Realizada completa",L283="Realizada incompleta"),1,0)</f>
        <v/>
      </c>
      <c r="V283" s="1">
        <f>IF(L283="Sin respuesta",1,0)</f>
        <v/>
      </c>
    </row>
    <row r="284">
      <c r="A284" s="1" t="inlineStr">
        <is>
          <t>283</t>
        </is>
      </c>
      <c r="B284" s="1" t="inlineStr">
        <is>
          <t>Ruth Omaira Valdivia Castillo De Mercado</t>
        </is>
      </c>
      <c r="C284" s="1" t="inlineStr">
        <is>
          <t>Defensa Pública</t>
        </is>
      </c>
      <c r="D284" s="1" t="inlineStr">
        <is>
          <t>Entrevista de actores clave</t>
        </is>
      </c>
      <c r="E284" s="1" t="inlineStr">
        <is>
          <t>Acompañantes</t>
        </is>
      </c>
      <c r="F284" s="1" t="inlineStr">
        <is>
          <t>Nacional</t>
        </is>
      </c>
      <c r="G284" s="1" t="inlineStr">
        <is>
          <t>IJM</t>
        </is>
      </c>
      <c r="H284" s="1" t="inlineStr">
        <is>
          <t>No</t>
        </is>
      </c>
      <c r="I284" s="2" t="inlineStr">
        <is>
          <t xml:space="preserve"> 5/29/2026</t>
        </is>
      </c>
      <c r="J284" s="2" t="str"/>
      <c r="K284" s="2" t="str"/>
      <c r="L284" s="1" t="inlineStr">
        <is>
          <t>Sin respuesta</t>
        </is>
      </c>
      <c r="M284" s="2" t="str"/>
      <c r="N284" s="2" t="str"/>
      <c r="O284" s="1" t="inlineStr">
        <is>
          <t>Sin respuesta</t>
        </is>
      </c>
      <c r="P284" s="1" t="str"/>
      <c r="Q284" s="1" t="str"/>
      <c r="R284" s="1">
        <f>IF(H284="Sí",1,0)</f>
        <v/>
      </c>
      <c r="S284" s="1">
        <f>IF(L284="En coordinación",1,0)</f>
        <v/>
      </c>
      <c r="T284" s="1">
        <f>IF(L284="Aceptada",1,0)</f>
        <v/>
      </c>
      <c r="U284" s="1">
        <f>IF(OR(L284="Realizada completa",L284="Realizada incompleta"),1,0)</f>
        <v/>
      </c>
      <c r="V284" s="1">
        <f>IF(L284="Sin respuesta",1,0)</f>
        <v/>
      </c>
    </row>
    <row r="285">
      <c r="A285" s="1" t="inlineStr">
        <is>
          <t>284</t>
        </is>
      </c>
      <c r="B285" s="1" t="inlineStr">
        <is>
          <t>Joseph Pasco Campana Porras</t>
        </is>
      </c>
      <c r="C285" s="1" t="inlineStr">
        <is>
          <t>Defensa Pública</t>
        </is>
      </c>
      <c r="D285" s="1" t="inlineStr">
        <is>
          <t>Entrevista de actores clave</t>
        </is>
      </c>
      <c r="E285" s="1" t="inlineStr">
        <is>
          <t>Acompañantes</t>
        </is>
      </c>
      <c r="F285" s="1" t="inlineStr">
        <is>
          <t>Nacional</t>
        </is>
      </c>
      <c r="G285" s="1" t="inlineStr">
        <is>
          <t>IJM</t>
        </is>
      </c>
      <c r="H285" s="1" t="inlineStr">
        <is>
          <t>No</t>
        </is>
      </c>
      <c r="I285" s="2" t="inlineStr">
        <is>
          <t xml:space="preserve"> 5/29/2026</t>
        </is>
      </c>
      <c r="J285" s="2" t="str"/>
      <c r="K285" s="2" t="str"/>
      <c r="L285" s="1" t="inlineStr">
        <is>
          <t>Sin respuesta</t>
        </is>
      </c>
      <c r="M285" s="2" t="str"/>
      <c r="N285" s="2" t="str"/>
      <c r="O285" s="1" t="inlineStr">
        <is>
          <t>Sin respuesta</t>
        </is>
      </c>
      <c r="P285" s="1" t="str"/>
      <c r="Q285" s="1" t="str"/>
      <c r="R285" s="1">
        <f>IF(H285="Sí",1,0)</f>
        <v/>
      </c>
      <c r="S285" s="1">
        <f>IF(L285="En coordinación",1,0)</f>
        <v/>
      </c>
      <c r="T285" s="1">
        <f>IF(L285="Aceptada",1,0)</f>
        <v/>
      </c>
      <c r="U285" s="1">
        <f>IF(OR(L285="Realizada completa",L285="Realizada incompleta"),1,0)</f>
        <v/>
      </c>
      <c r="V285" s="1">
        <f>IF(L285="Sin respuesta",1,0)</f>
        <v/>
      </c>
    </row>
    <row r="286">
      <c r="A286" s="1" t="inlineStr">
        <is>
          <t>285</t>
        </is>
      </c>
      <c r="B286" s="1" t="inlineStr">
        <is>
          <t>Pierr Abisai Adrianzen Roman</t>
        </is>
      </c>
      <c r="C286" s="1" t="inlineStr">
        <is>
          <t>Defensa Pública</t>
        </is>
      </c>
      <c r="D286" s="1" t="inlineStr">
        <is>
          <t>Entrevista de actores clave</t>
        </is>
      </c>
      <c r="E286" s="1" t="inlineStr">
        <is>
          <t>Acompañantes</t>
        </is>
      </c>
      <c r="F286" s="1" t="inlineStr">
        <is>
          <t>Nacional</t>
        </is>
      </c>
      <c r="G286" s="1" t="inlineStr">
        <is>
          <t>IJM</t>
        </is>
      </c>
      <c r="H286" s="1" t="inlineStr">
        <is>
          <t>No</t>
        </is>
      </c>
      <c r="I286" s="2" t="inlineStr">
        <is>
          <t xml:space="preserve"> 5/29/2026</t>
        </is>
      </c>
      <c r="J286" s="2" t="str"/>
      <c r="K286" s="2" t="str"/>
      <c r="L286" s="1" t="inlineStr">
        <is>
          <t>Sin respuesta</t>
        </is>
      </c>
      <c r="M286" s="2" t="str"/>
      <c r="N286" s="2" t="str"/>
      <c r="O286" s="1" t="inlineStr">
        <is>
          <t>Sin respuesta</t>
        </is>
      </c>
      <c r="P286" s="1" t="str"/>
      <c r="Q286" s="1" t="str"/>
      <c r="R286" s="1">
        <f>IF(H286="Sí",1,0)</f>
        <v/>
      </c>
      <c r="S286" s="1">
        <f>IF(L286="En coordinación",1,0)</f>
        <v/>
      </c>
      <c r="T286" s="1">
        <f>IF(L286="Aceptada",1,0)</f>
        <v/>
      </c>
      <c r="U286" s="1">
        <f>IF(OR(L286="Realizada completa",L286="Realizada incompleta"),1,0)</f>
        <v/>
      </c>
      <c r="V286" s="1">
        <f>IF(L286="Sin respuesta",1,0)</f>
        <v/>
      </c>
    </row>
    <row r="287">
      <c r="A287" s="1" t="inlineStr">
        <is>
          <t>286</t>
        </is>
      </c>
      <c r="B287" s="1" t="inlineStr">
        <is>
          <t>Victor Landa Farati</t>
        </is>
      </c>
      <c r="C287" s="1" t="inlineStr">
        <is>
          <t>Defensa Pública</t>
        </is>
      </c>
      <c r="D287" s="1" t="inlineStr">
        <is>
          <t>Entrevista de actores clave</t>
        </is>
      </c>
      <c r="E287" s="1" t="inlineStr">
        <is>
          <t>Acompañantes</t>
        </is>
      </c>
      <c r="F287" s="1" t="inlineStr">
        <is>
          <t>Nacional</t>
        </is>
      </c>
      <c r="G287" s="1" t="inlineStr">
        <is>
          <t>IJM</t>
        </is>
      </c>
      <c r="H287" s="1" t="inlineStr">
        <is>
          <t>No</t>
        </is>
      </c>
      <c r="I287" s="2" t="inlineStr">
        <is>
          <t xml:space="preserve"> 5/29/2026</t>
        </is>
      </c>
      <c r="J287" s="2" t="str"/>
      <c r="K287" s="2" t="str"/>
      <c r="L287" s="1" t="inlineStr">
        <is>
          <t>Sin respuesta</t>
        </is>
      </c>
      <c r="M287" s="2" t="str"/>
      <c r="N287" s="2" t="str"/>
      <c r="O287" s="1" t="inlineStr">
        <is>
          <t>Sin respuesta</t>
        </is>
      </c>
      <c r="P287" s="1" t="str"/>
      <c r="Q287" s="1" t="str"/>
      <c r="R287" s="1">
        <f>IF(H287="Sí",1,0)</f>
        <v/>
      </c>
      <c r="S287" s="1">
        <f>IF(L287="En coordinación",1,0)</f>
        <v/>
      </c>
      <c r="T287" s="1">
        <f>IF(L287="Aceptada",1,0)</f>
        <v/>
      </c>
      <c r="U287" s="1">
        <f>IF(OR(L287="Realizada completa",L287="Realizada incompleta"),1,0)</f>
        <v/>
      </c>
      <c r="V287" s="1">
        <f>IF(L287="Sin respuesta",1,0)</f>
        <v/>
      </c>
    </row>
    <row r="288">
      <c r="A288" s="1" t="inlineStr">
        <is>
          <t>287</t>
        </is>
      </c>
      <c r="B288" s="1" t="inlineStr">
        <is>
          <t>Juan Manuel Vásquez Carranza</t>
        </is>
      </c>
      <c r="C288" s="1" t="inlineStr">
        <is>
          <t>Defensa Pública</t>
        </is>
      </c>
      <c r="D288" s="1" t="inlineStr">
        <is>
          <t>Entrevista de actores clave</t>
        </is>
      </c>
      <c r="E288" s="1" t="inlineStr">
        <is>
          <t>Acompañantes</t>
        </is>
      </c>
      <c r="F288" s="1" t="inlineStr">
        <is>
          <t>Nacional</t>
        </is>
      </c>
      <c r="G288" s="1" t="inlineStr">
        <is>
          <t>IJM</t>
        </is>
      </c>
      <c r="H288" s="1" t="inlineStr">
        <is>
          <t>No</t>
        </is>
      </c>
      <c r="I288" s="2" t="inlineStr">
        <is>
          <t xml:space="preserve"> 5/29/2026</t>
        </is>
      </c>
      <c r="J288" s="2" t="str"/>
      <c r="K288" s="2" t="str"/>
      <c r="L288" s="1" t="inlineStr">
        <is>
          <t>Sin respuesta</t>
        </is>
      </c>
      <c r="M288" s="2" t="str"/>
      <c r="N288" s="2" t="str"/>
      <c r="O288" s="1" t="inlineStr">
        <is>
          <t>Sin respuesta</t>
        </is>
      </c>
      <c r="P288" s="1" t="str"/>
      <c r="Q288" s="1" t="str"/>
      <c r="R288" s="1">
        <f>IF(H288="Sí",1,0)</f>
        <v/>
      </c>
      <c r="S288" s="1">
        <f>IF(L288="En coordinación",1,0)</f>
        <v/>
      </c>
      <c r="T288" s="1">
        <f>IF(L288="Aceptada",1,0)</f>
        <v/>
      </c>
      <c r="U288" s="1">
        <f>IF(OR(L288="Realizada completa",L288="Realizada incompleta"),1,0)</f>
        <v/>
      </c>
      <c r="V288" s="1">
        <f>IF(L288="Sin respuesta",1,0)</f>
        <v/>
      </c>
    </row>
    <row r="289">
      <c r="A289" s="1" t="inlineStr">
        <is>
          <t>288</t>
        </is>
      </c>
      <c r="B289" s="1" t="inlineStr">
        <is>
          <t>Henry Valentín Nureña Castillo</t>
        </is>
      </c>
      <c r="C289" s="1" t="inlineStr">
        <is>
          <t>Defensa Pública</t>
        </is>
      </c>
      <c r="D289" s="1" t="inlineStr">
        <is>
          <t>Entrevista de actores clave</t>
        </is>
      </c>
      <c r="E289" s="1" t="inlineStr">
        <is>
          <t>Acompañantes</t>
        </is>
      </c>
      <c r="F289" s="1" t="inlineStr">
        <is>
          <t>Nacional</t>
        </is>
      </c>
      <c r="G289" s="1" t="inlineStr">
        <is>
          <t>IJM</t>
        </is>
      </c>
      <c r="H289" s="1" t="inlineStr">
        <is>
          <t>No</t>
        </is>
      </c>
      <c r="I289" s="2" t="inlineStr">
        <is>
          <t xml:space="preserve"> 5/29/2026</t>
        </is>
      </c>
      <c r="J289" s="2" t="str"/>
      <c r="K289" s="2" t="str"/>
      <c r="L289" s="1" t="inlineStr">
        <is>
          <t>Sin respuesta</t>
        </is>
      </c>
      <c r="M289" s="2" t="str"/>
      <c r="N289" s="2" t="str"/>
      <c r="O289" s="1" t="inlineStr">
        <is>
          <t>Sin respuesta</t>
        </is>
      </c>
      <c r="P289" s="1" t="str"/>
      <c r="Q289" s="1" t="str"/>
      <c r="R289" s="1">
        <f>IF(H289="Sí",1,0)</f>
        <v/>
      </c>
      <c r="S289" s="1">
        <f>IF(L289="En coordinación",1,0)</f>
        <v/>
      </c>
      <c r="T289" s="1">
        <f>IF(L289="Aceptada",1,0)</f>
        <v/>
      </c>
      <c r="U289" s="1">
        <f>IF(OR(L289="Realizada completa",L289="Realizada incompleta"),1,0)</f>
        <v/>
      </c>
      <c r="V289" s="1">
        <f>IF(L289="Sin respuesta",1,0)</f>
        <v/>
      </c>
    </row>
    <row r="290">
      <c r="A290" s="1" t="inlineStr">
        <is>
          <t>289</t>
        </is>
      </c>
      <c r="B290" s="1" t="inlineStr">
        <is>
          <t>Jesus Alfonso Jauregui Torres</t>
        </is>
      </c>
      <c r="C290" s="1" t="inlineStr">
        <is>
          <t>Defensa Pública</t>
        </is>
      </c>
      <c r="D290" s="1" t="inlineStr">
        <is>
          <t>Entrevista de actores clave</t>
        </is>
      </c>
      <c r="E290" s="1" t="inlineStr">
        <is>
          <t>Acompañantes</t>
        </is>
      </c>
      <c r="F290" s="1" t="inlineStr">
        <is>
          <t>Nacional</t>
        </is>
      </c>
      <c r="G290" s="1" t="inlineStr">
        <is>
          <t>IJM</t>
        </is>
      </c>
      <c r="H290" s="1" t="inlineStr">
        <is>
          <t>No</t>
        </is>
      </c>
      <c r="I290" s="2" t="inlineStr">
        <is>
          <t xml:space="preserve"> 5/29/2026</t>
        </is>
      </c>
      <c r="J290" s="2" t="str"/>
      <c r="K290" s="2" t="str"/>
      <c r="L290" s="1" t="inlineStr">
        <is>
          <t>Sin respuesta</t>
        </is>
      </c>
      <c r="M290" s="2" t="str"/>
      <c r="N290" s="2" t="str"/>
      <c r="O290" s="1" t="inlineStr">
        <is>
          <t>Sin respuesta</t>
        </is>
      </c>
      <c r="P290" s="1" t="str"/>
      <c r="Q290" s="1" t="str"/>
      <c r="R290" s="1">
        <f>IF(H290="Sí",1,0)</f>
        <v/>
      </c>
      <c r="S290" s="1">
        <f>IF(L290="En coordinación",1,0)</f>
        <v/>
      </c>
      <c r="T290" s="1">
        <f>IF(L290="Aceptada",1,0)</f>
        <v/>
      </c>
      <c r="U290" s="1">
        <f>IF(OR(L290="Realizada completa",L290="Realizada incompleta"),1,0)</f>
        <v/>
      </c>
      <c r="V290" s="1">
        <f>IF(L290="Sin respuesta",1,0)</f>
        <v/>
      </c>
    </row>
    <row r="291">
      <c r="A291" s="1" t="inlineStr">
        <is>
          <t>290</t>
        </is>
      </c>
      <c r="B291" s="1" t="inlineStr">
        <is>
          <t>Gregorio Alexander Purizaca Vignolo</t>
        </is>
      </c>
      <c r="C291" s="1" t="inlineStr">
        <is>
          <t>Defensa Pública</t>
        </is>
      </c>
      <c r="D291" s="1" t="inlineStr">
        <is>
          <t>Entrevista de actores clave</t>
        </is>
      </c>
      <c r="E291" s="1" t="inlineStr">
        <is>
          <t>Acompañantes</t>
        </is>
      </c>
      <c r="F291" s="1" t="inlineStr">
        <is>
          <t>Nacional</t>
        </is>
      </c>
      <c r="G291" s="1" t="inlineStr">
        <is>
          <t>IJM</t>
        </is>
      </c>
      <c r="H291" s="1" t="inlineStr">
        <is>
          <t>No</t>
        </is>
      </c>
      <c r="I291" s="2" t="inlineStr">
        <is>
          <t xml:space="preserve"> 5/29/2026</t>
        </is>
      </c>
      <c r="J291" s="2" t="str"/>
      <c r="K291" s="2" t="str"/>
      <c r="L291" s="1" t="inlineStr">
        <is>
          <t>Sin respuesta</t>
        </is>
      </c>
      <c r="M291" s="2" t="str"/>
      <c r="N291" s="2" t="str"/>
      <c r="O291" s="1" t="inlineStr">
        <is>
          <t>Sin respuesta</t>
        </is>
      </c>
      <c r="P291" s="1" t="str"/>
      <c r="Q291" s="1" t="str"/>
      <c r="R291" s="1">
        <f>IF(H291="Sí",1,0)</f>
        <v/>
      </c>
      <c r="S291" s="1">
        <f>IF(L291="En coordinación",1,0)</f>
        <v/>
      </c>
      <c r="T291" s="1">
        <f>IF(L291="Aceptada",1,0)</f>
        <v/>
      </c>
      <c r="U291" s="1">
        <f>IF(OR(L291="Realizada completa",L291="Realizada incompleta"),1,0)</f>
        <v/>
      </c>
      <c r="V291" s="1">
        <f>IF(L291="Sin respuesta",1,0)</f>
        <v/>
      </c>
    </row>
    <row r="292">
      <c r="A292" s="1" t="inlineStr">
        <is>
          <t>291</t>
        </is>
      </c>
      <c r="B292" s="1" t="inlineStr">
        <is>
          <t>Brenda Gabriela Sanga Coarite</t>
        </is>
      </c>
      <c r="C292" s="1" t="inlineStr">
        <is>
          <t>Defensa Pública</t>
        </is>
      </c>
      <c r="D292" s="1" t="inlineStr">
        <is>
          <t>Entrevista de actores clave</t>
        </is>
      </c>
      <c r="E292" s="1" t="inlineStr">
        <is>
          <t>Acompañantes</t>
        </is>
      </c>
      <c r="F292" s="1" t="inlineStr">
        <is>
          <t>Distrito Judicial: Huánuco</t>
        </is>
      </c>
      <c r="G292" s="1" t="inlineStr">
        <is>
          <t>IJM</t>
        </is>
      </c>
      <c r="H292" s="1" t="inlineStr">
        <is>
          <t>No</t>
        </is>
      </c>
      <c r="I292" s="2" t="inlineStr">
        <is>
          <t xml:space="preserve"> 5/29/2026</t>
        </is>
      </c>
      <c r="J292" s="2" t="str"/>
      <c r="K292" s="2" t="str"/>
      <c r="L292" s="1" t="inlineStr">
        <is>
          <t>Sin respuesta</t>
        </is>
      </c>
      <c r="M292" s="2" t="str"/>
      <c r="N292" s="2" t="str"/>
      <c r="O292" s="1" t="inlineStr">
        <is>
          <t>Sin respuesta</t>
        </is>
      </c>
      <c r="P292" s="1" t="str"/>
      <c r="Q292" s="1" t="str"/>
      <c r="R292" s="1">
        <f>IF(H292="Sí",1,0)</f>
        <v/>
      </c>
      <c r="S292" s="1">
        <f>IF(L292="En coordinación",1,0)</f>
        <v/>
      </c>
      <c r="T292" s="1">
        <f>IF(L292="Aceptada",1,0)</f>
        <v/>
      </c>
      <c r="U292" s="1">
        <f>IF(OR(L292="Realizada completa",L292="Realizada incompleta"),1,0)</f>
        <v/>
      </c>
      <c r="V292" s="1">
        <f>IF(L292="Sin respuesta",1,0)</f>
        <v/>
      </c>
    </row>
    <row r="293">
      <c r="A293" s="1" t="inlineStr">
        <is>
          <t>292</t>
        </is>
      </c>
      <c r="B293" s="1" t="inlineStr">
        <is>
          <t>Carlos David Zuñiga Diaz</t>
        </is>
      </c>
      <c r="C293" s="1" t="inlineStr">
        <is>
          <t>Defensa Pública</t>
        </is>
      </c>
      <c r="D293" s="1" t="inlineStr">
        <is>
          <t>Entrevista de actores clave</t>
        </is>
      </c>
      <c r="E293" s="1" t="inlineStr">
        <is>
          <t>Acompañantes</t>
        </is>
      </c>
      <c r="F293" s="1" t="inlineStr">
        <is>
          <t>Distrito Judicial: Lima Norte</t>
        </is>
      </c>
      <c r="G293" s="1" t="inlineStr">
        <is>
          <t>IJM</t>
        </is>
      </c>
      <c r="H293" s="1" t="inlineStr">
        <is>
          <t>No</t>
        </is>
      </c>
      <c r="I293" s="2" t="inlineStr">
        <is>
          <t xml:space="preserve"> 5/29/2026</t>
        </is>
      </c>
      <c r="J293" s="2" t="str"/>
      <c r="K293" s="2" t="str"/>
      <c r="L293" s="1" t="inlineStr">
        <is>
          <t>Sin respuesta</t>
        </is>
      </c>
      <c r="M293" s="2" t="str"/>
      <c r="N293" s="2" t="str"/>
      <c r="O293" s="1" t="inlineStr">
        <is>
          <t>Sin respuesta</t>
        </is>
      </c>
      <c r="P293" s="1" t="str"/>
      <c r="Q293" s="1" t="str"/>
      <c r="R293" s="1">
        <f>IF(H293="Sí",1,0)</f>
        <v/>
      </c>
      <c r="S293" s="1">
        <f>IF(L293="En coordinación",1,0)</f>
        <v/>
      </c>
      <c r="T293" s="1">
        <f>IF(L293="Aceptada",1,0)</f>
        <v/>
      </c>
      <c r="U293" s="1">
        <f>IF(OR(L293="Realizada completa",L293="Realizada incompleta"),1,0)</f>
        <v/>
      </c>
      <c r="V293" s="1">
        <f>IF(L293="Sin respuesta",1,0)</f>
        <v/>
      </c>
    </row>
    <row r="294">
      <c r="A294" s="1" t="inlineStr">
        <is>
          <t>293</t>
        </is>
      </c>
      <c r="B294" s="1" t="inlineStr">
        <is>
          <t>Jorge Enrique Kaqui Quiñonez</t>
        </is>
      </c>
      <c r="C294" s="1" t="inlineStr">
        <is>
          <t>Defensa Pública</t>
        </is>
      </c>
      <c r="D294" s="1" t="inlineStr">
        <is>
          <t>Entrevista de actores clave</t>
        </is>
      </c>
      <c r="E294" s="1" t="inlineStr">
        <is>
          <t>Acompañantes</t>
        </is>
      </c>
      <c r="F294" s="1" t="inlineStr">
        <is>
          <t>Distrito Judicial: Cajamarca</t>
        </is>
      </c>
      <c r="G294" s="1" t="inlineStr">
        <is>
          <t>IJM</t>
        </is>
      </c>
      <c r="H294" s="1" t="inlineStr">
        <is>
          <t>Sí</t>
        </is>
      </c>
      <c r="I294" s="2" t="inlineStr">
        <is>
          <t xml:space="preserve"> 5/29/2026</t>
        </is>
      </c>
      <c r="J294" s="2" t="str"/>
      <c r="K294" s="2" t="str"/>
      <c r="L294" s="1" t="inlineStr">
        <is>
          <t>Realizada completa</t>
        </is>
      </c>
      <c r="M294" s="2" t="inlineStr">
        <is>
          <t>20-Jul</t>
        </is>
      </c>
      <c r="N294" s="2" t="inlineStr">
        <is>
          <t>20-Jul</t>
        </is>
      </c>
      <c r="O294" s="1" t="inlineStr">
        <is>
          <t>Realizada completa</t>
        </is>
      </c>
      <c r="P294" s="1" t="inlineStr">
        <is>
          <t>41</t>
        </is>
      </c>
      <c r="Q294" s="1" t="inlineStr">
        <is>
          <t>A distancia asistido</t>
        </is>
      </c>
      <c r="R294" s="1">
        <f>IF(H294="Sí",1,0)</f>
        <v/>
      </c>
      <c r="S294" s="1">
        <f>IF(L294="En coordinación",1,0)</f>
        <v/>
      </c>
      <c r="T294" s="1">
        <f>IF(L294="Aceptada",1,0)</f>
        <v/>
      </c>
      <c r="U294" s="1">
        <f>IF(OR(L294="Realizada completa",L294="Realizada incompleta"),1,0)</f>
        <v/>
      </c>
      <c r="V294" s="1">
        <f>IF(L294="Sin respuesta",1,0)</f>
        <v/>
      </c>
    </row>
    <row r="295">
      <c r="A295" s="1" t="inlineStr">
        <is>
          <t>294</t>
        </is>
      </c>
      <c r="B295" s="1" t="inlineStr">
        <is>
          <t>Donal Segovia Soto</t>
        </is>
      </c>
      <c r="C295" s="1" t="inlineStr">
        <is>
          <t>Defensa Pública</t>
        </is>
      </c>
      <c r="D295" s="1" t="inlineStr">
        <is>
          <t>Entrevista de actores clave</t>
        </is>
      </c>
      <c r="E295" s="1" t="inlineStr">
        <is>
          <t>Acompañantes</t>
        </is>
      </c>
      <c r="F295" s="1" t="inlineStr">
        <is>
          <t>Nacional</t>
        </is>
      </c>
      <c r="G295" s="1" t="inlineStr">
        <is>
          <t>IJM</t>
        </is>
      </c>
      <c r="H295" s="1" t="inlineStr">
        <is>
          <t>No</t>
        </is>
      </c>
      <c r="I295" s="2" t="str"/>
      <c r="J295" s="2" t="str"/>
      <c r="K295" s="2" t="str"/>
      <c r="L295" s="1" t="str"/>
      <c r="M295" s="2" t="str"/>
      <c r="N295" s="2" t="str"/>
      <c r="O295" s="1" t="str"/>
      <c r="P295" s="1" t="str"/>
      <c r="Q295" s="1" t="str"/>
      <c r="R295" s="1">
        <f>IF(H295="Sí",1,0)</f>
        <v/>
      </c>
      <c r="S295" s="1">
        <f>IF(L295="En coordinación",1,0)</f>
        <v/>
      </c>
      <c r="T295" s="1">
        <f>IF(L295="Aceptada",1,0)</f>
        <v/>
      </c>
      <c r="U295" s="1">
        <f>IF(OR(L295="Realizada completa",L295="Realizada incompleta"),1,0)</f>
        <v/>
      </c>
      <c r="V295" s="1">
        <f>IF(L295="Sin respuesta",1,0)</f>
        <v/>
      </c>
    </row>
    <row r="296">
      <c r="A296" s="1" t="inlineStr">
        <is>
          <t>295</t>
        </is>
      </c>
      <c r="B296" s="1" t="inlineStr">
        <is>
          <t>Ferrey De La Cruz Vila</t>
        </is>
      </c>
      <c r="C296" s="1" t="inlineStr">
        <is>
          <t>Defensa Pública</t>
        </is>
      </c>
      <c r="D296" s="1" t="inlineStr">
        <is>
          <t>Entrevista de actores clave</t>
        </is>
      </c>
      <c r="E296" s="1" t="inlineStr">
        <is>
          <t>Acompañantes</t>
        </is>
      </c>
      <c r="F296" s="1" t="inlineStr">
        <is>
          <t>Nacional</t>
        </is>
      </c>
      <c r="G296" s="1" t="inlineStr">
        <is>
          <t>IJM</t>
        </is>
      </c>
      <c r="H296" s="1" t="inlineStr">
        <is>
          <t>No</t>
        </is>
      </c>
      <c r="I296" s="2" t="str"/>
      <c r="J296" s="2" t="str"/>
      <c r="K296" s="2" t="str"/>
      <c r="L296" s="1" t="str"/>
      <c r="M296" s="2" t="str"/>
      <c r="N296" s="2" t="str"/>
      <c r="O296" s="1" t="str"/>
      <c r="P296" s="1" t="str"/>
      <c r="Q296" s="1" t="str"/>
      <c r="R296" s="1">
        <f>IF(H296="Sí",1,0)</f>
        <v/>
      </c>
      <c r="S296" s="1">
        <f>IF(L296="En coordinación",1,0)</f>
        <v/>
      </c>
      <c r="T296" s="1">
        <f>IF(L296="Aceptada",1,0)</f>
        <v/>
      </c>
      <c r="U296" s="1">
        <f>IF(OR(L296="Realizada completa",L296="Realizada incompleta"),1,0)</f>
        <v/>
      </c>
      <c r="V296" s="1">
        <f>IF(L296="Sin respuesta",1,0)</f>
        <v/>
      </c>
    </row>
    <row r="297">
      <c r="A297" s="1" t="inlineStr">
        <is>
          <t>296</t>
        </is>
      </c>
      <c r="B297" s="1" t="inlineStr">
        <is>
          <t xml:space="preserve">Dayma Gabriela Navia Canal </t>
        </is>
      </c>
      <c r="C297" s="1" t="inlineStr">
        <is>
          <t>Defensa Pública</t>
        </is>
      </c>
      <c r="D297" s="1" t="inlineStr">
        <is>
          <t>Entrevista de actores clave</t>
        </is>
      </c>
      <c r="E297" s="1" t="inlineStr">
        <is>
          <t>Funcionarios del Sistema</t>
        </is>
      </c>
      <c r="F297" s="1" t="inlineStr">
        <is>
          <t>Nacional</t>
        </is>
      </c>
      <c r="G297" s="1" t="inlineStr">
        <is>
          <t>IJM</t>
        </is>
      </c>
      <c r="H297" s="1" t="inlineStr">
        <is>
          <t>Sí</t>
        </is>
      </c>
      <c r="I297" s="2" t="inlineStr">
        <is>
          <t xml:space="preserve"> 3/26/2026</t>
        </is>
      </c>
      <c r="J297" s="2" t="str"/>
      <c r="K297" s="2" t="str"/>
      <c r="L297" s="1" t="inlineStr">
        <is>
          <t>Realizada completa</t>
        </is>
      </c>
      <c r="M297" s="2" t="inlineStr">
        <is>
          <t>30-Mar</t>
        </is>
      </c>
      <c r="N297" s="2" t="inlineStr">
        <is>
          <t>30-Mar</t>
        </is>
      </c>
      <c r="O297" s="1" t="inlineStr">
        <is>
          <t>Realizada completa</t>
        </is>
      </c>
      <c r="P297" s="1" t="inlineStr">
        <is>
          <t>45</t>
        </is>
      </c>
      <c r="Q297" s="1" t="inlineStr">
        <is>
          <t>A distancia asistido</t>
        </is>
      </c>
      <c r="R297" s="1">
        <f>IF(H297="Sí",1,0)</f>
        <v/>
      </c>
      <c r="S297" s="1">
        <f>IF(L297="En coordinación",1,0)</f>
        <v/>
      </c>
      <c r="T297" s="1">
        <f>IF(L297="Aceptada",1,0)</f>
        <v/>
      </c>
      <c r="U297" s="1">
        <f>IF(OR(L297="Realizada completa",L297="Realizada incompleta"),1,0)</f>
        <v/>
      </c>
      <c r="V297" s="1">
        <f>IF(L297="Sin respuesta",1,0)</f>
        <v/>
      </c>
    </row>
    <row r="298">
      <c r="A298" s="1" t="inlineStr">
        <is>
          <t>297</t>
        </is>
      </c>
      <c r="B298" s="1" t="inlineStr">
        <is>
          <t>Olga Huaman Ortiz</t>
        </is>
      </c>
      <c r="C298" s="1" t="inlineStr">
        <is>
          <t>Defensa Pública</t>
        </is>
      </c>
      <c r="D298" s="1" t="inlineStr">
        <is>
          <t>Entrevista de actores clave</t>
        </is>
      </c>
      <c r="E298" s="1" t="inlineStr">
        <is>
          <t>Funcionarios del Sistema</t>
        </is>
      </c>
      <c r="F298" s="1" t="inlineStr">
        <is>
          <t>Nacional</t>
        </is>
      </c>
      <c r="G298" s="1" t="inlineStr">
        <is>
          <t>IJM</t>
        </is>
      </c>
      <c r="H298" s="1" t="inlineStr">
        <is>
          <t>Sí</t>
        </is>
      </c>
      <c r="I298" s="2" t="inlineStr">
        <is>
          <t xml:space="preserve"> 3/26/2026</t>
        </is>
      </c>
      <c r="J298" s="2" t="inlineStr">
        <is>
          <t xml:space="preserve"> 3/30/2026</t>
        </is>
      </c>
      <c r="K298" s="2" t="str"/>
      <c r="L298" s="1" t="inlineStr">
        <is>
          <t>Realizada completa</t>
        </is>
      </c>
      <c r="M298" s="2" t="inlineStr">
        <is>
          <t xml:space="preserve"> 2-Apr</t>
        </is>
      </c>
      <c r="N298" s="2" t="inlineStr">
        <is>
          <t xml:space="preserve"> 8-Apr</t>
        </is>
      </c>
      <c r="O298" s="1" t="inlineStr">
        <is>
          <t>Realizada completa</t>
        </is>
      </c>
      <c r="P298" s="1" t="inlineStr">
        <is>
          <t>38</t>
        </is>
      </c>
      <c r="Q298" s="1" t="inlineStr">
        <is>
          <t>A distancia asistido</t>
        </is>
      </c>
      <c r="R298" s="1">
        <f>IF(H298="Sí",1,0)</f>
        <v/>
      </c>
      <c r="S298" s="1">
        <f>IF(L298="En coordinación",1,0)</f>
        <v/>
      </c>
      <c r="T298" s="1">
        <f>IF(L298="Aceptada",1,0)</f>
        <v/>
      </c>
      <c r="U298" s="1">
        <f>IF(OR(L298="Realizada completa",L298="Realizada incompleta"),1,0)</f>
        <v/>
      </c>
      <c r="V298" s="1">
        <f>IF(L298="Sin respuesta",1,0)</f>
        <v/>
      </c>
    </row>
    <row r="299">
      <c r="A299" s="1" t="inlineStr">
        <is>
          <t>298</t>
        </is>
      </c>
      <c r="B299" s="1" t="inlineStr">
        <is>
          <t>Jesús Martin Cahua Huamán</t>
        </is>
      </c>
      <c r="C299" s="1" t="inlineStr">
        <is>
          <t>Defensa Pública</t>
        </is>
      </c>
      <c r="D299" s="1" t="inlineStr">
        <is>
          <t>Entrevista de actores clave</t>
        </is>
      </c>
      <c r="E299" s="1" t="inlineStr">
        <is>
          <t>Funcionarios del Sistema</t>
        </is>
      </c>
      <c r="F299" s="1" t="inlineStr">
        <is>
          <t>Nacional</t>
        </is>
      </c>
      <c r="G299" s="1" t="inlineStr">
        <is>
          <t>IJM</t>
        </is>
      </c>
      <c r="H299" s="1" t="inlineStr">
        <is>
          <t>Sí</t>
        </is>
      </c>
      <c r="I299" s="2" t="inlineStr">
        <is>
          <t xml:space="preserve"> 3/26/2026</t>
        </is>
      </c>
      <c r="J299" s="2" t="inlineStr">
        <is>
          <t xml:space="preserve"> 5/29/2026</t>
        </is>
      </c>
      <c r="K299" s="2" t="str"/>
      <c r="L299" s="1" t="inlineStr">
        <is>
          <t>Sin respuesta</t>
        </is>
      </c>
      <c r="M299" s="2" t="str"/>
      <c r="N299" s="2" t="str"/>
      <c r="O299" s="1" t="inlineStr">
        <is>
          <t>Sin respuesta</t>
        </is>
      </c>
      <c r="P299" s="1" t="str"/>
      <c r="Q299" s="1" t="str"/>
      <c r="R299" s="1">
        <f>IF(H299="Sí",1,0)</f>
        <v/>
      </c>
      <c r="S299" s="1">
        <f>IF(L299="En coordinación",1,0)</f>
        <v/>
      </c>
      <c r="T299" s="1">
        <f>IF(L299="Aceptada",1,0)</f>
        <v/>
      </c>
      <c r="U299" s="1">
        <f>IF(OR(L299="Realizada completa",L299="Realizada incompleta"),1,0)</f>
        <v/>
      </c>
      <c r="V299" s="1">
        <f>IF(L299="Sin respuesta",1,0)</f>
        <v/>
      </c>
    </row>
    <row r="300">
      <c r="A300" s="1" t="inlineStr">
        <is>
          <t>299</t>
        </is>
      </c>
      <c r="B300" s="1" t="inlineStr">
        <is>
          <t>Por definir</t>
        </is>
      </c>
      <c r="C300" s="1" t="inlineStr">
        <is>
          <t>Instancias de Concertación</t>
        </is>
      </c>
      <c r="D300" s="1" t="inlineStr">
        <is>
          <t>Entrevista de actores clave</t>
        </is>
      </c>
      <c r="E300" s="1" t="inlineStr">
        <is>
          <t>Acompañantes</t>
        </is>
      </c>
      <c r="F300" s="1" t="inlineStr">
        <is>
          <t>Nacional</t>
        </is>
      </c>
      <c r="G300" s="1" t="inlineStr">
        <is>
          <t>IJM</t>
        </is>
      </c>
      <c r="H300" s="1" t="inlineStr">
        <is>
          <t>No</t>
        </is>
      </c>
      <c r="I300" s="2" t="str"/>
      <c r="J300" s="2" t="str"/>
      <c r="K300" s="2" t="str"/>
      <c r="L300" s="1" t="str"/>
      <c r="M300" s="2" t="str"/>
      <c r="N300" s="2" t="str"/>
      <c r="O300" s="1" t="str"/>
      <c r="P300" s="1" t="str"/>
      <c r="Q300" s="1" t="str"/>
      <c r="R300" s="1">
        <f>IF(H300="Sí",1,0)</f>
        <v/>
      </c>
      <c r="S300" s="1">
        <f>IF(L300="En coordinación",1,0)</f>
        <v/>
      </c>
      <c r="T300" s="1">
        <f>IF(L300="Aceptada",1,0)</f>
        <v/>
      </c>
      <c r="U300" s="1">
        <f>IF(OR(L300="Realizada completa",L300="Realizada incompleta"),1,0)</f>
        <v/>
      </c>
      <c r="V300" s="1">
        <f>IF(L300="Sin respuesta",1,0)</f>
        <v/>
      </c>
    </row>
    <row r="301">
      <c r="A301" s="1" t="inlineStr">
        <is>
          <t>300</t>
        </is>
      </c>
      <c r="B301" s="1" t="inlineStr">
        <is>
          <t>Por definir</t>
        </is>
      </c>
      <c r="C301" s="1" t="inlineStr">
        <is>
          <t>Instancias de Concertación</t>
        </is>
      </c>
      <c r="D301" s="1" t="inlineStr">
        <is>
          <t>Entrevista de actores clave</t>
        </is>
      </c>
      <c r="E301" s="1" t="inlineStr">
        <is>
          <t>Acompañantes</t>
        </is>
      </c>
      <c r="F301" s="1" t="inlineStr">
        <is>
          <t>Nacional</t>
        </is>
      </c>
      <c r="G301" s="1" t="inlineStr">
        <is>
          <t>IJM</t>
        </is>
      </c>
      <c r="H301" s="1" t="inlineStr">
        <is>
          <t>No</t>
        </is>
      </c>
      <c r="I301" s="2" t="str"/>
      <c r="J301" s="2" t="str"/>
      <c r="K301" s="2" t="str"/>
      <c r="L301" s="1" t="str"/>
      <c r="M301" s="2" t="str"/>
      <c r="N301" s="2" t="str"/>
      <c r="O301" s="1" t="str"/>
      <c r="P301" s="1" t="str"/>
      <c r="Q301" s="1" t="str"/>
      <c r="R301" s="1">
        <f>IF(H301="Sí",1,0)</f>
        <v/>
      </c>
      <c r="S301" s="1">
        <f>IF(L301="En coordinación",1,0)</f>
        <v/>
      </c>
      <c r="T301" s="1">
        <f>IF(L301="Aceptada",1,0)</f>
        <v/>
      </c>
      <c r="U301" s="1">
        <f>IF(OR(L301="Realizada completa",L301="Realizada incompleta"),1,0)</f>
        <v/>
      </c>
      <c r="V301" s="1">
        <f>IF(L301="Sin respuesta",1,0)</f>
        <v/>
      </c>
    </row>
    <row r="302">
      <c r="A302" s="1" t="inlineStr">
        <is>
          <t>301</t>
        </is>
      </c>
      <c r="B302" s="1" t="inlineStr">
        <is>
          <t>Por definir</t>
        </is>
      </c>
      <c r="C302" s="1" t="inlineStr">
        <is>
          <t>Instancias de Concertación</t>
        </is>
      </c>
      <c r="D302" s="1" t="inlineStr">
        <is>
          <t>Entrevista de actores clave</t>
        </is>
      </c>
      <c r="E302" s="1" t="inlineStr">
        <is>
          <t>Acompañantes</t>
        </is>
      </c>
      <c r="F302" s="1" t="inlineStr">
        <is>
          <t>Nacional</t>
        </is>
      </c>
      <c r="G302" s="1" t="inlineStr">
        <is>
          <t>IJM</t>
        </is>
      </c>
      <c r="H302" s="1" t="inlineStr">
        <is>
          <t>No</t>
        </is>
      </c>
      <c r="I302" s="2" t="str"/>
      <c r="J302" s="2" t="str"/>
      <c r="K302" s="2" t="str"/>
      <c r="L302" s="1" t="str"/>
      <c r="M302" s="2" t="str"/>
      <c r="N302" s="2" t="str"/>
      <c r="O302" s="1" t="str"/>
      <c r="P302" s="1" t="str"/>
      <c r="Q302" s="1" t="str"/>
      <c r="R302" s="1">
        <f>IF(H302="Sí",1,0)</f>
        <v/>
      </c>
      <c r="S302" s="1">
        <f>IF(L302="En coordinación",1,0)</f>
        <v/>
      </c>
      <c r="T302" s="1">
        <f>IF(L302="Aceptada",1,0)</f>
        <v/>
      </c>
      <c r="U302" s="1">
        <f>IF(OR(L302="Realizada completa",L302="Realizada incompleta"),1,0)</f>
        <v/>
      </c>
      <c r="V302" s="1">
        <f>IF(L302="Sin respuesta",1,0)</f>
        <v/>
      </c>
    </row>
    <row r="303">
      <c r="A303" s="1" t="inlineStr">
        <is>
          <t>302</t>
        </is>
      </c>
      <c r="B303" s="1" t="inlineStr">
        <is>
          <t>Por definir</t>
        </is>
      </c>
      <c r="C303" s="1" t="inlineStr">
        <is>
          <t>Instancias de Concertación</t>
        </is>
      </c>
      <c r="D303" s="1" t="inlineStr">
        <is>
          <t>Entrevista de actores clave</t>
        </is>
      </c>
      <c r="E303" s="1" t="inlineStr">
        <is>
          <t>Acompañantes</t>
        </is>
      </c>
      <c r="F303" s="1" t="inlineStr">
        <is>
          <t>Nacional</t>
        </is>
      </c>
      <c r="G303" s="1" t="inlineStr">
        <is>
          <t>IJM</t>
        </is>
      </c>
      <c r="H303" s="1" t="inlineStr">
        <is>
          <t>No</t>
        </is>
      </c>
      <c r="I303" s="2" t="str"/>
      <c r="J303" s="2" t="str"/>
      <c r="K303" s="2" t="str"/>
      <c r="L303" s="1" t="str"/>
      <c r="M303" s="2" t="str"/>
      <c r="N303" s="2" t="str"/>
      <c r="O303" s="1" t="str"/>
      <c r="P303" s="1" t="str"/>
      <c r="Q303" s="1" t="str"/>
      <c r="R303" s="1">
        <f>IF(H303="Sí",1,0)</f>
        <v/>
      </c>
      <c r="S303" s="1">
        <f>IF(L303="En coordinación",1,0)</f>
        <v/>
      </c>
      <c r="T303" s="1">
        <f>IF(L303="Aceptada",1,0)</f>
        <v/>
      </c>
      <c r="U303" s="1">
        <f>IF(OR(L303="Realizada completa",L303="Realizada incompleta"),1,0)</f>
        <v/>
      </c>
      <c r="V303" s="1">
        <f>IF(L303="Sin respuesta",1,0)</f>
        <v/>
      </c>
    </row>
    <row r="304">
      <c r="A304" s="1" t="inlineStr">
        <is>
          <t>303</t>
        </is>
      </c>
      <c r="B304" s="1" t="inlineStr">
        <is>
          <t>Josué Manuel Gutérrez Cóndor</t>
        </is>
      </c>
      <c r="C304" s="1" t="inlineStr">
        <is>
          <t>Defensoría del Pueblo</t>
        </is>
      </c>
      <c r="D304" s="1" t="inlineStr">
        <is>
          <t>Entrevista de actores clave</t>
        </is>
      </c>
      <c r="E304" s="1" t="inlineStr">
        <is>
          <t>Funcionarios del Sistema</t>
        </is>
      </c>
      <c r="F304" s="1" t="inlineStr">
        <is>
          <t>Nacional</t>
        </is>
      </c>
      <c r="G304" s="1" t="inlineStr">
        <is>
          <t>IJM</t>
        </is>
      </c>
      <c r="H304" s="1" t="inlineStr">
        <is>
          <t>Sí</t>
        </is>
      </c>
      <c r="I304" s="2" t="inlineStr">
        <is>
          <t xml:space="preserve">  5/5/2026</t>
        </is>
      </c>
      <c r="J304" s="2" t="str"/>
      <c r="K304" s="2" t="str"/>
      <c r="L304" s="1" t="inlineStr">
        <is>
          <t>Sin respuesta</t>
        </is>
      </c>
      <c r="M304" s="2" t="str"/>
      <c r="N304" s="2" t="str"/>
      <c r="O304" s="1" t="inlineStr">
        <is>
          <t>Sin respuesta</t>
        </is>
      </c>
      <c r="P304" s="1" t="str"/>
      <c r="Q304" s="1" t="str"/>
      <c r="R304" s="1">
        <f>IF(H304="Sí",1,0)</f>
        <v/>
      </c>
      <c r="S304" s="1">
        <f>IF(L304="En coordinación",1,0)</f>
        <v/>
      </c>
      <c r="T304" s="1">
        <f>IF(L304="Aceptada",1,0)</f>
        <v/>
      </c>
      <c r="U304" s="1">
        <f>IF(OR(L304="Realizada completa",L304="Realizada incompleta"),1,0)</f>
        <v/>
      </c>
      <c r="V304" s="1">
        <f>IF(L304="Sin respuesta",1,0)</f>
        <v/>
      </c>
    </row>
    <row r="305">
      <c r="A305" s="1" t="inlineStr">
        <is>
          <t>304</t>
        </is>
      </c>
      <c r="B305" s="1" t="inlineStr">
        <is>
          <t>Luz Isabel Mejía Cunovilla De Yamaguchi</t>
        </is>
      </c>
      <c r="C305" s="1" t="inlineStr">
        <is>
          <t>Defensoría del Pueblo</t>
        </is>
      </c>
      <c r="D305" s="1" t="inlineStr">
        <is>
          <t>Entrevista de actores clave</t>
        </is>
      </c>
      <c r="E305" s="1" t="inlineStr">
        <is>
          <t>Acompañantes</t>
        </is>
      </c>
      <c r="F305" s="1" t="inlineStr">
        <is>
          <t>Nacional</t>
        </is>
      </c>
      <c r="G305" s="1" t="inlineStr">
        <is>
          <t>IJM</t>
        </is>
      </c>
      <c r="H305" s="1" t="inlineStr">
        <is>
          <t>No</t>
        </is>
      </c>
      <c r="I305" s="2" t="inlineStr">
        <is>
          <t xml:space="preserve"> 5/29/2026</t>
        </is>
      </c>
      <c r="J305" s="2" t="str"/>
      <c r="K305" s="2" t="str"/>
      <c r="L305" s="1" t="inlineStr">
        <is>
          <t>Sin respuesta</t>
        </is>
      </c>
      <c r="M305" s="2" t="str"/>
      <c r="N305" s="2" t="str"/>
      <c r="O305" s="1" t="inlineStr">
        <is>
          <t>Sin respuesta</t>
        </is>
      </c>
      <c r="P305" s="1" t="str"/>
      <c r="Q305" s="1" t="str"/>
      <c r="R305" s="1">
        <f>IF(H305="Sí",1,0)</f>
        <v/>
      </c>
      <c r="S305" s="1">
        <f>IF(L305="En coordinación",1,0)</f>
        <v/>
      </c>
      <c r="T305" s="1">
        <f>IF(L305="Aceptada",1,0)</f>
        <v/>
      </c>
      <c r="U305" s="1">
        <f>IF(OR(L305="Realizada completa",L305="Realizada incompleta"),1,0)</f>
        <v/>
      </c>
      <c r="V305" s="1">
        <f>IF(L305="Sin respuesta",1,0)</f>
        <v/>
      </c>
    </row>
    <row r="306">
      <c r="A306" s="1" t="inlineStr">
        <is>
          <t>305</t>
        </is>
      </c>
      <c r="B306" s="1" t="inlineStr">
        <is>
          <t>Sandra Yessica Ramos Flores</t>
        </is>
      </c>
      <c r="C306" s="1" t="inlineStr">
        <is>
          <t>Defensoría del Pueblo</t>
        </is>
      </c>
      <c r="D306" s="1" t="inlineStr">
        <is>
          <t>Entrevista de actores clave</t>
        </is>
      </c>
      <c r="E306" s="1" t="inlineStr">
        <is>
          <t>Funcionarios del Sistema</t>
        </is>
      </c>
      <c r="F306" s="1" t="inlineStr">
        <is>
          <t>Nacional</t>
        </is>
      </c>
      <c r="G306" s="1" t="inlineStr">
        <is>
          <t>IJM</t>
        </is>
      </c>
      <c r="H306" s="1" t="inlineStr">
        <is>
          <t>Sí</t>
        </is>
      </c>
      <c r="I306" s="2" t="inlineStr">
        <is>
          <t xml:space="preserve">  5/5/2026</t>
        </is>
      </c>
      <c r="J306" s="2" t="str"/>
      <c r="K306" s="2" t="str"/>
      <c r="L306" s="1" t="inlineStr">
        <is>
          <t>Sin respuesta</t>
        </is>
      </c>
      <c r="M306" s="2" t="str"/>
      <c r="N306" s="2" t="str"/>
      <c r="O306" s="1" t="inlineStr">
        <is>
          <t>Sin respuesta</t>
        </is>
      </c>
      <c r="P306" s="1" t="str"/>
      <c r="Q306" s="1" t="str"/>
      <c r="R306" s="1">
        <f>IF(H306="Sí",1,0)</f>
        <v/>
      </c>
      <c r="S306" s="1">
        <f>IF(L306="En coordinación",1,0)</f>
        <v/>
      </c>
      <c r="T306" s="1">
        <f>IF(L306="Aceptada",1,0)</f>
        <v/>
      </c>
      <c r="U306" s="1">
        <f>IF(OR(L306="Realizada completa",L306="Realizada incompleta"),1,0)</f>
        <v/>
      </c>
      <c r="V306" s="1">
        <f>IF(L306="Sin respuesta",1,0)</f>
        <v/>
      </c>
    </row>
    <row r="307">
      <c r="A307" s="1" t="inlineStr">
        <is>
          <t>306</t>
        </is>
      </c>
      <c r="B307" s="1" t="inlineStr">
        <is>
          <t>Marco Octavio Durand Rocca</t>
        </is>
      </c>
      <c r="C307" s="1" t="inlineStr">
        <is>
          <t>Defensoría del Pueblo</t>
        </is>
      </c>
      <c r="D307" s="1" t="inlineStr">
        <is>
          <t>Entrevista de actores clave</t>
        </is>
      </c>
      <c r="E307" s="1" t="inlineStr">
        <is>
          <t>Funcionarios del Sistema</t>
        </is>
      </c>
      <c r="F307" s="1" t="inlineStr">
        <is>
          <t>Nacional</t>
        </is>
      </c>
      <c r="G307" s="1" t="inlineStr">
        <is>
          <t>IJM</t>
        </is>
      </c>
      <c r="H307" s="1" t="inlineStr">
        <is>
          <t>Sí</t>
        </is>
      </c>
      <c r="I307" s="2" t="inlineStr">
        <is>
          <t xml:space="preserve">  5/5/2026</t>
        </is>
      </c>
      <c r="J307" s="2" t="str"/>
      <c r="K307" s="2" t="str"/>
      <c r="L307" s="1" t="inlineStr">
        <is>
          <t>Sin respuesta</t>
        </is>
      </c>
      <c r="M307" s="2" t="str"/>
      <c r="N307" s="2" t="str"/>
      <c r="O307" s="1" t="inlineStr">
        <is>
          <t>Sin respuesta</t>
        </is>
      </c>
      <c r="P307" s="1" t="str"/>
      <c r="Q307" s="1" t="str"/>
      <c r="R307" s="1">
        <f>IF(H307="Sí",1,0)</f>
        <v/>
      </c>
      <c r="S307" s="1">
        <f>IF(L307="En coordinación",1,0)</f>
        <v/>
      </c>
      <c r="T307" s="1">
        <f>IF(L307="Aceptada",1,0)</f>
        <v/>
      </c>
      <c r="U307" s="1">
        <f>IF(OR(L307="Realizada completa",L307="Realizada incompleta"),1,0)</f>
        <v/>
      </c>
      <c r="V307" s="1">
        <f>IF(L307="Sin respuesta",1,0)</f>
        <v/>
      </c>
    </row>
    <row r="308">
      <c r="A308" s="1" t="inlineStr">
        <is>
          <t>307</t>
        </is>
      </c>
      <c r="B308" s="1" t="inlineStr">
        <is>
          <t>Soledad Elena Rodríguez Loli</t>
        </is>
      </c>
      <c r="C308" s="1" t="inlineStr">
        <is>
          <t>Defensoría del Pueblo</t>
        </is>
      </c>
      <c r="D308" s="1" t="inlineStr">
        <is>
          <t>Entrevista de actores clave</t>
        </is>
      </c>
      <c r="E308" s="1" t="inlineStr">
        <is>
          <t>Acompañantes</t>
        </is>
      </c>
      <c r="F308" s="1" t="inlineStr">
        <is>
          <t>Nacional</t>
        </is>
      </c>
      <c r="G308" s="1" t="inlineStr">
        <is>
          <t>IJM</t>
        </is>
      </c>
      <c r="H308" s="1" t="inlineStr">
        <is>
          <t>No</t>
        </is>
      </c>
      <c r="I308" s="2" t="inlineStr">
        <is>
          <t xml:space="preserve"> 5/29/2026</t>
        </is>
      </c>
      <c r="J308" s="2" t="str"/>
      <c r="K308" s="2" t="str"/>
      <c r="L308" s="1" t="inlineStr">
        <is>
          <t>Sin respuesta</t>
        </is>
      </c>
      <c r="M308" s="2" t="str"/>
      <c r="N308" s="2" t="str"/>
      <c r="O308" s="1" t="inlineStr">
        <is>
          <t>Sin respuesta</t>
        </is>
      </c>
      <c r="P308" s="1" t="str"/>
      <c r="Q308" s="1" t="str"/>
      <c r="R308" s="1">
        <f>IF(H308="Sí",1,0)</f>
        <v/>
      </c>
      <c r="S308" s="1">
        <f>IF(L308="En coordinación",1,0)</f>
        <v/>
      </c>
      <c r="T308" s="1">
        <f>IF(L308="Aceptada",1,0)</f>
        <v/>
      </c>
      <c r="U308" s="1">
        <f>IF(OR(L308="Realizada completa",L308="Realizada incompleta"),1,0)</f>
        <v/>
      </c>
      <c r="V308" s="1">
        <f>IF(L308="Sin respuesta",1,0)</f>
        <v/>
      </c>
    </row>
    <row r="309">
      <c r="A309" s="1" t="inlineStr">
        <is>
          <t>308</t>
        </is>
      </c>
      <c r="B309" s="1" t="inlineStr">
        <is>
          <t>Genoveva Gómez Vargas</t>
        </is>
      </c>
      <c r="C309" s="1" t="inlineStr">
        <is>
          <t>Defensoría del Pueblo</t>
        </is>
      </c>
      <c r="D309" s="1" t="inlineStr">
        <is>
          <t>Entrevista de actores clave</t>
        </is>
      </c>
      <c r="E309" s="1" t="inlineStr">
        <is>
          <t>Acompañantes</t>
        </is>
      </c>
      <c r="F309" s="1" t="inlineStr">
        <is>
          <t>Nacional</t>
        </is>
      </c>
      <c r="G309" s="1" t="inlineStr">
        <is>
          <t>IJM</t>
        </is>
      </c>
      <c r="H309" s="1" t="inlineStr">
        <is>
          <t>No</t>
        </is>
      </c>
      <c r="I309" s="2" t="inlineStr">
        <is>
          <t xml:space="preserve"> 5/29/2026</t>
        </is>
      </c>
      <c r="J309" s="2" t="str"/>
      <c r="K309" s="2" t="str"/>
      <c r="L309" s="1" t="inlineStr">
        <is>
          <t>Sin respuesta</t>
        </is>
      </c>
      <c r="M309" s="2" t="str"/>
      <c r="N309" s="2" t="str"/>
      <c r="O309" s="1" t="inlineStr">
        <is>
          <t>Sin respuesta</t>
        </is>
      </c>
      <c r="P309" s="1" t="str"/>
      <c r="Q309" s="1" t="str"/>
      <c r="R309" s="1">
        <f>IF(H309="Sí",1,0)</f>
        <v/>
      </c>
      <c r="S309" s="1">
        <f>IF(L309="En coordinación",1,0)</f>
        <v/>
      </c>
      <c r="T309" s="1">
        <f>IF(L309="Aceptada",1,0)</f>
        <v/>
      </c>
      <c r="U309" s="1">
        <f>IF(OR(L309="Realizada completa",L309="Realizada incompleta"),1,0)</f>
        <v/>
      </c>
      <c r="V309" s="1">
        <f>IF(L309="Sin respuesta",1,0)</f>
        <v/>
      </c>
    </row>
    <row r="310">
      <c r="A310" s="1" t="inlineStr">
        <is>
          <t>309</t>
        </is>
      </c>
      <c r="B310" s="1" t="inlineStr">
        <is>
          <t>Pamela Huerta</t>
        </is>
      </c>
      <c r="C310" s="1" t="inlineStr">
        <is>
          <t>La República</t>
        </is>
      </c>
      <c r="D310" s="1" t="inlineStr">
        <is>
          <t>Entrevista de actores clave</t>
        </is>
      </c>
      <c r="E310" s="1" t="inlineStr">
        <is>
          <t>Prensa</t>
        </is>
      </c>
      <c r="F310" s="1" t="inlineStr">
        <is>
          <t>Nacional</t>
        </is>
      </c>
      <c r="G310" s="1" t="inlineStr">
        <is>
          <t>IJM</t>
        </is>
      </c>
      <c r="H310" s="1" t="inlineStr">
        <is>
          <t>No</t>
        </is>
      </c>
      <c r="I310" s="2" t="str"/>
      <c r="J310" s="2" t="str"/>
      <c r="K310" s="2" t="str"/>
      <c r="L310" s="1" t="str"/>
      <c r="M310" s="2" t="str"/>
      <c r="N310" s="2" t="str"/>
      <c r="O310" s="1" t="str"/>
      <c r="P310" s="1" t="str"/>
      <c r="Q310" s="1" t="str"/>
      <c r="R310" s="1">
        <f>IF(H310="Sí",1,0)</f>
        <v/>
      </c>
      <c r="S310" s="1">
        <f>IF(L310="En coordinación",1,0)</f>
        <v/>
      </c>
      <c r="T310" s="1">
        <f>IF(L310="Aceptada",1,0)</f>
        <v/>
      </c>
      <c r="U310" s="1">
        <f>IF(OR(L310="Realizada completa",L310="Realizada incompleta"),1,0)</f>
        <v/>
      </c>
      <c r="V310" s="1">
        <f>IF(L310="Sin respuesta",1,0)</f>
        <v/>
      </c>
    </row>
    <row r="311">
      <c r="A311" s="1" t="inlineStr">
        <is>
          <t>310</t>
        </is>
      </c>
      <c r="B311" s="1" t="inlineStr">
        <is>
          <t>Adriana León</t>
        </is>
      </c>
      <c r="C311" s="1" t="inlineStr">
        <is>
          <t>Instituto Prensa y Sociedad</t>
        </is>
      </c>
      <c r="D311" s="1" t="inlineStr">
        <is>
          <t>Entrevista de actores clave</t>
        </is>
      </c>
      <c r="E311" s="1" t="inlineStr">
        <is>
          <t>Prensa</t>
        </is>
      </c>
      <c r="F311" s="1" t="inlineStr">
        <is>
          <t>Nacional</t>
        </is>
      </c>
      <c r="G311" s="1" t="inlineStr">
        <is>
          <t>IJM</t>
        </is>
      </c>
      <c r="H311" s="1" t="inlineStr">
        <is>
          <t>No</t>
        </is>
      </c>
      <c r="I311" s="2" t="str"/>
      <c r="J311" s="2" t="str"/>
      <c r="K311" s="2" t="str"/>
      <c r="L311" s="1" t="str"/>
      <c r="M311" s="2" t="str"/>
      <c r="N311" s="2" t="str"/>
      <c r="O311" s="1" t="str"/>
      <c r="P311" s="1" t="str"/>
      <c r="Q311" s="1" t="str"/>
      <c r="R311" s="1">
        <f>IF(H311="Sí",1,0)</f>
        <v/>
      </c>
      <c r="S311" s="1">
        <f>IF(L311="En coordinación",1,0)</f>
        <v/>
      </c>
      <c r="T311" s="1">
        <f>IF(L311="Aceptada",1,0)</f>
        <v/>
      </c>
      <c r="U311" s="1">
        <f>IF(OR(L311="Realizada completa",L311="Realizada incompleta"),1,0)</f>
        <v/>
      </c>
      <c r="V311" s="1">
        <f>IF(L311="Sin respuesta",1,0)</f>
        <v/>
      </c>
    </row>
    <row r="312">
      <c r="A312" s="1" t="inlineStr">
        <is>
          <t>311</t>
        </is>
      </c>
      <c r="B312" s="1" t="inlineStr">
        <is>
          <t>Fiorella Montaño</t>
        </is>
      </c>
      <c r="C312" s="1" t="inlineStr">
        <is>
          <t>Ojo Público</t>
        </is>
      </c>
      <c r="D312" s="1" t="inlineStr">
        <is>
          <t>Entrevista de actores clave</t>
        </is>
      </c>
      <c r="E312" s="1" t="inlineStr">
        <is>
          <t>Prensa</t>
        </is>
      </c>
      <c r="F312" s="1" t="inlineStr">
        <is>
          <t>Nacional</t>
        </is>
      </c>
      <c r="G312" s="1" t="inlineStr">
        <is>
          <t>IJM</t>
        </is>
      </c>
      <c r="H312" s="1" t="inlineStr">
        <is>
          <t>No</t>
        </is>
      </c>
      <c r="I312" s="2" t="str"/>
      <c r="J312" s="2" t="str"/>
      <c r="K312" s="2" t="str"/>
      <c r="L312" s="1" t="str"/>
      <c r="M312" s="2" t="str"/>
      <c r="N312" s="2" t="str"/>
      <c r="O312" s="1" t="str"/>
      <c r="P312" s="1" t="str"/>
      <c r="Q312" s="1" t="str"/>
      <c r="R312" s="1">
        <f>IF(H312="Sí",1,0)</f>
        <v/>
      </c>
      <c r="S312" s="1">
        <f>IF(L312="En coordinación",1,0)</f>
        <v/>
      </c>
      <c r="T312" s="1">
        <f>IF(L312="Aceptada",1,0)</f>
        <v/>
      </c>
      <c r="U312" s="1">
        <f>IF(OR(L312="Realizada completa",L312="Realizada incompleta"),1,0)</f>
        <v/>
      </c>
      <c r="V312" s="1">
        <f>IF(L312="Sin respuesta",1,0)</f>
        <v/>
      </c>
    </row>
    <row r="313">
      <c r="A313" s="1" t="inlineStr">
        <is>
          <t>312</t>
        </is>
      </c>
      <c r="B313" s="1" t="inlineStr">
        <is>
          <t>Gianfranco Huamán</t>
        </is>
      </c>
      <c r="C313" s="1" t="inlineStr">
        <is>
          <t>Ojo Público</t>
        </is>
      </c>
      <c r="D313" s="1" t="inlineStr">
        <is>
          <t>Entrevista de actores clave</t>
        </is>
      </c>
      <c r="E313" s="1" t="inlineStr">
        <is>
          <t>Prensa</t>
        </is>
      </c>
      <c r="F313" s="1" t="inlineStr">
        <is>
          <t>Nacional</t>
        </is>
      </c>
      <c r="G313" s="1" t="inlineStr">
        <is>
          <t>IJM</t>
        </is>
      </c>
      <c r="H313" s="1" t="inlineStr">
        <is>
          <t>No</t>
        </is>
      </c>
      <c r="I313" s="2" t="str"/>
      <c r="J313" s="2" t="str"/>
      <c r="K313" s="2" t="str"/>
      <c r="L313" s="1" t="str"/>
      <c r="M313" s="2" t="str"/>
      <c r="N313" s="2" t="str"/>
      <c r="O313" s="1" t="str"/>
      <c r="P313" s="1" t="str"/>
      <c r="Q313" s="1" t="str"/>
      <c r="R313" s="1">
        <f>IF(H313="Sí",1,0)</f>
        <v/>
      </c>
      <c r="S313" s="1">
        <f>IF(L313="En coordinación",1,0)</f>
        <v/>
      </c>
      <c r="T313" s="1">
        <f>IF(L313="Aceptada",1,0)</f>
        <v/>
      </c>
      <c r="U313" s="1">
        <f>IF(OR(L313="Realizada completa",L313="Realizada incompleta"),1,0)</f>
        <v/>
      </c>
      <c r="V313" s="1">
        <f>IF(L313="Sin respuesta",1,0)</f>
        <v/>
      </c>
    </row>
    <row r="314">
      <c r="A314" s="1" t="inlineStr">
        <is>
          <t>313</t>
        </is>
      </c>
      <c r="B314" s="1" t="inlineStr">
        <is>
          <t>Gloria Ziegler</t>
        </is>
      </c>
      <c r="C314" s="1" t="inlineStr">
        <is>
          <t>Ojo Público</t>
        </is>
      </c>
      <c r="D314" s="1" t="inlineStr">
        <is>
          <t>Entrevista de actores clave</t>
        </is>
      </c>
      <c r="E314" s="1" t="inlineStr">
        <is>
          <t>Prensa</t>
        </is>
      </c>
      <c r="F314" s="1" t="inlineStr">
        <is>
          <t>Nacional</t>
        </is>
      </c>
      <c r="G314" s="1" t="inlineStr">
        <is>
          <t>IJM</t>
        </is>
      </c>
      <c r="H314" s="1" t="inlineStr">
        <is>
          <t>Sí</t>
        </is>
      </c>
      <c r="I314" s="2" t="inlineStr">
        <is>
          <t xml:space="preserve"> 5/12/2026</t>
        </is>
      </c>
      <c r="J314" s="2" t="str"/>
      <c r="K314" s="2" t="str"/>
      <c r="L314" s="1" t="inlineStr">
        <is>
          <t>Realizada completa</t>
        </is>
      </c>
      <c r="M314" s="2" t="inlineStr">
        <is>
          <t xml:space="preserve"> 2-Jun</t>
        </is>
      </c>
      <c r="N314" s="2" t="inlineStr">
        <is>
          <t xml:space="preserve"> 2-Jun</t>
        </is>
      </c>
      <c r="O314" s="1" t="inlineStr">
        <is>
          <t>Realizada completa</t>
        </is>
      </c>
      <c r="P314" s="1" t="inlineStr">
        <is>
          <t>44</t>
        </is>
      </c>
      <c r="Q314" s="1" t="inlineStr">
        <is>
          <t>A distancia asistido</t>
        </is>
      </c>
      <c r="R314" s="1">
        <f>IF(H314="Sí",1,0)</f>
        <v/>
      </c>
      <c r="S314" s="1">
        <f>IF(L314="En coordinación",1,0)</f>
        <v/>
      </c>
      <c r="T314" s="1">
        <f>IF(L314="Aceptada",1,0)</f>
        <v/>
      </c>
      <c r="U314" s="1">
        <f>IF(OR(L314="Realizada completa",L314="Realizada incompleta"),1,0)</f>
        <v/>
      </c>
      <c r="V314" s="1">
        <f>IF(L314="Sin respuesta",1,0)</f>
        <v/>
      </c>
    </row>
    <row r="315">
      <c r="A315" s="1" t="inlineStr">
        <is>
          <t>314</t>
        </is>
      </c>
      <c r="B315" s="1" t="inlineStr">
        <is>
          <t>Paloma Verano</t>
        </is>
      </c>
      <c r="C315" s="1" t="inlineStr">
        <is>
          <t>RPP</t>
        </is>
      </c>
      <c r="D315" s="1" t="inlineStr">
        <is>
          <t>Entrevista de actores clave</t>
        </is>
      </c>
      <c r="E315" s="1" t="inlineStr">
        <is>
          <t>Prensa</t>
        </is>
      </c>
      <c r="F315" s="1" t="inlineStr">
        <is>
          <t>Nacional</t>
        </is>
      </c>
      <c r="G315" s="1" t="inlineStr">
        <is>
          <t>IJM</t>
        </is>
      </c>
      <c r="H315" s="1" t="inlineStr">
        <is>
          <t>No</t>
        </is>
      </c>
      <c r="I315" s="2" t="inlineStr">
        <is>
          <t xml:space="preserve"> 5/29/2026</t>
        </is>
      </c>
      <c r="J315" s="2" t="str"/>
      <c r="K315" s="2" t="str"/>
      <c r="L315" s="1" t="inlineStr">
        <is>
          <t>Sin respuesta</t>
        </is>
      </c>
      <c r="M315" s="2" t="str"/>
      <c r="N315" s="2" t="str"/>
      <c r="O315" s="1" t="inlineStr">
        <is>
          <t>Sin respuesta</t>
        </is>
      </c>
      <c r="P315" s="1" t="str"/>
      <c r="Q315" s="1" t="str"/>
      <c r="R315" s="1">
        <f>IF(H315="Sí",1,0)</f>
        <v/>
      </c>
      <c r="S315" s="1">
        <f>IF(L315="En coordinación",1,0)</f>
        <v/>
      </c>
      <c r="T315" s="1">
        <f>IF(L315="Aceptada",1,0)</f>
        <v/>
      </c>
      <c r="U315" s="1">
        <f>IF(OR(L315="Realizada completa",L315="Realizada incompleta"),1,0)</f>
        <v/>
      </c>
      <c r="V315" s="1">
        <f>IF(L315="Sin respuesta",1,0)</f>
        <v/>
      </c>
    </row>
    <row r="316">
      <c r="A316" s="1" t="inlineStr">
        <is>
          <t>315</t>
        </is>
      </c>
      <c r="B316" s="1" t="inlineStr">
        <is>
          <t>Pedro Luis Ramos Martinez</t>
        </is>
      </c>
      <c r="C316" s="1" t="inlineStr">
        <is>
          <t>RPP</t>
        </is>
      </c>
      <c r="D316" s="1" t="inlineStr">
        <is>
          <t>Entrevista de actores clave</t>
        </is>
      </c>
      <c r="E316" s="1" t="inlineStr">
        <is>
          <t>Prensa</t>
        </is>
      </c>
      <c r="F316" s="1" t="inlineStr">
        <is>
          <t>Nacional</t>
        </is>
      </c>
      <c r="G316" s="1" t="inlineStr">
        <is>
          <t>IJM</t>
        </is>
      </c>
      <c r="H316" s="1" t="inlineStr">
        <is>
          <t>No</t>
        </is>
      </c>
      <c r="I316" s="2" t="inlineStr">
        <is>
          <t xml:space="preserve"> 5/29/2026</t>
        </is>
      </c>
      <c r="J316" s="2" t="str"/>
      <c r="K316" s="2" t="str"/>
      <c r="L316" s="1" t="inlineStr">
        <is>
          <t>Sin respuesta</t>
        </is>
      </c>
      <c r="M316" s="2" t="str"/>
      <c r="N316" s="2" t="str"/>
      <c r="O316" s="1" t="inlineStr">
        <is>
          <t>Sin respuesta</t>
        </is>
      </c>
      <c r="P316" s="1" t="str"/>
      <c r="Q316" s="1" t="str"/>
      <c r="R316" s="1">
        <f>IF(H316="Sí",1,0)</f>
        <v/>
      </c>
      <c r="S316" s="1">
        <f>IF(L316="En coordinación",1,0)</f>
        <v/>
      </c>
      <c r="T316" s="1">
        <f>IF(L316="Aceptada",1,0)</f>
        <v/>
      </c>
      <c r="U316" s="1">
        <f>IF(OR(L316="Realizada completa",L316="Realizada incompleta"),1,0)</f>
        <v/>
      </c>
      <c r="V316" s="1">
        <f>IF(L316="Sin respuesta",1,0)</f>
        <v/>
      </c>
    </row>
    <row r="317">
      <c r="A317" s="1" t="inlineStr">
        <is>
          <t>316</t>
        </is>
      </c>
      <c r="B317" s="1" t="inlineStr">
        <is>
          <t>Paola Ugaz</t>
        </is>
      </c>
      <c r="C317" s="1" t="inlineStr">
        <is>
          <t>Diario ABC</t>
        </is>
      </c>
      <c r="D317" s="1" t="inlineStr">
        <is>
          <t>Entrevista de actores clave</t>
        </is>
      </c>
      <c r="E317" s="1" t="inlineStr">
        <is>
          <t>Prensa</t>
        </is>
      </c>
      <c r="F317" s="1" t="inlineStr">
        <is>
          <t>Nacional</t>
        </is>
      </c>
      <c r="G317" s="1" t="inlineStr">
        <is>
          <t>IJM</t>
        </is>
      </c>
      <c r="H317" s="1" t="inlineStr">
        <is>
          <t>No</t>
        </is>
      </c>
      <c r="I317" s="2" t="str"/>
      <c r="J317" s="2" t="str"/>
      <c r="K317" s="2" t="str"/>
      <c r="L317" s="1" t="str"/>
      <c r="M317" s="2" t="str"/>
      <c r="N317" s="2" t="str"/>
      <c r="O317" s="1" t="str"/>
      <c r="P317" s="1" t="str"/>
      <c r="Q317" s="1" t="str"/>
      <c r="R317" s="1">
        <f>IF(H317="Sí",1,0)</f>
        <v/>
      </c>
      <c r="S317" s="1">
        <f>IF(L317="En coordinación",1,0)</f>
        <v/>
      </c>
      <c r="T317" s="1">
        <f>IF(L317="Aceptada",1,0)</f>
        <v/>
      </c>
      <c r="U317" s="1">
        <f>IF(OR(L317="Realizada completa",L317="Realizada incompleta"),1,0)</f>
        <v/>
      </c>
      <c r="V317" s="1">
        <f>IF(L317="Sin respuesta",1,0)</f>
        <v/>
      </c>
    </row>
    <row r="318">
      <c r="A318" s="1" t="inlineStr">
        <is>
          <t>317</t>
        </is>
      </c>
      <c r="B318" s="1" t="inlineStr">
        <is>
          <t>Juana Avellaneda</t>
        </is>
      </c>
      <c r="C318" s="1" t="inlineStr">
        <is>
          <t>América Televisión</t>
        </is>
      </c>
      <c r="D318" s="1" t="inlineStr">
        <is>
          <t>Entrevista de actores clave</t>
        </is>
      </c>
      <c r="E318" s="1" t="inlineStr">
        <is>
          <t>Prensa</t>
        </is>
      </c>
      <c r="F318" s="1" t="inlineStr">
        <is>
          <t>Nacional</t>
        </is>
      </c>
      <c r="G318" s="1" t="inlineStr">
        <is>
          <t>IJM</t>
        </is>
      </c>
      <c r="H318" s="1" t="inlineStr">
        <is>
          <t>No</t>
        </is>
      </c>
      <c r="I318" s="2" t="str"/>
      <c r="J318" s="2" t="str"/>
      <c r="K318" s="2" t="str"/>
      <c r="L318" s="1" t="str"/>
      <c r="M318" s="2" t="str"/>
      <c r="N318" s="2" t="str"/>
      <c r="O318" s="1" t="str"/>
      <c r="P318" s="1" t="str"/>
      <c r="Q318" s="1" t="str"/>
      <c r="R318" s="1">
        <f>IF(H318="Sí",1,0)</f>
        <v/>
      </c>
      <c r="S318" s="1">
        <f>IF(L318="En coordinación",1,0)</f>
        <v/>
      </c>
      <c r="T318" s="1">
        <f>IF(L318="Aceptada",1,0)</f>
        <v/>
      </c>
      <c r="U318" s="1">
        <f>IF(OR(L318="Realizada completa",L318="Realizada incompleta"),1,0)</f>
        <v/>
      </c>
      <c r="V318" s="1">
        <f>IF(L318="Sin respuesta",1,0)</f>
        <v/>
      </c>
    </row>
    <row r="319">
      <c r="A319" s="1" t="inlineStr">
        <is>
          <t>318</t>
        </is>
      </c>
      <c r="B319" s="1" t="inlineStr">
        <is>
          <t>Claudia Cisneros</t>
        </is>
      </c>
      <c r="C319" s="1" t="inlineStr">
        <is>
          <t>Wayka</t>
        </is>
      </c>
      <c r="D319" s="1" t="inlineStr">
        <is>
          <t>Entrevista de actores clave</t>
        </is>
      </c>
      <c r="E319" s="1" t="inlineStr">
        <is>
          <t>Prensa</t>
        </is>
      </c>
      <c r="F319" s="1" t="inlineStr">
        <is>
          <t>Nacional</t>
        </is>
      </c>
      <c r="G319" s="1" t="inlineStr">
        <is>
          <t>IJM</t>
        </is>
      </c>
      <c r="H319" s="1" t="inlineStr">
        <is>
          <t>Sí</t>
        </is>
      </c>
      <c r="I319" s="2" t="inlineStr">
        <is>
          <t xml:space="preserve"> 3/30/2026</t>
        </is>
      </c>
      <c r="J319" s="2" t="inlineStr">
        <is>
          <t xml:space="preserve">  5/5/2026</t>
        </is>
      </c>
      <c r="K319" s="2" t="str"/>
      <c r="L319" s="1" t="inlineStr">
        <is>
          <t>Sin respuesta</t>
        </is>
      </c>
      <c r="M319" s="2" t="str"/>
      <c r="N319" s="2" t="str"/>
      <c r="O319" s="1" t="inlineStr">
        <is>
          <t>Sin respuesta</t>
        </is>
      </c>
      <c r="P319" s="1" t="str"/>
      <c r="Q319" s="1" t="str"/>
      <c r="R319" s="1">
        <f>IF(H319="Sí",1,0)</f>
        <v/>
      </c>
      <c r="S319" s="1">
        <f>IF(L319="En coordinación",1,0)</f>
        <v/>
      </c>
      <c r="T319" s="1">
        <f>IF(L319="Aceptada",1,0)</f>
        <v/>
      </c>
      <c r="U319" s="1">
        <f>IF(OR(L319="Realizada completa",L319="Realizada incompleta"),1,0)</f>
        <v/>
      </c>
      <c r="V319" s="1">
        <f>IF(L319="Sin respuesta",1,0)</f>
        <v/>
      </c>
    </row>
    <row r="320">
      <c r="A320" s="1" t="inlineStr">
        <is>
          <t>319</t>
        </is>
      </c>
      <c r="B320" s="1" t="inlineStr">
        <is>
          <t>Rocío Romero Benites</t>
        </is>
      </c>
      <c r="C320" s="1" t="inlineStr">
        <is>
          <t>Salud con Lupa</t>
        </is>
      </c>
      <c r="D320" s="1" t="inlineStr">
        <is>
          <t>Entrevista de actores clave</t>
        </is>
      </c>
      <c r="E320" s="1" t="inlineStr">
        <is>
          <t>Prensa</t>
        </is>
      </c>
      <c r="F320" s="1" t="inlineStr">
        <is>
          <t>Nacional</t>
        </is>
      </c>
      <c r="G320" s="1" t="inlineStr">
        <is>
          <t>IJM</t>
        </is>
      </c>
      <c r="H320" s="1" t="inlineStr">
        <is>
          <t>No</t>
        </is>
      </c>
      <c r="I320" s="2" t="str"/>
      <c r="J320" s="2" t="str"/>
      <c r="K320" s="2" t="str"/>
      <c r="L320" s="1" t="str"/>
      <c r="M320" s="2" t="str"/>
      <c r="N320" s="2" t="str"/>
      <c r="O320" s="1" t="str"/>
      <c r="P320" s="1" t="str"/>
      <c r="Q320" s="1" t="str"/>
      <c r="R320" s="1">
        <f>IF(H320="Sí",1,0)</f>
        <v/>
      </c>
      <c r="S320" s="1">
        <f>IF(L320="En coordinación",1,0)</f>
        <v/>
      </c>
      <c r="T320" s="1">
        <f>IF(L320="Aceptada",1,0)</f>
        <v/>
      </c>
      <c r="U320" s="1">
        <f>IF(OR(L320="Realizada completa",L320="Realizada incompleta"),1,0)</f>
        <v/>
      </c>
      <c r="V320" s="1">
        <f>IF(L320="Sin respuesta",1,0)</f>
        <v/>
      </c>
    </row>
    <row r="321">
      <c r="A321" s="1" t="inlineStr">
        <is>
          <t>320</t>
        </is>
      </c>
      <c r="B321" s="1" t="inlineStr">
        <is>
          <t>Fabiola Torres Lopez</t>
        </is>
      </c>
      <c r="C321" s="1" t="inlineStr">
        <is>
          <t>Salud con Lupa</t>
        </is>
      </c>
      <c r="D321" s="1" t="inlineStr">
        <is>
          <t>Entrevista de actores clave</t>
        </is>
      </c>
      <c r="E321" s="1" t="inlineStr">
        <is>
          <t>Prensa</t>
        </is>
      </c>
      <c r="F321" s="1" t="inlineStr">
        <is>
          <t>Nacional</t>
        </is>
      </c>
      <c r="G321" s="1" t="inlineStr">
        <is>
          <t>IJM</t>
        </is>
      </c>
      <c r="H321" s="1" t="inlineStr">
        <is>
          <t>No</t>
        </is>
      </c>
      <c r="I321" s="2" t="str"/>
      <c r="J321" s="2" t="str"/>
      <c r="K321" s="2" t="str"/>
      <c r="L321" s="1" t="str"/>
      <c r="M321" s="2" t="str"/>
      <c r="N321" s="2" t="str"/>
      <c r="O321" s="1" t="str"/>
      <c r="P321" s="1" t="str"/>
      <c r="Q321" s="1" t="str"/>
      <c r="R321" s="1">
        <f>IF(H321="Sí",1,0)</f>
        <v/>
      </c>
      <c r="S321" s="1">
        <f>IF(L321="En coordinación",1,0)</f>
        <v/>
      </c>
      <c r="T321" s="1">
        <f>IF(L321="Aceptada",1,0)</f>
        <v/>
      </c>
      <c r="U321" s="1">
        <f>IF(OR(L321="Realizada completa",L321="Realizada incompleta"),1,0)</f>
        <v/>
      </c>
      <c r="V321" s="1">
        <f>IF(L321="Sin respuesta",1,0)</f>
        <v/>
      </c>
    </row>
    <row r="322">
      <c r="A322" s="1" t="inlineStr">
        <is>
          <t>321</t>
        </is>
      </c>
      <c r="B322" s="1" t="inlineStr">
        <is>
          <t>Olivia Chava Sotelo</t>
        </is>
      </c>
      <c r="C322" s="1" t="inlineStr">
        <is>
          <t>elmegafono.pe</t>
        </is>
      </c>
      <c r="D322" s="1" t="inlineStr">
        <is>
          <t>Entrevista de actores clave</t>
        </is>
      </c>
      <c r="E322" s="1" t="inlineStr">
        <is>
          <t>Prensa</t>
        </is>
      </c>
      <c r="F322" s="1" t="inlineStr">
        <is>
          <t>Nacional</t>
        </is>
      </c>
      <c r="G322" s="1" t="inlineStr">
        <is>
          <t>IJM</t>
        </is>
      </c>
      <c r="H322" s="1" t="inlineStr">
        <is>
          <t>No</t>
        </is>
      </c>
      <c r="I322" s="2" t="str"/>
      <c r="J322" s="2" t="str"/>
      <c r="K322" s="2" t="str"/>
      <c r="L322" s="1" t="str"/>
      <c r="M322" s="2" t="str"/>
      <c r="N322" s="2" t="str"/>
      <c r="O322" s="1" t="str"/>
      <c r="P322" s="1" t="str"/>
      <c r="Q322" s="1" t="str"/>
      <c r="R322" s="1">
        <f>IF(H322="Sí",1,0)</f>
        <v/>
      </c>
      <c r="S322" s="1">
        <f>IF(L322="En coordinación",1,0)</f>
        <v/>
      </c>
      <c r="T322" s="1">
        <f>IF(L322="Aceptada",1,0)</f>
        <v/>
      </c>
      <c r="U322" s="1">
        <f>IF(OR(L322="Realizada completa",L322="Realizada incompleta"),1,0)</f>
        <v/>
      </c>
      <c r="V322" s="1">
        <f>IF(L322="Sin respuesta",1,0)</f>
        <v/>
      </c>
    </row>
    <row r="323">
      <c r="A323" s="1" t="inlineStr">
        <is>
          <t>322</t>
        </is>
      </c>
      <c r="B323" s="1" t="inlineStr">
        <is>
          <t>Lorena Álvarez</t>
        </is>
      </c>
      <c r="C323" s="1" t="inlineStr">
        <is>
          <t>Latina</t>
        </is>
      </c>
      <c r="D323" s="1" t="inlineStr">
        <is>
          <t>Entrevista de actores clave</t>
        </is>
      </c>
      <c r="E323" s="1" t="inlineStr">
        <is>
          <t>Prensa</t>
        </is>
      </c>
      <c r="F323" s="1" t="inlineStr">
        <is>
          <t>Nacional</t>
        </is>
      </c>
      <c r="G323" s="1" t="inlineStr">
        <is>
          <t>IJM</t>
        </is>
      </c>
      <c r="H323" s="1" t="inlineStr">
        <is>
          <t>No</t>
        </is>
      </c>
      <c r="I323" s="2" t="str"/>
      <c r="J323" s="2" t="str"/>
      <c r="K323" s="2" t="str"/>
      <c r="L323" s="1" t="str"/>
      <c r="M323" s="2" t="str"/>
      <c r="N323" s="2" t="str"/>
      <c r="O323" s="1" t="str"/>
      <c r="P323" s="1" t="str"/>
      <c r="Q323" s="1" t="str"/>
      <c r="R323" s="1">
        <f>IF(H323="Sí",1,0)</f>
        <v/>
      </c>
      <c r="S323" s="1">
        <f>IF(L323="En coordinación",1,0)</f>
        <v/>
      </c>
      <c r="T323" s="1">
        <f>IF(L323="Aceptada",1,0)</f>
        <v/>
      </c>
      <c r="U323" s="1">
        <f>IF(OR(L323="Realizada completa",L323="Realizada incompleta"),1,0)</f>
        <v/>
      </c>
      <c r="V323" s="1">
        <f>IF(L323="Sin respuesta",1,0)</f>
        <v/>
      </c>
    </row>
    <row r="324">
      <c r="A324" s="1" t="inlineStr">
        <is>
          <t>323</t>
        </is>
      </c>
      <c r="B324" s="1" t="inlineStr">
        <is>
          <t>Sofìa Carrillo Zegarra</t>
        </is>
      </c>
      <c r="C324" s="1" t="inlineStr">
        <is>
          <t>Radio Nacional del Perú</t>
        </is>
      </c>
      <c r="D324" s="1" t="inlineStr">
        <is>
          <t>Entrevista de actores clave</t>
        </is>
      </c>
      <c r="E324" s="1" t="inlineStr">
        <is>
          <t>Prensa</t>
        </is>
      </c>
      <c r="F324" s="1" t="inlineStr">
        <is>
          <t>Nacional</t>
        </is>
      </c>
      <c r="G324" s="1" t="inlineStr">
        <is>
          <t>IJM</t>
        </is>
      </c>
      <c r="H324" s="1" t="inlineStr">
        <is>
          <t>No</t>
        </is>
      </c>
      <c r="I324" s="2" t="str"/>
      <c r="J324" s="2" t="str"/>
      <c r="K324" s="2" t="str"/>
      <c r="L324" s="1" t="str"/>
      <c r="M324" s="2" t="str"/>
      <c r="N324" s="2" t="str"/>
      <c r="O324" s="1" t="str"/>
      <c r="P324" s="1" t="str"/>
      <c r="Q324" s="1" t="str"/>
      <c r="R324" s="1">
        <f>IF(H324="Sí",1,0)</f>
        <v/>
      </c>
      <c r="S324" s="1">
        <f>IF(L324="En coordinación",1,0)</f>
        <v/>
      </c>
      <c r="T324" s="1">
        <f>IF(L324="Aceptada",1,0)</f>
        <v/>
      </c>
      <c r="U324" s="1">
        <f>IF(OR(L324="Realizada completa",L324="Realizada incompleta"),1,0)</f>
        <v/>
      </c>
      <c r="V324" s="1">
        <f>IF(L324="Sin respuesta",1,0)</f>
        <v/>
      </c>
    </row>
    <row r="325">
      <c r="A325" s="1" t="inlineStr">
        <is>
          <t>324</t>
        </is>
      </c>
      <c r="B325" s="1" t="inlineStr">
        <is>
          <t>Ariana Lira Delcore</t>
        </is>
      </c>
      <c r="C325" s="1" t="inlineStr">
        <is>
          <t>El Comercio</t>
        </is>
      </c>
      <c r="D325" s="1" t="inlineStr">
        <is>
          <t>Entrevista de actores clave</t>
        </is>
      </c>
      <c r="E325" s="1" t="inlineStr">
        <is>
          <t>Prensa</t>
        </is>
      </c>
      <c r="F325" s="1" t="inlineStr">
        <is>
          <t>Nacional</t>
        </is>
      </c>
      <c r="G325" s="1" t="inlineStr">
        <is>
          <t>IJM</t>
        </is>
      </c>
      <c r="H325" s="1" t="inlineStr">
        <is>
          <t>No</t>
        </is>
      </c>
      <c r="I325" s="2" t="inlineStr">
        <is>
          <t xml:space="preserve"> 5/29/2026</t>
        </is>
      </c>
      <c r="J325" s="2" t="str"/>
      <c r="K325" s="2" t="str"/>
      <c r="L325" s="1" t="inlineStr">
        <is>
          <t>Sin respuesta</t>
        </is>
      </c>
      <c r="M325" s="2" t="str"/>
      <c r="N325" s="2" t="str"/>
      <c r="O325" s="1" t="inlineStr">
        <is>
          <t>Sin respuesta</t>
        </is>
      </c>
      <c r="P325" s="1" t="str"/>
      <c r="Q325" s="1" t="str"/>
      <c r="R325" s="1">
        <f>IF(H325="Sí",1,0)</f>
        <v/>
      </c>
      <c r="S325" s="1">
        <f>IF(L325="En coordinación",1,0)</f>
        <v/>
      </c>
      <c r="T325" s="1">
        <f>IF(L325="Aceptada",1,0)</f>
        <v/>
      </c>
      <c r="U325" s="1">
        <f>IF(OR(L325="Realizada completa",L325="Realizada incompleta"),1,0)</f>
        <v/>
      </c>
      <c r="V325" s="1">
        <f>IF(L325="Sin respuesta",1,0)</f>
        <v/>
      </c>
    </row>
    <row r="326">
      <c r="A326" s="1" t="inlineStr">
        <is>
          <t>325</t>
        </is>
      </c>
      <c r="B326" s="1" t="inlineStr">
        <is>
          <t>Pilar Yasmint Sotelo Tello</t>
        </is>
      </c>
      <c r="C326" s="1" t="inlineStr">
        <is>
          <t xml:space="preserve">Ministerio de la Mujer </t>
        </is>
      </c>
      <c r="D326" s="1" t="inlineStr">
        <is>
          <t>Entrevista de actores clave</t>
        </is>
      </c>
      <c r="E326" s="1" t="inlineStr">
        <is>
          <t>Funcionarios del Sistema</t>
        </is>
      </c>
      <c r="F326" s="1" t="inlineStr">
        <is>
          <t>Distrito Judicial: Apurímac</t>
        </is>
      </c>
      <c r="G326" s="1" t="inlineStr">
        <is>
          <t>IJM</t>
        </is>
      </c>
      <c r="H326" s="1" t="inlineStr">
        <is>
          <t>No</t>
        </is>
      </c>
      <c r="I326" s="2" t="inlineStr">
        <is>
          <t xml:space="preserve"> 5/29/2026</t>
        </is>
      </c>
      <c r="J326" s="2" t="str"/>
      <c r="K326" s="2" t="str"/>
      <c r="L326" s="1" t="inlineStr">
        <is>
          <t>Sin respuesta</t>
        </is>
      </c>
      <c r="M326" s="2" t="str"/>
      <c r="N326" s="2" t="str"/>
      <c r="O326" s="1" t="inlineStr">
        <is>
          <t>Sin respuesta</t>
        </is>
      </c>
      <c r="P326" s="1" t="str"/>
      <c r="Q326" s="1" t="str"/>
      <c r="R326" s="1">
        <f>IF(H326="Sí",1,0)</f>
        <v/>
      </c>
      <c r="S326" s="1">
        <f>IF(L326="En coordinación",1,0)</f>
        <v/>
      </c>
      <c r="T326" s="1">
        <f>IF(L326="Aceptada",1,0)</f>
        <v/>
      </c>
      <c r="U326" s="1">
        <f>IF(OR(L326="Realizada completa",L326="Realizada incompleta"),1,0)</f>
        <v/>
      </c>
      <c r="V326" s="1">
        <f>IF(L326="Sin respuesta",1,0)</f>
        <v/>
      </c>
    </row>
    <row r="327">
      <c r="A327" s="1" t="inlineStr">
        <is>
          <t>326</t>
        </is>
      </c>
      <c r="B327" s="1" t="inlineStr">
        <is>
          <t>Juan Manuel Pichihua Torres</t>
        </is>
      </c>
      <c r="C327" s="1" t="inlineStr">
        <is>
          <t>Poder Judicial</t>
        </is>
      </c>
      <c r="D327" s="1" t="inlineStr">
        <is>
          <t>Entrevista de actores clave</t>
        </is>
      </c>
      <c r="E327" s="1" t="inlineStr">
        <is>
          <t>Funcionarios del Sistema</t>
        </is>
      </c>
      <c r="F327" s="1" t="inlineStr">
        <is>
          <t>Distrito Judicial: Apurímac</t>
        </is>
      </c>
      <c r="G327" s="1" t="inlineStr">
        <is>
          <t>IJM</t>
        </is>
      </c>
      <c r="H327" s="1" t="inlineStr">
        <is>
          <t>No</t>
        </is>
      </c>
      <c r="I327" s="2" t="str"/>
      <c r="J327" s="2" t="str"/>
      <c r="K327" s="2" t="str"/>
      <c r="L327" s="1" t="str"/>
      <c r="M327" s="2" t="str"/>
      <c r="N327" s="2" t="str"/>
      <c r="O327" s="1" t="str"/>
      <c r="P327" s="1" t="str"/>
      <c r="Q327" s="1" t="str"/>
      <c r="R327" s="1">
        <f>IF(H327="Sí",1,0)</f>
        <v/>
      </c>
      <c r="S327" s="1">
        <f>IF(L327="En coordinación",1,0)</f>
        <v/>
      </c>
      <c r="T327" s="1">
        <f>IF(L327="Aceptada",1,0)</f>
        <v/>
      </c>
      <c r="U327" s="1">
        <f>IF(OR(L327="Realizada completa",L327="Realizada incompleta"),1,0)</f>
        <v/>
      </c>
      <c r="V327" s="1">
        <f>IF(L327="Sin respuesta",1,0)</f>
        <v/>
      </c>
    </row>
    <row r="328">
      <c r="A328" s="1" t="inlineStr">
        <is>
          <t>327</t>
        </is>
      </c>
      <c r="B328" s="1" t="inlineStr">
        <is>
          <t>Rosa Karina Bueno Dueñas</t>
        </is>
      </c>
      <c r="C328" s="1" t="inlineStr">
        <is>
          <t>Wayra Warmikuna</t>
        </is>
      </c>
      <c r="D328" s="1" t="inlineStr">
        <is>
          <t>Entrevista de actores clave</t>
        </is>
      </c>
      <c r="E328" s="1" t="inlineStr">
        <is>
          <t>Actores locales</t>
        </is>
      </c>
      <c r="F328" s="1" t="inlineStr">
        <is>
          <t>Distrito Judicial: Apurímac</t>
        </is>
      </c>
      <c r="G328" s="1" t="inlineStr">
        <is>
          <t>IJM</t>
        </is>
      </c>
      <c r="H328" s="1" t="inlineStr">
        <is>
          <t>No</t>
        </is>
      </c>
      <c r="I328" s="2" t="str"/>
      <c r="J328" s="2" t="str"/>
      <c r="K328" s="2" t="str"/>
      <c r="L328" s="1" t="str"/>
      <c r="M328" s="2" t="str"/>
      <c r="N328" s="2" t="str"/>
      <c r="O328" s="1" t="str"/>
      <c r="P328" s="1" t="str"/>
      <c r="Q328" s="1" t="str"/>
      <c r="R328" s="1">
        <f>IF(H328="Sí",1,0)</f>
        <v/>
      </c>
      <c r="S328" s="1">
        <f>IF(L328="En coordinación",1,0)</f>
        <v/>
      </c>
      <c r="T328" s="1">
        <f>IF(L328="Aceptada",1,0)</f>
        <v/>
      </c>
      <c r="U328" s="1">
        <f>IF(OR(L328="Realizada completa",L328="Realizada incompleta"),1,0)</f>
        <v/>
      </c>
      <c r="V328" s="1">
        <f>IF(L328="Sin respuesta",1,0)</f>
        <v/>
      </c>
    </row>
    <row r="329">
      <c r="A329" s="1" t="inlineStr">
        <is>
          <t>328</t>
        </is>
      </c>
      <c r="B329" s="1" t="inlineStr">
        <is>
          <t>Anali Anadrade Pareja</t>
        </is>
      </c>
      <c r="C329" s="1" t="inlineStr">
        <is>
          <t>Fuera Informativa</t>
        </is>
      </c>
      <c r="D329" s="1" t="inlineStr">
        <is>
          <t>Entrevista de actores clave</t>
        </is>
      </c>
      <c r="E329" s="1" t="inlineStr">
        <is>
          <t>Prensa</t>
        </is>
      </c>
      <c r="F329" s="1" t="inlineStr">
        <is>
          <t>Distrito Judicial: Apurímac</t>
        </is>
      </c>
      <c r="G329" s="1" t="inlineStr">
        <is>
          <t>IJM</t>
        </is>
      </c>
      <c r="H329" s="1" t="inlineStr">
        <is>
          <t>No</t>
        </is>
      </c>
      <c r="I329" s="2" t="str"/>
      <c r="J329" s="2" t="str"/>
      <c r="K329" s="2" t="str"/>
      <c r="L329" s="1" t="str"/>
      <c r="M329" s="2" t="str"/>
      <c r="N329" s="2" t="str"/>
      <c r="O329" s="1" t="str"/>
      <c r="P329" s="1" t="str"/>
      <c r="Q329" s="1" t="str"/>
      <c r="R329" s="1">
        <f>IF(H329="Sí",1,0)</f>
        <v/>
      </c>
      <c r="S329" s="1">
        <f>IF(L329="En coordinación",1,0)</f>
        <v/>
      </c>
      <c r="T329" s="1">
        <f>IF(L329="Aceptada",1,0)</f>
        <v/>
      </c>
      <c r="U329" s="1">
        <f>IF(OR(L329="Realizada completa",L329="Realizada incompleta"),1,0)</f>
        <v/>
      </c>
      <c r="V329" s="1">
        <f>IF(L329="Sin respuesta",1,0)</f>
        <v/>
      </c>
    </row>
    <row r="330">
      <c r="A330" s="1" t="inlineStr">
        <is>
          <t>329</t>
        </is>
      </c>
      <c r="B330" s="1" t="inlineStr">
        <is>
          <t>Javier Malpartida Urzubiaga</t>
        </is>
      </c>
      <c r="C330" s="1" t="inlineStr">
        <is>
          <t>Tarpurisunchis</t>
        </is>
      </c>
      <c r="D330" s="1" t="inlineStr">
        <is>
          <t>Entrevista de actores clave</t>
        </is>
      </c>
      <c r="E330" s="1" t="inlineStr">
        <is>
          <t>Actores locales</t>
        </is>
      </c>
      <c r="F330" s="1" t="inlineStr">
        <is>
          <t>Distrito Judicial: Apurímac</t>
        </is>
      </c>
      <c r="G330" s="1" t="inlineStr">
        <is>
          <t>IJM</t>
        </is>
      </c>
      <c r="H330" s="1" t="inlineStr">
        <is>
          <t>Sí</t>
        </is>
      </c>
      <c r="I330" s="2" t="str"/>
      <c r="J330" s="2" t="str"/>
      <c r="K330" s="2" t="str"/>
      <c r="L330" s="1" t="inlineStr">
        <is>
          <t>Realizada completa</t>
        </is>
      </c>
      <c r="M330" s="2" t="inlineStr">
        <is>
          <t>26-Jun</t>
        </is>
      </c>
      <c r="N330" s="2" t="inlineStr">
        <is>
          <t>26-Jun</t>
        </is>
      </c>
      <c r="O330" s="1" t="inlineStr">
        <is>
          <t>Realizada completa</t>
        </is>
      </c>
      <c r="P330" s="1" t="inlineStr">
        <is>
          <t>33</t>
        </is>
      </c>
      <c r="Q330" s="1" t="inlineStr">
        <is>
          <t>A distancia asistido</t>
        </is>
      </c>
      <c r="R330" s="1">
        <f>IF(H330="Sí",1,0)</f>
        <v/>
      </c>
      <c r="S330" s="1">
        <f>IF(L330="En coordinación",1,0)</f>
        <v/>
      </c>
      <c r="T330" s="1">
        <f>IF(L330="Aceptada",1,0)</f>
        <v/>
      </c>
      <c r="U330" s="1">
        <f>IF(OR(L330="Realizada completa",L330="Realizada incompleta"),1,0)</f>
        <v/>
      </c>
      <c r="V330" s="1">
        <f>IF(L330="Sin respuesta",1,0)</f>
        <v/>
      </c>
    </row>
    <row r="331">
      <c r="A331" s="1" t="inlineStr">
        <is>
          <t>330</t>
        </is>
      </c>
      <c r="B331" s="1" t="inlineStr">
        <is>
          <t xml:space="preserve">Carmen Vicente Oscco </t>
        </is>
      </c>
      <c r="C331" s="1" t="inlineStr">
        <is>
          <t>Federación de Mujeres de Apurímac – FEMURA</t>
        </is>
      </c>
      <c r="D331" s="1" t="inlineStr">
        <is>
          <t>Entrevista de actores clave</t>
        </is>
      </c>
      <c r="E331" s="1" t="inlineStr">
        <is>
          <t>Actores locales</t>
        </is>
      </c>
      <c r="F331" s="1" t="inlineStr">
        <is>
          <t>Distrito Judicial: Apurímac</t>
        </is>
      </c>
      <c r="G331" s="1" t="inlineStr">
        <is>
          <t>IJM</t>
        </is>
      </c>
      <c r="H331" s="1" t="inlineStr">
        <is>
          <t>No</t>
        </is>
      </c>
      <c r="I331" s="2" t="str"/>
      <c r="J331" s="2" t="str"/>
      <c r="K331" s="2" t="str"/>
      <c r="L331" s="1" t="str"/>
      <c r="M331" s="2" t="str"/>
      <c r="N331" s="2" t="str"/>
      <c r="O331" s="1" t="str"/>
      <c r="P331" s="1" t="str"/>
      <c r="Q331" s="1" t="str"/>
      <c r="R331" s="1">
        <f>IF(H331="Sí",1,0)</f>
        <v/>
      </c>
      <c r="S331" s="1">
        <f>IF(L331="En coordinación",1,0)</f>
        <v/>
      </c>
      <c r="T331" s="1">
        <f>IF(L331="Aceptada",1,0)</f>
        <v/>
      </c>
      <c r="U331" s="1">
        <f>IF(OR(L331="Realizada completa",L331="Realizada incompleta"),1,0)</f>
        <v/>
      </c>
      <c r="V331" s="1">
        <f>IF(L331="Sin respuesta",1,0)</f>
        <v/>
      </c>
    </row>
    <row r="332">
      <c r="A332" s="1" t="inlineStr">
        <is>
          <t>331</t>
        </is>
      </c>
      <c r="B332" s="1" t="inlineStr">
        <is>
          <t>Lincoln Arturo Leon</t>
        </is>
      </c>
      <c r="C332" s="1" t="inlineStr">
        <is>
          <t>Poder Judicial</t>
        </is>
      </c>
      <c r="D332" s="1" t="inlineStr">
        <is>
          <t>Entrevista de actores clave</t>
        </is>
      </c>
      <c r="E332" s="1" t="inlineStr">
        <is>
          <t>Funcionarios del Sistema</t>
        </is>
      </c>
      <c r="F332" s="1" t="inlineStr">
        <is>
          <t>Distrito Judicial: Puente Piedra-Ventanilla</t>
        </is>
      </c>
      <c r="G332" s="1" t="inlineStr">
        <is>
          <t>IJM</t>
        </is>
      </c>
      <c r="H332" s="1" t="inlineStr">
        <is>
          <t>No</t>
        </is>
      </c>
      <c r="I332" s="2" t="inlineStr">
        <is>
          <t xml:space="preserve"> 5/29/2026</t>
        </is>
      </c>
      <c r="J332" s="2" t="str"/>
      <c r="K332" s="2" t="str"/>
      <c r="L332" s="1" t="inlineStr">
        <is>
          <t>Sin respuesta</t>
        </is>
      </c>
      <c r="M332" s="2" t="str"/>
      <c r="N332" s="2" t="str"/>
      <c r="O332" s="1" t="inlineStr">
        <is>
          <t>Sin respuesta</t>
        </is>
      </c>
      <c r="P332" s="1" t="str"/>
      <c r="Q332" s="1" t="str"/>
      <c r="R332" s="1">
        <f>IF(H332="Sí",1,0)</f>
        <v/>
      </c>
      <c r="S332" s="1">
        <f>IF(L332="En coordinación",1,0)</f>
        <v/>
      </c>
      <c r="T332" s="1">
        <f>IF(L332="Aceptada",1,0)</f>
        <v/>
      </c>
      <c r="U332" s="1">
        <f>IF(OR(L332="Realizada completa",L332="Realizada incompleta"),1,0)</f>
        <v/>
      </c>
      <c r="V332" s="1">
        <f>IF(L332="Sin respuesta",1,0)</f>
        <v/>
      </c>
    </row>
    <row r="333">
      <c r="A333" s="1" t="inlineStr">
        <is>
          <t>332</t>
        </is>
      </c>
      <c r="B333" s="1" t="inlineStr">
        <is>
          <t>Carla Verano Bullón</t>
        </is>
      </c>
      <c r="C333" s="1" t="inlineStr">
        <is>
          <t>Centros de Emergencia Mujer</t>
        </is>
      </c>
      <c r="D333" s="1" t="inlineStr">
        <is>
          <t>Entrevista de actores clave</t>
        </is>
      </c>
      <c r="E333" s="1" t="inlineStr">
        <is>
          <t>Funcionarios del Sistema</t>
        </is>
      </c>
      <c r="F333" s="1" t="inlineStr">
        <is>
          <t>Distrito Judicial: Puente Piedra-Ventanilla</t>
        </is>
      </c>
      <c r="G333" s="1" t="inlineStr">
        <is>
          <t>IJM</t>
        </is>
      </c>
      <c r="H333" s="1" t="inlineStr">
        <is>
          <t>Sí</t>
        </is>
      </c>
      <c r="I333" s="2" t="inlineStr">
        <is>
          <t xml:space="preserve"> 5/29/2026</t>
        </is>
      </c>
      <c r="J333" s="2" t="str"/>
      <c r="K333" s="2" t="str"/>
      <c r="L333" s="1" t="inlineStr">
        <is>
          <t>Realizada completa</t>
        </is>
      </c>
      <c r="M333" s="2" t="inlineStr">
        <is>
          <t xml:space="preserve"> 8-Jun</t>
        </is>
      </c>
      <c r="N333" s="2" t="inlineStr">
        <is>
          <t xml:space="preserve"> 8-Jun</t>
        </is>
      </c>
      <c r="O333" s="1" t="inlineStr">
        <is>
          <t>Realizada completa</t>
        </is>
      </c>
      <c r="P333" s="1" t="inlineStr">
        <is>
          <t>28</t>
        </is>
      </c>
      <c r="Q333" s="1" t="inlineStr">
        <is>
          <t>A distancia asistido</t>
        </is>
      </c>
      <c r="R333" s="1">
        <f>IF(H333="Sí",1,0)</f>
        <v/>
      </c>
      <c r="S333" s="1">
        <f>IF(L333="En coordinación",1,0)</f>
        <v/>
      </c>
      <c r="T333" s="1">
        <f>IF(L333="Aceptada",1,0)</f>
        <v/>
      </c>
      <c r="U333" s="1">
        <f>IF(OR(L333="Realizada completa",L333="Realizada incompleta"),1,0)</f>
        <v/>
      </c>
      <c r="V333" s="1">
        <f>IF(L333="Sin respuesta",1,0)</f>
        <v/>
      </c>
    </row>
    <row r="334">
      <c r="A334" s="1" t="inlineStr">
        <is>
          <t>333</t>
        </is>
      </c>
      <c r="B334" s="1" t="inlineStr">
        <is>
          <t>Keyli Cordero Guillen</t>
        </is>
      </c>
      <c r="C334" s="1" t="inlineStr">
        <is>
          <t>Micaelas</t>
        </is>
      </c>
      <c r="D334" s="1" t="inlineStr">
        <is>
          <t>Entrevista de actores clave</t>
        </is>
      </c>
      <c r="E334" s="1" t="inlineStr">
        <is>
          <t>Prensa</t>
        </is>
      </c>
      <c r="F334" s="1" t="inlineStr">
        <is>
          <t>Distrito Judicial: Ayacucho</t>
        </is>
      </c>
      <c r="G334" s="1" t="inlineStr">
        <is>
          <t>IJM</t>
        </is>
      </c>
      <c r="H334" s="1" t="inlineStr">
        <is>
          <t>No</t>
        </is>
      </c>
      <c r="I334" s="2" t="str"/>
      <c r="J334" s="2" t="str"/>
      <c r="K334" s="2" t="str"/>
      <c r="L334" s="1" t="str"/>
      <c r="M334" s="2" t="str"/>
      <c r="N334" s="2" t="str"/>
      <c r="O334" s="1" t="str"/>
      <c r="P334" s="1" t="str"/>
      <c r="Q334" s="1" t="str"/>
      <c r="R334" s="1">
        <f>IF(H334="Sí",1,0)</f>
        <v/>
      </c>
      <c r="S334" s="1">
        <f>IF(L334="En coordinación",1,0)</f>
        <v/>
      </c>
      <c r="T334" s="1">
        <f>IF(L334="Aceptada",1,0)</f>
        <v/>
      </c>
      <c r="U334" s="1">
        <f>IF(OR(L334="Realizada completa",L334="Realizada incompleta"),1,0)</f>
        <v/>
      </c>
      <c r="V334" s="1">
        <f>IF(L334="Sin respuesta",1,0)</f>
        <v/>
      </c>
    </row>
    <row r="335">
      <c r="A335" s="1" t="inlineStr">
        <is>
          <t>334</t>
        </is>
      </c>
      <c r="B335" s="1" t="inlineStr">
        <is>
          <t>Ingrid Carola Chumbe Rodriguez</t>
        </is>
      </c>
      <c r="C335" s="1" t="inlineStr">
        <is>
          <t>Ministerio Público (Fiscalía)</t>
        </is>
      </c>
      <c r="D335" s="1" t="inlineStr">
        <is>
          <t>Entrevista de actores clave</t>
        </is>
      </c>
      <c r="E335" s="1" t="inlineStr">
        <is>
          <t>Funcionarios del Sistema</t>
        </is>
      </c>
      <c r="F335" s="1" t="inlineStr">
        <is>
          <t>Distrito Judicial: Loreto</t>
        </is>
      </c>
      <c r="G335" s="1" t="inlineStr">
        <is>
          <t>IJM</t>
        </is>
      </c>
      <c r="H335" s="1" t="inlineStr">
        <is>
          <t>Sí</t>
        </is>
      </c>
      <c r="I335" s="2" t="inlineStr">
        <is>
          <t xml:space="preserve">  5/5/2026</t>
        </is>
      </c>
      <c r="J335" s="2" t="str"/>
      <c r="K335" s="2" t="str"/>
      <c r="L335" s="1" t="inlineStr">
        <is>
          <t>Sin respuesta</t>
        </is>
      </c>
      <c r="M335" s="2" t="str"/>
      <c r="N335" s="2" t="str"/>
      <c r="O335" s="1" t="inlineStr">
        <is>
          <t>Sin respuesta</t>
        </is>
      </c>
      <c r="P335" s="1" t="str"/>
      <c r="Q335" s="1" t="str"/>
      <c r="R335" s="1">
        <f>IF(H335="Sí",1,0)</f>
        <v/>
      </c>
      <c r="S335" s="1">
        <f>IF(L335="En coordinación",1,0)</f>
        <v/>
      </c>
      <c r="T335" s="1">
        <f>IF(L335="Aceptada",1,0)</f>
        <v/>
      </c>
      <c r="U335" s="1">
        <f>IF(OR(L335="Realizada completa",L335="Realizada incompleta"),1,0)</f>
        <v/>
      </c>
      <c r="V335" s="1">
        <f>IF(L335="Sin respuesta",1,0)</f>
        <v/>
      </c>
    </row>
    <row r="336">
      <c r="A336" s="1" t="inlineStr">
        <is>
          <t>335</t>
        </is>
      </c>
      <c r="B336" s="1" t="inlineStr">
        <is>
          <t>Rossana Dudziak</t>
        </is>
      </c>
      <c r="C336" s="1" t="inlineStr">
        <is>
          <t>ONU</t>
        </is>
      </c>
      <c r="D336" s="1" t="inlineStr">
        <is>
          <t>Entrevista de actores clave</t>
        </is>
      </c>
      <c r="E336" s="1" t="inlineStr">
        <is>
          <t>Expertos en la temática</t>
        </is>
      </c>
      <c r="F336" s="1" t="inlineStr">
        <is>
          <t>Nacional</t>
        </is>
      </c>
      <c r="G336" s="1" t="inlineStr">
        <is>
          <t>IJM</t>
        </is>
      </c>
      <c r="H336" s="1" t="inlineStr">
        <is>
          <t>No</t>
        </is>
      </c>
      <c r="I336" s="2" t="inlineStr">
        <is>
          <t xml:space="preserve"> 5/29/2026</t>
        </is>
      </c>
      <c r="J336" s="2" t="str"/>
      <c r="K336" s="2" t="str"/>
      <c r="L336" s="1" t="inlineStr">
        <is>
          <t>Sin respuesta</t>
        </is>
      </c>
      <c r="M336" s="2" t="str"/>
      <c r="N336" s="2" t="str"/>
      <c r="O336" s="1" t="inlineStr">
        <is>
          <t>Sin respuesta</t>
        </is>
      </c>
      <c r="P336" s="1" t="str"/>
      <c r="Q336" s="1" t="str"/>
      <c r="R336" s="1">
        <f>IF(H336="Sí",1,0)</f>
        <v/>
      </c>
      <c r="S336" s="1">
        <f>IF(L336="En coordinación",1,0)</f>
        <v/>
      </c>
      <c r="T336" s="1">
        <f>IF(L336="Aceptada",1,0)</f>
        <v/>
      </c>
      <c r="U336" s="1">
        <f>IF(OR(L336="Realizada completa",L336="Realizada incompleta"),1,0)</f>
        <v/>
      </c>
      <c r="V336" s="1">
        <f>IF(L336="Sin respuesta",1,0)</f>
        <v/>
      </c>
    </row>
    <row r="337">
      <c r="A337" s="1" t="inlineStr">
        <is>
          <t>336</t>
        </is>
      </c>
      <c r="B337" s="1" t="inlineStr">
        <is>
          <t>Cristel Damian</t>
        </is>
      </c>
      <c r="C337" s="1" t="inlineStr">
        <is>
          <t>UNFPA</t>
        </is>
      </c>
      <c r="D337" s="1" t="inlineStr">
        <is>
          <t>Entrevista de actores clave</t>
        </is>
      </c>
      <c r="E337" s="1" t="inlineStr">
        <is>
          <t>Expertos en la temática</t>
        </is>
      </c>
      <c r="F337" s="1" t="inlineStr">
        <is>
          <t>Nacional</t>
        </is>
      </c>
      <c r="G337" s="1" t="inlineStr">
        <is>
          <t>IJM</t>
        </is>
      </c>
      <c r="H337" s="1" t="inlineStr">
        <is>
          <t>No</t>
        </is>
      </c>
      <c r="I337" s="2" t="inlineStr">
        <is>
          <t xml:space="preserve"> 5/29/2026</t>
        </is>
      </c>
      <c r="J337" s="2" t="str"/>
      <c r="K337" s="2" t="str"/>
      <c r="L337" s="1" t="inlineStr">
        <is>
          <t>Sin respuesta</t>
        </is>
      </c>
      <c r="M337" s="2" t="str"/>
      <c r="N337" s="2" t="str"/>
      <c r="O337" s="1" t="inlineStr">
        <is>
          <t>Sin respuesta</t>
        </is>
      </c>
      <c r="P337" s="1" t="str"/>
      <c r="Q337" s="1" t="str"/>
      <c r="R337" s="1">
        <f>IF(H337="Sí",1,0)</f>
        <v/>
      </c>
      <c r="S337" s="1">
        <f>IF(L337="En coordinación",1,0)</f>
        <v/>
      </c>
      <c r="T337" s="1">
        <f>IF(L337="Aceptada",1,0)</f>
        <v/>
      </c>
      <c r="U337" s="1">
        <f>IF(OR(L337="Realizada completa",L337="Realizada incompleta"),1,0)</f>
        <v/>
      </c>
      <c r="V337" s="1">
        <f>IF(L337="Sin respuesta",1,0)</f>
        <v/>
      </c>
    </row>
    <row r="338">
      <c r="A338" s="1" t="inlineStr">
        <is>
          <t>337</t>
        </is>
      </c>
      <c r="B338" s="1" t="inlineStr">
        <is>
          <t>Karim Velasco</t>
        </is>
      </c>
      <c r="C338" s="1" t="inlineStr">
        <is>
          <t>PNUD</t>
        </is>
      </c>
      <c r="D338" s="1" t="inlineStr">
        <is>
          <t>Entrevista de actores clave</t>
        </is>
      </c>
      <c r="E338" s="1" t="inlineStr">
        <is>
          <t>Expertos en la temática</t>
        </is>
      </c>
      <c r="F338" s="1" t="inlineStr">
        <is>
          <t>Distrito Judicial: Cajamarca</t>
        </is>
      </c>
      <c r="G338" s="1" t="inlineStr">
        <is>
          <t>IJM</t>
        </is>
      </c>
      <c r="H338" s="1" t="inlineStr">
        <is>
          <t>Sí</t>
        </is>
      </c>
      <c r="I338" s="2" t="inlineStr">
        <is>
          <t xml:space="preserve">  6/5/2026</t>
        </is>
      </c>
      <c r="J338" s="2" t="str"/>
      <c r="K338" s="2" t="str"/>
      <c r="L338" s="1" t="inlineStr">
        <is>
          <t>Realizada completa</t>
        </is>
      </c>
      <c r="M338" s="2" t="inlineStr">
        <is>
          <t>11-Jun</t>
        </is>
      </c>
      <c r="N338" s="2" t="inlineStr">
        <is>
          <t>11-Jun</t>
        </is>
      </c>
      <c r="O338" s="1" t="inlineStr">
        <is>
          <t>Realizada completa</t>
        </is>
      </c>
      <c r="P338" s="1" t="inlineStr">
        <is>
          <t>38</t>
        </is>
      </c>
      <c r="Q338" s="1" t="inlineStr">
        <is>
          <t>A distancia asistido</t>
        </is>
      </c>
      <c r="R338" s="1">
        <f>IF(H338="Sí",1,0)</f>
        <v/>
      </c>
      <c r="S338" s="1">
        <f>IF(L338="En coordinación",1,0)</f>
        <v/>
      </c>
      <c r="T338" s="1">
        <f>IF(L338="Aceptada",1,0)</f>
        <v/>
      </c>
      <c r="U338" s="1">
        <f>IF(OR(L338="Realizada completa",L338="Realizada incompleta"),1,0)</f>
        <v/>
      </c>
      <c r="V338" s="1">
        <f>IF(L338="Sin respuesta",1,0)</f>
        <v/>
      </c>
    </row>
    <row r="339">
      <c r="A339" s="1" t="inlineStr">
        <is>
          <t>338</t>
        </is>
      </c>
      <c r="B339" s="1" t="inlineStr">
        <is>
          <t>Antonino De Leo</t>
        </is>
      </c>
      <c r="C339" s="1" t="inlineStr">
        <is>
          <t>UNODC - Oficina de las Naciones Unidas contra la Droga y el Delito</t>
        </is>
      </c>
      <c r="D339" s="1" t="inlineStr">
        <is>
          <t>Entrevista de actores clave</t>
        </is>
      </c>
      <c r="E339" s="1" t="inlineStr">
        <is>
          <t>Expertos en la temática</t>
        </is>
      </c>
      <c r="F339" s="1" t="inlineStr">
        <is>
          <t>Distrito Judicial: Ucayali</t>
        </is>
      </c>
      <c r="G339" s="1" t="inlineStr">
        <is>
          <t>IJM</t>
        </is>
      </c>
      <c r="H339" s="1" t="inlineStr">
        <is>
          <t>No</t>
        </is>
      </c>
      <c r="I339" s="2" t="inlineStr">
        <is>
          <t xml:space="preserve"> 5/29/2026</t>
        </is>
      </c>
      <c r="J339" s="2" t="str"/>
      <c r="K339" s="2" t="str"/>
      <c r="L339" s="1" t="inlineStr">
        <is>
          <t>Sin respuesta</t>
        </is>
      </c>
      <c r="M339" s="2" t="str"/>
      <c r="N339" s="2" t="str"/>
      <c r="O339" s="1" t="inlineStr">
        <is>
          <t>Sin respuesta</t>
        </is>
      </c>
      <c r="P339" s="1" t="str"/>
      <c r="Q339" s="1" t="str"/>
      <c r="R339" s="1">
        <f>IF(H339="Sí",1,0)</f>
        <v/>
      </c>
      <c r="S339" s="1">
        <f>IF(L339="En coordinación",1,0)</f>
        <v/>
      </c>
      <c r="T339" s="1">
        <f>IF(L339="Aceptada",1,0)</f>
        <v/>
      </c>
      <c r="U339" s="1">
        <f>IF(OR(L339="Realizada completa",L339="Realizada incompleta"),1,0)</f>
        <v/>
      </c>
      <c r="V339" s="1">
        <f>IF(L339="Sin respuesta",1,0)</f>
        <v/>
      </c>
    </row>
    <row r="340">
      <c r="A340" s="1" t="inlineStr">
        <is>
          <t>339</t>
        </is>
      </c>
      <c r="B340" s="1" t="inlineStr">
        <is>
          <t>José Roberto Piqueras Bouillon</t>
        </is>
      </c>
      <c r="C340" s="1" t="inlineStr">
        <is>
          <t>AECID</t>
        </is>
      </c>
      <c r="D340" s="1" t="inlineStr">
        <is>
          <t>Entrevista de actores clave</t>
        </is>
      </c>
      <c r="E340" s="1" t="inlineStr">
        <is>
          <t>Expertos en la temática</t>
        </is>
      </c>
      <c r="F340" s="1" t="inlineStr">
        <is>
          <t>Nacional</t>
        </is>
      </c>
      <c r="G340" s="1" t="inlineStr">
        <is>
          <t>IJM</t>
        </is>
      </c>
      <c r="H340" s="1" t="inlineStr">
        <is>
          <t>Sí</t>
        </is>
      </c>
      <c r="I340" s="2" t="str"/>
      <c r="J340" s="2" t="str"/>
      <c r="K340" s="2" t="str"/>
      <c r="L340" s="1" t="inlineStr">
        <is>
          <t>Rechazada</t>
        </is>
      </c>
      <c r="M340" s="2" t="str"/>
      <c r="N340" s="2" t="str"/>
      <c r="O340" s="1" t="inlineStr">
        <is>
          <t>Rechazada</t>
        </is>
      </c>
      <c r="P340" s="1" t="str"/>
      <c r="Q340" s="1" t="str"/>
      <c r="R340" s="1">
        <f>IF(H340="Sí",1,0)</f>
        <v/>
      </c>
      <c r="S340" s="1">
        <f>IF(L340="En coordinación",1,0)</f>
        <v/>
      </c>
      <c r="T340" s="1">
        <f>IF(L340="Aceptada",1,0)</f>
        <v/>
      </c>
      <c r="U340" s="1">
        <f>IF(OR(L340="Realizada completa",L340="Realizada incompleta"),1,0)</f>
        <v/>
      </c>
      <c r="V340" s="1">
        <f>IF(L340="Sin respuesta",1,0)</f>
        <v/>
      </c>
    </row>
    <row r="341">
      <c r="A341" s="1" t="inlineStr">
        <is>
          <t>340</t>
        </is>
      </c>
      <c r="B341" s="1" t="inlineStr">
        <is>
          <t>Teresina Muñoz Najar</t>
        </is>
      </c>
      <c r="C341" s="1" t="inlineStr">
        <is>
          <t>Independiente</t>
        </is>
      </c>
      <c r="D341" s="1" t="inlineStr">
        <is>
          <t>Entrevista de actores clave</t>
        </is>
      </c>
      <c r="E341" s="1" t="inlineStr">
        <is>
          <t>Prensa</t>
        </is>
      </c>
      <c r="F341" s="1" t="inlineStr">
        <is>
          <t>Nacional</t>
        </is>
      </c>
      <c r="G341" s="1" t="inlineStr">
        <is>
          <t>IJM</t>
        </is>
      </c>
      <c r="H341" s="1" t="inlineStr">
        <is>
          <t>No</t>
        </is>
      </c>
      <c r="I341" s="2" t="inlineStr">
        <is>
          <t xml:space="preserve"> 5/29/2026</t>
        </is>
      </c>
      <c r="J341" s="2" t="str"/>
      <c r="K341" s="2" t="str"/>
      <c r="L341" s="1" t="inlineStr">
        <is>
          <t>Sin respuesta</t>
        </is>
      </c>
      <c r="M341" s="2" t="str"/>
      <c r="N341" s="2" t="str"/>
      <c r="O341" s="1" t="inlineStr">
        <is>
          <t>Sin respuesta</t>
        </is>
      </c>
      <c r="P341" s="1" t="str"/>
      <c r="Q341" s="1" t="str"/>
      <c r="R341" s="1">
        <f>IF(H341="Sí",1,0)</f>
        <v/>
      </c>
      <c r="S341" s="1">
        <f>IF(L341="En coordinación",1,0)</f>
        <v/>
      </c>
      <c r="T341" s="1">
        <f>IF(L341="Aceptada",1,0)</f>
        <v/>
      </c>
      <c r="U341" s="1">
        <f>IF(OR(L341="Realizada completa",L341="Realizada incompleta"),1,0)</f>
        <v/>
      </c>
      <c r="V341" s="1">
        <f>IF(L341="Sin respuesta",1,0)</f>
        <v/>
      </c>
    </row>
    <row r="342">
      <c r="A342" s="1" t="inlineStr">
        <is>
          <t>341</t>
        </is>
      </c>
      <c r="B342" s="1" t="inlineStr">
        <is>
          <t>Zoila Merino Roque</t>
        </is>
      </c>
      <c r="C342" s="1" t="inlineStr">
        <is>
          <t>Organización Regional de los Pueblos Indígenas del Oriente</t>
        </is>
      </c>
      <c r="D342" s="1" t="inlineStr">
        <is>
          <t>Entrevista de actores clave</t>
        </is>
      </c>
      <c r="E342" s="1" t="inlineStr">
        <is>
          <t>Actores locales</t>
        </is>
      </c>
      <c r="F342" s="1" t="inlineStr">
        <is>
          <t>Distrito Judicial: Loreto</t>
        </is>
      </c>
      <c r="G342" s="1" t="inlineStr">
        <is>
          <t>IJM</t>
        </is>
      </c>
      <c r="H342" s="1" t="inlineStr">
        <is>
          <t>No</t>
        </is>
      </c>
      <c r="I342" s="2" t="inlineStr">
        <is>
          <t xml:space="preserve"> 5/29/2026</t>
        </is>
      </c>
      <c r="J342" s="2" t="str"/>
      <c r="K342" s="2" t="str"/>
      <c r="L342" s="1" t="inlineStr">
        <is>
          <t>Sin respuesta</t>
        </is>
      </c>
      <c r="M342" s="2" t="str"/>
      <c r="N342" s="2" t="str"/>
      <c r="O342" s="1" t="inlineStr">
        <is>
          <t>Sin respuesta</t>
        </is>
      </c>
      <c r="P342" s="1" t="str"/>
      <c r="Q342" s="1" t="str"/>
      <c r="R342" s="1">
        <f>IF(H342="Sí",1,0)</f>
        <v/>
      </c>
      <c r="S342" s="1">
        <f>IF(L342="En coordinación",1,0)</f>
        <v/>
      </c>
      <c r="T342" s="1">
        <f>IF(L342="Aceptada",1,0)</f>
        <v/>
      </c>
      <c r="U342" s="1">
        <f>IF(OR(L342="Realizada completa",L342="Realizada incompleta"),1,0)</f>
        <v/>
      </c>
      <c r="V342" s="1">
        <f>IF(L342="Sin respuesta",1,0)</f>
        <v/>
      </c>
    </row>
    <row r="343">
      <c r="A343" s="1" t="inlineStr">
        <is>
          <t>342</t>
        </is>
      </c>
      <c r="B343" s="1" t="inlineStr">
        <is>
          <t>Judith Nunta Guimaraes</t>
        </is>
      </c>
      <c r="C343" s="1" t="inlineStr">
        <is>
          <t>Organización Regional Aidesep Ucayali</t>
        </is>
      </c>
      <c r="D343" s="1" t="inlineStr">
        <is>
          <t>Entrevista de actores clave</t>
        </is>
      </c>
      <c r="E343" s="1" t="inlineStr">
        <is>
          <t>Actores locales</t>
        </is>
      </c>
      <c r="F343" s="1" t="inlineStr">
        <is>
          <t>Distrito Judicial: Ucayali</t>
        </is>
      </c>
      <c r="G343" s="1" t="inlineStr">
        <is>
          <t>IJM</t>
        </is>
      </c>
      <c r="H343" s="1" t="inlineStr">
        <is>
          <t>No</t>
        </is>
      </c>
      <c r="I343" s="2" t="inlineStr">
        <is>
          <t xml:space="preserve"> 5/29/2026</t>
        </is>
      </c>
      <c r="J343" s="2" t="str"/>
      <c r="K343" s="2" t="str"/>
      <c r="L343" s="1" t="inlineStr">
        <is>
          <t>Sin respuesta</t>
        </is>
      </c>
      <c r="M343" s="2" t="str"/>
      <c r="N343" s="2" t="str"/>
      <c r="O343" s="1" t="inlineStr">
        <is>
          <t>Sin respuesta</t>
        </is>
      </c>
      <c r="P343" s="1" t="str"/>
      <c r="Q343" s="1" t="str"/>
      <c r="R343" s="1">
        <f>IF(H343="Sí",1,0)</f>
        <v/>
      </c>
      <c r="S343" s="1">
        <f>IF(L343="En coordinación",1,0)</f>
        <v/>
      </c>
      <c r="T343" s="1">
        <f>IF(L343="Aceptada",1,0)</f>
        <v/>
      </c>
      <c r="U343" s="1">
        <f>IF(OR(L343="Realizada completa",L343="Realizada incompleta"),1,0)</f>
        <v/>
      </c>
      <c r="V343" s="1">
        <f>IF(L343="Sin respuesta",1,0)</f>
        <v/>
      </c>
    </row>
    <row r="344">
      <c r="A344" s="1" t="inlineStr">
        <is>
          <t>343</t>
        </is>
      </c>
      <c r="B344" s="1" t="inlineStr">
        <is>
          <t>Wilson Anthony Siancas</t>
        </is>
      </c>
      <c r="C344" s="1" t="inlineStr">
        <is>
          <t>Convoca</t>
        </is>
      </c>
      <c r="D344" s="1" t="inlineStr">
        <is>
          <t>Entrevista de actores clave</t>
        </is>
      </c>
      <c r="E344" s="1" t="inlineStr">
        <is>
          <t>Prensa</t>
        </is>
      </c>
      <c r="F344" s="1" t="inlineStr">
        <is>
          <t>Nacional</t>
        </is>
      </c>
      <c r="G344" s="1" t="inlineStr">
        <is>
          <t>IJM</t>
        </is>
      </c>
      <c r="H344" s="1" t="inlineStr">
        <is>
          <t>No</t>
        </is>
      </c>
      <c r="I344" s="2" t="inlineStr">
        <is>
          <t xml:space="preserve"> 5/29/2026</t>
        </is>
      </c>
      <c r="J344" s="2" t="str"/>
      <c r="K344" s="2" t="str"/>
      <c r="L344" s="1" t="inlineStr">
        <is>
          <t>Sin respuesta</t>
        </is>
      </c>
      <c r="M344" s="2" t="str"/>
      <c r="N344" s="2" t="str"/>
      <c r="O344" s="1" t="inlineStr">
        <is>
          <t>Sin respuesta</t>
        </is>
      </c>
      <c r="P344" s="1" t="str"/>
      <c r="Q344" s="1" t="str"/>
      <c r="R344" s="1">
        <f>IF(H344="Sí",1,0)</f>
        <v/>
      </c>
      <c r="S344" s="1">
        <f>IF(L344="En coordinación",1,0)</f>
        <v/>
      </c>
      <c r="T344" s="1">
        <f>IF(L344="Aceptada",1,0)</f>
        <v/>
      </c>
      <c r="U344" s="1">
        <f>IF(OR(L344="Realizada completa",L344="Realizada incompleta"),1,0)</f>
        <v/>
      </c>
      <c r="V344" s="1">
        <f>IF(L344="Sin respuesta",1,0)</f>
        <v/>
      </c>
    </row>
    <row r="345">
      <c r="A345" s="1" t="inlineStr">
        <is>
          <t>344</t>
        </is>
      </c>
      <c r="B345" s="1" t="inlineStr">
        <is>
          <t>Estefany Luján Quispe</t>
        </is>
      </c>
      <c r="C345" s="1" t="inlineStr">
        <is>
          <t>La República</t>
        </is>
      </c>
      <c r="D345" s="1" t="inlineStr">
        <is>
          <t>Entrevista de actores clave</t>
        </is>
      </c>
      <c r="E345" s="1" t="inlineStr">
        <is>
          <t>Prensa</t>
        </is>
      </c>
      <c r="F345" s="1" t="inlineStr">
        <is>
          <t>Nacional</t>
        </is>
      </c>
      <c r="G345" s="1" t="inlineStr">
        <is>
          <t>IJM</t>
        </is>
      </c>
      <c r="H345" s="1" t="inlineStr">
        <is>
          <t>No</t>
        </is>
      </c>
      <c r="I345" s="2" t="str"/>
      <c r="J345" s="2" t="str"/>
      <c r="K345" s="2" t="str"/>
      <c r="L345" s="1" t="str"/>
      <c r="M345" s="2" t="str"/>
      <c r="N345" s="2" t="str"/>
      <c r="O345" s="1" t="str"/>
      <c r="P345" s="1" t="str"/>
      <c r="Q345" s="1" t="str"/>
      <c r="R345" s="1">
        <f>IF(H345="Sí",1,0)</f>
        <v/>
      </c>
      <c r="S345" s="1">
        <f>IF(L345="En coordinación",1,0)</f>
        <v/>
      </c>
      <c r="T345" s="1">
        <f>IF(L345="Aceptada",1,0)</f>
        <v/>
      </c>
      <c r="U345" s="1">
        <f>IF(OR(L345="Realizada completa",L345="Realizada incompleta"),1,0)</f>
        <v/>
      </c>
      <c r="V345" s="1">
        <f>IF(L345="Sin respuesta",1,0)</f>
        <v/>
      </c>
    </row>
    <row r="346">
      <c r="A346" s="1" t="inlineStr">
        <is>
          <t>345</t>
        </is>
      </c>
      <c r="B346" s="1" t="inlineStr">
        <is>
          <t>Katherine Subirana Abanto</t>
        </is>
      </c>
      <c r="C346" s="1" t="inlineStr">
        <is>
          <t>IDEHPUCP</t>
        </is>
      </c>
      <c r="D346" s="1" t="inlineStr">
        <is>
          <t>Entrevista de actores clave</t>
        </is>
      </c>
      <c r="E346" s="1" t="inlineStr">
        <is>
          <t>Prensa</t>
        </is>
      </c>
      <c r="F346" s="1" t="inlineStr">
        <is>
          <t>Nacional</t>
        </is>
      </c>
      <c r="G346" s="1" t="inlineStr">
        <is>
          <t>IJM</t>
        </is>
      </c>
      <c r="H346" s="1" t="inlineStr">
        <is>
          <t>No</t>
        </is>
      </c>
      <c r="I346" s="2" t="str"/>
      <c r="J346" s="2" t="str"/>
      <c r="K346" s="2" t="str"/>
      <c r="L346" s="1" t="str"/>
      <c r="M346" s="2" t="str"/>
      <c r="N346" s="2" t="str"/>
      <c r="O346" s="1" t="str"/>
      <c r="P346" s="1" t="str"/>
      <c r="Q346" s="1" t="str"/>
      <c r="R346" s="1">
        <f>IF(H346="Sí",1,0)</f>
        <v/>
      </c>
      <c r="S346" s="1">
        <f>IF(L346="En coordinación",1,0)</f>
        <v/>
      </c>
      <c r="T346" s="1">
        <f>IF(L346="Aceptada",1,0)</f>
        <v/>
      </c>
      <c r="U346" s="1">
        <f>IF(OR(L346="Realizada completa",L346="Realizada incompleta"),1,0)</f>
        <v/>
      </c>
      <c r="V346" s="1">
        <f>IF(L346="Sin respuesta",1,0)</f>
        <v/>
      </c>
    </row>
    <row r="347">
      <c r="A347" s="1" t="inlineStr">
        <is>
          <t>346</t>
        </is>
      </c>
      <c r="B347" s="1" t="inlineStr">
        <is>
          <t>Lourdes Fernández Calvo</t>
        </is>
      </c>
      <c r="C347" s="1" t="inlineStr">
        <is>
          <t>Mongabay</t>
        </is>
      </c>
      <c r="D347" s="1" t="inlineStr">
        <is>
          <t>Entrevista de actores clave</t>
        </is>
      </c>
      <c r="E347" s="1" t="inlineStr">
        <is>
          <t>Prensa</t>
        </is>
      </c>
      <c r="F347" s="1" t="inlineStr">
        <is>
          <t>Nacional</t>
        </is>
      </c>
      <c r="G347" s="1" t="inlineStr">
        <is>
          <t>IJM</t>
        </is>
      </c>
      <c r="H347" s="1" t="inlineStr">
        <is>
          <t>Sí</t>
        </is>
      </c>
      <c r="I347" s="2" t="inlineStr">
        <is>
          <t xml:space="preserve">  6/9/2026</t>
        </is>
      </c>
      <c r="J347" s="2" t="str"/>
      <c r="K347" s="2" t="str"/>
      <c r="L347" s="1" t="inlineStr">
        <is>
          <t>Realizada completa</t>
        </is>
      </c>
      <c r="M347" s="2" t="inlineStr">
        <is>
          <t>13-Jun</t>
        </is>
      </c>
      <c r="N347" s="2" t="inlineStr">
        <is>
          <t>13-Jun</t>
        </is>
      </c>
      <c r="O347" s="1" t="inlineStr">
        <is>
          <t>Realizada completa</t>
        </is>
      </c>
      <c r="P347" s="1" t="inlineStr">
        <is>
          <t>25</t>
        </is>
      </c>
      <c r="Q347" s="1" t="inlineStr">
        <is>
          <t>A distancia asistido</t>
        </is>
      </c>
      <c r="R347" s="1">
        <f>IF(H347="Sí",1,0)</f>
        <v/>
      </c>
      <c r="S347" s="1">
        <f>IF(L347="En coordinación",1,0)</f>
        <v/>
      </c>
      <c r="T347" s="1">
        <f>IF(L347="Aceptada",1,0)</f>
        <v/>
      </c>
      <c r="U347" s="1">
        <f>IF(OR(L347="Realizada completa",L347="Realizada incompleta"),1,0)</f>
        <v/>
      </c>
      <c r="V347" s="1">
        <f>IF(L347="Sin respuesta",1,0)</f>
        <v/>
      </c>
    </row>
    <row r="348">
      <c r="A348" s="1" t="inlineStr">
        <is>
          <t>347</t>
        </is>
      </c>
      <c r="B348" s="1" t="inlineStr">
        <is>
          <t>Graciela Tiburcio Loayza</t>
        </is>
      </c>
      <c r="C348" s="1" t="inlineStr">
        <is>
          <t>Contranoticia</t>
        </is>
      </c>
      <c r="D348" s="1" t="inlineStr">
        <is>
          <t>Entrevista de actores clave</t>
        </is>
      </c>
      <c r="E348" s="1" t="inlineStr">
        <is>
          <t>Prensa</t>
        </is>
      </c>
      <c r="F348" s="1" t="inlineStr">
        <is>
          <t>Nacional</t>
        </is>
      </c>
      <c r="G348" s="1" t="inlineStr">
        <is>
          <t>IJM</t>
        </is>
      </c>
      <c r="H348" s="1" t="inlineStr">
        <is>
          <t>No</t>
        </is>
      </c>
      <c r="I348" s="2" t="inlineStr">
        <is>
          <t xml:space="preserve"> 5/29/2026</t>
        </is>
      </c>
      <c r="J348" s="2" t="str"/>
      <c r="K348" s="2" t="str"/>
      <c r="L348" s="1" t="inlineStr">
        <is>
          <t>Sin respuesta</t>
        </is>
      </c>
      <c r="M348" s="2" t="str"/>
      <c r="N348" s="2" t="str"/>
      <c r="O348" s="1" t="inlineStr">
        <is>
          <t>Sin respuesta</t>
        </is>
      </c>
      <c r="P348" s="1" t="str"/>
      <c r="Q348" s="1" t="str"/>
      <c r="R348" s="1">
        <f>IF(H348="Sí",1,0)</f>
        <v/>
      </c>
      <c r="S348" s="1">
        <f>IF(L348="En coordinación",1,0)</f>
        <v/>
      </c>
      <c r="T348" s="1">
        <f>IF(L348="Aceptada",1,0)</f>
        <v/>
      </c>
      <c r="U348" s="1">
        <f>IF(OR(L348="Realizada completa",L348="Realizada incompleta"),1,0)</f>
        <v/>
      </c>
      <c r="V348" s="1">
        <f>IF(L348="Sin respuesta",1,0)</f>
        <v/>
      </c>
    </row>
    <row r="349">
      <c r="A349" s="1" t="inlineStr">
        <is>
          <t>348</t>
        </is>
      </c>
      <c r="B349" s="1" t="inlineStr">
        <is>
          <t>Graciela Reátegui</t>
        </is>
      </c>
      <c r="C349" s="1" t="inlineStr">
        <is>
          <t>FECONAU – Federación de Comunidades Nativas de Ucayali y Afluentes</t>
        </is>
      </c>
      <c r="D349" s="1" t="inlineStr">
        <is>
          <t>Entrevista de actores clave</t>
        </is>
      </c>
      <c r="E349" s="1" t="inlineStr">
        <is>
          <t>Actores locales</t>
        </is>
      </c>
      <c r="F349" s="1" t="inlineStr">
        <is>
          <t>Distrito Judicial: Ucayali</t>
        </is>
      </c>
      <c r="G349" s="1" t="inlineStr">
        <is>
          <t>IJM</t>
        </is>
      </c>
      <c r="H349" s="1" t="inlineStr">
        <is>
          <t>No</t>
        </is>
      </c>
      <c r="I349" s="2" t="inlineStr">
        <is>
          <t xml:space="preserve"> 5/29/2026</t>
        </is>
      </c>
      <c r="J349" s="2" t="inlineStr">
        <is>
          <t xml:space="preserve">  6/4/2026</t>
        </is>
      </c>
      <c r="K349" s="2" t="str"/>
      <c r="L349" s="1" t="inlineStr">
        <is>
          <t>En coordinación</t>
        </is>
      </c>
      <c r="M349" s="2" t="str"/>
      <c r="N349" s="2" t="str"/>
      <c r="O349" s="1" t="inlineStr">
        <is>
          <t>En coordinación</t>
        </is>
      </c>
      <c r="P349" s="1" t="str"/>
      <c r="Q349" s="1" t="str"/>
      <c r="R349" s="1">
        <f>IF(H349="Sí",1,0)</f>
        <v/>
      </c>
      <c r="S349" s="1">
        <f>IF(L349="En coordinación",1,0)</f>
        <v/>
      </c>
      <c r="T349" s="1">
        <f>IF(L349="Aceptada",1,0)</f>
        <v/>
      </c>
      <c r="U349" s="1">
        <f>IF(OR(L349="Realizada completa",L349="Realizada incompleta"),1,0)</f>
        <v/>
      </c>
      <c r="V349" s="1">
        <f>IF(L349="Sin respuesta",1,0)</f>
        <v/>
      </c>
    </row>
    <row r="350">
      <c r="A350" s="1" t="inlineStr">
        <is>
          <t>349</t>
        </is>
      </c>
      <c r="B350" s="1" t="inlineStr">
        <is>
          <t>Amalia Añez</t>
        </is>
      </c>
      <c r="C350" s="1" t="inlineStr">
        <is>
          <t>FENAMAD – Federación Nativa del Río Madre de Dios y Afluentes</t>
        </is>
      </c>
      <c r="D350" s="1" t="inlineStr">
        <is>
          <t>Entrevista de actores clave</t>
        </is>
      </c>
      <c r="E350" s="1" t="inlineStr">
        <is>
          <t>Actores locales</t>
        </is>
      </c>
      <c r="F350" s="1" t="inlineStr">
        <is>
          <t>Nacional</t>
        </is>
      </c>
      <c r="G350" s="1" t="inlineStr">
        <is>
          <t>IJM</t>
        </is>
      </c>
      <c r="H350" s="1" t="inlineStr">
        <is>
          <t>No</t>
        </is>
      </c>
      <c r="I350" s="2" t="str"/>
      <c r="J350" s="2" t="str"/>
      <c r="K350" s="2" t="str"/>
      <c r="L350" s="1" t="str"/>
      <c r="M350" s="2" t="str"/>
      <c r="N350" s="2" t="str"/>
      <c r="O350" s="1" t="str"/>
      <c r="P350" s="1" t="str"/>
      <c r="Q350" s="1" t="str"/>
      <c r="R350" s="1">
        <f>IF(H350="Sí",1,0)</f>
        <v/>
      </c>
      <c r="S350" s="1">
        <f>IF(L350="En coordinación",1,0)</f>
        <v/>
      </c>
      <c r="T350" s="1">
        <f>IF(L350="Aceptada",1,0)</f>
        <v/>
      </c>
      <c r="U350" s="1">
        <f>IF(OR(L350="Realizada completa",L350="Realizada incompleta"),1,0)</f>
        <v/>
      </c>
      <c r="V350" s="1">
        <f>IF(L350="Sin respuesta",1,0)</f>
        <v/>
      </c>
    </row>
    <row r="351">
      <c r="A351" s="1" t="inlineStr">
        <is>
          <t>350</t>
        </is>
      </c>
      <c r="B351" s="1" t="inlineStr">
        <is>
          <t>Jimena Chavez</t>
        </is>
      </c>
      <c r="C351" s="1" t="inlineStr">
        <is>
          <t>DVV International</t>
        </is>
      </c>
      <c r="D351" s="1" t="inlineStr">
        <is>
          <t>Entrevista de actores clave</t>
        </is>
      </c>
      <c r="E351" s="1" t="inlineStr">
        <is>
          <t>Actores locales</t>
        </is>
      </c>
      <c r="F351" s="1" t="inlineStr">
        <is>
          <t>Nacional</t>
        </is>
      </c>
      <c r="G351" s="1" t="inlineStr">
        <is>
          <t>IJM</t>
        </is>
      </c>
      <c r="H351" s="1" t="inlineStr">
        <is>
          <t>No</t>
        </is>
      </c>
      <c r="I351" s="2" t="inlineStr">
        <is>
          <t xml:space="preserve"> 5/29/2026</t>
        </is>
      </c>
      <c r="J351" s="2" t="str"/>
      <c r="K351" s="2" t="str"/>
      <c r="L351" s="1" t="inlineStr">
        <is>
          <t>sin respuesta</t>
        </is>
      </c>
      <c r="M351" s="2" t="str"/>
      <c r="N351" s="2" t="str"/>
      <c r="O351" s="1" t="inlineStr">
        <is>
          <t>sin respuesta</t>
        </is>
      </c>
      <c r="P351" s="1" t="str"/>
      <c r="Q351" s="1" t="str"/>
      <c r="R351" s="1">
        <f>IF(H351="Sí",1,0)</f>
        <v/>
      </c>
      <c r="S351" s="1">
        <f>IF(L351="En coordinación",1,0)</f>
        <v/>
      </c>
      <c r="T351" s="1">
        <f>IF(L351="Aceptada",1,0)</f>
        <v/>
      </c>
      <c r="U351" s="1">
        <f>IF(OR(L351="Realizada completa",L351="Realizada incompleta"),1,0)</f>
        <v/>
      </c>
      <c r="V351" s="1">
        <f>IF(L351="Sin respuesta",1,0)</f>
        <v/>
      </c>
    </row>
    <row r="352">
      <c r="A352" s="1" t="inlineStr">
        <is>
          <t>351</t>
        </is>
      </c>
      <c r="B352" s="1" t="inlineStr">
        <is>
          <t>Susana Gonzalez</t>
        </is>
      </c>
      <c r="C352" s="1" t="inlineStr">
        <is>
          <t>Asociación de mujeres de Gamarra</t>
        </is>
      </c>
      <c r="D352" s="1" t="inlineStr">
        <is>
          <t>Entrevista de actores clave</t>
        </is>
      </c>
      <c r="E352" s="1" t="inlineStr">
        <is>
          <t>Acompañantes</t>
        </is>
      </c>
      <c r="F352" s="1" t="inlineStr">
        <is>
          <t>Distrito Judicial: Lima Norte</t>
        </is>
      </c>
      <c r="G352" s="1" t="inlineStr">
        <is>
          <t>IJM</t>
        </is>
      </c>
      <c r="H352" s="1" t="inlineStr">
        <is>
          <t>No</t>
        </is>
      </c>
      <c r="I352" s="2" t="inlineStr">
        <is>
          <t xml:space="preserve"> 5/29/2026</t>
        </is>
      </c>
      <c r="J352" s="2" t="str"/>
      <c r="K352" s="2" t="str"/>
      <c r="L352" s="1" t="inlineStr">
        <is>
          <t>sin respuesta</t>
        </is>
      </c>
      <c r="M352" s="2" t="str"/>
      <c r="N352" s="2" t="str"/>
      <c r="O352" s="1" t="inlineStr">
        <is>
          <t>sin respuesta</t>
        </is>
      </c>
      <c r="P352" s="1" t="str"/>
      <c r="Q352" s="1" t="str"/>
      <c r="R352" s="1">
        <f>IF(H352="Sí",1,0)</f>
        <v/>
      </c>
      <c r="S352" s="1">
        <f>IF(L352="En coordinación",1,0)</f>
        <v/>
      </c>
      <c r="T352" s="1">
        <f>IF(L352="Aceptada",1,0)</f>
        <v/>
      </c>
      <c r="U352" s="1">
        <f>IF(OR(L352="Realizada completa",L352="Realizada incompleta"),1,0)</f>
        <v/>
      </c>
      <c r="V352" s="1">
        <f>IF(L352="Sin respuesta",1,0)</f>
        <v/>
      </c>
    </row>
    <row r="353">
      <c r="A353" s="1" t="inlineStr">
        <is>
          <t>352</t>
        </is>
      </c>
      <c r="B353" s="1" t="inlineStr">
        <is>
          <t>Giannina Castro Gamarra</t>
        </is>
      </c>
      <c r="C353" s="1" t="inlineStr">
        <is>
          <t>Asociación de mujeres empresarias del Perú (AMEP)</t>
        </is>
      </c>
      <c r="D353" s="1" t="inlineStr">
        <is>
          <t>Entrevista de actores clave</t>
        </is>
      </c>
      <c r="E353" s="1" t="inlineStr">
        <is>
          <t>Acompañantes</t>
        </is>
      </c>
      <c r="F353" s="1" t="inlineStr">
        <is>
          <t>Nacional</t>
        </is>
      </c>
      <c r="G353" s="1" t="inlineStr">
        <is>
          <t>IJM</t>
        </is>
      </c>
      <c r="H353" s="1" t="inlineStr">
        <is>
          <t>Sí</t>
        </is>
      </c>
      <c r="I353" s="2" t="inlineStr">
        <is>
          <t xml:space="preserve"> 5/29/2026</t>
        </is>
      </c>
      <c r="J353" s="2" t="str"/>
      <c r="K353" s="2" t="str"/>
      <c r="L353" s="1" t="inlineStr">
        <is>
          <t>Realizada completa</t>
        </is>
      </c>
      <c r="M353" s="2" t="inlineStr">
        <is>
          <t xml:space="preserve"> 9-Jun</t>
        </is>
      </c>
      <c r="N353" s="2" t="inlineStr">
        <is>
          <t xml:space="preserve"> 9-Jun</t>
        </is>
      </c>
      <c r="O353" s="1" t="inlineStr">
        <is>
          <t>Realizada completa</t>
        </is>
      </c>
      <c r="P353" s="1" t="inlineStr">
        <is>
          <t>47</t>
        </is>
      </c>
      <c r="Q353" s="1" t="inlineStr">
        <is>
          <t>A distancia asistido</t>
        </is>
      </c>
      <c r="R353" s="1">
        <f>IF(H353="Sí",1,0)</f>
        <v/>
      </c>
      <c r="S353" s="1">
        <f>IF(L353="En coordinación",1,0)</f>
        <v/>
      </c>
      <c r="T353" s="1">
        <f>IF(L353="Aceptada",1,0)</f>
        <v/>
      </c>
      <c r="U353" s="1">
        <f>IF(OR(L353="Realizada completa",L353="Realizada incompleta"),1,0)</f>
        <v/>
      </c>
      <c r="V353" s="1">
        <f>IF(L353="Sin respuesta",1,0)</f>
        <v/>
      </c>
    </row>
    <row r="354">
      <c r="A354" s="1" t="inlineStr">
        <is>
          <t>353</t>
        </is>
      </c>
      <c r="B354" s="1" t="inlineStr">
        <is>
          <t>Carmen Arróspide Poblete</t>
        </is>
      </c>
      <c r="C354" s="1" t="inlineStr">
        <is>
          <t>Red Nacional de Mujeres Empresarias y Emprendedoras (RENAMEE)</t>
        </is>
      </c>
      <c r="D354" s="1" t="inlineStr">
        <is>
          <t>Entrevista de actores clave</t>
        </is>
      </c>
      <c r="E354" s="1" t="inlineStr">
        <is>
          <t>Acompañantes</t>
        </is>
      </c>
      <c r="F354" s="1" t="inlineStr">
        <is>
          <t>Nacional</t>
        </is>
      </c>
      <c r="G354" s="1" t="inlineStr">
        <is>
          <t>IJM</t>
        </is>
      </c>
      <c r="H354" s="1" t="inlineStr">
        <is>
          <t>No</t>
        </is>
      </c>
      <c r="I354" s="2" t="inlineStr">
        <is>
          <t xml:space="preserve"> 5/29/2026</t>
        </is>
      </c>
      <c r="J354" s="2" t="str"/>
      <c r="K354" s="2" t="str"/>
      <c r="L354" s="1" t="inlineStr">
        <is>
          <t>sin respuesta</t>
        </is>
      </c>
      <c r="M354" s="2" t="str"/>
      <c r="N354" s="2" t="str"/>
      <c r="O354" s="1" t="inlineStr">
        <is>
          <t>sin respuesta</t>
        </is>
      </c>
      <c r="P354" s="1" t="str"/>
      <c r="Q354" s="1" t="str"/>
      <c r="R354" s="1">
        <f>IF(H354="Sí",1,0)</f>
        <v/>
      </c>
      <c r="S354" s="1">
        <f>IF(L354="En coordinación",1,0)</f>
        <v/>
      </c>
      <c r="T354" s="1">
        <f>IF(L354="Aceptada",1,0)</f>
        <v/>
      </c>
      <c r="U354" s="1">
        <f>IF(OR(L354="Realizada completa",L354="Realizada incompleta"),1,0)</f>
        <v/>
      </c>
      <c r="V354" s="1">
        <f>IF(L354="Sin respuesta",1,0)</f>
        <v/>
      </c>
    </row>
    <row r="355">
      <c r="A355" s="1" t="inlineStr">
        <is>
          <t>354</t>
        </is>
      </c>
      <c r="B355" s="1" t="inlineStr">
        <is>
          <t>Carolina Vera Torres</t>
        </is>
      </c>
      <c r="C355" s="1" t="inlineStr">
        <is>
          <t>PUCP</t>
        </is>
      </c>
      <c r="D355" s="1" t="inlineStr">
        <is>
          <t>Entrevista de actores clave</t>
        </is>
      </c>
      <c r="E355" s="1" t="inlineStr">
        <is>
          <t>Actores locales</t>
        </is>
      </c>
      <c r="F355" s="1" t="inlineStr">
        <is>
          <t>Nacional</t>
        </is>
      </c>
      <c r="G355" s="1" t="inlineStr">
        <is>
          <t>IJM</t>
        </is>
      </c>
      <c r="H355" s="1" t="inlineStr">
        <is>
          <t>No</t>
        </is>
      </c>
      <c r="I355" s="2" t="inlineStr">
        <is>
          <t xml:space="preserve"> 5/29/2026</t>
        </is>
      </c>
      <c r="J355" s="2" t="str"/>
      <c r="K355" s="2" t="str"/>
      <c r="L355" s="1" t="inlineStr">
        <is>
          <t>sin respuesta</t>
        </is>
      </c>
      <c r="M355" s="2" t="str"/>
      <c r="N355" s="2" t="str"/>
      <c r="O355" s="1" t="inlineStr">
        <is>
          <t>sin respuesta</t>
        </is>
      </c>
      <c r="P355" s="1" t="str"/>
      <c r="Q355" s="1" t="str"/>
      <c r="R355" s="1">
        <f>IF(H355="Sí",1,0)</f>
        <v/>
      </c>
      <c r="S355" s="1">
        <f>IF(L355="En coordinación",1,0)</f>
        <v/>
      </c>
      <c r="T355" s="1">
        <f>IF(L355="Aceptada",1,0)</f>
        <v/>
      </c>
      <c r="U355" s="1">
        <f>IF(OR(L355="Realizada completa",L355="Realizada incompleta"),1,0)</f>
        <v/>
      </c>
      <c r="V355" s="1">
        <f>IF(L355="Sin respuesta",1,0)</f>
        <v/>
      </c>
    </row>
    <row r="356">
      <c r="A356" s="1" t="inlineStr">
        <is>
          <t>355</t>
        </is>
      </c>
      <c r="B356" s="1" t="inlineStr">
        <is>
          <t>Elena Reyes</t>
        </is>
      </c>
      <c r="C356" s="1" t="inlineStr">
        <is>
          <t>Especialista en Género</t>
        </is>
      </c>
      <c r="D356" s="1" t="inlineStr">
        <is>
          <t>Entrevista de actores clave</t>
        </is>
      </c>
      <c r="E356" s="1" t="inlineStr">
        <is>
          <t>Actores locales</t>
        </is>
      </c>
      <c r="F356" s="1" t="inlineStr">
        <is>
          <t>Nacional</t>
        </is>
      </c>
      <c r="G356" s="1" t="inlineStr">
        <is>
          <t>IJM</t>
        </is>
      </c>
      <c r="H356" s="1" t="inlineStr">
        <is>
          <t>No</t>
        </is>
      </c>
      <c r="I356" s="2" t="inlineStr">
        <is>
          <t xml:space="preserve"> 5/29/2026</t>
        </is>
      </c>
      <c r="J356" s="2" t="str"/>
      <c r="K356" s="2" t="str"/>
      <c r="L356" s="1" t="inlineStr">
        <is>
          <t>sin respuesta</t>
        </is>
      </c>
      <c r="M356" s="2" t="str"/>
      <c r="N356" s="2" t="str"/>
      <c r="O356" s="1" t="inlineStr">
        <is>
          <t>sin respuesta</t>
        </is>
      </c>
      <c r="P356" s="1" t="str"/>
      <c r="Q356" s="1" t="str"/>
      <c r="R356" s="1">
        <f>IF(H356="Sí",1,0)</f>
        <v/>
      </c>
      <c r="S356" s="1">
        <f>IF(L356="En coordinación",1,0)</f>
        <v/>
      </c>
      <c r="T356" s="1">
        <f>IF(L356="Aceptada",1,0)</f>
        <v/>
      </c>
      <c r="U356" s="1">
        <f>IF(OR(L356="Realizada completa",L356="Realizada incompleta"),1,0)</f>
        <v/>
      </c>
      <c r="V356" s="1">
        <f>IF(L356="Sin respuesta",1,0)</f>
        <v/>
      </c>
    </row>
    <row r="357">
      <c r="A357" s="1" t="inlineStr">
        <is>
          <t>356</t>
        </is>
      </c>
      <c r="B357" s="1" t="inlineStr">
        <is>
          <t>Keyland Allca Chacaliaza</t>
        </is>
      </c>
      <c r="C357" s="1" t="inlineStr">
        <is>
          <t>Lideranda ORG</t>
        </is>
      </c>
      <c r="D357" s="1" t="inlineStr">
        <is>
          <t>Entrevista de actores clave</t>
        </is>
      </c>
      <c r="E357" s="1" t="inlineStr">
        <is>
          <t>Acompañantes</t>
        </is>
      </c>
      <c r="F357" s="1" t="inlineStr">
        <is>
          <t>Nacional</t>
        </is>
      </c>
      <c r="G357" s="1" t="inlineStr">
        <is>
          <t>IJM</t>
        </is>
      </c>
      <c r="H357" s="1" t="inlineStr">
        <is>
          <t>No</t>
        </is>
      </c>
      <c r="I357" s="2" t="inlineStr">
        <is>
          <t xml:space="preserve"> 5/29/2026</t>
        </is>
      </c>
      <c r="J357" s="2" t="str"/>
      <c r="K357" s="2" t="str"/>
      <c r="L357" s="1" t="inlineStr">
        <is>
          <t>sin respuesta</t>
        </is>
      </c>
      <c r="M357" s="2" t="str"/>
      <c r="N357" s="2" t="str"/>
      <c r="O357" s="1" t="inlineStr">
        <is>
          <t>sin respuesta</t>
        </is>
      </c>
      <c r="P357" s="1" t="str"/>
      <c r="Q357" s="1" t="str"/>
      <c r="R357" s="1">
        <f>IF(H357="Sí",1,0)</f>
        <v/>
      </c>
      <c r="S357" s="1">
        <f>IF(L357="En coordinación",1,0)</f>
        <v/>
      </c>
      <c r="T357" s="1">
        <f>IF(L357="Aceptada",1,0)</f>
        <v/>
      </c>
      <c r="U357" s="1">
        <f>IF(OR(L357="Realizada completa",L357="Realizada incompleta"),1,0)</f>
        <v/>
      </c>
      <c r="V357" s="1">
        <f>IF(L357="Sin respuesta",1,0)</f>
        <v/>
      </c>
    </row>
    <row r="358">
      <c r="A358" s="1" t="inlineStr">
        <is>
          <t>357</t>
        </is>
      </c>
      <c r="B358" s="1" t="inlineStr">
        <is>
          <t>Magaly Ávila</t>
        </is>
      </c>
      <c r="C358" s="1" t="inlineStr">
        <is>
          <t>Proetica</t>
        </is>
      </c>
      <c r="D358" s="1" t="inlineStr">
        <is>
          <t>Entrevista de actores clave</t>
        </is>
      </c>
      <c r="E358" s="1" t="inlineStr">
        <is>
          <t>Actores locales</t>
        </is>
      </c>
      <c r="F358" s="1" t="inlineStr">
        <is>
          <t>Nacional</t>
        </is>
      </c>
      <c r="G358" s="1" t="inlineStr">
        <is>
          <t>IJM</t>
        </is>
      </c>
      <c r="H358" s="1" t="inlineStr">
        <is>
          <t>No</t>
        </is>
      </c>
      <c r="I358" s="2" t="inlineStr">
        <is>
          <t xml:space="preserve"> 6/29/2026</t>
        </is>
      </c>
      <c r="J358" s="2" t="str"/>
      <c r="K358" s="2" t="str"/>
      <c r="L358" s="1" t="inlineStr">
        <is>
          <t>sin respuesta</t>
        </is>
      </c>
      <c r="M358" s="2" t="str"/>
      <c r="N358" s="2" t="str"/>
      <c r="O358" s="1" t="inlineStr">
        <is>
          <t>sin respuesta</t>
        </is>
      </c>
      <c r="P358" s="1" t="str"/>
      <c r="Q358" s="1" t="str"/>
      <c r="R358" s="1">
        <f>IF(H358="Sí",1,0)</f>
        <v/>
      </c>
      <c r="S358" s="1">
        <f>IF(L358="En coordinación",1,0)</f>
        <v/>
      </c>
      <c r="T358" s="1">
        <f>IF(L358="Aceptada",1,0)</f>
        <v/>
      </c>
      <c r="U358" s="1">
        <f>IF(OR(L358="Realizada completa",L358="Realizada incompleta"),1,0)</f>
        <v/>
      </c>
      <c r="V358" s="1">
        <f>IF(L358="Sin respuesta",1,0)</f>
        <v/>
      </c>
    </row>
    <row r="359">
      <c r="A359" s="1" t="inlineStr">
        <is>
          <t>358</t>
        </is>
      </c>
      <c r="B359" s="1" t="inlineStr">
        <is>
          <t>Adhely Bellido Castro</t>
        </is>
      </c>
      <c r="C359" s="1" t="inlineStr">
        <is>
          <t>RED NACIONAL DE JÓVENES PARLAMENTARIOS</t>
        </is>
      </c>
      <c r="D359" s="1" t="inlineStr">
        <is>
          <t>Entrevista de actores clave</t>
        </is>
      </c>
      <c r="E359" s="1" t="inlineStr">
        <is>
          <t>Acompañantes</t>
        </is>
      </c>
      <c r="F359" s="1" t="inlineStr">
        <is>
          <t>Nacional</t>
        </is>
      </c>
      <c r="G359" s="1" t="inlineStr">
        <is>
          <t>IJM</t>
        </is>
      </c>
      <c r="H359" s="1" t="inlineStr">
        <is>
          <t>No</t>
        </is>
      </c>
      <c r="I359" s="2" t="inlineStr">
        <is>
          <t xml:space="preserve"> 3/29/2026</t>
        </is>
      </c>
      <c r="J359" s="2" t="str"/>
      <c r="K359" s="2" t="str"/>
      <c r="L359" s="1" t="inlineStr">
        <is>
          <t>sin respuesta</t>
        </is>
      </c>
      <c r="M359" s="2" t="str"/>
      <c r="N359" s="2" t="str"/>
      <c r="O359" s="1" t="inlineStr">
        <is>
          <t>sin respuesta</t>
        </is>
      </c>
      <c r="P359" s="1" t="str"/>
      <c r="Q359" s="1" t="str"/>
      <c r="R359" s="1">
        <f>IF(H359="Sí",1,0)</f>
        <v/>
      </c>
      <c r="S359" s="1">
        <f>IF(L359="En coordinación",1,0)</f>
        <v/>
      </c>
      <c r="T359" s="1">
        <f>IF(L359="Aceptada",1,0)</f>
        <v/>
      </c>
      <c r="U359" s="1">
        <f>IF(OR(L359="Realizada completa",L359="Realizada incompleta"),1,0)</f>
        <v/>
      </c>
      <c r="V359" s="1">
        <f>IF(L359="Sin respuesta",1,0)</f>
        <v/>
      </c>
    </row>
    <row r="360">
      <c r="A360" s="1" t="inlineStr">
        <is>
          <t>359</t>
        </is>
      </c>
      <c r="B360" s="1" t="inlineStr">
        <is>
          <t>Lourdes Maritza Jesús Soplin Servan</t>
        </is>
      </c>
      <c r="C360" s="1" t="inlineStr">
        <is>
          <t>Taller de Estudios Parlamentarios - TAEP</t>
        </is>
      </c>
      <c r="D360" s="1" t="inlineStr">
        <is>
          <t>Entrevista de actores clave</t>
        </is>
      </c>
      <c r="E360" s="1" t="inlineStr">
        <is>
          <t>Actores locales</t>
        </is>
      </c>
      <c r="F360" s="1" t="inlineStr">
        <is>
          <t>Nacional</t>
        </is>
      </c>
      <c r="G360" s="1" t="inlineStr">
        <is>
          <t>IJM</t>
        </is>
      </c>
      <c r="H360" s="1" t="inlineStr">
        <is>
          <t>No</t>
        </is>
      </c>
      <c r="I360" s="2" t="str"/>
      <c r="J360" s="2" t="str"/>
      <c r="K360" s="2" t="str"/>
      <c r="L360" s="1" t="str"/>
      <c r="M360" s="2" t="str"/>
      <c r="N360" s="2" t="str"/>
      <c r="O360" s="1" t="str"/>
      <c r="P360" s="1" t="str"/>
      <c r="Q360" s="1" t="str"/>
      <c r="R360" s="1">
        <f>IF(H360="Sí",1,0)</f>
        <v/>
      </c>
      <c r="S360" s="1">
        <f>IF(L360="En coordinación",1,0)</f>
        <v/>
      </c>
      <c r="T360" s="1">
        <f>IF(L360="Aceptada",1,0)</f>
        <v/>
      </c>
      <c r="U360" s="1">
        <f>IF(OR(L360="Realizada completa",L360="Realizada incompleta"),1,0)</f>
        <v/>
      </c>
      <c r="V360" s="1">
        <f>IF(L360="Sin respuesta",1,0)</f>
        <v/>
      </c>
    </row>
    <row r="361">
      <c r="A361" s="1" t="inlineStr">
        <is>
          <t>360</t>
        </is>
      </c>
      <c r="B361" s="1" t="inlineStr">
        <is>
          <t>Carmen Espinoza</t>
        </is>
      </c>
      <c r="C361" s="1" t="inlineStr">
        <is>
          <t>Manuela Ramos</t>
        </is>
      </c>
      <c r="D361" s="1" t="inlineStr">
        <is>
          <t>Entrevista de actores clave</t>
        </is>
      </c>
      <c r="E361" s="1" t="inlineStr">
        <is>
          <t>Actores locales</t>
        </is>
      </c>
      <c r="F361" s="1" t="inlineStr">
        <is>
          <t>Nacional</t>
        </is>
      </c>
      <c r="G361" s="1" t="inlineStr">
        <is>
          <t>IJM</t>
        </is>
      </c>
      <c r="H361" s="1" t="inlineStr">
        <is>
          <t>No</t>
        </is>
      </c>
      <c r="I361" s="2" t="inlineStr">
        <is>
          <t xml:space="preserve"> 3/29/2026</t>
        </is>
      </c>
      <c r="J361" s="2" t="str"/>
      <c r="K361" s="2" t="str"/>
      <c r="L361" s="1" t="inlineStr">
        <is>
          <t>sin respuesta</t>
        </is>
      </c>
      <c r="M361" s="2" t="str"/>
      <c r="N361" s="2" t="str"/>
      <c r="O361" s="1" t="inlineStr">
        <is>
          <t>sin respuesta</t>
        </is>
      </c>
      <c r="P361" s="1" t="str"/>
      <c r="Q361" s="1" t="str"/>
      <c r="R361" s="1">
        <f>IF(H361="Sí",1,0)</f>
        <v/>
      </c>
      <c r="S361" s="1">
        <f>IF(L361="En coordinación",1,0)</f>
        <v/>
      </c>
      <c r="T361" s="1">
        <f>IF(L361="Aceptada",1,0)</f>
        <v/>
      </c>
      <c r="U361" s="1">
        <f>IF(OR(L361="Realizada completa",L361="Realizada incompleta"),1,0)</f>
        <v/>
      </c>
      <c r="V361" s="1">
        <f>IF(L361="Sin respuesta",1,0)</f>
        <v/>
      </c>
    </row>
    <row r="362">
      <c r="A362" s="1" t="inlineStr">
        <is>
          <t>361</t>
        </is>
      </c>
      <c r="B362" s="1" t="inlineStr">
        <is>
          <t>Leonor Perez-Durand</t>
        </is>
      </c>
      <c r="C362" s="1" t="inlineStr">
        <is>
          <t>Teleoleo</t>
        </is>
      </c>
      <c r="D362" s="1" t="inlineStr">
        <is>
          <t>Entrevista de actores clave</t>
        </is>
      </c>
      <c r="E362" s="1" t="inlineStr">
        <is>
          <t>Prensa</t>
        </is>
      </c>
      <c r="F362" s="1" t="inlineStr">
        <is>
          <t>Nacional</t>
        </is>
      </c>
      <c r="G362" s="1" t="str"/>
      <c r="H362" s="1" t="inlineStr">
        <is>
          <t>Sí</t>
        </is>
      </c>
      <c r="I362" s="2" t="str"/>
      <c r="J362" s="2" t="str"/>
      <c r="K362" s="2" t="str"/>
      <c r="L362" s="1" t="inlineStr">
        <is>
          <t>Realizada completa</t>
        </is>
      </c>
      <c r="M362" s="2" t="inlineStr">
        <is>
          <t>23-May</t>
        </is>
      </c>
      <c r="N362" s="2" t="inlineStr">
        <is>
          <t>23-May</t>
        </is>
      </c>
      <c r="O362" s="1" t="inlineStr">
        <is>
          <t>Realizada completa</t>
        </is>
      </c>
      <c r="P362" s="1" t="inlineStr">
        <is>
          <t>82</t>
        </is>
      </c>
      <c r="Q362" s="1" t="inlineStr">
        <is>
          <t>A distancia asistido</t>
        </is>
      </c>
      <c r="R362" s="1">
        <f>IF(H362="Sí",1,0)</f>
        <v/>
      </c>
      <c r="S362" s="1">
        <f>IF(L362="En coordinación",1,0)</f>
        <v/>
      </c>
      <c r="T362" s="1">
        <f>IF(L362="Aceptada",1,0)</f>
        <v/>
      </c>
      <c r="U362" s="1">
        <f>IF(OR(L362="Realizada completa",L362="Realizada incompleta"),1,0)</f>
        <v/>
      </c>
      <c r="V362" s="1">
        <f>IF(L362="Sin respuesta",1,0)</f>
        <v/>
      </c>
    </row>
    <row r="363">
      <c r="A363" s="1" t="inlineStr">
        <is>
          <t>362</t>
        </is>
      </c>
      <c r="B363" s="1" t="inlineStr">
        <is>
          <t>Beatriz Gamarra</t>
        </is>
      </c>
      <c r="C363" s="1" t="inlineStr">
        <is>
          <t>UNICEF</t>
        </is>
      </c>
      <c r="D363" s="1" t="inlineStr">
        <is>
          <t>Entrevista de actores clave</t>
        </is>
      </c>
      <c r="E363" s="1" t="inlineStr">
        <is>
          <t>Expertos en la temática</t>
        </is>
      </c>
      <c r="F363" s="1" t="inlineStr">
        <is>
          <t>Nacional</t>
        </is>
      </c>
      <c r="G363" s="1" t="str"/>
      <c r="H363" s="1" t="inlineStr">
        <is>
          <t>Sí</t>
        </is>
      </c>
      <c r="I363" s="2" t="str"/>
      <c r="J363" s="2" t="str"/>
      <c r="K363" s="2" t="str"/>
      <c r="L363" s="1" t="inlineStr">
        <is>
          <t>Realizada completa</t>
        </is>
      </c>
      <c r="M363" s="2" t="inlineStr">
        <is>
          <t xml:space="preserve"> 4-Jun</t>
        </is>
      </c>
      <c r="N363" s="2" t="inlineStr">
        <is>
          <t xml:space="preserve"> 4-Jun</t>
        </is>
      </c>
      <c r="O363" s="1" t="inlineStr">
        <is>
          <t>Realizada completa</t>
        </is>
      </c>
      <c r="P363" s="1" t="inlineStr">
        <is>
          <t>66</t>
        </is>
      </c>
      <c r="Q363" s="1" t="inlineStr">
        <is>
          <t>A distancia asistido</t>
        </is>
      </c>
      <c r="R363" s="1">
        <f>IF(H363="Sí",1,0)</f>
        <v/>
      </c>
      <c r="S363" s="1">
        <f>IF(L363="En coordinación",1,0)</f>
        <v/>
      </c>
      <c r="T363" s="1">
        <f>IF(L363="Aceptada",1,0)</f>
        <v/>
      </c>
      <c r="U363" s="1">
        <f>IF(OR(L363="Realizada completa",L363="Realizada incompleta"),1,0)</f>
        <v/>
      </c>
      <c r="V363" s="1">
        <f>IF(L363="Sin respuesta",1,0)</f>
        <v/>
      </c>
    </row>
    <row r="364">
      <c r="A364" s="1" t="inlineStr">
        <is>
          <t>363</t>
        </is>
      </c>
      <c r="B364" s="1" t="inlineStr">
        <is>
          <t>Ayesha Dávila Torres</t>
        </is>
      </c>
      <c r="C364" s="1" t="inlineStr">
        <is>
          <t>Cresiendo</t>
        </is>
      </c>
      <c r="D364" s="1" t="inlineStr">
        <is>
          <t>Entrevista de actores clave</t>
        </is>
      </c>
      <c r="E364" s="1" t="inlineStr">
        <is>
          <t>Actores locales</t>
        </is>
      </c>
      <c r="F364" s="1" t="inlineStr">
        <is>
          <t>Nacional</t>
        </is>
      </c>
      <c r="G364" s="1" t="inlineStr">
        <is>
          <t>IJM</t>
        </is>
      </c>
      <c r="H364" s="1" t="inlineStr">
        <is>
          <t>Sí</t>
        </is>
      </c>
      <c r="I364" s="2" t="str"/>
      <c r="J364" s="2" t="str"/>
      <c r="K364" s="2" t="str"/>
      <c r="L364" s="1" t="inlineStr">
        <is>
          <t>Realizada completa</t>
        </is>
      </c>
      <c r="M364" s="2" t="inlineStr">
        <is>
          <t>21-May</t>
        </is>
      </c>
      <c r="N364" s="2" t="inlineStr">
        <is>
          <t>21-May</t>
        </is>
      </c>
      <c r="O364" s="1" t="inlineStr">
        <is>
          <t>Realizada completa</t>
        </is>
      </c>
      <c r="P364" s="1" t="inlineStr">
        <is>
          <t>35</t>
        </is>
      </c>
      <c r="Q364" s="1" t="inlineStr">
        <is>
          <t>A distancia asistido</t>
        </is>
      </c>
      <c r="R364" s="1">
        <f>IF(H364="Sí",1,0)</f>
        <v/>
      </c>
      <c r="S364" s="1">
        <f>IF(L364="En coordinación",1,0)</f>
        <v/>
      </c>
      <c r="T364" s="1">
        <f>IF(L364="Aceptada",1,0)</f>
        <v/>
      </c>
      <c r="U364" s="1">
        <f>IF(OR(L364="Realizada completa",L364="Realizada incompleta"),1,0)</f>
        <v/>
      </c>
      <c r="V364" s="1">
        <f>IF(L364="Sin respuesta",1,0)</f>
        <v/>
      </c>
    </row>
    <row r="365">
      <c r="A365" s="1" t="inlineStr">
        <is>
          <t>364</t>
        </is>
      </c>
      <c r="B365" s="1" t="inlineStr">
        <is>
          <t>Pedro Martín Fuentes Sotelo</t>
        </is>
      </c>
      <c r="C365" s="1" t="inlineStr">
        <is>
          <t>Defensa Pública</t>
        </is>
      </c>
      <c r="D365" s="1" t="inlineStr">
        <is>
          <t>Entrevista de actores clave</t>
        </is>
      </c>
      <c r="E365" s="1" t="str"/>
      <c r="F365" s="1" t="inlineStr">
        <is>
          <t>Nacional</t>
        </is>
      </c>
      <c r="G365" s="1" t="str"/>
      <c r="H365" s="1" t="inlineStr">
        <is>
          <t>no</t>
        </is>
      </c>
      <c r="I365" s="2" t="inlineStr">
        <is>
          <t xml:space="preserve"> 5/29/2026</t>
        </is>
      </c>
      <c r="J365" s="2" t="str"/>
      <c r="K365" s="2" t="str"/>
      <c r="L365" s="1" t="inlineStr">
        <is>
          <t>sin respuesta</t>
        </is>
      </c>
      <c r="M365" s="2" t="str"/>
      <c r="N365" s="2" t="str"/>
      <c r="O365" s="1" t="inlineStr">
        <is>
          <t>sin respuesta</t>
        </is>
      </c>
      <c r="P365" s="1" t="str"/>
      <c r="Q365" s="1" t="str"/>
      <c r="R365" s="1">
        <f>IF(H365="Sí",1,0)</f>
        <v/>
      </c>
      <c r="S365" s="1">
        <f>IF(L365="En coordinación",1,0)</f>
        <v/>
      </c>
      <c r="T365" s="1">
        <f>IF(L365="Aceptada",1,0)</f>
        <v/>
      </c>
      <c r="U365" s="1">
        <f>IF(OR(L365="Realizada completa",L365="Realizada incompleta"),1,0)</f>
        <v/>
      </c>
      <c r="V365" s="1">
        <f>IF(L365="Sin respuesta",1,0)</f>
        <v/>
      </c>
    </row>
    <row r="366">
      <c r="A366" s="1" t="inlineStr">
        <is>
          <t>365</t>
        </is>
      </c>
      <c r="B366" s="1" t="inlineStr">
        <is>
          <t>Eysler Nieto</t>
        </is>
      </c>
      <c r="C366" s="1" t="inlineStr">
        <is>
          <t xml:space="preserve">Paz y esperanza </t>
        </is>
      </c>
      <c r="D366" s="1" t="inlineStr">
        <is>
          <t>Entrevista de actores clave</t>
        </is>
      </c>
      <c r="E366" s="1" t="inlineStr">
        <is>
          <t>Expertos en la temática</t>
        </is>
      </c>
      <c r="F366" s="1" t="inlineStr">
        <is>
          <t>Distrito Judicial: Huánuco</t>
        </is>
      </c>
      <c r="G366" s="1" t="inlineStr">
        <is>
          <t>IJM</t>
        </is>
      </c>
      <c r="H366" s="1" t="inlineStr">
        <is>
          <t>Sí</t>
        </is>
      </c>
      <c r="I366" s="2" t="inlineStr">
        <is>
          <t xml:space="preserve"> 6/16/2026</t>
        </is>
      </c>
      <c r="J366" s="2" t="str"/>
      <c r="K366" s="2" t="str"/>
      <c r="L366" s="1" t="inlineStr">
        <is>
          <t>Realizada completa</t>
        </is>
      </c>
      <c r="M366" s="2" t="inlineStr">
        <is>
          <t>17-Jun</t>
        </is>
      </c>
      <c r="N366" s="2" t="inlineStr">
        <is>
          <t>17-Jun</t>
        </is>
      </c>
      <c r="O366" s="1" t="inlineStr">
        <is>
          <t>Realizada completa</t>
        </is>
      </c>
      <c r="P366" s="1" t="inlineStr">
        <is>
          <t>72</t>
        </is>
      </c>
      <c r="Q366" s="1" t="inlineStr">
        <is>
          <t>A distancia asistido</t>
        </is>
      </c>
      <c r="R366" s="1">
        <f>IF(H366="Sí",1,0)</f>
        <v/>
      </c>
      <c r="S366" s="1">
        <f>IF(L366="En coordinación",1,0)</f>
        <v/>
      </c>
      <c r="T366" s="1">
        <f>IF(L366="Aceptada",1,0)</f>
        <v/>
      </c>
      <c r="U366" s="1">
        <f>IF(OR(L366="Realizada completa",L366="Realizada incompleta"),1,0)</f>
        <v/>
      </c>
      <c r="V366" s="1">
        <f>IF(L366="Sin respuesta",1,0)</f>
        <v/>
      </c>
    </row>
    <row r="367">
      <c r="A367" s="1" t="inlineStr">
        <is>
          <t>366</t>
        </is>
      </c>
      <c r="B367" s="1" t="inlineStr">
        <is>
          <t>Elga Prado</t>
        </is>
      </c>
      <c r="C367" s="1" t="inlineStr">
        <is>
          <t>Manuela Ramos</t>
        </is>
      </c>
      <c r="D367" s="1" t="inlineStr">
        <is>
          <t>Entrevista de actores clave</t>
        </is>
      </c>
      <c r="E367" s="1" t="inlineStr">
        <is>
          <t>Actores locales</t>
        </is>
      </c>
      <c r="F367" s="1" t="inlineStr">
        <is>
          <t>Nacional</t>
        </is>
      </c>
      <c r="G367" s="1" t="str"/>
      <c r="H367" s="1" t="inlineStr">
        <is>
          <t>Sí</t>
        </is>
      </c>
      <c r="I367" s="2" t="str"/>
      <c r="J367" s="2" t="str"/>
      <c r="K367" s="2" t="str"/>
      <c r="L367" s="1" t="inlineStr">
        <is>
          <t>Realizada completa</t>
        </is>
      </c>
      <c r="M367" s="2" t="inlineStr">
        <is>
          <t>16-Jun</t>
        </is>
      </c>
      <c r="N367" s="2" t="inlineStr">
        <is>
          <t>16-Jun</t>
        </is>
      </c>
      <c r="O367" s="1" t="inlineStr">
        <is>
          <t>Realizada completa</t>
        </is>
      </c>
      <c r="P367" s="1" t="inlineStr">
        <is>
          <t>39</t>
        </is>
      </c>
      <c r="Q367" s="1" t="inlineStr">
        <is>
          <t>A distancia asistido</t>
        </is>
      </c>
      <c r="R367" s="1">
        <f>IF(H367="Sí",1,0)</f>
        <v/>
      </c>
      <c r="S367" s="1">
        <f>IF(L367="En coordinación",1,0)</f>
        <v/>
      </c>
      <c r="T367" s="1">
        <f>IF(L367="Aceptada",1,0)</f>
        <v/>
      </c>
      <c r="U367" s="1">
        <f>IF(OR(L367="Realizada completa",L367="Realizada incompleta"),1,0)</f>
        <v/>
      </c>
      <c r="V367" s="1">
        <f>IF(L367="Sin respuesta",1,0)</f>
        <v/>
      </c>
    </row>
    <row r="368">
      <c r="A368" s="1" t="inlineStr">
        <is>
          <t>367</t>
        </is>
      </c>
      <c r="B368" s="1" t="inlineStr">
        <is>
          <t>Katherine Flores</t>
        </is>
      </c>
      <c r="C368" s="1" t="inlineStr">
        <is>
          <t>Familias Unidas Por Justicia</t>
        </is>
      </c>
      <c r="D368" s="1" t="inlineStr">
        <is>
          <t>Entrevista de actores clave</t>
        </is>
      </c>
      <c r="E368" s="1" t="inlineStr">
        <is>
          <t>Actores locales</t>
        </is>
      </c>
      <c r="F368" s="1" t="inlineStr">
        <is>
          <t>Nacional</t>
        </is>
      </c>
      <c r="G368" s="1" t="str"/>
      <c r="H368" s="1" t="inlineStr">
        <is>
          <t>Sí</t>
        </is>
      </c>
      <c r="I368" s="2" t="str"/>
      <c r="J368" s="2" t="str"/>
      <c r="K368" s="2" t="str"/>
      <c r="L368" s="1" t="inlineStr">
        <is>
          <t>Realizada completa</t>
        </is>
      </c>
      <c r="M368" s="2" t="inlineStr">
        <is>
          <t>16-Jun</t>
        </is>
      </c>
      <c r="N368" s="2" t="inlineStr">
        <is>
          <t>16-Jun</t>
        </is>
      </c>
      <c r="O368" s="1" t="inlineStr">
        <is>
          <t>Realizada completa</t>
        </is>
      </c>
      <c r="P368" s="1" t="inlineStr">
        <is>
          <t>55</t>
        </is>
      </c>
      <c r="Q368" s="1" t="inlineStr">
        <is>
          <t>A distancia asistido</t>
        </is>
      </c>
      <c r="R368" s="1">
        <f>IF(H368="Sí",1,0)</f>
        <v/>
      </c>
      <c r="S368" s="1">
        <f>IF(L368="En coordinación",1,0)</f>
        <v/>
      </c>
      <c r="T368" s="1">
        <f>IF(L368="Aceptada",1,0)</f>
        <v/>
      </c>
      <c r="U368" s="1">
        <f>IF(OR(L368="Realizada completa",L368="Realizada incompleta"),1,0)</f>
        <v/>
      </c>
      <c r="V368" s="1">
        <f>IF(L368="Sin respuesta",1,0)</f>
        <v/>
      </c>
    </row>
    <row r="369">
      <c r="A369" s="1" t="inlineStr">
        <is>
          <t>368</t>
        </is>
      </c>
      <c r="B369" s="1" t="inlineStr">
        <is>
          <t>Giovanna Maria Cavero Mogollon</t>
        </is>
      </c>
      <c r="C369" s="1" t="inlineStr">
        <is>
          <t>Save The Children</t>
        </is>
      </c>
      <c r="D369" s="1" t="inlineStr">
        <is>
          <t>Entrevista de actores clave</t>
        </is>
      </c>
      <c r="E369" s="1" t="inlineStr">
        <is>
          <t>Expertos en la temática</t>
        </is>
      </c>
      <c r="F369" s="1" t="inlineStr">
        <is>
          <t>Nacional</t>
        </is>
      </c>
      <c r="G369" s="1" t="str"/>
      <c r="H369" s="1" t="inlineStr">
        <is>
          <t>Sí</t>
        </is>
      </c>
      <c r="I369" s="2" t="str"/>
      <c r="J369" s="2" t="str"/>
      <c r="K369" s="2" t="str"/>
      <c r="L369" s="1" t="inlineStr">
        <is>
          <t>Realizada completa</t>
        </is>
      </c>
      <c r="M369" s="2" t="inlineStr">
        <is>
          <t>22-Jun</t>
        </is>
      </c>
      <c r="N369" s="2" t="inlineStr">
        <is>
          <t>22-Jun</t>
        </is>
      </c>
      <c r="O369" s="1" t="inlineStr">
        <is>
          <t>Realizada completa</t>
        </is>
      </c>
      <c r="P369" s="1" t="inlineStr">
        <is>
          <t>39</t>
        </is>
      </c>
      <c r="Q369" s="1" t="inlineStr">
        <is>
          <t>A distancia asistido</t>
        </is>
      </c>
      <c r="R369" s="1">
        <f>IF(H369="Sí",1,0)</f>
        <v/>
      </c>
      <c r="S369" s="1">
        <f>IF(L369="En coordinación",1,0)</f>
        <v/>
      </c>
      <c r="T369" s="1">
        <f>IF(L369="Aceptada",1,0)</f>
        <v/>
      </c>
      <c r="U369" s="1">
        <f>IF(OR(L369="Realizada completa",L369="Realizada incompleta"),1,0)</f>
        <v/>
      </c>
      <c r="V369" s="1">
        <f>IF(L369="Sin respuesta",1,0)</f>
        <v/>
      </c>
    </row>
    <row r="370">
      <c r="A370" s="1" t="inlineStr">
        <is>
          <t>369</t>
        </is>
      </c>
      <c r="B370" s="1" t="inlineStr">
        <is>
          <t>Lina Amelia Maldonado Córdova</t>
        </is>
      </c>
      <c r="C370" s="1" t="inlineStr">
        <is>
          <t>Ministerio Público (Fiscalía)</t>
        </is>
      </c>
      <c r="D370" s="1" t="inlineStr">
        <is>
          <t>Entrevista de actores clave</t>
        </is>
      </c>
      <c r="E370" s="1" t="inlineStr">
        <is>
          <t>Funcionarios del Sistema</t>
        </is>
      </c>
      <c r="F370" s="1" t="inlineStr">
        <is>
          <t>Distrito Judicial: Loreto</t>
        </is>
      </c>
      <c r="G370" s="1" t="inlineStr">
        <is>
          <t>IJM</t>
        </is>
      </c>
      <c r="H370" s="1" t="inlineStr">
        <is>
          <t>Sí</t>
        </is>
      </c>
      <c r="I370" s="2" t="inlineStr">
        <is>
          <t xml:space="preserve"> 6/24/2026</t>
        </is>
      </c>
      <c r="J370" s="2" t="str"/>
      <c r="K370" s="2" t="str"/>
      <c r="L370" s="1" t="inlineStr">
        <is>
          <t>Realizada completa</t>
        </is>
      </c>
      <c r="M370" s="2" t="inlineStr">
        <is>
          <t>25-Jun</t>
        </is>
      </c>
      <c r="N370" s="2" t="inlineStr">
        <is>
          <t>25-Jun</t>
        </is>
      </c>
      <c r="O370" s="1" t="inlineStr">
        <is>
          <t>Realizada completa</t>
        </is>
      </c>
      <c r="P370" s="1" t="inlineStr">
        <is>
          <t>40</t>
        </is>
      </c>
      <c r="Q370" s="1" t="inlineStr">
        <is>
          <t>A distancia asistido</t>
        </is>
      </c>
      <c r="R370" s="1">
        <f>IF(H370="Sí",1,0)</f>
        <v/>
      </c>
      <c r="S370" s="1">
        <f>IF(L370="En coordinación",1,0)</f>
        <v/>
      </c>
      <c r="T370" s="1">
        <f>IF(L370="Aceptada",1,0)</f>
        <v/>
      </c>
      <c r="U370" s="1">
        <f>IF(OR(L370="Realizada completa",L370="Realizada incompleta"),1,0)</f>
        <v/>
      </c>
      <c r="V370" s="1">
        <f>IF(L370="Sin respuesta",1,0)</f>
        <v/>
      </c>
    </row>
    <row r="371">
      <c r="A371" s="1" t="inlineStr">
        <is>
          <t>370</t>
        </is>
      </c>
      <c r="B371" s="1" t="inlineStr">
        <is>
          <t>Ines Mariel Barrón Rodríguez</t>
        </is>
      </c>
      <c r="C371" s="1" t="inlineStr">
        <is>
          <t>Poder Judicial</t>
        </is>
      </c>
      <c r="D371" s="1" t="inlineStr">
        <is>
          <t>Entrevista de actores clave</t>
        </is>
      </c>
      <c r="E371" s="1" t="inlineStr">
        <is>
          <t>Funcionarios del Sistema</t>
        </is>
      </c>
      <c r="F371" s="1" t="inlineStr">
        <is>
          <t>Distrito Judicial: Lima Norte</t>
        </is>
      </c>
      <c r="G371" s="1" t="str"/>
      <c r="H371" s="1" t="inlineStr">
        <is>
          <t>Sí</t>
        </is>
      </c>
      <c r="I371" s="2" t="str"/>
      <c r="J371" s="2" t="str"/>
      <c r="K371" s="2" t="str"/>
      <c r="L371" s="1" t="inlineStr">
        <is>
          <t>Realizada completa</t>
        </is>
      </c>
      <c r="M371" s="2" t="inlineStr">
        <is>
          <t>24-Jun</t>
        </is>
      </c>
      <c r="N371" s="2" t="inlineStr">
        <is>
          <t>24-Jun</t>
        </is>
      </c>
      <c r="O371" s="1" t="inlineStr">
        <is>
          <t>Realizada completa</t>
        </is>
      </c>
      <c r="P371" s="1" t="inlineStr">
        <is>
          <t>44</t>
        </is>
      </c>
      <c r="Q371" s="1" t="inlineStr">
        <is>
          <t>A distancia asistido</t>
        </is>
      </c>
      <c r="R371" s="1">
        <f>IF(H371="Sí",1,0)</f>
        <v/>
      </c>
      <c r="S371" s="1">
        <f>IF(L371="En coordinación",1,0)</f>
        <v/>
      </c>
      <c r="T371" s="1">
        <f>IF(L371="Aceptada",1,0)</f>
        <v/>
      </c>
      <c r="U371" s="1">
        <f>IF(OR(L371="Realizada completa",L371="Realizada incompleta"),1,0)</f>
        <v/>
      </c>
      <c r="V371" s="1">
        <f>IF(L371="Sin respuesta",1,0)</f>
        <v/>
      </c>
    </row>
    <row r="372">
      <c r="A372" s="1" t="inlineStr">
        <is>
          <t>371</t>
        </is>
      </c>
      <c r="B372" s="1" t="inlineStr">
        <is>
          <t>Jonatan Basagoitia Cárdenas</t>
        </is>
      </c>
      <c r="C372" s="1" t="inlineStr">
        <is>
          <t>Poder Judicial</t>
        </is>
      </c>
      <c r="D372" s="1" t="inlineStr">
        <is>
          <t>Entrevista de actores clave</t>
        </is>
      </c>
      <c r="E372" s="1" t="inlineStr">
        <is>
          <t>Funcionarios del Sistema</t>
        </is>
      </c>
      <c r="F372" s="1" t="inlineStr">
        <is>
          <t>Distrito Judicial: Ucayali</t>
        </is>
      </c>
      <c r="G372" s="1" t="str"/>
      <c r="H372" s="1" t="inlineStr">
        <is>
          <t>Sí</t>
        </is>
      </c>
      <c r="I372" s="2" t="str"/>
      <c r="J372" s="2" t="str"/>
      <c r="K372" s="2" t="str"/>
      <c r="L372" s="1" t="inlineStr">
        <is>
          <t>Realizada completa</t>
        </is>
      </c>
      <c r="M372" s="2" t="inlineStr">
        <is>
          <t>26-Jun</t>
        </is>
      </c>
      <c r="N372" s="2" t="inlineStr">
        <is>
          <t>26-Jun</t>
        </is>
      </c>
      <c r="O372" s="1" t="inlineStr">
        <is>
          <t>Realizada completa</t>
        </is>
      </c>
      <c r="P372" s="1" t="inlineStr">
        <is>
          <t>39</t>
        </is>
      </c>
      <c r="Q372" s="1" t="inlineStr">
        <is>
          <t>A distancia asistido</t>
        </is>
      </c>
      <c r="R372" s="1">
        <f>IF(H372="Sí",1,0)</f>
        <v/>
      </c>
      <c r="S372" s="1">
        <f>IF(L372="En coordinación",1,0)</f>
        <v/>
      </c>
      <c r="T372" s="1">
        <f>IF(L372="Aceptada",1,0)</f>
        <v/>
      </c>
      <c r="U372" s="1">
        <f>IF(OR(L372="Realizada completa",L372="Realizada incompleta"),1,0)</f>
        <v/>
      </c>
      <c r="V372" s="1">
        <f>IF(L372="Sin respuesta",1,0)</f>
        <v/>
      </c>
    </row>
    <row r="373">
      <c r="A373" s="1" t="inlineStr">
        <is>
          <t>372</t>
        </is>
      </c>
      <c r="B373" s="1" t="inlineStr">
        <is>
          <t>Luz Janet Rugel Medina</t>
        </is>
      </c>
      <c r="C373" s="1" t="inlineStr">
        <is>
          <t>Poder Judicial</t>
        </is>
      </c>
      <c r="D373" s="1" t="inlineStr">
        <is>
          <t>Entrevista de actores clave</t>
        </is>
      </c>
      <c r="E373" s="1" t="inlineStr">
        <is>
          <t>Funcionarios del Sistema</t>
        </is>
      </c>
      <c r="F373" s="1" t="inlineStr">
        <is>
          <t>Distrito Judicial: Lima Norte</t>
        </is>
      </c>
      <c r="G373" s="1" t="str"/>
      <c r="H373" s="1" t="inlineStr">
        <is>
          <t>Sí</t>
        </is>
      </c>
      <c r="I373" s="2" t="str"/>
      <c r="J373" s="2" t="str"/>
      <c r="K373" s="2" t="str"/>
      <c r="L373" s="1" t="inlineStr">
        <is>
          <t>Realizada completa</t>
        </is>
      </c>
      <c r="M373" s="2" t="inlineStr">
        <is>
          <t>27-Jun</t>
        </is>
      </c>
      <c r="N373" s="2" t="inlineStr">
        <is>
          <t>27-Jun</t>
        </is>
      </c>
      <c r="O373" s="1" t="inlineStr">
        <is>
          <t>Realizada completa</t>
        </is>
      </c>
      <c r="P373" s="1" t="inlineStr">
        <is>
          <t>84</t>
        </is>
      </c>
      <c r="Q373" s="1" t="inlineStr">
        <is>
          <t>A distancia asistido</t>
        </is>
      </c>
      <c r="R373" s="1">
        <f>IF(H373="Sí",1,0)</f>
        <v/>
      </c>
      <c r="S373" s="1">
        <f>IF(L373="En coordinación",1,0)</f>
        <v/>
      </c>
      <c r="T373" s="1">
        <f>IF(L373="Aceptada",1,0)</f>
        <v/>
      </c>
      <c r="U373" s="1">
        <f>IF(OR(L373="Realizada completa",L373="Realizada incompleta"),1,0)</f>
        <v/>
      </c>
      <c r="V373" s="1">
        <f>IF(L373="Sin respuesta",1,0)</f>
        <v/>
      </c>
    </row>
    <row r="374">
      <c r="A374" s="1" t="inlineStr">
        <is>
          <t>373</t>
        </is>
      </c>
      <c r="B374" s="1" t="inlineStr">
        <is>
          <t>Shely Cabrera</t>
        </is>
      </c>
      <c r="C374" s="1" t="inlineStr">
        <is>
          <t>Manuela Ramos</t>
        </is>
      </c>
      <c r="D374" s="1" t="inlineStr">
        <is>
          <t>Entrevista de actores clave</t>
        </is>
      </c>
      <c r="E374" s="1" t="inlineStr">
        <is>
          <t>Actores locales</t>
        </is>
      </c>
      <c r="F374" s="1" t="inlineStr">
        <is>
          <t>Distrito Judicial: Ucayali</t>
        </is>
      </c>
      <c r="G374" s="1" t="str"/>
      <c r="H374" s="1" t="inlineStr">
        <is>
          <t>Sí</t>
        </is>
      </c>
      <c r="I374" s="2" t="str"/>
      <c r="J374" s="2" t="str"/>
      <c r="K374" s="2" t="str"/>
      <c r="L374" s="1" t="inlineStr">
        <is>
          <t>Realizada completa</t>
        </is>
      </c>
      <c r="M374" s="2" t="inlineStr">
        <is>
          <t xml:space="preserve"> 1-Jul</t>
        </is>
      </c>
      <c r="N374" s="2" t="inlineStr">
        <is>
          <t xml:space="preserve"> 1-Jul</t>
        </is>
      </c>
      <c r="O374" s="1" t="inlineStr">
        <is>
          <t>Realizada completa</t>
        </is>
      </c>
      <c r="P374" s="1" t="inlineStr">
        <is>
          <t>48</t>
        </is>
      </c>
      <c r="Q374" s="1" t="inlineStr">
        <is>
          <t>A distancia asistido</t>
        </is>
      </c>
      <c r="R374" s="1">
        <f>IF(H374="Sí",1,0)</f>
        <v/>
      </c>
      <c r="S374" s="1">
        <f>IF(L374="En coordinación",1,0)</f>
        <v/>
      </c>
      <c r="T374" s="1">
        <f>IF(L374="Aceptada",1,0)</f>
        <v/>
      </c>
      <c r="U374" s="1">
        <f>IF(OR(L374="Realizada completa",L374="Realizada incompleta"),1,0)</f>
        <v/>
      </c>
      <c r="V374" s="1">
        <f>IF(L374="Sin respuesta",1,0)</f>
        <v/>
      </c>
    </row>
    <row r="375">
      <c r="A375" s="1" t="inlineStr">
        <is>
          <t>374</t>
        </is>
      </c>
      <c r="B375" s="1" t="inlineStr">
        <is>
          <t>Gabriela Ramirez Reategui</t>
        </is>
      </c>
      <c r="C375" s="1" t="inlineStr">
        <is>
          <t>Poder Judicial</t>
        </is>
      </c>
      <c r="D375" s="1" t="inlineStr">
        <is>
          <t>Entrevista de actores clave</t>
        </is>
      </c>
      <c r="E375" s="1" t="inlineStr">
        <is>
          <t>Funcionarios del Sistema</t>
        </is>
      </c>
      <c r="F375" s="1" t="inlineStr">
        <is>
          <t>Distrito Judicial: Loreto</t>
        </is>
      </c>
      <c r="G375" s="1" t="str"/>
      <c r="H375" s="1" t="inlineStr">
        <is>
          <t>Sí</t>
        </is>
      </c>
      <c r="I375" s="2" t="str"/>
      <c r="J375" s="2" t="str"/>
      <c r="K375" s="2" t="str"/>
      <c r="L375" s="1" t="inlineStr">
        <is>
          <t>Realizada completa</t>
        </is>
      </c>
      <c r="M375" s="2" t="inlineStr">
        <is>
          <t xml:space="preserve"> 3-Jul</t>
        </is>
      </c>
      <c r="N375" s="2" t="inlineStr">
        <is>
          <t xml:space="preserve"> 3-Jul</t>
        </is>
      </c>
      <c r="O375" s="1" t="inlineStr">
        <is>
          <t>Realizada completa</t>
        </is>
      </c>
      <c r="P375" s="1" t="inlineStr">
        <is>
          <t>33</t>
        </is>
      </c>
      <c r="Q375" s="1" t="inlineStr">
        <is>
          <t>A distancia asistido</t>
        </is>
      </c>
      <c r="R375" s="1">
        <f>IF(H375="Sí",1,0)</f>
        <v/>
      </c>
      <c r="S375" s="1">
        <f>IF(L375="En coordinación",1,0)</f>
        <v/>
      </c>
      <c r="T375" s="1">
        <f>IF(L375="Aceptada",1,0)</f>
        <v/>
      </c>
      <c r="U375" s="1">
        <f>IF(OR(L375="Realizada completa",L375="Realizada incompleta"),1,0)</f>
        <v/>
      </c>
      <c r="V375" s="1">
        <f>IF(L375="Sin respuesta",1,0)</f>
        <v/>
      </c>
    </row>
    <row r="376">
      <c r="A376" s="1" t="inlineStr">
        <is>
          <t>375</t>
        </is>
      </c>
      <c r="B376" s="1" t="inlineStr">
        <is>
          <t>Paola Zevallos</t>
        </is>
      </c>
      <c r="C376" s="1" t="inlineStr">
        <is>
          <t>DEMUNA</t>
        </is>
      </c>
      <c r="D376" s="1" t="inlineStr">
        <is>
          <t>Entrevista de actores clave</t>
        </is>
      </c>
      <c r="E376" s="1" t="inlineStr">
        <is>
          <t>Funcionarios del Sistema</t>
        </is>
      </c>
      <c r="F376" s="1" t="inlineStr">
        <is>
          <t>Distrito Judicial: Ucayali</t>
        </is>
      </c>
      <c r="G376" s="1" t="str"/>
      <c r="H376" s="1" t="inlineStr">
        <is>
          <t>Sí</t>
        </is>
      </c>
      <c r="I376" s="2" t="str"/>
      <c r="J376" s="2" t="str"/>
      <c r="K376" s="2" t="str"/>
      <c r="L376" s="1" t="inlineStr">
        <is>
          <t>Realizada completa</t>
        </is>
      </c>
      <c r="M376" s="2" t="inlineStr">
        <is>
          <t xml:space="preserve"> 2-Jul</t>
        </is>
      </c>
      <c r="N376" s="2" t="inlineStr">
        <is>
          <t xml:space="preserve"> 2-Jul</t>
        </is>
      </c>
      <c r="O376" s="1" t="inlineStr">
        <is>
          <t>Realizada completa</t>
        </is>
      </c>
      <c r="P376" s="1" t="inlineStr">
        <is>
          <t>37</t>
        </is>
      </c>
      <c r="Q376" s="1" t="inlineStr">
        <is>
          <t>A distancia asistido</t>
        </is>
      </c>
      <c r="R376" s="1">
        <f>IF(H376="Sí",1,0)</f>
        <v/>
      </c>
      <c r="S376" s="1">
        <f>IF(L376="En coordinación",1,0)</f>
        <v/>
      </c>
      <c r="T376" s="1">
        <f>IF(L376="Aceptada",1,0)</f>
        <v/>
      </c>
      <c r="U376" s="1">
        <f>IF(OR(L376="Realizada completa",L376="Realizada incompleta"),1,0)</f>
        <v/>
      </c>
      <c r="V376" s="1">
        <f>IF(L376="Sin respuesta",1,0)</f>
        <v/>
      </c>
    </row>
    <row r="377">
      <c r="A377" s="1" t="inlineStr">
        <is>
          <t>376</t>
        </is>
      </c>
      <c r="B377" s="1" t="inlineStr">
        <is>
          <t>Teofilo Loarte Alvarado</t>
        </is>
      </c>
      <c r="C377" s="1" t="inlineStr">
        <is>
          <t>Instancia Regional de Concertación de Huánuco</t>
        </is>
      </c>
      <c r="D377" s="1" t="inlineStr">
        <is>
          <t>Entrevista de actores clave</t>
        </is>
      </c>
      <c r="E377" s="1" t="inlineStr">
        <is>
          <t>Acompañantes</t>
        </is>
      </c>
      <c r="F377" s="1" t="inlineStr">
        <is>
          <t>Distrito Judicial: Huánuco</t>
        </is>
      </c>
      <c r="G377" s="1" t="str"/>
      <c r="H377" s="1" t="str"/>
      <c r="I377" s="2" t="str"/>
      <c r="J377" s="2" t="str"/>
      <c r="K377" s="2" t="str"/>
      <c r="L377" s="1" t="str"/>
      <c r="M377" s="2" t="str"/>
      <c r="N377" s="2" t="str"/>
      <c r="O377" s="1" t="str"/>
      <c r="P377" s="1" t="str"/>
      <c r="Q377" s="1" t="str"/>
      <c r="R377" s="1">
        <f>IF(H377="Sí",1,0)</f>
        <v/>
      </c>
      <c r="S377" s="1">
        <f>IF(L377="En coordinación",1,0)</f>
        <v/>
      </c>
      <c r="T377" s="1">
        <f>IF(L377="Aceptada",1,0)</f>
        <v/>
      </c>
      <c r="U377" s="1">
        <f>IF(OR(L377="Realizada completa",L377="Realizada incompleta"),1,0)</f>
        <v/>
      </c>
      <c r="V377" s="1">
        <f>IF(L377="Sin respuesta",1,0)</f>
        <v/>
      </c>
    </row>
    <row r="378">
      <c r="A378" s="1" t="inlineStr">
        <is>
          <t>377</t>
        </is>
      </c>
      <c r="B378" s="1" t="inlineStr">
        <is>
          <t>Guillerma Mallqui Perez</t>
        </is>
      </c>
      <c r="C378" s="1" t="inlineStr">
        <is>
          <t>Instancia Regional de Concertación de Huánuco</t>
        </is>
      </c>
      <c r="D378" s="1" t="inlineStr">
        <is>
          <t>Entrevista de actores clave</t>
        </is>
      </c>
      <c r="E378" s="1" t="inlineStr">
        <is>
          <t>Acompañantes</t>
        </is>
      </c>
      <c r="F378" s="1" t="inlineStr">
        <is>
          <t>Distrito Judicial: Huánuco</t>
        </is>
      </c>
      <c r="G378" s="1" t="str"/>
      <c r="H378" s="1" t="str"/>
      <c r="I378" s="2" t="str"/>
      <c r="J378" s="2" t="str"/>
      <c r="K378" s="2" t="str"/>
      <c r="L378" s="1" t="str"/>
      <c r="M378" s="2" t="str"/>
      <c r="N378" s="2" t="str"/>
      <c r="O378" s="1" t="str"/>
      <c r="P378" s="1" t="str"/>
      <c r="Q378" s="1" t="str"/>
      <c r="R378" s="1">
        <f>IF(H378="Sí",1,0)</f>
        <v/>
      </c>
      <c r="S378" s="1">
        <f>IF(L378="En coordinación",1,0)</f>
        <v/>
      </c>
      <c r="T378" s="1">
        <f>IF(L378="Aceptada",1,0)</f>
        <v/>
      </c>
      <c r="U378" s="1">
        <f>IF(OR(L378="Realizada completa",L378="Realizada incompleta"),1,0)</f>
        <v/>
      </c>
      <c r="V378" s="1">
        <f>IF(L378="Sin respuesta",1,0)</f>
        <v/>
      </c>
    </row>
    <row r="379">
      <c r="A379" s="1" t="inlineStr">
        <is>
          <t>378</t>
        </is>
      </c>
      <c r="B379" s="1" t="inlineStr">
        <is>
          <t>Jorge Augusto Gutierrez Mendoza</t>
        </is>
      </c>
      <c r="C379" s="1" t="inlineStr">
        <is>
          <t>Instancia Regional de Concertación de Apurímac</t>
        </is>
      </c>
      <c r="D379" s="1" t="inlineStr">
        <is>
          <t>Entrevista de actores clave</t>
        </is>
      </c>
      <c r="E379" s="1" t="inlineStr">
        <is>
          <t>Acompañantes</t>
        </is>
      </c>
      <c r="F379" s="1" t="inlineStr">
        <is>
          <t>Distrito Judicial: Apurímac</t>
        </is>
      </c>
      <c r="G379" s="1" t="str"/>
      <c r="H379" s="1" t="str"/>
      <c r="I379" s="2" t="str"/>
      <c r="J379" s="2" t="str"/>
      <c r="K379" s="2" t="str"/>
      <c r="L379" s="1" t="str"/>
      <c r="M379" s="2" t="str"/>
      <c r="N379" s="2" t="str"/>
      <c r="O379" s="1" t="str"/>
      <c r="P379" s="1" t="str"/>
      <c r="Q379" s="1" t="str"/>
      <c r="R379" s="1">
        <f>IF(H379="Sí",1,0)</f>
        <v/>
      </c>
      <c r="S379" s="1">
        <f>IF(L379="En coordinación",1,0)</f>
        <v/>
      </c>
      <c r="T379" s="1">
        <f>IF(L379="Aceptada",1,0)</f>
        <v/>
      </c>
      <c r="U379" s="1">
        <f>IF(OR(L379="Realizada completa",L379="Realizada incompleta"),1,0)</f>
        <v/>
      </c>
      <c r="V379" s="1">
        <f>IF(L379="Sin respuesta",1,0)</f>
        <v/>
      </c>
    </row>
    <row r="380">
      <c r="A380" s="1" t="inlineStr">
        <is>
          <t>379</t>
        </is>
      </c>
      <c r="B380" s="1" t="inlineStr">
        <is>
          <t>Nancy Santos Arenas</t>
        </is>
      </c>
      <c r="C380" s="1" t="inlineStr">
        <is>
          <t>Instancia Regional de Concertación de Ayacucho</t>
        </is>
      </c>
      <c r="D380" s="1" t="inlineStr">
        <is>
          <t>Entrevista de actores clave</t>
        </is>
      </c>
      <c r="E380" s="1" t="inlineStr">
        <is>
          <t>Acompañantes</t>
        </is>
      </c>
      <c r="F380" s="1" t="inlineStr">
        <is>
          <t>Distrito Judicial: Ayacucho</t>
        </is>
      </c>
      <c r="G380" s="1" t="str"/>
      <c r="H380" s="1" t="str"/>
      <c r="I380" s="2" t="str"/>
      <c r="J380" s="2" t="str"/>
      <c r="K380" s="2" t="str"/>
      <c r="L380" s="1" t="str"/>
      <c r="M380" s="2" t="str"/>
      <c r="N380" s="2" t="str"/>
      <c r="O380" s="1" t="str"/>
      <c r="P380" s="1" t="str"/>
      <c r="Q380" s="1" t="str"/>
      <c r="R380" s="1">
        <f>IF(H380="Sí",1,0)</f>
        <v/>
      </c>
      <c r="S380" s="1">
        <f>IF(L380="En coordinación",1,0)</f>
        <v/>
      </c>
      <c r="T380" s="1">
        <f>IF(L380="Aceptada",1,0)</f>
        <v/>
      </c>
      <c r="U380" s="1">
        <f>IF(OR(L380="Realizada completa",L380="Realizada incompleta"),1,0)</f>
        <v/>
      </c>
      <c r="V380" s="1">
        <f>IF(L380="Sin respuesta",1,0)</f>
        <v/>
      </c>
    </row>
    <row r="381">
      <c r="A381" s="1" t="inlineStr">
        <is>
          <t>380</t>
        </is>
      </c>
      <c r="B381" s="1" t="inlineStr">
        <is>
          <t>Leonor Consuelo Tello Macavilca</t>
        </is>
      </c>
      <c r="C381" s="1" t="inlineStr">
        <is>
          <t>Instancia Regional de Concertación de Lima Región</t>
        </is>
      </c>
      <c r="D381" s="1" t="inlineStr">
        <is>
          <t>Entrevista de actores clave</t>
        </is>
      </c>
      <c r="E381" s="1" t="inlineStr">
        <is>
          <t>Acompañantes</t>
        </is>
      </c>
      <c r="F381" s="1" t="inlineStr">
        <is>
          <t>Nacional</t>
        </is>
      </c>
      <c r="G381" s="1" t="str"/>
      <c r="H381" s="1" t="str"/>
      <c r="I381" s="2" t="str"/>
      <c r="J381" s="2" t="str"/>
      <c r="K381" s="2" t="str"/>
      <c r="L381" s="1" t="str"/>
      <c r="M381" s="2" t="str"/>
      <c r="N381" s="2" t="str"/>
      <c r="O381" s="1" t="str"/>
      <c r="P381" s="1" t="str"/>
      <c r="Q381" s="1" t="str"/>
      <c r="R381" s="1">
        <f>IF(H381="Sí",1,0)</f>
        <v/>
      </c>
      <c r="S381" s="1">
        <f>IF(L381="En coordinación",1,0)</f>
        <v/>
      </c>
      <c r="T381" s="1">
        <f>IF(L381="Aceptada",1,0)</f>
        <v/>
      </c>
      <c r="U381" s="1">
        <f>IF(OR(L381="Realizada completa",L381="Realizada incompleta"),1,0)</f>
        <v/>
      </c>
      <c r="V381" s="1">
        <f>IF(L381="Sin respuesta",1,0)</f>
        <v/>
      </c>
    </row>
    <row r="382">
      <c r="A382" s="1" t="inlineStr">
        <is>
          <t>381</t>
        </is>
      </c>
      <c r="B382" s="1" t="inlineStr">
        <is>
          <t>Blanca Degregori</t>
        </is>
      </c>
      <c r="C382" s="1" t="inlineStr">
        <is>
          <t>Instancia Distrital de Concertación de Comas</t>
        </is>
      </c>
      <c r="D382" s="1" t="inlineStr">
        <is>
          <t>Entrevista de actores clave</t>
        </is>
      </c>
      <c r="E382" s="1" t="inlineStr">
        <is>
          <t>Acompañantes</t>
        </is>
      </c>
      <c r="F382" s="1" t="inlineStr">
        <is>
          <t>Distrito Judicial: Lima Norte</t>
        </is>
      </c>
      <c r="G382" s="1" t="str"/>
      <c r="H382" s="1" t="str"/>
      <c r="I382" s="2" t="inlineStr">
        <is>
          <t xml:space="preserve"> 7/13/2026</t>
        </is>
      </c>
      <c r="J382" s="2" t="str"/>
      <c r="K382" s="2" t="str"/>
      <c r="L382" s="1" t="str"/>
      <c r="M382" s="2" t="str"/>
      <c r="N382" s="2" t="str"/>
      <c r="O382" s="1" t="str"/>
      <c r="P382" s="1" t="str"/>
      <c r="Q382" s="1" t="str"/>
      <c r="R382" s="1">
        <f>IF(H382="Sí",1,0)</f>
        <v/>
      </c>
      <c r="S382" s="1">
        <f>IF(L382="En coordinación",1,0)</f>
        <v/>
      </c>
      <c r="T382" s="1">
        <f>IF(L382="Aceptada",1,0)</f>
        <v/>
      </c>
      <c r="U382" s="1">
        <f>IF(OR(L382="Realizada completa",L382="Realizada incompleta"),1,0)</f>
        <v/>
      </c>
      <c r="V382" s="1">
        <f>IF(L382="Sin respuesta",1,0)</f>
        <v/>
      </c>
    </row>
    <row r="383">
      <c r="A383" s="1" t="inlineStr">
        <is>
          <t>382</t>
        </is>
      </c>
      <c r="B383" s="1" t="inlineStr">
        <is>
          <t>Carol Ruiz</t>
        </is>
      </c>
      <c r="C383" s="1" t="inlineStr">
        <is>
          <t>Instancia Distrital de Concertación de Comas</t>
        </is>
      </c>
      <c r="D383" s="1" t="inlineStr">
        <is>
          <t>Entrevista de actores clave</t>
        </is>
      </c>
      <c r="E383" s="1" t="inlineStr">
        <is>
          <t>Acompañantes</t>
        </is>
      </c>
      <c r="F383" s="1" t="inlineStr">
        <is>
          <t>Distrito Judicial: Lima Norte</t>
        </is>
      </c>
      <c r="G383" s="1" t="str"/>
      <c r="H383" s="1" t="str"/>
      <c r="I383" s="2" t="str"/>
      <c r="J383" s="2" t="str"/>
      <c r="K383" s="2" t="str"/>
      <c r="L383" s="1" t="str"/>
      <c r="M383" s="2" t="str"/>
      <c r="N383" s="2" t="str"/>
      <c r="O383" s="1" t="str"/>
      <c r="P383" s="1" t="str"/>
      <c r="Q383" s="1" t="str"/>
      <c r="R383" s="1">
        <f>IF(H383="Sí",1,0)</f>
        <v/>
      </c>
      <c r="S383" s="1">
        <f>IF(L383="En coordinación",1,0)</f>
        <v/>
      </c>
      <c r="T383" s="1">
        <f>IF(L383="Aceptada",1,0)</f>
        <v/>
      </c>
      <c r="U383" s="1">
        <f>IF(OR(L383="Realizada completa",L383="Realizada incompleta"),1,0)</f>
        <v/>
      </c>
      <c r="V383" s="1">
        <f>IF(L383="Sin respuesta",1,0)</f>
        <v/>
      </c>
    </row>
    <row r="384">
      <c r="A384" s="1" t="inlineStr">
        <is>
          <t>383</t>
        </is>
      </c>
      <c r="B384" s="1" t="inlineStr">
        <is>
          <t>Flor de Jesús Cahuaya Alegre</t>
        </is>
      </c>
      <c r="C384" s="1" t="inlineStr">
        <is>
          <t>Región Policial</t>
        </is>
      </c>
      <c r="D384" s="1" t="inlineStr">
        <is>
          <t>Entrevista de actores clave</t>
        </is>
      </c>
      <c r="E384" s="1" t="inlineStr">
        <is>
          <t>Funcionarios del Sistema</t>
        </is>
      </c>
      <c r="F384" s="1" t="inlineStr">
        <is>
          <t>Distrito Judicial: Huánuco</t>
        </is>
      </c>
      <c r="G384" s="1" t="str"/>
      <c r="H384" s="1" t="str"/>
      <c r="I384" s="2" t="inlineStr">
        <is>
          <t xml:space="preserve">  8/3/2026</t>
        </is>
      </c>
      <c r="J384" s="2" t="str"/>
      <c r="K384" s="2" t="str"/>
      <c r="L384" s="1" t="inlineStr">
        <is>
          <t>Realizada completa</t>
        </is>
      </c>
      <c r="M384" s="2" t="inlineStr">
        <is>
          <t xml:space="preserve"> 3-Aug</t>
        </is>
      </c>
      <c r="N384" s="2" t="inlineStr">
        <is>
          <t xml:space="preserve"> 3-Aug</t>
        </is>
      </c>
      <c r="O384" s="1" t="inlineStr">
        <is>
          <t>Realizada completa</t>
        </is>
      </c>
      <c r="P384" s="1" t="str"/>
      <c r="Q384" s="1" t="inlineStr">
        <is>
          <t>A distancia asistido</t>
        </is>
      </c>
      <c r="R384" s="1">
        <f>IF(H384="Sí",1,0)</f>
        <v/>
      </c>
      <c r="S384" s="1">
        <f>IF(L384="En coordinación",1,0)</f>
        <v/>
      </c>
      <c r="T384" s="1">
        <f>IF(L384="Aceptada",1,0)</f>
        <v/>
      </c>
      <c r="U384" s="1">
        <f>IF(OR(L384="Realizada completa",L384="Realizada incompleta"),1,0)</f>
        <v/>
      </c>
      <c r="V384" s="1">
        <f>IF(L384="Sin respuesta",1,0)</f>
        <v/>
      </c>
    </row>
    <row r="385">
      <c r="A385" s="1" t="inlineStr">
        <is>
          <t>384</t>
        </is>
      </c>
      <c r="B385" s="1" t="inlineStr">
        <is>
          <t>Jorge Rubio Perez</t>
        </is>
      </c>
      <c r="C385" s="1" t="inlineStr">
        <is>
          <t>Instancia Provincial de Concertación de Leoncio Prado</t>
        </is>
      </c>
      <c r="D385" s="1" t="inlineStr">
        <is>
          <t>Entrevista de actores clave</t>
        </is>
      </c>
      <c r="E385" s="1" t="inlineStr">
        <is>
          <t>Acompañantes</t>
        </is>
      </c>
      <c r="F385" s="1" t="inlineStr">
        <is>
          <t>Distrito Judicial: Huánuco</t>
        </is>
      </c>
      <c r="G385" s="1" t="str"/>
      <c r="H385" s="1" t="inlineStr">
        <is>
          <t>Sí</t>
        </is>
      </c>
      <c r="I385" s="2" t="inlineStr">
        <is>
          <t xml:space="preserve"> 7/13/2026</t>
        </is>
      </c>
      <c r="J385" s="2" t="str"/>
      <c r="K385" s="2" t="str"/>
      <c r="L385" s="1" t="inlineStr">
        <is>
          <t>Realizada completa</t>
        </is>
      </c>
      <c r="M385" s="2" t="inlineStr">
        <is>
          <t>14-Jul</t>
        </is>
      </c>
      <c r="N385" s="2" t="inlineStr">
        <is>
          <t>14-Jul</t>
        </is>
      </c>
      <c r="O385" s="1" t="inlineStr">
        <is>
          <t>Realizada completa</t>
        </is>
      </c>
      <c r="P385" s="1" t="inlineStr">
        <is>
          <t>32</t>
        </is>
      </c>
      <c r="Q385" s="1" t="inlineStr">
        <is>
          <t>A distancia asistido</t>
        </is>
      </c>
      <c r="R385" s="1">
        <f>IF(H385="Sí",1,0)</f>
        <v/>
      </c>
      <c r="S385" s="1">
        <f>IF(L385="En coordinación",1,0)</f>
        <v/>
      </c>
      <c r="T385" s="1">
        <f>IF(L385="Aceptada",1,0)</f>
        <v/>
      </c>
      <c r="U385" s="1">
        <f>IF(OR(L385="Realizada completa",L385="Realizada incompleta"),1,0)</f>
        <v/>
      </c>
      <c r="V385" s="1">
        <f>IF(L385="Sin respuesta",1,0)</f>
        <v/>
      </c>
    </row>
    <row r="386">
      <c r="A386" s="1" t="inlineStr">
        <is>
          <t>385</t>
        </is>
      </c>
      <c r="B386" s="1" t="inlineStr">
        <is>
          <t>Juana Tello Rios</t>
        </is>
      </c>
      <c r="C386" s="1" t="inlineStr">
        <is>
          <t>Instancia Regional de Concertación de Ucayali</t>
        </is>
      </c>
      <c r="D386" s="1" t="inlineStr">
        <is>
          <t>Entrevista de actores clave</t>
        </is>
      </c>
      <c r="E386" s="1" t="inlineStr">
        <is>
          <t>Acompañantes</t>
        </is>
      </c>
      <c r="F386" s="1" t="inlineStr">
        <is>
          <t>Distrito Judicial: Ucayali</t>
        </is>
      </c>
      <c r="G386" s="1" t="str"/>
      <c r="H386" s="1" t="str"/>
      <c r="I386" s="2" t="str"/>
      <c r="J386" s="2" t="str"/>
      <c r="K386" s="2" t="str"/>
      <c r="L386" s="1" t="str"/>
      <c r="M386" s="2" t="str"/>
      <c r="N386" s="2" t="str"/>
      <c r="O386" s="1" t="str"/>
      <c r="P386" s="1" t="str"/>
      <c r="Q386" s="1" t="str"/>
      <c r="R386" s="1">
        <f>IF(H386="Sí",1,0)</f>
        <v/>
      </c>
      <c r="S386" s="1">
        <f>IF(L386="En coordinación",1,0)</f>
        <v/>
      </c>
      <c r="T386" s="1">
        <f>IF(L386="Aceptada",1,0)</f>
        <v/>
      </c>
      <c r="U386" s="1">
        <f>IF(OR(L386="Realizada completa",L386="Realizada incompleta"),1,0)</f>
        <v/>
      </c>
      <c r="V386" s="1">
        <f>IF(L386="Sin respuesta",1,0)</f>
        <v/>
      </c>
    </row>
    <row r="387">
      <c r="A387" s="1" t="inlineStr">
        <is>
          <t>386</t>
        </is>
      </c>
      <c r="B387" s="1" t="inlineStr">
        <is>
          <t>Nora Delgado Diaz</t>
        </is>
      </c>
      <c r="C387" s="1" t="inlineStr">
        <is>
          <t>Instancia Regional de Concertación de Ucayali</t>
        </is>
      </c>
      <c r="D387" s="1" t="inlineStr">
        <is>
          <t>Entrevista de actores clave</t>
        </is>
      </c>
      <c r="E387" s="1" t="inlineStr">
        <is>
          <t>Acompañantes</t>
        </is>
      </c>
      <c r="F387" s="1" t="inlineStr">
        <is>
          <t>Distrito Judicial: Ucayali</t>
        </is>
      </c>
      <c r="G387" s="1" t="str"/>
      <c r="H387" s="1" t="str"/>
      <c r="I387" s="2" t="str"/>
      <c r="J387" s="2" t="str"/>
      <c r="K387" s="2" t="str"/>
      <c r="L387" s="1" t="str"/>
      <c r="M387" s="2" t="str"/>
      <c r="N387" s="2" t="str"/>
      <c r="O387" s="1" t="str"/>
      <c r="P387" s="1" t="str"/>
      <c r="Q387" s="1" t="str"/>
      <c r="R387" s="1">
        <f>IF(H387="Sí",1,0)</f>
        <v/>
      </c>
      <c r="S387" s="1">
        <f>IF(L387="En coordinación",1,0)</f>
        <v/>
      </c>
      <c r="T387" s="1">
        <f>IF(L387="Aceptada",1,0)</f>
        <v/>
      </c>
      <c r="U387" s="1">
        <f>IF(OR(L387="Realizada completa",L387="Realizada incompleta"),1,0)</f>
        <v/>
      </c>
      <c r="V387" s="1">
        <f>IF(L387="Sin respuesta",1,0)</f>
        <v/>
      </c>
    </row>
    <row r="388">
      <c r="A388" s="1" t="inlineStr">
        <is>
          <t>387</t>
        </is>
      </c>
      <c r="B388" s="1" t="inlineStr">
        <is>
          <t>Martha s. Zegarra Tarqui</t>
        </is>
      </c>
      <c r="C388" s="1" t="inlineStr">
        <is>
          <t>Instancia Regional de Concertación de Cajamarca</t>
        </is>
      </c>
      <c r="D388" s="1" t="inlineStr">
        <is>
          <t>Entrevista de actores clave</t>
        </is>
      </c>
      <c r="E388" s="1" t="inlineStr">
        <is>
          <t>Acompañantes</t>
        </is>
      </c>
      <c r="F388" s="1" t="inlineStr">
        <is>
          <t>Distrito Judicial: Cajamarca</t>
        </is>
      </c>
      <c r="G388" s="1" t="str"/>
      <c r="H388" s="1" t="str"/>
      <c r="I388" s="2" t="inlineStr">
        <is>
          <t xml:space="preserve"> 7/13/2026</t>
        </is>
      </c>
      <c r="J388" s="2" t="str"/>
      <c r="K388" s="2" t="str"/>
      <c r="L388" s="1" t="str"/>
      <c r="M388" s="2" t="str"/>
      <c r="N388" s="2" t="str"/>
      <c r="O388" s="1" t="str"/>
      <c r="P388" s="1" t="str"/>
      <c r="Q388" s="1" t="str"/>
      <c r="R388" s="1">
        <f>IF(H388="Sí",1,0)</f>
        <v/>
      </c>
      <c r="S388" s="1">
        <f>IF(L388="En coordinación",1,0)</f>
        <v/>
      </c>
      <c r="T388" s="1">
        <f>IF(L388="Aceptada",1,0)</f>
        <v/>
      </c>
      <c r="U388" s="1">
        <f>IF(OR(L388="Realizada completa",L388="Realizada incompleta"),1,0)</f>
        <v/>
      </c>
      <c r="V388" s="1">
        <f>IF(L388="Sin respuesta",1,0)</f>
        <v/>
      </c>
    </row>
    <row r="389">
      <c r="A389" s="1" t="inlineStr">
        <is>
          <t>388</t>
        </is>
      </c>
      <c r="B389" s="1" t="inlineStr">
        <is>
          <t xml:space="preserve">Raquel Ocampo Alvarado </t>
        </is>
      </c>
      <c r="C389" s="1" t="inlineStr">
        <is>
          <t>Poder Judicial</t>
        </is>
      </c>
      <c r="D389" s="1" t="inlineStr">
        <is>
          <t>Entrevista de actores clave</t>
        </is>
      </c>
      <c r="E389" s="1" t="inlineStr">
        <is>
          <t>Acompañantes</t>
        </is>
      </c>
      <c r="F389" s="1" t="inlineStr">
        <is>
          <t>Distrito Judicial: Cajamarca</t>
        </is>
      </c>
      <c r="G389" s="1" t="str"/>
      <c r="H389" s="1" t="str"/>
      <c r="I389" s="2" t="str"/>
      <c r="J389" s="2" t="str"/>
      <c r="K389" s="2" t="str"/>
      <c r="L389" s="1" t="str"/>
      <c r="M389" s="2" t="str"/>
      <c r="N389" s="2" t="str"/>
      <c r="O389" s="1" t="str"/>
      <c r="P389" s="1" t="str"/>
      <c r="Q389" s="1" t="str"/>
      <c r="R389" s="1">
        <f>IF(H389="Sí",1,0)</f>
        <v/>
      </c>
      <c r="S389" s="1">
        <f>IF(L389="En coordinación",1,0)</f>
        <v/>
      </c>
      <c r="T389" s="1">
        <f>IF(L389="Aceptada",1,0)</f>
        <v/>
      </c>
      <c r="U389" s="1">
        <f>IF(OR(L389="Realizada completa",L389="Realizada incompleta"),1,0)</f>
        <v/>
      </c>
      <c r="V389" s="1">
        <f>IF(L389="Sin respuesta",1,0)</f>
        <v/>
      </c>
    </row>
    <row r="390">
      <c r="A390" s="1" t="inlineStr">
        <is>
          <t>389</t>
        </is>
      </c>
      <c r="B390" s="1" t="inlineStr">
        <is>
          <t>Kelvin Jose Corimanya Ortega</t>
        </is>
      </c>
      <c r="C390" s="1" t="inlineStr">
        <is>
          <t>Instancia Regional de Concertación de Loreto</t>
        </is>
      </c>
      <c r="D390" s="1" t="inlineStr">
        <is>
          <t>Entrevista de actores clave</t>
        </is>
      </c>
      <c r="E390" s="1" t="inlineStr">
        <is>
          <t>Acompañantes</t>
        </is>
      </c>
      <c r="F390" s="1" t="inlineStr">
        <is>
          <t>Distrito Judicial: Loreto</t>
        </is>
      </c>
      <c r="G390" s="1" t="str"/>
      <c r="H390" s="1" t="str"/>
      <c r="I390" s="2" t="str"/>
      <c r="J390" s="2" t="str"/>
      <c r="K390" s="2" t="str"/>
      <c r="L390" s="1" t="str"/>
      <c r="M390" s="2" t="str"/>
      <c r="N390" s="2" t="str"/>
      <c r="O390" s="1" t="str"/>
      <c r="P390" s="1" t="str"/>
      <c r="Q390" s="1" t="str"/>
      <c r="R390" s="1">
        <f>IF(H390="Sí",1,0)</f>
        <v/>
      </c>
      <c r="S390" s="1">
        <f>IF(L390="En coordinación",1,0)</f>
        <v/>
      </c>
      <c r="T390" s="1">
        <f>IF(L390="Aceptada",1,0)</f>
        <v/>
      </c>
      <c r="U390" s="1">
        <f>IF(OR(L390="Realizada completa",L390="Realizada incompleta"),1,0)</f>
        <v/>
      </c>
      <c r="V390" s="1">
        <f>IF(L390="Sin respuesta",1,0)</f>
        <v/>
      </c>
    </row>
    <row r="391">
      <c r="A391" s="1" t="inlineStr">
        <is>
          <t>390</t>
        </is>
      </c>
      <c r="B391" s="1" t="inlineStr">
        <is>
          <t>Ingrid Nima Bereche</t>
        </is>
      </c>
      <c r="C391" s="1" t="inlineStr">
        <is>
          <t>Instancia Distrital de Concertación de Ventanilla</t>
        </is>
      </c>
      <c r="D391" s="1" t="inlineStr">
        <is>
          <t>Entrevista de actores clave</t>
        </is>
      </c>
      <c r="E391" s="1" t="inlineStr">
        <is>
          <t>Acompañantes</t>
        </is>
      </c>
      <c r="F391" s="1" t="inlineStr">
        <is>
          <t>Distrito Judicial: Puente Piedra-Ventanilla</t>
        </is>
      </c>
      <c r="G391" s="1" t="str"/>
      <c r="H391" s="1" t="str"/>
      <c r="I391" s="2" t="str"/>
      <c r="J391" s="2" t="str"/>
      <c r="K391" s="2" t="str"/>
      <c r="L391" s="1" t="str"/>
      <c r="M391" s="2" t="str"/>
      <c r="N391" s="2" t="str"/>
      <c r="O391" s="1" t="str"/>
      <c r="P391" s="1" t="str"/>
      <c r="Q391" s="1" t="str"/>
      <c r="R391" s="1">
        <f>IF(H391="Sí",1,0)</f>
        <v/>
      </c>
      <c r="S391" s="1">
        <f>IF(L391="En coordinación",1,0)</f>
        <v/>
      </c>
      <c r="T391" s="1">
        <f>IF(L391="Aceptada",1,0)</f>
        <v/>
      </c>
      <c r="U391" s="1">
        <f>IF(OR(L391="Realizada completa",L391="Realizada incompleta"),1,0)</f>
        <v/>
      </c>
      <c r="V391" s="1">
        <f>IF(L391="Sin respuesta",1,0)</f>
        <v/>
      </c>
    </row>
    <row r="392">
      <c r="A392" s="1" t="inlineStr">
        <is>
          <t>391</t>
        </is>
      </c>
      <c r="B392" s="1" t="inlineStr">
        <is>
          <t>Paul Pilco</t>
        </is>
      </c>
      <c r="C392" s="1" t="inlineStr">
        <is>
          <t>Radio Titanka</t>
        </is>
      </c>
      <c r="D392" s="1" t="inlineStr">
        <is>
          <t>Entrevista de actores clave</t>
        </is>
      </c>
      <c r="E392" s="1" t="inlineStr">
        <is>
          <t>Prensa</t>
        </is>
      </c>
      <c r="F392" s="1" t="inlineStr">
        <is>
          <t>Distrito Judicial: Apurímac</t>
        </is>
      </c>
      <c r="G392" s="1" t="inlineStr">
        <is>
          <t>APOYO</t>
        </is>
      </c>
      <c r="H392" s="1" t="inlineStr">
        <is>
          <t>Sí</t>
        </is>
      </c>
      <c r="I392" s="2" t="inlineStr">
        <is>
          <t xml:space="preserve">  7/8/2026</t>
        </is>
      </c>
      <c r="J392" s="2" t="str"/>
      <c r="K392" s="2" t="str"/>
      <c r="L392" s="1" t="inlineStr">
        <is>
          <t>Realizada completa</t>
        </is>
      </c>
      <c r="M392" s="2" t="inlineStr">
        <is>
          <t>17-Jul</t>
        </is>
      </c>
      <c r="N392" s="2" t="inlineStr">
        <is>
          <t>17-Jul</t>
        </is>
      </c>
      <c r="O392" s="1" t="inlineStr">
        <is>
          <t>Realizada completa</t>
        </is>
      </c>
      <c r="P392" s="1" t="inlineStr">
        <is>
          <t>32</t>
        </is>
      </c>
      <c r="Q392" s="1" t="inlineStr">
        <is>
          <t>A distancia asistido</t>
        </is>
      </c>
      <c r="R392" s="1">
        <f>IF(H392="Sí",1,0)</f>
        <v/>
      </c>
      <c r="S392" s="1">
        <f>IF(L392="En coordinación",1,0)</f>
        <v/>
      </c>
      <c r="T392" s="1">
        <f>IF(L392="Aceptada",1,0)</f>
        <v/>
      </c>
      <c r="U392" s="1">
        <f>IF(OR(L392="Realizada completa",L392="Realizada incompleta"),1,0)</f>
        <v/>
      </c>
      <c r="V392" s="1">
        <f>IF(L392="Sin respuesta",1,0)</f>
        <v/>
      </c>
    </row>
    <row r="393">
      <c r="A393" s="1" t="inlineStr">
        <is>
          <t>392</t>
        </is>
      </c>
      <c r="B393" s="1" t="inlineStr">
        <is>
          <t>Geraldine Santos</t>
        </is>
      </c>
      <c r="C393" s="1" t="inlineStr">
        <is>
          <t>Mongabai Latam</t>
        </is>
      </c>
      <c r="D393" s="1" t="inlineStr">
        <is>
          <t>Entrevista de actores clave</t>
        </is>
      </c>
      <c r="E393" s="1" t="inlineStr">
        <is>
          <t>Prensa</t>
        </is>
      </c>
      <c r="F393" s="1" t="inlineStr">
        <is>
          <t>Distrito Judicial: Huánuco</t>
        </is>
      </c>
      <c r="G393" s="1" t="inlineStr">
        <is>
          <t>APOYO</t>
        </is>
      </c>
      <c r="H393" s="1" t="inlineStr">
        <is>
          <t>Sí</t>
        </is>
      </c>
      <c r="I393" s="2" t="inlineStr">
        <is>
          <t xml:space="preserve">  7/8/2026</t>
        </is>
      </c>
      <c r="J393" s="2" t="str"/>
      <c r="K393" s="2" t="str"/>
      <c r="L393" s="1" t="inlineStr">
        <is>
          <t>Realizada completa</t>
        </is>
      </c>
      <c r="M393" s="2" t="inlineStr">
        <is>
          <t>10-Jul</t>
        </is>
      </c>
      <c r="N393" s="2" t="inlineStr">
        <is>
          <t>10-Jul</t>
        </is>
      </c>
      <c r="O393" s="1" t="inlineStr">
        <is>
          <t>Realizada completa</t>
        </is>
      </c>
      <c r="P393" s="1" t="inlineStr">
        <is>
          <t>29</t>
        </is>
      </c>
      <c r="Q393" s="1" t="inlineStr">
        <is>
          <t>A distancia asistido</t>
        </is>
      </c>
      <c r="R393" s="1">
        <f>IF(H393="Sí",1,0)</f>
        <v/>
      </c>
      <c r="S393" s="1">
        <f>IF(L393="En coordinación",1,0)</f>
        <v/>
      </c>
      <c r="T393" s="1">
        <f>IF(L393="Aceptada",1,0)</f>
        <v/>
      </c>
      <c r="U393" s="1">
        <f>IF(OR(L393="Realizada completa",L393="Realizada incompleta"),1,0)</f>
        <v/>
      </c>
      <c r="V393" s="1">
        <f>IF(L393="Sin respuesta",1,0)</f>
        <v/>
      </c>
    </row>
    <row r="394">
      <c r="A394" s="1" t="inlineStr">
        <is>
          <t>393</t>
        </is>
      </c>
      <c r="B394" s="1" t="inlineStr">
        <is>
          <t>Alindor Vasquez</t>
        </is>
      </c>
      <c r="C394" s="1" t="inlineStr">
        <is>
          <t>Independiente</t>
        </is>
      </c>
      <c r="D394" s="1" t="inlineStr">
        <is>
          <t>Entrevista de actores clave</t>
        </is>
      </c>
      <c r="E394" s="1" t="inlineStr">
        <is>
          <t>Prensa</t>
        </is>
      </c>
      <c r="F394" s="1" t="inlineStr">
        <is>
          <t>Distrito Judicial: Cajamarca</t>
        </is>
      </c>
      <c r="G394" s="1" t="inlineStr">
        <is>
          <t>APOYO</t>
        </is>
      </c>
      <c r="H394" s="1" t="inlineStr">
        <is>
          <t>Sí</t>
        </is>
      </c>
      <c r="I394" s="2" t="inlineStr">
        <is>
          <t xml:space="preserve">  7/8/2026</t>
        </is>
      </c>
      <c r="J394" s="2" t="str"/>
      <c r="K394" s="2" t="str"/>
      <c r="L394" s="1" t="inlineStr">
        <is>
          <t>Realizada completa</t>
        </is>
      </c>
      <c r="M394" s="2" t="inlineStr">
        <is>
          <t>16-Jul</t>
        </is>
      </c>
      <c r="N394" s="2" t="inlineStr">
        <is>
          <t>16-Jul</t>
        </is>
      </c>
      <c r="O394" s="1" t="inlineStr">
        <is>
          <t>Realizada completa</t>
        </is>
      </c>
      <c r="P394" s="1" t="inlineStr">
        <is>
          <t>36</t>
        </is>
      </c>
      <c r="Q394" s="1" t="inlineStr">
        <is>
          <t>A distancia asistido</t>
        </is>
      </c>
      <c r="R394" s="1">
        <f>IF(H394="Sí",1,0)</f>
        <v/>
      </c>
      <c r="S394" s="1">
        <f>IF(L394="En coordinación",1,0)</f>
        <v/>
      </c>
      <c r="T394" s="1">
        <f>IF(L394="Aceptada",1,0)</f>
        <v/>
      </c>
      <c r="U394" s="1">
        <f>IF(OR(L394="Realizada completa",L394="Realizada incompleta"),1,0)</f>
        <v/>
      </c>
      <c r="V394" s="1">
        <f>IF(L394="Sin respuesta",1,0)</f>
        <v/>
      </c>
    </row>
    <row r="395">
      <c r="A395" s="1" t="inlineStr">
        <is>
          <t>394</t>
        </is>
      </c>
      <c r="B395" s="1" t="inlineStr">
        <is>
          <t>Adrián Sarria Muñoz</t>
        </is>
      </c>
      <c r="C395" s="1" t="inlineStr">
        <is>
          <t>La República</t>
        </is>
      </c>
      <c r="D395" s="1" t="inlineStr">
        <is>
          <t>Entrevista de actores clave</t>
        </is>
      </c>
      <c r="E395" s="1" t="inlineStr">
        <is>
          <t>Prensa</t>
        </is>
      </c>
      <c r="F395" s="1" t="inlineStr">
        <is>
          <t>Distrito Judicial: Ayacucho</t>
        </is>
      </c>
      <c r="G395" s="1" t="inlineStr">
        <is>
          <t>APOYO</t>
        </is>
      </c>
      <c r="H395" s="1" t="inlineStr">
        <is>
          <t>Sí</t>
        </is>
      </c>
      <c r="I395" s="2" t="inlineStr">
        <is>
          <t xml:space="preserve">  7/8/2026</t>
        </is>
      </c>
      <c r="J395" s="2" t="str"/>
      <c r="K395" s="2" t="str"/>
      <c r="L395" s="1" t="inlineStr">
        <is>
          <t>Realizada completa</t>
        </is>
      </c>
      <c r="M395" s="2" t="inlineStr">
        <is>
          <t>14-Jul</t>
        </is>
      </c>
      <c r="N395" s="2" t="inlineStr">
        <is>
          <t>14-Jul</t>
        </is>
      </c>
      <c r="O395" s="1" t="inlineStr">
        <is>
          <t>Realizada completa</t>
        </is>
      </c>
      <c r="P395" s="1" t="inlineStr">
        <is>
          <t>37</t>
        </is>
      </c>
      <c r="Q395" s="1" t="inlineStr">
        <is>
          <t>A distancia asistido</t>
        </is>
      </c>
      <c r="R395" s="1">
        <f>IF(H395="Sí",1,0)</f>
        <v/>
      </c>
      <c r="S395" s="1">
        <f>IF(L395="En coordinación",1,0)</f>
        <v/>
      </c>
      <c r="T395" s="1">
        <f>IF(L395="Aceptada",1,0)</f>
        <v/>
      </c>
      <c r="U395" s="1">
        <f>IF(OR(L395="Realizada completa",L395="Realizada incompleta"),1,0)</f>
        <v/>
      </c>
      <c r="V395" s="1">
        <f>IF(L395="Sin respuesta",1,0)</f>
        <v/>
      </c>
    </row>
    <row r="396">
      <c r="A396" s="1" t="inlineStr">
        <is>
          <t>395</t>
        </is>
      </c>
      <c r="B396" s="1" t="inlineStr">
        <is>
          <t>Rosario Romani</t>
        </is>
      </c>
      <c r="C396" s="1" t="inlineStr">
        <is>
          <t>Infopaís</t>
        </is>
      </c>
      <c r="D396" s="1" t="inlineStr">
        <is>
          <t>Entrevista de actores clave</t>
        </is>
      </c>
      <c r="E396" s="1" t="inlineStr">
        <is>
          <t>Prensa</t>
        </is>
      </c>
      <c r="F396" s="1" t="inlineStr">
        <is>
          <t>Distrito Judicial: Ayacucho</t>
        </is>
      </c>
      <c r="G396" s="1" t="inlineStr">
        <is>
          <t>APOYO</t>
        </is>
      </c>
      <c r="H396" s="1" t="inlineStr">
        <is>
          <t>Sí</t>
        </is>
      </c>
      <c r="I396" s="2" t="inlineStr">
        <is>
          <t xml:space="preserve">  7/8/2026</t>
        </is>
      </c>
      <c r="J396" s="2" t="str"/>
      <c r="K396" s="2" t="str"/>
      <c r="L396" s="1" t="inlineStr">
        <is>
          <t>Sin respuesta</t>
        </is>
      </c>
      <c r="M396" s="2" t="str"/>
      <c r="N396" s="2" t="str"/>
      <c r="O396" s="1" t="inlineStr">
        <is>
          <t>Sin respuesta</t>
        </is>
      </c>
      <c r="P396" s="1" t="str"/>
      <c r="Q396" s="1" t="str"/>
      <c r="R396" s="1">
        <f>IF(H396="Sí",1,0)</f>
        <v/>
      </c>
      <c r="S396" s="1">
        <f>IF(L396="En coordinación",1,0)</f>
        <v/>
      </c>
      <c r="T396" s="1">
        <f>IF(L396="Aceptada",1,0)</f>
        <v/>
      </c>
      <c r="U396" s="1">
        <f>IF(OR(L396="Realizada completa",L396="Realizada incompleta"),1,0)</f>
        <v/>
      </c>
      <c r="V396" s="1">
        <f>IF(L396="Sin respuesta",1,0)</f>
        <v/>
      </c>
    </row>
    <row r="397">
      <c r="A397" s="1" t="inlineStr">
        <is>
          <t>396</t>
        </is>
      </c>
      <c r="B397" s="1" t="inlineStr">
        <is>
          <t>Jorge Martin Carrillo Rojas</t>
        </is>
      </c>
      <c r="C397" s="1" t="inlineStr">
        <is>
          <t>Pro y Contra</t>
        </is>
      </c>
      <c r="D397" s="1" t="inlineStr">
        <is>
          <t>Entrevista de actores clave</t>
        </is>
      </c>
      <c r="E397" s="1" t="inlineStr">
        <is>
          <t>Prensa</t>
        </is>
      </c>
      <c r="F397" s="1" t="inlineStr">
        <is>
          <t>Distrito Judicial: Loreto</t>
        </is>
      </c>
      <c r="G397" s="1" t="inlineStr">
        <is>
          <t>APOYO</t>
        </is>
      </c>
      <c r="H397" s="1" t="inlineStr">
        <is>
          <t>Sí</t>
        </is>
      </c>
      <c r="I397" s="2" t="inlineStr">
        <is>
          <t xml:space="preserve">  7/8/2026</t>
        </is>
      </c>
      <c r="J397" s="2" t="str"/>
      <c r="K397" s="2" t="str"/>
      <c r="L397" s="1" t="inlineStr">
        <is>
          <t>Realizada completa</t>
        </is>
      </c>
      <c r="M397" s="2" t="inlineStr">
        <is>
          <t>13-Jul</t>
        </is>
      </c>
      <c r="N397" s="2" t="inlineStr">
        <is>
          <t>13-Jul</t>
        </is>
      </c>
      <c r="O397" s="1" t="inlineStr">
        <is>
          <t>Realizada completa</t>
        </is>
      </c>
      <c r="P397" s="1" t="inlineStr">
        <is>
          <t>48</t>
        </is>
      </c>
      <c r="Q397" s="1" t="inlineStr">
        <is>
          <t>A distancia asistido</t>
        </is>
      </c>
      <c r="R397" s="1">
        <f>IF(H397="Sí",1,0)</f>
        <v/>
      </c>
      <c r="S397" s="1">
        <f>IF(L397="En coordinación",1,0)</f>
        <v/>
      </c>
      <c r="T397" s="1">
        <f>IF(L397="Aceptada",1,0)</f>
        <v/>
      </c>
      <c r="U397" s="1">
        <f>IF(OR(L397="Realizada completa",L397="Realizada incompleta"),1,0)</f>
        <v/>
      </c>
      <c r="V397" s="1">
        <f>IF(L397="Sin respuesta",1,0)</f>
        <v/>
      </c>
    </row>
    <row r="398">
      <c r="A398" s="1" t="inlineStr">
        <is>
          <t>397</t>
        </is>
      </c>
      <c r="B398" s="1" t="inlineStr">
        <is>
          <t>Fernando Gonzales</t>
        </is>
      </c>
      <c r="C398" s="1" t="inlineStr">
        <is>
          <t>Selvática Televisión</t>
        </is>
      </c>
      <c r="D398" s="1" t="inlineStr">
        <is>
          <t>Entrevista de actores clave</t>
        </is>
      </c>
      <c r="E398" s="1" t="inlineStr">
        <is>
          <t>Prensa</t>
        </is>
      </c>
      <c r="F398" s="1" t="inlineStr">
        <is>
          <t>Distrito Judicial: Ucayali</t>
        </is>
      </c>
      <c r="G398" s="1" t="inlineStr">
        <is>
          <t>APOYO</t>
        </is>
      </c>
      <c r="H398" s="1" t="inlineStr">
        <is>
          <t>Sí</t>
        </is>
      </c>
      <c r="I398" s="2" t="inlineStr">
        <is>
          <t xml:space="preserve">  7/8/2026</t>
        </is>
      </c>
      <c r="J398" s="2" t="str"/>
      <c r="K398" s="2" t="str"/>
      <c r="L398" s="1" t="inlineStr">
        <is>
          <t>Realizada completa</t>
        </is>
      </c>
      <c r="M398" s="2" t="inlineStr">
        <is>
          <t xml:space="preserve"> 9-Jul</t>
        </is>
      </c>
      <c r="N398" s="2" t="inlineStr">
        <is>
          <t xml:space="preserve"> 9-Jul</t>
        </is>
      </c>
      <c r="O398" s="1" t="inlineStr">
        <is>
          <t>Realizada completa</t>
        </is>
      </c>
      <c r="P398" s="1" t="inlineStr">
        <is>
          <t>40</t>
        </is>
      </c>
      <c r="Q398" s="1" t="inlineStr">
        <is>
          <t>A distancia asistido</t>
        </is>
      </c>
      <c r="R398" s="1">
        <f>IF(H398="Sí",1,0)</f>
        <v/>
      </c>
      <c r="S398" s="1">
        <f>IF(L398="En coordinación",1,0)</f>
        <v/>
      </c>
      <c r="T398" s="1">
        <f>IF(L398="Aceptada",1,0)</f>
        <v/>
      </c>
      <c r="U398" s="1">
        <f>IF(OR(L398="Realizada completa",L398="Realizada incompleta"),1,0)</f>
        <v/>
      </c>
      <c r="V398" s="1">
        <f>IF(L398="Sin respuesta",1,0)</f>
        <v/>
      </c>
    </row>
    <row r="399">
      <c r="A399" s="1" t="inlineStr">
        <is>
          <t>398</t>
        </is>
      </c>
      <c r="B399" s="1" t="inlineStr">
        <is>
          <t>Italo García</t>
        </is>
      </c>
      <c r="C399" s="1" t="str"/>
      <c r="D399" s="1" t="inlineStr">
        <is>
          <t>Entrevista de actores clave</t>
        </is>
      </c>
      <c r="E399" s="1" t="inlineStr">
        <is>
          <t>Prensa</t>
        </is>
      </c>
      <c r="F399" s="1" t="inlineStr">
        <is>
          <t>Distrito Judicial: Ucayali</t>
        </is>
      </c>
      <c r="G399" s="1" t="inlineStr">
        <is>
          <t>APOYO</t>
        </is>
      </c>
      <c r="H399" s="1" t="inlineStr">
        <is>
          <t>Sí</t>
        </is>
      </c>
      <c r="I399" s="2" t="inlineStr">
        <is>
          <t xml:space="preserve">  7/8/2026</t>
        </is>
      </c>
      <c r="J399" s="2" t="str"/>
      <c r="K399" s="2" t="str"/>
      <c r="L399" s="1" t="inlineStr">
        <is>
          <t>Rechazada</t>
        </is>
      </c>
      <c r="M399" s="2" t="str"/>
      <c r="N399" s="2" t="str"/>
      <c r="O399" s="1" t="inlineStr">
        <is>
          <t>Rechazada</t>
        </is>
      </c>
      <c r="P399" s="1" t="str"/>
      <c r="Q399" s="1" t="str"/>
      <c r="R399" s="1">
        <f>IF(H399="Sí",1,0)</f>
        <v/>
      </c>
      <c r="S399" s="1">
        <f>IF(L399="En coordinación",1,0)</f>
        <v/>
      </c>
      <c r="T399" s="1">
        <f>IF(L399="Aceptada",1,0)</f>
        <v/>
      </c>
      <c r="U399" s="1">
        <f>IF(OR(L399="Realizada completa",L399="Realizada incompleta"),1,0)</f>
        <v/>
      </c>
      <c r="V399" s="1">
        <f>IF(L399="Sin respuesta",1,0)</f>
        <v/>
      </c>
    </row>
    <row r="400">
      <c r="A400" s="1" t="inlineStr">
        <is>
          <t>399</t>
        </is>
      </c>
      <c r="B400" s="1" t="inlineStr">
        <is>
          <t>JORGE LUIS UPIACHIHUA HIDALGO</t>
        </is>
      </c>
      <c r="C400" s="1" t="inlineStr">
        <is>
          <t>Abogados</t>
        </is>
      </c>
      <c r="D400" s="1" t="inlineStr">
        <is>
          <t>Entrevista de actores clave</t>
        </is>
      </c>
      <c r="E400" s="1" t="inlineStr">
        <is>
          <t>Acompañantes</t>
        </is>
      </c>
      <c r="F400" s="1" t="str"/>
      <c r="G400" s="1" t="inlineStr">
        <is>
          <t>IJM</t>
        </is>
      </c>
      <c r="H400" s="1" t="inlineStr">
        <is>
          <t>Sí</t>
        </is>
      </c>
      <c r="I400" s="2" t="inlineStr">
        <is>
          <t xml:space="preserve">  7/7/2026</t>
        </is>
      </c>
      <c r="J400" s="2" t="inlineStr">
        <is>
          <t xml:space="preserve">  7/8/2026</t>
        </is>
      </c>
      <c r="K400" s="2" t="str"/>
      <c r="L400" s="1" t="inlineStr">
        <is>
          <t>Aceptada</t>
        </is>
      </c>
      <c r="M400" s="2" t="str"/>
      <c r="N400" s="2" t="str"/>
      <c r="O400" s="1" t="inlineStr">
        <is>
          <t>Aceptada</t>
        </is>
      </c>
      <c r="P400" s="1" t="str"/>
      <c r="Q400" s="1" t="inlineStr">
        <is>
          <t>A distancia asistido</t>
        </is>
      </c>
      <c r="R400" s="1">
        <f>IF(H400="Sí",1,0)</f>
        <v/>
      </c>
      <c r="S400" s="1">
        <f>IF(L400="En coordinación",1,0)</f>
        <v/>
      </c>
      <c r="T400" s="1">
        <f>IF(L400="Aceptada",1,0)</f>
        <v/>
      </c>
      <c r="U400" s="1">
        <f>IF(OR(L400="Realizada completa",L400="Realizada incompleta"),1,0)</f>
        <v/>
      </c>
      <c r="V400" s="1">
        <f>IF(L400="Sin respuesta",1,0)</f>
        <v/>
      </c>
    </row>
    <row r="401">
      <c r="A401" s="1" t="inlineStr">
        <is>
          <t>400</t>
        </is>
      </c>
      <c r="B401" s="1" t="inlineStr">
        <is>
          <t>Edith Ortiz</t>
        </is>
      </c>
      <c r="C401" s="1" t="inlineStr">
        <is>
          <t>Colectivo Feminista Ayacucho</t>
        </is>
      </c>
      <c r="D401" s="1" t="inlineStr">
        <is>
          <t>Entrevista de actores clave</t>
        </is>
      </c>
      <c r="E401" s="1" t="inlineStr">
        <is>
          <t>Actores locales</t>
        </is>
      </c>
      <c r="F401" s="1" t="inlineStr">
        <is>
          <t>Distrito Judicial: Ayacucho</t>
        </is>
      </c>
      <c r="G401" s="1" t="str"/>
      <c r="H401" s="1" t="inlineStr">
        <is>
          <t>Sí</t>
        </is>
      </c>
      <c r="I401" s="2" t="str"/>
      <c r="J401" s="2" t="str"/>
      <c r="K401" s="2" t="str"/>
      <c r="L401" s="1" t="inlineStr">
        <is>
          <t>Realizada completa</t>
        </is>
      </c>
      <c r="M401" s="2" t="inlineStr">
        <is>
          <t xml:space="preserve"> 6-Jul</t>
        </is>
      </c>
      <c r="N401" s="2" t="inlineStr">
        <is>
          <t xml:space="preserve"> 6-Jul</t>
        </is>
      </c>
      <c r="O401" s="1" t="inlineStr">
        <is>
          <t>Realizada completa</t>
        </is>
      </c>
      <c r="P401" s="1" t="inlineStr">
        <is>
          <t>36</t>
        </is>
      </c>
      <c r="Q401" s="1" t="inlineStr">
        <is>
          <t>A distancia asistido</t>
        </is>
      </c>
      <c r="R401" s="1">
        <f>IF(H401="Sí",1,0)</f>
        <v/>
      </c>
      <c r="S401" s="1">
        <f>IF(L401="En coordinación",1,0)</f>
        <v/>
      </c>
      <c r="T401" s="1">
        <f>IF(L401="Aceptada",1,0)</f>
        <v/>
      </c>
      <c r="U401" s="1">
        <f>IF(OR(L401="Realizada completa",L401="Realizada incompleta"),1,0)</f>
        <v/>
      </c>
      <c r="V401" s="1">
        <f>IF(L401="Sin respuesta",1,0)</f>
        <v/>
      </c>
    </row>
    <row r="402">
      <c r="A402" s="1" t="inlineStr">
        <is>
          <t>401</t>
        </is>
      </c>
      <c r="B402" s="1" t="inlineStr">
        <is>
          <t>Diana Oropeza</t>
        </is>
      </c>
      <c r="C402" s="1" t="inlineStr">
        <is>
          <t>Región Policial</t>
        </is>
      </c>
      <c r="D402" s="1" t="inlineStr">
        <is>
          <t>Entrevista de actores clave</t>
        </is>
      </c>
      <c r="E402" s="1" t="inlineStr">
        <is>
          <t>Funcionarios del Sistema</t>
        </is>
      </c>
      <c r="F402" s="1" t="inlineStr">
        <is>
          <t>Distrito Judicial: Huánuco</t>
        </is>
      </c>
      <c r="G402" s="1" t="str"/>
      <c r="H402" s="1" t="str"/>
      <c r="I402" s="2" t="str"/>
      <c r="J402" s="2" t="str"/>
      <c r="K402" s="2" t="str"/>
      <c r="L402" s="1" t="str"/>
      <c r="M402" s="2" t="str"/>
      <c r="N402" s="2" t="str"/>
      <c r="O402" s="1" t="str"/>
      <c r="P402" s="1" t="str"/>
      <c r="Q402" s="1" t="str"/>
      <c r="R402" s="1">
        <f>IF(H402="Sí",1,0)</f>
        <v/>
      </c>
      <c r="S402" s="1">
        <f>IF(L402="En coordinación",1,0)</f>
        <v/>
      </c>
      <c r="T402" s="1">
        <f>IF(L402="Aceptada",1,0)</f>
        <v/>
      </c>
      <c r="U402" s="1">
        <f>IF(OR(L402="Realizada completa",L402="Realizada incompleta"),1,0)</f>
        <v/>
      </c>
      <c r="V402" s="1">
        <f>IF(L402="Sin respuesta",1,0)</f>
        <v/>
      </c>
    </row>
    <row r="403">
      <c r="A403" s="1" t="inlineStr">
        <is>
          <t>402</t>
        </is>
      </c>
      <c r="B403" s="1" t="inlineStr">
        <is>
          <t>Milagros Perez</t>
        </is>
      </c>
      <c r="C403" s="1" t="inlineStr">
        <is>
          <t>Región Policial</t>
        </is>
      </c>
      <c r="D403" s="1" t="inlineStr">
        <is>
          <t>Entrevista de actores clave</t>
        </is>
      </c>
      <c r="E403" s="1" t="inlineStr">
        <is>
          <t>Funcionarios del Sistema</t>
        </is>
      </c>
      <c r="F403" s="1" t="inlineStr">
        <is>
          <t>Distrito Judicial: Huánuco</t>
        </is>
      </c>
      <c r="G403" s="1" t="str"/>
      <c r="H403" s="1" t="str"/>
      <c r="I403" s="2" t="str"/>
      <c r="J403" s="2" t="str"/>
      <c r="K403" s="2" t="str"/>
      <c r="L403" s="1" t="str"/>
      <c r="M403" s="2" t="str"/>
      <c r="N403" s="2" t="str"/>
      <c r="O403" s="1" t="str"/>
      <c r="P403" s="1" t="str"/>
      <c r="Q403" s="1" t="str"/>
      <c r="R403" s="1">
        <f>IF(H403="Sí",1,0)</f>
        <v/>
      </c>
      <c r="S403" s="1">
        <f>IF(L403="En coordinación",1,0)</f>
        <v/>
      </c>
      <c r="T403" s="1">
        <f>IF(L403="Aceptada",1,0)</f>
        <v/>
      </c>
      <c r="U403" s="1">
        <f>IF(OR(L403="Realizada completa",L403="Realizada incompleta"),1,0)</f>
        <v/>
      </c>
      <c r="V403" s="1">
        <f>IF(L403="Sin respuesta",1,0)</f>
        <v/>
      </c>
    </row>
    <row r="404">
      <c r="A404" s="1" t="inlineStr">
        <is>
          <t>403</t>
        </is>
      </c>
      <c r="B404" s="1" t="inlineStr">
        <is>
          <t>Mildre Silva Fernández</t>
        </is>
      </c>
      <c r="C404" s="1" t="inlineStr">
        <is>
          <t>Instancia Regional de Concertación de Huánuco</t>
        </is>
      </c>
      <c r="D404" s="1" t="inlineStr">
        <is>
          <t>Entrevista de actores clave</t>
        </is>
      </c>
      <c r="E404" s="1" t="inlineStr">
        <is>
          <t>Acompañantes</t>
        </is>
      </c>
      <c r="F404" s="1" t="inlineStr">
        <is>
          <t>Distrito Judicial: Huánuco</t>
        </is>
      </c>
      <c r="G404" s="1" t="str"/>
      <c r="H404" s="1" t="str"/>
      <c r="I404" s="2" t="str"/>
      <c r="J404" s="2" t="str"/>
      <c r="K404" s="2" t="str"/>
      <c r="L404" s="1" t="str"/>
      <c r="M404" s="2" t="str"/>
      <c r="N404" s="2" t="str"/>
      <c r="O404" s="1" t="str"/>
      <c r="P404" s="1" t="str"/>
      <c r="Q404" s="1" t="str"/>
      <c r="R404" s="1">
        <f>IF(H404="Sí",1,0)</f>
        <v/>
      </c>
      <c r="S404" s="1">
        <f>IF(L404="En coordinación",1,0)</f>
        <v/>
      </c>
      <c r="T404" s="1">
        <f>IF(L404="Aceptada",1,0)</f>
        <v/>
      </c>
      <c r="U404" s="1">
        <f>IF(OR(L404="Realizada completa",L404="Realizada incompleta"),1,0)</f>
        <v/>
      </c>
      <c r="V404" s="1">
        <f>IF(L404="Sin respuesta",1,0)</f>
        <v/>
      </c>
    </row>
    <row r="405">
      <c r="A405" s="1" t="inlineStr">
        <is>
          <t>404</t>
        </is>
      </c>
      <c r="B405" s="1" t="inlineStr">
        <is>
          <t>Ruth Noemi Ricapa Bernardo</t>
        </is>
      </c>
      <c r="C405" s="1" t="inlineStr">
        <is>
          <t>Instancia Regional de Concertación de Huánuco</t>
        </is>
      </c>
      <c r="D405" s="1" t="inlineStr">
        <is>
          <t>Entrevista de actores clave</t>
        </is>
      </c>
      <c r="E405" s="1" t="inlineStr">
        <is>
          <t>Acompañantes</t>
        </is>
      </c>
      <c r="F405" s="1" t="inlineStr">
        <is>
          <t>Distrito Judicial: Huánuco</t>
        </is>
      </c>
      <c r="G405" s="1" t="str"/>
      <c r="H405" s="1" t="str"/>
      <c r="I405" s="2" t="str"/>
      <c r="J405" s="2" t="str"/>
      <c r="K405" s="2" t="str"/>
      <c r="L405" s="1" t="str"/>
      <c r="M405" s="2" t="str"/>
      <c r="N405" s="2" t="str"/>
      <c r="O405" s="1" t="str"/>
      <c r="P405" s="1" t="str"/>
      <c r="Q405" s="1" t="str"/>
      <c r="R405" s="1">
        <f>IF(H405="Sí",1,0)</f>
        <v/>
      </c>
      <c r="S405" s="1">
        <f>IF(L405="En coordinación",1,0)</f>
        <v/>
      </c>
      <c r="T405" s="1">
        <f>IF(L405="Aceptada",1,0)</f>
        <v/>
      </c>
      <c r="U405" s="1">
        <f>IF(OR(L405="Realizada completa",L405="Realizada incompleta"),1,0)</f>
        <v/>
      </c>
      <c r="V405" s="1">
        <f>IF(L405="Sin respuesta",1,0)</f>
        <v/>
      </c>
    </row>
    <row r="406">
      <c r="A406" s="1" t="inlineStr">
        <is>
          <t>405</t>
        </is>
      </c>
      <c r="B406" s="1" t="inlineStr">
        <is>
          <t>Pilar Berna Venturo</t>
        </is>
      </c>
      <c r="C406" s="1" t="inlineStr">
        <is>
          <t>Instancia Regional de Concertación de Huánuco</t>
        </is>
      </c>
      <c r="D406" s="1" t="inlineStr">
        <is>
          <t>Entrevista de actores clave</t>
        </is>
      </c>
      <c r="E406" s="1" t="inlineStr">
        <is>
          <t>Acompañantes</t>
        </is>
      </c>
      <c r="F406" s="1" t="inlineStr">
        <is>
          <t>Distrito Judicial: Huánuco</t>
        </is>
      </c>
      <c r="G406" s="1" t="str"/>
      <c r="H406" s="1" t="str"/>
      <c r="I406" s="2" t="str"/>
      <c r="J406" s="2" t="str"/>
      <c r="K406" s="2" t="str"/>
      <c r="L406" s="1" t="str"/>
      <c r="M406" s="2" t="str"/>
      <c r="N406" s="2" t="str"/>
      <c r="O406" s="1" t="str"/>
      <c r="P406" s="1" t="str"/>
      <c r="Q406" s="1" t="str"/>
      <c r="R406" s="1">
        <f>IF(H406="Sí",1,0)</f>
        <v/>
      </c>
      <c r="S406" s="1">
        <f>IF(L406="En coordinación",1,0)</f>
        <v/>
      </c>
      <c r="T406" s="1">
        <f>IF(L406="Aceptada",1,0)</f>
        <v/>
      </c>
      <c r="U406" s="1">
        <f>IF(OR(L406="Realizada completa",L406="Realizada incompleta"),1,0)</f>
        <v/>
      </c>
      <c r="V406" s="1">
        <f>IF(L406="Sin respuesta",1,0)</f>
        <v/>
      </c>
    </row>
    <row r="407">
      <c r="A407" s="1" t="inlineStr">
        <is>
          <t>406</t>
        </is>
      </c>
      <c r="B407" s="1" t="inlineStr">
        <is>
          <t>Senovio Huayanay Fernandez</t>
        </is>
      </c>
      <c r="C407" s="1" t="inlineStr">
        <is>
          <t>Instancia Regional de Concertación de Huánuco</t>
        </is>
      </c>
      <c r="D407" s="1" t="inlineStr">
        <is>
          <t>Entrevista de actores clave</t>
        </is>
      </c>
      <c r="E407" s="1" t="inlineStr">
        <is>
          <t>Acompañantes</t>
        </is>
      </c>
      <c r="F407" s="1" t="inlineStr">
        <is>
          <t>Distrito Judicial: Huánuco</t>
        </is>
      </c>
      <c r="G407" s="1" t="str"/>
      <c r="H407" s="1" t="str"/>
      <c r="I407" s="2" t="str"/>
      <c r="J407" s="2" t="str"/>
      <c r="K407" s="2" t="str"/>
      <c r="L407" s="1" t="str"/>
      <c r="M407" s="2" t="str"/>
      <c r="N407" s="2" t="str"/>
      <c r="O407" s="1" t="str"/>
      <c r="P407" s="1" t="str"/>
      <c r="Q407" s="1" t="str"/>
      <c r="R407" s="1">
        <f>IF(H407="Sí",1,0)</f>
        <v/>
      </c>
      <c r="S407" s="1">
        <f>IF(L407="En coordinación",1,0)</f>
        <v/>
      </c>
      <c r="T407" s="1">
        <f>IF(L407="Aceptada",1,0)</f>
        <v/>
      </c>
      <c r="U407" s="1">
        <f>IF(OR(L407="Realizada completa",L407="Realizada incompleta"),1,0)</f>
        <v/>
      </c>
      <c r="V407" s="1">
        <f>IF(L407="Sin respuesta",1,0)</f>
        <v/>
      </c>
    </row>
    <row r="408">
      <c r="A408" s="1" t="inlineStr">
        <is>
          <t>407</t>
        </is>
      </c>
      <c r="B408" s="1" t="inlineStr">
        <is>
          <t>Jaime Percy Villogas</t>
        </is>
      </c>
      <c r="C408" s="1" t="inlineStr">
        <is>
          <t>Instancia Regional de Concertación de Huánuco</t>
        </is>
      </c>
      <c r="D408" s="1" t="inlineStr">
        <is>
          <t>Entrevista de actores clave</t>
        </is>
      </c>
      <c r="E408" s="1" t="inlineStr">
        <is>
          <t>Acompañantes</t>
        </is>
      </c>
      <c r="F408" s="1" t="inlineStr">
        <is>
          <t>Distrito Judicial: Huánuco</t>
        </is>
      </c>
      <c r="G408" s="1" t="str"/>
      <c r="H408" s="1" t="str"/>
      <c r="I408" s="2" t="str"/>
      <c r="J408" s="2" t="str"/>
      <c r="K408" s="2" t="str"/>
      <c r="L408" s="1" t="str"/>
      <c r="M408" s="2" t="str"/>
      <c r="N408" s="2" t="str"/>
      <c r="O408" s="1" t="str"/>
      <c r="P408" s="1" t="str"/>
      <c r="Q408" s="1" t="str"/>
      <c r="R408" s="1">
        <f>IF(H408="Sí",1,0)</f>
        <v/>
      </c>
      <c r="S408" s="1">
        <f>IF(L408="En coordinación",1,0)</f>
        <v/>
      </c>
      <c r="T408" s="1">
        <f>IF(L408="Aceptada",1,0)</f>
        <v/>
      </c>
      <c r="U408" s="1">
        <f>IF(OR(L408="Realizada completa",L408="Realizada incompleta"),1,0)</f>
        <v/>
      </c>
      <c r="V408" s="1">
        <f>IF(L408="Sin respuesta",1,0)</f>
        <v/>
      </c>
    </row>
    <row r="409">
      <c r="A409" s="1" t="inlineStr">
        <is>
          <t>408</t>
        </is>
      </c>
      <c r="B409" s="1" t="inlineStr">
        <is>
          <t>Guadalupe Laos</t>
        </is>
      </c>
      <c r="C409" s="1" t="inlineStr">
        <is>
          <t>Instancia Regional de Concertación de Huánuco</t>
        </is>
      </c>
      <c r="D409" s="1" t="inlineStr">
        <is>
          <t>Entrevista de actores clave</t>
        </is>
      </c>
      <c r="E409" s="1" t="inlineStr">
        <is>
          <t>Acompañantes</t>
        </is>
      </c>
      <c r="F409" s="1" t="inlineStr">
        <is>
          <t>Distrito Judicial: Huánuco</t>
        </is>
      </c>
      <c r="G409" s="1" t="str"/>
      <c r="H409" s="1" t="str"/>
      <c r="I409" s="2" t="str"/>
      <c r="J409" s="2" t="str"/>
      <c r="K409" s="2" t="str"/>
      <c r="L409" s="1" t="str"/>
      <c r="M409" s="2" t="str"/>
      <c r="N409" s="2" t="str"/>
      <c r="O409" s="1" t="str"/>
      <c r="P409" s="1" t="str"/>
      <c r="Q409" s="1" t="str"/>
      <c r="R409" s="1">
        <f>IF(H409="Sí",1,0)</f>
        <v/>
      </c>
      <c r="S409" s="1">
        <f>IF(L409="En coordinación",1,0)</f>
        <v/>
      </c>
      <c r="T409" s="1">
        <f>IF(L409="Aceptada",1,0)</f>
        <v/>
      </c>
      <c r="U409" s="1">
        <f>IF(OR(L409="Realizada completa",L409="Realizada incompleta"),1,0)</f>
        <v/>
      </c>
      <c r="V409" s="1">
        <f>IF(L409="Sin respuesta",1,0)</f>
        <v/>
      </c>
    </row>
    <row r="410">
      <c r="A410" s="1" t="inlineStr">
        <is>
          <t>409</t>
        </is>
      </c>
      <c r="B410" s="1" t="inlineStr">
        <is>
          <t>Luz Hinostroza</t>
        </is>
      </c>
      <c r="C410" s="1" t="inlineStr">
        <is>
          <t>Poder Judicial</t>
        </is>
      </c>
      <c r="D410" s="1" t="inlineStr">
        <is>
          <t>Entrevista de actores clave</t>
        </is>
      </c>
      <c r="E410" s="1" t="inlineStr">
        <is>
          <t>Funcionarios del Sistema</t>
        </is>
      </c>
      <c r="F410" s="1" t="inlineStr">
        <is>
          <t>Distrito Judicial: Huánuco</t>
        </is>
      </c>
      <c r="G410" s="1" t="str"/>
      <c r="H410" s="1" t="str"/>
      <c r="I410" s="2" t="str"/>
      <c r="J410" s="2" t="str"/>
      <c r="K410" s="2" t="str"/>
      <c r="L410" s="1" t="str"/>
      <c r="M410" s="2" t="str"/>
      <c r="N410" s="2" t="str"/>
      <c r="O410" s="1" t="str"/>
      <c r="P410" s="1" t="str"/>
      <c r="Q410" s="1" t="str"/>
      <c r="R410" s="1">
        <f>IF(H410="Sí",1,0)</f>
        <v/>
      </c>
      <c r="S410" s="1">
        <f>IF(L410="En coordinación",1,0)</f>
        <v/>
      </c>
      <c r="T410" s="1">
        <f>IF(L410="Aceptada",1,0)</f>
        <v/>
      </c>
      <c r="U410" s="1">
        <f>IF(OR(L410="Realizada completa",L410="Realizada incompleta"),1,0)</f>
        <v/>
      </c>
      <c r="V410" s="1">
        <f>IF(L410="Sin respuesta",1,0)</f>
        <v/>
      </c>
    </row>
    <row r="411">
      <c r="A411" s="1" t="inlineStr">
        <is>
          <t>410</t>
        </is>
      </c>
      <c r="B411" s="1" t="inlineStr">
        <is>
          <t>Yanet Sanchez</t>
        </is>
      </c>
      <c r="C411" s="1" t="inlineStr">
        <is>
          <t>Poder Judicial</t>
        </is>
      </c>
      <c r="D411" s="1" t="inlineStr">
        <is>
          <t>Entrevista de actores clave</t>
        </is>
      </c>
      <c r="E411" s="1" t="inlineStr">
        <is>
          <t>Funcionarios del Sistema</t>
        </is>
      </c>
      <c r="F411" s="1" t="inlineStr">
        <is>
          <t>Distrito Judicial: Huánuco</t>
        </is>
      </c>
      <c r="G411" s="1" t="str"/>
      <c r="H411" s="1" t="str"/>
      <c r="I411" s="2" t="str"/>
      <c r="J411" s="2" t="str"/>
      <c r="K411" s="2" t="str"/>
      <c r="L411" s="1" t="str"/>
      <c r="M411" s="2" t="str"/>
      <c r="N411" s="2" t="str"/>
      <c r="O411" s="1" t="str"/>
      <c r="P411" s="1" t="str"/>
      <c r="Q411" s="1" t="str"/>
      <c r="R411" s="1">
        <f>IF(H411="Sí",1,0)</f>
        <v/>
      </c>
      <c r="S411" s="1">
        <f>IF(L411="En coordinación",1,0)</f>
        <v/>
      </c>
      <c r="T411" s="1">
        <f>IF(L411="Aceptada",1,0)</f>
        <v/>
      </c>
      <c r="U411" s="1">
        <f>IF(OR(L411="Realizada completa",L411="Realizada incompleta"),1,0)</f>
        <v/>
      </c>
      <c r="V411" s="1">
        <f>IF(L411="Sin respuesta",1,0)</f>
        <v/>
      </c>
    </row>
    <row r="412">
      <c r="A412" s="1" t="inlineStr">
        <is>
          <t>411</t>
        </is>
      </c>
      <c r="B412" s="1" t="inlineStr">
        <is>
          <t>John Martel</t>
        </is>
      </c>
      <c r="C412" s="1" t="inlineStr">
        <is>
          <t>Ministerio Público (Fiscalía)</t>
        </is>
      </c>
      <c r="D412" s="1" t="inlineStr">
        <is>
          <t>Entrevista de actores clave</t>
        </is>
      </c>
      <c r="E412" s="1" t="inlineStr">
        <is>
          <t>Funcionarios del Sistema</t>
        </is>
      </c>
      <c r="F412" s="1" t="inlineStr">
        <is>
          <t>Distrito Judicial: Huánuco</t>
        </is>
      </c>
      <c r="G412" s="1" t="str"/>
      <c r="H412" s="1" t="str"/>
      <c r="I412" s="2" t="str"/>
      <c r="J412" s="2" t="str"/>
      <c r="K412" s="2" t="str"/>
      <c r="L412" s="1" t="str"/>
      <c r="M412" s="2" t="str"/>
      <c r="N412" s="2" t="str"/>
      <c r="O412" s="1" t="str"/>
      <c r="P412" s="1" t="str"/>
      <c r="Q412" s="1" t="str"/>
      <c r="R412" s="1">
        <f>IF(H412="Sí",1,0)</f>
        <v/>
      </c>
      <c r="S412" s="1">
        <f>IF(L412="En coordinación",1,0)</f>
        <v/>
      </c>
      <c r="T412" s="1">
        <f>IF(L412="Aceptada",1,0)</f>
        <v/>
      </c>
      <c r="U412" s="1">
        <f>IF(OR(L412="Realizada completa",L412="Realizada incompleta"),1,0)</f>
        <v/>
      </c>
      <c r="V412" s="1">
        <f>IF(L412="Sin respuesta",1,0)</f>
        <v/>
      </c>
    </row>
    <row r="413">
      <c r="A413" s="1" t="inlineStr">
        <is>
          <t>412</t>
        </is>
      </c>
      <c r="B413" s="1" t="inlineStr">
        <is>
          <t>Marco Herrera</t>
        </is>
      </c>
      <c r="C413" s="1" t="inlineStr">
        <is>
          <t>Ministerio Público (Fiscalía)</t>
        </is>
      </c>
      <c r="D413" s="1" t="inlineStr">
        <is>
          <t>Entrevista de actores clave</t>
        </is>
      </c>
      <c r="E413" s="1" t="inlineStr">
        <is>
          <t>Funcionarios del Sistema</t>
        </is>
      </c>
      <c r="F413" s="1" t="inlineStr">
        <is>
          <t>Distrito Judicial: Huánuco</t>
        </is>
      </c>
      <c r="G413" s="1" t="str"/>
      <c r="H413" s="1" t="str"/>
      <c r="I413" s="2" t="str"/>
      <c r="J413" s="2" t="str"/>
      <c r="K413" s="2" t="str"/>
      <c r="L413" s="1" t="str"/>
      <c r="M413" s="2" t="str"/>
      <c r="N413" s="2" t="str"/>
      <c r="O413" s="1" t="str"/>
      <c r="P413" s="1" t="str"/>
      <c r="Q413" s="1" t="str"/>
      <c r="R413" s="1">
        <f>IF(H413="Sí",1,0)</f>
        <v/>
      </c>
      <c r="S413" s="1">
        <f>IF(L413="En coordinación",1,0)</f>
        <v/>
      </c>
      <c r="T413" s="1">
        <f>IF(L413="Aceptada",1,0)</f>
        <v/>
      </c>
      <c r="U413" s="1">
        <f>IF(OR(L413="Realizada completa",L413="Realizada incompleta"),1,0)</f>
        <v/>
      </c>
      <c r="V413" s="1">
        <f>IF(L413="Sin respuesta",1,0)</f>
        <v/>
      </c>
    </row>
    <row r="414">
      <c r="A414" s="1" t="inlineStr">
        <is>
          <t>413</t>
        </is>
      </c>
      <c r="B414" s="1" t="inlineStr">
        <is>
          <t>Mirtha Ramirez</t>
        </is>
      </c>
      <c r="C414" s="1" t="inlineStr">
        <is>
          <t>Programa Warmi Ñan</t>
        </is>
      </c>
      <c r="D414" s="1" t="inlineStr">
        <is>
          <t>Entrevista de actores clave</t>
        </is>
      </c>
      <c r="E414" s="1" t="inlineStr">
        <is>
          <t>Funcionarios del Sistema</t>
        </is>
      </c>
      <c r="F414" s="1" t="inlineStr">
        <is>
          <t>Distrito Judicial: Huánuco</t>
        </is>
      </c>
      <c r="G414" s="1" t="str"/>
      <c r="H414" s="1" t="str"/>
      <c r="I414" s="2" t="str"/>
      <c r="J414" s="2" t="str"/>
      <c r="K414" s="2" t="str"/>
      <c r="L414" s="1" t="inlineStr">
        <is>
          <t>Sin respuesta</t>
        </is>
      </c>
      <c r="M414" s="2" t="str"/>
      <c r="N414" s="2" t="str"/>
      <c r="O414" s="1" t="inlineStr">
        <is>
          <t>Sin respuesta</t>
        </is>
      </c>
      <c r="P414" s="1" t="str"/>
      <c r="Q414" s="1" t="str"/>
      <c r="R414" s="1">
        <f>IF(H414="Sí",1,0)</f>
        <v/>
      </c>
      <c r="S414" s="1">
        <f>IF(L414="En coordinación",1,0)</f>
        <v/>
      </c>
      <c r="T414" s="1">
        <f>IF(L414="Aceptada",1,0)</f>
        <v/>
      </c>
      <c r="U414" s="1">
        <f>IF(OR(L414="Realizada completa",L414="Realizada incompleta"),1,0)</f>
        <v/>
      </c>
      <c r="V414" s="1">
        <f>IF(L414="Sin respuesta",1,0)</f>
        <v/>
      </c>
    </row>
    <row r="415">
      <c r="A415" s="1" t="inlineStr">
        <is>
          <t>414</t>
        </is>
      </c>
      <c r="B415" s="1" t="inlineStr">
        <is>
          <t>Delia Toscano</t>
        </is>
      </c>
      <c r="C415" s="1" t="inlineStr">
        <is>
          <t>Programa Warmi Ñan</t>
        </is>
      </c>
      <c r="D415" s="1" t="inlineStr">
        <is>
          <t>Entrevista de actores clave</t>
        </is>
      </c>
      <c r="E415" s="1" t="inlineStr">
        <is>
          <t>Funcionarios del Sistema</t>
        </is>
      </c>
      <c r="F415" s="1" t="inlineStr">
        <is>
          <t>Distrito Judicial: Huánuco</t>
        </is>
      </c>
      <c r="G415" s="1" t="str"/>
      <c r="H415" s="1" t="str"/>
      <c r="I415" s="2" t="str"/>
      <c r="J415" s="2" t="str"/>
      <c r="K415" s="2" t="str"/>
      <c r="L415" s="1" t="inlineStr">
        <is>
          <t>Sin respuesta</t>
        </is>
      </c>
      <c r="M415" s="2" t="str"/>
      <c r="N415" s="2" t="str"/>
      <c r="O415" s="1" t="inlineStr">
        <is>
          <t>Sin respuesta</t>
        </is>
      </c>
      <c r="P415" s="1" t="str"/>
      <c r="Q415" s="1" t="str"/>
      <c r="R415" s="1">
        <f>IF(H415="Sí",1,0)</f>
        <v/>
      </c>
      <c r="S415" s="1">
        <f>IF(L415="En coordinación",1,0)</f>
        <v/>
      </c>
      <c r="T415" s="1">
        <f>IF(L415="Aceptada",1,0)</f>
        <v/>
      </c>
      <c r="U415" s="1">
        <f>IF(OR(L415="Realizada completa",L415="Realizada incompleta"),1,0)</f>
        <v/>
      </c>
      <c r="V415" s="1">
        <f>IF(L415="Sin respuesta",1,0)</f>
        <v/>
      </c>
    </row>
    <row r="416">
      <c r="A416" s="1" t="inlineStr">
        <is>
          <t>415</t>
        </is>
      </c>
      <c r="B416" s="1" t="inlineStr">
        <is>
          <t>Marco Durand</t>
        </is>
      </c>
      <c r="C416" s="1" t="inlineStr">
        <is>
          <t>Defensoría del Pueblo</t>
        </is>
      </c>
      <c r="D416" s="1" t="inlineStr">
        <is>
          <t>Entrevista de actores clave</t>
        </is>
      </c>
      <c r="E416" s="1" t="inlineStr">
        <is>
          <t>Funcionarios del Sistema</t>
        </is>
      </c>
      <c r="F416" s="1" t="inlineStr">
        <is>
          <t>Distrito Judicial: Huánuco</t>
        </is>
      </c>
      <c r="G416" s="1" t="str"/>
      <c r="H416" s="1" t="str"/>
      <c r="I416" s="2" t="str"/>
      <c r="J416" s="2" t="str"/>
      <c r="K416" s="2" t="str"/>
      <c r="L416" s="1" t="str"/>
      <c r="M416" s="2" t="str"/>
      <c r="N416" s="2" t="str"/>
      <c r="O416" s="1" t="str"/>
      <c r="P416" s="1" t="str"/>
      <c r="Q416" s="1" t="str"/>
      <c r="R416" s="1">
        <f>IF(H416="Sí",1,0)</f>
        <v/>
      </c>
      <c r="S416" s="1">
        <f>IF(L416="En coordinación",1,0)</f>
        <v/>
      </c>
      <c r="T416" s="1">
        <f>IF(L416="Aceptada",1,0)</f>
        <v/>
      </c>
      <c r="U416" s="1">
        <f>IF(OR(L416="Realizada completa",L416="Realizada incompleta"),1,0)</f>
        <v/>
      </c>
      <c r="V416" s="1">
        <f>IF(L416="Sin respuesta",1,0)</f>
        <v/>
      </c>
    </row>
    <row r="417">
      <c r="A417" s="1" t="inlineStr">
        <is>
          <t>416</t>
        </is>
      </c>
      <c r="B417" s="1" t="inlineStr">
        <is>
          <t>Astritd Vilma</t>
        </is>
      </c>
      <c r="C417" s="1" t="inlineStr">
        <is>
          <t>Defensoría del Pueblo</t>
        </is>
      </c>
      <c r="D417" s="1" t="inlineStr">
        <is>
          <t>Entrevista de actores clave</t>
        </is>
      </c>
      <c r="E417" s="1" t="inlineStr">
        <is>
          <t>Funcionarios del Sistema</t>
        </is>
      </c>
      <c r="F417" s="1" t="inlineStr">
        <is>
          <t>Distrito Judicial: Huánuco</t>
        </is>
      </c>
      <c r="G417" s="1" t="str"/>
      <c r="H417" s="1" t="str"/>
      <c r="I417" s="2" t="str"/>
      <c r="J417" s="2" t="str"/>
      <c r="K417" s="2" t="str"/>
      <c r="L417" s="1" t="str"/>
      <c r="M417" s="2" t="str"/>
      <c r="N417" s="2" t="str"/>
      <c r="O417" s="1" t="str"/>
      <c r="P417" s="1" t="str"/>
      <c r="Q417" s="1" t="str"/>
      <c r="R417" s="1">
        <f>IF(H417="Sí",1,0)</f>
        <v/>
      </c>
      <c r="S417" s="1">
        <f>IF(L417="En coordinación",1,0)</f>
        <v/>
      </c>
      <c r="T417" s="1">
        <f>IF(L417="Aceptada",1,0)</f>
        <v/>
      </c>
      <c r="U417" s="1">
        <f>IF(OR(L417="Realizada completa",L417="Realizada incompleta"),1,0)</f>
        <v/>
      </c>
      <c r="V417" s="1">
        <f>IF(L417="Sin respuesta",1,0)</f>
        <v/>
      </c>
    </row>
    <row r="418">
      <c r="A418" s="1" t="inlineStr">
        <is>
          <t>417</t>
        </is>
      </c>
      <c r="B418" s="1" t="inlineStr">
        <is>
          <t>Sandra Rivas Medina</t>
        </is>
      </c>
      <c r="C418" s="1" t="inlineStr">
        <is>
          <t>Instancia Regional de Concertación de Apurímac</t>
        </is>
      </c>
      <c r="D418" s="1" t="inlineStr">
        <is>
          <t>Entrevista de actores clave</t>
        </is>
      </c>
      <c r="E418" s="1" t="inlineStr">
        <is>
          <t>Acompañantes</t>
        </is>
      </c>
      <c r="F418" s="1" t="inlineStr">
        <is>
          <t>Distrito Judicial: Apurímac</t>
        </is>
      </c>
      <c r="G418" s="1" t="str"/>
      <c r="H418" s="1" t="str"/>
      <c r="I418" s="2" t="str"/>
      <c r="J418" s="2" t="str"/>
      <c r="K418" s="2" t="str"/>
      <c r="L418" s="1" t="str"/>
      <c r="M418" s="2" t="str"/>
      <c r="N418" s="2" t="str"/>
      <c r="O418" s="1" t="str"/>
      <c r="P418" s="1" t="str"/>
      <c r="Q418" s="1" t="str"/>
      <c r="R418" s="1">
        <f>IF(H418="Sí",1,0)</f>
        <v/>
      </c>
      <c r="S418" s="1">
        <f>IF(L418="En coordinación",1,0)</f>
        <v/>
      </c>
      <c r="T418" s="1">
        <f>IF(L418="Aceptada",1,0)</f>
        <v/>
      </c>
      <c r="U418" s="1">
        <f>IF(OR(L418="Realizada completa",L418="Realizada incompleta"),1,0)</f>
        <v/>
      </c>
      <c r="V418" s="1">
        <f>IF(L418="Sin respuesta",1,0)</f>
        <v/>
      </c>
    </row>
    <row r="419">
      <c r="A419" s="1" t="inlineStr">
        <is>
          <t>418</t>
        </is>
      </c>
      <c r="B419" s="1" t="inlineStr">
        <is>
          <t>Luis E. Carrión Herrera</t>
        </is>
      </c>
      <c r="C419" s="1" t="inlineStr">
        <is>
          <t>Instancia Regional de Concertación de Apurímac</t>
        </is>
      </c>
      <c r="D419" s="1" t="inlineStr">
        <is>
          <t>Entrevista de actores clave</t>
        </is>
      </c>
      <c r="E419" s="1" t="inlineStr">
        <is>
          <t>Acompañantes</t>
        </is>
      </c>
      <c r="F419" s="1" t="inlineStr">
        <is>
          <t>Distrito Judicial: Apurímac</t>
        </is>
      </c>
      <c r="G419" s="1" t="str"/>
      <c r="H419" s="1" t="str"/>
      <c r="I419" s="2" t="str"/>
      <c r="J419" s="2" t="str"/>
      <c r="K419" s="2" t="str"/>
      <c r="L419" s="1" t="str"/>
      <c r="M419" s="2" t="str"/>
      <c r="N419" s="2" t="str"/>
      <c r="O419" s="1" t="str"/>
      <c r="P419" s="1" t="str"/>
      <c r="Q419" s="1" t="str"/>
      <c r="R419" s="1">
        <f>IF(H419="Sí",1,0)</f>
        <v/>
      </c>
      <c r="S419" s="1">
        <f>IF(L419="En coordinación",1,0)</f>
        <v/>
      </c>
      <c r="T419" s="1">
        <f>IF(L419="Aceptada",1,0)</f>
        <v/>
      </c>
      <c r="U419" s="1">
        <f>IF(OR(L419="Realizada completa",L419="Realizada incompleta"),1,0)</f>
        <v/>
      </c>
      <c r="V419" s="1">
        <f>IF(L419="Sin respuesta",1,0)</f>
        <v/>
      </c>
    </row>
    <row r="420">
      <c r="A420" s="1" t="inlineStr">
        <is>
          <t>419</t>
        </is>
      </c>
      <c r="B420" s="1" t="inlineStr">
        <is>
          <t>Favio Vergara Pinto</t>
        </is>
      </c>
      <c r="C420" s="1" t="inlineStr">
        <is>
          <t>Instancia Regional de Concertación de Apurímac</t>
        </is>
      </c>
      <c r="D420" s="1" t="inlineStr">
        <is>
          <t>Entrevista de actores clave</t>
        </is>
      </c>
      <c r="E420" s="1" t="inlineStr">
        <is>
          <t>Acompañantes</t>
        </is>
      </c>
      <c r="F420" s="1" t="inlineStr">
        <is>
          <t>Distrito Judicial: Apurímac</t>
        </is>
      </c>
      <c r="G420" s="1" t="str"/>
      <c r="H420" s="1" t="str"/>
      <c r="I420" s="2" t="str"/>
      <c r="J420" s="2" t="str"/>
      <c r="K420" s="2" t="str"/>
      <c r="L420" s="1" t="str"/>
      <c r="M420" s="2" t="str"/>
      <c r="N420" s="2" t="str"/>
      <c r="O420" s="1" t="str"/>
      <c r="P420" s="1" t="str"/>
      <c r="Q420" s="1" t="str"/>
      <c r="R420" s="1">
        <f>IF(H420="Sí",1,0)</f>
        <v/>
      </c>
      <c r="S420" s="1">
        <f>IF(L420="En coordinación",1,0)</f>
        <v/>
      </c>
      <c r="T420" s="1">
        <f>IF(L420="Aceptada",1,0)</f>
        <v/>
      </c>
      <c r="U420" s="1">
        <f>IF(OR(L420="Realizada completa",L420="Realizada incompleta"),1,0)</f>
        <v/>
      </c>
      <c r="V420" s="1">
        <f>IF(L420="Sin respuesta",1,0)</f>
        <v/>
      </c>
    </row>
    <row r="421">
      <c r="A421" s="1" t="inlineStr">
        <is>
          <t>420</t>
        </is>
      </c>
      <c r="B421" s="1" t="inlineStr">
        <is>
          <t>Edson Hernan Cerrón Lazo</t>
        </is>
      </c>
      <c r="C421" s="1" t="inlineStr">
        <is>
          <t>Región Policial</t>
        </is>
      </c>
      <c r="D421" s="1" t="inlineStr">
        <is>
          <t>Entrevista de actores clave</t>
        </is>
      </c>
      <c r="E421" s="1" t="inlineStr">
        <is>
          <t>Funcionarios del Sistema</t>
        </is>
      </c>
      <c r="F421" s="1" t="inlineStr">
        <is>
          <t>Distrito Judicial: Apurímac</t>
        </is>
      </c>
      <c r="G421" s="1" t="str"/>
      <c r="H421" s="1" t="str"/>
      <c r="I421" s="2" t="str"/>
      <c r="J421" s="2" t="str"/>
      <c r="K421" s="2" t="str"/>
      <c r="L421" s="1" t="str"/>
      <c r="M421" s="2" t="str"/>
      <c r="N421" s="2" t="str"/>
      <c r="O421" s="1" t="str"/>
      <c r="P421" s="1" t="str"/>
      <c r="Q421" s="1" t="str"/>
      <c r="R421" s="1">
        <f>IF(H421="Sí",1,0)</f>
        <v/>
      </c>
      <c r="S421" s="1">
        <f>IF(L421="En coordinación",1,0)</f>
        <v/>
      </c>
      <c r="T421" s="1">
        <f>IF(L421="Aceptada",1,0)</f>
        <v/>
      </c>
      <c r="U421" s="1">
        <f>IF(OR(L421="Realizada completa",L421="Realizada incompleta"),1,0)</f>
        <v/>
      </c>
      <c r="V421" s="1">
        <f>IF(L421="Sin respuesta",1,0)</f>
        <v/>
      </c>
    </row>
    <row r="422">
      <c r="A422" s="1" t="inlineStr">
        <is>
          <t>421</t>
        </is>
      </c>
      <c r="B422" s="1" t="inlineStr">
        <is>
          <t>José Alberto Tinco Luján</t>
        </is>
      </c>
      <c r="C422" s="1" t="inlineStr">
        <is>
          <t>Poder Judicial</t>
        </is>
      </c>
      <c r="D422" s="1" t="inlineStr">
        <is>
          <t>Entrevista de actores clave</t>
        </is>
      </c>
      <c r="E422" s="1" t="inlineStr">
        <is>
          <t>Funcionarios del Sistema</t>
        </is>
      </c>
      <c r="F422" s="1" t="inlineStr">
        <is>
          <t>Distrito Judicial: Apurímac</t>
        </is>
      </c>
      <c r="G422" s="1" t="str"/>
      <c r="H422" s="1" t="str"/>
      <c r="I422" s="2" t="str"/>
      <c r="J422" s="2" t="str"/>
      <c r="K422" s="2" t="str"/>
      <c r="L422" s="1" t="str"/>
      <c r="M422" s="2" t="str"/>
      <c r="N422" s="2" t="str"/>
      <c r="O422" s="1" t="str"/>
      <c r="P422" s="1" t="str"/>
      <c r="Q422" s="1" t="str"/>
      <c r="R422" s="1">
        <f>IF(H422="Sí",1,0)</f>
        <v/>
      </c>
      <c r="S422" s="1">
        <f>IF(L422="En coordinación",1,0)</f>
        <v/>
      </c>
      <c r="T422" s="1">
        <f>IF(L422="Aceptada",1,0)</f>
        <v/>
      </c>
      <c r="U422" s="1">
        <f>IF(OR(L422="Realizada completa",L422="Realizada incompleta"),1,0)</f>
        <v/>
      </c>
      <c r="V422" s="1">
        <f>IF(L422="Sin respuesta",1,0)</f>
        <v/>
      </c>
    </row>
    <row r="423">
      <c r="A423" s="1" t="inlineStr">
        <is>
          <t>422</t>
        </is>
      </c>
      <c r="B423" s="1" t="inlineStr">
        <is>
          <t>Jorge Hermógenes Fernández Mavila</t>
        </is>
      </c>
      <c r="C423" s="1" t="inlineStr">
        <is>
          <t>Ministerio Público (Fiscalía)</t>
        </is>
      </c>
      <c r="D423" s="1" t="inlineStr">
        <is>
          <t>Entrevista de actores clave</t>
        </is>
      </c>
      <c r="E423" s="1" t="inlineStr">
        <is>
          <t>Funcionarios del Sistema</t>
        </is>
      </c>
      <c r="F423" s="1" t="inlineStr">
        <is>
          <t>Distrito Judicial: Apurímac</t>
        </is>
      </c>
      <c r="G423" s="1" t="str"/>
      <c r="H423" s="1" t="str"/>
      <c r="I423" s="2" t="str"/>
      <c r="J423" s="2" t="str"/>
      <c r="K423" s="2" t="str"/>
      <c r="L423" s="1" t="str"/>
      <c r="M423" s="2" t="str"/>
      <c r="N423" s="2" t="str"/>
      <c r="O423" s="1" t="str"/>
      <c r="P423" s="1" t="str"/>
      <c r="Q423" s="1" t="str"/>
      <c r="R423" s="1">
        <f>IF(H423="Sí",1,0)</f>
        <v/>
      </c>
      <c r="S423" s="1">
        <f>IF(L423="En coordinación",1,0)</f>
        <v/>
      </c>
      <c r="T423" s="1">
        <f>IF(L423="Aceptada",1,0)</f>
        <v/>
      </c>
      <c r="U423" s="1">
        <f>IF(OR(L423="Realizada completa",L423="Realizada incompleta"),1,0)</f>
        <v/>
      </c>
      <c r="V423" s="1">
        <f>IF(L423="Sin respuesta",1,0)</f>
        <v/>
      </c>
    </row>
    <row r="424">
      <c r="A424" s="1" t="inlineStr">
        <is>
          <t>423</t>
        </is>
      </c>
      <c r="B424" s="1" t="inlineStr">
        <is>
          <t>Ronald Juarez Hurtado</t>
        </is>
      </c>
      <c r="C424" s="1" t="inlineStr">
        <is>
          <t>Programa Warmi Ñan</t>
        </is>
      </c>
      <c r="D424" s="1" t="inlineStr">
        <is>
          <t>Entrevista de actores clave</t>
        </is>
      </c>
      <c r="E424" s="1" t="inlineStr">
        <is>
          <t>Funcionarios del Sistema</t>
        </is>
      </c>
      <c r="F424" s="1" t="inlineStr">
        <is>
          <t>Distrito Judicial: Apurímac</t>
        </is>
      </c>
      <c r="G424" s="1" t="str"/>
      <c r="H424" s="1" t="str"/>
      <c r="I424" s="2" t="str"/>
      <c r="J424" s="2" t="str"/>
      <c r="K424" s="2" t="str"/>
      <c r="L424" s="1" t="str"/>
      <c r="M424" s="2" t="str"/>
      <c r="N424" s="2" t="str"/>
      <c r="O424" s="1" t="str"/>
      <c r="P424" s="1" t="str"/>
      <c r="Q424" s="1" t="str"/>
      <c r="R424" s="1">
        <f>IF(H424="Sí",1,0)</f>
        <v/>
      </c>
      <c r="S424" s="1">
        <f>IF(L424="En coordinación",1,0)</f>
        <v/>
      </c>
      <c r="T424" s="1">
        <f>IF(L424="Aceptada",1,0)</f>
        <v/>
      </c>
      <c r="U424" s="1">
        <f>IF(OR(L424="Realizada completa",L424="Realizada incompleta"),1,0)</f>
        <v/>
      </c>
      <c r="V424" s="1">
        <f>IF(L424="Sin respuesta",1,0)</f>
        <v/>
      </c>
    </row>
    <row r="425">
      <c r="A425" s="1" t="inlineStr">
        <is>
          <t>424</t>
        </is>
      </c>
      <c r="B425" s="1" t="inlineStr">
        <is>
          <t>Jorge Artemio Solano Reinoso</t>
        </is>
      </c>
      <c r="C425" s="1" t="inlineStr">
        <is>
          <t>Defensoría del Pueblo</t>
        </is>
      </c>
      <c r="D425" s="1" t="inlineStr">
        <is>
          <t>Entrevista de actores clave</t>
        </is>
      </c>
      <c r="E425" s="1" t="inlineStr">
        <is>
          <t>Funcionarios del Sistema</t>
        </is>
      </c>
      <c r="F425" s="1" t="inlineStr">
        <is>
          <t>Distrito Judicial: Apurímac</t>
        </is>
      </c>
      <c r="G425" s="1" t="str"/>
      <c r="H425" s="1" t="str"/>
      <c r="I425" s="2" t="str"/>
      <c r="J425" s="2" t="str"/>
      <c r="K425" s="2" t="str"/>
      <c r="L425" s="1" t="str"/>
      <c r="M425" s="2" t="str"/>
      <c r="N425" s="2" t="str"/>
      <c r="O425" s="1" t="str"/>
      <c r="P425" s="1" t="str"/>
      <c r="Q425" s="1" t="str"/>
      <c r="R425" s="1">
        <f>IF(H425="Sí",1,0)</f>
        <v/>
      </c>
      <c r="S425" s="1">
        <f>IF(L425="En coordinación",1,0)</f>
        <v/>
      </c>
      <c r="T425" s="1">
        <f>IF(L425="Aceptada",1,0)</f>
        <v/>
      </c>
      <c r="U425" s="1">
        <f>IF(OR(L425="Realizada completa",L425="Realizada incompleta"),1,0)</f>
        <v/>
      </c>
      <c r="V425" s="1">
        <f>IF(L425="Sin respuesta",1,0)</f>
        <v/>
      </c>
    </row>
    <row r="426">
      <c r="A426" s="1" t="inlineStr">
        <is>
          <t>425</t>
        </is>
      </c>
      <c r="B426" s="1" t="inlineStr">
        <is>
          <t>Charo Carolina Vargas Arango</t>
        </is>
      </c>
      <c r="C426" s="1" t="inlineStr">
        <is>
          <t>Programa Warmi Ñan</t>
        </is>
      </c>
      <c r="D426" s="1" t="inlineStr">
        <is>
          <t>Entrevista de actores clave</t>
        </is>
      </c>
      <c r="E426" s="1" t="inlineStr">
        <is>
          <t>Funcionarios del Sistema</t>
        </is>
      </c>
      <c r="F426" s="1" t="inlineStr">
        <is>
          <t>Distrito Judicial: Ayacucho</t>
        </is>
      </c>
      <c r="G426" s="1" t="str"/>
      <c r="H426" s="1" t="str"/>
      <c r="I426" s="2" t="str"/>
      <c r="J426" s="2" t="str"/>
      <c r="K426" s="2" t="str"/>
      <c r="L426" s="1" t="str"/>
      <c r="M426" s="2" t="str"/>
      <c r="N426" s="2" t="str"/>
      <c r="O426" s="1" t="str"/>
      <c r="P426" s="1" t="str"/>
      <c r="Q426" s="1" t="str"/>
      <c r="R426" s="1">
        <f>IF(H426="Sí",1,0)</f>
        <v/>
      </c>
      <c r="S426" s="1">
        <f>IF(L426="En coordinación",1,0)</f>
        <v/>
      </c>
      <c r="T426" s="1">
        <f>IF(L426="Aceptada",1,0)</f>
        <v/>
      </c>
      <c r="U426" s="1">
        <f>IF(OR(L426="Realizada completa",L426="Realizada incompleta"),1,0)</f>
        <v/>
      </c>
      <c r="V426" s="1">
        <f>IF(L426="Sin respuesta",1,0)</f>
        <v/>
      </c>
    </row>
    <row r="427">
      <c r="A427" s="1" t="inlineStr">
        <is>
          <t>426</t>
        </is>
      </c>
      <c r="B427" s="1" t="inlineStr">
        <is>
          <t>Jannett Anghela Lovera Santana</t>
        </is>
      </c>
      <c r="C427" s="1" t="inlineStr">
        <is>
          <t>Instancia Regional de Concertación de Ayacucho</t>
        </is>
      </c>
      <c r="D427" s="1" t="inlineStr">
        <is>
          <t>Entrevista de actores clave</t>
        </is>
      </c>
      <c r="E427" s="1" t="inlineStr">
        <is>
          <t>Acompañantes</t>
        </is>
      </c>
      <c r="F427" s="1" t="inlineStr">
        <is>
          <t>Distrito Judicial: Ayacucho</t>
        </is>
      </c>
      <c r="G427" s="1" t="str"/>
      <c r="H427" s="1" t="str"/>
      <c r="I427" s="2" t="str"/>
      <c r="J427" s="2" t="str"/>
      <c r="K427" s="2" t="str"/>
      <c r="L427" s="1" t="str"/>
      <c r="M427" s="2" t="str"/>
      <c r="N427" s="2" t="str"/>
      <c r="O427" s="1" t="str"/>
      <c r="P427" s="1" t="str"/>
      <c r="Q427" s="1" t="str"/>
      <c r="R427" s="1">
        <f>IF(H427="Sí",1,0)</f>
        <v/>
      </c>
      <c r="S427" s="1">
        <f>IF(L427="En coordinación",1,0)</f>
        <v/>
      </c>
      <c r="T427" s="1">
        <f>IF(L427="Aceptada",1,0)</f>
        <v/>
      </c>
      <c r="U427" s="1">
        <f>IF(OR(L427="Realizada completa",L427="Realizada incompleta"),1,0)</f>
        <v/>
      </c>
      <c r="V427" s="1">
        <f>IF(L427="Sin respuesta",1,0)</f>
        <v/>
      </c>
    </row>
    <row r="428">
      <c r="A428" s="1" t="inlineStr">
        <is>
          <t>427</t>
        </is>
      </c>
      <c r="B428" s="1" t="inlineStr">
        <is>
          <t>Oster Paredes Fernández</t>
        </is>
      </c>
      <c r="C428" s="1" t="inlineStr">
        <is>
          <t>Instancia Regional de Concertación de Ayacucho</t>
        </is>
      </c>
      <c r="D428" s="1" t="inlineStr">
        <is>
          <t>Entrevista de actores clave</t>
        </is>
      </c>
      <c r="E428" s="1" t="inlineStr">
        <is>
          <t>Acompañantes</t>
        </is>
      </c>
      <c r="F428" s="1" t="inlineStr">
        <is>
          <t>Distrito Judicial: Ayacucho</t>
        </is>
      </c>
      <c r="G428" s="1" t="str"/>
      <c r="H428" s="1" t="str"/>
      <c r="I428" s="2" t="str"/>
      <c r="J428" s="2" t="str"/>
      <c r="K428" s="2" t="str"/>
      <c r="L428" s="1" t="str"/>
      <c r="M428" s="2" t="str"/>
      <c r="N428" s="2" t="str"/>
      <c r="O428" s="1" t="str"/>
      <c r="P428" s="1" t="str"/>
      <c r="Q428" s="1" t="str"/>
      <c r="R428" s="1">
        <f>IF(H428="Sí",1,0)</f>
        <v/>
      </c>
      <c r="S428" s="1">
        <f>IF(L428="En coordinación",1,0)</f>
        <v/>
      </c>
      <c r="T428" s="1">
        <f>IF(L428="Aceptada",1,0)</f>
        <v/>
      </c>
      <c r="U428" s="1">
        <f>IF(OR(L428="Realizada completa",L428="Realizada incompleta"),1,0)</f>
        <v/>
      </c>
      <c r="V428" s="1">
        <f>IF(L428="Sin respuesta",1,0)</f>
        <v/>
      </c>
    </row>
    <row r="429">
      <c r="A429" s="1" t="inlineStr">
        <is>
          <t>428</t>
        </is>
      </c>
      <c r="B429" s="1" t="inlineStr">
        <is>
          <t>Juan Teófilo Ortiz Arévalo</t>
        </is>
      </c>
      <c r="C429" s="1" t="inlineStr">
        <is>
          <t>Poder Judicial</t>
        </is>
      </c>
      <c r="D429" s="1" t="inlineStr">
        <is>
          <t>Entrevista de actores clave</t>
        </is>
      </c>
      <c r="E429" s="1" t="inlineStr">
        <is>
          <t>Funcionarios del Sistema</t>
        </is>
      </c>
      <c r="F429" s="1" t="inlineStr">
        <is>
          <t>Distrito Judicial: Ayacucho</t>
        </is>
      </c>
      <c r="G429" s="1" t="str"/>
      <c r="H429" s="1" t="str"/>
      <c r="I429" s="2" t="str"/>
      <c r="J429" s="2" t="str"/>
      <c r="K429" s="2" t="str"/>
      <c r="L429" s="1" t="str"/>
      <c r="M429" s="2" t="str"/>
      <c r="N429" s="2" t="str"/>
      <c r="O429" s="1" t="str"/>
      <c r="P429" s="1" t="str"/>
      <c r="Q429" s="1" t="str"/>
      <c r="R429" s="1">
        <f>IF(H429="Sí",1,0)</f>
        <v/>
      </c>
      <c r="S429" s="1">
        <f>IF(L429="En coordinación",1,0)</f>
        <v/>
      </c>
      <c r="T429" s="1">
        <f>IF(L429="Aceptada",1,0)</f>
        <v/>
      </c>
      <c r="U429" s="1">
        <f>IF(OR(L429="Realizada completa",L429="Realizada incompleta"),1,0)</f>
        <v/>
      </c>
      <c r="V429" s="1">
        <f>IF(L429="Sin respuesta",1,0)</f>
        <v/>
      </c>
    </row>
    <row r="430">
      <c r="A430" s="1" t="inlineStr">
        <is>
          <t>429</t>
        </is>
      </c>
      <c r="B430" s="1" t="inlineStr">
        <is>
          <t>Javier Edgar Anaya Cárdenas</t>
        </is>
      </c>
      <c r="C430" s="1" t="inlineStr">
        <is>
          <t>Ministerio Público (Fiscalía)</t>
        </is>
      </c>
      <c r="D430" s="1" t="inlineStr">
        <is>
          <t>Entrevista de actores clave</t>
        </is>
      </c>
      <c r="E430" s="1" t="inlineStr">
        <is>
          <t>Funcionarios del Sistema</t>
        </is>
      </c>
      <c r="F430" s="1" t="inlineStr">
        <is>
          <t>Distrito Judicial: Ayacucho</t>
        </is>
      </c>
      <c r="G430" s="1" t="str"/>
      <c r="H430" s="1" t="str"/>
      <c r="I430" s="2" t="str"/>
      <c r="J430" s="2" t="str"/>
      <c r="K430" s="2" t="str"/>
      <c r="L430" s="1" t="str"/>
      <c r="M430" s="2" t="str"/>
      <c r="N430" s="2" t="str"/>
      <c r="O430" s="1" t="str"/>
      <c r="P430" s="1" t="str"/>
      <c r="Q430" s="1" t="str"/>
      <c r="R430" s="1">
        <f>IF(H430="Sí",1,0)</f>
        <v/>
      </c>
      <c r="S430" s="1">
        <f>IF(L430="En coordinación",1,0)</f>
        <v/>
      </c>
      <c r="T430" s="1">
        <f>IF(L430="Aceptada",1,0)</f>
        <v/>
      </c>
      <c r="U430" s="1">
        <f>IF(OR(L430="Realizada completa",L430="Realizada incompleta"),1,0)</f>
        <v/>
      </c>
      <c r="V430" s="1">
        <f>IF(L430="Sin respuesta",1,0)</f>
        <v/>
      </c>
    </row>
    <row r="431">
      <c r="A431" s="1" t="inlineStr">
        <is>
          <t>430</t>
        </is>
      </c>
      <c r="B431" s="1" t="inlineStr">
        <is>
          <t>Wiber Jossef Vega Mendoza</t>
        </is>
      </c>
      <c r="C431" s="1" t="inlineStr">
        <is>
          <t>Defensoría del Pueblo</t>
        </is>
      </c>
      <c r="D431" s="1" t="inlineStr">
        <is>
          <t>Entrevista de actores clave</t>
        </is>
      </c>
      <c r="E431" s="1" t="inlineStr">
        <is>
          <t>Funcionarios del Sistema</t>
        </is>
      </c>
      <c r="F431" s="1" t="inlineStr">
        <is>
          <t>Distrito Judicial: Ayacucho</t>
        </is>
      </c>
      <c r="G431" s="1" t="str"/>
      <c r="H431" s="1" t="str"/>
      <c r="I431" s="2" t="str"/>
      <c r="J431" s="2" t="str"/>
      <c r="K431" s="2" t="str"/>
      <c r="L431" s="1" t="str"/>
      <c r="M431" s="2" t="str"/>
      <c r="N431" s="2" t="str"/>
      <c r="O431" s="1" t="str"/>
      <c r="P431" s="1" t="str"/>
      <c r="Q431" s="1" t="str"/>
      <c r="R431" s="1">
        <f>IF(H431="Sí",1,0)</f>
        <v/>
      </c>
      <c r="S431" s="1">
        <f>IF(L431="En coordinación",1,0)</f>
        <v/>
      </c>
      <c r="T431" s="1">
        <f>IF(L431="Aceptada",1,0)</f>
        <v/>
      </c>
      <c r="U431" s="1">
        <f>IF(OR(L431="Realizada completa",L431="Realizada incompleta"),1,0)</f>
        <v/>
      </c>
      <c r="V431" s="1">
        <f>IF(L431="Sin respuesta",1,0)</f>
        <v/>
      </c>
    </row>
    <row r="432">
      <c r="A432" s="1" t="inlineStr">
        <is>
          <t>431</t>
        </is>
      </c>
      <c r="B432" s="1" t="inlineStr">
        <is>
          <t>Wilver Felix Bautista Vallejo</t>
        </is>
      </c>
      <c r="C432" s="1" t="inlineStr">
        <is>
          <t>Instancia Regional de Concertación de Ayacucho</t>
        </is>
      </c>
      <c r="D432" s="1" t="inlineStr">
        <is>
          <t>Entrevista de actores clave</t>
        </is>
      </c>
      <c r="E432" s="1" t="inlineStr">
        <is>
          <t>Acompañantes</t>
        </is>
      </c>
      <c r="F432" s="1" t="inlineStr">
        <is>
          <t>Distrito Judicial: Ayacucho</t>
        </is>
      </c>
      <c r="G432" s="1" t="str"/>
      <c r="H432" s="1" t="str"/>
      <c r="I432" s="2" t="str"/>
      <c r="J432" s="2" t="str"/>
      <c r="K432" s="2" t="str"/>
      <c r="L432" s="1" t="str"/>
      <c r="M432" s="2" t="str"/>
      <c r="N432" s="2" t="str"/>
      <c r="O432" s="1" t="str"/>
      <c r="P432" s="1" t="str"/>
      <c r="Q432" s="1" t="str"/>
      <c r="R432" s="1">
        <f>IF(H432="Sí",1,0)</f>
        <v/>
      </c>
      <c r="S432" s="1">
        <f>IF(L432="En coordinación",1,0)</f>
        <v/>
      </c>
      <c r="T432" s="1">
        <f>IF(L432="Aceptada",1,0)</f>
        <v/>
      </c>
      <c r="U432" s="1">
        <f>IF(OR(L432="Realizada completa",L432="Realizada incompleta"),1,0)</f>
        <v/>
      </c>
      <c r="V432" s="1">
        <f>IF(L432="Sin respuesta",1,0)</f>
        <v/>
      </c>
    </row>
    <row r="433">
      <c r="A433" s="1" t="inlineStr">
        <is>
          <t>432</t>
        </is>
      </c>
      <c r="B433" s="1" t="inlineStr">
        <is>
          <t>Gral. PNP. Jorge Quiroz Grosso</t>
        </is>
      </c>
      <c r="C433" s="1" t="inlineStr">
        <is>
          <t>Región Policial</t>
        </is>
      </c>
      <c r="D433" s="1" t="inlineStr">
        <is>
          <t>Entrevista de actores clave</t>
        </is>
      </c>
      <c r="E433" s="1" t="inlineStr">
        <is>
          <t>Funcionarios del Sistema</t>
        </is>
      </c>
      <c r="F433" s="1" t="inlineStr">
        <is>
          <t>Distrito Judicial: Ayacucho</t>
        </is>
      </c>
      <c r="G433" s="1" t="str"/>
      <c r="H433" s="1" t="str"/>
      <c r="I433" s="2" t="str"/>
      <c r="J433" s="2" t="str"/>
      <c r="K433" s="2" t="str"/>
      <c r="L433" s="1" t="str"/>
      <c r="M433" s="2" t="str"/>
      <c r="N433" s="2" t="str"/>
      <c r="O433" s="1" t="str"/>
      <c r="P433" s="1" t="str"/>
      <c r="Q433" s="1" t="str"/>
      <c r="R433" s="1">
        <f>IF(H433="Sí",1,0)</f>
        <v/>
      </c>
      <c r="S433" s="1">
        <f>IF(L433="En coordinación",1,0)</f>
        <v/>
      </c>
      <c r="T433" s="1">
        <f>IF(L433="Aceptada",1,0)</f>
        <v/>
      </c>
      <c r="U433" s="1">
        <f>IF(OR(L433="Realizada completa",L433="Realizada incompleta"),1,0)</f>
        <v/>
      </c>
      <c r="V433" s="1">
        <f>IF(L433="Sin respuesta",1,0)</f>
        <v/>
      </c>
    </row>
    <row r="434">
      <c r="A434" s="1" t="inlineStr">
        <is>
          <t>433</t>
        </is>
      </c>
      <c r="B434" s="1" t="inlineStr">
        <is>
          <t>Diana Medina</t>
        </is>
      </c>
      <c r="C434" s="1" t="inlineStr">
        <is>
          <t>Instancia Distrital de Concertación de Comas</t>
        </is>
      </c>
      <c r="D434" s="1" t="inlineStr">
        <is>
          <t>Entrevista de actores clave</t>
        </is>
      </c>
      <c r="E434" s="1" t="inlineStr">
        <is>
          <t>Acompañantes</t>
        </is>
      </c>
      <c r="F434" s="1" t="inlineStr">
        <is>
          <t>Distrito Judicial: Lima Norte</t>
        </is>
      </c>
      <c r="G434" s="1" t="str"/>
      <c r="H434" s="1" t="str"/>
      <c r="I434" s="2" t="str"/>
      <c r="J434" s="2" t="str"/>
      <c r="K434" s="2" t="str"/>
      <c r="L434" s="1" t="str"/>
      <c r="M434" s="2" t="str"/>
      <c r="N434" s="2" t="str"/>
      <c r="O434" s="1" t="str"/>
      <c r="P434" s="1" t="str"/>
      <c r="Q434" s="1" t="str"/>
      <c r="R434" s="1">
        <f>IF(H434="Sí",1,0)</f>
        <v/>
      </c>
      <c r="S434" s="1">
        <f>IF(L434="En coordinación",1,0)</f>
        <v/>
      </c>
      <c r="T434" s="1">
        <f>IF(L434="Aceptada",1,0)</f>
        <v/>
      </c>
      <c r="U434" s="1">
        <f>IF(OR(L434="Realizada completa",L434="Realizada incompleta"),1,0)</f>
        <v/>
      </c>
      <c r="V434" s="1">
        <f>IF(L434="Sin respuesta",1,0)</f>
        <v/>
      </c>
    </row>
    <row r="435">
      <c r="A435" s="1" t="inlineStr">
        <is>
          <t>434</t>
        </is>
      </c>
      <c r="B435" s="1" t="inlineStr">
        <is>
          <t>Zoila Velásquez</t>
        </is>
      </c>
      <c r="C435" s="1" t="inlineStr">
        <is>
          <t>Instancia Distrital de Concertación de Comas</t>
        </is>
      </c>
      <c r="D435" s="1" t="inlineStr">
        <is>
          <t>Entrevista de actores clave</t>
        </is>
      </c>
      <c r="E435" s="1" t="inlineStr">
        <is>
          <t>Acompañantes</t>
        </is>
      </c>
      <c r="F435" s="1" t="inlineStr">
        <is>
          <t>Distrito Judicial: Lima Norte</t>
        </is>
      </c>
      <c r="G435" s="1" t="str"/>
      <c r="H435" s="1" t="str"/>
      <c r="I435" s="2" t="str"/>
      <c r="J435" s="2" t="str"/>
      <c r="K435" s="2" t="str"/>
      <c r="L435" s="1" t="str"/>
      <c r="M435" s="2" t="str"/>
      <c r="N435" s="2" t="str"/>
      <c r="O435" s="1" t="str"/>
      <c r="P435" s="1" t="str"/>
      <c r="Q435" s="1" t="str"/>
      <c r="R435" s="1">
        <f>IF(H435="Sí",1,0)</f>
        <v/>
      </c>
      <c r="S435" s="1">
        <f>IF(L435="En coordinación",1,0)</f>
        <v/>
      </c>
      <c r="T435" s="1">
        <f>IF(L435="Aceptada",1,0)</f>
        <v/>
      </c>
      <c r="U435" s="1">
        <f>IF(OR(L435="Realizada completa",L435="Realizada incompleta"),1,0)</f>
        <v/>
      </c>
      <c r="V435" s="1">
        <f>IF(L435="Sin respuesta",1,0)</f>
        <v/>
      </c>
    </row>
    <row r="436">
      <c r="A436" s="1" t="inlineStr">
        <is>
          <t>435</t>
        </is>
      </c>
      <c r="B436" s="1" t="inlineStr">
        <is>
          <t>Fanny Pomalaza</t>
        </is>
      </c>
      <c r="C436" s="1" t="inlineStr">
        <is>
          <t>Instancia Distrital de Concertación de Comas</t>
        </is>
      </c>
      <c r="D436" s="1" t="inlineStr">
        <is>
          <t>Entrevista de actores clave</t>
        </is>
      </c>
      <c r="E436" s="1" t="inlineStr">
        <is>
          <t>Acompañantes</t>
        </is>
      </c>
      <c r="F436" s="1" t="inlineStr">
        <is>
          <t>Distrito Judicial: Lima Norte</t>
        </is>
      </c>
      <c r="G436" s="1" t="str"/>
      <c r="H436" s="1" t="str"/>
      <c r="I436" s="2" t="str"/>
      <c r="J436" s="2" t="str"/>
      <c r="K436" s="2" t="str"/>
      <c r="L436" s="1" t="str"/>
      <c r="M436" s="2" t="str"/>
      <c r="N436" s="2" t="str"/>
      <c r="O436" s="1" t="str"/>
      <c r="P436" s="1" t="str"/>
      <c r="Q436" s="1" t="str"/>
      <c r="R436" s="1">
        <f>IF(H436="Sí",1,0)</f>
        <v/>
      </c>
      <c r="S436" s="1">
        <f>IF(L436="En coordinación",1,0)</f>
        <v/>
      </c>
      <c r="T436" s="1">
        <f>IF(L436="Aceptada",1,0)</f>
        <v/>
      </c>
      <c r="U436" s="1">
        <f>IF(OR(L436="Realizada completa",L436="Realizada incompleta"),1,0)</f>
        <v/>
      </c>
      <c r="V436" s="1">
        <f>IF(L436="Sin respuesta",1,0)</f>
        <v/>
      </c>
    </row>
    <row r="437">
      <c r="A437" s="1" t="inlineStr">
        <is>
          <t>436</t>
        </is>
      </c>
      <c r="B437" s="1" t="inlineStr">
        <is>
          <t>Angélica Agüero</t>
        </is>
      </c>
      <c r="C437" s="1" t="inlineStr">
        <is>
          <t>Instancia Distrital de Concertación de Comas</t>
        </is>
      </c>
      <c r="D437" s="1" t="inlineStr">
        <is>
          <t>Entrevista de actores clave</t>
        </is>
      </c>
      <c r="E437" s="1" t="inlineStr">
        <is>
          <t>Acompañantes</t>
        </is>
      </c>
      <c r="F437" s="1" t="inlineStr">
        <is>
          <t>Distrito Judicial: Lima Norte</t>
        </is>
      </c>
      <c r="G437" s="1" t="str"/>
      <c r="H437" s="1" t="str"/>
      <c r="I437" s="2" t="str"/>
      <c r="J437" s="2" t="str"/>
      <c r="K437" s="2" t="str"/>
      <c r="L437" s="1" t="str"/>
      <c r="M437" s="2" t="str"/>
      <c r="N437" s="2" t="str"/>
      <c r="O437" s="1" t="str"/>
      <c r="P437" s="1" t="str"/>
      <c r="Q437" s="1" t="str"/>
      <c r="R437" s="1">
        <f>IF(H437="Sí",1,0)</f>
        <v/>
      </c>
      <c r="S437" s="1">
        <f>IF(L437="En coordinación",1,0)</f>
        <v/>
      </c>
      <c r="T437" s="1">
        <f>IF(L437="Aceptada",1,0)</f>
        <v/>
      </c>
      <c r="U437" s="1">
        <f>IF(OR(L437="Realizada completa",L437="Realizada incompleta"),1,0)</f>
        <v/>
      </c>
      <c r="V437" s="1">
        <f>IF(L437="Sin respuesta",1,0)</f>
        <v/>
      </c>
    </row>
    <row r="438">
      <c r="A438" s="1" t="inlineStr">
        <is>
          <t>437</t>
        </is>
      </c>
      <c r="B438" s="1" t="inlineStr">
        <is>
          <t>Mónica Molina</t>
        </is>
      </c>
      <c r="C438" s="1" t="inlineStr">
        <is>
          <t>Instancia Distrital de Concertación de Comas</t>
        </is>
      </c>
      <c r="D438" s="1" t="inlineStr">
        <is>
          <t>Entrevista de actores clave</t>
        </is>
      </c>
      <c r="E438" s="1" t="inlineStr">
        <is>
          <t>Acompañantes</t>
        </is>
      </c>
      <c r="F438" s="1" t="inlineStr">
        <is>
          <t>Distrito Judicial: Lima Norte</t>
        </is>
      </c>
      <c r="G438" s="1" t="str"/>
      <c r="H438" s="1" t="str"/>
      <c r="I438" s="2" t="str"/>
      <c r="J438" s="2" t="str"/>
      <c r="K438" s="2" t="str"/>
      <c r="L438" s="1" t="str"/>
      <c r="M438" s="2" t="str"/>
      <c r="N438" s="2" t="str"/>
      <c r="O438" s="1" t="str"/>
      <c r="P438" s="1" t="str"/>
      <c r="Q438" s="1" t="str"/>
      <c r="R438" s="1">
        <f>IF(H438="Sí",1,0)</f>
        <v/>
      </c>
      <c r="S438" s="1">
        <f>IF(L438="En coordinación",1,0)</f>
        <v/>
      </c>
      <c r="T438" s="1">
        <f>IF(L438="Aceptada",1,0)</f>
        <v/>
      </c>
      <c r="U438" s="1">
        <f>IF(OR(L438="Realizada completa",L438="Realizada incompleta"),1,0)</f>
        <v/>
      </c>
      <c r="V438" s="1">
        <f>IF(L438="Sin respuesta",1,0)</f>
        <v/>
      </c>
    </row>
    <row r="439">
      <c r="A439" s="1" t="inlineStr">
        <is>
          <t>438</t>
        </is>
      </c>
      <c r="B439" s="1" t="inlineStr">
        <is>
          <t>Denisse Alvino</t>
        </is>
      </c>
      <c r="C439" s="1" t="inlineStr">
        <is>
          <t>Instancia Distrital de Concertación de Comas</t>
        </is>
      </c>
      <c r="D439" s="1" t="inlineStr">
        <is>
          <t>Entrevista de actores clave</t>
        </is>
      </c>
      <c r="E439" s="1" t="inlineStr">
        <is>
          <t>Acompañantes</t>
        </is>
      </c>
      <c r="F439" s="1" t="inlineStr">
        <is>
          <t>Distrito Judicial: Lima Norte</t>
        </is>
      </c>
      <c r="G439" s="1" t="str"/>
      <c r="H439" s="1" t="str"/>
      <c r="I439" s="2" t="str"/>
      <c r="J439" s="2" t="str"/>
      <c r="K439" s="2" t="str"/>
      <c r="L439" s="1" t="str"/>
      <c r="M439" s="2" t="str"/>
      <c r="N439" s="2" t="str"/>
      <c r="O439" s="1" t="str"/>
      <c r="P439" s="1" t="str"/>
      <c r="Q439" s="1" t="str"/>
      <c r="R439" s="1">
        <f>IF(H439="Sí",1,0)</f>
        <v/>
      </c>
      <c r="S439" s="1">
        <f>IF(L439="En coordinación",1,0)</f>
        <v/>
      </c>
      <c r="T439" s="1">
        <f>IF(L439="Aceptada",1,0)</f>
        <v/>
      </c>
      <c r="U439" s="1">
        <f>IF(OR(L439="Realizada completa",L439="Realizada incompleta"),1,0)</f>
        <v/>
      </c>
      <c r="V439" s="1">
        <f>IF(L439="Sin respuesta",1,0)</f>
        <v/>
      </c>
    </row>
    <row r="440">
      <c r="A440" s="1" t="inlineStr">
        <is>
          <t>439</t>
        </is>
      </c>
      <c r="B440" s="1" t="inlineStr">
        <is>
          <t>Moises Távara</t>
        </is>
      </c>
      <c r="C440" s="1" t="inlineStr">
        <is>
          <t>Ministerio Público (Fiscalía)</t>
        </is>
      </c>
      <c r="D440" s="1" t="inlineStr">
        <is>
          <t>Entrevista de actores clave</t>
        </is>
      </c>
      <c r="E440" s="1" t="inlineStr">
        <is>
          <t>Funcionarios del Sistema</t>
        </is>
      </c>
      <c r="F440" s="1" t="inlineStr">
        <is>
          <t>Distrito Judicial: Lima Norte</t>
        </is>
      </c>
      <c r="G440" s="1" t="str"/>
      <c r="H440" s="1" t="str"/>
      <c r="I440" s="2" t="str"/>
      <c r="J440" s="2" t="str"/>
      <c r="K440" s="2" t="str"/>
      <c r="L440" s="1" t="str"/>
      <c r="M440" s="2" t="str"/>
      <c r="N440" s="2" t="str"/>
      <c r="O440" s="1" t="str"/>
      <c r="P440" s="1" t="str"/>
      <c r="Q440" s="1" t="str"/>
      <c r="R440" s="1">
        <f>IF(H440="Sí",1,0)</f>
        <v/>
      </c>
      <c r="S440" s="1">
        <f>IF(L440="En coordinación",1,0)</f>
        <v/>
      </c>
      <c r="T440" s="1">
        <f>IF(L440="Aceptada",1,0)</f>
        <v/>
      </c>
      <c r="U440" s="1">
        <f>IF(OR(L440="Realizada completa",L440="Realizada incompleta"),1,0)</f>
        <v/>
      </c>
      <c r="V440" s="1">
        <f>IF(L440="Sin respuesta",1,0)</f>
        <v/>
      </c>
    </row>
    <row r="441">
      <c r="A441" s="1" t="inlineStr">
        <is>
          <t>440</t>
        </is>
      </c>
      <c r="B441" s="1" t="inlineStr">
        <is>
          <t>Astrid Villanueva</t>
        </is>
      </c>
      <c r="C441" s="1" t="inlineStr">
        <is>
          <t>Instancia Regional de Concertación de Cajamarca</t>
        </is>
      </c>
      <c r="D441" s="1" t="inlineStr">
        <is>
          <t>Entrevista de actores clave</t>
        </is>
      </c>
      <c r="E441" s="1" t="inlineStr">
        <is>
          <t>Acompañantes</t>
        </is>
      </c>
      <c r="F441" s="1" t="inlineStr">
        <is>
          <t>Distrito Judicial: Cajamarca</t>
        </is>
      </c>
      <c r="G441" s="1" t="str"/>
      <c r="H441" s="1" t="str"/>
      <c r="I441" s="2" t="str"/>
      <c r="J441" s="2" t="str"/>
      <c r="K441" s="2" t="str"/>
      <c r="L441" s="1" t="str"/>
      <c r="M441" s="2" t="str"/>
      <c r="N441" s="2" t="str"/>
      <c r="O441" s="1" t="str"/>
      <c r="P441" s="1" t="str"/>
      <c r="Q441" s="1" t="str"/>
      <c r="R441" s="1">
        <f>IF(H441="Sí",1,0)</f>
        <v/>
      </c>
      <c r="S441" s="1">
        <f>IF(L441="En coordinación",1,0)</f>
        <v/>
      </c>
      <c r="T441" s="1">
        <f>IF(L441="Aceptada",1,0)</f>
        <v/>
      </c>
      <c r="U441" s="1">
        <f>IF(OR(L441="Realizada completa",L441="Realizada incompleta"),1,0)</f>
        <v/>
      </c>
      <c r="V441" s="1">
        <f>IF(L441="Sin respuesta",1,0)</f>
        <v/>
      </c>
    </row>
    <row r="442">
      <c r="A442" s="1" t="inlineStr">
        <is>
          <t>441</t>
        </is>
      </c>
      <c r="B442" s="1" t="inlineStr">
        <is>
          <t>Hermogenes Vicente Lima Chayña</t>
        </is>
      </c>
      <c r="C442" s="1" t="inlineStr">
        <is>
          <t>Juez Superior Titular de la Sala Superior Pucallpa</t>
        </is>
      </c>
      <c r="D442" s="1" t="inlineStr">
        <is>
          <t>Entrevista de actores clave</t>
        </is>
      </c>
      <c r="E442" s="1" t="inlineStr">
        <is>
          <t>Funcionarios del Sistema</t>
        </is>
      </c>
      <c r="F442" s="1" t="inlineStr">
        <is>
          <t>Distrito Judicial: Ucayali</t>
        </is>
      </c>
      <c r="G442" s="1" t="str"/>
      <c r="H442" s="1" t="str"/>
      <c r="I442" s="2" t="str"/>
      <c r="J442" s="2" t="str"/>
      <c r="K442" s="2" t="str"/>
      <c r="L442" s="1" t="str"/>
      <c r="M442" s="2" t="str"/>
      <c r="N442" s="2" t="str"/>
      <c r="O442" s="1" t="str"/>
      <c r="P442" s="1" t="str"/>
      <c r="Q442" s="1" t="str"/>
      <c r="R442" s="1">
        <f>IF(H442="Sí",1,0)</f>
        <v/>
      </c>
      <c r="S442" s="1">
        <f>IF(L442="En coordinación",1,0)</f>
        <v/>
      </c>
      <c r="T442" s="1">
        <f>IF(L442="Aceptada",1,0)</f>
        <v/>
      </c>
      <c r="U442" s="1">
        <f>IF(OR(L442="Realizada completa",L442="Realizada incompleta"),1,0)</f>
        <v/>
      </c>
      <c r="V442" s="1">
        <f>IF(L442="Sin respuesta",1,0)</f>
        <v/>
      </c>
    </row>
    <row r="443">
      <c r="A443" s="1" t="inlineStr">
        <is>
          <t>442</t>
        </is>
      </c>
      <c r="B443" s="1" t="inlineStr">
        <is>
          <t>María Resurección</t>
        </is>
      </c>
      <c r="C443" s="1" t="inlineStr">
        <is>
          <t>CAR PILLCO MOZO</t>
        </is>
      </c>
      <c r="D443" s="1" t="inlineStr">
        <is>
          <t>Entrevista de actores clave</t>
        </is>
      </c>
      <c r="E443" s="1" t="str"/>
      <c r="F443" s="1" t="inlineStr">
        <is>
          <t>Distrito Judicial: Huánuco</t>
        </is>
      </c>
      <c r="G443" s="1" t="str"/>
      <c r="H443" s="1" t="str"/>
      <c r="I443" s="2" t="str"/>
      <c r="J443" s="2" t="str"/>
      <c r="K443" s="2" t="str"/>
      <c r="L443" s="1" t="str"/>
      <c r="M443" s="2" t="str"/>
      <c r="N443" s="2" t="str"/>
      <c r="O443" s="1" t="str"/>
      <c r="P443" s="1" t="str"/>
      <c r="Q443" s="1" t="str"/>
      <c r="R443" s="1">
        <f>IF(H443="Sí",1,0)</f>
        <v/>
      </c>
      <c r="S443" s="1">
        <f>IF(L443="En coordinación",1,0)</f>
        <v/>
      </c>
      <c r="T443" s="1">
        <f>IF(L443="Aceptada",1,0)</f>
        <v/>
      </c>
      <c r="U443" s="1">
        <f>IF(OR(L443="Realizada completa",L443="Realizada incompleta"),1,0)</f>
        <v/>
      </c>
      <c r="V443" s="1">
        <f>IF(L443="Sin respuesta",1,0)</f>
        <v/>
      </c>
    </row>
    <row r="444">
      <c r="A444" s="1" t="inlineStr">
        <is>
          <t>443</t>
        </is>
      </c>
      <c r="B444" s="1" t="inlineStr">
        <is>
          <t>Elías Cabrera Sanchez</t>
        </is>
      </c>
      <c r="C444" s="1" t="inlineStr">
        <is>
          <t>CAR Virgen María</t>
        </is>
      </c>
      <c r="D444" s="1" t="inlineStr">
        <is>
          <t>Entrevista de actores clave</t>
        </is>
      </c>
      <c r="E444" s="1" t="inlineStr">
        <is>
          <t>Funcionarios del Sistema</t>
        </is>
      </c>
      <c r="F444" s="1" t="inlineStr">
        <is>
          <t>Distrito Judicial: Ucayali</t>
        </is>
      </c>
      <c r="G444" s="1" t="str"/>
      <c r="H444" s="1" t="inlineStr">
        <is>
          <t>Sí</t>
        </is>
      </c>
      <c r="I444" s="2" t="str"/>
      <c r="J444" s="2" t="str"/>
      <c r="K444" s="2" t="str"/>
      <c r="L444" s="1" t="inlineStr">
        <is>
          <t>Realizada completa</t>
        </is>
      </c>
      <c r="M444" s="2" t="inlineStr">
        <is>
          <t>13-Jul</t>
        </is>
      </c>
      <c r="N444" s="2" t="inlineStr">
        <is>
          <t>13-Jul</t>
        </is>
      </c>
      <c r="O444" s="1" t="inlineStr">
        <is>
          <t>Realizada completa</t>
        </is>
      </c>
      <c r="P444" s="1" t="inlineStr">
        <is>
          <t>32</t>
        </is>
      </c>
      <c r="Q444" s="1" t="inlineStr">
        <is>
          <t>A distancia asistido</t>
        </is>
      </c>
      <c r="R444" s="1">
        <f>IF(H444="Sí",1,0)</f>
        <v/>
      </c>
      <c r="S444" s="1">
        <f>IF(L444="En coordinación",1,0)</f>
        <v/>
      </c>
      <c r="T444" s="1">
        <f>IF(L444="Aceptada",1,0)</f>
        <v/>
      </c>
      <c r="U444" s="1">
        <f>IF(OR(L444="Realizada completa",L444="Realizada incompleta"),1,0)</f>
        <v/>
      </c>
      <c r="V444" s="1">
        <f>IF(L444="Sin respuesta",1,0)</f>
        <v/>
      </c>
    </row>
    <row r="445">
      <c r="A445" s="1" t="inlineStr">
        <is>
          <t>444</t>
        </is>
      </c>
      <c r="B445" s="1" t="inlineStr">
        <is>
          <t>Patricia Poma López</t>
        </is>
      </c>
      <c r="C445" s="1" t="inlineStr">
        <is>
          <t>Región Policial</t>
        </is>
      </c>
      <c r="D445" s="1" t="inlineStr">
        <is>
          <t>Entrevista de actores clave</t>
        </is>
      </c>
      <c r="E445" s="1" t="inlineStr">
        <is>
          <t>Funcionarios del Sistema</t>
        </is>
      </c>
      <c r="F445" s="1" t="inlineStr">
        <is>
          <t>Distrito Judicial: Huánuco</t>
        </is>
      </c>
      <c r="G445" s="1" t="str"/>
      <c r="H445" s="1" t="str"/>
      <c r="I445" s="2" t="str"/>
      <c r="J445" s="2" t="str"/>
      <c r="K445" s="2" t="str"/>
      <c r="L445" s="1" t="str"/>
      <c r="M445" s="2" t="str"/>
      <c r="N445" s="2" t="str"/>
      <c r="O445" s="1" t="str"/>
      <c r="P445" s="1" t="str"/>
      <c r="Q445" s="1" t="str"/>
      <c r="R445" s="1">
        <f>IF(H445="Sí",1,0)</f>
        <v/>
      </c>
      <c r="S445" s="1">
        <f>IF(L445="En coordinación",1,0)</f>
        <v/>
      </c>
      <c r="T445" s="1">
        <f>IF(L445="Aceptada",1,0)</f>
        <v/>
      </c>
      <c r="U445" s="1">
        <f>IF(OR(L445="Realizada completa",L445="Realizada incompleta"),1,0)</f>
        <v/>
      </c>
      <c r="V445" s="1">
        <f>IF(L445="Sin respuesta",1,0)</f>
        <v/>
      </c>
    </row>
    <row r="446">
      <c r="A446" s="1" t="inlineStr">
        <is>
          <t>445</t>
        </is>
      </c>
      <c r="B446" s="1" t="inlineStr">
        <is>
          <t>Gregorio Paucar</t>
        </is>
      </c>
      <c r="C446" s="1" t="inlineStr">
        <is>
          <t>Instancia Provincial de Concertación de Leoncio Prado</t>
        </is>
      </c>
      <c r="D446" s="1" t="inlineStr">
        <is>
          <t>Entrevista de actores clave</t>
        </is>
      </c>
      <c r="E446" s="1" t="inlineStr">
        <is>
          <t>Acompañantes</t>
        </is>
      </c>
      <c r="F446" s="1" t="inlineStr">
        <is>
          <t>Distrito Judicial: Huánuco</t>
        </is>
      </c>
      <c r="G446" s="1" t="str"/>
      <c r="H446" s="1" t="str"/>
      <c r="I446" s="2" t="str"/>
      <c r="J446" s="2" t="str"/>
      <c r="K446" s="2" t="str"/>
      <c r="L446" s="1" t="str"/>
      <c r="M446" s="2" t="str"/>
      <c r="N446" s="2" t="str"/>
      <c r="O446" s="1" t="str"/>
      <c r="P446" s="1" t="str"/>
      <c r="Q446" s="1" t="str"/>
      <c r="R446" s="1">
        <f>IF(H446="Sí",1,0)</f>
        <v/>
      </c>
      <c r="S446" s="1">
        <f>IF(L446="En coordinación",1,0)</f>
        <v/>
      </c>
      <c r="T446" s="1">
        <f>IF(L446="Aceptada",1,0)</f>
        <v/>
      </c>
      <c r="U446" s="1">
        <f>IF(OR(L446="Realizada completa",L446="Realizada incompleta"),1,0)</f>
        <v/>
      </c>
      <c r="V446" s="1">
        <f>IF(L446="Sin respuesta",1,0)</f>
        <v/>
      </c>
    </row>
    <row r="447">
      <c r="A447" s="1" t="inlineStr">
        <is>
          <t>446</t>
        </is>
      </c>
      <c r="B447" s="1" t="inlineStr">
        <is>
          <t>Yuly Hinostroza</t>
        </is>
      </c>
      <c r="C447" s="1" t="inlineStr">
        <is>
          <t>Instancia Provincial de Concertación de Leoncio Prado</t>
        </is>
      </c>
      <c r="D447" s="1" t="inlineStr">
        <is>
          <t>Entrevista de actores clave</t>
        </is>
      </c>
      <c r="E447" s="1" t="inlineStr">
        <is>
          <t>Acompañantes</t>
        </is>
      </c>
      <c r="F447" s="1" t="inlineStr">
        <is>
          <t>Distrito Judicial: Huánuco</t>
        </is>
      </c>
      <c r="G447" s="1" t="str"/>
      <c r="H447" s="1" t="str"/>
      <c r="I447" s="2" t="str"/>
      <c r="J447" s="2" t="str"/>
      <c r="K447" s="2" t="str"/>
      <c r="L447" s="1" t="str"/>
      <c r="M447" s="2" t="str"/>
      <c r="N447" s="2" t="str"/>
      <c r="O447" s="1" t="str"/>
      <c r="P447" s="1" t="str"/>
      <c r="Q447" s="1" t="str"/>
      <c r="R447" s="1">
        <f>IF(H447="Sí",1,0)</f>
        <v/>
      </c>
      <c r="S447" s="1">
        <f>IF(L447="En coordinación",1,0)</f>
        <v/>
      </c>
      <c r="T447" s="1">
        <f>IF(L447="Aceptada",1,0)</f>
        <v/>
      </c>
      <c r="U447" s="1">
        <f>IF(OR(L447="Realizada completa",L447="Realizada incompleta"),1,0)</f>
        <v/>
      </c>
      <c r="V447" s="1">
        <f>IF(L447="Sin respuesta",1,0)</f>
        <v/>
      </c>
    </row>
    <row r="448">
      <c r="A448" s="1" t="inlineStr">
        <is>
          <t>447</t>
        </is>
      </c>
      <c r="B448" s="1" t="inlineStr">
        <is>
          <t>María Isabel Panduro</t>
        </is>
      </c>
      <c r="C448" s="1" t="inlineStr">
        <is>
          <t>Instancia Provincial de Concertación de Leoncio Prado</t>
        </is>
      </c>
      <c r="D448" s="1" t="inlineStr">
        <is>
          <t>Entrevista de actores clave</t>
        </is>
      </c>
      <c r="E448" s="1" t="inlineStr">
        <is>
          <t>Acompañantes</t>
        </is>
      </c>
      <c r="F448" s="1" t="inlineStr">
        <is>
          <t>Distrito Judicial: Huánuco</t>
        </is>
      </c>
      <c r="G448" s="1" t="str"/>
      <c r="H448" s="1" t="str"/>
      <c r="I448" s="2" t="str"/>
      <c r="J448" s="2" t="str"/>
      <c r="K448" s="2" t="str"/>
      <c r="L448" s="1" t="str"/>
      <c r="M448" s="2" t="str"/>
      <c r="N448" s="2" t="str"/>
      <c r="O448" s="1" t="str"/>
      <c r="P448" s="1" t="str"/>
      <c r="Q448" s="1" t="str"/>
      <c r="R448" s="1">
        <f>IF(H448="Sí",1,0)</f>
        <v/>
      </c>
      <c r="S448" s="1">
        <f>IF(L448="En coordinación",1,0)</f>
        <v/>
      </c>
      <c r="T448" s="1">
        <f>IF(L448="Aceptada",1,0)</f>
        <v/>
      </c>
      <c r="U448" s="1">
        <f>IF(OR(L448="Realizada completa",L448="Realizada incompleta"),1,0)</f>
        <v/>
      </c>
      <c r="V448" s="1">
        <f>IF(L448="Sin respuesta",1,0)</f>
        <v/>
      </c>
    </row>
    <row r="449">
      <c r="A449" s="1" t="inlineStr">
        <is>
          <t>448</t>
        </is>
      </c>
      <c r="B449" s="1" t="inlineStr">
        <is>
          <t>María Castillo</t>
        </is>
      </c>
      <c r="C449" s="1" t="inlineStr">
        <is>
          <t>Instancia Provincial de Concertación de Leoncio Prado</t>
        </is>
      </c>
      <c r="D449" s="1" t="inlineStr">
        <is>
          <t>Entrevista de actores clave</t>
        </is>
      </c>
      <c r="E449" s="1" t="inlineStr">
        <is>
          <t>Acompañantes</t>
        </is>
      </c>
      <c r="F449" s="1" t="inlineStr">
        <is>
          <t>Distrito Judicial: Huánuco</t>
        </is>
      </c>
      <c r="G449" s="1" t="str"/>
      <c r="H449" s="1" t="str"/>
      <c r="I449" s="2" t="str"/>
      <c r="J449" s="2" t="str"/>
      <c r="K449" s="2" t="str"/>
      <c r="L449" s="1" t="str"/>
      <c r="M449" s="2" t="str"/>
      <c r="N449" s="2" t="str"/>
      <c r="O449" s="1" t="str"/>
      <c r="P449" s="1" t="str"/>
      <c r="Q449" s="1" t="str"/>
      <c r="R449" s="1">
        <f>IF(H449="Sí",1,0)</f>
        <v/>
      </c>
      <c r="S449" s="1">
        <f>IF(L449="En coordinación",1,0)</f>
        <v/>
      </c>
      <c r="T449" s="1">
        <f>IF(L449="Aceptada",1,0)</f>
        <v/>
      </c>
      <c r="U449" s="1">
        <f>IF(OR(L449="Realizada completa",L449="Realizada incompleta"),1,0)</f>
        <v/>
      </c>
      <c r="V449" s="1">
        <f>IF(L449="Sin respuesta",1,0)</f>
        <v/>
      </c>
    </row>
    <row r="450">
      <c r="A450" s="1" t="inlineStr">
        <is>
          <t>449</t>
        </is>
      </c>
      <c r="B450" s="1" t="inlineStr">
        <is>
          <t>Lidia Hidalgo</t>
        </is>
      </c>
      <c r="C450" s="1" t="inlineStr">
        <is>
          <t>Instancia Provincial de Concertación de Leoncio Prado</t>
        </is>
      </c>
      <c r="D450" s="1" t="inlineStr">
        <is>
          <t>Entrevista de actores clave</t>
        </is>
      </c>
      <c r="E450" s="1" t="inlineStr">
        <is>
          <t>Acompañantes</t>
        </is>
      </c>
      <c r="F450" s="1" t="inlineStr">
        <is>
          <t>Distrito Judicial: Huánuco</t>
        </is>
      </c>
      <c r="G450" s="1" t="str"/>
      <c r="H450" s="1" t="str"/>
      <c r="I450" s="2" t="str"/>
      <c r="J450" s="2" t="str"/>
      <c r="K450" s="2" t="str"/>
      <c r="L450" s="1" t="str"/>
      <c r="M450" s="2" t="str"/>
      <c r="N450" s="2" t="str"/>
      <c r="O450" s="1" t="str"/>
      <c r="P450" s="1" t="str"/>
      <c r="Q450" s="1" t="str"/>
      <c r="R450" s="1">
        <f>IF(H450="Sí",1,0)</f>
        <v/>
      </c>
      <c r="S450" s="1">
        <f>IF(L450="En coordinación",1,0)</f>
        <v/>
      </c>
      <c r="T450" s="1">
        <f>IF(L450="Aceptada",1,0)</f>
        <v/>
      </c>
      <c r="U450" s="1">
        <f>IF(OR(L450="Realizada completa",L450="Realizada incompleta"),1,0)</f>
        <v/>
      </c>
      <c r="V450" s="1">
        <f>IF(L450="Sin respuesta",1,0)</f>
        <v/>
      </c>
    </row>
    <row r="451">
      <c r="A451" s="1" t="inlineStr">
        <is>
          <t>450</t>
        </is>
      </c>
      <c r="B451" s="1" t="inlineStr">
        <is>
          <t>Rosa Ballardo</t>
        </is>
      </c>
      <c r="C451" s="1" t="inlineStr">
        <is>
          <t>Centros de Emergencia Mujer</t>
        </is>
      </c>
      <c r="D451" s="1" t="inlineStr">
        <is>
          <t>Entrevista de actores clave</t>
        </is>
      </c>
      <c r="E451" s="1" t="inlineStr">
        <is>
          <t>Funcionarios del Sistema</t>
        </is>
      </c>
      <c r="F451" s="1" t="inlineStr">
        <is>
          <t>Distrito Judicial: Huánuco</t>
        </is>
      </c>
      <c r="G451" s="1" t="str"/>
      <c r="H451" s="1" t="str"/>
      <c r="I451" s="2" t="str"/>
      <c r="J451" s="2" t="str"/>
      <c r="K451" s="2" t="str"/>
      <c r="L451" s="1" t="inlineStr">
        <is>
          <t>Aceptada</t>
        </is>
      </c>
      <c r="M451" s="2" t="str"/>
      <c r="N451" s="2" t="str"/>
      <c r="O451" s="1" t="inlineStr">
        <is>
          <t>Aceptada</t>
        </is>
      </c>
      <c r="P451" s="1" t="str"/>
      <c r="Q451" s="1" t="str"/>
      <c r="R451" s="1">
        <f>IF(H451="Sí",1,0)</f>
        <v/>
      </c>
      <c r="S451" s="1">
        <f>IF(L451="En coordinación",1,0)</f>
        <v/>
      </c>
      <c r="T451" s="1">
        <f>IF(L451="Aceptada",1,0)</f>
        <v/>
      </c>
      <c r="U451" s="1">
        <f>IF(OR(L451="Realizada completa",L451="Realizada incompleta"),1,0)</f>
        <v/>
      </c>
      <c r="V451" s="1">
        <f>IF(L451="Sin respuesta",1,0)</f>
        <v/>
      </c>
    </row>
    <row r="452">
      <c r="A452" s="1" t="inlineStr">
        <is>
          <t>451</t>
        </is>
      </c>
      <c r="B452" s="1" t="inlineStr">
        <is>
          <t>Moisés De la Cruz</t>
        </is>
      </c>
      <c r="C452" s="1" t="inlineStr">
        <is>
          <t>Centros de Emergencia Mujer</t>
        </is>
      </c>
      <c r="D452" s="1" t="inlineStr">
        <is>
          <t>Entrevista de actores clave</t>
        </is>
      </c>
      <c r="E452" s="1" t="inlineStr">
        <is>
          <t>Funcionarios del Sistema</t>
        </is>
      </c>
      <c r="F452" s="1" t="inlineStr">
        <is>
          <t>Distrito Judicial: Huánuco</t>
        </is>
      </c>
      <c r="G452" s="1" t="str"/>
      <c r="H452" s="1" t="str"/>
      <c r="I452" s="2" t="str"/>
      <c r="J452" s="2" t="str"/>
      <c r="K452" s="2" t="str"/>
      <c r="L452" s="1" t="str"/>
      <c r="M452" s="2" t="str"/>
      <c r="N452" s="2" t="str"/>
      <c r="O452" s="1" t="str"/>
      <c r="P452" s="1" t="str"/>
      <c r="Q452" s="1" t="str"/>
      <c r="R452" s="1">
        <f>IF(H452="Sí",1,0)</f>
        <v/>
      </c>
      <c r="S452" s="1">
        <f>IF(L452="En coordinación",1,0)</f>
        <v/>
      </c>
      <c r="T452" s="1">
        <f>IF(L452="Aceptada",1,0)</f>
        <v/>
      </c>
      <c r="U452" s="1">
        <f>IF(OR(L452="Realizada completa",L452="Realizada incompleta"),1,0)</f>
        <v/>
      </c>
      <c r="V452" s="1">
        <f>IF(L452="Sin respuesta",1,0)</f>
        <v/>
      </c>
    </row>
    <row r="453">
      <c r="A453" s="1" t="inlineStr">
        <is>
          <t>452</t>
        </is>
      </c>
      <c r="B453" s="1" t="inlineStr">
        <is>
          <t>CRNL. PNP Christiam D. Chavez Gomez</t>
        </is>
      </c>
      <c r="C453" s="1" t="inlineStr">
        <is>
          <t>Región Policial</t>
        </is>
      </c>
      <c r="D453" s="1" t="inlineStr">
        <is>
          <t>Entrevista de actores clave</t>
        </is>
      </c>
      <c r="E453" s="1" t="inlineStr">
        <is>
          <t>Funcionarios del Sistema</t>
        </is>
      </c>
      <c r="F453" s="1" t="inlineStr">
        <is>
          <t>Distrito Judicial: Huánuco</t>
        </is>
      </c>
      <c r="G453" s="1" t="str"/>
      <c r="H453" s="1" t="str"/>
      <c r="I453" s="2" t="str"/>
      <c r="J453" s="2" t="str"/>
      <c r="K453" s="2" t="str"/>
      <c r="L453" s="1" t="str"/>
      <c r="M453" s="2" t="str"/>
      <c r="N453" s="2" t="str"/>
      <c r="O453" s="1" t="str"/>
      <c r="P453" s="1" t="str"/>
      <c r="Q453" s="1" t="str"/>
      <c r="R453" s="1">
        <f>IF(H453="Sí",1,0)</f>
        <v/>
      </c>
      <c r="S453" s="1">
        <f>IF(L453="En coordinación",1,0)</f>
        <v/>
      </c>
      <c r="T453" s="1">
        <f>IF(L453="Aceptada",1,0)</f>
        <v/>
      </c>
      <c r="U453" s="1">
        <f>IF(OR(L453="Realizada completa",L453="Realizada incompleta"),1,0)</f>
        <v/>
      </c>
      <c r="V453" s="1">
        <f>IF(L453="Sin respuesta",1,0)</f>
        <v/>
      </c>
    </row>
    <row r="454">
      <c r="A454" s="1" t="inlineStr">
        <is>
          <t>453</t>
        </is>
      </c>
      <c r="B454" s="1" t="inlineStr">
        <is>
          <t>CMDTE.PNP Carlos Bendezu Perez</t>
        </is>
      </c>
      <c r="C454" s="1" t="inlineStr">
        <is>
          <t>Región Policial</t>
        </is>
      </c>
      <c r="D454" s="1" t="inlineStr">
        <is>
          <t>Entrevista de actores clave</t>
        </is>
      </c>
      <c r="E454" s="1" t="inlineStr">
        <is>
          <t>Funcionarios del Sistema</t>
        </is>
      </c>
      <c r="F454" s="1" t="inlineStr">
        <is>
          <t>Distrito Judicial: Huánuco</t>
        </is>
      </c>
      <c r="G454" s="1" t="str"/>
      <c r="H454" s="1" t="str"/>
      <c r="I454" s="2" t="str"/>
      <c r="J454" s="2" t="str"/>
      <c r="K454" s="2" t="str"/>
      <c r="L454" s="1" t="str"/>
      <c r="M454" s="2" t="str"/>
      <c r="N454" s="2" t="str"/>
      <c r="O454" s="1" t="str"/>
      <c r="P454" s="1" t="str"/>
      <c r="Q454" s="1" t="str"/>
      <c r="R454" s="1">
        <f>IF(H454="Sí",1,0)</f>
        <v/>
      </c>
      <c r="S454" s="1">
        <f>IF(L454="En coordinación",1,0)</f>
        <v/>
      </c>
      <c r="T454" s="1">
        <f>IF(L454="Aceptada",1,0)</f>
        <v/>
      </c>
      <c r="U454" s="1">
        <f>IF(OR(L454="Realizada completa",L454="Realizada incompleta"),1,0)</f>
        <v/>
      </c>
      <c r="V454" s="1">
        <f>IF(L454="Sin respuesta",1,0)</f>
        <v/>
      </c>
    </row>
    <row r="455">
      <c r="A455" s="1" t="inlineStr">
        <is>
          <t>454</t>
        </is>
      </c>
      <c r="B455" s="1" t="inlineStr">
        <is>
          <t>Donato Neira Asencios</t>
        </is>
      </c>
      <c r="C455" s="1" t="inlineStr">
        <is>
          <t>Instancia Provincial de Concertación de Leoncio Prado</t>
        </is>
      </c>
      <c r="D455" s="1" t="inlineStr">
        <is>
          <t>Entrevista de actores clave</t>
        </is>
      </c>
      <c r="E455" s="1" t="inlineStr">
        <is>
          <t>Acompañantes</t>
        </is>
      </c>
      <c r="F455" s="1" t="inlineStr">
        <is>
          <t>Distrito Judicial: Huánuco</t>
        </is>
      </c>
      <c r="G455" s="1" t="str"/>
      <c r="H455" s="1" t="str"/>
      <c r="I455" s="2" t="str"/>
      <c r="J455" s="2" t="str"/>
      <c r="K455" s="2" t="str"/>
      <c r="L455" s="1" t="str"/>
      <c r="M455" s="2" t="str"/>
      <c r="N455" s="2" t="str"/>
      <c r="O455" s="1" t="str"/>
      <c r="P455" s="1" t="str"/>
      <c r="Q455" s="1" t="str"/>
      <c r="R455" s="1">
        <f>IF(H455="Sí",1,0)</f>
        <v/>
      </c>
      <c r="S455" s="1">
        <f>IF(L455="En coordinación",1,0)</f>
        <v/>
      </c>
      <c r="T455" s="1">
        <f>IF(L455="Aceptada",1,0)</f>
        <v/>
      </c>
      <c r="U455" s="1">
        <f>IF(OR(L455="Realizada completa",L455="Realizada incompleta"),1,0)</f>
        <v/>
      </c>
      <c r="V455" s="1">
        <f>IF(L455="Sin respuesta",1,0)</f>
        <v/>
      </c>
    </row>
    <row r="456">
      <c r="A456" s="1" t="inlineStr">
        <is>
          <t>455</t>
        </is>
      </c>
      <c r="B456" s="1" t="inlineStr">
        <is>
          <t>Milko Ruben Sierra Ascencios</t>
        </is>
      </c>
      <c r="C456" s="1" t="inlineStr">
        <is>
          <t>Poder Judicial</t>
        </is>
      </c>
      <c r="D456" s="1" t="inlineStr">
        <is>
          <t>Entrevista de actores clave</t>
        </is>
      </c>
      <c r="E456" s="1" t="inlineStr">
        <is>
          <t>Funcionarios del Sistema</t>
        </is>
      </c>
      <c r="F456" s="1" t="inlineStr">
        <is>
          <t>Distrito Judicial: Huánuco</t>
        </is>
      </c>
      <c r="G456" s="1" t="str"/>
      <c r="H456" s="1" t="str"/>
      <c r="I456" s="2" t="str"/>
      <c r="J456" s="2" t="str"/>
      <c r="K456" s="2" t="str"/>
      <c r="L456" s="1" t="str"/>
      <c r="M456" s="2" t="str"/>
      <c r="N456" s="2" t="str"/>
      <c r="O456" s="1" t="str"/>
      <c r="P456" s="1" t="str"/>
      <c r="Q456" s="1" t="str"/>
      <c r="R456" s="1">
        <f>IF(H456="Sí",1,0)</f>
        <v/>
      </c>
      <c r="S456" s="1">
        <f>IF(L456="En coordinación",1,0)</f>
        <v/>
      </c>
      <c r="T456" s="1">
        <f>IF(L456="Aceptada",1,0)</f>
        <v/>
      </c>
      <c r="U456" s="1">
        <f>IF(OR(L456="Realizada completa",L456="Realizada incompleta"),1,0)</f>
        <v/>
      </c>
      <c r="V456" s="1">
        <f>IF(L456="Sin respuesta",1,0)</f>
        <v/>
      </c>
    </row>
    <row r="457">
      <c r="A457" s="1" t="inlineStr">
        <is>
          <t>456</t>
        </is>
      </c>
      <c r="B457" s="1" t="inlineStr">
        <is>
          <t>Ivo Jesús Zevallos Salazar</t>
        </is>
      </c>
      <c r="C457" s="1" t="inlineStr">
        <is>
          <t>Poder Judicial</t>
        </is>
      </c>
      <c r="D457" s="1" t="inlineStr">
        <is>
          <t>Entrevista de actores clave</t>
        </is>
      </c>
      <c r="E457" s="1" t="inlineStr">
        <is>
          <t>Funcionarios del Sistema</t>
        </is>
      </c>
      <c r="F457" s="1" t="inlineStr">
        <is>
          <t>Distrito Judicial: Huánuco</t>
        </is>
      </c>
      <c r="G457" s="1" t="str"/>
      <c r="H457" s="1" t="str"/>
      <c r="I457" s="2" t="str"/>
      <c r="J457" s="2" t="str"/>
      <c r="K457" s="2" t="str"/>
      <c r="L457" s="1" t="str"/>
      <c r="M457" s="2" t="str"/>
      <c r="N457" s="2" t="str"/>
      <c r="O457" s="1" t="str"/>
      <c r="P457" s="1" t="str"/>
      <c r="Q457" s="1" t="str"/>
      <c r="R457" s="1">
        <f>IF(H457="Sí",1,0)</f>
        <v/>
      </c>
      <c r="S457" s="1">
        <f>IF(L457="En coordinación",1,0)</f>
        <v/>
      </c>
      <c r="T457" s="1">
        <f>IF(L457="Aceptada",1,0)</f>
        <v/>
      </c>
      <c r="U457" s="1">
        <f>IF(OR(L457="Realizada completa",L457="Realizada incompleta"),1,0)</f>
        <v/>
      </c>
      <c r="V457" s="1">
        <f>IF(L457="Sin respuesta",1,0)</f>
        <v/>
      </c>
    </row>
    <row r="458">
      <c r="A458" s="1" t="inlineStr">
        <is>
          <t>457</t>
        </is>
      </c>
      <c r="B458" s="1" t="inlineStr">
        <is>
          <t>Katherine Joselin Glvez Riveros</t>
        </is>
      </c>
      <c r="C458" s="1" t="inlineStr">
        <is>
          <t>Casa de Acogida Maria Luisa de Jesus</t>
        </is>
      </c>
      <c r="D458" s="1" t="inlineStr">
        <is>
          <t>Entrevista de actores clave</t>
        </is>
      </c>
      <c r="E458" s="1" t="inlineStr">
        <is>
          <t>Funcionarios del Sistema</t>
        </is>
      </c>
      <c r="F458" s="1" t="inlineStr">
        <is>
          <t>Distrito Judicial: Huánuco</t>
        </is>
      </c>
      <c r="G458" s="1" t="str"/>
      <c r="H458" s="1" t="str"/>
      <c r="I458" s="2" t="str"/>
      <c r="J458" s="2" t="str"/>
      <c r="K458" s="2" t="str"/>
      <c r="L458" s="1" t="str"/>
      <c r="M458" s="2" t="str"/>
      <c r="N458" s="2" t="str"/>
      <c r="O458" s="1" t="str"/>
      <c r="P458" s="1" t="str"/>
      <c r="Q458" s="1" t="str"/>
      <c r="R458" s="1">
        <f>IF(H458="Sí",1,0)</f>
        <v/>
      </c>
      <c r="S458" s="1">
        <f>IF(L458="En coordinación",1,0)</f>
        <v/>
      </c>
      <c r="T458" s="1">
        <f>IF(L458="Aceptada",1,0)</f>
        <v/>
      </c>
      <c r="U458" s="1">
        <f>IF(OR(L458="Realizada completa",L458="Realizada incompleta"),1,0)</f>
        <v/>
      </c>
      <c r="V458" s="1">
        <f>IF(L458="Sin respuesta",1,0)</f>
        <v/>
      </c>
    </row>
    <row r="459">
      <c r="A459" s="1" t="inlineStr">
        <is>
          <t>458</t>
        </is>
      </c>
      <c r="B459" s="1" t="inlineStr">
        <is>
          <t>Ketty Luz Basilio Atencio</t>
        </is>
      </c>
      <c r="C459" s="1" t="inlineStr">
        <is>
          <t>Casa de Acogida Maria Luisa de Jesus</t>
        </is>
      </c>
      <c r="D459" s="1" t="inlineStr">
        <is>
          <t>Entrevista de actores clave</t>
        </is>
      </c>
      <c r="E459" s="1" t="inlineStr">
        <is>
          <t>Funcionarios del Sistema</t>
        </is>
      </c>
      <c r="F459" s="1" t="inlineStr">
        <is>
          <t>Distrito Judicial: Huánuco</t>
        </is>
      </c>
      <c r="G459" s="1" t="str"/>
      <c r="H459" s="1" t="str"/>
      <c r="I459" s="2" t="str"/>
      <c r="J459" s="2" t="str"/>
      <c r="K459" s="2" t="str"/>
      <c r="L459" s="1" t="str"/>
      <c r="M459" s="2" t="str"/>
      <c r="N459" s="2" t="str"/>
      <c r="O459" s="1" t="str"/>
      <c r="P459" s="1" t="str"/>
      <c r="Q459" s="1" t="str"/>
      <c r="R459" s="1">
        <f>IF(H459="Sí",1,0)</f>
        <v/>
      </c>
      <c r="S459" s="1">
        <f>IF(L459="En coordinación",1,0)</f>
        <v/>
      </c>
      <c r="T459" s="1">
        <f>IF(L459="Aceptada",1,0)</f>
        <v/>
      </c>
      <c r="U459" s="1">
        <f>IF(OR(L459="Realizada completa",L459="Realizada incompleta"),1,0)</f>
        <v/>
      </c>
      <c r="V459" s="1">
        <f>IF(L459="Sin respuesta",1,0)</f>
        <v/>
      </c>
    </row>
    <row r="460">
      <c r="A460" s="1" t="inlineStr">
        <is>
          <t>459</t>
        </is>
      </c>
      <c r="B460" s="1" t="inlineStr">
        <is>
          <t>Jonathan Marlon García Palomino</t>
        </is>
      </c>
      <c r="C460" s="1" t="inlineStr">
        <is>
          <t>Instancia Provincial de Concertación de Leoncio Prado</t>
        </is>
      </c>
      <c r="D460" s="1" t="inlineStr">
        <is>
          <t>Entrevista de actores clave</t>
        </is>
      </c>
      <c r="E460" s="1" t="inlineStr">
        <is>
          <t>Acompañantes</t>
        </is>
      </c>
      <c r="F460" s="1" t="inlineStr">
        <is>
          <t>Distrito Judicial: Huánuco</t>
        </is>
      </c>
      <c r="G460" s="1" t="str"/>
      <c r="H460" s="1" t="str"/>
      <c r="I460" s="2" t="str"/>
      <c r="J460" s="2" t="str"/>
      <c r="K460" s="2" t="str"/>
      <c r="L460" s="1" t="str"/>
      <c r="M460" s="2" t="str"/>
      <c r="N460" s="2" t="str"/>
      <c r="O460" s="1" t="str"/>
      <c r="P460" s="1" t="str"/>
      <c r="Q460" s="1" t="str"/>
      <c r="R460" s="1">
        <f>IF(H460="Sí",1,0)</f>
        <v/>
      </c>
      <c r="S460" s="1">
        <f>IF(L460="En coordinación",1,0)</f>
        <v/>
      </c>
      <c r="T460" s="1">
        <f>IF(L460="Aceptada",1,0)</f>
        <v/>
      </c>
      <c r="U460" s="1">
        <f>IF(OR(L460="Realizada completa",L460="Realizada incompleta"),1,0)</f>
        <v/>
      </c>
      <c r="V460" s="1">
        <f>IF(L460="Sin respuesta",1,0)</f>
        <v/>
      </c>
    </row>
    <row r="461">
      <c r="A461" s="1" t="inlineStr">
        <is>
          <t>460</t>
        </is>
      </c>
      <c r="B461" s="1" t="inlineStr">
        <is>
          <t>Wilfredo Caillahua Achallma</t>
        </is>
      </c>
      <c r="C461" s="1" t="inlineStr">
        <is>
          <t>Instancia Regional de Concertación de Ayacucho</t>
        </is>
      </c>
      <c r="D461" s="1" t="inlineStr">
        <is>
          <t>Entrevista de actores clave</t>
        </is>
      </c>
      <c r="E461" s="1" t="inlineStr">
        <is>
          <t>Acompañantes</t>
        </is>
      </c>
      <c r="F461" s="1" t="inlineStr">
        <is>
          <t>Distrito Judicial: Ayacucho</t>
        </is>
      </c>
      <c r="G461" s="1" t="str"/>
      <c r="H461" s="1" t="str"/>
      <c r="I461" s="2" t="str"/>
      <c r="J461" s="2" t="str"/>
      <c r="K461" s="2" t="str"/>
      <c r="L461" s="1" t="str"/>
      <c r="M461" s="2" t="str"/>
      <c r="N461" s="2" t="str"/>
      <c r="O461" s="1" t="str"/>
      <c r="P461" s="1" t="str"/>
      <c r="Q461" s="1" t="str"/>
      <c r="R461" s="1">
        <f>IF(H461="Sí",1,0)</f>
        <v/>
      </c>
      <c r="S461" s="1">
        <f>IF(L461="En coordinación",1,0)</f>
        <v/>
      </c>
      <c r="T461" s="1">
        <f>IF(L461="Aceptada",1,0)</f>
        <v/>
      </c>
      <c r="U461" s="1">
        <f>IF(OR(L461="Realizada completa",L461="Realizada incompleta"),1,0)</f>
        <v/>
      </c>
      <c r="V461" s="1">
        <f>IF(L461="Sin respuesta",1,0)</f>
        <v/>
      </c>
    </row>
    <row r="462">
      <c r="A462" s="1" t="inlineStr">
        <is>
          <t>461</t>
        </is>
      </c>
      <c r="B462" s="1" t="inlineStr">
        <is>
          <t>Fredy Alberto Obregón León</t>
        </is>
      </c>
      <c r="C462" s="1" t="inlineStr">
        <is>
          <t>Instancia Regional de Concertación de Ayacucho</t>
        </is>
      </c>
      <c r="D462" s="1" t="inlineStr">
        <is>
          <t>Entrevista de actores clave</t>
        </is>
      </c>
      <c r="E462" s="1" t="inlineStr">
        <is>
          <t>Acompañantes</t>
        </is>
      </c>
      <c r="F462" s="1" t="inlineStr">
        <is>
          <t>Distrito Judicial: Ayacucho</t>
        </is>
      </c>
      <c r="G462" s="1" t="str"/>
      <c r="H462" s="1" t="str"/>
      <c r="I462" s="2" t="str"/>
      <c r="J462" s="2" t="str"/>
      <c r="K462" s="2" t="str"/>
      <c r="L462" s="1" t="str"/>
      <c r="M462" s="2" t="str"/>
      <c r="N462" s="2" t="str"/>
      <c r="O462" s="1" t="str"/>
      <c r="P462" s="1" t="str"/>
      <c r="Q462" s="1" t="str"/>
      <c r="R462" s="1">
        <f>IF(H462="Sí",1,0)</f>
        <v/>
      </c>
      <c r="S462" s="1">
        <f>IF(L462="En coordinación",1,0)</f>
        <v/>
      </c>
      <c r="T462" s="1">
        <f>IF(L462="Aceptada",1,0)</f>
        <v/>
      </c>
      <c r="U462" s="1">
        <f>IF(OR(L462="Realizada completa",L462="Realizada incompleta"),1,0)</f>
        <v/>
      </c>
      <c r="V462" s="1">
        <f>IF(L462="Sin respuesta",1,0)</f>
        <v/>
      </c>
    </row>
    <row r="463">
      <c r="A463" s="1" t="inlineStr">
        <is>
          <t>462</t>
        </is>
      </c>
      <c r="B463" s="1" t="inlineStr">
        <is>
          <t>Jhony Ruth Palomino Gutierrez</t>
        </is>
      </c>
      <c r="C463" s="1" t="inlineStr">
        <is>
          <t>Instancia Regional de Concertación de Ayacucho</t>
        </is>
      </c>
      <c r="D463" s="1" t="inlineStr">
        <is>
          <t>Entrevista de actores clave</t>
        </is>
      </c>
      <c r="E463" s="1" t="inlineStr">
        <is>
          <t>Acompañantes</t>
        </is>
      </c>
      <c r="F463" s="1" t="inlineStr">
        <is>
          <t>Distrito Judicial: Ayacucho</t>
        </is>
      </c>
      <c r="G463" s="1" t="str"/>
      <c r="H463" s="1" t="str"/>
      <c r="I463" s="2" t="str"/>
      <c r="J463" s="2" t="str"/>
      <c r="K463" s="2" t="str"/>
      <c r="L463" s="1" t="str"/>
      <c r="M463" s="2" t="str"/>
      <c r="N463" s="2" t="str"/>
      <c r="O463" s="1" t="str"/>
      <c r="P463" s="1" t="str"/>
      <c r="Q463" s="1" t="str"/>
      <c r="R463" s="1">
        <f>IF(H463="Sí",1,0)</f>
        <v/>
      </c>
      <c r="S463" s="1">
        <f>IF(L463="En coordinación",1,0)</f>
        <v/>
      </c>
      <c r="T463" s="1">
        <f>IF(L463="Aceptada",1,0)</f>
        <v/>
      </c>
      <c r="U463" s="1">
        <f>IF(OR(L463="Realizada completa",L463="Realizada incompleta"),1,0)</f>
        <v/>
      </c>
      <c r="V463" s="1">
        <f>IF(L463="Sin respuesta",1,0)</f>
        <v/>
      </c>
    </row>
    <row r="464">
      <c r="A464" s="1" t="inlineStr">
        <is>
          <t>463</t>
        </is>
      </c>
      <c r="B464" s="1" t="inlineStr">
        <is>
          <t>Gisela Karina Chavez Espinal</t>
        </is>
      </c>
      <c r="C464" s="1" t="inlineStr">
        <is>
          <t>Centros de Emergencia Mujer</t>
        </is>
      </c>
      <c r="D464" s="1" t="inlineStr">
        <is>
          <t>Entrevista de actores clave</t>
        </is>
      </c>
      <c r="E464" s="1" t="inlineStr">
        <is>
          <t>Funcionarios del Sistema</t>
        </is>
      </c>
      <c r="F464" s="1" t="inlineStr">
        <is>
          <t>Distrito Judicial: Ayacucho</t>
        </is>
      </c>
      <c r="G464" s="1" t="str"/>
      <c r="H464" s="1" t="str"/>
      <c r="I464" s="2" t="str"/>
      <c r="J464" s="2" t="str"/>
      <c r="K464" s="2" t="str"/>
      <c r="L464" s="1" t="str"/>
      <c r="M464" s="2" t="str"/>
      <c r="N464" s="2" t="str"/>
      <c r="O464" s="1" t="str"/>
      <c r="P464" s="1" t="str"/>
      <c r="Q464" s="1" t="str"/>
      <c r="R464" s="1">
        <f>IF(H464="Sí",1,0)</f>
        <v/>
      </c>
      <c r="S464" s="1">
        <f>IF(L464="En coordinación",1,0)</f>
        <v/>
      </c>
      <c r="T464" s="1">
        <f>IF(L464="Aceptada",1,0)</f>
        <v/>
      </c>
      <c r="U464" s="1">
        <f>IF(OR(L464="Realizada completa",L464="Realizada incompleta"),1,0)</f>
        <v/>
      </c>
      <c r="V464" s="1">
        <f>IF(L464="Sin respuesta",1,0)</f>
        <v/>
      </c>
    </row>
    <row r="465">
      <c r="A465" s="1" t="inlineStr">
        <is>
          <t>464</t>
        </is>
      </c>
      <c r="B465" s="1" t="inlineStr">
        <is>
          <t>Manuel Pedro Vásquez Galan</t>
        </is>
      </c>
      <c r="C465" s="1" t="inlineStr">
        <is>
          <t>Instancia Regional de Concertación de Ucayali</t>
        </is>
      </c>
      <c r="D465" s="1" t="inlineStr">
        <is>
          <t>Entrevista de actores clave</t>
        </is>
      </c>
      <c r="E465" s="1" t="inlineStr">
        <is>
          <t>Acompañantes</t>
        </is>
      </c>
      <c r="F465" s="1" t="inlineStr">
        <is>
          <t>Distrito Judicial: Ucayali</t>
        </is>
      </c>
      <c r="G465" s="1" t="str"/>
      <c r="H465" s="1" t="str"/>
      <c r="I465" s="2" t="str"/>
      <c r="J465" s="2" t="str"/>
      <c r="K465" s="2" t="str"/>
      <c r="L465" s="1" t="str"/>
      <c r="M465" s="2" t="str"/>
      <c r="N465" s="2" t="str"/>
      <c r="O465" s="1" t="str"/>
      <c r="P465" s="1" t="str"/>
      <c r="Q465" s="1" t="str"/>
      <c r="R465" s="1">
        <f>IF(H465="Sí",1,0)</f>
        <v/>
      </c>
      <c r="S465" s="1">
        <f>IF(L465="En coordinación",1,0)</f>
        <v/>
      </c>
      <c r="T465" s="1">
        <f>IF(L465="Aceptada",1,0)</f>
        <v/>
      </c>
      <c r="U465" s="1">
        <f>IF(OR(L465="Realizada completa",L465="Realizada incompleta"),1,0)</f>
        <v/>
      </c>
      <c r="V465" s="1">
        <f>IF(L465="Sin respuesta",1,0)</f>
        <v/>
      </c>
    </row>
    <row r="466">
      <c r="A466" s="1" t="inlineStr">
        <is>
          <t>465</t>
        </is>
      </c>
      <c r="B466" s="1" t="inlineStr">
        <is>
          <t>Janet Yvone Castagne Vasquez</t>
        </is>
      </c>
      <c r="C466" s="1" t="inlineStr">
        <is>
          <t>Instancia Regional de Concertación de Ucayali</t>
        </is>
      </c>
      <c r="D466" s="1" t="inlineStr">
        <is>
          <t>Entrevista de actores clave</t>
        </is>
      </c>
      <c r="E466" s="1" t="inlineStr">
        <is>
          <t>Acompañantes</t>
        </is>
      </c>
      <c r="F466" s="1" t="inlineStr">
        <is>
          <t>Distrito Judicial: Ucayali</t>
        </is>
      </c>
      <c r="G466" s="1" t="str"/>
      <c r="H466" s="1" t="str"/>
      <c r="I466" s="2" t="str"/>
      <c r="J466" s="2" t="str"/>
      <c r="K466" s="2" t="str"/>
      <c r="L466" s="1" t="str"/>
      <c r="M466" s="2" t="str"/>
      <c r="N466" s="2" t="str"/>
      <c r="O466" s="1" t="str"/>
      <c r="P466" s="1" t="str"/>
      <c r="Q466" s="1" t="str"/>
      <c r="R466" s="1">
        <f>IF(H466="Sí",1,0)</f>
        <v/>
      </c>
      <c r="S466" s="1">
        <f>IF(L466="En coordinación",1,0)</f>
        <v/>
      </c>
      <c r="T466" s="1">
        <f>IF(L466="Aceptada",1,0)</f>
        <v/>
      </c>
      <c r="U466" s="1">
        <f>IF(OR(L466="Realizada completa",L466="Realizada incompleta"),1,0)</f>
        <v/>
      </c>
      <c r="V466" s="1">
        <f>IF(L466="Sin respuesta",1,0)</f>
        <v/>
      </c>
    </row>
    <row r="467">
      <c r="A467" s="1" t="inlineStr">
        <is>
          <t>466</t>
        </is>
      </c>
      <c r="B467" s="1" t="inlineStr">
        <is>
          <t>Iván Ronald Mendoza Jaramillo</t>
        </is>
      </c>
      <c r="C467" s="1" t="inlineStr">
        <is>
          <t>Instancia Regional de Concertación de Ucayali</t>
        </is>
      </c>
      <c r="D467" s="1" t="inlineStr">
        <is>
          <t>Entrevista de actores clave</t>
        </is>
      </c>
      <c r="E467" s="1" t="inlineStr">
        <is>
          <t>Acompañantes</t>
        </is>
      </c>
      <c r="F467" s="1" t="inlineStr">
        <is>
          <t>Distrito Judicial: Ucayali</t>
        </is>
      </c>
      <c r="G467" s="1" t="str"/>
      <c r="H467" s="1" t="str"/>
      <c r="I467" s="2" t="str"/>
      <c r="J467" s="2" t="str"/>
      <c r="K467" s="2" t="str"/>
      <c r="L467" s="1" t="str"/>
      <c r="M467" s="2" t="str"/>
      <c r="N467" s="2" t="str"/>
      <c r="O467" s="1" t="str"/>
      <c r="P467" s="1" t="str"/>
      <c r="Q467" s="1" t="str"/>
      <c r="R467" s="1">
        <f>IF(H467="Sí",1,0)</f>
        <v/>
      </c>
      <c r="S467" s="1">
        <f>IF(L467="En coordinación",1,0)</f>
        <v/>
      </c>
      <c r="T467" s="1">
        <f>IF(L467="Aceptada",1,0)</f>
        <v/>
      </c>
      <c r="U467" s="1">
        <f>IF(OR(L467="Realizada completa",L467="Realizada incompleta"),1,0)</f>
        <v/>
      </c>
      <c r="V467" s="1">
        <f>IF(L467="Sin respuesta",1,0)</f>
        <v/>
      </c>
    </row>
    <row r="468">
      <c r="A468" s="1" t="inlineStr">
        <is>
          <t>467</t>
        </is>
      </c>
      <c r="B468" s="1" t="inlineStr">
        <is>
          <t>Marcos Pérez Saldaña</t>
        </is>
      </c>
      <c r="C468" s="1" t="inlineStr">
        <is>
          <t>Instancia Regional de Concertación de Ucayali</t>
        </is>
      </c>
      <c r="D468" s="1" t="inlineStr">
        <is>
          <t>Entrevista de actores clave</t>
        </is>
      </c>
      <c r="E468" s="1" t="inlineStr">
        <is>
          <t>Acompañantes</t>
        </is>
      </c>
      <c r="F468" s="1" t="inlineStr">
        <is>
          <t>Distrito Judicial: Ucayali</t>
        </is>
      </c>
      <c r="G468" s="1" t="str"/>
      <c r="H468" s="1" t="str"/>
      <c r="I468" s="2" t="str"/>
      <c r="J468" s="2" t="str"/>
      <c r="K468" s="2" t="str"/>
      <c r="L468" s="1" t="str"/>
      <c r="M468" s="2" t="str"/>
      <c r="N468" s="2" t="str"/>
      <c r="O468" s="1" t="str"/>
      <c r="P468" s="1" t="str"/>
      <c r="Q468" s="1" t="str"/>
      <c r="R468" s="1">
        <f>IF(H468="Sí",1,0)</f>
        <v/>
      </c>
      <c r="S468" s="1">
        <f>IF(L468="En coordinación",1,0)</f>
        <v/>
      </c>
      <c r="T468" s="1">
        <f>IF(L468="Aceptada",1,0)</f>
        <v/>
      </c>
      <c r="U468" s="1">
        <f>IF(OR(L468="Realizada completa",L468="Realizada incompleta"),1,0)</f>
        <v/>
      </c>
      <c r="V468" s="1">
        <f>IF(L468="Sin respuesta",1,0)</f>
        <v/>
      </c>
    </row>
    <row r="469">
      <c r="A469" s="1" t="inlineStr">
        <is>
          <t>468</t>
        </is>
      </c>
      <c r="B469" s="1" t="inlineStr">
        <is>
          <t>Katheryne Mery Ashly Chamoly Urtecho</t>
        </is>
      </c>
      <c r="C469" s="1" t="inlineStr">
        <is>
          <t>Defensoría del Pueblo</t>
        </is>
      </c>
      <c r="D469" s="1" t="inlineStr">
        <is>
          <t>Entrevista de actores clave</t>
        </is>
      </c>
      <c r="E469" s="1" t="inlineStr">
        <is>
          <t>Funcionarios del Sistema</t>
        </is>
      </c>
      <c r="F469" s="1" t="inlineStr">
        <is>
          <t>Distrito Judicial: Ucayali</t>
        </is>
      </c>
      <c r="G469" s="1" t="str"/>
      <c r="H469" s="1" t="str"/>
      <c r="I469" s="2" t="str"/>
      <c r="J469" s="2" t="str"/>
      <c r="K469" s="2" t="str"/>
      <c r="L469" s="1" t="str"/>
      <c r="M469" s="2" t="str"/>
      <c r="N469" s="2" t="str"/>
      <c r="O469" s="1" t="str"/>
      <c r="P469" s="1" t="str"/>
      <c r="Q469" s="1" t="str"/>
      <c r="R469" s="1">
        <f>IF(H469="Sí",1,0)</f>
        <v/>
      </c>
      <c r="S469" s="1">
        <f>IF(L469="En coordinación",1,0)</f>
        <v/>
      </c>
      <c r="T469" s="1">
        <f>IF(L469="Aceptada",1,0)</f>
        <v/>
      </c>
      <c r="U469" s="1">
        <f>IF(OR(L469="Realizada completa",L469="Realizada incompleta"),1,0)</f>
        <v/>
      </c>
      <c r="V469" s="1">
        <f>IF(L469="Sin respuesta",1,0)</f>
        <v/>
      </c>
    </row>
    <row r="470">
      <c r="A470" s="1" t="inlineStr">
        <is>
          <t>469</t>
        </is>
      </c>
      <c r="B470" s="1" t="inlineStr">
        <is>
          <t>Hermógenes Vicente Lima Chayña</t>
        </is>
      </c>
      <c r="C470" s="1" t="inlineStr">
        <is>
          <t>Poder Judicial</t>
        </is>
      </c>
      <c r="D470" s="1" t="inlineStr">
        <is>
          <t>Entrevista de actores clave</t>
        </is>
      </c>
      <c r="E470" s="1" t="inlineStr">
        <is>
          <t>Funcionarios del Sistema</t>
        </is>
      </c>
      <c r="F470" s="1" t="inlineStr">
        <is>
          <t>Distrito Judicial: Ucayali</t>
        </is>
      </c>
      <c r="G470" s="1" t="str"/>
      <c r="H470" s="1" t="str"/>
      <c r="I470" s="2" t="str"/>
      <c r="J470" s="2" t="str"/>
      <c r="K470" s="2" t="str"/>
      <c r="L470" s="1" t="str"/>
      <c r="M470" s="2" t="str"/>
      <c r="N470" s="2" t="str"/>
      <c r="O470" s="1" t="str"/>
      <c r="P470" s="1" t="str"/>
      <c r="Q470" s="1" t="str"/>
      <c r="R470" s="1">
        <f>IF(H470="Sí",1,0)</f>
        <v/>
      </c>
      <c r="S470" s="1">
        <f>IF(L470="En coordinación",1,0)</f>
        <v/>
      </c>
      <c r="T470" s="1">
        <f>IF(L470="Aceptada",1,0)</f>
        <v/>
      </c>
      <c r="U470" s="1">
        <f>IF(OR(L470="Realizada completa",L470="Realizada incompleta"),1,0)</f>
        <v/>
      </c>
      <c r="V470" s="1">
        <f>IF(L470="Sin respuesta",1,0)</f>
        <v/>
      </c>
    </row>
    <row r="471">
      <c r="A471" s="1" t="inlineStr">
        <is>
          <t>470</t>
        </is>
      </c>
      <c r="B471" s="1" t="inlineStr">
        <is>
          <t>Gisella Milagros Godier del Castillo</t>
        </is>
      </c>
      <c r="C471" s="1" t="inlineStr">
        <is>
          <t>UNICEF</t>
        </is>
      </c>
      <c r="D471" s="1" t="inlineStr">
        <is>
          <t>Entrevista de actores clave</t>
        </is>
      </c>
      <c r="E471" s="1" t="inlineStr">
        <is>
          <t>Funcionarios del Sistema</t>
        </is>
      </c>
      <c r="F471" s="1" t="inlineStr">
        <is>
          <t>Distrito Judicial: Ucayali</t>
        </is>
      </c>
      <c r="G471" s="1" t="str"/>
      <c r="H471" s="1" t="str"/>
      <c r="I471" s="2" t="str"/>
      <c r="J471" s="2" t="str"/>
      <c r="K471" s="2" t="str"/>
      <c r="L471" s="1" t="str"/>
      <c r="M471" s="2" t="str"/>
      <c r="N471" s="2" t="str"/>
      <c r="O471" s="1" t="str"/>
      <c r="P471" s="1" t="str"/>
      <c r="Q471" s="1" t="str"/>
      <c r="R471" s="1">
        <f>IF(H471="Sí",1,0)</f>
        <v/>
      </c>
      <c r="S471" s="1">
        <f>IF(L471="En coordinación",1,0)</f>
        <v/>
      </c>
      <c r="T471" s="1">
        <f>IF(L471="Aceptada",1,0)</f>
        <v/>
      </c>
      <c r="U471" s="1">
        <f>IF(OR(L471="Realizada completa",L471="Realizada incompleta"),1,0)</f>
        <v/>
      </c>
      <c r="V471" s="1">
        <f>IF(L471="Sin respuesta",1,0)</f>
        <v/>
      </c>
    </row>
    <row r="472">
      <c r="A472" s="1" t="inlineStr">
        <is>
          <t>471</t>
        </is>
      </c>
      <c r="B472" s="1" t="inlineStr">
        <is>
          <t>Luis Filother Mendoza Valverde</t>
        </is>
      </c>
      <c r="C472" s="1" t="inlineStr">
        <is>
          <t>Instancia Regional de Concertación de Ucayali</t>
        </is>
      </c>
      <c r="D472" s="1" t="inlineStr">
        <is>
          <t>Entrevista de actores clave</t>
        </is>
      </c>
      <c r="E472" s="1" t="inlineStr">
        <is>
          <t>Acompañantes</t>
        </is>
      </c>
      <c r="F472" s="1" t="inlineStr">
        <is>
          <t>Distrito Judicial: Ucayali</t>
        </is>
      </c>
      <c r="G472" s="1" t="str"/>
      <c r="H472" s="1" t="str"/>
      <c r="I472" s="2" t="str"/>
      <c r="J472" s="2" t="str"/>
      <c r="K472" s="2" t="str"/>
      <c r="L472" s="1" t="str"/>
      <c r="M472" s="2" t="str"/>
      <c r="N472" s="2" t="str"/>
      <c r="O472" s="1" t="str"/>
      <c r="P472" s="1" t="str"/>
      <c r="Q472" s="1" t="str"/>
      <c r="R472" s="1">
        <f>IF(H472="Sí",1,0)</f>
        <v/>
      </c>
      <c r="S472" s="1">
        <f>IF(L472="En coordinación",1,0)</f>
        <v/>
      </c>
      <c r="T472" s="1">
        <f>IF(L472="Aceptada",1,0)</f>
        <v/>
      </c>
      <c r="U472" s="1">
        <f>IF(OR(L472="Realizada completa",L472="Realizada incompleta"),1,0)</f>
        <v/>
      </c>
      <c r="V472" s="1">
        <f>IF(L472="Sin respuesta",1,0)</f>
        <v/>
      </c>
    </row>
    <row r="473">
      <c r="A473" s="1" t="inlineStr">
        <is>
          <t>472</t>
        </is>
      </c>
      <c r="B473" s="1" t="inlineStr">
        <is>
          <t>Martha s. Zegarra Tarqui</t>
        </is>
      </c>
      <c r="C473" s="1" t="inlineStr">
        <is>
          <t>Región Policial</t>
        </is>
      </c>
      <c r="D473" s="1" t="inlineStr">
        <is>
          <t>Entrevista de actores clave</t>
        </is>
      </c>
      <c r="E473" s="1" t="inlineStr">
        <is>
          <t>Funcionarios del Sistema</t>
        </is>
      </c>
      <c r="F473" s="1" t="inlineStr">
        <is>
          <t>Distrito Judicial: Cajamarca</t>
        </is>
      </c>
      <c r="G473" s="1" t="str"/>
      <c r="H473" s="1" t="str"/>
      <c r="I473" s="2" t="str"/>
      <c r="J473" s="2" t="str"/>
      <c r="K473" s="2" t="str"/>
      <c r="L473" s="1" t="str"/>
      <c r="M473" s="2" t="str"/>
      <c r="N473" s="2" t="str"/>
      <c r="O473" s="1" t="str"/>
      <c r="P473" s="1" t="str"/>
      <c r="Q473" s="1" t="str"/>
      <c r="R473" s="1">
        <f>IF(H473="Sí",1,0)</f>
        <v/>
      </c>
      <c r="S473" s="1">
        <f>IF(L473="En coordinación",1,0)</f>
        <v/>
      </c>
      <c r="T473" s="1">
        <f>IF(L473="Aceptada",1,0)</f>
        <v/>
      </c>
      <c r="U473" s="1">
        <f>IF(OR(L473="Realizada completa",L473="Realizada incompleta"),1,0)</f>
        <v/>
      </c>
      <c r="V473" s="1">
        <f>IF(L473="Sin respuesta",1,0)</f>
        <v/>
      </c>
    </row>
    <row r="474">
      <c r="A474" s="1" t="inlineStr">
        <is>
          <t>473</t>
        </is>
      </c>
      <c r="B474" s="1" t="inlineStr">
        <is>
          <t xml:space="preserve">Raquel Ocampo Alvarado </t>
        </is>
      </c>
      <c r="C474" s="1" t="inlineStr">
        <is>
          <t>Poder Judicial</t>
        </is>
      </c>
      <c r="D474" s="1" t="inlineStr">
        <is>
          <t>Entrevista de actores clave</t>
        </is>
      </c>
      <c r="E474" s="1" t="inlineStr">
        <is>
          <t>Funcionarios del Sistema</t>
        </is>
      </c>
      <c r="F474" s="1" t="inlineStr">
        <is>
          <t>Distrito Judicial: Cajamarca</t>
        </is>
      </c>
      <c r="G474" s="1" t="str"/>
      <c r="H474" s="1" t="str"/>
      <c r="I474" s="2" t="str"/>
      <c r="J474" s="2" t="str"/>
      <c r="K474" s="2" t="str"/>
      <c r="L474" s="1" t="str"/>
      <c r="M474" s="2" t="str"/>
      <c r="N474" s="2" t="str"/>
      <c r="O474" s="1" t="str"/>
      <c r="P474" s="1" t="str"/>
      <c r="Q474" s="1" t="str"/>
      <c r="R474" s="1">
        <f>IF(H474="Sí",1,0)</f>
        <v/>
      </c>
      <c r="S474" s="1">
        <f>IF(L474="En coordinación",1,0)</f>
        <v/>
      </c>
      <c r="T474" s="1">
        <f>IF(L474="Aceptada",1,0)</f>
        <v/>
      </c>
      <c r="U474" s="1">
        <f>IF(OR(L474="Realizada completa",L474="Realizada incompleta"),1,0)</f>
        <v/>
      </c>
      <c r="V474" s="1">
        <f>IF(L474="Sin respuesta",1,0)</f>
        <v/>
      </c>
    </row>
    <row r="475">
      <c r="A475" s="1" t="inlineStr">
        <is>
          <t>474</t>
        </is>
      </c>
      <c r="B475" s="1" t="inlineStr">
        <is>
          <t xml:space="preserve">Percy José Paredes Villarreal </t>
        </is>
      </c>
      <c r="C475" s="1" t="inlineStr">
        <is>
          <t xml:space="preserve">Ministerio de la Mujer </t>
        </is>
      </c>
      <c r="D475" s="1" t="inlineStr">
        <is>
          <t>Entrevista de actores clave</t>
        </is>
      </c>
      <c r="E475" s="1" t="inlineStr">
        <is>
          <t>Funcionarios del Sistema</t>
        </is>
      </c>
      <c r="F475" s="1" t="inlineStr">
        <is>
          <t>Nacional</t>
        </is>
      </c>
      <c r="G475" s="1" t="str"/>
      <c r="H475" s="1" t="str"/>
      <c r="I475" s="2" t="str"/>
      <c r="J475" s="2" t="str"/>
      <c r="K475" s="2" t="str"/>
      <c r="L475" s="1" t="inlineStr">
        <is>
          <t>Aceptada</t>
        </is>
      </c>
      <c r="M475" s="2" t="inlineStr">
        <is>
          <t xml:space="preserve"> 3-Aug</t>
        </is>
      </c>
      <c r="N475" s="2" t="inlineStr">
        <is>
          <t xml:space="preserve"> 3-Aug</t>
        </is>
      </c>
      <c r="O475" s="1" t="inlineStr">
        <is>
          <t>Aceptada</t>
        </is>
      </c>
      <c r="P475" s="1" t="str"/>
      <c r="Q475" s="1" t="inlineStr">
        <is>
          <t>A distancia asistido</t>
        </is>
      </c>
      <c r="R475" s="1">
        <f>IF(H475="Sí",1,0)</f>
        <v/>
      </c>
      <c r="S475" s="1">
        <f>IF(L475="En coordinación",1,0)</f>
        <v/>
      </c>
      <c r="T475" s="1">
        <f>IF(L475="Aceptada",1,0)</f>
        <v/>
      </c>
      <c r="U475" s="1">
        <f>IF(OR(L475="Realizada completa",L475="Realizada incompleta"),1,0)</f>
        <v/>
      </c>
      <c r="V475" s="1">
        <f>IF(L475="Sin respuesta",1,0)</f>
        <v/>
      </c>
    </row>
    <row r="476">
      <c r="A476" s="1" t="inlineStr">
        <is>
          <t>475</t>
        </is>
      </c>
      <c r="B476" s="1" t="inlineStr">
        <is>
          <t>Rita Rodriguez Payma</t>
        </is>
      </c>
      <c r="C476" s="1" t="inlineStr">
        <is>
          <t>Warmi Ñan</t>
        </is>
      </c>
      <c r="D476" s="1" t="inlineStr">
        <is>
          <t>Entrevista de actores clave</t>
        </is>
      </c>
      <c r="E476" s="1" t="inlineStr">
        <is>
          <t>Funcionarios del Sistema</t>
        </is>
      </c>
      <c r="F476" s="1" t="inlineStr">
        <is>
          <t>Distrito Judicial: Ucayali</t>
        </is>
      </c>
      <c r="G476" s="1" t="str"/>
      <c r="H476" s="1" t="inlineStr">
        <is>
          <t>Sí</t>
        </is>
      </c>
      <c r="I476" s="2" t="str"/>
      <c r="J476" s="2" t="str"/>
      <c r="K476" s="2" t="str"/>
      <c r="L476" s="1" t="inlineStr">
        <is>
          <t>Realizada completa</t>
        </is>
      </c>
      <c r="M476" s="2" t="inlineStr">
        <is>
          <t>10-Jul</t>
        </is>
      </c>
      <c r="N476" s="2" t="inlineStr">
        <is>
          <t>10-Jul</t>
        </is>
      </c>
      <c r="O476" s="1" t="inlineStr">
        <is>
          <t>Realizada completa</t>
        </is>
      </c>
      <c r="P476" s="1" t="inlineStr">
        <is>
          <t>38</t>
        </is>
      </c>
      <c r="Q476" s="1" t="inlineStr">
        <is>
          <t>A distancia asistido</t>
        </is>
      </c>
      <c r="R476" s="1">
        <f>IF(H476="Sí",1,0)</f>
        <v/>
      </c>
      <c r="S476" s="1">
        <f>IF(L476="En coordinación",1,0)</f>
        <v/>
      </c>
      <c r="T476" s="1">
        <f>IF(L476="Aceptada",1,0)</f>
        <v/>
      </c>
      <c r="U476" s="1">
        <f>IF(OR(L476="Realizada completa",L476="Realizada incompleta"),1,0)</f>
        <v/>
      </c>
      <c r="V476" s="1">
        <f>IF(L476="Sin respuesta",1,0)</f>
        <v/>
      </c>
    </row>
    <row r="477">
      <c r="A477" s="1" t="inlineStr">
        <is>
          <t>476</t>
        </is>
      </c>
      <c r="B477" s="1" t="inlineStr">
        <is>
          <t>César Guevara Cieza</t>
        </is>
      </c>
      <c r="C477" s="1" t="inlineStr">
        <is>
          <t>Warmi Ñan</t>
        </is>
      </c>
      <c r="D477" s="1" t="inlineStr">
        <is>
          <t>Entrevista de actores clave</t>
        </is>
      </c>
      <c r="E477" s="1" t="inlineStr">
        <is>
          <t>Funcionarios del Sistema</t>
        </is>
      </c>
      <c r="F477" s="1" t="inlineStr">
        <is>
          <t>Distrito Judicial: Cajamarca</t>
        </is>
      </c>
      <c r="G477" s="1" t="str"/>
      <c r="H477" s="1" t="str"/>
      <c r="I477" s="2" t="str"/>
      <c r="J477" s="2" t="str"/>
      <c r="K477" s="2" t="str"/>
      <c r="L477" s="1" t="str"/>
      <c r="M477" s="2" t="str"/>
      <c r="N477" s="2" t="str"/>
      <c r="O477" s="1" t="str"/>
      <c r="P477" s="1" t="str"/>
      <c r="Q477" s="1" t="str"/>
      <c r="R477" s="1">
        <f>IF(H477="Sí",1,0)</f>
        <v/>
      </c>
      <c r="S477" s="1">
        <f>IF(L477="En coordinación",1,0)</f>
        <v/>
      </c>
      <c r="T477" s="1">
        <f>IF(L477="Aceptada",1,0)</f>
        <v/>
      </c>
      <c r="U477" s="1">
        <f>IF(OR(L477="Realizada completa",L477="Realizada incompleta"),1,0)</f>
        <v/>
      </c>
      <c r="V477" s="1">
        <f>IF(L477="Sin respuesta",1,0)</f>
        <v/>
      </c>
    </row>
    <row r="478">
      <c r="A478" s="1" t="inlineStr">
        <is>
          <t>477</t>
        </is>
      </c>
      <c r="B478" s="1" t="inlineStr">
        <is>
          <t>Giovanna Ojeda Campos</t>
        </is>
      </c>
      <c r="C478" s="1" t="inlineStr">
        <is>
          <t>Jueces de Paz</t>
        </is>
      </c>
      <c r="D478" s="1" t="inlineStr">
        <is>
          <t>Entrevista de actores clave</t>
        </is>
      </c>
      <c r="E478" s="1" t="inlineStr">
        <is>
          <t>Funcionarios del Sistema</t>
        </is>
      </c>
      <c r="F478" s="1" t="inlineStr">
        <is>
          <t>Distrito Judicial: Huánuco</t>
        </is>
      </c>
      <c r="G478" s="1" t="str"/>
      <c r="H478" s="1" t="str"/>
      <c r="I478" s="2" t="str"/>
      <c r="J478" s="2" t="str"/>
      <c r="K478" s="2" t="str"/>
      <c r="L478" s="1" t="str"/>
      <c r="M478" s="2" t="str"/>
      <c r="N478" s="2" t="str"/>
      <c r="O478" s="1" t="str"/>
      <c r="P478" s="1" t="str"/>
      <c r="Q478" s="1" t="str"/>
      <c r="R478" s="1">
        <f>IF(H478="Sí",1,0)</f>
        <v/>
      </c>
      <c r="S478" s="1">
        <f>IF(L478="En coordinación",1,0)</f>
        <v/>
      </c>
      <c r="T478" s="1">
        <f>IF(L478="Aceptada",1,0)</f>
        <v/>
      </c>
      <c r="U478" s="1">
        <f>IF(OR(L478="Realizada completa",L478="Realizada incompleta"),1,0)</f>
        <v/>
      </c>
      <c r="V478" s="1">
        <f>IF(L478="Sin respuesta",1,0)</f>
        <v/>
      </c>
    </row>
    <row r="479">
      <c r="A479" s="1" t="inlineStr">
        <is>
          <t>478</t>
        </is>
      </c>
      <c r="B479" s="1" t="inlineStr">
        <is>
          <t>Korali Cochachi</t>
        </is>
      </c>
      <c r="C479" s="1" t="inlineStr">
        <is>
          <t>Jueces de Paz</t>
        </is>
      </c>
      <c r="D479" s="1" t="inlineStr">
        <is>
          <t>Entrevista de actores clave</t>
        </is>
      </c>
      <c r="E479" s="1" t="inlineStr">
        <is>
          <t>Funcionarios del Sistema</t>
        </is>
      </c>
      <c r="F479" s="1" t="inlineStr">
        <is>
          <t>Distrito Judicial: Ayacucho</t>
        </is>
      </c>
      <c r="G479" s="1" t="str"/>
      <c r="H479" s="1" t="str"/>
      <c r="I479" s="2" t="str"/>
      <c r="J479" s="2" t="str"/>
      <c r="K479" s="2" t="str"/>
      <c r="L479" s="1" t="str"/>
      <c r="M479" s="2" t="str"/>
      <c r="N479" s="2" t="str"/>
      <c r="O479" s="1" t="str"/>
      <c r="P479" s="1" t="str"/>
      <c r="Q479" s="1" t="str"/>
      <c r="R479" s="1">
        <f>IF(H479="Sí",1,0)</f>
        <v/>
      </c>
      <c r="S479" s="1">
        <f>IF(L479="En coordinación",1,0)</f>
        <v/>
      </c>
      <c r="T479" s="1">
        <f>IF(L479="Aceptada",1,0)</f>
        <v/>
      </c>
      <c r="U479" s="1">
        <f>IF(OR(L479="Realizada completa",L479="Realizada incompleta"),1,0)</f>
        <v/>
      </c>
      <c r="V479" s="1">
        <f>IF(L479="Sin respuesta",1,0)</f>
        <v/>
      </c>
    </row>
    <row r="480">
      <c r="A480" s="1" t="inlineStr">
        <is>
          <t>479</t>
        </is>
      </c>
      <c r="B480" s="1" t="inlineStr">
        <is>
          <t>Carlos Najar Rojas</t>
        </is>
      </c>
      <c r="C480" s="1" t="inlineStr">
        <is>
          <t>Jueces de Paz</t>
        </is>
      </c>
      <c r="D480" s="1" t="inlineStr">
        <is>
          <t>Entrevista de actores clave</t>
        </is>
      </c>
      <c r="E480" s="1" t="inlineStr">
        <is>
          <t>Funcionarios del Sistema</t>
        </is>
      </c>
      <c r="F480" s="1" t="inlineStr">
        <is>
          <t>Distrito Judicial: Ayacucho</t>
        </is>
      </c>
      <c r="G480" s="1" t="str"/>
      <c r="H480" s="1" t="str"/>
      <c r="I480" s="2" t="str"/>
      <c r="J480" s="2" t="str"/>
      <c r="K480" s="2" t="str"/>
      <c r="L480" s="1" t="str"/>
      <c r="M480" s="2" t="str"/>
      <c r="N480" s="2" t="str"/>
      <c r="O480" s="1" t="str"/>
      <c r="P480" s="1" t="str"/>
      <c r="Q480" s="1" t="str"/>
      <c r="R480" s="1">
        <f>IF(H480="Sí",1,0)</f>
        <v/>
      </c>
      <c r="S480" s="1">
        <f>IF(L480="En coordinación",1,0)</f>
        <v/>
      </c>
      <c r="T480" s="1">
        <f>IF(L480="Aceptada",1,0)</f>
        <v/>
      </c>
      <c r="U480" s="1">
        <f>IF(OR(L480="Realizada completa",L480="Realizada incompleta"),1,0)</f>
        <v/>
      </c>
      <c r="V480" s="1">
        <f>IF(L480="Sin respuesta",1,0)</f>
        <v/>
      </c>
    </row>
    <row r="481">
      <c r="A481" s="1" t="inlineStr">
        <is>
          <t>480</t>
        </is>
      </c>
      <c r="B481" s="1" t="inlineStr">
        <is>
          <t>Hermes León Toledo</t>
        </is>
      </c>
      <c r="C481" s="1" t="inlineStr">
        <is>
          <t>Jueces de Paz</t>
        </is>
      </c>
      <c r="D481" s="1" t="inlineStr">
        <is>
          <t>Entrevista de actores clave</t>
        </is>
      </c>
      <c r="E481" s="1" t="inlineStr">
        <is>
          <t>Funcionarios del Sistema</t>
        </is>
      </c>
      <c r="F481" s="1" t="inlineStr">
        <is>
          <t>Distrito Judicial: Ayacucho</t>
        </is>
      </c>
      <c r="G481" s="1" t="str"/>
      <c r="H481" s="1" t="str"/>
      <c r="I481" s="2" t="str"/>
      <c r="J481" s="2" t="str"/>
      <c r="K481" s="2" t="str"/>
      <c r="L481" s="1" t="str"/>
      <c r="M481" s="2" t="str"/>
      <c r="N481" s="2" t="str"/>
      <c r="O481" s="1" t="str"/>
      <c r="P481" s="1" t="str"/>
      <c r="Q481" s="1" t="str"/>
      <c r="R481" s="1">
        <f>IF(H481="Sí",1,0)</f>
        <v/>
      </c>
      <c r="S481" s="1">
        <f>IF(L481="En coordinación",1,0)</f>
        <v/>
      </c>
      <c r="T481" s="1">
        <f>IF(L481="Aceptada",1,0)</f>
        <v/>
      </c>
      <c r="U481" s="1">
        <f>IF(OR(L481="Realizada completa",L481="Realizada incompleta"),1,0)</f>
        <v/>
      </c>
      <c r="V481" s="1">
        <f>IF(L481="Sin respuesta",1,0)</f>
        <v/>
      </c>
    </row>
    <row r="482">
      <c r="A482" s="1" t="inlineStr">
        <is>
          <t>481</t>
        </is>
      </c>
      <c r="B482" s="1" t="inlineStr">
        <is>
          <t>Marcela Torrico Aguirre</t>
        </is>
      </c>
      <c r="C482" s="1" t="inlineStr">
        <is>
          <t>Jueces de Paz</t>
        </is>
      </c>
      <c r="D482" s="1" t="inlineStr">
        <is>
          <t>Entrevista de actores clave</t>
        </is>
      </c>
      <c r="E482" s="1" t="inlineStr">
        <is>
          <t>Funcionarios del Sistema</t>
        </is>
      </c>
      <c r="F482" s="1" t="inlineStr">
        <is>
          <t>Distrito Judicial: Ayacucho</t>
        </is>
      </c>
      <c r="G482" s="1" t="str"/>
      <c r="H482" s="1" t="str"/>
      <c r="I482" s="2" t="str"/>
      <c r="J482" s="2" t="str"/>
      <c r="K482" s="2" t="str"/>
      <c r="L482" s="1" t="str"/>
      <c r="M482" s="2" t="str"/>
      <c r="N482" s="2" t="str"/>
      <c r="O482" s="1" t="str"/>
      <c r="P482" s="1" t="str"/>
      <c r="Q482" s="1" t="str"/>
      <c r="R482" s="1">
        <f>IF(H482="Sí",1,0)</f>
        <v/>
      </c>
      <c r="S482" s="1">
        <f>IF(L482="En coordinación",1,0)</f>
        <v/>
      </c>
      <c r="T482" s="1">
        <f>IF(L482="Aceptada",1,0)</f>
        <v/>
      </c>
      <c r="U482" s="1">
        <f>IF(OR(L482="Realizada completa",L482="Realizada incompleta"),1,0)</f>
        <v/>
      </c>
      <c r="V482" s="1">
        <f>IF(L482="Sin respuesta",1,0)</f>
        <v/>
      </c>
    </row>
    <row r="483">
      <c r="A483" s="1" t="inlineStr">
        <is>
          <t>482</t>
        </is>
      </c>
      <c r="B483" s="1" t="inlineStr">
        <is>
          <t>Elva Salazar Poma</t>
        </is>
      </c>
      <c r="C483" s="1" t="inlineStr">
        <is>
          <t>Jueces de Paz</t>
        </is>
      </c>
      <c r="D483" s="1" t="inlineStr">
        <is>
          <t>Entrevista de actores clave</t>
        </is>
      </c>
      <c r="E483" s="1" t="inlineStr">
        <is>
          <t>Funcionarios del Sistema</t>
        </is>
      </c>
      <c r="F483" s="1" t="inlineStr">
        <is>
          <t>Distrito Judicial: Ayacucho</t>
        </is>
      </c>
      <c r="G483" s="1" t="str"/>
      <c r="H483" s="1" t="str"/>
      <c r="I483" s="2" t="str"/>
      <c r="J483" s="2" t="str"/>
      <c r="K483" s="2" t="str"/>
      <c r="L483" s="1" t="inlineStr">
        <is>
          <t>Realizada completa</t>
        </is>
      </c>
      <c r="M483" s="2" t="str"/>
      <c r="N483" s="2" t="str"/>
      <c r="O483" s="1" t="inlineStr">
        <is>
          <t>Realizada completa</t>
        </is>
      </c>
      <c r="P483" s="1" t="str"/>
      <c r="Q483" s="1" t="inlineStr">
        <is>
          <t>A distancia asistido</t>
        </is>
      </c>
      <c r="R483" s="1">
        <f>IF(H483="Sí",1,0)</f>
        <v/>
      </c>
      <c r="S483" s="1">
        <f>IF(L483="En coordinación",1,0)</f>
        <v/>
      </c>
      <c r="T483" s="1">
        <f>IF(L483="Aceptada",1,0)</f>
        <v/>
      </c>
      <c r="U483" s="1">
        <f>IF(OR(L483="Realizada completa",L483="Realizada incompleta"),1,0)</f>
        <v/>
      </c>
      <c r="V483" s="1">
        <f>IF(L483="Sin respuesta",1,0)</f>
        <v/>
      </c>
    </row>
    <row r="484">
      <c r="A484" s="1" t="inlineStr">
        <is>
          <t>483</t>
        </is>
      </c>
      <c r="B484" s="1" t="inlineStr">
        <is>
          <t>Carlos Javier Ñaupa</t>
        </is>
      </c>
      <c r="C484" s="1" t="inlineStr">
        <is>
          <t>Jueces de Paz</t>
        </is>
      </c>
      <c r="D484" s="1" t="inlineStr">
        <is>
          <t>Entrevista de actores clave</t>
        </is>
      </c>
      <c r="E484" s="1" t="inlineStr">
        <is>
          <t>Funcionarios del Sistema</t>
        </is>
      </c>
      <c r="F484" s="1" t="inlineStr">
        <is>
          <t>Distrito Judicial: Ayacucho</t>
        </is>
      </c>
      <c r="G484" s="1" t="str"/>
      <c r="H484" s="1" t="str"/>
      <c r="I484" s="2" t="str"/>
      <c r="J484" s="2" t="str"/>
      <c r="K484" s="2" t="str"/>
      <c r="L484" s="1" t="str"/>
      <c r="M484" s="2" t="str"/>
      <c r="N484" s="2" t="str"/>
      <c r="O484" s="1" t="str"/>
      <c r="P484" s="1" t="str"/>
      <c r="Q484" s="1" t="str"/>
      <c r="R484" s="1">
        <f>IF(H484="Sí",1,0)</f>
        <v/>
      </c>
      <c r="S484" s="1">
        <f>IF(L484="En coordinación",1,0)</f>
        <v/>
      </c>
      <c r="T484" s="1">
        <f>IF(L484="Aceptada",1,0)</f>
        <v/>
      </c>
      <c r="U484" s="1">
        <f>IF(OR(L484="Realizada completa",L484="Realizada incompleta"),1,0)</f>
        <v/>
      </c>
      <c r="V484" s="1">
        <f>IF(L484="Sin respuesta",1,0)</f>
        <v/>
      </c>
    </row>
    <row r="485">
      <c r="A485" s="1" t="inlineStr">
        <is>
          <t>484</t>
        </is>
      </c>
      <c r="B485" s="1" t="inlineStr">
        <is>
          <t>Nora Cabrera Luna</t>
        </is>
      </c>
      <c r="C485" s="1" t="inlineStr">
        <is>
          <t>Jueces de Paz</t>
        </is>
      </c>
      <c r="D485" s="1" t="inlineStr">
        <is>
          <t>Entrevista de actores clave</t>
        </is>
      </c>
      <c r="E485" s="1" t="inlineStr">
        <is>
          <t>Funcionarios del Sistema</t>
        </is>
      </c>
      <c r="F485" s="1" t="inlineStr">
        <is>
          <t>Distrito Judicial: Ayacucho</t>
        </is>
      </c>
      <c r="G485" s="1" t="str"/>
      <c r="H485" s="1" t="str"/>
      <c r="I485" s="2" t="str"/>
      <c r="J485" s="2" t="str"/>
      <c r="K485" s="2" t="str"/>
      <c r="L485" s="1" t="str"/>
      <c r="M485" s="2" t="str"/>
      <c r="N485" s="2" t="str"/>
      <c r="O485" s="1" t="str"/>
      <c r="P485" s="1" t="str"/>
      <c r="Q485" s="1" t="str"/>
      <c r="R485" s="1">
        <f>IF(H485="Sí",1,0)</f>
        <v/>
      </c>
      <c r="S485" s="1">
        <f>IF(L485="En coordinación",1,0)</f>
        <v/>
      </c>
      <c r="T485" s="1">
        <f>IF(L485="Aceptada",1,0)</f>
        <v/>
      </c>
      <c r="U485" s="1">
        <f>IF(OR(L485="Realizada completa",L485="Realizada incompleta"),1,0)</f>
        <v/>
      </c>
      <c r="V485" s="1">
        <f>IF(L485="Sin respuesta",1,0)</f>
        <v/>
      </c>
    </row>
    <row r="486">
      <c r="A486" s="1" t="inlineStr">
        <is>
          <t>485</t>
        </is>
      </c>
      <c r="B486" s="1" t="inlineStr">
        <is>
          <t>Reina Quispe Sayas</t>
        </is>
      </c>
      <c r="C486" s="1" t="inlineStr">
        <is>
          <t>Jueces de Paz</t>
        </is>
      </c>
      <c r="D486" s="1" t="inlineStr">
        <is>
          <t>Entrevista de actores clave</t>
        </is>
      </c>
      <c r="E486" s="1" t="inlineStr">
        <is>
          <t>Funcionarios del Sistema</t>
        </is>
      </c>
      <c r="F486" s="1" t="inlineStr">
        <is>
          <t>Distrito Judicial: Ayacucho</t>
        </is>
      </c>
      <c r="G486" s="1" t="str"/>
      <c r="H486" s="1" t="str"/>
      <c r="I486" s="2" t="str"/>
      <c r="J486" s="2" t="str"/>
      <c r="K486" s="2" t="str"/>
      <c r="L486" s="1" t="str"/>
      <c r="M486" s="2" t="str"/>
      <c r="N486" s="2" t="str"/>
      <c r="O486" s="1" t="str"/>
      <c r="P486" s="1" t="str"/>
      <c r="Q486" s="1" t="str"/>
      <c r="R486" s="1">
        <f>IF(H486="Sí",1,0)</f>
        <v/>
      </c>
      <c r="S486" s="1">
        <f>IF(L486="En coordinación",1,0)</f>
        <v/>
      </c>
      <c r="T486" s="1">
        <f>IF(L486="Aceptada",1,0)</f>
        <v/>
      </c>
      <c r="U486" s="1">
        <f>IF(OR(L486="Realizada completa",L486="Realizada incompleta"),1,0)</f>
        <v/>
      </c>
      <c r="V486" s="1">
        <f>IF(L486="Sin respuesta",1,0)</f>
        <v/>
      </c>
    </row>
    <row r="487">
      <c r="A487" s="1" t="inlineStr">
        <is>
          <t>486</t>
        </is>
      </c>
      <c r="B487" s="1" t="inlineStr">
        <is>
          <t>Berysford Cama Godoy</t>
        </is>
      </c>
      <c r="C487" s="1" t="inlineStr">
        <is>
          <t>Jueces de Paz</t>
        </is>
      </c>
      <c r="D487" s="1" t="inlineStr">
        <is>
          <t>Entrevista de actores clave</t>
        </is>
      </c>
      <c r="E487" s="1" t="inlineStr">
        <is>
          <t>Funcionarios del Sistema</t>
        </is>
      </c>
      <c r="F487" s="1" t="inlineStr">
        <is>
          <t>Distrito Judicial: Ayacucho</t>
        </is>
      </c>
      <c r="G487" s="1" t="str"/>
      <c r="H487" s="1" t="str"/>
      <c r="I487" s="2" t="str"/>
      <c r="J487" s="2" t="str"/>
      <c r="K487" s="2" t="str"/>
      <c r="L487" s="1" t="str"/>
      <c r="M487" s="2" t="str"/>
      <c r="N487" s="2" t="str"/>
      <c r="O487" s="1" t="str"/>
      <c r="P487" s="1" t="str"/>
      <c r="Q487" s="1" t="str"/>
      <c r="R487" s="1">
        <f>IF(H487="Sí",1,0)</f>
        <v/>
      </c>
      <c r="S487" s="1">
        <f>IF(L487="En coordinación",1,0)</f>
        <v/>
      </c>
      <c r="T487" s="1">
        <f>IF(L487="Aceptada",1,0)</f>
        <v/>
      </c>
      <c r="U487" s="1">
        <f>IF(OR(L487="Realizada completa",L487="Realizada incompleta"),1,0)</f>
        <v/>
      </c>
      <c r="V487" s="1">
        <f>IF(L487="Sin respuesta",1,0)</f>
        <v/>
      </c>
    </row>
    <row r="488">
      <c r="A488" s="1" t="inlineStr">
        <is>
          <t>487</t>
        </is>
      </c>
      <c r="B488" s="1" t="inlineStr">
        <is>
          <t>Rocio Quispe</t>
        </is>
      </c>
      <c r="C488" s="1" t="inlineStr">
        <is>
          <t>Jueces de Paz</t>
        </is>
      </c>
      <c r="D488" s="1" t="inlineStr">
        <is>
          <t>Entrevista de actores clave</t>
        </is>
      </c>
      <c r="E488" s="1" t="inlineStr">
        <is>
          <t>Funcionarios del Sistema</t>
        </is>
      </c>
      <c r="F488" s="1" t="inlineStr">
        <is>
          <t>Distrito Judicial: Ayacucho</t>
        </is>
      </c>
      <c r="G488" s="1" t="str"/>
      <c r="H488" s="1" t="str"/>
      <c r="I488" s="2" t="str"/>
      <c r="J488" s="2" t="str"/>
      <c r="K488" s="2" t="str"/>
      <c r="L488" s="1" t="str"/>
      <c r="M488" s="2" t="str"/>
      <c r="N488" s="2" t="str"/>
      <c r="O488" s="1" t="str"/>
      <c r="P488" s="1" t="str"/>
      <c r="Q488" s="1" t="str"/>
      <c r="R488" s="1">
        <f>IF(H488="Sí",1,0)</f>
        <v/>
      </c>
      <c r="S488" s="1">
        <f>IF(L488="En coordinación",1,0)</f>
        <v/>
      </c>
      <c r="T488" s="1">
        <f>IF(L488="Aceptada",1,0)</f>
        <v/>
      </c>
      <c r="U488" s="1">
        <f>IF(OR(L488="Realizada completa",L488="Realizada incompleta"),1,0)</f>
        <v/>
      </c>
      <c r="V488" s="1">
        <f>IF(L488="Sin respuesta",1,0)</f>
        <v/>
      </c>
    </row>
    <row r="489">
      <c r="A489" s="1" t="inlineStr">
        <is>
          <t>488</t>
        </is>
      </c>
      <c r="B489" s="1" t="inlineStr">
        <is>
          <t>Saul Fajardo</t>
        </is>
      </c>
      <c r="C489" s="1" t="inlineStr">
        <is>
          <t>Jueces de Paz</t>
        </is>
      </c>
      <c r="D489" s="1" t="inlineStr">
        <is>
          <t>Entrevista de actores clave</t>
        </is>
      </c>
      <c r="E489" s="1" t="inlineStr">
        <is>
          <t>Funcionarios del Sistema</t>
        </is>
      </c>
      <c r="F489" s="1" t="inlineStr">
        <is>
          <t>Distrito Judicial: Ayacucho</t>
        </is>
      </c>
      <c r="G489" s="1" t="str"/>
      <c r="H489" s="1" t="str"/>
      <c r="I489" s="2" t="str"/>
      <c r="J489" s="2" t="str"/>
      <c r="K489" s="2" t="str"/>
      <c r="L489" s="1" t="str"/>
      <c r="M489" s="2" t="str"/>
      <c r="N489" s="2" t="str"/>
      <c r="O489" s="1" t="str"/>
      <c r="P489" s="1" t="str"/>
      <c r="Q489" s="1" t="str"/>
      <c r="R489" s="1">
        <f>IF(H489="Sí",1,0)</f>
        <v/>
      </c>
      <c r="S489" s="1">
        <f>IF(L489="En coordinación",1,0)</f>
        <v/>
      </c>
      <c r="T489" s="1">
        <f>IF(L489="Aceptada",1,0)</f>
        <v/>
      </c>
      <c r="U489" s="1">
        <f>IF(OR(L489="Realizada completa",L489="Realizada incompleta"),1,0)</f>
        <v/>
      </c>
      <c r="V489" s="1">
        <f>IF(L489="Sin respuesta",1,0)</f>
        <v/>
      </c>
    </row>
    <row r="490">
      <c r="A490" s="1" t="inlineStr">
        <is>
          <t>489</t>
        </is>
      </c>
      <c r="B490" s="1" t="inlineStr">
        <is>
          <t>Maribel Cordero</t>
        </is>
      </c>
      <c r="C490" s="1" t="inlineStr">
        <is>
          <t>Jueces de Paz</t>
        </is>
      </c>
      <c r="D490" s="1" t="inlineStr">
        <is>
          <t>Entrevista de actores clave</t>
        </is>
      </c>
      <c r="E490" s="1" t="inlineStr">
        <is>
          <t>Funcionarios del Sistema</t>
        </is>
      </c>
      <c r="F490" s="1" t="inlineStr">
        <is>
          <t>Distrito Judicial: Ayacucho</t>
        </is>
      </c>
      <c r="G490" s="1" t="str"/>
      <c r="H490" s="1" t="str"/>
      <c r="I490" s="2" t="str"/>
      <c r="J490" s="2" t="str"/>
      <c r="K490" s="2" t="str"/>
      <c r="L490" s="1" t="str"/>
      <c r="M490" s="2" t="str"/>
      <c r="N490" s="2" t="str"/>
      <c r="O490" s="1" t="str"/>
      <c r="P490" s="1" t="str"/>
      <c r="Q490" s="1" t="str"/>
      <c r="R490" s="1">
        <f>IF(H490="Sí",1,0)</f>
        <v/>
      </c>
      <c r="S490" s="1">
        <f>IF(L490="En coordinación",1,0)</f>
        <v/>
      </c>
      <c r="T490" s="1">
        <f>IF(L490="Aceptada",1,0)</f>
        <v/>
      </c>
      <c r="U490" s="1">
        <f>IF(OR(L490="Realizada completa",L490="Realizada incompleta"),1,0)</f>
        <v/>
      </c>
      <c r="V490" s="1">
        <f>IF(L490="Sin respuesta",1,0)</f>
        <v/>
      </c>
    </row>
    <row r="491">
      <c r="A491" s="1" t="inlineStr">
        <is>
          <t>490</t>
        </is>
      </c>
      <c r="B491" s="1" t="inlineStr">
        <is>
          <t>Hernry Marcos Valverde</t>
        </is>
      </c>
      <c r="C491" s="1" t="inlineStr">
        <is>
          <t>Jueces de Paz</t>
        </is>
      </c>
      <c r="D491" s="1" t="inlineStr">
        <is>
          <t>Entrevista de actores clave</t>
        </is>
      </c>
      <c r="E491" s="1" t="inlineStr">
        <is>
          <t>Funcionarios del Sistema</t>
        </is>
      </c>
      <c r="F491" s="1" t="inlineStr">
        <is>
          <t>Distrito Judicial: Ayacucho</t>
        </is>
      </c>
      <c r="G491" s="1" t="str"/>
      <c r="H491" s="1" t="str"/>
      <c r="I491" s="2" t="str"/>
      <c r="J491" s="2" t="str"/>
      <c r="K491" s="2" t="str"/>
      <c r="L491" s="1" t="str"/>
      <c r="M491" s="2" t="str"/>
      <c r="N491" s="2" t="str"/>
      <c r="O491" s="1" t="str"/>
      <c r="P491" s="1" t="str"/>
      <c r="Q491" s="1" t="str"/>
      <c r="R491" s="1">
        <f>IF(H491="Sí",1,0)</f>
        <v/>
      </c>
      <c r="S491" s="1">
        <f>IF(L491="En coordinación",1,0)</f>
        <v/>
      </c>
      <c r="T491" s="1">
        <f>IF(L491="Aceptada",1,0)</f>
        <v/>
      </c>
      <c r="U491" s="1">
        <f>IF(OR(L491="Realizada completa",L491="Realizada incompleta"),1,0)</f>
        <v/>
      </c>
      <c r="V491" s="1">
        <f>IF(L491="Sin respuesta",1,0)</f>
        <v/>
      </c>
    </row>
    <row r="492">
      <c r="A492" s="1" t="inlineStr">
        <is>
          <t>491</t>
        </is>
      </c>
      <c r="B492" s="1" t="inlineStr">
        <is>
          <t>Edgar Aquiles Lopez</t>
        </is>
      </c>
      <c r="C492" s="1" t="inlineStr">
        <is>
          <t>Jueces de Paz</t>
        </is>
      </c>
      <c r="D492" s="1" t="inlineStr">
        <is>
          <t>Entrevista de actores clave</t>
        </is>
      </c>
      <c r="E492" s="1" t="inlineStr">
        <is>
          <t>Funcionarios del Sistema</t>
        </is>
      </c>
      <c r="F492" s="1" t="inlineStr">
        <is>
          <t>Distrito Judicial: Ayacucho</t>
        </is>
      </c>
      <c r="G492" s="1" t="str"/>
      <c r="H492" s="1" t="str"/>
      <c r="I492" s="2" t="str"/>
      <c r="J492" s="2" t="str"/>
      <c r="K492" s="2" t="str"/>
      <c r="L492" s="1" t="str"/>
      <c r="M492" s="2" t="str"/>
      <c r="N492" s="2" t="str"/>
      <c r="O492" s="1" t="str"/>
      <c r="P492" s="1" t="str"/>
      <c r="Q492" s="1" t="str"/>
      <c r="R492" s="1">
        <f>IF(H492="Sí",1,0)</f>
        <v/>
      </c>
      <c r="S492" s="1">
        <f>IF(L492="En coordinación",1,0)</f>
        <v/>
      </c>
      <c r="T492" s="1">
        <f>IF(L492="Aceptada",1,0)</f>
        <v/>
      </c>
      <c r="U492" s="1">
        <f>IF(OR(L492="Realizada completa",L492="Realizada incompleta"),1,0)</f>
        <v/>
      </c>
      <c r="V492" s="1">
        <f>IF(L492="Sin respuesta",1,0)</f>
        <v/>
      </c>
    </row>
    <row r="493">
      <c r="A493" s="1" t="inlineStr">
        <is>
          <t>492</t>
        </is>
      </c>
      <c r="B493" s="1" t="inlineStr">
        <is>
          <t>Maritza Chavez</t>
        </is>
      </c>
      <c r="C493" s="1" t="inlineStr">
        <is>
          <t>Jueces de Paz</t>
        </is>
      </c>
      <c r="D493" s="1" t="inlineStr">
        <is>
          <t>Entrevista de actores clave</t>
        </is>
      </c>
      <c r="E493" s="1" t="inlineStr">
        <is>
          <t>Funcionarios del Sistema</t>
        </is>
      </c>
      <c r="F493" s="1" t="inlineStr">
        <is>
          <t>Distrito Judicial: Ayacucho</t>
        </is>
      </c>
      <c r="G493" s="1" t="str"/>
      <c r="H493" s="1" t="str"/>
      <c r="I493" s="2" t="str"/>
      <c r="J493" s="2" t="str"/>
      <c r="K493" s="2" t="str"/>
      <c r="L493" s="1" t="str"/>
      <c r="M493" s="2" t="str"/>
      <c r="N493" s="2" t="str"/>
      <c r="O493" s="1" t="str"/>
      <c r="P493" s="1" t="str"/>
      <c r="Q493" s="1" t="str"/>
      <c r="R493" s="1">
        <f>IF(H493="Sí",1,0)</f>
        <v/>
      </c>
      <c r="S493" s="1">
        <f>IF(L493="En coordinación",1,0)</f>
        <v/>
      </c>
      <c r="T493" s="1">
        <f>IF(L493="Aceptada",1,0)</f>
        <v/>
      </c>
      <c r="U493" s="1">
        <f>IF(OR(L493="Realizada completa",L493="Realizada incompleta"),1,0)</f>
        <v/>
      </c>
      <c r="V493" s="1">
        <f>IF(L493="Sin respuesta",1,0)</f>
        <v/>
      </c>
    </row>
    <row r="494">
      <c r="A494" s="1" t="inlineStr">
        <is>
          <t>493</t>
        </is>
      </c>
      <c r="B494" s="1" t="inlineStr">
        <is>
          <t>Lady Diaz Diquez</t>
        </is>
      </c>
      <c r="C494" s="1" t="inlineStr">
        <is>
          <t>Organización Regional AIDESEP Ucayali (ORAU)</t>
        </is>
      </c>
      <c r="D494" s="1" t="inlineStr">
        <is>
          <t>Entrevista de actores clave</t>
        </is>
      </c>
      <c r="E494" s="1" t="inlineStr">
        <is>
          <t>Actores locales</t>
        </is>
      </c>
      <c r="F494" s="1" t="inlineStr">
        <is>
          <t>Distrito Judicial: Ucayali</t>
        </is>
      </c>
      <c r="G494" s="1" t="str"/>
      <c r="H494" s="1" t="str"/>
      <c r="I494" s="2" t="str"/>
      <c r="J494" s="2" t="str"/>
      <c r="K494" s="2" t="str"/>
      <c r="L494" s="1" t="str"/>
      <c r="M494" s="2" t="str"/>
      <c r="N494" s="2" t="str"/>
      <c r="O494" s="1" t="str"/>
      <c r="P494" s="1" t="str"/>
      <c r="Q494" s="1" t="str"/>
      <c r="R494" s="1">
        <f>IF(H494="Sí",1,0)</f>
        <v/>
      </c>
      <c r="S494" s="1">
        <f>IF(L494="En coordinación",1,0)</f>
        <v/>
      </c>
      <c r="T494" s="1">
        <f>IF(L494="Aceptada",1,0)</f>
        <v/>
      </c>
      <c r="U494" s="1">
        <f>IF(OR(L494="Realizada completa",L494="Realizada incompleta"),1,0)</f>
        <v/>
      </c>
      <c r="V494" s="1">
        <f>IF(L494="Sin respuesta",1,0)</f>
        <v/>
      </c>
    </row>
    <row r="495">
      <c r="A495" s="1" t="inlineStr">
        <is>
          <t>494</t>
        </is>
      </c>
      <c r="B495" s="1" t="inlineStr">
        <is>
          <t>Gerald Joseph Kholer Palomino</t>
        </is>
      </c>
      <c r="C495" s="1" t="inlineStr">
        <is>
          <t>Defensoría del Pueblo</t>
        </is>
      </c>
      <c r="D495" s="1" t="inlineStr">
        <is>
          <t>Entrevista de actores clave</t>
        </is>
      </c>
      <c r="E495" s="1" t="inlineStr">
        <is>
          <t>Funcionarios del Sistema</t>
        </is>
      </c>
      <c r="F495" s="1" t="inlineStr">
        <is>
          <t>Distrito Judicial: Apurímac</t>
        </is>
      </c>
      <c r="G495" s="1" t="str"/>
      <c r="H495" s="1" t="inlineStr">
        <is>
          <t>Sí</t>
        </is>
      </c>
      <c r="I495" s="2" t="str"/>
      <c r="J495" s="2" t="str"/>
      <c r="K495" s="2" t="str"/>
      <c r="L495" s="1" t="inlineStr">
        <is>
          <t>Realizada completa</t>
        </is>
      </c>
      <c r="M495" s="2" t="inlineStr">
        <is>
          <t>17-Jul</t>
        </is>
      </c>
      <c r="N495" s="2" t="inlineStr">
        <is>
          <t>17-Jul</t>
        </is>
      </c>
      <c r="O495" s="1" t="inlineStr">
        <is>
          <t>Realizada completa</t>
        </is>
      </c>
      <c r="P495" s="1" t="inlineStr">
        <is>
          <t>35</t>
        </is>
      </c>
      <c r="Q495" s="1" t="inlineStr">
        <is>
          <t>A distancia asistido</t>
        </is>
      </c>
      <c r="R495" s="1">
        <f>IF(H495="Sí",1,0)</f>
        <v/>
      </c>
      <c r="S495" s="1">
        <f>IF(L495="En coordinación",1,0)</f>
        <v/>
      </c>
      <c r="T495" s="1">
        <f>IF(L495="Aceptada",1,0)</f>
        <v/>
      </c>
      <c r="U495" s="1">
        <f>IF(OR(L495="Realizada completa",L495="Realizada incompleta"),1,0)</f>
        <v/>
      </c>
      <c r="V495" s="1">
        <f>IF(L495="Sin respuesta",1,0)</f>
        <v/>
      </c>
    </row>
    <row r="496">
      <c r="A496" s="1" t="inlineStr">
        <is>
          <t>495</t>
        </is>
      </c>
      <c r="B496" s="1" t="inlineStr">
        <is>
          <t>Alexandra Corazon Medina Colonia</t>
        </is>
      </c>
      <c r="C496" s="1" t="inlineStr">
        <is>
          <t>Unidad de Protección Especial</t>
        </is>
      </c>
      <c r="D496" s="1" t="inlineStr">
        <is>
          <t>Entrevista de actores clave</t>
        </is>
      </c>
      <c r="E496" s="1" t="inlineStr">
        <is>
          <t>Funcionarios del Sistema</t>
        </is>
      </c>
      <c r="F496" s="1" t="inlineStr">
        <is>
          <t>Distrito Judicial: Lima Norte</t>
        </is>
      </c>
      <c r="G496" s="1" t="str"/>
      <c r="H496" s="1" t="inlineStr">
        <is>
          <t>Sí</t>
        </is>
      </c>
      <c r="I496" s="2" t="str"/>
      <c r="J496" s="2" t="str"/>
      <c r="K496" s="2" t="str"/>
      <c r="L496" s="1" t="inlineStr">
        <is>
          <t>Realizada completa</t>
        </is>
      </c>
      <c r="M496" s="2" t="inlineStr">
        <is>
          <t>18-Jul</t>
        </is>
      </c>
      <c r="N496" s="2" t="inlineStr">
        <is>
          <t>18-Jul</t>
        </is>
      </c>
      <c r="O496" s="1" t="inlineStr">
        <is>
          <t>Realizada completa</t>
        </is>
      </c>
      <c r="P496" s="1" t="inlineStr">
        <is>
          <t>33</t>
        </is>
      </c>
      <c r="Q496" s="1" t="inlineStr">
        <is>
          <t>A distancia asistido</t>
        </is>
      </c>
      <c r="R496" s="1">
        <f>IF(H496="Sí",1,0)</f>
        <v/>
      </c>
      <c r="S496" s="1">
        <f>IF(L496="En coordinación",1,0)</f>
        <v/>
      </c>
      <c r="T496" s="1">
        <f>IF(L496="Aceptada",1,0)</f>
        <v/>
      </c>
      <c r="U496" s="1">
        <f>IF(OR(L496="Realizada completa",L496="Realizada incompleta"),1,0)</f>
        <v/>
      </c>
      <c r="V496" s="1">
        <f>IF(L496="Sin respuesta",1,0)</f>
        <v/>
      </c>
    </row>
    <row r="497">
      <c r="A497" s="1" t="inlineStr">
        <is>
          <t>496</t>
        </is>
      </c>
      <c r="B497" s="1" t="inlineStr">
        <is>
          <t xml:space="preserve">
JORGE LUIS UPIACHIHUA HIDALGO</t>
        </is>
      </c>
      <c r="C497" s="1" t="inlineStr">
        <is>
          <t>Amazon Legal Service - Abogado</t>
        </is>
      </c>
      <c r="D497" s="1" t="inlineStr">
        <is>
          <t>Entrevista de actores clave</t>
        </is>
      </c>
      <c r="E497" s="1" t="inlineStr">
        <is>
          <t>Acompañantes</t>
        </is>
      </c>
      <c r="F497" s="1" t="inlineStr">
        <is>
          <t>Distrito Judicial: Loreto</t>
        </is>
      </c>
      <c r="G497" s="1" t="str"/>
      <c r="H497" s="1" t="inlineStr">
        <is>
          <t>Sí</t>
        </is>
      </c>
      <c r="I497" s="2" t="str"/>
      <c r="J497" s="2" t="str"/>
      <c r="K497" s="2" t="str"/>
      <c r="L497" s="1" t="inlineStr">
        <is>
          <t>Realizada completa</t>
        </is>
      </c>
      <c r="M497" s="2" t="inlineStr">
        <is>
          <t>18-Jul</t>
        </is>
      </c>
      <c r="N497" s="2" t="inlineStr">
        <is>
          <t>18-Jul</t>
        </is>
      </c>
      <c r="O497" s="1" t="inlineStr">
        <is>
          <t>Realizada completa</t>
        </is>
      </c>
      <c r="P497" s="1" t="inlineStr">
        <is>
          <t>35</t>
        </is>
      </c>
      <c r="Q497" s="1" t="inlineStr">
        <is>
          <t>A distancia asistido</t>
        </is>
      </c>
      <c r="R497" s="1">
        <f>IF(H497="Sí",1,0)</f>
        <v/>
      </c>
      <c r="S497" s="1">
        <f>IF(L497="En coordinación",1,0)</f>
        <v/>
      </c>
      <c r="T497" s="1">
        <f>IF(L497="Aceptada",1,0)</f>
        <v/>
      </c>
      <c r="U497" s="1">
        <f>IF(OR(L497="Realizada completa",L497="Realizada incompleta"),1,0)</f>
        <v/>
      </c>
      <c r="V497" s="1">
        <f>IF(L497="Sin respuesta",1,0)</f>
        <v/>
      </c>
    </row>
    <row r="498">
      <c r="A498" s="1" t="inlineStr">
        <is>
          <t>497</t>
        </is>
      </c>
      <c r="B498" s="1" t="inlineStr">
        <is>
          <t>Manuel Ventura</t>
        </is>
      </c>
      <c r="C498" s="1" t="str"/>
      <c r="D498" s="1" t="inlineStr">
        <is>
          <t>Entrevista de actores clave</t>
        </is>
      </c>
      <c r="E498" s="1" t="inlineStr">
        <is>
          <t>Prensa</t>
        </is>
      </c>
      <c r="F498" s="1" t="inlineStr">
        <is>
          <t>Distrito Judicial: Ayacucho</t>
        </is>
      </c>
      <c r="G498" s="1" t="inlineStr">
        <is>
          <t>APOYO</t>
        </is>
      </c>
      <c r="H498" s="1" t="inlineStr">
        <is>
          <t>Sí</t>
        </is>
      </c>
      <c r="I498" s="2" t="inlineStr">
        <is>
          <t xml:space="preserve"> 7/21/2026</t>
        </is>
      </c>
      <c r="J498" s="2" t="str"/>
      <c r="K498" s="2" t="str"/>
      <c r="L498" s="1" t="str"/>
      <c r="M498" s="2" t="str"/>
      <c r="N498" s="2" t="str"/>
      <c r="O498" s="1" t="str"/>
      <c r="P498" s="1" t="str"/>
      <c r="Q498" s="1" t="str"/>
      <c r="R498" s="1">
        <f>IF(H498="Sí",1,0)</f>
        <v/>
      </c>
      <c r="S498" s="1">
        <f>IF(L498="En coordinación",1,0)</f>
        <v/>
      </c>
      <c r="T498" s="1">
        <f>IF(L498="Aceptada",1,0)</f>
        <v/>
      </c>
      <c r="U498" s="1">
        <f>IF(OR(L498="Realizada completa",L498="Realizada incompleta"),1,0)</f>
        <v/>
      </c>
      <c r="V498" s="1">
        <f>IF(L498="Sin respuesta",1,0)</f>
        <v/>
      </c>
    </row>
    <row r="499">
      <c r="A499" s="1" t="inlineStr">
        <is>
          <t>498</t>
        </is>
      </c>
      <c r="B499" s="1" t="inlineStr">
        <is>
          <t>Analí Andrade</t>
        </is>
      </c>
      <c r="C499" s="1" t="str"/>
      <c r="D499" s="1" t="inlineStr">
        <is>
          <t>Entrevista de actores clave</t>
        </is>
      </c>
      <c r="E499" s="1" t="inlineStr">
        <is>
          <t>Prensa</t>
        </is>
      </c>
      <c r="F499" s="1" t="inlineStr">
        <is>
          <t>Distrito Judicial: Apurímac</t>
        </is>
      </c>
      <c r="G499" s="1" t="inlineStr">
        <is>
          <t>APOYO</t>
        </is>
      </c>
      <c r="H499" s="1" t="inlineStr">
        <is>
          <t>Sí</t>
        </is>
      </c>
      <c r="I499" s="2" t="inlineStr">
        <is>
          <t xml:space="preserve"> 7/21/2026</t>
        </is>
      </c>
      <c r="J499" s="2" t="str"/>
      <c r="K499" s="2" t="str"/>
      <c r="L499" s="1" t="inlineStr">
        <is>
          <t>Realizada completa</t>
        </is>
      </c>
      <c r="M499" s="2" t="inlineStr">
        <is>
          <t>27-Jul</t>
        </is>
      </c>
      <c r="N499" s="2" t="inlineStr">
        <is>
          <t>27-Jul</t>
        </is>
      </c>
      <c r="O499" s="1" t="inlineStr">
        <is>
          <t>Realizada completa</t>
        </is>
      </c>
      <c r="P499" s="1" t="inlineStr">
        <is>
          <t>53</t>
        </is>
      </c>
      <c r="Q499" s="1" t="inlineStr">
        <is>
          <t>A distancia asistido</t>
        </is>
      </c>
      <c r="R499" s="1">
        <f>IF(H499="Sí",1,0)</f>
        <v/>
      </c>
      <c r="S499" s="1">
        <f>IF(L499="En coordinación",1,0)</f>
        <v/>
      </c>
      <c r="T499" s="1">
        <f>IF(L499="Aceptada",1,0)</f>
        <v/>
      </c>
      <c r="U499" s="1">
        <f>IF(OR(L499="Realizada completa",L499="Realizada incompleta"),1,0)</f>
        <v/>
      </c>
      <c r="V499" s="1">
        <f>IF(L499="Sin respuesta",1,0)</f>
        <v/>
      </c>
    </row>
    <row r="500">
      <c r="A500" s="1" t="inlineStr">
        <is>
          <t>499</t>
        </is>
      </c>
      <c r="B500" s="1" t="inlineStr">
        <is>
          <t>Jaime Idrogo</t>
        </is>
      </c>
      <c r="C500" s="1" t="str"/>
      <c r="D500" s="1" t="inlineStr">
        <is>
          <t>Entrevista de actores clave</t>
        </is>
      </c>
      <c r="E500" s="1" t="inlineStr">
        <is>
          <t>Prensa</t>
        </is>
      </c>
      <c r="F500" s="1" t="inlineStr">
        <is>
          <t>Distrito Judicial: Apurímac</t>
        </is>
      </c>
      <c r="G500" s="1" t="inlineStr">
        <is>
          <t>APOYO</t>
        </is>
      </c>
      <c r="H500" s="1" t="inlineStr">
        <is>
          <t>Sí</t>
        </is>
      </c>
      <c r="I500" s="2" t="inlineStr">
        <is>
          <t xml:space="preserve"> 7/21/2026</t>
        </is>
      </c>
      <c r="J500" s="2" t="str"/>
      <c r="K500" s="2" t="str"/>
      <c r="L500" s="1" t="str"/>
      <c r="M500" s="2" t="str"/>
      <c r="N500" s="2" t="str"/>
      <c r="O500" s="1" t="str"/>
      <c r="P500" s="1" t="str"/>
      <c r="Q500" s="1" t="str"/>
      <c r="R500" s="1">
        <f>IF(H500="Sí",1,0)</f>
        <v/>
      </c>
      <c r="S500" s="1">
        <f>IF(L500="En coordinación",1,0)</f>
        <v/>
      </c>
      <c r="T500" s="1">
        <f>IF(L500="Aceptada",1,0)</f>
        <v/>
      </c>
      <c r="U500" s="1">
        <f>IF(OR(L500="Realizada completa",L500="Realizada incompleta"),1,0)</f>
        <v/>
      </c>
      <c r="V500" s="1">
        <f>IF(L500="Sin respuesta",1,0)</f>
        <v/>
      </c>
    </row>
    <row r="501">
      <c r="A501" s="1" t="inlineStr">
        <is>
          <t>500</t>
        </is>
      </c>
      <c r="B501" s="1" t="inlineStr">
        <is>
          <t>Yris Silva</t>
        </is>
      </c>
      <c r="C501" s="1" t="inlineStr">
        <is>
          <t>Municipalidad Provincial de Coronel Portillo</t>
        </is>
      </c>
      <c r="D501" s="1" t="inlineStr">
        <is>
          <t>Entrevista de actores clave</t>
        </is>
      </c>
      <c r="E501" s="1" t="inlineStr">
        <is>
          <t>Prensa</t>
        </is>
      </c>
      <c r="F501" s="1" t="inlineStr">
        <is>
          <t>Distrito Judicial: Ucayali</t>
        </is>
      </c>
      <c r="G501" s="1" t="inlineStr">
        <is>
          <t>APOYO</t>
        </is>
      </c>
      <c r="H501" s="1" t="inlineStr">
        <is>
          <t>Sí</t>
        </is>
      </c>
      <c r="I501" s="2" t="inlineStr">
        <is>
          <t xml:space="preserve"> 7/21/2026</t>
        </is>
      </c>
      <c r="J501" s="2" t="str"/>
      <c r="K501" s="2" t="str"/>
      <c r="L501" s="1" t="inlineStr">
        <is>
          <t>Realizada completa</t>
        </is>
      </c>
      <c r="M501" s="2" t="inlineStr">
        <is>
          <t>24-Jul</t>
        </is>
      </c>
      <c r="N501" s="2" t="inlineStr">
        <is>
          <t>24-Jul</t>
        </is>
      </c>
      <c r="O501" s="1" t="inlineStr">
        <is>
          <t>Realizada completa</t>
        </is>
      </c>
      <c r="P501" s="1" t="inlineStr">
        <is>
          <t>36</t>
        </is>
      </c>
      <c r="Q501" s="1" t="inlineStr">
        <is>
          <t>A distancia asistido</t>
        </is>
      </c>
      <c r="R501" s="1">
        <f>IF(H501="Sí",1,0)</f>
        <v/>
      </c>
      <c r="S501" s="1">
        <f>IF(L501="En coordinación",1,0)</f>
        <v/>
      </c>
      <c r="T501" s="1">
        <f>IF(L501="Aceptada",1,0)</f>
        <v/>
      </c>
      <c r="U501" s="1">
        <f>IF(OR(L501="Realizada completa",L501="Realizada incompleta"),1,0)</f>
        <v/>
      </c>
      <c r="V501" s="1">
        <f>IF(L501="Sin respuesta",1,0)</f>
        <v/>
      </c>
    </row>
    <row r="502">
      <c r="A502" s="1" t="inlineStr">
        <is>
          <t>501</t>
        </is>
      </c>
      <c r="B502" s="1" t="inlineStr">
        <is>
          <t>Mary Gambini</t>
        </is>
      </c>
      <c r="C502" s="1" t="inlineStr">
        <is>
          <t>Selvática Televisión</t>
        </is>
      </c>
      <c r="D502" s="1" t="inlineStr">
        <is>
          <t>Entrevista de actores clave</t>
        </is>
      </c>
      <c r="E502" s="1" t="inlineStr">
        <is>
          <t>Prensa</t>
        </is>
      </c>
      <c r="F502" s="1" t="inlineStr">
        <is>
          <t>Distrito Judicial: Ucayali</t>
        </is>
      </c>
      <c r="G502" s="1" t="inlineStr">
        <is>
          <t>APOYO</t>
        </is>
      </c>
      <c r="H502" s="1" t="inlineStr">
        <is>
          <t>Sí</t>
        </is>
      </c>
      <c r="I502" s="2" t="inlineStr">
        <is>
          <t xml:space="preserve"> 7/21/2026</t>
        </is>
      </c>
      <c r="J502" s="2" t="str"/>
      <c r="K502" s="2" t="str"/>
      <c r="L502" s="1" t="inlineStr">
        <is>
          <t>Realizada completa</t>
        </is>
      </c>
      <c r="M502" s="2" t="inlineStr">
        <is>
          <t>27-Jul</t>
        </is>
      </c>
      <c r="N502" s="2" t="inlineStr">
        <is>
          <t>27-Jul</t>
        </is>
      </c>
      <c r="O502" s="1" t="inlineStr">
        <is>
          <t>Realizada completa</t>
        </is>
      </c>
      <c r="P502" s="1" t="inlineStr">
        <is>
          <t>30</t>
        </is>
      </c>
      <c r="Q502" s="1" t="inlineStr">
        <is>
          <t>A distancia asistido</t>
        </is>
      </c>
      <c r="R502" s="1">
        <f>IF(H502="Sí",1,0)</f>
        <v/>
      </c>
      <c r="S502" s="1">
        <f>IF(L502="En coordinación",1,0)</f>
        <v/>
      </c>
      <c r="T502" s="1">
        <f>IF(L502="Aceptada",1,0)</f>
        <v/>
      </c>
      <c r="U502" s="1">
        <f>IF(OR(L502="Realizada completa",L502="Realizada incompleta"),1,0)</f>
        <v/>
      </c>
      <c r="V502" s="1">
        <f>IF(L502="Sin respuesta",1,0)</f>
        <v/>
      </c>
    </row>
    <row r="503">
      <c r="A503" s="1" t="inlineStr">
        <is>
          <t>502</t>
        </is>
      </c>
      <c r="B503" s="1" t="inlineStr">
        <is>
          <t>Carolina Arredondo</t>
        </is>
      </c>
      <c r="C503" s="1" t="str"/>
      <c r="D503" s="1" t="inlineStr">
        <is>
          <t>Entrevista de actores clave</t>
        </is>
      </c>
      <c r="E503" s="1" t="inlineStr">
        <is>
          <t>Prensa</t>
        </is>
      </c>
      <c r="F503" s="1" t="inlineStr">
        <is>
          <t>Distrito Judicial: Loreto</t>
        </is>
      </c>
      <c r="G503" s="1" t="inlineStr">
        <is>
          <t>APOYO</t>
        </is>
      </c>
      <c r="H503" s="1" t="inlineStr">
        <is>
          <t>Sí</t>
        </is>
      </c>
      <c r="I503" s="2" t="inlineStr">
        <is>
          <t xml:space="preserve"> 7/22/2026</t>
        </is>
      </c>
      <c r="J503" s="2" t="str"/>
      <c r="K503" s="2" t="str"/>
      <c r="L503" s="1" t="inlineStr">
        <is>
          <t>Realizada completa</t>
        </is>
      </c>
      <c r="M503" s="2" t="str"/>
      <c r="N503" s="2" t="str"/>
      <c r="O503" s="1" t="inlineStr">
        <is>
          <t>Realizada completa</t>
        </is>
      </c>
      <c r="P503" s="1" t="str"/>
      <c r="Q503" s="1" t="inlineStr">
        <is>
          <t>A distancia asistido</t>
        </is>
      </c>
      <c r="R503" s="1">
        <f>IF(H503="Sí",1,0)</f>
        <v/>
      </c>
      <c r="S503" s="1">
        <f>IF(L503="En coordinación",1,0)</f>
        <v/>
      </c>
      <c r="T503" s="1">
        <f>IF(L503="Aceptada",1,0)</f>
        <v/>
      </c>
      <c r="U503" s="1">
        <f>IF(OR(L503="Realizada completa",L503="Realizada incompleta"),1,0)</f>
        <v/>
      </c>
      <c r="V503" s="1">
        <f>IF(L503="Sin respuesta",1,0)</f>
        <v/>
      </c>
    </row>
    <row r="504">
      <c r="A504" s="1" t="inlineStr">
        <is>
          <t>502</t>
        </is>
      </c>
      <c r="B504" s="1" t="inlineStr">
        <is>
          <t>NICANOR EFRAIN CALIZAYA CRUZ</t>
        </is>
      </c>
      <c r="C504" s="1" t="inlineStr">
        <is>
          <t>Servicio de Atención Rural</t>
        </is>
      </c>
      <c r="D504" s="1" t="inlineStr">
        <is>
          <t>Entrevista de actores clave</t>
        </is>
      </c>
      <c r="E504" s="1" t="inlineStr">
        <is>
          <t>Actores locales</t>
        </is>
      </c>
      <c r="F504" s="1" t="inlineStr">
        <is>
          <t>Distrito Judicial: Apurímac</t>
        </is>
      </c>
      <c r="G504" s="1" t="str"/>
      <c r="H504" s="1" t="str"/>
      <c r="I504" s="2" t="str"/>
      <c r="J504" s="2" t="str"/>
      <c r="K504" s="2" t="str"/>
      <c r="L504" s="1" t="str"/>
      <c r="M504" s="2" t="str"/>
      <c r="N504" s="2" t="str"/>
      <c r="O504" s="1" t="str"/>
      <c r="P504" s="1" t="str"/>
      <c r="Q504" s="1" t="str"/>
      <c r="R504" s="1">
        <f>IF(H504="Sí",1,0)</f>
        <v/>
      </c>
      <c r="S504" s="1">
        <f>IF(L504="En coordinación",1,0)</f>
        <v/>
      </c>
      <c r="T504" s="1">
        <f>IF(L504="Aceptada",1,0)</f>
        <v/>
      </c>
      <c r="U504" s="1">
        <f>IF(OR(L504="Realizada completa",L504="Realizada incompleta"),1,0)</f>
        <v/>
      </c>
      <c r="V504" s="1">
        <f>IF(L504="Sin respuesta",1,0)</f>
        <v/>
      </c>
    </row>
    <row r="505">
      <c r="A505" s="1" t="inlineStr">
        <is>
          <t>503</t>
        </is>
      </c>
      <c r="B505" s="1" t="inlineStr">
        <is>
          <t>ARTEMIO ATAO PAHUARA</t>
        </is>
      </c>
      <c r="C505" s="1" t="inlineStr">
        <is>
          <t>Servicio de Atención Rural</t>
        </is>
      </c>
      <c r="D505" s="1" t="inlineStr">
        <is>
          <t>Entrevista de actores clave</t>
        </is>
      </c>
      <c r="E505" s="1" t="inlineStr">
        <is>
          <t>Actores locales</t>
        </is>
      </c>
      <c r="F505" s="1" t="inlineStr">
        <is>
          <t>Distrito Judicial: Apurímac</t>
        </is>
      </c>
      <c r="G505" s="1" t="str"/>
      <c r="H505" s="1" t="str"/>
      <c r="I505" s="2" t="str"/>
      <c r="J505" s="2" t="str"/>
      <c r="K505" s="2" t="str"/>
      <c r="L505" s="1" t="str"/>
      <c r="M505" s="2" t="str"/>
      <c r="N505" s="2" t="str"/>
      <c r="O505" s="1" t="str"/>
      <c r="P505" s="1" t="str"/>
      <c r="Q505" s="1" t="str"/>
      <c r="R505" s="1">
        <f>IF(H505="Sí",1,0)</f>
        <v/>
      </c>
      <c r="S505" s="1">
        <f>IF(L505="En coordinación",1,0)</f>
        <v/>
      </c>
      <c r="T505" s="1">
        <f>IF(L505="Aceptada",1,0)</f>
        <v/>
      </c>
      <c r="U505" s="1">
        <f>IF(OR(L505="Realizada completa",L505="Realizada incompleta"),1,0)</f>
        <v/>
      </c>
      <c r="V505" s="1">
        <f>IF(L505="Sin respuesta",1,0)</f>
        <v/>
      </c>
    </row>
    <row r="506">
      <c r="A506" s="1" t="inlineStr">
        <is>
          <t>504</t>
        </is>
      </c>
      <c r="B506" s="1" t="inlineStr">
        <is>
          <t>YULISA DIAZ ALCARRAZ</t>
        </is>
      </c>
      <c r="C506" s="1" t="inlineStr">
        <is>
          <t>Servicio de Atención Rural</t>
        </is>
      </c>
      <c r="D506" s="1" t="inlineStr">
        <is>
          <t>Entrevista de actores clave</t>
        </is>
      </c>
      <c r="E506" s="1" t="inlineStr">
        <is>
          <t>Actores locales</t>
        </is>
      </c>
      <c r="F506" s="1" t="inlineStr">
        <is>
          <t>Distrito Judicial: Apurímac</t>
        </is>
      </c>
      <c r="G506" s="1" t="str"/>
      <c r="H506" s="1" t="str"/>
      <c r="I506" s="2" t="str"/>
      <c r="J506" s="2" t="str"/>
      <c r="K506" s="2" t="str"/>
      <c r="L506" s="1" t="str"/>
      <c r="M506" s="2" t="str"/>
      <c r="N506" s="2" t="str"/>
      <c r="O506" s="1" t="str"/>
      <c r="P506" s="1" t="str"/>
      <c r="Q506" s="1" t="str"/>
      <c r="R506" s="1">
        <f>IF(H506="Sí",1,0)</f>
        <v/>
      </c>
      <c r="S506" s="1">
        <f>IF(L506="En coordinación",1,0)</f>
        <v/>
      </c>
      <c r="T506" s="1">
        <f>IF(L506="Aceptada",1,0)</f>
        <v/>
      </c>
      <c r="U506" s="1">
        <f>IF(OR(L506="Realizada completa",L506="Realizada incompleta"),1,0)</f>
        <v/>
      </c>
      <c r="V506" s="1">
        <f>IF(L506="Sin respuesta",1,0)</f>
        <v/>
      </c>
    </row>
    <row r="507">
      <c r="A507" s="1" t="inlineStr">
        <is>
          <t>505</t>
        </is>
      </c>
      <c r="B507" s="1" t="inlineStr">
        <is>
          <t>CHARLYE ANDRES GRACIA TAMANI</t>
        </is>
      </c>
      <c r="C507" s="1" t="inlineStr">
        <is>
          <t>Servicio de Atención Rural</t>
        </is>
      </c>
      <c r="D507" s="1" t="inlineStr">
        <is>
          <t>Entrevista de actores clave</t>
        </is>
      </c>
      <c r="E507" s="1" t="inlineStr">
        <is>
          <t>Actores locales</t>
        </is>
      </c>
      <c r="F507" s="1" t="inlineStr">
        <is>
          <t>Distrito Judicial: Ucayali</t>
        </is>
      </c>
      <c r="G507" s="1" t="str"/>
      <c r="H507" s="1" t="str"/>
      <c r="I507" s="2" t="str"/>
      <c r="J507" s="2" t="str"/>
      <c r="K507" s="2" t="str"/>
      <c r="L507" s="1" t="str"/>
      <c r="M507" s="2" t="str"/>
      <c r="N507" s="2" t="str"/>
      <c r="O507" s="1" t="str"/>
      <c r="P507" s="1" t="str"/>
      <c r="Q507" s="1" t="str"/>
      <c r="R507" s="1">
        <f>IF(H507="Sí",1,0)</f>
        <v/>
      </c>
      <c r="S507" s="1">
        <f>IF(L507="En coordinación",1,0)</f>
        <v/>
      </c>
      <c r="T507" s="1">
        <f>IF(L507="Aceptada",1,0)</f>
        <v/>
      </c>
      <c r="U507" s="1">
        <f>IF(OR(L507="Realizada completa",L507="Realizada incompleta"),1,0)</f>
        <v/>
      </c>
      <c r="V507" s="1">
        <f>IF(L507="Sin respuesta",1,0)</f>
        <v/>
      </c>
    </row>
    <row r="508">
      <c r="A508" s="1" t="inlineStr">
        <is>
          <t>506</t>
        </is>
      </c>
      <c r="B508" s="1" t="inlineStr">
        <is>
          <t>NILDA VANESSA BERROSPI RIMAC</t>
        </is>
      </c>
      <c r="C508" s="1" t="inlineStr">
        <is>
          <t>Servicio de Atención Rural</t>
        </is>
      </c>
      <c r="D508" s="1" t="inlineStr">
        <is>
          <t>Entrevista de actores clave</t>
        </is>
      </c>
      <c r="E508" s="1" t="inlineStr">
        <is>
          <t>Actores locales</t>
        </is>
      </c>
      <c r="F508" s="1" t="inlineStr">
        <is>
          <t>Distrito Judicial: Ucayali</t>
        </is>
      </c>
      <c r="G508" s="1" t="str"/>
      <c r="H508" s="1" t="str"/>
      <c r="I508" s="2" t="str"/>
      <c r="J508" s="2" t="str"/>
      <c r="K508" s="2" t="str"/>
      <c r="L508" s="1" t="str"/>
      <c r="M508" s="2" t="str"/>
      <c r="N508" s="2" t="str"/>
      <c r="O508" s="1" t="str"/>
      <c r="P508" s="1" t="str"/>
      <c r="Q508" s="1" t="str"/>
      <c r="R508" s="1">
        <f>IF(H508="Sí",1,0)</f>
        <v/>
      </c>
      <c r="S508" s="1">
        <f>IF(L508="En coordinación",1,0)</f>
        <v/>
      </c>
      <c r="T508" s="1">
        <f>IF(L508="Aceptada",1,0)</f>
        <v/>
      </c>
      <c r="U508" s="1">
        <f>IF(OR(L508="Realizada completa",L508="Realizada incompleta"),1,0)</f>
        <v/>
      </c>
      <c r="V508" s="1">
        <f>IF(L508="Sin respuesta",1,0)</f>
        <v/>
      </c>
    </row>
    <row r="509">
      <c r="A509" s="1" t="inlineStr">
        <is>
          <t>507</t>
        </is>
      </c>
      <c r="B509" s="1" t="inlineStr">
        <is>
          <t>FRETEL CAHUAS LUPE MELISSA</t>
        </is>
      </c>
      <c r="C509" s="1" t="inlineStr">
        <is>
          <t>Servicio de Atención Rural</t>
        </is>
      </c>
      <c r="D509" s="1" t="inlineStr">
        <is>
          <t>Entrevista de actores clave</t>
        </is>
      </c>
      <c r="E509" s="1" t="inlineStr">
        <is>
          <t>Actores locales</t>
        </is>
      </c>
      <c r="F509" s="1" t="inlineStr">
        <is>
          <t>Distrito Judicial: Huánuco</t>
        </is>
      </c>
      <c r="G509" s="1" t="str"/>
      <c r="H509" s="1" t="str"/>
      <c r="I509" s="2" t="str"/>
      <c r="J509" s="2" t="str"/>
      <c r="K509" s="2" t="str"/>
      <c r="L509" s="1" t="str"/>
      <c r="M509" s="2" t="str"/>
      <c r="N509" s="2" t="str"/>
      <c r="O509" s="1" t="str"/>
      <c r="P509" s="1" t="str"/>
      <c r="Q509" s="1" t="str"/>
      <c r="R509" s="1">
        <f>IF(H509="Sí",1,0)</f>
        <v/>
      </c>
      <c r="S509" s="1">
        <f>IF(L509="En coordinación",1,0)</f>
        <v/>
      </c>
      <c r="T509" s="1">
        <f>IF(L509="Aceptada",1,0)</f>
        <v/>
      </c>
      <c r="U509" s="1">
        <f>IF(OR(L509="Realizada completa",L509="Realizada incompleta"),1,0)</f>
        <v/>
      </c>
      <c r="V509" s="1">
        <f>IF(L509="Sin respuesta",1,0)</f>
        <v/>
      </c>
    </row>
    <row r="510">
      <c r="A510" s="1" t="inlineStr">
        <is>
          <t>508</t>
        </is>
      </c>
      <c r="B510" s="1" t="inlineStr">
        <is>
          <t>ELIZABET SIMONA CONGACHE COSINGA</t>
        </is>
      </c>
      <c r="C510" s="1" t="inlineStr">
        <is>
          <t>Servicio de Atención Rural</t>
        </is>
      </c>
      <c r="D510" s="1" t="inlineStr">
        <is>
          <t>Entrevista de actores clave</t>
        </is>
      </c>
      <c r="E510" s="1" t="inlineStr">
        <is>
          <t>Actores locales</t>
        </is>
      </c>
      <c r="F510" s="1" t="inlineStr">
        <is>
          <t>Distrito Judicial: Ayacucho</t>
        </is>
      </c>
      <c r="G510" s="1" t="str"/>
      <c r="H510" s="1" t="str"/>
      <c r="I510" s="2" t="str"/>
      <c r="J510" s="2" t="str"/>
      <c r="K510" s="2" t="str"/>
      <c r="L510" s="1" t="str"/>
      <c r="M510" s="2" t="str"/>
      <c r="N510" s="2" t="str"/>
      <c r="O510" s="1" t="str"/>
      <c r="P510" s="1" t="str"/>
      <c r="Q510" s="1" t="str"/>
      <c r="R510" s="1">
        <f>IF(H510="Sí",1,0)</f>
        <v/>
      </c>
      <c r="S510" s="1">
        <f>IF(L510="En coordinación",1,0)</f>
        <v/>
      </c>
      <c r="T510" s="1">
        <f>IF(L510="Aceptada",1,0)</f>
        <v/>
      </c>
      <c r="U510" s="1">
        <f>IF(OR(L510="Realizada completa",L510="Realizada incompleta"),1,0)</f>
        <v/>
      </c>
      <c r="V510" s="1">
        <f>IF(L510="Sin respuesta",1,0)</f>
        <v/>
      </c>
    </row>
    <row r="511">
      <c r="A511" s="1" t="inlineStr">
        <is>
          <t>509</t>
        </is>
      </c>
      <c r="B511" s="1" t="inlineStr">
        <is>
          <t>MARIA TERESA VELARDE LETURIA</t>
        </is>
      </c>
      <c r="C511" s="1" t="inlineStr">
        <is>
          <t>Servicio de Atención Rural</t>
        </is>
      </c>
      <c r="D511" s="1" t="inlineStr">
        <is>
          <t>Entrevista de actores clave</t>
        </is>
      </c>
      <c r="E511" s="1" t="inlineStr">
        <is>
          <t>Actores locales</t>
        </is>
      </c>
      <c r="F511" s="1" t="inlineStr">
        <is>
          <t>Distrito Judicial: Ayacucho</t>
        </is>
      </c>
      <c r="G511" s="1" t="str"/>
      <c r="H511" s="1" t="str"/>
      <c r="I511" s="2" t="str"/>
      <c r="J511" s="2" t="str"/>
      <c r="K511" s="2" t="str"/>
      <c r="L511" s="1" t="str"/>
      <c r="M511" s="2" t="str"/>
      <c r="N511" s="2" t="str"/>
      <c r="O511" s="1" t="str"/>
      <c r="P511" s="1" t="str"/>
      <c r="Q511" s="1" t="str"/>
      <c r="R511" s="1">
        <f>IF(H511="Sí",1,0)</f>
        <v/>
      </c>
      <c r="S511" s="1">
        <f>IF(L511="En coordinación",1,0)</f>
        <v/>
      </c>
      <c r="T511" s="1">
        <f>IF(L511="Aceptada",1,0)</f>
        <v/>
      </c>
      <c r="U511" s="1">
        <f>IF(OR(L511="Realizada completa",L511="Realizada incompleta"),1,0)</f>
        <v/>
      </c>
      <c r="V511" s="1">
        <f>IF(L511="Sin respuesta",1,0)</f>
        <v/>
      </c>
    </row>
    <row r="512">
      <c r="A512" s="1" t="inlineStr">
        <is>
          <t>510</t>
        </is>
      </c>
      <c r="B512" s="1" t="inlineStr">
        <is>
          <t>OSLER ADEMIR TONQUI TORRES</t>
        </is>
      </c>
      <c r="C512" s="1" t="inlineStr">
        <is>
          <t>Servicio de Atención Rural</t>
        </is>
      </c>
      <c r="D512" s="1" t="inlineStr">
        <is>
          <t>Entrevista de actores clave</t>
        </is>
      </c>
      <c r="E512" s="1" t="inlineStr">
        <is>
          <t>Actores locales</t>
        </is>
      </c>
      <c r="F512" s="1" t="inlineStr">
        <is>
          <t>Distrito Judicial: Ayacucho</t>
        </is>
      </c>
      <c r="G512" s="1" t="str"/>
      <c r="H512" s="1" t="str"/>
      <c r="I512" s="2" t="str"/>
      <c r="J512" s="2" t="str"/>
      <c r="K512" s="2" t="str"/>
      <c r="L512" s="1" t="str"/>
      <c r="M512" s="2" t="str"/>
      <c r="N512" s="2" t="str"/>
      <c r="O512" s="1" t="str"/>
      <c r="P512" s="1" t="str"/>
      <c r="Q512" s="1" t="str"/>
      <c r="R512" s="1">
        <f>IF(H512="Sí",1,0)</f>
        <v/>
      </c>
      <c r="S512" s="1">
        <f>IF(L512="En coordinación",1,0)</f>
        <v/>
      </c>
      <c r="T512" s="1">
        <f>IF(L512="Aceptada",1,0)</f>
        <v/>
      </c>
      <c r="U512" s="1">
        <f>IF(OR(L512="Realizada completa",L512="Realizada incompleta"),1,0)</f>
        <v/>
      </c>
      <c r="V512" s="1">
        <f>IF(L512="Sin respuesta",1,0)</f>
        <v/>
      </c>
    </row>
    <row r="513">
      <c r="A513" s="1" t="inlineStr">
        <is>
          <t>511</t>
        </is>
      </c>
      <c r="B513" s="1" t="inlineStr">
        <is>
          <t>MIRNA ELIZABETH HUARANCA ROMANI</t>
        </is>
      </c>
      <c r="C513" s="1" t="inlineStr">
        <is>
          <t>Servicio de Atención Rural</t>
        </is>
      </c>
      <c r="D513" s="1" t="inlineStr">
        <is>
          <t>Entrevista de actores clave</t>
        </is>
      </c>
      <c r="E513" s="1" t="inlineStr">
        <is>
          <t>Actores locales</t>
        </is>
      </c>
      <c r="F513" s="1" t="inlineStr">
        <is>
          <t>Distrito Judicial: Ayacucho</t>
        </is>
      </c>
      <c r="G513" s="1" t="str"/>
      <c r="H513" s="1" t="str"/>
      <c r="I513" s="2" t="str"/>
      <c r="J513" s="2" t="str"/>
      <c r="K513" s="2" t="str"/>
      <c r="L513" s="1" t="str"/>
      <c r="M513" s="2" t="str"/>
      <c r="N513" s="2" t="str"/>
      <c r="O513" s="1" t="str"/>
      <c r="P513" s="1" t="str"/>
      <c r="Q513" s="1" t="str"/>
      <c r="R513" s="1">
        <f>IF(H513="Sí",1,0)</f>
        <v/>
      </c>
      <c r="S513" s="1">
        <f>IF(L513="En coordinación",1,0)</f>
        <v/>
      </c>
      <c r="T513" s="1">
        <f>IF(L513="Aceptada",1,0)</f>
        <v/>
      </c>
      <c r="U513" s="1">
        <f>IF(OR(L513="Realizada completa",L513="Realizada incompleta"),1,0)</f>
        <v/>
      </c>
      <c r="V513" s="1">
        <f>IF(L513="Sin respuesta",1,0)</f>
        <v/>
      </c>
    </row>
    <row r="514">
      <c r="A514" s="1" t="inlineStr">
        <is>
          <t>512</t>
        </is>
      </c>
      <c r="B514" s="1" t="inlineStr">
        <is>
          <t>RONALD DAVID BAUTISTA QUISPE</t>
        </is>
      </c>
      <c r="C514" s="1" t="inlineStr">
        <is>
          <t>Servicio de Atención Rural</t>
        </is>
      </c>
      <c r="D514" s="1" t="inlineStr">
        <is>
          <t>Entrevista de actores clave</t>
        </is>
      </c>
      <c r="E514" s="1" t="inlineStr">
        <is>
          <t>Actores locales</t>
        </is>
      </c>
      <c r="F514" s="1" t="inlineStr">
        <is>
          <t>Distrito Judicial: Ayacucho</t>
        </is>
      </c>
      <c r="G514" s="1" t="str"/>
      <c r="H514" s="1" t="str"/>
      <c r="I514" s="2" t="str"/>
      <c r="J514" s="2" t="str"/>
      <c r="K514" s="2" t="str"/>
      <c r="L514" s="1" t="str"/>
      <c r="M514" s="2" t="str"/>
      <c r="N514" s="2" t="str"/>
      <c r="O514" s="1" t="str"/>
      <c r="P514" s="1" t="str"/>
      <c r="Q514" s="1" t="str"/>
      <c r="R514" s="1">
        <f>IF(H514="Sí",1,0)</f>
        <v/>
      </c>
      <c r="S514" s="1">
        <f>IF(L514="En coordinación",1,0)</f>
        <v/>
      </c>
      <c r="T514" s="1">
        <f>IF(L514="Aceptada",1,0)</f>
        <v/>
      </c>
      <c r="U514" s="1">
        <f>IF(OR(L514="Realizada completa",L514="Realizada incompleta"),1,0)</f>
        <v/>
      </c>
      <c r="V514" s="1">
        <f>IF(L514="Sin respuesta",1,0)</f>
        <v/>
      </c>
    </row>
    <row r="515">
      <c r="A515" s="1" t="inlineStr">
        <is>
          <t>513</t>
        </is>
      </c>
      <c r="B515" s="1" t="inlineStr">
        <is>
          <t>DAN NIX RAMIREZ SILVA</t>
        </is>
      </c>
      <c r="C515" s="1" t="inlineStr">
        <is>
          <t>Servicio de Atención Rural</t>
        </is>
      </c>
      <c r="D515" s="1" t="inlineStr">
        <is>
          <t>Entrevista de actores clave</t>
        </is>
      </c>
      <c r="E515" s="1" t="inlineStr">
        <is>
          <t>Actores locales</t>
        </is>
      </c>
      <c r="F515" s="1" t="inlineStr">
        <is>
          <t>Distrito Judicial: Loreto</t>
        </is>
      </c>
      <c r="G515" s="1" t="str"/>
      <c r="H515" s="1" t="str"/>
      <c r="I515" s="2" t="str"/>
      <c r="J515" s="2" t="str"/>
      <c r="K515" s="2" t="str"/>
      <c r="L515" s="1" t="str"/>
      <c r="M515" s="2" t="str"/>
      <c r="N515" s="2" t="str"/>
      <c r="O515" s="1" t="str"/>
      <c r="P515" s="1" t="str"/>
      <c r="Q515" s="1" t="str"/>
      <c r="R515" s="1">
        <f>IF(H515="Sí",1,0)</f>
        <v/>
      </c>
      <c r="S515" s="1">
        <f>IF(L515="En coordinación",1,0)</f>
        <v/>
      </c>
      <c r="T515" s="1">
        <f>IF(L515="Aceptada",1,0)</f>
        <v/>
      </c>
      <c r="U515" s="1">
        <f>IF(OR(L515="Realizada completa",L515="Realizada incompleta"),1,0)</f>
        <v/>
      </c>
      <c r="V515" s="1">
        <f>IF(L515="Sin respuesta",1,0)</f>
        <v/>
      </c>
    </row>
    <row r="516">
      <c r="A516" s="1" t="inlineStr">
        <is>
          <t>514</t>
        </is>
      </c>
      <c r="B516" s="1" t="inlineStr">
        <is>
          <t>JOHANA AMERICA RODRIGUEZ CARCAUSTO</t>
        </is>
      </c>
      <c r="C516" s="1" t="inlineStr">
        <is>
          <t>Servicio de Atención Rural</t>
        </is>
      </c>
      <c r="D516" s="1" t="inlineStr">
        <is>
          <t>Entrevista de actores clave</t>
        </is>
      </c>
      <c r="E516" s="1" t="inlineStr">
        <is>
          <t>Actores locales</t>
        </is>
      </c>
      <c r="F516" s="1" t="inlineStr">
        <is>
          <t>Distrito Judicial: Loreto</t>
        </is>
      </c>
      <c r="G516" s="1" t="str"/>
      <c r="H516" s="1" t="str"/>
      <c r="I516" s="2" t="str"/>
      <c r="J516" s="2" t="str"/>
      <c r="K516" s="2" t="str"/>
      <c r="L516" s="1" t="str"/>
      <c r="M516" s="2" t="str"/>
      <c r="N516" s="2" t="str"/>
      <c r="O516" s="1" t="str"/>
      <c r="P516" s="1" t="str"/>
      <c r="Q516" s="1" t="str"/>
      <c r="R516" s="1">
        <f>IF(H516="Sí",1,0)</f>
        <v/>
      </c>
      <c r="S516" s="1">
        <f>IF(L516="En coordinación",1,0)</f>
        <v/>
      </c>
      <c r="T516" s="1">
        <f>IF(L516="Aceptada",1,0)</f>
        <v/>
      </c>
      <c r="U516" s="1">
        <f>IF(OR(L516="Realizada completa",L516="Realizada incompleta"),1,0)</f>
        <v/>
      </c>
      <c r="V516" s="1">
        <f>IF(L516="Sin respuesta",1,0)</f>
        <v/>
      </c>
    </row>
    <row r="517">
      <c r="A517" s="1" t="inlineStr">
        <is>
          <t>515</t>
        </is>
      </c>
      <c r="B517" s="1" t="inlineStr">
        <is>
          <t>DENIS ALONSO SALAZAR MIO</t>
        </is>
      </c>
      <c r="C517" s="1" t="inlineStr">
        <is>
          <t>Servicio de Atención Rural</t>
        </is>
      </c>
      <c r="D517" s="1" t="inlineStr">
        <is>
          <t>Entrevista de actores clave</t>
        </is>
      </c>
      <c r="E517" s="1" t="inlineStr">
        <is>
          <t>Actores locales</t>
        </is>
      </c>
      <c r="F517" s="1" t="inlineStr">
        <is>
          <t>Distrito Judicial: Loreto</t>
        </is>
      </c>
      <c r="G517" s="1" t="str"/>
      <c r="H517" s="1" t="str"/>
      <c r="I517" s="2" t="str"/>
      <c r="J517" s="2" t="str"/>
      <c r="K517" s="2" t="str"/>
      <c r="L517" s="1" t="str"/>
      <c r="M517" s="2" t="str"/>
      <c r="N517" s="2" t="str"/>
      <c r="O517" s="1" t="str"/>
      <c r="P517" s="1" t="str"/>
      <c r="Q517" s="1" t="str"/>
      <c r="R517" s="1">
        <f>IF(H517="Sí",1,0)</f>
        <v/>
      </c>
      <c r="S517" s="1">
        <f>IF(L517="En coordinación",1,0)</f>
        <v/>
      </c>
      <c r="T517" s="1">
        <f>IF(L517="Aceptada",1,0)</f>
        <v/>
      </c>
      <c r="U517" s="1">
        <f>IF(OR(L517="Realizada completa",L517="Realizada incompleta"),1,0)</f>
        <v/>
      </c>
      <c r="V517" s="1">
        <f>IF(L517="Sin respuesta",1,0)</f>
        <v/>
      </c>
    </row>
    <row r="518">
      <c r="A518" s="1" t="inlineStr">
        <is>
          <t>516</t>
        </is>
      </c>
      <c r="B518" s="1" t="inlineStr">
        <is>
          <t>ALBERT WILLIAM IMAN TORRES</t>
        </is>
      </c>
      <c r="C518" s="1" t="inlineStr">
        <is>
          <t>Servicio de Atención Rural</t>
        </is>
      </c>
      <c r="D518" s="1" t="inlineStr">
        <is>
          <t>Entrevista de actores clave</t>
        </is>
      </c>
      <c r="E518" s="1" t="inlineStr">
        <is>
          <t>Actores locales</t>
        </is>
      </c>
      <c r="F518" s="1" t="inlineStr">
        <is>
          <t>Distrito Judicial: Loreto</t>
        </is>
      </c>
      <c r="G518" s="1" t="str"/>
      <c r="H518" s="1" t="str"/>
      <c r="I518" s="2" t="str"/>
      <c r="J518" s="2" t="str"/>
      <c r="K518" s="2" t="str"/>
      <c r="L518" s="1" t="str"/>
      <c r="M518" s="2" t="str"/>
      <c r="N518" s="2" t="str"/>
      <c r="O518" s="1" t="str"/>
      <c r="P518" s="1" t="str"/>
      <c r="Q518" s="1" t="str"/>
      <c r="R518" s="1">
        <f>IF(H518="Sí",1,0)</f>
        <v/>
      </c>
      <c r="S518" s="1">
        <f>IF(L518="En coordinación",1,0)</f>
        <v/>
      </c>
      <c r="T518" s="1">
        <f>IF(L518="Aceptada",1,0)</f>
        <v/>
      </c>
      <c r="U518" s="1">
        <f>IF(OR(L518="Realizada completa",L518="Realizada incompleta"),1,0)</f>
        <v/>
      </c>
      <c r="V518" s="1">
        <f>IF(L518="Sin respuesta",1,0)</f>
        <v/>
      </c>
    </row>
    <row r="519">
      <c r="A519" s="1" t="inlineStr">
        <is>
          <t>517</t>
        </is>
      </c>
      <c r="B519" s="1" t="inlineStr">
        <is>
          <t>KARINA JANETH LOZANO TORRES</t>
        </is>
      </c>
      <c r="C519" s="1" t="inlineStr">
        <is>
          <t>Servicio de Atención Rural</t>
        </is>
      </c>
      <c r="D519" s="1" t="inlineStr">
        <is>
          <t>Entrevista de actores clave</t>
        </is>
      </c>
      <c r="E519" s="1" t="inlineStr">
        <is>
          <t>Actores locales</t>
        </is>
      </c>
      <c r="F519" s="1" t="inlineStr">
        <is>
          <t>Distrito Judicial: Loreto</t>
        </is>
      </c>
      <c r="G519" s="1" t="str"/>
      <c r="H519" s="1" t="str"/>
      <c r="I519" s="2" t="str"/>
      <c r="J519" s="2" t="str"/>
      <c r="K519" s="2" t="str"/>
      <c r="L519" s="1" t="str"/>
      <c r="M519" s="2" t="str"/>
      <c r="N519" s="2" t="str"/>
      <c r="O519" s="1" t="str"/>
      <c r="P519" s="1" t="str"/>
      <c r="Q519" s="1" t="str"/>
      <c r="R519" s="1">
        <f>IF(H519="Sí",1,0)</f>
        <v/>
      </c>
      <c r="S519" s="1">
        <f>IF(L519="En coordinación",1,0)</f>
        <v/>
      </c>
      <c r="T519" s="1">
        <f>IF(L519="Aceptada",1,0)</f>
        <v/>
      </c>
      <c r="U519" s="1">
        <f>IF(OR(L519="Realizada completa",L519="Realizada incompleta"),1,0)</f>
        <v/>
      </c>
      <c r="V519" s="1">
        <f>IF(L519="Sin respuesta",1,0)</f>
        <v/>
      </c>
    </row>
    <row r="520">
      <c r="A520" s="1" t="inlineStr">
        <is>
          <t>518</t>
        </is>
      </c>
      <c r="B520" s="1" t="inlineStr">
        <is>
          <t>ANALETHY SOTO VASQUEZ</t>
        </is>
      </c>
      <c r="C520" s="1" t="inlineStr">
        <is>
          <t>Servicio de Atención Rural</t>
        </is>
      </c>
      <c r="D520" s="1" t="inlineStr">
        <is>
          <t>Entrevista de actores clave</t>
        </is>
      </c>
      <c r="E520" s="1" t="inlineStr">
        <is>
          <t>Actores locales</t>
        </is>
      </c>
      <c r="F520" s="1" t="inlineStr">
        <is>
          <t>Distrito Judicial: Loreto</t>
        </is>
      </c>
      <c r="G520" s="1" t="str"/>
      <c r="H520" s="1" t="str"/>
      <c r="I520" s="2" t="str"/>
      <c r="J520" s="2" t="str"/>
      <c r="K520" s="2" t="str"/>
      <c r="L520" s="1" t="str"/>
      <c r="M520" s="2" t="str"/>
      <c r="N520" s="2" t="str"/>
      <c r="O520" s="1" t="str"/>
      <c r="P520" s="1" t="str"/>
      <c r="Q520" s="1" t="str"/>
      <c r="R520" s="1">
        <f>IF(H520="Sí",1,0)</f>
        <v/>
      </c>
      <c r="S520" s="1">
        <f>IF(L520="En coordinación",1,0)</f>
        <v/>
      </c>
      <c r="T520" s="1">
        <f>IF(L520="Aceptada",1,0)</f>
        <v/>
      </c>
      <c r="U520" s="1">
        <f>IF(OR(L520="Realizada completa",L520="Realizada incompleta"),1,0)</f>
        <v/>
      </c>
      <c r="V520" s="1">
        <f>IF(L520="Sin respuesta",1,0)</f>
        <v/>
      </c>
    </row>
    <row r="521">
      <c r="A521" s="1" t="inlineStr">
        <is>
          <t>519</t>
        </is>
      </c>
      <c r="B521" s="1" t="inlineStr">
        <is>
          <t>MENDOZA BARRANTES MERICIA</t>
        </is>
      </c>
      <c r="C521" s="1" t="inlineStr">
        <is>
          <t>Servicio de Atención Rural</t>
        </is>
      </c>
      <c r="D521" s="1" t="inlineStr">
        <is>
          <t>Entrevista de actores clave</t>
        </is>
      </c>
      <c r="E521" s="1" t="inlineStr">
        <is>
          <t>Actores locales</t>
        </is>
      </c>
      <c r="F521" s="1" t="inlineStr">
        <is>
          <t>Distrito Judicial: Cajamarca</t>
        </is>
      </c>
      <c r="G521" s="1" t="str"/>
      <c r="H521" s="1" t="str"/>
      <c r="I521" s="2" t="str"/>
      <c r="J521" s="2" t="str"/>
      <c r="K521" s="2" t="str"/>
      <c r="L521" s="1" t="str"/>
      <c r="M521" s="2" t="str"/>
      <c r="N521" s="2" t="str"/>
      <c r="O521" s="1" t="str"/>
      <c r="P521" s="1" t="str"/>
      <c r="Q521" s="1" t="str"/>
      <c r="R521" s="1">
        <f>IF(H521="Sí",1,0)</f>
        <v/>
      </c>
      <c r="S521" s="1">
        <f>IF(L521="En coordinación",1,0)</f>
        <v/>
      </c>
      <c r="T521" s="1">
        <f>IF(L521="Aceptada",1,0)</f>
        <v/>
      </c>
      <c r="U521" s="1">
        <f>IF(OR(L521="Realizada completa",L521="Realizada incompleta"),1,0)</f>
        <v/>
      </c>
      <c r="V521" s="1">
        <f>IF(L521="Sin respuesta",1,0)</f>
        <v/>
      </c>
    </row>
    <row r="522">
      <c r="A522" s="1" t="inlineStr">
        <is>
          <t>520</t>
        </is>
      </c>
      <c r="B522" s="1" t="inlineStr">
        <is>
          <t>JULCA CHUGNAS MARINO ASTERIO</t>
        </is>
      </c>
      <c r="C522" s="1" t="inlineStr">
        <is>
          <t>Servicio de Atención Rural</t>
        </is>
      </c>
      <c r="D522" s="1" t="inlineStr">
        <is>
          <t>Entrevista de actores clave</t>
        </is>
      </c>
      <c r="E522" s="1" t="inlineStr">
        <is>
          <t>Actores locales</t>
        </is>
      </c>
      <c r="F522" s="1" t="inlineStr">
        <is>
          <t>Distrito Judicial: Cajamarca</t>
        </is>
      </c>
      <c r="G522" s="1" t="str"/>
      <c r="H522" s="1" t="str"/>
      <c r="I522" s="2" t="str"/>
      <c r="J522" s="2" t="str"/>
      <c r="K522" s="2" t="str"/>
      <c r="L522" s="1" t="str"/>
      <c r="M522" s="2" t="str"/>
      <c r="N522" s="2" t="str"/>
      <c r="O522" s="1" t="str"/>
      <c r="P522" s="1" t="str"/>
      <c r="Q522" s="1" t="str"/>
      <c r="R522" s="1">
        <f>IF(H522="Sí",1,0)</f>
        <v/>
      </c>
      <c r="S522" s="1">
        <f>IF(L522="En coordinación",1,0)</f>
        <v/>
      </c>
      <c r="T522" s="1">
        <f>IF(L522="Aceptada",1,0)</f>
        <v/>
      </c>
      <c r="U522" s="1">
        <f>IF(OR(L522="Realizada completa",L522="Realizada incompleta"),1,0)</f>
        <v/>
      </c>
      <c r="V522" s="1">
        <f>IF(L522="Sin respuesta",1,0)</f>
        <v/>
      </c>
    </row>
    <row r="523">
      <c r="A523" s="1" t="inlineStr">
        <is>
          <t>521</t>
        </is>
      </c>
      <c r="B523" s="1" t="inlineStr">
        <is>
          <t>CHAVEZ SANTA CRUZ YIMI ALEXANDER</t>
        </is>
      </c>
      <c r="C523" s="1" t="inlineStr">
        <is>
          <t>Servicio de Atención Rural</t>
        </is>
      </c>
      <c r="D523" s="1" t="inlineStr">
        <is>
          <t>Entrevista de actores clave</t>
        </is>
      </c>
      <c r="E523" s="1" t="inlineStr">
        <is>
          <t>Actores locales</t>
        </is>
      </c>
      <c r="F523" s="1" t="inlineStr">
        <is>
          <t>Distrito Judicial: Cajamarca</t>
        </is>
      </c>
      <c r="G523" s="1" t="str"/>
      <c r="H523" s="1" t="str"/>
      <c r="I523" s="2" t="str"/>
      <c r="J523" s="2" t="str"/>
      <c r="K523" s="2" t="str"/>
      <c r="L523" s="1" t="str"/>
      <c r="M523" s="2" t="str"/>
      <c r="N523" s="2" t="str"/>
      <c r="O523" s="1" t="str"/>
      <c r="P523" s="1" t="str"/>
      <c r="Q523" s="1" t="str"/>
      <c r="R523" s="1">
        <f>IF(H523="Sí",1,0)</f>
        <v/>
      </c>
      <c r="S523" s="1">
        <f>IF(L523="En coordinación",1,0)</f>
        <v/>
      </c>
      <c r="T523" s="1">
        <f>IF(L523="Aceptada",1,0)</f>
        <v/>
      </c>
      <c r="U523" s="1">
        <f>IF(OR(L523="Realizada completa",L523="Realizada incompleta"),1,0)</f>
        <v/>
      </c>
      <c r="V523" s="1">
        <f>IF(L523="Sin respuesta",1,0)</f>
        <v/>
      </c>
    </row>
    <row r="524">
      <c r="A524" s="1" t="inlineStr">
        <is>
          <t>522</t>
        </is>
      </c>
      <c r="B524" s="1" t="str"/>
      <c r="C524" s="1" t="inlineStr">
        <is>
          <t>Red de Mujeres Emprendedoras y Empresarias de la Región Huánuco</t>
        </is>
      </c>
      <c r="D524" s="1" t="inlineStr">
        <is>
          <t>Entrevista de actores clave</t>
        </is>
      </c>
      <c r="E524" s="1" t="inlineStr">
        <is>
          <t>Actores locales</t>
        </is>
      </c>
      <c r="F524" s="1" t="inlineStr">
        <is>
          <t>Distrito Judicial: Huánuco</t>
        </is>
      </c>
      <c r="G524" s="1" t="str"/>
      <c r="H524" s="1" t="str"/>
      <c r="I524" s="2" t="str"/>
      <c r="J524" s="2" t="str"/>
      <c r="K524" s="2" t="str"/>
      <c r="L524" s="1" t="str"/>
      <c r="M524" s="2" t="str"/>
      <c r="N524" s="2" t="str"/>
      <c r="O524" s="1" t="str"/>
      <c r="P524" s="1" t="str"/>
      <c r="Q524" s="1" t="str"/>
      <c r="R524" s="1">
        <f>IF(H524="Sí",1,0)</f>
        <v/>
      </c>
      <c r="S524" s="1">
        <f>IF(L524="En coordinación",1,0)</f>
        <v/>
      </c>
      <c r="T524" s="1">
        <f>IF(L524="Aceptada",1,0)</f>
        <v/>
      </c>
      <c r="U524" s="1">
        <f>IF(OR(L524="Realizada completa",L524="Realizada incompleta"),1,0)</f>
        <v/>
      </c>
      <c r="V524" s="1">
        <f>IF(L524="Sin respuesta",1,0)</f>
        <v/>
      </c>
    </row>
    <row r="525">
      <c r="A525" s="1" t="inlineStr">
        <is>
          <t>523</t>
        </is>
      </c>
      <c r="B525" s="1" t="inlineStr">
        <is>
          <t>Ketty Marcelo López</t>
        </is>
      </c>
      <c r="C525" s="1" t="inlineStr">
        <is>
          <t>Organización Nacional de Mujeres Indígenas Andinas y Amazónicas del Perú ONAMIAP</t>
        </is>
      </c>
      <c r="D525" s="1" t="inlineStr">
        <is>
          <t>Entrevista de actores clave</t>
        </is>
      </c>
      <c r="E525" s="1" t="inlineStr">
        <is>
          <t>Actores locales</t>
        </is>
      </c>
      <c r="F525" s="1" t="inlineStr">
        <is>
          <t>Nacional</t>
        </is>
      </c>
      <c r="G525" s="1" t="str"/>
      <c r="H525" s="1" t="str"/>
      <c r="I525" s="2" t="str"/>
      <c r="J525" s="2" t="str"/>
      <c r="K525" s="2" t="str"/>
      <c r="L525" s="1" t="str"/>
      <c r="M525" s="2" t="str"/>
      <c r="N525" s="2" t="str"/>
      <c r="O525" s="1" t="str"/>
      <c r="P525" s="1" t="str"/>
      <c r="Q525" s="1" t="str"/>
      <c r="R525" s="1">
        <f>IF(H525="Sí",1,0)</f>
        <v/>
      </c>
      <c r="S525" s="1">
        <f>IF(L525="En coordinación",1,0)</f>
        <v/>
      </c>
      <c r="T525" s="1">
        <f>IF(L525="Aceptada",1,0)</f>
        <v/>
      </c>
      <c r="U525" s="1">
        <f>IF(OR(L525="Realizada completa",L525="Realizada incompleta"),1,0)</f>
        <v/>
      </c>
      <c r="V525" s="1">
        <f>IF(L525="Sin respuesta",1,0)</f>
        <v/>
      </c>
    </row>
    <row r="526">
      <c r="A526" s="1" t="inlineStr">
        <is>
          <t>524</t>
        </is>
      </c>
      <c r="B526" s="1" t="inlineStr">
        <is>
          <t>Lourdes Huanca Atencio</t>
        </is>
      </c>
      <c r="C526" s="1" t="inlineStr">
        <is>
          <t>Federación Nacional de Mujeres Campesinas, Artesanas, Indígenas, Nativas y Asalariadas del Perú</t>
        </is>
      </c>
      <c r="D526" s="1" t="inlineStr">
        <is>
          <t>Entrevista de actores clave</t>
        </is>
      </c>
      <c r="E526" s="1" t="inlineStr">
        <is>
          <t>Actores locales</t>
        </is>
      </c>
      <c r="F526" s="1" t="inlineStr">
        <is>
          <t>Nacional</t>
        </is>
      </c>
      <c r="G526" s="1" t="str"/>
      <c r="H526" s="1" t="str"/>
      <c r="I526" s="2" t="str"/>
      <c r="J526" s="2" t="str"/>
      <c r="K526" s="2" t="str"/>
      <c r="L526" s="1" t="str"/>
      <c r="M526" s="2" t="str"/>
      <c r="N526" s="2" t="str"/>
      <c r="O526" s="1" t="str"/>
      <c r="P526" s="1" t="str"/>
      <c r="Q526" s="1" t="str"/>
      <c r="R526" s="1">
        <f>IF(H526="Sí",1,0)</f>
        <v/>
      </c>
      <c r="S526" s="1">
        <f>IF(L526="En coordinación",1,0)</f>
        <v/>
      </c>
      <c r="T526" s="1">
        <f>IF(L526="Aceptada",1,0)</f>
        <v/>
      </c>
      <c r="U526" s="1">
        <f>IF(OR(L526="Realizada completa",L526="Realizada incompleta"),1,0)</f>
        <v/>
      </c>
      <c r="V526" s="1">
        <f>IF(L526="Sin respuesta",1,0)</f>
        <v/>
      </c>
    </row>
    <row r="527">
      <c r="A527" s="1" t="inlineStr">
        <is>
          <t>525</t>
        </is>
      </c>
      <c r="B527" s="1" t="str"/>
      <c r="C527" s="1" t="inlineStr">
        <is>
          <t>Mujer &amp; Sociedad</t>
        </is>
      </c>
      <c r="D527" s="1" t="inlineStr">
        <is>
          <t>Entrevista de actores clave</t>
        </is>
      </c>
      <c r="E527" s="1" t="str"/>
      <c r="F527" s="1" t="inlineStr">
        <is>
          <t>Nacional</t>
        </is>
      </c>
      <c r="G527" s="1" t="str"/>
      <c r="H527" s="1" t="str"/>
      <c r="I527" s="2" t="str"/>
      <c r="J527" s="2" t="str"/>
      <c r="K527" s="2" t="str"/>
      <c r="L527" s="1" t="str"/>
      <c r="M527" s="2" t="str"/>
      <c r="N527" s="2" t="str"/>
      <c r="O527" s="1" t="str"/>
      <c r="P527" s="1" t="str"/>
      <c r="Q527" s="1" t="str"/>
      <c r="R527" s="1">
        <f>IF(H527="Sí",1,0)</f>
        <v/>
      </c>
      <c r="S527" s="1">
        <f>IF(L527="En coordinación",1,0)</f>
        <v/>
      </c>
      <c r="T527" s="1">
        <f>IF(L527="Aceptada",1,0)</f>
        <v/>
      </c>
      <c r="U527" s="1">
        <f>IF(OR(L527="Realizada completa",L527="Realizada incompleta"),1,0)</f>
        <v/>
      </c>
      <c r="V527" s="1">
        <f>IF(L527="Sin respuesta",1,0)</f>
        <v/>
      </c>
    </row>
    <row r="528">
      <c r="A528" s="1" t="inlineStr">
        <is>
          <t>526</t>
        </is>
      </c>
      <c r="B528" s="1" t="str"/>
      <c r="C528" s="1" t="inlineStr">
        <is>
          <t xml:space="preserve">Centro de Estudios de Problemas Económicos y sociales de la Juventud </t>
        </is>
      </c>
      <c r="D528" s="1" t="inlineStr">
        <is>
          <t>Entrevista de actores clave</t>
        </is>
      </c>
      <c r="E528" s="1" t="inlineStr">
        <is>
          <t>Actores locales</t>
        </is>
      </c>
      <c r="F528" s="1" t="inlineStr">
        <is>
          <t>Nacional</t>
        </is>
      </c>
      <c r="G528" s="1" t="str"/>
      <c r="H528" s="1" t="str"/>
      <c r="I528" s="2" t="str"/>
      <c r="J528" s="2" t="str"/>
      <c r="K528" s="2" t="str"/>
      <c r="L528" s="1" t="str"/>
      <c r="M528" s="2" t="str"/>
      <c r="N528" s="2" t="str"/>
      <c r="O528" s="1" t="str"/>
      <c r="P528" s="1" t="str"/>
      <c r="Q528" s="1" t="str"/>
      <c r="R528" s="1">
        <f>IF(H528="Sí",1,0)</f>
        <v/>
      </c>
      <c r="S528" s="1">
        <f>IF(L528="En coordinación",1,0)</f>
        <v/>
      </c>
      <c r="T528" s="1">
        <f>IF(L528="Aceptada",1,0)</f>
        <v/>
      </c>
      <c r="U528" s="1">
        <f>IF(OR(L528="Realizada completa",L528="Realizada incompleta"),1,0)</f>
        <v/>
      </c>
      <c r="V528" s="1">
        <f>IF(L528="Sin respuesta",1,0)</f>
        <v/>
      </c>
    </row>
    <row r="529">
      <c r="A529" s="1" t="inlineStr">
        <is>
          <t>527</t>
        </is>
      </c>
      <c r="B529" s="1" t="inlineStr">
        <is>
          <t>Rosa del Carmen Hurtado Chota</t>
        </is>
      </c>
      <c r="C529" s="1" t="inlineStr">
        <is>
          <t>Caritas - Proyecto Luchando Contra la Violencia a orillas del río Itaya</t>
        </is>
      </c>
      <c r="D529" s="1" t="inlineStr">
        <is>
          <t>Entrevista de actores clave</t>
        </is>
      </c>
      <c r="E529" s="1" t="inlineStr">
        <is>
          <t>Actores locales</t>
        </is>
      </c>
      <c r="F529" s="1" t="inlineStr">
        <is>
          <t>Distrito Judicial: Loreto</t>
        </is>
      </c>
      <c r="G529" s="1" t="str"/>
      <c r="H529" s="1" t="inlineStr">
        <is>
          <t>Sí</t>
        </is>
      </c>
      <c r="I529" s="2" t="str"/>
      <c r="J529" s="2" t="str"/>
      <c r="K529" s="2" t="str"/>
      <c r="L529" s="1" t="inlineStr">
        <is>
          <t>Realizada completa</t>
        </is>
      </c>
      <c r="M529" s="2" t="inlineStr">
        <is>
          <t>21-Jul</t>
        </is>
      </c>
      <c r="N529" s="2" t="inlineStr">
        <is>
          <t>21-Jul</t>
        </is>
      </c>
      <c r="O529" s="1" t="inlineStr">
        <is>
          <t>Realizada completa</t>
        </is>
      </c>
      <c r="P529" s="1" t="inlineStr">
        <is>
          <t>42</t>
        </is>
      </c>
      <c r="Q529" s="1" t="inlineStr">
        <is>
          <t>A distancia asistido</t>
        </is>
      </c>
      <c r="R529" s="1">
        <f>IF(H529="Sí",1,0)</f>
        <v/>
      </c>
      <c r="S529" s="1">
        <f>IF(L529="En coordinación",1,0)</f>
        <v/>
      </c>
      <c r="T529" s="1">
        <f>IF(L529="Aceptada",1,0)</f>
        <v/>
      </c>
      <c r="U529" s="1">
        <f>IF(OR(L529="Realizada completa",L529="Realizada incompleta"),1,0)</f>
        <v/>
      </c>
      <c r="V529" s="1">
        <f>IF(L529="Sin respuesta",1,0)</f>
        <v/>
      </c>
    </row>
    <row r="530">
      <c r="A530" s="1" t="inlineStr">
        <is>
          <t>528</t>
        </is>
      </c>
      <c r="B530" s="1" t="inlineStr">
        <is>
          <t>Abel Chiroque Becerra</t>
        </is>
      </c>
      <c r="C530" s="1" t="inlineStr">
        <is>
          <t>Defensoría del Pueblo</t>
        </is>
      </c>
      <c r="D530" s="1" t="inlineStr">
        <is>
          <t>Entrevista de actores clave</t>
        </is>
      </c>
      <c r="E530" s="1" t="inlineStr">
        <is>
          <t>Funcionarios del Sistema</t>
        </is>
      </c>
      <c r="F530" s="1" t="inlineStr">
        <is>
          <t>Distrito Judicial: Loreto</t>
        </is>
      </c>
      <c r="G530" s="1" t="str"/>
      <c r="H530" s="1" t="inlineStr">
        <is>
          <t>Sí</t>
        </is>
      </c>
      <c r="I530" s="2" t="str"/>
      <c r="J530" s="2" t="str"/>
      <c r="K530" s="2" t="str"/>
      <c r="L530" s="1" t="inlineStr">
        <is>
          <t>Realizada completa</t>
        </is>
      </c>
      <c r="M530" s="2" t="inlineStr">
        <is>
          <t>21-Jul</t>
        </is>
      </c>
      <c r="N530" s="2" t="inlineStr">
        <is>
          <t>21-Jul</t>
        </is>
      </c>
      <c r="O530" s="1" t="inlineStr">
        <is>
          <t>Realizada completa</t>
        </is>
      </c>
      <c r="P530" s="1" t="inlineStr">
        <is>
          <t>31</t>
        </is>
      </c>
      <c r="Q530" s="1" t="inlineStr">
        <is>
          <t>A distancia asistido</t>
        </is>
      </c>
      <c r="R530" s="1">
        <f>IF(H530="Sí",1,0)</f>
        <v/>
      </c>
      <c r="S530" s="1">
        <f>IF(L530="En coordinación",1,0)</f>
        <v/>
      </c>
      <c r="T530" s="1">
        <f>IF(L530="Aceptada",1,0)</f>
        <v/>
      </c>
      <c r="U530" s="1">
        <f>IF(OR(L530="Realizada completa",L530="Realizada incompleta"),1,0)</f>
        <v/>
      </c>
      <c r="V530" s="1">
        <f>IF(L530="Sin respuesta",1,0)</f>
        <v/>
      </c>
    </row>
    <row r="531">
      <c r="A531" s="1" t="inlineStr">
        <is>
          <t>529</t>
        </is>
      </c>
      <c r="B531" s="1" t="inlineStr">
        <is>
          <t>Virna Quinteros Cavalcanti</t>
        </is>
      </c>
      <c r="C531" s="1" t="inlineStr">
        <is>
          <t>Centros de Emergencia Mujer</t>
        </is>
      </c>
      <c r="D531" s="1" t="inlineStr">
        <is>
          <t>Entrevista de actores clave</t>
        </is>
      </c>
      <c r="E531" s="1" t="inlineStr">
        <is>
          <t>Acompañantes</t>
        </is>
      </c>
      <c r="F531" s="1" t="inlineStr">
        <is>
          <t>Nacional</t>
        </is>
      </c>
      <c r="G531" s="1" t="str"/>
      <c r="H531" s="1" t="inlineStr">
        <is>
          <t>Sí</t>
        </is>
      </c>
      <c r="I531" s="2" t="str"/>
      <c r="J531" s="2" t="str"/>
      <c r="K531" s="2" t="str"/>
      <c r="L531" s="1" t="inlineStr">
        <is>
          <t>Realizada completa</t>
        </is>
      </c>
      <c r="M531" s="2" t="inlineStr">
        <is>
          <t>21-Jul</t>
        </is>
      </c>
      <c r="N531" s="2" t="inlineStr">
        <is>
          <t>21-Jul</t>
        </is>
      </c>
      <c r="O531" s="1" t="inlineStr">
        <is>
          <t>Realizada completa</t>
        </is>
      </c>
      <c r="P531" s="1" t="inlineStr">
        <is>
          <t>30</t>
        </is>
      </c>
      <c r="Q531" s="1" t="inlineStr">
        <is>
          <t>A distancia asistido</t>
        </is>
      </c>
      <c r="R531" s="1">
        <f>IF(H531="Sí",1,0)</f>
        <v/>
      </c>
      <c r="S531" s="1">
        <f>IF(L531="En coordinación",1,0)</f>
        <v/>
      </c>
      <c r="T531" s="1">
        <f>IF(L531="Aceptada",1,0)</f>
        <v/>
      </c>
      <c r="U531" s="1">
        <f>IF(OR(L531="Realizada completa",L531="Realizada incompleta"),1,0)</f>
        <v/>
      </c>
      <c r="V531" s="1">
        <f>IF(L531="Sin respuesta",1,0)</f>
        <v/>
      </c>
    </row>
    <row r="532">
      <c r="A532" s="1" t="inlineStr">
        <is>
          <t>530</t>
        </is>
      </c>
      <c r="B532" s="1" t="inlineStr">
        <is>
          <t>Marco Octavio Durand Rocca</t>
        </is>
      </c>
      <c r="C532" s="1" t="inlineStr">
        <is>
          <t>Defensoría del Pueblo</t>
        </is>
      </c>
      <c r="D532" s="1" t="inlineStr">
        <is>
          <t>Entrevista de actores clave</t>
        </is>
      </c>
      <c r="E532" s="1" t="inlineStr">
        <is>
          <t>Funcionarios del Sistema</t>
        </is>
      </c>
      <c r="F532" s="1" t="inlineStr">
        <is>
          <t>Distrito Judicial: Huánuco</t>
        </is>
      </c>
      <c r="G532" s="1" t="str"/>
      <c r="H532" s="1" t="inlineStr">
        <is>
          <t>Sí</t>
        </is>
      </c>
      <c r="I532" s="2" t="str"/>
      <c r="J532" s="2" t="str"/>
      <c r="K532" s="2" t="str"/>
      <c r="L532" s="1" t="inlineStr">
        <is>
          <t>Realizada completa</t>
        </is>
      </c>
      <c r="M532" s="2" t="inlineStr">
        <is>
          <t>24-Jul</t>
        </is>
      </c>
      <c r="N532" s="2" t="inlineStr">
        <is>
          <t>24-Jul</t>
        </is>
      </c>
      <c r="O532" s="1" t="inlineStr">
        <is>
          <t>Realizada completa</t>
        </is>
      </c>
      <c r="P532" s="1" t="inlineStr">
        <is>
          <t>45</t>
        </is>
      </c>
      <c r="Q532" s="1" t="inlineStr">
        <is>
          <t>A distancia asistido</t>
        </is>
      </c>
      <c r="R532" s="1">
        <f>IF(H532="Sí",1,0)</f>
        <v/>
      </c>
      <c r="S532" s="1">
        <f>IF(L532="En coordinación",1,0)</f>
        <v/>
      </c>
      <c r="T532" s="1">
        <f>IF(L532="Aceptada",1,0)</f>
        <v/>
      </c>
      <c r="U532" s="1">
        <f>IF(OR(L532="Realizada completa",L532="Realizada incompleta"),1,0)</f>
        <v/>
      </c>
      <c r="V532" s="1">
        <f>IF(L532="Sin respuesta",1,0)</f>
        <v/>
      </c>
    </row>
    <row r="533">
      <c r="A533" s="1" t="inlineStr">
        <is>
          <t>531</t>
        </is>
      </c>
      <c r="B533" s="1" t="inlineStr">
        <is>
          <t>Eutropía Delgado Castro</t>
        </is>
      </c>
      <c r="C533" s="1" t="inlineStr">
        <is>
          <t>Asociación Kallpa</t>
        </is>
      </c>
      <c r="D533" s="1" t="inlineStr">
        <is>
          <t>Entrevista de actores clave</t>
        </is>
      </c>
      <c r="E533" s="1" t="inlineStr">
        <is>
          <t>Actores locales</t>
        </is>
      </c>
      <c r="F533" s="1" t="inlineStr">
        <is>
          <t>Distrito Judicial: Ayacucho</t>
        </is>
      </c>
      <c r="G533" s="1" t="str"/>
      <c r="H533" s="1" t="str"/>
      <c r="I533" s="2" t="str"/>
      <c r="J533" s="2" t="str"/>
      <c r="K533" s="2" t="str"/>
      <c r="L533" s="1" t="str"/>
      <c r="M533" s="2" t="str"/>
      <c r="N533" s="2" t="str"/>
      <c r="O533" s="1" t="str"/>
      <c r="P533" s="1" t="str"/>
      <c r="Q533" s="1" t="str"/>
      <c r="R533" s="1">
        <f>IF(H533="Sí",1,0)</f>
        <v/>
      </c>
      <c r="S533" s="1">
        <f>IF(L533="En coordinación",1,0)</f>
        <v/>
      </c>
      <c r="T533" s="1">
        <f>IF(L533="Aceptada",1,0)</f>
        <v/>
      </c>
      <c r="U533" s="1">
        <f>IF(OR(L533="Realizada completa",L533="Realizada incompleta"),1,0)</f>
        <v/>
      </c>
      <c r="V533" s="1">
        <f>IF(L533="Sin respuesta",1,0)</f>
        <v/>
      </c>
    </row>
    <row r="534">
      <c r="A534" s="1" t="inlineStr">
        <is>
          <t>532</t>
        </is>
      </c>
      <c r="B534" s="1" t="inlineStr">
        <is>
          <t>Ana María Reyes Carranza</t>
        </is>
      </c>
      <c r="C534" s="1" t="inlineStr">
        <is>
          <t>Centros de Emergencia Mujer</t>
        </is>
      </c>
      <c r="D534" s="1" t="inlineStr">
        <is>
          <t>Entrevista de actores clave</t>
        </is>
      </c>
      <c r="E534" s="1" t="inlineStr">
        <is>
          <t>Funcionarios del Sistema</t>
        </is>
      </c>
      <c r="F534" s="1" t="inlineStr">
        <is>
          <t>Distrito Judicial: Cajamarca</t>
        </is>
      </c>
      <c r="G534" s="1" t="str"/>
      <c r="H534" s="1" t="str"/>
      <c r="I534" s="2" t="str"/>
      <c r="J534" s="2" t="str"/>
      <c r="K534" s="2" t="str"/>
      <c r="L534" s="1" t="str"/>
      <c r="M534" s="2" t="str"/>
      <c r="N534" s="2" t="str"/>
      <c r="O534" s="1" t="str"/>
      <c r="P534" s="1" t="str"/>
      <c r="Q534" s="1" t="str"/>
      <c r="R534" s="1">
        <f>IF(H534="Sí",1,0)</f>
        <v/>
      </c>
      <c r="S534" s="1">
        <f>IF(L534="En coordinación",1,0)</f>
        <v/>
      </c>
      <c r="T534" s="1">
        <f>IF(L534="Aceptada",1,0)</f>
        <v/>
      </c>
      <c r="U534" s="1">
        <f>IF(OR(L534="Realizada completa",L534="Realizada incompleta"),1,0)</f>
        <v/>
      </c>
      <c r="V534" s="1">
        <f>IF(L534="Sin respuesta",1,0)</f>
        <v/>
      </c>
    </row>
    <row r="535">
      <c r="A535" s="1" t="inlineStr">
        <is>
          <t>533</t>
        </is>
      </c>
      <c r="B535" s="1" t="inlineStr">
        <is>
          <t>Jonatan Basagoitia Cárdenas</t>
        </is>
      </c>
      <c r="C535" s="1" t="inlineStr">
        <is>
          <t>Poder Judicial</t>
        </is>
      </c>
      <c r="D535" s="1" t="inlineStr">
        <is>
          <t>Entrevista de actores clave</t>
        </is>
      </c>
      <c r="E535" s="1" t="inlineStr">
        <is>
          <t>Funcionarios del Sistema</t>
        </is>
      </c>
      <c r="F535" s="1" t="inlineStr">
        <is>
          <t>Distrito Judicial: Ucayali</t>
        </is>
      </c>
      <c r="G535" s="1" t="str"/>
      <c r="H535" s="1" t="str"/>
      <c r="I535" s="2" t="str"/>
      <c r="J535" s="2" t="str"/>
      <c r="K535" s="2" t="str"/>
      <c r="L535" s="1" t="str"/>
      <c r="M535" s="2" t="str"/>
      <c r="N535" s="2" t="str"/>
      <c r="O535" s="1" t="str"/>
      <c r="P535" s="1" t="str"/>
      <c r="Q535" s="1" t="str"/>
      <c r="R535" s="1">
        <f>IF(H535="Sí",1,0)</f>
        <v/>
      </c>
      <c r="S535" s="1">
        <f>IF(L535="En coordinación",1,0)</f>
        <v/>
      </c>
      <c r="T535" s="1">
        <f>IF(L535="Aceptada",1,0)</f>
        <v/>
      </c>
      <c r="U535" s="1">
        <f>IF(OR(L535="Realizada completa",L535="Realizada incompleta"),1,0)</f>
        <v/>
      </c>
      <c r="V535" s="1">
        <f>IF(L535="Sin respuesta",1,0)</f>
        <v/>
      </c>
    </row>
    <row r="536">
      <c r="A536" s="1" t="inlineStr">
        <is>
          <t>534</t>
        </is>
      </c>
      <c r="B536" s="1" t="inlineStr">
        <is>
          <t>Lily Tomas</t>
        </is>
      </c>
      <c r="C536" s="1" t="inlineStr">
        <is>
          <t>Ministerio Público (Fiscalía)</t>
        </is>
      </c>
      <c r="D536" s="1" t="inlineStr">
        <is>
          <t>Entrevista de actores clave</t>
        </is>
      </c>
      <c r="E536" s="1" t="inlineStr">
        <is>
          <t>Funcionarios del Sistema</t>
        </is>
      </c>
      <c r="F536" s="1" t="inlineStr">
        <is>
          <t>Distrito Judicial: Ucayali</t>
        </is>
      </c>
      <c r="G536" s="1" t="str"/>
      <c r="H536" s="1" t="str"/>
      <c r="I536" s="2" t="str"/>
      <c r="J536" s="2" t="str"/>
      <c r="K536" s="2" t="str"/>
      <c r="L536" s="1" t="str"/>
      <c r="M536" s="2" t="str"/>
      <c r="N536" s="2" t="str"/>
      <c r="O536" s="1" t="str"/>
      <c r="P536" s="1" t="str"/>
      <c r="Q536" s="1" t="str"/>
      <c r="R536" s="1">
        <f>IF(H536="Sí",1,0)</f>
        <v/>
      </c>
      <c r="S536" s="1">
        <f>IF(L536="En coordinación",1,0)</f>
        <v/>
      </c>
      <c r="T536" s="1">
        <f>IF(L536="Aceptada",1,0)</f>
        <v/>
      </c>
      <c r="U536" s="1">
        <f>IF(OR(L536="Realizada completa",L536="Realizada incompleta"),1,0)</f>
        <v/>
      </c>
      <c r="V536" s="1">
        <f>IF(L536="Sin respuesta",1,0)</f>
        <v/>
      </c>
    </row>
    <row r="537">
      <c r="A537" s="1" t="inlineStr">
        <is>
          <t>535</t>
        </is>
      </c>
      <c r="B537" s="1" t="inlineStr">
        <is>
          <t>Fernando Merino</t>
        </is>
      </c>
      <c r="C537" s="1" t="inlineStr">
        <is>
          <t>Instituto de Medicina Legal</t>
        </is>
      </c>
      <c r="D537" s="1" t="inlineStr">
        <is>
          <t>Entrevista de actores clave</t>
        </is>
      </c>
      <c r="E537" s="1" t="inlineStr">
        <is>
          <t>Actores locales</t>
        </is>
      </c>
      <c r="F537" s="1" t="inlineStr">
        <is>
          <t>Distrito Judicial: Ucayali</t>
        </is>
      </c>
      <c r="G537" s="1" t="str"/>
      <c r="H537" s="1" t="str"/>
      <c r="I537" s="2" t="str"/>
      <c r="J537" s="2" t="str"/>
      <c r="K537" s="2" t="str"/>
      <c r="L537" s="1" t="str"/>
      <c r="M537" s="2" t="str"/>
      <c r="N537" s="2" t="str"/>
      <c r="O537" s="1" t="str"/>
      <c r="P537" s="1" t="str"/>
      <c r="Q537" s="1" t="str"/>
      <c r="R537" s="1">
        <f>IF(H537="Sí",1,0)</f>
        <v/>
      </c>
      <c r="S537" s="1">
        <f>IF(L537="En coordinación",1,0)</f>
        <v/>
      </c>
      <c r="T537" s="1">
        <f>IF(L537="Aceptada",1,0)</f>
        <v/>
      </c>
      <c r="U537" s="1">
        <f>IF(OR(L537="Realizada completa",L537="Realizada incompleta"),1,0)</f>
        <v/>
      </c>
      <c r="V537" s="1">
        <f>IF(L537="Sin respuesta",1,0)</f>
        <v/>
      </c>
    </row>
    <row r="538">
      <c r="A538" s="1" t="inlineStr">
        <is>
          <t>536</t>
        </is>
      </c>
      <c r="B538" s="1" t="inlineStr">
        <is>
          <t>Esther Costa</t>
        </is>
      </c>
      <c r="C538" s="1" t="inlineStr">
        <is>
          <t>Policía Nacional del Perú</t>
        </is>
      </c>
      <c r="D538" s="1" t="inlineStr">
        <is>
          <t>Entrevista de actores clave</t>
        </is>
      </c>
      <c r="E538" s="1" t="inlineStr">
        <is>
          <t>Funcionarios del Sistema</t>
        </is>
      </c>
      <c r="F538" s="1" t="inlineStr">
        <is>
          <t>Nacional</t>
        </is>
      </c>
      <c r="G538" s="1" t="str"/>
      <c r="H538" s="1" t="str"/>
      <c r="I538" s="2" t="str"/>
      <c r="J538" s="2" t="str"/>
      <c r="K538" s="2" t="str"/>
      <c r="L538" s="1" t="str"/>
      <c r="M538" s="2" t="str"/>
      <c r="N538" s="2" t="str"/>
      <c r="O538" s="1" t="str"/>
      <c r="P538" s="1" t="str"/>
      <c r="Q538" s="1" t="str"/>
      <c r="R538" s="1">
        <f>IF(H538="Sí",1,0)</f>
        <v/>
      </c>
      <c r="S538" s="1">
        <f>IF(L538="En coordinación",1,0)</f>
        <v/>
      </c>
      <c r="T538" s="1">
        <f>IF(L538="Aceptada",1,0)</f>
        <v/>
      </c>
      <c r="U538" s="1">
        <f>IF(OR(L538="Realizada completa",L538="Realizada incompleta"),1,0)</f>
        <v/>
      </c>
      <c r="V538" s="1">
        <f>IF(L538="Sin respuesta",1,0)</f>
        <v/>
      </c>
    </row>
    <row r="539">
      <c r="A539" s="1" t="inlineStr">
        <is>
          <t>537</t>
        </is>
      </c>
      <c r="B539" s="1" t="inlineStr">
        <is>
          <t>Wilson Hernández Breña</t>
        </is>
      </c>
      <c r="C539" s="1" t="inlineStr">
        <is>
          <t>GRADE</t>
        </is>
      </c>
      <c r="D539" s="1" t="inlineStr">
        <is>
          <t>Entrevista de actores clave</t>
        </is>
      </c>
      <c r="E539" s="1" t="inlineStr">
        <is>
          <t>Expertos en la temática</t>
        </is>
      </c>
      <c r="F539" s="1" t="inlineStr">
        <is>
          <t>Distrito Judicial: Cajamarca</t>
        </is>
      </c>
      <c r="G539" s="1" t="str"/>
      <c r="H539" s="1" t="str"/>
      <c r="I539" s="2" t="str"/>
      <c r="J539" s="2" t="str"/>
      <c r="K539" s="2" t="str"/>
      <c r="L539" s="1" t="str"/>
      <c r="M539" s="2" t="str"/>
      <c r="N539" s="2" t="str"/>
      <c r="O539" s="1" t="str"/>
      <c r="P539" s="1" t="str"/>
      <c r="Q539" s="1" t="str"/>
      <c r="R539" s="1">
        <f>IF(H539="Sí",1,0)</f>
        <v/>
      </c>
      <c r="S539" s="1">
        <f>IF(L539="En coordinación",1,0)</f>
        <v/>
      </c>
      <c r="T539" s="1">
        <f>IF(L539="Aceptada",1,0)</f>
        <v/>
      </c>
      <c r="U539" s="1">
        <f>IF(OR(L539="Realizada completa",L539="Realizada incompleta"),1,0)</f>
        <v/>
      </c>
      <c r="V539" s="1">
        <f>IF(L539="Sin respuesta",1,0)</f>
        <v/>
      </c>
    </row>
    <row r="540">
      <c r="A540" s="1" t="inlineStr">
        <is>
          <t>538</t>
        </is>
      </c>
      <c r="B540" s="1" t="inlineStr">
        <is>
          <t>Percy Paredes</t>
        </is>
      </c>
      <c r="C540" s="1" t="inlineStr">
        <is>
          <t>MIMP</t>
        </is>
      </c>
      <c r="D540" s="1" t="inlineStr">
        <is>
          <t>Entrevista de actores clave</t>
        </is>
      </c>
      <c r="E540" s="1" t="inlineStr">
        <is>
          <t>Funcionarios del Sistema</t>
        </is>
      </c>
      <c r="F540" s="1" t="inlineStr">
        <is>
          <t>Distrito Judicial: Cajamarca</t>
        </is>
      </c>
      <c r="G540" s="1" t="str"/>
      <c r="H540" s="1" t="str"/>
      <c r="I540" s="2" t="str"/>
      <c r="J540" s="2" t="str"/>
      <c r="K540" s="2" t="str"/>
      <c r="L540" s="1" t="inlineStr">
        <is>
          <t>Realizada completa</t>
        </is>
      </c>
      <c r="M540" s="2" t="str"/>
      <c r="N540" s="2" t="str"/>
      <c r="O540" s="1" t="inlineStr">
        <is>
          <t>Realizada completa</t>
        </is>
      </c>
      <c r="P540" s="1" t="str"/>
      <c r="Q540" s="1" t="inlineStr">
        <is>
          <t>A distancia asistido</t>
        </is>
      </c>
      <c r="R540" s="1">
        <f>IF(H540="Sí",1,0)</f>
        <v/>
      </c>
      <c r="S540" s="1">
        <f>IF(L540="En coordinación",1,0)</f>
        <v/>
      </c>
      <c r="T540" s="1">
        <f>IF(L540="Aceptada",1,0)</f>
        <v/>
      </c>
      <c r="U540" s="1">
        <f>IF(OR(L540="Realizada completa",L540="Realizada incompleta"),1,0)</f>
        <v/>
      </c>
      <c r="V540" s="1">
        <f>IF(L540="Sin respuesta",1,0)</f>
        <v/>
      </c>
    </row>
    <row r="541">
      <c r="A541" s="1" t="inlineStr">
        <is>
          <t>539</t>
        </is>
      </c>
      <c r="B541" s="1" t="inlineStr">
        <is>
          <t>Rosa Elizabeth Gallardo</t>
        </is>
      </c>
      <c r="C541" s="1" t="inlineStr">
        <is>
          <t>Warmi Ñan</t>
        </is>
      </c>
      <c r="D541" s="1" t="inlineStr">
        <is>
          <t>Entrevista de actores clave</t>
        </is>
      </c>
      <c r="E541" s="1" t="inlineStr">
        <is>
          <t>Funcionarios del Sistema</t>
        </is>
      </c>
      <c r="F541" s="1" t="inlineStr">
        <is>
          <t>Distrito Judicial: Huánuco</t>
        </is>
      </c>
      <c r="G541" s="1" t="str"/>
      <c r="H541" s="1" t="str"/>
      <c r="I541" s="2" t="str"/>
      <c r="J541" s="2" t="str"/>
      <c r="K541" s="2" t="str"/>
      <c r="L541" s="1" t="inlineStr">
        <is>
          <t>Realizada completa</t>
        </is>
      </c>
      <c r="M541" s="2" t="str"/>
      <c r="N541" s="2" t="str"/>
      <c r="O541" s="1" t="inlineStr">
        <is>
          <t>Realizada completa</t>
        </is>
      </c>
      <c r="P541" s="1" t="str"/>
      <c r="Q541" s="1" t="inlineStr">
        <is>
          <t>A distancia asistido</t>
        </is>
      </c>
      <c r="R541" s="1">
        <f>IF(H541="Sí",1,0)</f>
        <v/>
      </c>
      <c r="S541" s="1">
        <f>IF(L541="En coordinación",1,0)</f>
        <v/>
      </c>
      <c r="T541" s="1">
        <f>IF(L541="Aceptada",1,0)</f>
        <v/>
      </c>
      <c r="U541" s="1">
        <f>IF(OR(L541="Realizada completa",L541="Realizada incompleta"),1,0)</f>
        <v/>
      </c>
      <c r="V541" s="1">
        <f>IF(L541="Sin respuesta",1,0)</f>
        <v/>
      </c>
    </row>
    <row r="542">
      <c r="A542" s="1" t="inlineStr">
        <is>
          <t>540</t>
        </is>
      </c>
      <c r="B542" s="1" t="inlineStr">
        <is>
          <t>María Eugenia Ulfe</t>
        </is>
      </c>
      <c r="C542" s="1" t="str"/>
      <c r="D542" s="1" t="inlineStr">
        <is>
          <t>Entrevista de actores clave</t>
        </is>
      </c>
      <c r="E542" s="1" t="inlineStr">
        <is>
          <t>Expertos en la temática</t>
        </is>
      </c>
      <c r="F542" s="1" t="inlineStr">
        <is>
          <t>Nacional</t>
        </is>
      </c>
      <c r="G542" s="1" t="str"/>
      <c r="H542" s="1" t="str"/>
      <c r="I542" s="2" t="str"/>
      <c r="J542" s="2" t="str"/>
      <c r="K542" s="2" t="str"/>
      <c r="L542" s="1" t="str"/>
      <c r="M542" s="2" t="str"/>
      <c r="N542" s="2" t="str"/>
      <c r="O542" s="1" t="str"/>
      <c r="P542" s="1" t="str"/>
      <c r="Q542" s="1" t="str"/>
      <c r="R542" s="1">
        <f>IF(H542="Sí",1,0)</f>
        <v/>
      </c>
      <c r="S542" s="1">
        <f>IF(L542="En coordinación",1,0)</f>
        <v/>
      </c>
      <c r="T542" s="1">
        <f>IF(L542="Aceptada",1,0)</f>
        <v/>
      </c>
      <c r="U542" s="1">
        <f>IF(OR(L542="Realizada completa",L542="Realizada incompleta"),1,0)</f>
        <v/>
      </c>
      <c r="V542" s="1">
        <f>IF(L542="Sin respuesta",1,0)</f>
        <v/>
      </c>
    </row>
    <row r="543">
      <c r="A543" s="1" t="inlineStr">
        <is>
          <t>541</t>
        </is>
      </c>
      <c r="B543" s="1" t="inlineStr">
        <is>
          <t>Patricia Ruiz Bravo</t>
        </is>
      </c>
      <c r="C543" s="1" t="str"/>
      <c r="D543" s="1" t="inlineStr">
        <is>
          <t>Entrevista de actores clave</t>
        </is>
      </c>
      <c r="E543" s="1" t="inlineStr">
        <is>
          <t>Expertos en la temática</t>
        </is>
      </c>
      <c r="F543" s="1" t="inlineStr">
        <is>
          <t>Nacional</t>
        </is>
      </c>
      <c r="G543" s="1" t="str"/>
      <c r="H543" s="1" t="str"/>
      <c r="I543" s="2" t="str"/>
      <c r="J543" s="2" t="str"/>
      <c r="K543" s="2" t="str"/>
      <c r="L543" s="1" t="str"/>
      <c r="M543" s="2" t="str"/>
      <c r="N543" s="2" t="str"/>
      <c r="O543" s="1" t="str"/>
      <c r="P543" s="1" t="str"/>
      <c r="Q543" s="1" t="str"/>
      <c r="R543" s="1">
        <f>IF(H543="Sí",1,0)</f>
        <v/>
      </c>
      <c r="S543" s="1">
        <f>IF(L543="En coordinación",1,0)</f>
        <v/>
      </c>
      <c r="T543" s="1">
        <f>IF(L543="Aceptada",1,0)</f>
        <v/>
      </c>
      <c r="U543" s="1">
        <f>IF(OR(L543="Realizada completa",L543="Realizada incompleta"),1,0)</f>
        <v/>
      </c>
      <c r="V543" s="1">
        <f>IF(L543="Sin respuesta",1,0)</f>
        <v/>
      </c>
    </row>
    <row r="544">
      <c r="A544" s="1" t="inlineStr">
        <is>
          <t>542</t>
        </is>
      </c>
      <c r="B544" s="1" t="inlineStr">
        <is>
          <t>Aranxa Pizarro Quiñones</t>
        </is>
      </c>
      <c r="C544" s="1" t="str"/>
      <c r="D544" s="1" t="inlineStr">
        <is>
          <t>Entrevista de actores clave</t>
        </is>
      </c>
      <c r="E544" s="1" t="inlineStr">
        <is>
          <t>Expertos en la temática</t>
        </is>
      </c>
      <c r="F544" s="1" t="inlineStr">
        <is>
          <t>Nacional</t>
        </is>
      </c>
      <c r="G544" s="1" t="str"/>
      <c r="H544" s="1" t="str"/>
      <c r="I544" s="2" t="str"/>
      <c r="J544" s="2" t="str"/>
      <c r="K544" s="2" t="str"/>
      <c r="L544" s="1" t="str"/>
      <c r="M544" s="2" t="str"/>
      <c r="N544" s="2" t="str"/>
      <c r="O544" s="1" t="str"/>
      <c r="P544" s="1" t="str"/>
      <c r="Q544" s="1" t="str"/>
      <c r="R544" s="1">
        <f>IF(H544="Sí",1,0)</f>
        <v/>
      </c>
      <c r="S544" s="1">
        <f>IF(L544="En coordinación",1,0)</f>
        <v/>
      </c>
      <c r="T544" s="1">
        <f>IF(L544="Aceptada",1,0)</f>
        <v/>
      </c>
      <c r="U544" s="1">
        <f>IF(OR(L544="Realizada completa",L544="Realizada incompleta"),1,0)</f>
        <v/>
      </c>
      <c r="V544" s="1">
        <f>IF(L544="Sin respuesta",1,0)</f>
        <v/>
      </c>
    </row>
    <row r="545">
      <c r="A545" s="1" t="inlineStr">
        <is>
          <t>543</t>
        </is>
      </c>
      <c r="B545" s="1" t="inlineStr">
        <is>
          <t>Rocío Franco Valdivia</t>
        </is>
      </c>
      <c r="C545" s="1" t="str"/>
      <c r="D545" s="1" t="inlineStr">
        <is>
          <t>Entrevista de actores clave</t>
        </is>
      </c>
      <c r="E545" s="1" t="inlineStr">
        <is>
          <t>Expertos en la temática</t>
        </is>
      </c>
      <c r="F545" s="1" t="inlineStr">
        <is>
          <t>Nacional</t>
        </is>
      </c>
      <c r="G545" s="1" t="str"/>
      <c r="H545" s="1" t="str"/>
      <c r="I545" s="2" t="str"/>
      <c r="J545" s="2" t="str"/>
      <c r="K545" s="2" t="str"/>
      <c r="L545" s="1" t="str"/>
      <c r="M545" s="2" t="str"/>
      <c r="N545" s="2" t="str"/>
      <c r="O545" s="1" t="str"/>
      <c r="P545" s="1" t="str"/>
      <c r="Q545" s="1" t="str"/>
      <c r="R545" s="1">
        <f>IF(H545="Sí",1,0)</f>
        <v/>
      </c>
      <c r="S545" s="1">
        <f>IF(L545="En coordinación",1,0)</f>
        <v/>
      </c>
      <c r="T545" s="1">
        <f>IF(L545="Aceptada",1,0)</f>
        <v/>
      </c>
      <c r="U545" s="1">
        <f>IF(OR(L545="Realizada completa",L545="Realizada incompleta"),1,0)</f>
        <v/>
      </c>
      <c r="V545" s="1">
        <f>IF(L545="Sin respuesta",1,0)</f>
        <v/>
      </c>
    </row>
    <row r="546">
      <c r="A546" s="1" t="inlineStr">
        <is>
          <t>544</t>
        </is>
      </c>
      <c r="B546" s="1" t="inlineStr">
        <is>
          <t>Vanessa Rojas Arangoitia</t>
        </is>
      </c>
      <c r="C546" s="1" t="str"/>
      <c r="D546" s="1" t="inlineStr">
        <is>
          <t>Entrevista de actores clave</t>
        </is>
      </c>
      <c r="E546" s="1" t="inlineStr">
        <is>
          <t>Expertos en la temática</t>
        </is>
      </c>
      <c r="F546" s="1" t="inlineStr">
        <is>
          <t>Nacional</t>
        </is>
      </c>
      <c r="G546" s="1" t="str"/>
      <c r="H546" s="1" t="str"/>
      <c r="I546" s="2" t="str"/>
      <c r="J546" s="2" t="str"/>
      <c r="K546" s="2" t="str"/>
      <c r="L546" s="1" t="str"/>
      <c r="M546" s="2" t="str"/>
      <c r="N546" s="2" t="str"/>
      <c r="O546" s="1" t="str"/>
      <c r="P546" s="1" t="str"/>
      <c r="Q546" s="1" t="str"/>
      <c r="R546" s="1">
        <f>IF(H546="Sí",1,0)</f>
        <v/>
      </c>
      <c r="S546" s="1">
        <f>IF(L546="En coordinación",1,0)</f>
        <v/>
      </c>
      <c r="T546" s="1">
        <f>IF(L546="Aceptada",1,0)</f>
        <v/>
      </c>
      <c r="U546" s="1">
        <f>IF(OR(L546="Realizada completa",L546="Realizada incompleta"),1,0)</f>
        <v/>
      </c>
      <c r="V546" s="1">
        <f>IF(L546="Sin respuesta",1,0)</f>
        <v/>
      </c>
    </row>
    <row r="547">
      <c r="A547" s="1" t="inlineStr">
        <is>
          <t>545</t>
        </is>
      </c>
      <c r="B547" s="1" t="inlineStr">
        <is>
          <t>Mercedes Crisóstomo Meza</t>
        </is>
      </c>
      <c r="C547" s="1" t="str"/>
      <c r="D547" s="1" t="inlineStr">
        <is>
          <t>Entrevista de actores clave</t>
        </is>
      </c>
      <c r="E547" s="1" t="inlineStr">
        <is>
          <t>Expertos en la temática</t>
        </is>
      </c>
      <c r="F547" s="1" t="inlineStr">
        <is>
          <t>Nacional</t>
        </is>
      </c>
      <c r="G547" s="1" t="str"/>
      <c r="H547" s="1" t="str"/>
      <c r="I547" s="2" t="str"/>
      <c r="J547" s="2" t="str"/>
      <c r="K547" s="2" t="str"/>
      <c r="L547" s="1" t="str"/>
      <c r="M547" s="2" t="str"/>
      <c r="N547" s="2" t="str"/>
      <c r="O547" s="1" t="str"/>
      <c r="P547" s="1" t="str"/>
      <c r="Q547" s="1" t="str"/>
      <c r="R547" s="1">
        <f>IF(H547="Sí",1,0)</f>
        <v/>
      </c>
      <c r="S547" s="1">
        <f>IF(L547="En coordinación",1,0)</f>
        <v/>
      </c>
      <c r="T547" s="1">
        <f>IF(L547="Aceptada",1,0)</f>
        <v/>
      </c>
      <c r="U547" s="1">
        <f>IF(OR(L547="Realizada completa",L547="Realizada incompleta"),1,0)</f>
        <v/>
      </c>
      <c r="V547" s="1">
        <f>IF(L547="Sin respuesta",1,0)</f>
        <v/>
      </c>
    </row>
    <row r="548">
      <c r="A548" s="1" t="inlineStr">
        <is>
          <t>546</t>
        </is>
      </c>
      <c r="B548" s="1" t="inlineStr">
        <is>
          <t>José Ramos López</t>
        </is>
      </c>
      <c r="C548" s="1" t="str"/>
      <c r="D548" s="1" t="inlineStr">
        <is>
          <t>Entrevista de actores clave</t>
        </is>
      </c>
      <c r="E548" s="1" t="inlineStr">
        <is>
          <t>Expertos en la temática</t>
        </is>
      </c>
      <c r="F548" s="1" t="inlineStr">
        <is>
          <t>Nacional</t>
        </is>
      </c>
      <c r="G548" s="1" t="str"/>
      <c r="H548" s="1" t="str"/>
      <c r="I548" s="2" t="str"/>
      <c r="J548" s="2" t="str"/>
      <c r="K548" s="2" t="str"/>
      <c r="L548" s="1" t="str"/>
      <c r="M548" s="2" t="str"/>
      <c r="N548" s="2" t="str"/>
      <c r="O548" s="1" t="str"/>
      <c r="P548" s="1" t="str"/>
      <c r="Q548" s="1" t="str"/>
      <c r="R548" s="1">
        <f>IF(H548="Sí",1,0)</f>
        <v/>
      </c>
      <c r="S548" s="1">
        <f>IF(L548="En coordinación",1,0)</f>
        <v/>
      </c>
      <c r="T548" s="1">
        <f>IF(L548="Aceptada",1,0)</f>
        <v/>
      </c>
      <c r="U548" s="1">
        <f>IF(OR(L548="Realizada completa",L548="Realizada incompleta"),1,0)</f>
        <v/>
      </c>
      <c r="V548" s="1">
        <f>IF(L548="Sin respuesta",1,0)</f>
        <v/>
      </c>
    </row>
    <row r="549">
      <c r="A549" s="1" t="inlineStr">
        <is>
          <t>547</t>
        </is>
      </c>
      <c r="B549" s="1" t="inlineStr">
        <is>
          <t>Sharon Gorenstein Rivera</t>
        </is>
      </c>
      <c r="C549" s="1" t="str"/>
      <c r="D549" s="1" t="inlineStr">
        <is>
          <t>Entrevista de actores clave</t>
        </is>
      </c>
      <c r="E549" s="1" t="inlineStr">
        <is>
          <t>Expertos en la temática</t>
        </is>
      </c>
      <c r="F549" s="1" t="inlineStr">
        <is>
          <t>Nacional</t>
        </is>
      </c>
      <c r="G549" s="1" t="str"/>
      <c r="H549" s="1" t="str"/>
      <c r="I549" s="2" t="str"/>
      <c r="J549" s="2" t="str"/>
      <c r="K549" s="2" t="str"/>
      <c r="L549" s="1" t="str"/>
      <c r="M549" s="2" t="str"/>
      <c r="N549" s="2" t="str"/>
      <c r="O549" s="1" t="str"/>
      <c r="P549" s="1" t="str"/>
      <c r="Q549" s="1" t="str"/>
      <c r="R549" s="1">
        <f>IF(H549="Sí",1,0)</f>
        <v/>
      </c>
      <c r="S549" s="1">
        <f>IF(L549="En coordinación",1,0)</f>
        <v/>
      </c>
      <c r="T549" s="1">
        <f>IF(L549="Aceptada",1,0)</f>
        <v/>
      </c>
      <c r="U549" s="1">
        <f>IF(OR(L549="Realizada completa",L549="Realizada incompleta"),1,0)</f>
        <v/>
      </c>
      <c r="V549" s="1">
        <f>IF(L549="Sin respuesta",1,0)</f>
        <v/>
      </c>
    </row>
    <row r="550">
      <c r="A550" s="1" t="inlineStr">
        <is>
          <t>548</t>
        </is>
      </c>
      <c r="B550" s="1" t="inlineStr">
        <is>
          <t>Patricia Ames Ramello</t>
        </is>
      </c>
      <c r="C550" s="1" t="str"/>
      <c r="D550" s="1" t="inlineStr">
        <is>
          <t>Entrevista de actores clave</t>
        </is>
      </c>
      <c r="E550" s="1" t="inlineStr">
        <is>
          <t>Expertos en la temática</t>
        </is>
      </c>
      <c r="F550" s="1" t="inlineStr">
        <is>
          <t>Nacional</t>
        </is>
      </c>
      <c r="G550" s="1" t="str"/>
      <c r="H550" s="1" t="str"/>
      <c r="I550" s="2" t="str"/>
      <c r="J550" s="2" t="str"/>
      <c r="K550" s="2" t="str"/>
      <c r="L550" s="1" t="str"/>
      <c r="M550" s="2" t="str"/>
      <c r="N550" s="2" t="str"/>
      <c r="O550" s="1" t="str"/>
      <c r="P550" s="1" t="str"/>
      <c r="Q550" s="1" t="str"/>
      <c r="R550" s="1">
        <f>IF(H550="Sí",1,0)</f>
        <v/>
      </c>
      <c r="S550" s="1">
        <f>IF(L550="En coordinación",1,0)</f>
        <v/>
      </c>
      <c r="T550" s="1">
        <f>IF(L550="Aceptada",1,0)</f>
        <v/>
      </c>
      <c r="U550" s="1">
        <f>IF(OR(L550="Realizada completa",L550="Realizada incompleta"),1,0)</f>
        <v/>
      </c>
      <c r="V550" s="1">
        <f>IF(L550="Sin respuesta",1,0)</f>
        <v/>
      </c>
    </row>
    <row r="551">
      <c r="A551" s="1" t="inlineStr">
        <is>
          <t>549</t>
        </is>
      </c>
      <c r="B551" s="1" t="inlineStr">
        <is>
          <t>Andrea Román Alfaro</t>
        </is>
      </c>
      <c r="C551" s="1" t="str"/>
      <c r="D551" s="1" t="inlineStr">
        <is>
          <t>Entrevista de actores clave</t>
        </is>
      </c>
      <c r="E551" s="1" t="inlineStr">
        <is>
          <t>Expertos en la temática</t>
        </is>
      </c>
      <c r="F551" s="1" t="inlineStr">
        <is>
          <t>Nacional</t>
        </is>
      </c>
      <c r="G551" s="1" t="str"/>
      <c r="H551" s="1" t="str"/>
      <c r="I551" s="2" t="str"/>
      <c r="J551" s="2" t="str"/>
      <c r="K551" s="2" t="str"/>
      <c r="L551" s="1" t="str"/>
      <c r="M551" s="2" t="str"/>
      <c r="N551" s="2" t="str"/>
      <c r="O551" s="1" t="str"/>
      <c r="P551" s="1" t="str"/>
      <c r="Q551" s="1" t="str"/>
      <c r="R551" s="1">
        <f>IF(H551="Sí",1,0)</f>
        <v/>
      </c>
      <c r="S551" s="1">
        <f>IF(L551="En coordinación",1,0)</f>
        <v/>
      </c>
      <c r="T551" s="1">
        <f>IF(L551="Aceptada",1,0)</f>
        <v/>
      </c>
      <c r="U551" s="1">
        <f>IF(OR(L551="Realizada completa",L551="Realizada incompleta"),1,0)</f>
        <v/>
      </c>
      <c r="V551" s="1">
        <f>IF(L551="Sin respuesta",1,0)</f>
        <v/>
      </c>
    </row>
    <row r="552">
      <c r="A552" s="1" t="str"/>
      <c r="B552" s="1" t="str"/>
      <c r="C552" s="1" t="str"/>
      <c r="D552" s="1" t="str"/>
      <c r="E552" s="1" t="str"/>
      <c r="F552" s="1" t="str"/>
      <c r="G552" s="1" t="str"/>
      <c r="H552" s="1" t="str"/>
      <c r="I552" s="2" t="str"/>
      <c r="J552" s="2" t="str"/>
      <c r="K552" s="2" t="str"/>
      <c r="L552" s="1" t="str"/>
      <c r="M552" s="2" t="str"/>
      <c r="N552" s="2" t="str"/>
      <c r="O552" s="1" t="str"/>
      <c r="P552" s="1" t="str"/>
      <c r="Q552" s="1" t="str"/>
      <c r="R552" s="1">
        <f>IF(H552="Sí",1,0)</f>
        <v/>
      </c>
      <c r="S552" s="1">
        <f>IF(L552="En coordinación",1,0)</f>
        <v/>
      </c>
      <c r="T552" s="1">
        <f>IF(L552="Aceptada",1,0)</f>
        <v/>
      </c>
      <c r="U552" s="1">
        <f>IF(OR(L552="Realizada completa",L552="Realizada incompleta"),1,0)</f>
        <v/>
      </c>
      <c r="V552" s="1">
        <f>IF(L552="Sin respuesta",1,0)</f>
        <v/>
      </c>
    </row>
    <row r="553">
      <c r="A553" s="1" t="str"/>
      <c r="B553" s="1" t="str"/>
      <c r="C553" s="1" t="str"/>
      <c r="D553" s="1" t="str"/>
      <c r="E553" s="1" t="str"/>
      <c r="F553" s="1" t="str"/>
      <c r="G553" s="1" t="str"/>
      <c r="H553" s="1" t="str"/>
      <c r="I553" s="2" t="str"/>
      <c r="J553" s="2" t="str"/>
      <c r="K553" s="2" t="str"/>
      <c r="L553" s="1" t="str"/>
      <c r="M553" s="2" t="str"/>
      <c r="N553" s="2" t="str"/>
      <c r="O553" s="1" t="str"/>
      <c r="P553" s="1" t="str"/>
      <c r="Q553" s="1" t="str"/>
      <c r="R553" s="1">
        <f>IF(H553="Sí",1,0)</f>
        <v/>
      </c>
      <c r="S553" s="1">
        <f>IF(L553="En coordinación",1,0)</f>
        <v/>
      </c>
      <c r="T553" s="1">
        <f>IF(L553="Aceptada",1,0)</f>
        <v/>
      </c>
      <c r="U553" s="1">
        <f>IF(OR(L553="Realizada completa",L553="Realizada incompleta"),1,0)</f>
        <v/>
      </c>
      <c r="V553" s="1">
        <f>IF(L553="Sin respuesta",1,0)</f>
        <v/>
      </c>
    </row>
    <row r="554">
      <c r="A554" s="1" t="str"/>
      <c r="B554" s="1" t="str"/>
      <c r="C554" s="1" t="str"/>
      <c r="D554" s="1" t="str"/>
      <c r="E554" s="1" t="str"/>
      <c r="F554" s="1" t="str"/>
      <c r="G554" s="1" t="str"/>
      <c r="H554" s="1" t="str"/>
      <c r="I554" s="2" t="str"/>
      <c r="J554" s="2" t="str"/>
      <c r="K554" s="2" t="str"/>
      <c r="L554" s="1" t="str"/>
      <c r="M554" s="2" t="str"/>
      <c r="N554" s="2" t="str"/>
      <c r="O554" s="1" t="str"/>
      <c r="P554" s="1" t="str"/>
      <c r="Q554" s="1" t="str"/>
      <c r="R554" s="1">
        <f>IF(H554="Sí",1,0)</f>
        <v/>
      </c>
      <c r="S554" s="1">
        <f>IF(L554="En coordinación",1,0)</f>
        <v/>
      </c>
      <c r="T554" s="1">
        <f>IF(L554="Aceptada",1,0)</f>
        <v/>
      </c>
      <c r="U554" s="1">
        <f>IF(OR(L554="Realizada completa",L554="Realizada incompleta"),1,0)</f>
        <v/>
      </c>
      <c r="V554" s="1">
        <f>IF(L554="Sin respuesta",1,0)</f>
        <v/>
      </c>
    </row>
    <row r="555">
      <c r="A555" s="1" t="str"/>
      <c r="B555" s="1" t="str"/>
      <c r="C555" s="1" t="str"/>
      <c r="D555" s="1" t="str"/>
      <c r="E555" s="1" t="str"/>
      <c r="F555" s="1" t="str"/>
      <c r="G555" s="1" t="str"/>
      <c r="H555" s="1" t="str"/>
      <c r="I555" s="2" t="str"/>
      <c r="J555" s="2" t="str"/>
      <c r="K555" s="2" t="str"/>
      <c r="L555" s="1" t="str"/>
      <c r="M555" s="2" t="str"/>
      <c r="N555" s="2" t="str"/>
      <c r="O555" s="1" t="str"/>
      <c r="P555" s="1" t="str"/>
      <c r="Q555" s="1" t="str"/>
      <c r="R555" s="1">
        <f>IF(H555="Sí",1,0)</f>
        <v/>
      </c>
      <c r="S555" s="1">
        <f>IF(L555="En coordinación",1,0)</f>
        <v/>
      </c>
      <c r="T555" s="1">
        <f>IF(L555="Aceptada",1,0)</f>
        <v/>
      </c>
      <c r="U555" s="1">
        <f>IF(OR(L555="Realizada completa",L555="Realizada incompleta"),1,0)</f>
        <v/>
      </c>
      <c r="V555" s="1">
        <f>IF(L555="Sin respuesta",1,0)</f>
        <v/>
      </c>
    </row>
    <row r="556">
      <c r="A556" s="1" t="str"/>
      <c r="B556" s="1" t="str"/>
      <c r="C556" s="1" t="str"/>
      <c r="D556" s="1" t="str"/>
      <c r="E556" s="1" t="str"/>
      <c r="F556" s="1" t="str"/>
      <c r="G556" s="1" t="str"/>
      <c r="H556" s="1" t="str"/>
      <c r="I556" s="2" t="str"/>
      <c r="J556" s="2" t="str"/>
      <c r="K556" s="2" t="str"/>
      <c r="L556" s="1" t="str"/>
      <c r="M556" s="2" t="str"/>
      <c r="N556" s="2" t="str"/>
      <c r="O556" s="1" t="str"/>
      <c r="P556" s="1" t="str"/>
      <c r="Q556" s="1" t="str"/>
      <c r="R556" s="1">
        <f>IF(H556="Sí",1,0)</f>
        <v/>
      </c>
      <c r="S556" s="1">
        <f>IF(L556="En coordinación",1,0)</f>
        <v/>
      </c>
      <c r="T556" s="1">
        <f>IF(L556="Aceptada",1,0)</f>
        <v/>
      </c>
      <c r="U556" s="1">
        <f>IF(OR(L556="Realizada completa",L556="Realizada incompleta"),1,0)</f>
        <v/>
      </c>
      <c r="V556" s="1">
        <f>IF(L556="Sin respuesta",1,0)</f>
        <v/>
      </c>
    </row>
    <row r="557">
      <c r="A557" s="1" t="str"/>
      <c r="B557" s="1" t="str"/>
      <c r="C557" s="1" t="str"/>
      <c r="D557" s="1" t="str"/>
      <c r="E557" s="1" t="str"/>
      <c r="F557" s="1" t="str"/>
      <c r="G557" s="1" t="str"/>
      <c r="H557" s="1" t="str"/>
      <c r="I557" s="2" t="str"/>
      <c r="J557" s="2" t="str"/>
      <c r="K557" s="2" t="str"/>
      <c r="L557" s="1" t="str"/>
      <c r="M557" s="2" t="str"/>
      <c r="N557" s="2" t="str"/>
      <c r="O557" s="1" t="str"/>
      <c r="P557" s="1" t="str"/>
      <c r="Q557" s="1" t="str"/>
      <c r="R557" s="1">
        <f>IF(H557="Sí",1,0)</f>
        <v/>
      </c>
      <c r="S557" s="1">
        <f>IF(L557="En coordinación",1,0)</f>
        <v/>
      </c>
      <c r="T557" s="1">
        <f>IF(L557="Aceptada",1,0)</f>
        <v/>
      </c>
      <c r="U557" s="1">
        <f>IF(OR(L557="Realizada completa",L557="Realizada incompleta"),1,0)</f>
        <v/>
      </c>
      <c r="V557" s="1">
        <f>IF(L557="Sin respuesta",1,0)</f>
        <v/>
      </c>
    </row>
    <row r="558">
      <c r="A558" s="1" t="str"/>
      <c r="B558" s="1" t="str"/>
      <c r="C558" s="1" t="str"/>
      <c r="D558" s="1" t="str"/>
      <c r="E558" s="1" t="str"/>
      <c r="F558" s="1" t="str"/>
      <c r="G558" s="1" t="str"/>
      <c r="H558" s="1" t="str"/>
      <c r="I558" s="2" t="str"/>
      <c r="J558" s="2" t="str"/>
      <c r="K558" s="2" t="str"/>
      <c r="L558" s="1" t="str"/>
      <c r="M558" s="2" t="str"/>
      <c r="N558" s="2" t="str"/>
      <c r="O558" s="1" t="str"/>
      <c r="P558" s="1" t="str"/>
      <c r="Q558" s="1" t="str"/>
      <c r="R558" s="1">
        <f>IF(H558="Sí",1,0)</f>
        <v/>
      </c>
      <c r="S558" s="1">
        <f>IF(L558="En coordinación",1,0)</f>
        <v/>
      </c>
      <c r="T558" s="1">
        <f>IF(L558="Aceptada",1,0)</f>
        <v/>
      </c>
      <c r="U558" s="1">
        <f>IF(OR(L558="Realizada completa",L558="Realizada incompleta"),1,0)</f>
        <v/>
      </c>
      <c r="V558" s="1">
        <f>IF(L558="Sin respuesta",1,0)</f>
        <v/>
      </c>
    </row>
    <row r="559">
      <c r="A559" s="1" t="str"/>
      <c r="B559" s="1" t="str"/>
      <c r="C559" s="1" t="str"/>
      <c r="D559" s="1" t="str"/>
      <c r="E559" s="1" t="str"/>
      <c r="F559" s="1" t="str"/>
      <c r="G559" s="1" t="str"/>
      <c r="H559" s="1" t="str"/>
      <c r="I559" s="2" t="str"/>
      <c r="J559" s="2" t="str"/>
      <c r="K559" s="2" t="str"/>
      <c r="L559" s="1" t="str"/>
      <c r="M559" s="2" t="str"/>
      <c r="N559" s="2" t="str"/>
      <c r="O559" s="1" t="str"/>
      <c r="P559" s="1" t="str"/>
      <c r="Q559" s="1" t="str"/>
      <c r="R559" s="1">
        <f>IF(H559="Sí",1,0)</f>
        <v/>
      </c>
      <c r="S559" s="1">
        <f>IF(L559="En coordinación",1,0)</f>
        <v/>
      </c>
      <c r="T559" s="1">
        <f>IF(L559="Aceptada",1,0)</f>
        <v/>
      </c>
      <c r="U559" s="1">
        <f>IF(OR(L559="Realizada completa",L559="Realizada incompleta"),1,0)</f>
        <v/>
      </c>
      <c r="V559" s="1">
        <f>IF(L559="Sin respuesta",1,0)</f>
        <v/>
      </c>
    </row>
    <row r="560">
      <c r="A560" s="1" t="str"/>
      <c r="B560" s="1" t="str"/>
      <c r="C560" s="1" t="str"/>
      <c r="D560" s="1" t="str"/>
      <c r="E560" s="1" t="str"/>
      <c r="F560" s="1" t="str"/>
      <c r="G560" s="1" t="str"/>
      <c r="H560" s="1" t="str"/>
      <c r="I560" s="2" t="str"/>
      <c r="J560" s="2" t="str"/>
      <c r="K560" s="2" t="str"/>
      <c r="L560" s="1" t="str"/>
      <c r="M560" s="2" t="str"/>
      <c r="N560" s="2" t="str"/>
      <c r="O560" s="1" t="str"/>
      <c r="P560" s="1" t="str"/>
      <c r="Q560" s="1" t="str"/>
      <c r="R560" s="1">
        <f>IF(H560="Sí",1,0)</f>
        <v/>
      </c>
      <c r="S560" s="1">
        <f>IF(L560="En coordinación",1,0)</f>
        <v/>
      </c>
      <c r="T560" s="1">
        <f>IF(L560="Aceptada",1,0)</f>
        <v/>
      </c>
      <c r="U560" s="1">
        <f>IF(OR(L560="Realizada completa",L560="Realizada incompleta"),1,0)</f>
        <v/>
      </c>
      <c r="V560" s="1">
        <f>IF(L560="Sin respuesta",1,0)</f>
        <v/>
      </c>
    </row>
    <row r="561">
      <c r="A561" s="1" t="str"/>
      <c r="B561" s="1" t="str"/>
      <c r="C561" s="1" t="str"/>
      <c r="D561" s="1" t="str"/>
      <c r="E561" s="1" t="str"/>
      <c r="F561" s="1" t="str"/>
      <c r="G561" s="1" t="str"/>
      <c r="H561" s="1" t="str"/>
      <c r="I561" s="2" t="str"/>
      <c r="J561" s="2" t="str"/>
      <c r="K561" s="2" t="str"/>
      <c r="L561" s="1" t="str"/>
      <c r="M561" s="2" t="str"/>
      <c r="N561" s="2" t="str"/>
      <c r="O561" s="1" t="str"/>
      <c r="P561" s="1" t="str"/>
      <c r="Q561" s="1" t="str"/>
      <c r="R561" s="1">
        <f>IF(H561="Sí",1,0)</f>
        <v/>
      </c>
      <c r="S561" s="1">
        <f>IF(L561="En coordinación",1,0)</f>
        <v/>
      </c>
      <c r="T561" s="1">
        <f>IF(L561="Aceptada",1,0)</f>
        <v/>
      </c>
      <c r="U561" s="1">
        <f>IF(OR(L561="Realizada completa",L561="Realizada incompleta"),1,0)</f>
        <v/>
      </c>
      <c r="V561" s="1">
        <f>IF(L561="Sin respuesta",1,0)</f>
        <v/>
      </c>
    </row>
    <row r="562">
      <c r="A562" s="1" t="str"/>
      <c r="B562" s="1" t="str"/>
      <c r="C562" s="1" t="str"/>
      <c r="D562" s="1" t="str"/>
      <c r="E562" s="1" t="str"/>
      <c r="F562" s="1" t="str"/>
      <c r="G562" s="1" t="str"/>
      <c r="H562" s="1" t="str"/>
      <c r="I562" s="2" t="str"/>
      <c r="J562" s="2" t="str"/>
      <c r="K562" s="2" t="str"/>
      <c r="L562" s="1" t="str"/>
      <c r="M562" s="2" t="str"/>
      <c r="N562" s="2" t="str"/>
      <c r="O562" s="1" t="str"/>
      <c r="P562" s="1" t="str"/>
      <c r="Q562" s="1" t="str"/>
      <c r="R562" s="1">
        <f>IF(H562="Sí",1,0)</f>
        <v/>
      </c>
      <c r="S562" s="1">
        <f>IF(L562="En coordinación",1,0)</f>
        <v/>
      </c>
      <c r="T562" s="1">
        <f>IF(L562="Aceptada",1,0)</f>
        <v/>
      </c>
      <c r="U562" s="1">
        <f>IF(OR(L562="Realizada completa",L562="Realizada incompleta"),1,0)</f>
        <v/>
      </c>
      <c r="V562" s="1">
        <f>IF(L562="Sin respuesta",1,0)</f>
        <v/>
      </c>
    </row>
    <row r="563">
      <c r="A563" s="1" t="str"/>
      <c r="B563" s="1" t="str"/>
      <c r="C563" s="1" t="str"/>
      <c r="D563" s="1" t="str"/>
      <c r="E563" s="1" t="str"/>
      <c r="F563" s="1" t="str"/>
      <c r="G563" s="1" t="str"/>
      <c r="H563" s="1" t="str"/>
      <c r="I563" s="2" t="str"/>
      <c r="J563" s="2" t="str"/>
      <c r="K563" s="2" t="str"/>
      <c r="L563" s="1" t="str"/>
      <c r="M563" s="2" t="str"/>
      <c r="N563" s="2" t="str"/>
      <c r="O563" s="1" t="str"/>
      <c r="P563" s="1" t="str"/>
      <c r="Q563" s="1" t="str"/>
      <c r="R563" s="1">
        <f>IF(H563="Sí",1,0)</f>
        <v/>
      </c>
      <c r="S563" s="1">
        <f>IF(L563="En coordinación",1,0)</f>
        <v/>
      </c>
      <c r="T563" s="1">
        <f>IF(L563="Aceptada",1,0)</f>
        <v/>
      </c>
      <c r="U563" s="1">
        <f>IF(OR(L563="Realizada completa",L563="Realizada incompleta"),1,0)</f>
        <v/>
      </c>
      <c r="V563" s="1">
        <f>IF(L563="Sin respuesta",1,0)</f>
        <v/>
      </c>
    </row>
    <row r="564">
      <c r="A564" s="1" t="str"/>
      <c r="B564" s="1" t="str"/>
      <c r="C564" s="1" t="str"/>
      <c r="D564" s="1" t="str"/>
      <c r="E564" s="1" t="str"/>
      <c r="F564" s="1" t="str"/>
      <c r="G564" s="1" t="str"/>
      <c r="H564" s="1" t="str"/>
      <c r="I564" s="2" t="str"/>
      <c r="J564" s="2" t="str"/>
      <c r="K564" s="2" t="str"/>
      <c r="L564" s="1" t="str"/>
      <c r="M564" s="2" t="str"/>
      <c r="N564" s="2" t="str"/>
      <c r="O564" s="1" t="str"/>
      <c r="P564" s="1" t="str"/>
      <c r="Q564" s="1" t="str"/>
      <c r="R564" s="1">
        <f>IF(H564="Sí",1,0)</f>
        <v/>
      </c>
      <c r="S564" s="1">
        <f>IF(L564="En coordinación",1,0)</f>
        <v/>
      </c>
      <c r="T564" s="1">
        <f>IF(L564="Aceptada",1,0)</f>
        <v/>
      </c>
      <c r="U564" s="1">
        <f>IF(OR(L564="Realizada completa",L564="Realizada incompleta"),1,0)</f>
        <v/>
      </c>
      <c r="V564" s="1">
        <f>IF(L564="Sin respuesta",1,0)</f>
        <v/>
      </c>
    </row>
    <row r="565">
      <c r="A565" s="1" t="str"/>
      <c r="B565" s="1" t="str"/>
      <c r="C565" s="1" t="str"/>
      <c r="D565" s="1" t="str"/>
      <c r="E565" s="1" t="str"/>
      <c r="F565" s="1" t="str"/>
      <c r="G565" s="1" t="str"/>
      <c r="H565" s="1" t="str"/>
      <c r="I565" s="2" t="str"/>
      <c r="J565" s="2" t="str"/>
      <c r="K565" s="2" t="str"/>
      <c r="L565" s="1" t="str"/>
      <c r="M565" s="2" t="str"/>
      <c r="N565" s="2" t="str"/>
      <c r="O565" s="1" t="str"/>
      <c r="P565" s="1" t="str"/>
      <c r="Q565" s="1" t="str"/>
      <c r="R565" s="1">
        <f>IF(H565="Sí",1,0)</f>
        <v/>
      </c>
      <c r="S565" s="1">
        <f>IF(L565="En coordinación",1,0)</f>
        <v/>
      </c>
      <c r="T565" s="1">
        <f>IF(L565="Aceptada",1,0)</f>
        <v/>
      </c>
      <c r="U565" s="1">
        <f>IF(OR(L565="Realizada completa",L565="Realizada incompleta"),1,0)</f>
        <v/>
      </c>
      <c r="V565" s="1">
        <f>IF(L565="Sin respuesta",1,0)</f>
        <v/>
      </c>
    </row>
    <row r="566">
      <c r="A566" s="1" t="str"/>
      <c r="B566" s="1" t="str"/>
      <c r="C566" s="1" t="str"/>
      <c r="D566" s="1" t="str"/>
      <c r="E566" s="1" t="str"/>
      <c r="F566" s="1" t="str"/>
      <c r="G566" s="1" t="str"/>
      <c r="H566" s="1" t="str"/>
      <c r="I566" s="2" t="str"/>
      <c r="J566" s="2" t="str"/>
      <c r="K566" s="2" t="str"/>
      <c r="L566" s="1" t="str"/>
      <c r="M566" s="2" t="str"/>
      <c r="N566" s="2" t="str"/>
      <c r="O566" s="1" t="str"/>
      <c r="P566" s="1" t="str"/>
      <c r="Q566" s="1" t="str"/>
      <c r="R566" s="1">
        <f>IF(H566="Sí",1,0)</f>
        <v/>
      </c>
      <c r="S566" s="1">
        <f>IF(L566="En coordinación",1,0)</f>
        <v/>
      </c>
      <c r="T566" s="1">
        <f>IF(L566="Aceptada",1,0)</f>
        <v/>
      </c>
      <c r="U566" s="1">
        <f>IF(OR(L566="Realizada completa",L566="Realizada incompleta"),1,0)</f>
        <v/>
      </c>
      <c r="V566" s="1">
        <f>IF(L566="Sin respuesta",1,0)</f>
        <v/>
      </c>
    </row>
    <row r="567">
      <c r="A567" s="1" t="str"/>
      <c r="B567" s="1" t="str"/>
      <c r="C567" s="1" t="str"/>
      <c r="D567" s="1" t="str"/>
      <c r="E567" s="1" t="str"/>
      <c r="F567" s="1" t="str"/>
      <c r="G567" s="1" t="str"/>
      <c r="H567" s="1" t="str"/>
      <c r="I567" s="2" t="str"/>
      <c r="J567" s="2" t="str"/>
      <c r="K567" s="2" t="str"/>
      <c r="L567" s="1" t="str"/>
      <c r="M567" s="2" t="str"/>
      <c r="N567" s="2" t="str"/>
      <c r="O567" s="1" t="str"/>
      <c r="P567" s="1" t="str"/>
      <c r="Q567" s="1" t="str"/>
      <c r="R567" s="1">
        <f>IF(H567="Sí",1,0)</f>
        <v/>
      </c>
      <c r="S567" s="1">
        <f>IF(L567="En coordinación",1,0)</f>
        <v/>
      </c>
      <c r="T567" s="1">
        <f>IF(L567="Aceptada",1,0)</f>
        <v/>
      </c>
      <c r="U567" s="1">
        <f>IF(OR(L567="Realizada completa",L567="Realizada incompleta"),1,0)</f>
        <v/>
      </c>
      <c r="V567" s="1">
        <f>IF(L567="Sin respuesta",1,0)</f>
        <v/>
      </c>
    </row>
    <row r="568">
      <c r="A568" s="1" t="str"/>
      <c r="B568" s="1" t="str"/>
      <c r="C568" s="1" t="str"/>
      <c r="D568" s="1" t="str"/>
      <c r="E568" s="1" t="str"/>
      <c r="F568" s="1" t="str"/>
      <c r="G568" s="1" t="str"/>
      <c r="H568" s="1" t="str"/>
      <c r="I568" s="2" t="str"/>
      <c r="J568" s="2" t="str"/>
      <c r="K568" s="2" t="str"/>
      <c r="L568" s="1" t="str"/>
      <c r="M568" s="2" t="str"/>
      <c r="N568" s="2" t="str"/>
      <c r="O568" s="1" t="str"/>
      <c r="P568" s="1" t="str"/>
      <c r="Q568" s="1" t="str"/>
      <c r="R568" s="1">
        <f>IF(H568="Sí",1,0)</f>
        <v/>
      </c>
      <c r="S568" s="1">
        <f>IF(L568="En coordinación",1,0)</f>
        <v/>
      </c>
      <c r="T568" s="1">
        <f>IF(L568="Aceptada",1,0)</f>
        <v/>
      </c>
      <c r="U568" s="1">
        <f>IF(OR(L568="Realizada completa",L568="Realizada incompleta"),1,0)</f>
        <v/>
      </c>
      <c r="V568" s="1">
        <f>IF(L568="Sin respuesta",1,0)</f>
        <v/>
      </c>
    </row>
    <row r="569">
      <c r="A569" s="1" t="str"/>
      <c r="B569" s="1" t="str"/>
      <c r="C569" s="1" t="str"/>
      <c r="D569" s="1" t="str"/>
      <c r="E569" s="1" t="str"/>
      <c r="F569" s="1" t="str"/>
      <c r="G569" s="1" t="str"/>
      <c r="H569" s="1" t="str"/>
      <c r="I569" s="2" t="str"/>
      <c r="J569" s="2" t="str"/>
      <c r="K569" s="2" t="str"/>
      <c r="L569" s="1" t="str"/>
      <c r="M569" s="2" t="str"/>
      <c r="N569" s="2" t="str"/>
      <c r="O569" s="1" t="str"/>
      <c r="P569" s="1" t="str"/>
      <c r="Q569" s="1" t="str"/>
      <c r="R569" s="1">
        <f>IF(H569="Sí",1,0)</f>
        <v/>
      </c>
      <c r="S569" s="1">
        <f>IF(L569="En coordinación",1,0)</f>
        <v/>
      </c>
      <c r="T569" s="1">
        <f>IF(L569="Aceptada",1,0)</f>
        <v/>
      </c>
      <c r="U569" s="1">
        <f>IF(OR(L569="Realizada completa",L569="Realizada incompleta"),1,0)</f>
        <v/>
      </c>
      <c r="V569" s="1">
        <f>IF(L569="Sin respuesta",1,0)</f>
        <v/>
      </c>
    </row>
    <row r="570">
      <c r="A570" s="1" t="str"/>
      <c r="B570" s="1" t="str"/>
      <c r="C570" s="1" t="str"/>
      <c r="D570" s="1" t="str"/>
      <c r="E570" s="1" t="str"/>
      <c r="F570" s="1" t="str"/>
      <c r="G570" s="1" t="str"/>
      <c r="H570" s="1" t="str"/>
      <c r="I570" s="2" t="str"/>
      <c r="J570" s="2" t="str"/>
      <c r="K570" s="2" t="str"/>
      <c r="L570" s="1" t="str"/>
      <c r="M570" s="2" t="str"/>
      <c r="N570" s="2" t="str"/>
      <c r="O570" s="1" t="str"/>
      <c r="P570" s="1" t="str"/>
      <c r="Q570" s="1" t="str"/>
      <c r="R570" s="1">
        <f>IF(H570="Sí",1,0)</f>
        <v/>
      </c>
      <c r="S570" s="1">
        <f>IF(L570="En coordinación",1,0)</f>
        <v/>
      </c>
      <c r="T570" s="1">
        <f>IF(L570="Aceptada",1,0)</f>
        <v/>
      </c>
      <c r="U570" s="1">
        <f>IF(OR(L570="Realizada completa",L570="Realizada incompleta"),1,0)</f>
        <v/>
      </c>
      <c r="V570" s="1">
        <f>IF(L570="Sin respuesta",1,0)</f>
        <v/>
      </c>
    </row>
    <row r="571">
      <c r="A571" s="1" t="str"/>
      <c r="B571" s="1" t="str"/>
      <c r="C571" s="1" t="str"/>
      <c r="D571" s="1" t="str"/>
      <c r="E571" s="1" t="str"/>
      <c r="F571" s="1" t="str"/>
      <c r="G571" s="1" t="str"/>
      <c r="H571" s="1" t="str"/>
      <c r="I571" s="2" t="str"/>
      <c r="J571" s="2" t="str"/>
      <c r="K571" s="2" t="str"/>
      <c r="L571" s="1" t="str"/>
      <c r="M571" s="2" t="str"/>
      <c r="N571" s="2" t="str"/>
      <c r="O571" s="1" t="str"/>
      <c r="P571" s="1" t="str"/>
      <c r="Q571" s="1" t="str"/>
      <c r="R571" s="1">
        <f>IF(H571="Sí",1,0)</f>
        <v/>
      </c>
      <c r="S571" s="1">
        <f>IF(L571="En coordinación",1,0)</f>
        <v/>
      </c>
      <c r="T571" s="1">
        <f>IF(L571="Aceptada",1,0)</f>
        <v/>
      </c>
      <c r="U571" s="1">
        <f>IF(OR(L571="Realizada completa",L571="Realizada incompleta"),1,0)</f>
        <v/>
      </c>
      <c r="V571" s="1">
        <f>IF(L571="Sin respuesta",1,0)</f>
        <v/>
      </c>
    </row>
    <row r="572">
      <c r="A572" s="1" t="str"/>
      <c r="B572" s="1" t="str"/>
      <c r="C572" s="1" t="str"/>
      <c r="D572" s="1" t="str"/>
      <c r="E572" s="1" t="str"/>
      <c r="F572" s="1" t="str"/>
      <c r="G572" s="1" t="str"/>
      <c r="H572" s="1" t="str"/>
      <c r="I572" s="2" t="str"/>
      <c r="J572" s="2" t="str"/>
      <c r="K572" s="2" t="str"/>
      <c r="L572" s="1" t="str"/>
      <c r="M572" s="2" t="str"/>
      <c r="N572" s="2" t="str"/>
      <c r="O572" s="1" t="str"/>
      <c r="P572" s="1" t="str"/>
      <c r="Q572" s="1" t="str"/>
      <c r="R572" s="1">
        <f>IF(H572="Sí",1,0)</f>
        <v/>
      </c>
      <c r="S572" s="1">
        <f>IF(L572="En coordinación",1,0)</f>
        <v/>
      </c>
      <c r="T572" s="1">
        <f>IF(L572="Aceptada",1,0)</f>
        <v/>
      </c>
      <c r="U572" s="1">
        <f>IF(OR(L572="Realizada completa",L572="Realizada incompleta"),1,0)</f>
        <v/>
      </c>
      <c r="V572" s="1">
        <f>IF(L572="Sin respuesta",1,0)</f>
        <v/>
      </c>
    </row>
    <row r="573">
      <c r="A573" s="1" t="str"/>
      <c r="B573" s="1" t="str"/>
      <c r="C573" s="1" t="str"/>
      <c r="D573" s="1" t="str"/>
      <c r="E573" s="1" t="str"/>
      <c r="F573" s="1" t="str"/>
      <c r="G573" s="1" t="str"/>
      <c r="H573" s="1" t="str"/>
      <c r="I573" s="2" t="str"/>
      <c r="J573" s="2" t="str"/>
      <c r="K573" s="2" t="str"/>
      <c r="L573" s="1" t="str"/>
      <c r="M573" s="2" t="str"/>
      <c r="N573" s="2" t="str"/>
      <c r="O573" s="1" t="str"/>
      <c r="P573" s="1" t="str"/>
      <c r="Q573" s="1" t="str"/>
      <c r="R573" s="1">
        <f>IF(H573="Sí",1,0)</f>
        <v/>
      </c>
      <c r="S573" s="1">
        <f>IF(L573="En coordinación",1,0)</f>
        <v/>
      </c>
      <c r="T573" s="1">
        <f>IF(L573="Aceptada",1,0)</f>
        <v/>
      </c>
      <c r="U573" s="1">
        <f>IF(OR(L573="Realizada completa",L573="Realizada incompleta"),1,0)</f>
        <v/>
      </c>
      <c r="V573" s="1">
        <f>IF(L573="Sin respuesta",1,0)</f>
        <v/>
      </c>
    </row>
    <row r="574">
      <c r="A574" s="1" t="str"/>
      <c r="B574" s="1" t="str"/>
      <c r="C574" s="1" t="str"/>
      <c r="D574" s="1" t="str"/>
      <c r="E574" s="1" t="str"/>
      <c r="F574" s="1" t="str"/>
      <c r="G574" s="1" t="str"/>
      <c r="H574" s="1" t="str"/>
      <c r="I574" s="2" t="str"/>
      <c r="J574" s="2" t="str"/>
      <c r="K574" s="2" t="str"/>
      <c r="L574" s="1" t="str"/>
      <c r="M574" s="2" t="str"/>
      <c r="N574" s="2" t="str"/>
      <c r="O574" s="1" t="str"/>
      <c r="P574" s="1" t="str"/>
      <c r="Q574" s="1" t="str"/>
      <c r="R574" s="1">
        <f>IF(H574="Sí",1,0)</f>
        <v/>
      </c>
      <c r="S574" s="1">
        <f>IF(L574="En coordinación",1,0)</f>
        <v/>
      </c>
      <c r="T574" s="1">
        <f>IF(L574="Aceptada",1,0)</f>
        <v/>
      </c>
      <c r="U574" s="1">
        <f>IF(OR(L574="Realizada completa",L574="Realizada incompleta"),1,0)</f>
        <v/>
      </c>
      <c r="V574" s="1">
        <f>IF(L574="Sin respuesta",1,0)</f>
        <v/>
      </c>
    </row>
    <row r="575">
      <c r="A575" s="1" t="str"/>
      <c r="B575" s="1" t="str"/>
      <c r="C575" s="1" t="str"/>
      <c r="D575" s="1" t="str"/>
      <c r="E575" s="1" t="str"/>
      <c r="F575" s="1" t="str"/>
      <c r="G575" s="1" t="str"/>
      <c r="H575" s="1" t="str"/>
      <c r="I575" s="2" t="str"/>
      <c r="J575" s="2" t="str"/>
      <c r="K575" s="2" t="str"/>
      <c r="L575" s="1" t="str"/>
      <c r="M575" s="2" t="str"/>
      <c r="N575" s="2" t="str"/>
      <c r="O575" s="1" t="str"/>
      <c r="P575" s="1" t="str"/>
      <c r="Q575" s="1" t="str"/>
      <c r="R575" s="1">
        <f>IF(H575="Sí",1,0)</f>
        <v/>
      </c>
      <c r="S575" s="1">
        <f>IF(L575="En coordinación",1,0)</f>
        <v/>
      </c>
      <c r="T575" s="1">
        <f>IF(L575="Aceptada",1,0)</f>
        <v/>
      </c>
      <c r="U575" s="1">
        <f>IF(OR(L575="Realizada completa",L575="Realizada incompleta"),1,0)</f>
        <v/>
      </c>
      <c r="V575" s="1">
        <f>IF(L575="Sin respuesta",1,0)</f>
        <v/>
      </c>
    </row>
    <row r="576">
      <c r="A576" s="1" t="str"/>
      <c r="B576" s="1" t="str"/>
      <c r="C576" s="1" t="str"/>
      <c r="D576" s="1" t="str"/>
      <c r="E576" s="1" t="str"/>
      <c r="F576" s="1" t="str"/>
      <c r="G576" s="1" t="str"/>
      <c r="H576" s="1" t="str"/>
      <c r="I576" s="2" t="str"/>
      <c r="J576" s="2" t="str"/>
      <c r="K576" s="2" t="str"/>
      <c r="L576" s="1" t="str"/>
      <c r="M576" s="2" t="str"/>
      <c r="N576" s="2" t="str"/>
      <c r="O576" s="1" t="str"/>
      <c r="P576" s="1" t="str"/>
      <c r="Q576" s="1" t="str"/>
      <c r="R576" s="1">
        <f>IF(H576="Sí",1,0)</f>
        <v/>
      </c>
      <c r="S576" s="1">
        <f>IF(L576="En coordinación",1,0)</f>
        <v/>
      </c>
      <c r="T576" s="1">
        <f>IF(L576="Aceptada",1,0)</f>
        <v/>
      </c>
      <c r="U576" s="1">
        <f>IF(OR(L576="Realizada completa",L576="Realizada incompleta"),1,0)</f>
        <v/>
      </c>
      <c r="V576" s="1">
        <f>IF(L576="Sin respuesta",1,0)</f>
        <v/>
      </c>
    </row>
    <row r="577">
      <c r="A577" s="1" t="str"/>
      <c r="B577" s="1" t="str"/>
      <c r="C577" s="1" t="str"/>
      <c r="D577" s="1" t="str"/>
      <c r="E577" s="1" t="str"/>
      <c r="F577" s="1" t="str"/>
      <c r="G577" s="1" t="str"/>
      <c r="H577" s="1" t="str"/>
      <c r="I577" s="2" t="str"/>
      <c r="J577" s="2" t="str"/>
      <c r="K577" s="2" t="str"/>
      <c r="L577" s="1" t="str"/>
      <c r="M577" s="2" t="str"/>
      <c r="N577" s="2" t="str"/>
      <c r="O577" s="1" t="str"/>
      <c r="P577" s="1" t="str"/>
      <c r="Q577" s="1" t="str"/>
      <c r="R577" s="1">
        <f>IF(H577="Sí",1,0)</f>
        <v/>
      </c>
      <c r="S577" s="1">
        <f>IF(L577="En coordinación",1,0)</f>
        <v/>
      </c>
      <c r="T577" s="1">
        <f>IF(L577="Aceptada",1,0)</f>
        <v/>
      </c>
      <c r="U577" s="1">
        <f>IF(OR(L577="Realizada completa",L577="Realizada incompleta"),1,0)</f>
        <v/>
      </c>
      <c r="V577" s="1">
        <f>IF(L577="Sin respuesta",1,0)</f>
        <v/>
      </c>
    </row>
    <row r="578">
      <c r="A578" s="1" t="str"/>
      <c r="B578" s="1" t="str"/>
      <c r="C578" s="1" t="str"/>
      <c r="D578" s="1" t="str"/>
      <c r="E578" s="1" t="str"/>
      <c r="F578" s="1" t="str"/>
      <c r="G578" s="1" t="str"/>
      <c r="H578" s="1" t="str"/>
      <c r="I578" s="2" t="str"/>
      <c r="J578" s="2" t="str"/>
      <c r="K578" s="2" t="str"/>
      <c r="L578" s="1" t="str"/>
      <c r="M578" s="2" t="str"/>
      <c r="N578" s="2" t="str"/>
      <c r="O578" s="1" t="str"/>
      <c r="P578" s="1" t="str"/>
      <c r="Q578" s="1" t="str"/>
      <c r="R578" s="1">
        <f>IF(H578="Sí",1,0)</f>
        <v/>
      </c>
      <c r="S578" s="1">
        <f>IF(L578="En coordinación",1,0)</f>
        <v/>
      </c>
      <c r="T578" s="1">
        <f>IF(L578="Aceptada",1,0)</f>
        <v/>
      </c>
      <c r="U578" s="1">
        <f>IF(OR(L578="Realizada completa",L578="Realizada incompleta"),1,0)</f>
        <v/>
      </c>
      <c r="V578" s="1">
        <f>IF(L578="Sin respuesta",1,0)</f>
        <v/>
      </c>
    </row>
    <row r="579">
      <c r="A579" s="1" t="str"/>
      <c r="B579" s="1" t="str"/>
      <c r="C579" s="1" t="str"/>
      <c r="D579" s="1" t="str"/>
      <c r="E579" s="1" t="str"/>
      <c r="F579" s="1" t="str"/>
      <c r="G579" s="1" t="str"/>
      <c r="H579" s="1" t="str"/>
      <c r="I579" s="2" t="str"/>
      <c r="J579" s="2" t="str"/>
      <c r="K579" s="2" t="str"/>
      <c r="L579" s="1" t="str"/>
      <c r="M579" s="2" t="str"/>
      <c r="N579" s="2" t="str"/>
      <c r="O579" s="1" t="str"/>
      <c r="P579" s="1" t="str"/>
      <c r="Q579" s="1" t="str"/>
      <c r="R579" s="1">
        <f>IF(H579="Sí",1,0)</f>
        <v/>
      </c>
      <c r="S579" s="1">
        <f>IF(L579="En coordinación",1,0)</f>
        <v/>
      </c>
      <c r="T579" s="1">
        <f>IF(L579="Aceptada",1,0)</f>
        <v/>
      </c>
      <c r="U579" s="1">
        <f>IF(OR(L579="Realizada completa",L579="Realizada incompleta"),1,0)</f>
        <v/>
      </c>
      <c r="V579" s="1">
        <f>IF(L579="Sin respuesta",1,0)</f>
        <v/>
      </c>
    </row>
    <row r="580">
      <c r="A580" s="1" t="str"/>
      <c r="B580" s="1" t="str"/>
      <c r="C580" s="1" t="str"/>
      <c r="D580" s="1" t="str"/>
      <c r="E580" s="1" t="str"/>
      <c r="F580" s="1" t="str"/>
      <c r="G580" s="1" t="str"/>
      <c r="H580" s="1" t="str"/>
      <c r="I580" s="2" t="str"/>
      <c r="J580" s="2" t="str"/>
      <c r="K580" s="2" t="str"/>
      <c r="L580" s="1" t="str"/>
      <c r="M580" s="2" t="str"/>
      <c r="N580" s="2" t="str"/>
      <c r="O580" s="1" t="str"/>
      <c r="P580" s="1" t="str"/>
      <c r="Q580" s="1" t="str"/>
      <c r="R580" s="1">
        <f>IF(H580="Sí",1,0)</f>
        <v/>
      </c>
      <c r="S580" s="1">
        <f>IF(L580="En coordinación",1,0)</f>
        <v/>
      </c>
      <c r="T580" s="1">
        <f>IF(L580="Aceptada",1,0)</f>
        <v/>
      </c>
      <c r="U580" s="1">
        <f>IF(OR(L580="Realizada completa",L580="Realizada incompleta"),1,0)</f>
        <v/>
      </c>
      <c r="V580" s="1">
        <f>IF(L580="Sin respuesta",1,0)</f>
        <v/>
      </c>
    </row>
    <row r="581">
      <c r="A581" s="1" t="str"/>
      <c r="B581" s="1" t="str"/>
      <c r="C581" s="1" t="str"/>
      <c r="D581" s="1" t="str"/>
      <c r="E581" s="1" t="str"/>
      <c r="F581" s="1" t="str"/>
      <c r="G581" s="1" t="str"/>
      <c r="H581" s="1" t="str"/>
      <c r="I581" s="2" t="str"/>
      <c r="J581" s="2" t="str"/>
      <c r="K581" s="2" t="str"/>
      <c r="L581" s="1" t="str"/>
      <c r="M581" s="2" t="str"/>
      <c r="N581" s="2" t="str"/>
      <c r="O581" s="1" t="str"/>
      <c r="P581" s="1" t="str"/>
      <c r="Q581" s="1" t="str"/>
      <c r="R581" s="1">
        <f>IF(H581="Sí",1,0)</f>
        <v/>
      </c>
      <c r="S581" s="1">
        <f>IF(L581="En coordinación",1,0)</f>
        <v/>
      </c>
      <c r="T581" s="1">
        <f>IF(L581="Aceptada",1,0)</f>
        <v/>
      </c>
      <c r="U581" s="1">
        <f>IF(OR(L581="Realizada completa",L581="Realizada incompleta"),1,0)</f>
        <v/>
      </c>
      <c r="V581" s="1">
        <f>IF(L581="Sin respuesta",1,0)</f>
        <v/>
      </c>
    </row>
    <row r="582">
      <c r="A582" s="1" t="str"/>
      <c r="B582" s="1" t="str"/>
      <c r="C582" s="1" t="str"/>
      <c r="D582" s="1" t="str"/>
      <c r="E582" s="1" t="str"/>
      <c r="F582" s="1" t="str"/>
      <c r="G582" s="1" t="str"/>
      <c r="H582" s="1" t="str"/>
      <c r="I582" s="2" t="str"/>
      <c r="J582" s="2" t="str"/>
      <c r="K582" s="2" t="str"/>
      <c r="L582" s="1" t="str"/>
      <c r="M582" s="2" t="str"/>
      <c r="N582" s="2" t="str"/>
      <c r="O582" s="1" t="str"/>
      <c r="P582" s="1" t="str"/>
      <c r="Q582" s="1" t="str"/>
      <c r="R582" s="1">
        <f>IF(H582="Sí",1,0)</f>
        <v/>
      </c>
      <c r="S582" s="1">
        <f>IF(L582="En coordinación",1,0)</f>
        <v/>
      </c>
      <c r="T582" s="1">
        <f>IF(L582="Aceptada",1,0)</f>
        <v/>
      </c>
      <c r="U582" s="1">
        <f>IF(OR(L582="Realizada completa",L582="Realizada incompleta"),1,0)</f>
        <v/>
      </c>
      <c r="V582" s="1">
        <f>IF(L582="Sin respuesta",1,0)</f>
        <v/>
      </c>
    </row>
    <row r="583">
      <c r="A583" s="1" t="str"/>
      <c r="B583" s="1" t="str"/>
      <c r="C583" s="1" t="str"/>
      <c r="D583" s="1" t="str"/>
      <c r="E583" s="1" t="str"/>
      <c r="F583" s="1" t="str"/>
      <c r="G583" s="1" t="str"/>
      <c r="H583" s="1" t="str"/>
      <c r="I583" s="2" t="str"/>
      <c r="J583" s="2" t="str"/>
      <c r="K583" s="2" t="str"/>
      <c r="L583" s="1" t="str"/>
      <c r="M583" s="2" t="str"/>
      <c r="N583" s="2" t="str"/>
      <c r="O583" s="1" t="str"/>
      <c r="P583" s="1" t="str"/>
      <c r="Q583" s="1" t="str"/>
      <c r="R583" s="1">
        <f>IF(H583="Sí",1,0)</f>
        <v/>
      </c>
      <c r="S583" s="1">
        <f>IF(L583="En coordinación",1,0)</f>
        <v/>
      </c>
      <c r="T583" s="1">
        <f>IF(L583="Aceptada",1,0)</f>
        <v/>
      </c>
      <c r="U583" s="1">
        <f>IF(OR(L583="Realizada completa",L583="Realizada incompleta"),1,0)</f>
        <v/>
      </c>
      <c r="V583" s="1">
        <f>IF(L583="Sin respuesta",1,0)</f>
        <v/>
      </c>
    </row>
    <row r="584">
      <c r="A584" s="1" t="str"/>
      <c r="B584" s="1" t="str"/>
      <c r="C584" s="1" t="str"/>
      <c r="D584" s="1" t="str"/>
      <c r="E584" s="1" t="str"/>
      <c r="F584" s="1" t="str"/>
      <c r="G584" s="1" t="str"/>
      <c r="H584" s="1" t="str"/>
      <c r="I584" s="2" t="str"/>
      <c r="J584" s="2" t="str"/>
      <c r="K584" s="2" t="str"/>
      <c r="L584" s="1" t="str"/>
      <c r="M584" s="2" t="str"/>
      <c r="N584" s="2" t="str"/>
      <c r="O584" s="1" t="str"/>
      <c r="P584" s="1" t="str"/>
      <c r="Q584" s="1" t="str"/>
      <c r="R584" s="1">
        <f>IF(H584="Sí",1,0)</f>
        <v/>
      </c>
      <c r="S584" s="1">
        <f>IF(L584="En coordinación",1,0)</f>
        <v/>
      </c>
      <c r="T584" s="1">
        <f>IF(L584="Aceptada",1,0)</f>
        <v/>
      </c>
      <c r="U584" s="1">
        <f>IF(OR(L584="Realizada completa",L584="Realizada incompleta"),1,0)</f>
        <v/>
      </c>
      <c r="V584" s="1">
        <f>IF(L584="Sin respuesta",1,0)</f>
        <v/>
      </c>
    </row>
    <row r="585">
      <c r="A585" s="1" t="str"/>
      <c r="B585" s="1" t="str"/>
      <c r="C585" s="1" t="str"/>
      <c r="D585" s="1" t="str"/>
      <c r="E585" s="1" t="str"/>
      <c r="F585" s="1" t="str"/>
      <c r="G585" s="1" t="str"/>
      <c r="H585" s="1" t="str"/>
      <c r="I585" s="2" t="str"/>
      <c r="J585" s="2" t="str"/>
      <c r="K585" s="2" t="str"/>
      <c r="L585" s="1" t="str"/>
      <c r="M585" s="2" t="str"/>
      <c r="N585" s="2" t="str"/>
      <c r="O585" s="1" t="str"/>
      <c r="P585" s="1" t="str"/>
      <c r="Q585" s="1" t="str"/>
      <c r="R585" s="1">
        <f>IF(H585="Sí",1,0)</f>
        <v/>
      </c>
      <c r="S585" s="1">
        <f>IF(L585="En coordinación",1,0)</f>
        <v/>
      </c>
      <c r="T585" s="1">
        <f>IF(L585="Aceptada",1,0)</f>
        <v/>
      </c>
      <c r="U585" s="1">
        <f>IF(OR(L585="Realizada completa",L585="Realizada incompleta"),1,0)</f>
        <v/>
      </c>
      <c r="V585" s="1">
        <f>IF(L585="Sin respuesta",1,0)</f>
        <v/>
      </c>
    </row>
    <row r="586">
      <c r="A586" s="1" t="str"/>
      <c r="B586" s="1" t="str"/>
      <c r="C586" s="1" t="str"/>
      <c r="D586" s="1" t="str"/>
      <c r="E586" s="1" t="str"/>
      <c r="F586" s="1" t="str"/>
      <c r="G586" s="1" t="str"/>
      <c r="H586" s="1" t="str"/>
      <c r="I586" s="2" t="str"/>
      <c r="J586" s="2" t="str"/>
      <c r="K586" s="2" t="str"/>
      <c r="L586" s="1" t="str"/>
      <c r="M586" s="2" t="str"/>
      <c r="N586" s="2" t="str"/>
      <c r="O586" s="1" t="str"/>
      <c r="P586" s="1" t="str"/>
      <c r="Q586" s="1" t="str"/>
      <c r="R586" s="1">
        <f>IF(H586="Sí",1,0)</f>
        <v/>
      </c>
      <c r="S586" s="1">
        <f>IF(L586="En coordinación",1,0)</f>
        <v/>
      </c>
      <c r="T586" s="1">
        <f>IF(L586="Aceptada",1,0)</f>
        <v/>
      </c>
      <c r="U586" s="1">
        <f>IF(OR(L586="Realizada completa",L586="Realizada incompleta"),1,0)</f>
        <v/>
      </c>
      <c r="V586" s="1">
        <f>IF(L586="Sin respuesta",1,0)</f>
        <v/>
      </c>
    </row>
    <row r="587">
      <c r="A587" s="1" t="str"/>
      <c r="B587" s="1" t="str"/>
      <c r="C587" s="1" t="str"/>
      <c r="D587" s="1" t="str"/>
      <c r="E587" s="1" t="str"/>
      <c r="F587" s="1" t="str"/>
      <c r="G587" s="1" t="str"/>
      <c r="H587" s="1" t="str"/>
      <c r="I587" s="2" t="str"/>
      <c r="J587" s="2" t="str"/>
      <c r="K587" s="2" t="str"/>
      <c r="L587" s="1" t="str"/>
      <c r="M587" s="2" t="str"/>
      <c r="N587" s="2" t="str"/>
      <c r="O587" s="1" t="str"/>
      <c r="P587" s="1" t="str"/>
      <c r="Q587" s="1" t="str"/>
      <c r="R587" s="1">
        <f>IF(H587="Sí",1,0)</f>
        <v/>
      </c>
      <c r="S587" s="1">
        <f>IF(L587="En coordinación",1,0)</f>
        <v/>
      </c>
      <c r="T587" s="1">
        <f>IF(L587="Aceptada",1,0)</f>
        <v/>
      </c>
      <c r="U587" s="1">
        <f>IF(OR(L587="Realizada completa",L587="Realizada incompleta"),1,0)</f>
        <v/>
      </c>
      <c r="V587" s="1">
        <f>IF(L587="Sin respuesta",1,0)</f>
        <v/>
      </c>
    </row>
    <row r="588">
      <c r="A588" s="1" t="str"/>
      <c r="B588" s="1" t="str"/>
      <c r="C588" s="1" t="str"/>
      <c r="D588" s="1" t="str"/>
      <c r="E588" s="1" t="str"/>
      <c r="F588" s="1" t="str"/>
      <c r="G588" s="1" t="str"/>
      <c r="H588" s="1" t="str"/>
      <c r="I588" s="2" t="str"/>
      <c r="J588" s="2" t="str"/>
      <c r="K588" s="2" t="str"/>
      <c r="L588" s="1" t="str"/>
      <c r="M588" s="2" t="str"/>
      <c r="N588" s="2" t="str"/>
      <c r="O588" s="1" t="str"/>
      <c r="P588" s="1" t="str"/>
      <c r="Q588" s="1" t="str"/>
      <c r="R588" s="1">
        <f>IF(H588="Sí",1,0)</f>
        <v/>
      </c>
      <c r="S588" s="1">
        <f>IF(L588="En coordinación",1,0)</f>
        <v/>
      </c>
      <c r="T588" s="1">
        <f>IF(L588="Aceptada",1,0)</f>
        <v/>
      </c>
      <c r="U588" s="1">
        <f>IF(OR(L588="Realizada completa",L588="Realizada incompleta"),1,0)</f>
        <v/>
      </c>
      <c r="V588" s="1">
        <f>IF(L588="Sin respuesta",1,0)</f>
        <v/>
      </c>
    </row>
    <row r="589">
      <c r="A589" s="1" t="str"/>
      <c r="B589" s="1" t="str"/>
      <c r="C589" s="1" t="str"/>
      <c r="D589" s="1" t="str"/>
      <c r="E589" s="1" t="str"/>
      <c r="F589" s="1" t="str"/>
      <c r="G589" s="1" t="str"/>
      <c r="H589" s="1" t="str"/>
      <c r="I589" s="2" t="str"/>
      <c r="J589" s="2" t="str"/>
      <c r="K589" s="2" t="str"/>
      <c r="L589" s="1" t="str"/>
      <c r="M589" s="2" t="str"/>
      <c r="N589" s="2" t="str"/>
      <c r="O589" s="1" t="str"/>
      <c r="P589" s="1" t="str"/>
      <c r="Q589" s="1" t="str"/>
      <c r="R589" s="1">
        <f>IF(H589="Sí",1,0)</f>
        <v/>
      </c>
      <c r="S589" s="1">
        <f>IF(L589="En coordinación",1,0)</f>
        <v/>
      </c>
      <c r="T589" s="1">
        <f>IF(L589="Aceptada",1,0)</f>
        <v/>
      </c>
      <c r="U589" s="1">
        <f>IF(OR(L589="Realizada completa",L589="Realizada incompleta"),1,0)</f>
        <v/>
      </c>
      <c r="V589" s="1">
        <f>IF(L589="Sin respuesta",1,0)</f>
        <v/>
      </c>
    </row>
    <row r="590">
      <c r="A590" s="1" t="str"/>
      <c r="B590" s="1" t="str"/>
      <c r="C590" s="1" t="str"/>
      <c r="D590" s="1" t="str"/>
      <c r="E590" s="1" t="str"/>
      <c r="F590" s="1" t="str"/>
      <c r="G590" s="1" t="str"/>
      <c r="H590" s="1" t="str"/>
      <c r="I590" s="2" t="str"/>
      <c r="J590" s="2" t="str"/>
      <c r="K590" s="2" t="str"/>
      <c r="L590" s="1" t="str"/>
      <c r="M590" s="2" t="str"/>
      <c r="N590" s="2" t="str"/>
      <c r="O590" s="1" t="str"/>
      <c r="P590" s="1" t="str"/>
      <c r="Q590" s="1" t="str"/>
      <c r="R590" s="1">
        <f>IF(H590="Sí",1,0)</f>
        <v/>
      </c>
      <c r="S590" s="1">
        <f>IF(L590="En coordinación",1,0)</f>
        <v/>
      </c>
      <c r="T590" s="1">
        <f>IF(L590="Aceptada",1,0)</f>
        <v/>
      </c>
      <c r="U590" s="1">
        <f>IF(OR(L590="Realizada completa",L590="Realizada incompleta"),1,0)</f>
        <v/>
      </c>
      <c r="V590" s="1">
        <f>IF(L590="Sin respuesta",1,0)</f>
        <v/>
      </c>
    </row>
    <row r="591">
      <c r="A591" s="1" t="str"/>
      <c r="B591" s="1" t="str"/>
      <c r="C591" s="1" t="str"/>
      <c r="D591" s="1" t="str"/>
      <c r="E591" s="1" t="str"/>
      <c r="F591" s="1" t="str"/>
      <c r="G591" s="1" t="str"/>
      <c r="H591" s="1" t="str"/>
      <c r="I591" s="2" t="str"/>
      <c r="J591" s="2" t="str"/>
      <c r="K591" s="2" t="str"/>
      <c r="L591" s="1" t="str"/>
      <c r="M591" s="2" t="str"/>
      <c r="N591" s="2" t="str"/>
      <c r="O591" s="1" t="str"/>
      <c r="P591" s="1" t="str"/>
      <c r="Q591" s="1" t="str"/>
      <c r="R591" s="1">
        <f>IF(H591="Sí",1,0)</f>
        <v/>
      </c>
      <c r="S591" s="1">
        <f>IF(L591="En coordinación",1,0)</f>
        <v/>
      </c>
      <c r="T591" s="1">
        <f>IF(L591="Aceptada",1,0)</f>
        <v/>
      </c>
      <c r="U591" s="1">
        <f>IF(OR(L591="Realizada completa",L591="Realizada incompleta"),1,0)</f>
        <v/>
      </c>
      <c r="V591" s="1">
        <f>IF(L591="Sin respuesta",1,0)</f>
        <v/>
      </c>
    </row>
    <row r="592">
      <c r="A592" s="1" t="str"/>
      <c r="B592" s="1" t="str"/>
      <c r="C592" s="1" t="str"/>
      <c r="D592" s="1" t="str"/>
      <c r="E592" s="1" t="str"/>
      <c r="F592" s="1" t="str"/>
      <c r="G592" s="1" t="str"/>
      <c r="H592" s="1" t="str"/>
      <c r="I592" s="2" t="str"/>
      <c r="J592" s="2" t="str"/>
      <c r="K592" s="2" t="str"/>
      <c r="L592" s="1" t="str"/>
      <c r="M592" s="2" t="str"/>
      <c r="N592" s="2" t="str"/>
      <c r="O592" s="1" t="str"/>
      <c r="P592" s="1" t="str"/>
      <c r="Q592" s="1" t="str"/>
      <c r="R592" s="1">
        <f>IF(H592="Sí",1,0)</f>
        <v/>
      </c>
      <c r="S592" s="1">
        <f>IF(L592="En coordinación",1,0)</f>
        <v/>
      </c>
      <c r="T592" s="1">
        <f>IF(L592="Aceptada",1,0)</f>
        <v/>
      </c>
      <c r="U592" s="1">
        <f>IF(OR(L592="Realizada completa",L592="Realizada incompleta"),1,0)</f>
        <v/>
      </c>
      <c r="V592" s="1">
        <f>IF(L592="Sin respuesta",1,0)</f>
        <v/>
      </c>
    </row>
    <row r="593">
      <c r="A593" s="1" t="str"/>
      <c r="B593" s="1" t="str"/>
      <c r="C593" s="1" t="str"/>
      <c r="D593" s="1" t="str"/>
      <c r="E593" s="1" t="str"/>
      <c r="F593" s="1" t="str"/>
      <c r="G593" s="1" t="str"/>
      <c r="H593" s="1" t="str"/>
      <c r="I593" s="2" t="str"/>
      <c r="J593" s="2" t="str"/>
      <c r="K593" s="2" t="str"/>
      <c r="L593" s="1" t="str"/>
      <c r="M593" s="2" t="str"/>
      <c r="N593" s="2" t="str"/>
      <c r="O593" s="1" t="str"/>
      <c r="P593" s="1" t="str"/>
      <c r="Q593" s="1" t="str"/>
      <c r="R593" s="1">
        <f>IF(H593="Sí",1,0)</f>
        <v/>
      </c>
      <c r="S593" s="1">
        <f>IF(L593="En coordinación",1,0)</f>
        <v/>
      </c>
      <c r="T593" s="1">
        <f>IF(L593="Aceptada",1,0)</f>
        <v/>
      </c>
      <c r="U593" s="1">
        <f>IF(OR(L593="Realizada completa",L593="Realizada incompleta"),1,0)</f>
        <v/>
      </c>
      <c r="V593" s="1">
        <f>IF(L593="Sin respuesta",1,0)</f>
        <v/>
      </c>
    </row>
    <row r="594">
      <c r="A594" s="1" t="str"/>
      <c r="B594" s="1" t="str"/>
      <c r="C594" s="1" t="str"/>
      <c r="D594" s="1" t="str"/>
      <c r="E594" s="1" t="str"/>
      <c r="F594" s="1" t="str"/>
      <c r="G594" s="1" t="str"/>
      <c r="H594" s="1" t="str"/>
      <c r="I594" s="2" t="str"/>
      <c r="J594" s="2" t="str"/>
      <c r="K594" s="2" t="str"/>
      <c r="L594" s="1" t="str"/>
      <c r="M594" s="2" t="str"/>
      <c r="N594" s="2" t="str"/>
      <c r="O594" s="1" t="str"/>
      <c r="P594" s="1" t="str"/>
      <c r="Q594" s="1" t="str"/>
      <c r="R594" s="1">
        <f>IF(H594="Sí",1,0)</f>
        <v/>
      </c>
      <c r="S594" s="1">
        <f>IF(L594="En coordinación",1,0)</f>
        <v/>
      </c>
      <c r="T594" s="1">
        <f>IF(L594="Aceptada",1,0)</f>
        <v/>
      </c>
      <c r="U594" s="1">
        <f>IF(OR(L594="Realizada completa",L594="Realizada incompleta"),1,0)</f>
        <v/>
      </c>
      <c r="V594" s="1">
        <f>IF(L594="Sin respuesta",1,0)</f>
        <v/>
      </c>
    </row>
    <row r="595">
      <c r="A595" s="1" t="str"/>
      <c r="B595" s="1" t="str"/>
      <c r="C595" s="1" t="str"/>
      <c r="D595" s="1" t="str"/>
      <c r="E595" s="1" t="str"/>
      <c r="F595" s="1" t="str"/>
      <c r="G595" s="1" t="str"/>
      <c r="H595" s="1" t="str"/>
      <c r="I595" s="2" t="str"/>
      <c r="J595" s="2" t="str"/>
      <c r="K595" s="2" t="str"/>
      <c r="L595" s="1" t="str"/>
      <c r="M595" s="2" t="str"/>
      <c r="N595" s="2" t="str"/>
      <c r="O595" s="1" t="str"/>
      <c r="P595" s="1" t="str"/>
      <c r="Q595" s="1" t="str"/>
      <c r="R595" s="1">
        <f>IF(H595="Sí",1,0)</f>
        <v/>
      </c>
      <c r="S595" s="1">
        <f>IF(L595="En coordinación",1,0)</f>
        <v/>
      </c>
      <c r="T595" s="1">
        <f>IF(L595="Aceptada",1,0)</f>
        <v/>
      </c>
      <c r="U595" s="1">
        <f>IF(OR(L595="Realizada completa",L595="Realizada incompleta"),1,0)</f>
        <v/>
      </c>
      <c r="V595" s="1">
        <f>IF(L595="Sin respuesta",1,0)</f>
        <v/>
      </c>
    </row>
    <row r="596">
      <c r="A596" s="1" t="str"/>
      <c r="B596" s="1" t="str"/>
      <c r="C596" s="1" t="str"/>
      <c r="D596" s="1" t="str"/>
      <c r="E596" s="1" t="str"/>
      <c r="F596" s="1" t="str"/>
      <c r="G596" s="1" t="str"/>
      <c r="H596" s="1" t="str"/>
      <c r="I596" s="2" t="str"/>
      <c r="J596" s="2" t="str"/>
      <c r="K596" s="2" t="str"/>
      <c r="L596" s="1" t="str"/>
      <c r="M596" s="2" t="str"/>
      <c r="N596" s="2" t="str"/>
      <c r="O596" s="1" t="str"/>
      <c r="P596" s="1" t="str"/>
      <c r="Q596" s="1" t="str"/>
      <c r="R596" s="1">
        <f>IF(H596="Sí",1,0)</f>
        <v/>
      </c>
      <c r="S596" s="1">
        <f>IF(L596="En coordinación",1,0)</f>
        <v/>
      </c>
      <c r="T596" s="1">
        <f>IF(L596="Aceptada",1,0)</f>
        <v/>
      </c>
      <c r="U596" s="1">
        <f>IF(OR(L596="Realizada completa",L596="Realizada incompleta"),1,0)</f>
        <v/>
      </c>
      <c r="V596" s="1">
        <f>IF(L596="Sin respuesta",1,0)</f>
        <v/>
      </c>
    </row>
    <row r="597">
      <c r="A597" s="1" t="str"/>
      <c r="B597" s="1" t="str"/>
      <c r="C597" s="1" t="str"/>
      <c r="D597" s="1" t="str"/>
      <c r="E597" s="1" t="str"/>
      <c r="F597" s="1" t="str"/>
      <c r="G597" s="1" t="str"/>
      <c r="H597" s="1" t="str"/>
      <c r="I597" s="2" t="str"/>
      <c r="J597" s="2" t="str"/>
      <c r="K597" s="2" t="str"/>
      <c r="L597" s="1" t="str"/>
      <c r="M597" s="2" t="str"/>
      <c r="N597" s="2" t="str"/>
      <c r="O597" s="1" t="str"/>
      <c r="P597" s="1" t="str"/>
      <c r="Q597" s="1" t="str"/>
      <c r="R597" s="1">
        <f>IF(H597="Sí",1,0)</f>
        <v/>
      </c>
      <c r="S597" s="1">
        <f>IF(L597="En coordinación",1,0)</f>
        <v/>
      </c>
      <c r="T597" s="1">
        <f>IF(L597="Aceptada",1,0)</f>
        <v/>
      </c>
      <c r="U597" s="1">
        <f>IF(OR(L597="Realizada completa",L597="Realizada incompleta"),1,0)</f>
        <v/>
      </c>
      <c r="V597" s="1">
        <f>IF(L597="Sin respuesta",1,0)</f>
        <v/>
      </c>
    </row>
    <row r="598">
      <c r="A598" s="1" t="str"/>
      <c r="B598" s="1" t="str"/>
      <c r="C598" s="1" t="str"/>
      <c r="D598" s="1" t="str"/>
      <c r="E598" s="1" t="str"/>
      <c r="F598" s="1" t="str"/>
      <c r="G598" s="1" t="str"/>
      <c r="H598" s="1" t="str"/>
      <c r="I598" s="2" t="str"/>
      <c r="J598" s="2" t="str"/>
      <c r="K598" s="2" t="str"/>
      <c r="L598" s="1" t="str"/>
      <c r="M598" s="2" t="str"/>
      <c r="N598" s="2" t="str"/>
      <c r="O598" s="1" t="str"/>
      <c r="P598" s="1" t="str"/>
      <c r="Q598" s="1" t="str"/>
      <c r="R598" s="1">
        <f>IF(H598="Sí",1,0)</f>
        <v/>
      </c>
      <c r="S598" s="1">
        <f>IF(L598="En coordinación",1,0)</f>
        <v/>
      </c>
      <c r="T598" s="1">
        <f>IF(L598="Aceptada",1,0)</f>
        <v/>
      </c>
      <c r="U598" s="1">
        <f>IF(OR(L598="Realizada completa",L598="Realizada incompleta"),1,0)</f>
        <v/>
      </c>
      <c r="V598" s="1">
        <f>IF(L598="Sin respuesta",1,0)</f>
        <v/>
      </c>
    </row>
    <row r="599">
      <c r="A599" s="1" t="str"/>
      <c r="B599" s="1" t="str"/>
      <c r="C599" s="1" t="str"/>
      <c r="D599" s="1" t="str"/>
      <c r="E599" s="1" t="str"/>
      <c r="F599" s="1" t="str"/>
      <c r="G599" s="1" t="str"/>
      <c r="H599" s="1" t="str"/>
      <c r="I599" s="2" t="str"/>
      <c r="J599" s="2" t="str"/>
      <c r="K599" s="2" t="str"/>
      <c r="L599" s="1" t="str"/>
      <c r="M599" s="2" t="str"/>
      <c r="N599" s="2" t="str"/>
      <c r="O599" s="1" t="str"/>
      <c r="P599" s="1" t="str"/>
      <c r="Q599" s="1" t="str"/>
      <c r="R599" s="1">
        <f>IF(H599="Sí",1,0)</f>
        <v/>
      </c>
      <c r="S599" s="1">
        <f>IF(L599="En coordinación",1,0)</f>
        <v/>
      </c>
      <c r="T599" s="1">
        <f>IF(L599="Aceptada",1,0)</f>
        <v/>
      </c>
      <c r="U599" s="1">
        <f>IF(OR(L599="Realizada completa",L599="Realizada incompleta"),1,0)</f>
        <v/>
      </c>
      <c r="V599" s="1">
        <f>IF(L599="Sin respuesta",1,0)</f>
        <v/>
      </c>
    </row>
    <row r="600">
      <c r="A600" s="1" t="str"/>
      <c r="B600" s="1" t="str"/>
      <c r="C600" s="1" t="str"/>
      <c r="D600" s="1" t="str"/>
      <c r="E600" s="1" t="str"/>
      <c r="F600" s="1" t="str"/>
      <c r="G600" s="1" t="str"/>
      <c r="H600" s="1" t="str"/>
      <c r="I600" s="2" t="str"/>
      <c r="J600" s="2" t="str"/>
      <c r="K600" s="2" t="str"/>
      <c r="L600" s="1" t="str"/>
      <c r="M600" s="2" t="str"/>
      <c r="N600" s="2" t="str"/>
      <c r="O600" s="1" t="str"/>
      <c r="P600" s="1" t="str"/>
      <c r="Q600" s="1" t="str"/>
      <c r="R600" s="1">
        <f>IF(H600="Sí",1,0)</f>
        <v/>
      </c>
      <c r="S600" s="1">
        <f>IF(L600="En coordinación",1,0)</f>
        <v/>
      </c>
      <c r="T600" s="1">
        <f>IF(L600="Aceptada",1,0)</f>
        <v/>
      </c>
      <c r="U600" s="1">
        <f>IF(OR(L600="Realizada completa",L600="Realizada incompleta"),1,0)</f>
        <v/>
      </c>
      <c r="V600" s="1">
        <f>IF(L600="Sin respuesta",1,0)</f>
        <v/>
      </c>
    </row>
    <row r="601">
      <c r="A601" s="1" t="str"/>
      <c r="B601" s="1" t="str"/>
      <c r="C601" s="1" t="str"/>
      <c r="D601" s="1" t="str"/>
      <c r="E601" s="1" t="str"/>
      <c r="F601" s="1" t="str"/>
      <c r="G601" s="1" t="str"/>
      <c r="H601" s="1" t="str"/>
      <c r="I601" s="2" t="str"/>
      <c r="J601" s="2" t="str"/>
      <c r="K601" s="2" t="str"/>
      <c r="L601" s="1" t="str"/>
      <c r="M601" s="2" t="str"/>
      <c r="N601" s="2" t="str"/>
      <c r="O601" s="1" t="str"/>
      <c r="P601" s="1" t="str"/>
      <c r="Q601" s="1" t="str"/>
      <c r="R601" s="1">
        <f>IF(H601="Sí",1,0)</f>
        <v/>
      </c>
      <c r="S601" s="1">
        <f>IF(L601="En coordinación",1,0)</f>
        <v/>
      </c>
      <c r="T601" s="1">
        <f>IF(L601="Aceptada",1,0)</f>
        <v/>
      </c>
      <c r="U601" s="1">
        <f>IF(OR(L601="Realizada completa",L601="Realizada incompleta"),1,0)</f>
        <v/>
      </c>
      <c r="V601" s="1">
        <f>IF(L601="Sin respuesta",1,0)</f>
        <v/>
      </c>
    </row>
    <row r="602">
      <c r="A602" s="1" t="str"/>
      <c r="B602" s="1" t="str"/>
      <c r="C602" s="1" t="str"/>
      <c r="D602" s="1" t="str"/>
      <c r="E602" s="1" t="str"/>
      <c r="F602" s="1" t="str"/>
      <c r="G602" s="1" t="str"/>
      <c r="H602" s="1" t="str"/>
      <c r="I602" s="2" t="str"/>
      <c r="J602" s="2" t="str"/>
      <c r="K602" s="2" t="str"/>
      <c r="L602" s="1" t="str"/>
      <c r="M602" s="2" t="str"/>
      <c r="N602" s="2" t="str"/>
      <c r="O602" s="1" t="str"/>
      <c r="P602" s="1" t="str"/>
      <c r="Q602" s="1" t="str"/>
      <c r="R602" s="1">
        <f>IF(H602="Sí",1,0)</f>
        <v/>
      </c>
      <c r="S602" s="1">
        <f>IF(L602="En coordinación",1,0)</f>
        <v/>
      </c>
      <c r="T602" s="1">
        <f>IF(L602="Aceptada",1,0)</f>
        <v/>
      </c>
      <c r="U602" s="1">
        <f>IF(OR(L602="Realizada completa",L602="Realizada incompleta"),1,0)</f>
        <v/>
      </c>
      <c r="V602" s="1">
        <f>IF(L602="Sin respuesta",1,0)</f>
        <v/>
      </c>
    </row>
    <row r="603">
      <c r="A603" s="1" t="str"/>
      <c r="B603" s="1" t="str"/>
      <c r="C603" s="1" t="str"/>
      <c r="D603" s="1" t="str"/>
      <c r="E603" s="1" t="str"/>
      <c r="F603" s="1" t="str"/>
      <c r="G603" s="1" t="str"/>
      <c r="H603" s="1" t="str"/>
      <c r="I603" s="2" t="str"/>
      <c r="J603" s="2" t="str"/>
      <c r="K603" s="2" t="str"/>
      <c r="L603" s="1" t="str"/>
      <c r="M603" s="2" t="str"/>
      <c r="N603" s="2" t="str"/>
      <c r="O603" s="1" t="str"/>
      <c r="P603" s="1" t="str"/>
      <c r="Q603" s="1" t="str"/>
      <c r="R603" s="1">
        <f>IF(H603="Sí",1,0)</f>
        <v/>
      </c>
      <c r="S603" s="1">
        <f>IF(L603="En coordinación",1,0)</f>
        <v/>
      </c>
      <c r="T603" s="1">
        <f>IF(L603="Aceptada",1,0)</f>
        <v/>
      </c>
      <c r="U603" s="1">
        <f>IF(OR(L603="Realizada completa",L603="Realizada incompleta"),1,0)</f>
        <v/>
      </c>
      <c r="V603" s="1">
        <f>IF(L603="Sin respuesta",1,0)</f>
        <v/>
      </c>
    </row>
    <row r="604">
      <c r="A604" s="1" t="str"/>
      <c r="B604" s="1" t="str"/>
      <c r="C604" s="1" t="str"/>
      <c r="D604" s="1" t="str"/>
      <c r="E604" s="1" t="str"/>
      <c r="F604" s="1" t="str"/>
      <c r="G604" s="1" t="str"/>
      <c r="H604" s="1" t="str"/>
      <c r="I604" s="2" t="str"/>
      <c r="J604" s="2" t="str"/>
      <c r="K604" s="2" t="str"/>
      <c r="L604" s="1" t="str"/>
      <c r="M604" s="2" t="str"/>
      <c r="N604" s="2" t="str"/>
      <c r="O604" s="1" t="str"/>
      <c r="P604" s="1" t="str"/>
      <c r="Q604" s="1" t="str"/>
      <c r="R604" s="1">
        <f>IF(H604="Sí",1,0)</f>
        <v/>
      </c>
      <c r="S604" s="1">
        <f>IF(L604="En coordinación",1,0)</f>
        <v/>
      </c>
      <c r="T604" s="1">
        <f>IF(L604="Aceptada",1,0)</f>
        <v/>
      </c>
      <c r="U604" s="1">
        <f>IF(OR(L604="Realizada completa",L604="Realizada incompleta"),1,0)</f>
        <v/>
      </c>
      <c r="V604" s="1">
        <f>IF(L604="Sin respuesta",1,0)</f>
        <v/>
      </c>
    </row>
    <row r="605">
      <c r="A605" s="1" t="str"/>
      <c r="B605" s="1" t="str"/>
      <c r="C605" s="1" t="str"/>
      <c r="D605" s="1" t="str"/>
      <c r="E605" s="1" t="str"/>
      <c r="F605" s="1" t="str"/>
      <c r="G605" s="1" t="str"/>
      <c r="H605" s="1" t="str"/>
      <c r="I605" s="2" t="str"/>
      <c r="J605" s="2" t="str"/>
      <c r="K605" s="2" t="str"/>
      <c r="L605" s="1" t="str"/>
      <c r="M605" s="2" t="str"/>
      <c r="N605" s="2" t="str"/>
      <c r="O605" s="1" t="str"/>
      <c r="P605" s="1" t="str"/>
      <c r="Q605" s="1" t="str"/>
      <c r="R605" s="1">
        <f>IF(H605="Sí",1,0)</f>
        <v/>
      </c>
      <c r="S605" s="1">
        <f>IF(L605="En coordinación",1,0)</f>
        <v/>
      </c>
      <c r="T605" s="1">
        <f>IF(L605="Aceptada",1,0)</f>
        <v/>
      </c>
      <c r="U605" s="1">
        <f>IF(OR(L605="Realizada completa",L605="Realizada incompleta"),1,0)</f>
        <v/>
      </c>
      <c r="V605" s="1">
        <f>IF(L605="Sin respuesta",1,0)</f>
        <v/>
      </c>
    </row>
    <row r="606">
      <c r="A606" s="1" t="str"/>
      <c r="B606" s="1" t="str"/>
      <c r="C606" s="1" t="str"/>
      <c r="D606" s="1" t="str"/>
      <c r="E606" s="1" t="str"/>
      <c r="F606" s="1" t="str"/>
      <c r="G606" s="1" t="str"/>
      <c r="H606" s="1" t="str"/>
      <c r="I606" s="2" t="str"/>
      <c r="J606" s="2" t="str"/>
      <c r="K606" s="2" t="str"/>
      <c r="L606" s="1" t="str"/>
      <c r="M606" s="2" t="str"/>
      <c r="N606" s="2" t="str"/>
      <c r="O606" s="1" t="str"/>
      <c r="P606" s="1" t="str"/>
      <c r="Q606" s="1" t="str"/>
      <c r="R606" s="1">
        <f>IF(H606="Sí",1,0)</f>
        <v/>
      </c>
      <c r="S606" s="1">
        <f>IF(L606="En coordinación",1,0)</f>
        <v/>
      </c>
      <c r="T606" s="1">
        <f>IF(L606="Aceptada",1,0)</f>
        <v/>
      </c>
      <c r="U606" s="1">
        <f>IF(OR(L606="Realizada completa",L606="Realizada incompleta"),1,0)</f>
        <v/>
      </c>
      <c r="V606" s="1">
        <f>IF(L606="Sin respuesta",1,0)</f>
        <v/>
      </c>
    </row>
    <row r="607">
      <c r="A607" s="1" t="str"/>
      <c r="B607" s="1" t="str"/>
      <c r="C607" s="1" t="str"/>
      <c r="D607" s="1" t="str"/>
      <c r="E607" s="1" t="str"/>
      <c r="F607" s="1" t="str"/>
      <c r="G607" s="1" t="str"/>
      <c r="H607" s="1" t="str"/>
      <c r="I607" s="2" t="str"/>
      <c r="J607" s="2" t="str"/>
      <c r="K607" s="2" t="str"/>
      <c r="L607" s="1" t="str"/>
      <c r="M607" s="2" t="str"/>
      <c r="N607" s="2" t="str"/>
      <c r="O607" s="1" t="str"/>
      <c r="P607" s="1" t="str"/>
      <c r="Q607" s="1" t="str"/>
      <c r="R607" s="1">
        <f>IF(H607="Sí",1,0)</f>
        <v/>
      </c>
      <c r="S607" s="1">
        <f>IF(L607="En coordinación",1,0)</f>
        <v/>
      </c>
      <c r="T607" s="1">
        <f>IF(L607="Aceptada",1,0)</f>
        <v/>
      </c>
      <c r="U607" s="1">
        <f>IF(OR(L607="Realizada completa",L607="Realizada incompleta"),1,0)</f>
        <v/>
      </c>
      <c r="V607" s="1">
        <f>IF(L607="Sin respuesta",1,0)</f>
        <v/>
      </c>
    </row>
    <row r="608">
      <c r="A608" s="1" t="str"/>
      <c r="B608" s="1" t="str"/>
      <c r="C608" s="1" t="str"/>
      <c r="D608" s="1" t="str"/>
      <c r="E608" s="1" t="str"/>
      <c r="F608" s="1" t="str"/>
      <c r="G608" s="1" t="str"/>
      <c r="H608" s="1" t="str"/>
      <c r="I608" s="2" t="str"/>
      <c r="J608" s="2" t="str"/>
      <c r="K608" s="2" t="str"/>
      <c r="L608" s="1" t="str"/>
      <c r="M608" s="2" t="str"/>
      <c r="N608" s="2" t="str"/>
      <c r="O608" s="1" t="str"/>
      <c r="P608" s="1" t="str"/>
      <c r="Q608" s="1" t="str"/>
      <c r="R608" s="1">
        <f>IF(H608="Sí",1,0)</f>
        <v/>
      </c>
      <c r="S608" s="1">
        <f>IF(L608="En coordinación",1,0)</f>
        <v/>
      </c>
      <c r="T608" s="1">
        <f>IF(L608="Aceptada",1,0)</f>
        <v/>
      </c>
      <c r="U608" s="1">
        <f>IF(OR(L608="Realizada completa",L608="Realizada incompleta"),1,0)</f>
        <v/>
      </c>
      <c r="V608" s="1">
        <f>IF(L608="Sin respuesta",1,0)</f>
        <v/>
      </c>
    </row>
    <row r="609">
      <c r="A609" s="1" t="str"/>
      <c r="B609" s="1" t="str"/>
      <c r="C609" s="1" t="str"/>
      <c r="D609" s="1" t="str"/>
      <c r="E609" s="1" t="str"/>
      <c r="F609" s="1" t="str"/>
      <c r="G609" s="1" t="str"/>
      <c r="H609" s="1" t="str"/>
      <c r="I609" s="2" t="str"/>
      <c r="J609" s="2" t="str"/>
      <c r="K609" s="2" t="str"/>
      <c r="L609" s="1" t="str"/>
      <c r="M609" s="2" t="str"/>
      <c r="N609" s="2" t="str"/>
      <c r="O609" s="1" t="str"/>
      <c r="P609" s="1" t="str"/>
      <c r="Q609" s="1" t="str"/>
      <c r="R609" s="1">
        <f>IF(H609="Sí",1,0)</f>
        <v/>
      </c>
      <c r="S609" s="1">
        <f>IF(L609="En coordinación",1,0)</f>
        <v/>
      </c>
      <c r="T609" s="1">
        <f>IF(L609="Aceptada",1,0)</f>
        <v/>
      </c>
      <c r="U609" s="1">
        <f>IF(OR(L609="Realizada completa",L609="Realizada incompleta"),1,0)</f>
        <v/>
      </c>
      <c r="V609" s="1">
        <f>IF(L609="Sin respuesta",1,0)</f>
        <v/>
      </c>
    </row>
    <row r="610">
      <c r="A610" s="1" t="str"/>
      <c r="B610" s="1" t="str"/>
      <c r="C610" s="1" t="str"/>
      <c r="D610" s="1" t="str"/>
      <c r="E610" s="1" t="str"/>
      <c r="F610" s="1" t="str"/>
      <c r="G610" s="1" t="str"/>
      <c r="H610" s="1" t="str"/>
      <c r="I610" s="2" t="str"/>
      <c r="J610" s="2" t="str"/>
      <c r="K610" s="2" t="str"/>
      <c r="L610" s="1" t="str"/>
      <c r="M610" s="2" t="str"/>
      <c r="N610" s="2" t="str"/>
      <c r="O610" s="1" t="str"/>
      <c r="P610" s="1" t="str"/>
      <c r="Q610" s="1" t="str"/>
      <c r="R610" s="1">
        <f>IF(H610="Sí",1,0)</f>
        <v/>
      </c>
      <c r="S610" s="1">
        <f>IF(L610="En coordinación",1,0)</f>
        <v/>
      </c>
      <c r="T610" s="1">
        <f>IF(L610="Aceptada",1,0)</f>
        <v/>
      </c>
      <c r="U610" s="1">
        <f>IF(OR(L610="Realizada completa",L610="Realizada incompleta"),1,0)</f>
        <v/>
      </c>
      <c r="V610" s="1">
        <f>IF(L610="Sin respuesta",1,0)</f>
        <v/>
      </c>
    </row>
    <row r="611">
      <c r="A611" s="1" t="str"/>
      <c r="B611" s="1" t="str"/>
      <c r="C611" s="1" t="str"/>
      <c r="D611" s="1" t="str"/>
      <c r="E611" s="1" t="str"/>
      <c r="F611" s="1" t="str"/>
      <c r="G611" s="1" t="str"/>
      <c r="H611" s="1" t="str"/>
      <c r="I611" s="2" t="str"/>
      <c r="J611" s="2" t="str"/>
      <c r="K611" s="2" t="str"/>
      <c r="L611" s="1" t="str"/>
      <c r="M611" s="2" t="str"/>
      <c r="N611" s="2" t="str"/>
      <c r="O611" s="1" t="str"/>
      <c r="P611" s="1" t="str"/>
      <c r="Q611" s="1" t="str"/>
      <c r="R611" s="1">
        <f>IF(H611="Sí",1,0)</f>
        <v/>
      </c>
      <c r="S611" s="1">
        <f>IF(L611="En coordinación",1,0)</f>
        <v/>
      </c>
      <c r="T611" s="1">
        <f>IF(L611="Aceptada",1,0)</f>
        <v/>
      </c>
      <c r="U611" s="1">
        <f>IF(OR(L611="Realizada completa",L611="Realizada incompleta"),1,0)</f>
        <v/>
      </c>
      <c r="V611" s="1">
        <f>IF(L611="Sin respuesta",1,0)</f>
        <v/>
      </c>
    </row>
    <row r="612">
      <c r="A612" s="1" t="str"/>
      <c r="B612" s="1" t="str"/>
      <c r="C612" s="1" t="str"/>
      <c r="D612" s="1" t="str"/>
      <c r="E612" s="1" t="str"/>
      <c r="F612" s="1" t="str"/>
      <c r="G612" s="1" t="str"/>
      <c r="H612" s="1" t="str"/>
      <c r="I612" s="2" t="str"/>
      <c r="J612" s="2" t="str"/>
      <c r="K612" s="2" t="str"/>
      <c r="L612" s="1" t="str"/>
      <c r="M612" s="2" t="str"/>
      <c r="N612" s="2" t="str"/>
      <c r="O612" s="1" t="str"/>
      <c r="P612" s="1" t="str"/>
      <c r="Q612" s="1" t="str"/>
      <c r="R612" s="1">
        <f>IF(H612="Sí",1,0)</f>
        <v/>
      </c>
      <c r="S612" s="1">
        <f>IF(L612="En coordinación",1,0)</f>
        <v/>
      </c>
      <c r="T612" s="1">
        <f>IF(L612="Aceptada",1,0)</f>
        <v/>
      </c>
      <c r="U612" s="1">
        <f>IF(OR(L612="Realizada completa",L612="Realizada incompleta"),1,0)</f>
        <v/>
      </c>
      <c r="V612" s="1">
        <f>IF(L612="Sin respuesta",1,0)</f>
        <v/>
      </c>
    </row>
    <row r="613">
      <c r="A613" s="1" t="str"/>
      <c r="B613" s="1" t="str"/>
      <c r="C613" s="1" t="str"/>
      <c r="D613" s="1" t="str"/>
      <c r="E613" s="1" t="str"/>
      <c r="F613" s="1" t="str"/>
      <c r="G613" s="1" t="str"/>
      <c r="H613" s="1" t="str"/>
      <c r="I613" s="2" t="str"/>
      <c r="J613" s="2" t="str"/>
      <c r="K613" s="2" t="str"/>
      <c r="L613" s="1" t="str"/>
      <c r="M613" s="2" t="str"/>
      <c r="N613" s="2" t="str"/>
      <c r="O613" s="1" t="str"/>
      <c r="P613" s="1" t="str"/>
      <c r="Q613" s="1" t="str"/>
      <c r="R613" s="1">
        <f>IF(H613="Sí",1,0)</f>
        <v/>
      </c>
      <c r="S613" s="1">
        <f>IF(L613="En coordinación",1,0)</f>
        <v/>
      </c>
      <c r="T613" s="1">
        <f>IF(L613="Aceptada",1,0)</f>
        <v/>
      </c>
      <c r="U613" s="1">
        <f>IF(OR(L613="Realizada completa",L613="Realizada incompleta"),1,0)</f>
        <v/>
      </c>
      <c r="V613" s="1">
        <f>IF(L613="Sin respuesta",1,0)</f>
        <v/>
      </c>
    </row>
    <row r="614">
      <c r="A614" s="1" t="str"/>
      <c r="B614" s="1" t="str"/>
      <c r="C614" s="1" t="str"/>
      <c r="D614" s="1" t="str"/>
      <c r="E614" s="1" t="str"/>
      <c r="F614" s="1" t="str"/>
      <c r="G614" s="1" t="str"/>
      <c r="H614" s="1" t="str"/>
      <c r="I614" s="2" t="str"/>
      <c r="J614" s="2" t="str"/>
      <c r="K614" s="2" t="str"/>
      <c r="L614" s="1" t="str"/>
      <c r="M614" s="2" t="str"/>
      <c r="N614" s="2" t="str"/>
      <c r="O614" s="1" t="str"/>
      <c r="P614" s="1" t="str"/>
      <c r="Q614" s="1" t="str"/>
      <c r="R614" s="1">
        <f>IF(H614="Sí",1,0)</f>
        <v/>
      </c>
      <c r="S614" s="1">
        <f>IF(L614="En coordinación",1,0)</f>
        <v/>
      </c>
      <c r="T614" s="1">
        <f>IF(L614="Aceptada",1,0)</f>
        <v/>
      </c>
      <c r="U614" s="1">
        <f>IF(OR(L614="Realizada completa",L614="Realizada incompleta"),1,0)</f>
        <v/>
      </c>
      <c r="V614" s="1">
        <f>IF(L614="Sin respuesta",1,0)</f>
        <v/>
      </c>
    </row>
    <row r="615">
      <c r="A615" s="1" t="str"/>
      <c r="B615" s="1" t="str"/>
      <c r="C615" s="1" t="str"/>
      <c r="D615" s="1" t="str"/>
      <c r="E615" s="1" t="str"/>
      <c r="F615" s="1" t="str"/>
      <c r="G615" s="1" t="str"/>
      <c r="H615" s="1" t="str"/>
      <c r="I615" s="2" t="str"/>
      <c r="J615" s="2" t="str"/>
      <c r="K615" s="2" t="str"/>
      <c r="L615" s="1" t="str"/>
      <c r="M615" s="2" t="str"/>
      <c r="N615" s="2" t="str"/>
      <c r="O615" s="1" t="str"/>
      <c r="P615" s="1" t="str"/>
      <c r="Q615" s="1" t="str"/>
      <c r="R615" s="1">
        <f>IF(H615="Sí",1,0)</f>
        <v/>
      </c>
      <c r="S615" s="1">
        <f>IF(L615="En coordinación",1,0)</f>
        <v/>
      </c>
      <c r="T615" s="1">
        <f>IF(L615="Aceptada",1,0)</f>
        <v/>
      </c>
      <c r="U615" s="1">
        <f>IF(OR(L615="Realizada completa",L615="Realizada incompleta"),1,0)</f>
        <v/>
      </c>
      <c r="V615" s="1">
        <f>IF(L615="Sin respuesta",1,0)</f>
        <v/>
      </c>
    </row>
    <row r="616">
      <c r="A616" s="1" t="str"/>
      <c r="B616" s="1" t="str"/>
      <c r="C616" s="1" t="str"/>
      <c r="D616" s="1" t="str"/>
      <c r="E616" s="1" t="str"/>
      <c r="F616" s="1" t="str"/>
      <c r="G616" s="1" t="str"/>
      <c r="H616" s="1" t="str"/>
      <c r="I616" s="2" t="str"/>
      <c r="J616" s="2" t="str"/>
      <c r="K616" s="2" t="str"/>
      <c r="L616" s="1" t="str"/>
      <c r="M616" s="2" t="str"/>
      <c r="N616" s="2" t="str"/>
      <c r="O616" s="1" t="str"/>
      <c r="P616" s="1" t="str"/>
      <c r="Q616" s="1" t="str"/>
      <c r="R616" s="1">
        <f>IF(H616="Sí",1,0)</f>
        <v/>
      </c>
      <c r="S616" s="1">
        <f>IF(L616="En coordinación",1,0)</f>
        <v/>
      </c>
      <c r="T616" s="1">
        <f>IF(L616="Aceptada",1,0)</f>
        <v/>
      </c>
      <c r="U616" s="1">
        <f>IF(OR(L616="Realizada completa",L616="Realizada incompleta"),1,0)</f>
        <v/>
      </c>
      <c r="V616" s="1">
        <f>IF(L616="Sin respuesta",1,0)</f>
        <v/>
      </c>
    </row>
    <row r="617">
      <c r="A617" s="1" t="str"/>
      <c r="B617" s="1" t="str"/>
      <c r="C617" s="1" t="str"/>
      <c r="D617" s="1" t="str"/>
      <c r="E617" s="1" t="str"/>
      <c r="F617" s="1" t="str"/>
      <c r="G617" s="1" t="str"/>
      <c r="H617" s="1" t="str"/>
      <c r="I617" s="2" t="str"/>
      <c r="J617" s="2" t="str"/>
      <c r="K617" s="2" t="str"/>
      <c r="L617" s="1" t="str"/>
      <c r="M617" s="2" t="str"/>
      <c r="N617" s="2" t="str"/>
      <c r="O617" s="1" t="str"/>
      <c r="P617" s="1" t="str"/>
      <c r="Q617" s="1" t="str"/>
      <c r="R617" s="1">
        <f>IF(H617="Sí",1,0)</f>
        <v/>
      </c>
      <c r="S617" s="1">
        <f>IF(L617="En coordinación",1,0)</f>
        <v/>
      </c>
      <c r="T617" s="1">
        <f>IF(L617="Aceptada",1,0)</f>
        <v/>
      </c>
      <c r="U617" s="1">
        <f>IF(OR(L617="Realizada completa",L617="Realizada incompleta"),1,0)</f>
        <v/>
      </c>
      <c r="V617" s="1">
        <f>IF(L617="Sin respuesta",1,0)</f>
        <v/>
      </c>
    </row>
    <row r="618">
      <c r="A618" s="1" t="str"/>
      <c r="B618" s="1" t="str"/>
      <c r="C618" s="1" t="str"/>
      <c r="D618" s="1" t="str"/>
      <c r="E618" s="1" t="str"/>
      <c r="F618" s="1" t="str"/>
      <c r="G618" s="1" t="str"/>
      <c r="H618" s="1" t="str"/>
      <c r="I618" s="2" t="str"/>
      <c r="J618" s="2" t="str"/>
      <c r="K618" s="2" t="str"/>
      <c r="L618" s="1" t="str"/>
      <c r="M618" s="2" t="str"/>
      <c r="N618" s="2" t="str"/>
      <c r="O618" s="1" t="str"/>
      <c r="P618" s="1" t="str"/>
      <c r="Q618" s="1" t="str"/>
      <c r="R618" s="1">
        <f>IF(H618="Sí",1,0)</f>
        <v/>
      </c>
      <c r="S618" s="1">
        <f>IF(L618="En coordinación",1,0)</f>
        <v/>
      </c>
      <c r="T618" s="1">
        <f>IF(L618="Aceptada",1,0)</f>
        <v/>
      </c>
      <c r="U618" s="1">
        <f>IF(OR(L618="Realizada completa",L618="Realizada incompleta"),1,0)</f>
        <v/>
      </c>
      <c r="V618" s="1">
        <f>IF(L618="Sin respuesta",1,0)</f>
        <v/>
      </c>
    </row>
    <row r="619">
      <c r="A619" s="1" t="str"/>
      <c r="B619" s="1" t="str"/>
      <c r="C619" s="1" t="str"/>
      <c r="D619" s="1" t="str"/>
      <c r="E619" s="1" t="str"/>
      <c r="F619" s="1" t="str"/>
      <c r="G619" s="1" t="str"/>
      <c r="H619" s="1" t="str"/>
      <c r="I619" s="2" t="str"/>
      <c r="J619" s="2" t="str"/>
      <c r="K619" s="2" t="str"/>
      <c r="L619" s="1" t="str"/>
      <c r="M619" s="2" t="str"/>
      <c r="N619" s="2" t="str"/>
      <c r="O619" s="1" t="str"/>
      <c r="P619" s="1" t="str"/>
      <c r="Q619" s="1" t="str"/>
      <c r="R619" s="1">
        <f>IF(H619="Sí",1,0)</f>
        <v/>
      </c>
      <c r="S619" s="1">
        <f>IF(L619="En coordinación",1,0)</f>
        <v/>
      </c>
      <c r="T619" s="1">
        <f>IF(L619="Aceptada",1,0)</f>
        <v/>
      </c>
      <c r="U619" s="1">
        <f>IF(OR(L619="Realizada completa",L619="Realizada incompleta"),1,0)</f>
        <v/>
      </c>
      <c r="V619" s="1">
        <f>IF(L619="Sin respuesta",1,0)</f>
        <v/>
      </c>
    </row>
    <row r="620">
      <c r="A620" s="1" t="str"/>
      <c r="B620" s="1" t="str"/>
      <c r="C620" s="1" t="str"/>
      <c r="D620" s="1" t="str"/>
      <c r="E620" s="1" t="str"/>
      <c r="F620" s="1" t="str"/>
      <c r="G620" s="1" t="str"/>
      <c r="H620" s="1" t="str"/>
      <c r="I620" s="2" t="str"/>
      <c r="J620" s="2" t="str"/>
      <c r="K620" s="2" t="str"/>
      <c r="L620" s="1" t="str"/>
      <c r="M620" s="2" t="str"/>
      <c r="N620" s="2" t="str"/>
      <c r="O620" s="1" t="str"/>
      <c r="P620" s="1" t="str"/>
      <c r="Q620" s="1" t="str"/>
      <c r="R620" s="1">
        <f>IF(H620="Sí",1,0)</f>
        <v/>
      </c>
      <c r="S620" s="1">
        <f>IF(L620="En coordinación",1,0)</f>
        <v/>
      </c>
      <c r="T620" s="1">
        <f>IF(L620="Aceptada",1,0)</f>
        <v/>
      </c>
      <c r="U620" s="1">
        <f>IF(OR(L620="Realizada completa",L620="Realizada incompleta"),1,0)</f>
        <v/>
      </c>
      <c r="V620" s="1">
        <f>IF(L620="Sin respuesta",1,0)</f>
        <v/>
      </c>
    </row>
    <row r="621">
      <c r="A621" s="1" t="str"/>
      <c r="B621" s="1" t="str"/>
      <c r="C621" s="1" t="str"/>
      <c r="D621" s="1" t="str"/>
      <c r="E621" s="1" t="str"/>
      <c r="F621" s="1" t="str"/>
      <c r="G621" s="1" t="str"/>
      <c r="H621" s="1" t="str"/>
      <c r="I621" s="2" t="str"/>
      <c r="J621" s="2" t="str"/>
      <c r="K621" s="2" t="str"/>
      <c r="L621" s="1" t="str"/>
      <c r="M621" s="2" t="str"/>
      <c r="N621" s="2" t="str"/>
      <c r="O621" s="1" t="str"/>
      <c r="P621" s="1" t="str"/>
      <c r="Q621" s="1" t="str"/>
      <c r="R621" s="1">
        <f>IF(H621="Sí",1,0)</f>
        <v/>
      </c>
      <c r="S621" s="1">
        <f>IF(L621="En coordinación",1,0)</f>
        <v/>
      </c>
      <c r="T621" s="1">
        <f>IF(L621="Aceptada",1,0)</f>
        <v/>
      </c>
      <c r="U621" s="1">
        <f>IF(OR(L621="Realizada completa",L621="Realizada incompleta"),1,0)</f>
        <v/>
      </c>
      <c r="V621" s="1">
        <f>IF(L621="Sin respuesta",1,0)</f>
        <v/>
      </c>
    </row>
    <row r="622">
      <c r="A622" s="1" t="str"/>
      <c r="B622" s="1" t="str"/>
      <c r="C622" s="1" t="str"/>
      <c r="D622" s="1" t="str"/>
      <c r="E622" s="1" t="str"/>
      <c r="F622" s="1" t="str"/>
      <c r="G622" s="1" t="str"/>
      <c r="H622" s="1" t="str"/>
      <c r="I622" s="2" t="str"/>
      <c r="J622" s="2" t="str"/>
      <c r="K622" s="2" t="str"/>
      <c r="L622" s="1" t="str"/>
      <c r="M622" s="2" t="str"/>
      <c r="N622" s="2" t="str"/>
      <c r="O622" s="1" t="str"/>
      <c r="P622" s="1" t="str"/>
      <c r="Q622" s="1" t="str"/>
      <c r="R622" s="1">
        <f>IF(H622="Sí",1,0)</f>
        <v/>
      </c>
      <c r="S622" s="1">
        <f>IF(L622="En coordinación",1,0)</f>
        <v/>
      </c>
      <c r="T622" s="1">
        <f>IF(L622="Aceptada",1,0)</f>
        <v/>
      </c>
      <c r="U622" s="1">
        <f>IF(OR(L622="Realizada completa",L622="Realizada incompleta"),1,0)</f>
        <v/>
      </c>
      <c r="V622" s="1">
        <f>IF(L622="Sin respuesta",1,0)</f>
        <v/>
      </c>
    </row>
    <row r="623">
      <c r="A623" s="1" t="str"/>
      <c r="B623" s="1" t="str"/>
      <c r="C623" s="1" t="str"/>
      <c r="D623" s="1" t="str"/>
      <c r="E623" s="1" t="str"/>
      <c r="F623" s="1" t="str"/>
      <c r="G623" s="1" t="str"/>
      <c r="H623" s="1" t="str"/>
      <c r="I623" s="2" t="str"/>
      <c r="J623" s="2" t="str"/>
      <c r="K623" s="2" t="str"/>
      <c r="L623" s="1" t="str"/>
      <c r="M623" s="2" t="str"/>
      <c r="N623" s="2" t="str"/>
      <c r="O623" s="1" t="str"/>
      <c r="P623" s="1" t="str"/>
      <c r="Q623" s="1" t="str"/>
      <c r="R623" s="1">
        <f>IF(H623="Sí",1,0)</f>
        <v/>
      </c>
      <c r="S623" s="1">
        <f>IF(L623="En coordinación",1,0)</f>
        <v/>
      </c>
      <c r="T623" s="1">
        <f>IF(L623="Aceptada",1,0)</f>
        <v/>
      </c>
      <c r="U623" s="1">
        <f>IF(OR(L623="Realizada completa",L623="Realizada incompleta"),1,0)</f>
        <v/>
      </c>
      <c r="V623" s="1">
        <f>IF(L623="Sin respuesta",1,0)</f>
        <v/>
      </c>
    </row>
    <row r="624">
      <c r="A624" s="1" t="str"/>
      <c r="B624" s="1" t="str"/>
      <c r="C624" s="1" t="str"/>
      <c r="D624" s="1" t="str"/>
      <c r="E624" s="1" t="str"/>
      <c r="F624" s="1" t="str"/>
      <c r="G624" s="1" t="str"/>
      <c r="H624" s="1" t="str"/>
      <c r="I624" s="2" t="str"/>
      <c r="J624" s="2" t="str"/>
      <c r="K624" s="2" t="str"/>
      <c r="L624" s="1" t="str"/>
      <c r="M624" s="2" t="str"/>
      <c r="N624" s="2" t="str"/>
      <c r="O624" s="1" t="str"/>
      <c r="P624" s="1" t="str"/>
      <c r="Q624" s="1" t="str"/>
      <c r="R624" s="1">
        <f>IF(H624="Sí",1,0)</f>
        <v/>
      </c>
      <c r="S624" s="1">
        <f>IF(L624="En coordinación",1,0)</f>
        <v/>
      </c>
      <c r="T624" s="1">
        <f>IF(L624="Aceptada",1,0)</f>
        <v/>
      </c>
      <c r="U624" s="1">
        <f>IF(OR(L624="Realizada completa",L624="Realizada incompleta"),1,0)</f>
        <v/>
      </c>
      <c r="V624" s="1">
        <f>IF(L624="Sin respuesta",1,0)</f>
        <v/>
      </c>
    </row>
    <row r="625">
      <c r="A625" s="1" t="str"/>
      <c r="B625" s="1" t="str"/>
      <c r="C625" s="1" t="str"/>
      <c r="D625" s="1" t="str"/>
      <c r="E625" s="1" t="str"/>
      <c r="F625" s="1" t="str"/>
      <c r="G625" s="1" t="str"/>
      <c r="H625" s="1" t="str"/>
      <c r="I625" s="2" t="str"/>
      <c r="J625" s="2" t="str"/>
      <c r="K625" s="2" t="str"/>
      <c r="L625" s="1" t="str"/>
      <c r="M625" s="2" t="str"/>
      <c r="N625" s="2" t="str"/>
      <c r="O625" s="1" t="str"/>
      <c r="P625" s="1" t="str"/>
      <c r="Q625" s="1" t="str"/>
      <c r="R625" s="1">
        <f>IF(H625="Sí",1,0)</f>
        <v/>
      </c>
      <c r="S625" s="1">
        <f>IF(L625="En coordinación",1,0)</f>
        <v/>
      </c>
      <c r="T625" s="1">
        <f>IF(L625="Aceptada",1,0)</f>
        <v/>
      </c>
      <c r="U625" s="1">
        <f>IF(OR(L625="Realizada completa",L625="Realizada incompleta"),1,0)</f>
        <v/>
      </c>
      <c r="V625" s="1">
        <f>IF(L625="Sin respuesta",1,0)</f>
        <v/>
      </c>
    </row>
    <row r="626">
      <c r="A626" s="1" t="str"/>
      <c r="B626" s="1" t="str"/>
      <c r="C626" s="1" t="str"/>
      <c r="D626" s="1" t="str"/>
      <c r="E626" s="1" t="str"/>
      <c r="F626" s="1" t="str"/>
      <c r="G626" s="1" t="str"/>
      <c r="H626" s="1" t="str"/>
      <c r="I626" s="2" t="str"/>
      <c r="J626" s="2" t="str"/>
      <c r="K626" s="2" t="str"/>
      <c r="L626" s="1" t="str"/>
      <c r="M626" s="2" t="str"/>
      <c r="N626" s="2" t="str"/>
      <c r="O626" s="1" t="str"/>
      <c r="P626" s="1" t="str"/>
      <c r="Q626" s="1" t="str"/>
      <c r="R626" s="1">
        <f>IF(H626="Sí",1,0)</f>
        <v/>
      </c>
      <c r="S626" s="1">
        <f>IF(L626="En coordinación",1,0)</f>
        <v/>
      </c>
      <c r="T626" s="1">
        <f>IF(L626="Aceptada",1,0)</f>
        <v/>
      </c>
      <c r="U626" s="1">
        <f>IF(OR(L626="Realizada completa",L626="Realizada incompleta"),1,0)</f>
        <v/>
      </c>
      <c r="V626" s="1">
        <f>IF(L626="Sin respuesta",1,0)</f>
        <v/>
      </c>
    </row>
    <row r="627">
      <c r="A627" s="1" t="str"/>
      <c r="B627" s="1" t="str"/>
      <c r="C627" s="1" t="str"/>
      <c r="D627" s="1" t="str"/>
      <c r="E627" s="1" t="str"/>
      <c r="F627" s="1" t="str"/>
      <c r="G627" s="1" t="str"/>
      <c r="H627" s="1" t="str"/>
      <c r="I627" s="2" t="str"/>
      <c r="J627" s="2" t="str"/>
      <c r="K627" s="2" t="str"/>
      <c r="L627" s="1" t="str"/>
      <c r="M627" s="2" t="str"/>
      <c r="N627" s="2" t="str"/>
      <c r="O627" s="1" t="str"/>
      <c r="P627" s="1" t="str"/>
      <c r="Q627" s="1" t="str"/>
      <c r="R627" s="1">
        <f>IF(H627="Sí",1,0)</f>
        <v/>
      </c>
      <c r="S627" s="1">
        <f>IF(L627="En coordinación",1,0)</f>
        <v/>
      </c>
      <c r="T627" s="1">
        <f>IF(L627="Aceptada",1,0)</f>
        <v/>
      </c>
      <c r="U627" s="1">
        <f>IF(OR(L627="Realizada completa",L627="Realizada incompleta"),1,0)</f>
        <v/>
      </c>
      <c r="V627" s="1">
        <f>IF(L627="Sin respuesta",1,0)</f>
        <v/>
      </c>
    </row>
    <row r="628">
      <c r="A628" s="1" t="str"/>
      <c r="B628" s="1" t="str"/>
      <c r="C628" s="1" t="str"/>
      <c r="D628" s="1" t="str"/>
      <c r="E628" s="1" t="str"/>
      <c r="F628" s="1" t="str"/>
      <c r="G628" s="1" t="str"/>
      <c r="H628" s="1" t="str"/>
      <c r="I628" s="2" t="str"/>
      <c r="J628" s="2" t="str"/>
      <c r="K628" s="2" t="str"/>
      <c r="L628" s="1" t="str"/>
      <c r="M628" s="2" t="str"/>
      <c r="N628" s="2" t="str"/>
      <c r="O628" s="1" t="str"/>
      <c r="P628" s="1" t="str"/>
      <c r="Q628" s="1" t="str"/>
      <c r="R628" s="1">
        <f>IF(H628="Sí",1,0)</f>
        <v/>
      </c>
      <c r="S628" s="1">
        <f>IF(L628="En coordinación",1,0)</f>
        <v/>
      </c>
      <c r="T628" s="1">
        <f>IF(L628="Aceptada",1,0)</f>
        <v/>
      </c>
      <c r="U628" s="1">
        <f>IF(OR(L628="Realizada completa",L628="Realizada incompleta"),1,0)</f>
        <v/>
      </c>
      <c r="V628" s="1">
        <f>IF(L628="Sin respuesta",1,0)</f>
        <v/>
      </c>
    </row>
    <row r="629">
      <c r="A629" s="1" t="str"/>
      <c r="B629" s="1" t="str"/>
      <c r="C629" s="1" t="str"/>
      <c r="D629" s="1" t="str"/>
      <c r="E629" s="1" t="str"/>
      <c r="F629" s="1" t="str"/>
      <c r="G629" s="1" t="str"/>
      <c r="H629" s="1" t="str"/>
      <c r="I629" s="2" t="str"/>
      <c r="J629" s="2" t="str"/>
      <c r="K629" s="2" t="str"/>
      <c r="L629" s="1" t="str"/>
      <c r="M629" s="2" t="str"/>
      <c r="N629" s="2" t="str"/>
      <c r="O629" s="1" t="str"/>
      <c r="P629" s="1" t="str"/>
      <c r="Q629" s="1" t="str"/>
      <c r="R629" s="1">
        <f>IF(H629="Sí",1,0)</f>
        <v/>
      </c>
      <c r="S629" s="1">
        <f>IF(L629="En coordinación",1,0)</f>
        <v/>
      </c>
      <c r="T629" s="1">
        <f>IF(L629="Aceptada",1,0)</f>
        <v/>
      </c>
      <c r="U629" s="1">
        <f>IF(OR(L629="Realizada completa",L629="Realizada incompleta"),1,0)</f>
        <v/>
      </c>
      <c r="V629" s="1">
        <f>IF(L629="Sin respuesta",1,0)</f>
        <v/>
      </c>
    </row>
    <row r="630">
      <c r="A630" s="1" t="str"/>
      <c r="B630" s="1" t="str"/>
      <c r="C630" s="1" t="str"/>
      <c r="D630" s="1" t="str"/>
      <c r="E630" s="1" t="str"/>
      <c r="F630" s="1" t="str"/>
      <c r="G630" s="1" t="str"/>
      <c r="H630" s="1" t="str"/>
      <c r="I630" s="2" t="str"/>
      <c r="J630" s="2" t="str"/>
      <c r="K630" s="2" t="str"/>
      <c r="L630" s="1" t="str"/>
      <c r="M630" s="2" t="str"/>
      <c r="N630" s="2" t="str"/>
      <c r="O630" s="1" t="str"/>
      <c r="P630" s="1" t="str"/>
      <c r="Q630" s="1" t="str"/>
      <c r="R630" s="1">
        <f>IF(H630="Sí",1,0)</f>
        <v/>
      </c>
      <c r="S630" s="1">
        <f>IF(L630="En coordinación",1,0)</f>
        <v/>
      </c>
      <c r="T630" s="1">
        <f>IF(L630="Aceptada",1,0)</f>
        <v/>
      </c>
      <c r="U630" s="1">
        <f>IF(OR(L630="Realizada completa",L630="Realizada incompleta"),1,0)</f>
        <v/>
      </c>
      <c r="V630" s="1">
        <f>IF(L630="Sin respuesta",1,0)</f>
        <v/>
      </c>
    </row>
    <row r="631">
      <c r="A631" s="1" t="str"/>
      <c r="B631" s="1" t="str"/>
      <c r="C631" s="1" t="str"/>
      <c r="D631" s="1" t="str"/>
      <c r="E631" s="1" t="str"/>
      <c r="F631" s="1" t="str"/>
      <c r="G631" s="1" t="str"/>
      <c r="H631" s="1" t="str"/>
      <c r="I631" s="2" t="str"/>
      <c r="J631" s="2" t="str"/>
      <c r="K631" s="2" t="str"/>
      <c r="L631" s="1" t="str"/>
      <c r="M631" s="2" t="str"/>
      <c r="N631" s="2" t="str"/>
      <c r="O631" s="1" t="str"/>
      <c r="P631" s="1" t="str"/>
      <c r="Q631" s="1" t="str"/>
      <c r="R631" s="1">
        <f>IF(H631="Sí",1,0)</f>
        <v/>
      </c>
      <c r="S631" s="1">
        <f>IF(L631="En coordinación",1,0)</f>
        <v/>
      </c>
      <c r="T631" s="1">
        <f>IF(L631="Aceptada",1,0)</f>
        <v/>
      </c>
      <c r="U631" s="1">
        <f>IF(OR(L631="Realizada completa",L631="Realizada incompleta"),1,0)</f>
        <v/>
      </c>
      <c r="V631" s="1">
        <f>IF(L631="Sin respuesta",1,0)</f>
        <v/>
      </c>
    </row>
    <row r="632">
      <c r="A632" s="1" t="str"/>
      <c r="B632" s="1" t="str"/>
      <c r="C632" s="1" t="str"/>
      <c r="D632" s="1" t="str"/>
      <c r="E632" s="1" t="str"/>
      <c r="F632" s="1" t="str"/>
      <c r="G632" s="1" t="str"/>
      <c r="H632" s="1" t="str"/>
      <c r="I632" s="2" t="str"/>
      <c r="J632" s="2" t="str"/>
      <c r="K632" s="2" t="str"/>
      <c r="L632" s="1" t="str"/>
      <c r="M632" s="2" t="str"/>
      <c r="N632" s="2" t="str"/>
      <c r="O632" s="1" t="str"/>
      <c r="P632" s="1" t="str"/>
      <c r="Q632" s="1" t="str"/>
      <c r="R632" s="1">
        <f>IF(H632="Sí",1,0)</f>
        <v/>
      </c>
      <c r="S632" s="1">
        <f>IF(L632="En coordinación",1,0)</f>
        <v/>
      </c>
      <c r="T632" s="1">
        <f>IF(L632="Aceptada",1,0)</f>
        <v/>
      </c>
      <c r="U632" s="1">
        <f>IF(OR(L632="Realizada completa",L632="Realizada incompleta"),1,0)</f>
        <v/>
      </c>
      <c r="V632" s="1">
        <f>IF(L632="Sin respuesta",1,0)</f>
        <v/>
      </c>
    </row>
    <row r="633">
      <c r="A633" s="1" t="str"/>
      <c r="B633" s="1" t="str"/>
      <c r="C633" s="1" t="str"/>
      <c r="D633" s="1" t="str"/>
      <c r="E633" s="1" t="str"/>
      <c r="F633" s="1" t="str"/>
      <c r="G633" s="1" t="str"/>
      <c r="H633" s="1" t="str"/>
      <c r="I633" s="2" t="str"/>
      <c r="J633" s="2" t="str"/>
      <c r="K633" s="2" t="str"/>
      <c r="L633" s="1" t="str"/>
      <c r="M633" s="2" t="str"/>
      <c r="N633" s="2" t="str"/>
      <c r="O633" s="1" t="str"/>
      <c r="P633" s="1" t="str"/>
      <c r="Q633" s="1" t="str"/>
      <c r="R633" s="1">
        <f>IF(H633="Sí",1,0)</f>
        <v/>
      </c>
      <c r="S633" s="1">
        <f>IF(L633="En coordinación",1,0)</f>
        <v/>
      </c>
      <c r="T633" s="1">
        <f>IF(L633="Aceptada",1,0)</f>
        <v/>
      </c>
      <c r="U633" s="1">
        <f>IF(OR(L633="Realizada completa",L633="Realizada incompleta"),1,0)</f>
        <v/>
      </c>
      <c r="V633" s="1">
        <f>IF(L633="Sin respuesta",1,0)</f>
        <v/>
      </c>
    </row>
    <row r="634">
      <c r="A634" s="1" t="str"/>
      <c r="B634" s="1" t="str"/>
      <c r="C634" s="1" t="str"/>
      <c r="D634" s="1" t="str"/>
      <c r="E634" s="1" t="str"/>
      <c r="F634" s="1" t="str"/>
      <c r="G634" s="1" t="str"/>
      <c r="H634" s="1" t="str"/>
      <c r="I634" s="2" t="str"/>
      <c r="J634" s="2" t="str"/>
      <c r="K634" s="2" t="str"/>
      <c r="L634" s="1" t="str"/>
      <c r="M634" s="2" t="str"/>
      <c r="N634" s="2" t="str"/>
      <c r="O634" s="1" t="str"/>
      <c r="P634" s="1" t="str"/>
      <c r="Q634" s="1" t="str"/>
      <c r="R634" s="1">
        <f>IF(H634="Sí",1,0)</f>
        <v/>
      </c>
      <c r="S634" s="1">
        <f>IF(L634="En coordinación",1,0)</f>
        <v/>
      </c>
      <c r="T634" s="1">
        <f>IF(L634="Aceptada",1,0)</f>
        <v/>
      </c>
      <c r="U634" s="1">
        <f>IF(OR(L634="Realizada completa",L634="Realizada incompleta"),1,0)</f>
        <v/>
      </c>
      <c r="V634" s="1">
        <f>IF(L634="Sin respuesta",1,0)</f>
        <v/>
      </c>
    </row>
    <row r="635">
      <c r="A635" s="1" t="str"/>
      <c r="B635" s="1" t="str"/>
      <c r="C635" s="1" t="str"/>
      <c r="D635" s="1" t="str"/>
      <c r="E635" s="1" t="str"/>
      <c r="F635" s="1" t="str"/>
      <c r="G635" s="1" t="str"/>
      <c r="H635" s="1" t="str"/>
      <c r="I635" s="2" t="str"/>
      <c r="J635" s="2" t="str"/>
      <c r="K635" s="2" t="str"/>
      <c r="L635" s="1" t="str"/>
      <c r="M635" s="2" t="str"/>
      <c r="N635" s="2" t="str"/>
      <c r="O635" s="1" t="str"/>
      <c r="P635" s="1" t="str"/>
      <c r="Q635" s="1" t="str"/>
      <c r="R635" s="1">
        <f>IF(H635="Sí",1,0)</f>
        <v/>
      </c>
      <c r="S635" s="1">
        <f>IF(L635="En coordinación",1,0)</f>
        <v/>
      </c>
      <c r="T635" s="1">
        <f>IF(L635="Aceptada",1,0)</f>
        <v/>
      </c>
      <c r="U635" s="1">
        <f>IF(OR(L635="Realizada completa",L635="Realizada incompleta"),1,0)</f>
        <v/>
      </c>
      <c r="V635" s="1">
        <f>IF(L635="Sin respuesta",1,0)</f>
        <v/>
      </c>
    </row>
    <row r="636">
      <c r="A636" s="1" t="str"/>
      <c r="B636" s="1" t="str"/>
      <c r="C636" s="1" t="str"/>
      <c r="D636" s="1" t="str"/>
      <c r="E636" s="1" t="str"/>
      <c r="F636" s="1" t="str"/>
      <c r="G636" s="1" t="str"/>
      <c r="H636" s="1" t="str"/>
      <c r="I636" s="2" t="str"/>
      <c r="J636" s="2" t="str"/>
      <c r="K636" s="2" t="str"/>
      <c r="L636" s="1" t="str"/>
      <c r="M636" s="2" t="str"/>
      <c r="N636" s="2" t="str"/>
      <c r="O636" s="1" t="str"/>
      <c r="P636" s="1" t="str"/>
      <c r="Q636" s="1" t="str"/>
      <c r="R636" s="1">
        <f>IF(H636="Sí",1,0)</f>
        <v/>
      </c>
      <c r="S636" s="1">
        <f>IF(L636="En coordinación",1,0)</f>
        <v/>
      </c>
      <c r="T636" s="1">
        <f>IF(L636="Aceptada",1,0)</f>
        <v/>
      </c>
      <c r="U636" s="1">
        <f>IF(OR(L636="Realizada completa",L636="Realizada incompleta"),1,0)</f>
        <v/>
      </c>
      <c r="V636" s="1">
        <f>IF(L636="Sin respuesta",1,0)</f>
        <v/>
      </c>
    </row>
    <row r="637">
      <c r="A637" s="1" t="str"/>
      <c r="B637" s="1" t="str"/>
      <c r="C637" s="1" t="str"/>
      <c r="D637" s="1" t="str"/>
      <c r="E637" s="1" t="str"/>
      <c r="F637" s="1" t="str"/>
      <c r="G637" s="1" t="str"/>
      <c r="H637" s="1" t="str"/>
      <c r="I637" s="2" t="str"/>
      <c r="J637" s="2" t="str"/>
      <c r="K637" s="2" t="str"/>
      <c r="L637" s="1" t="str"/>
      <c r="M637" s="2" t="str"/>
      <c r="N637" s="2" t="str"/>
      <c r="O637" s="1" t="str"/>
      <c r="P637" s="1" t="str"/>
      <c r="Q637" s="1" t="str"/>
      <c r="R637" s="1">
        <f>IF(H637="Sí",1,0)</f>
        <v/>
      </c>
      <c r="S637" s="1">
        <f>IF(L637="En coordinación",1,0)</f>
        <v/>
      </c>
      <c r="T637" s="1">
        <f>IF(L637="Aceptada",1,0)</f>
        <v/>
      </c>
      <c r="U637" s="1">
        <f>IF(OR(L637="Realizada completa",L637="Realizada incompleta"),1,0)</f>
        <v/>
      </c>
      <c r="V637" s="1">
        <f>IF(L637="Sin respuesta",1,0)</f>
        <v/>
      </c>
    </row>
    <row r="638">
      <c r="A638" s="1" t="str"/>
      <c r="B638" s="1" t="str"/>
      <c r="C638" s="1" t="str"/>
      <c r="D638" s="1" t="str"/>
      <c r="E638" s="1" t="str"/>
      <c r="F638" s="1" t="str"/>
      <c r="G638" s="1" t="str"/>
      <c r="H638" s="1" t="str"/>
      <c r="I638" s="2" t="str"/>
      <c r="J638" s="2" t="str"/>
      <c r="K638" s="2" t="str"/>
      <c r="L638" s="1" t="str"/>
      <c r="M638" s="2" t="str"/>
      <c r="N638" s="2" t="str"/>
      <c r="O638" s="1" t="str"/>
      <c r="P638" s="1" t="str"/>
      <c r="Q638" s="1" t="str"/>
      <c r="R638" s="1">
        <f>IF(H638="Sí",1,0)</f>
        <v/>
      </c>
      <c r="S638" s="1">
        <f>IF(L638="En coordinación",1,0)</f>
        <v/>
      </c>
      <c r="T638" s="1">
        <f>IF(L638="Aceptada",1,0)</f>
        <v/>
      </c>
      <c r="U638" s="1">
        <f>IF(OR(L638="Realizada completa",L638="Realizada incompleta"),1,0)</f>
        <v/>
      </c>
      <c r="V638" s="1">
        <f>IF(L638="Sin respuesta",1,0)</f>
        <v/>
      </c>
    </row>
    <row r="639">
      <c r="A639" s="1" t="str"/>
      <c r="B639" s="1" t="str"/>
      <c r="C639" s="1" t="str"/>
      <c r="D639" s="1" t="str"/>
      <c r="E639" s="1" t="str"/>
      <c r="F639" s="1" t="str"/>
      <c r="G639" s="1" t="str"/>
      <c r="H639" s="1" t="str"/>
      <c r="I639" s="2" t="str"/>
      <c r="J639" s="2" t="str"/>
      <c r="K639" s="2" t="str"/>
      <c r="L639" s="1" t="str"/>
      <c r="M639" s="2" t="str"/>
      <c r="N639" s="2" t="str"/>
      <c r="O639" s="1" t="str"/>
      <c r="P639" s="1" t="str"/>
      <c r="Q639" s="1" t="str"/>
      <c r="R639" s="1">
        <f>IF(H639="Sí",1,0)</f>
        <v/>
      </c>
      <c r="S639" s="1">
        <f>IF(L639="En coordinación",1,0)</f>
        <v/>
      </c>
      <c r="T639" s="1">
        <f>IF(L639="Aceptada",1,0)</f>
        <v/>
      </c>
      <c r="U639" s="1">
        <f>IF(OR(L639="Realizada completa",L639="Realizada incompleta"),1,0)</f>
        <v/>
      </c>
      <c r="V639" s="1">
        <f>IF(L639="Sin respuesta",1,0)</f>
        <v/>
      </c>
    </row>
    <row r="640">
      <c r="A640" s="1" t="str"/>
      <c r="B640" s="1" t="str"/>
      <c r="C640" s="1" t="str"/>
      <c r="D640" s="1" t="str"/>
      <c r="E640" s="1" t="str"/>
      <c r="F640" s="1" t="str"/>
      <c r="G640" s="1" t="str"/>
      <c r="H640" s="1" t="str"/>
      <c r="I640" s="2" t="str"/>
      <c r="J640" s="2" t="str"/>
      <c r="K640" s="2" t="str"/>
      <c r="L640" s="1" t="str"/>
      <c r="M640" s="2" t="str"/>
      <c r="N640" s="2" t="str"/>
      <c r="O640" s="1" t="str"/>
      <c r="P640" s="1" t="str"/>
      <c r="Q640" s="1" t="str"/>
      <c r="R640" s="1">
        <f>IF(H640="Sí",1,0)</f>
        <v/>
      </c>
      <c r="S640" s="1">
        <f>IF(L640="En coordinación",1,0)</f>
        <v/>
      </c>
      <c r="T640" s="1">
        <f>IF(L640="Aceptada",1,0)</f>
        <v/>
      </c>
      <c r="U640" s="1">
        <f>IF(OR(L640="Realizada completa",L640="Realizada incompleta"),1,0)</f>
        <v/>
      </c>
      <c r="V640" s="1">
        <f>IF(L640="Sin respuesta",1,0)</f>
        <v/>
      </c>
    </row>
    <row r="641">
      <c r="A641" s="1" t="str"/>
      <c r="B641" s="1" t="str"/>
      <c r="C641" s="1" t="str"/>
      <c r="D641" s="1" t="str"/>
      <c r="E641" s="1" t="str"/>
      <c r="F641" s="1" t="str"/>
      <c r="G641" s="1" t="str"/>
      <c r="H641" s="1" t="str"/>
      <c r="I641" s="2" t="str"/>
      <c r="J641" s="2" t="str"/>
      <c r="K641" s="2" t="str"/>
      <c r="L641" s="1" t="str"/>
      <c r="M641" s="2" t="str"/>
      <c r="N641" s="2" t="str"/>
      <c r="O641" s="1" t="str"/>
      <c r="P641" s="1" t="str"/>
      <c r="Q641" s="1" t="str"/>
      <c r="R641" s="1">
        <f>IF(H641="Sí",1,0)</f>
        <v/>
      </c>
      <c r="S641" s="1">
        <f>IF(L641="En coordinación",1,0)</f>
        <v/>
      </c>
      <c r="T641" s="1">
        <f>IF(L641="Aceptada",1,0)</f>
        <v/>
      </c>
      <c r="U641" s="1">
        <f>IF(OR(L641="Realizada completa",L641="Realizada incompleta"),1,0)</f>
        <v/>
      </c>
      <c r="V641" s="1">
        <f>IF(L641="Sin respuesta",1,0)</f>
        <v/>
      </c>
    </row>
    <row r="642">
      <c r="A642" s="1" t="str"/>
      <c r="B642" s="1" t="str"/>
      <c r="C642" s="1" t="str"/>
      <c r="D642" s="1" t="str"/>
      <c r="E642" s="1" t="str"/>
      <c r="F642" s="1" t="str"/>
      <c r="G642" s="1" t="str"/>
      <c r="H642" s="1" t="str"/>
      <c r="I642" s="2" t="str"/>
      <c r="J642" s="2" t="str"/>
      <c r="K642" s="2" t="str"/>
      <c r="L642" s="1" t="str"/>
      <c r="M642" s="2" t="str"/>
      <c r="N642" s="2" t="str"/>
      <c r="O642" s="1" t="str"/>
      <c r="P642" s="1" t="str"/>
      <c r="Q642" s="1" t="str"/>
      <c r="R642" s="1">
        <f>IF(H642="Sí",1,0)</f>
        <v/>
      </c>
      <c r="S642" s="1">
        <f>IF(L642="En coordinación",1,0)</f>
        <v/>
      </c>
      <c r="T642" s="1">
        <f>IF(L642="Aceptada",1,0)</f>
        <v/>
      </c>
      <c r="U642" s="1">
        <f>IF(OR(L642="Realizada completa",L642="Realizada incompleta"),1,0)</f>
        <v/>
      </c>
      <c r="V642" s="1">
        <f>IF(L642="Sin respuesta",1,0)</f>
        <v/>
      </c>
    </row>
    <row r="643">
      <c r="A643" s="1" t="str"/>
      <c r="B643" s="1" t="str"/>
      <c r="C643" s="1" t="str"/>
      <c r="D643" s="1" t="str"/>
      <c r="E643" s="1" t="str"/>
      <c r="F643" s="1" t="str"/>
      <c r="G643" s="1" t="str"/>
      <c r="H643" s="1" t="str"/>
      <c r="I643" s="2" t="str"/>
      <c r="J643" s="2" t="str"/>
      <c r="K643" s="2" t="str"/>
      <c r="L643" s="1" t="str"/>
      <c r="M643" s="2" t="str"/>
      <c r="N643" s="2" t="str"/>
      <c r="O643" s="1" t="str"/>
      <c r="P643" s="1" t="str"/>
      <c r="Q643" s="1" t="str"/>
      <c r="R643" s="1">
        <f>IF(H643="Sí",1,0)</f>
        <v/>
      </c>
      <c r="S643" s="1">
        <f>IF(L643="En coordinación",1,0)</f>
        <v/>
      </c>
      <c r="T643" s="1">
        <f>IF(L643="Aceptada",1,0)</f>
        <v/>
      </c>
      <c r="U643" s="1">
        <f>IF(OR(L643="Realizada completa",L643="Realizada incompleta"),1,0)</f>
        <v/>
      </c>
      <c r="V643" s="1">
        <f>IF(L643="Sin respuesta",1,0)</f>
        <v/>
      </c>
    </row>
    <row r="644">
      <c r="A644" s="1" t="str"/>
      <c r="B644" s="1" t="str"/>
      <c r="C644" s="1" t="str"/>
      <c r="D644" s="1" t="str"/>
      <c r="E644" s="1" t="str"/>
      <c r="F644" s="1" t="str"/>
      <c r="G644" s="1" t="str"/>
      <c r="H644" s="1" t="str"/>
      <c r="I644" s="2" t="str"/>
      <c r="J644" s="2" t="str"/>
      <c r="K644" s="2" t="str"/>
      <c r="L644" s="1" t="str"/>
      <c r="M644" s="2" t="str"/>
      <c r="N644" s="2" t="str"/>
      <c r="O644" s="1" t="str"/>
      <c r="P644" s="1" t="str"/>
      <c r="Q644" s="1" t="str"/>
      <c r="R644" s="1">
        <f>IF(H644="Sí",1,0)</f>
        <v/>
      </c>
      <c r="S644" s="1">
        <f>IF(L644="En coordinación",1,0)</f>
        <v/>
      </c>
      <c r="T644" s="1">
        <f>IF(L644="Aceptada",1,0)</f>
        <v/>
      </c>
      <c r="U644" s="1">
        <f>IF(OR(L644="Realizada completa",L644="Realizada incompleta"),1,0)</f>
        <v/>
      </c>
      <c r="V644" s="1">
        <f>IF(L644="Sin respuesta",1,0)</f>
        <v/>
      </c>
    </row>
    <row r="645">
      <c r="A645" s="1" t="str"/>
      <c r="B645" s="1" t="str"/>
      <c r="C645" s="1" t="str"/>
      <c r="D645" s="1" t="str"/>
      <c r="E645" s="1" t="str"/>
      <c r="F645" s="1" t="str"/>
      <c r="G645" s="1" t="str"/>
      <c r="H645" s="1" t="str"/>
      <c r="I645" s="2" t="str"/>
      <c r="J645" s="2" t="str"/>
      <c r="K645" s="2" t="str"/>
      <c r="L645" s="1" t="str"/>
      <c r="M645" s="2" t="str"/>
      <c r="N645" s="2" t="str"/>
      <c r="O645" s="1" t="str"/>
      <c r="P645" s="1" t="str"/>
      <c r="Q645" s="1" t="str"/>
      <c r="R645" s="1">
        <f>IF(H645="Sí",1,0)</f>
        <v/>
      </c>
      <c r="S645" s="1">
        <f>IF(L645="En coordinación",1,0)</f>
        <v/>
      </c>
      <c r="T645" s="1">
        <f>IF(L645="Aceptada",1,0)</f>
        <v/>
      </c>
      <c r="U645" s="1">
        <f>IF(OR(L645="Realizada completa",L645="Realizada incompleta"),1,0)</f>
        <v/>
      </c>
      <c r="V645" s="1">
        <f>IF(L645="Sin respuesta",1,0)</f>
        <v/>
      </c>
    </row>
    <row r="646">
      <c r="A646" s="1" t="str"/>
      <c r="B646" s="1" t="str"/>
      <c r="C646" s="1" t="str"/>
      <c r="D646" s="1" t="str"/>
      <c r="E646" s="1" t="str"/>
      <c r="F646" s="1" t="str"/>
      <c r="G646" s="1" t="str"/>
      <c r="H646" s="1" t="str"/>
      <c r="I646" s="2" t="str"/>
      <c r="J646" s="2" t="str"/>
      <c r="K646" s="2" t="str"/>
      <c r="L646" s="1" t="str"/>
      <c r="M646" s="2" t="str"/>
      <c r="N646" s="2" t="str"/>
      <c r="O646" s="1" t="str"/>
      <c r="P646" s="1" t="str"/>
      <c r="Q646" s="1" t="str"/>
      <c r="R646" s="1">
        <f>IF(H646="Sí",1,0)</f>
        <v/>
      </c>
      <c r="S646" s="1">
        <f>IF(L646="En coordinación",1,0)</f>
        <v/>
      </c>
      <c r="T646" s="1">
        <f>IF(L646="Aceptada",1,0)</f>
        <v/>
      </c>
      <c r="U646" s="1">
        <f>IF(OR(L646="Realizada completa",L646="Realizada incompleta"),1,0)</f>
        <v/>
      </c>
      <c r="V646" s="1">
        <f>IF(L646="Sin respuesta",1,0)</f>
        <v/>
      </c>
    </row>
    <row r="647">
      <c r="A647" s="1" t="str"/>
      <c r="B647" s="1" t="str"/>
      <c r="C647" s="1" t="str"/>
      <c r="D647" s="1" t="str"/>
      <c r="E647" s="1" t="str"/>
      <c r="F647" s="1" t="str"/>
      <c r="G647" s="1" t="str"/>
      <c r="H647" s="1" t="str"/>
      <c r="I647" s="2" t="str"/>
      <c r="J647" s="2" t="str"/>
      <c r="K647" s="2" t="str"/>
      <c r="L647" s="1" t="str"/>
      <c r="M647" s="2" t="str"/>
      <c r="N647" s="2" t="str"/>
      <c r="O647" s="1" t="str"/>
      <c r="P647" s="1" t="str"/>
      <c r="Q647" s="1" t="str"/>
      <c r="R647" s="1">
        <f>IF(H647="Sí",1,0)</f>
        <v/>
      </c>
      <c r="S647" s="1">
        <f>IF(L647="En coordinación",1,0)</f>
        <v/>
      </c>
      <c r="T647" s="1">
        <f>IF(L647="Aceptada",1,0)</f>
        <v/>
      </c>
      <c r="U647" s="1">
        <f>IF(OR(L647="Realizada completa",L647="Realizada incompleta"),1,0)</f>
        <v/>
      </c>
      <c r="V647" s="1">
        <f>IF(L647="Sin respuesta",1,0)</f>
        <v/>
      </c>
    </row>
    <row r="648">
      <c r="A648" s="1" t="str"/>
      <c r="B648" s="1" t="str"/>
      <c r="C648" s="1" t="str"/>
      <c r="D648" s="1" t="str"/>
      <c r="E648" s="1" t="str"/>
      <c r="F648" s="1" t="str"/>
      <c r="G648" s="1" t="str"/>
      <c r="H648" s="1" t="str"/>
      <c r="I648" s="2" t="str"/>
      <c r="J648" s="2" t="str"/>
      <c r="K648" s="2" t="str"/>
      <c r="L648" s="1" t="str"/>
      <c r="M648" s="2" t="str"/>
      <c r="N648" s="2" t="str"/>
      <c r="O648" s="1" t="str"/>
      <c r="P648" s="1" t="str"/>
      <c r="Q648" s="1" t="str"/>
      <c r="R648" s="1">
        <f>IF(H648="Sí",1,0)</f>
        <v/>
      </c>
      <c r="S648" s="1">
        <f>IF(L648="En coordinación",1,0)</f>
        <v/>
      </c>
      <c r="T648" s="1">
        <f>IF(L648="Aceptada",1,0)</f>
        <v/>
      </c>
      <c r="U648" s="1">
        <f>IF(OR(L648="Realizada completa",L648="Realizada incompleta"),1,0)</f>
        <v/>
      </c>
      <c r="V648" s="1">
        <f>IF(L648="Sin respuesta",1,0)</f>
        <v/>
      </c>
    </row>
    <row r="649">
      <c r="A649" s="1" t="str"/>
      <c r="B649" s="1" t="str"/>
      <c r="C649" s="1" t="str"/>
      <c r="D649" s="1" t="str"/>
      <c r="E649" s="1" t="str"/>
      <c r="F649" s="1" t="str"/>
      <c r="G649" s="1" t="str"/>
      <c r="H649" s="1" t="str"/>
      <c r="I649" s="2" t="str"/>
      <c r="J649" s="2" t="str"/>
      <c r="K649" s="2" t="str"/>
      <c r="L649" s="1" t="str"/>
      <c r="M649" s="2" t="str"/>
      <c r="N649" s="2" t="str"/>
      <c r="O649" s="1" t="str"/>
      <c r="P649" s="1" t="str"/>
      <c r="Q649" s="1" t="str"/>
      <c r="R649" s="1">
        <f>IF(H649="Sí",1,0)</f>
        <v/>
      </c>
      <c r="S649" s="1">
        <f>IF(L649="En coordinación",1,0)</f>
        <v/>
      </c>
      <c r="T649" s="1">
        <f>IF(L649="Aceptada",1,0)</f>
        <v/>
      </c>
      <c r="U649" s="1">
        <f>IF(OR(L649="Realizada completa",L649="Realizada incompleta"),1,0)</f>
        <v/>
      </c>
      <c r="V649" s="1">
        <f>IF(L649="Sin respuesta",1,0)</f>
        <v/>
      </c>
    </row>
    <row r="650">
      <c r="A650" s="1" t="str"/>
      <c r="B650" s="1" t="str"/>
      <c r="C650" s="1" t="str"/>
      <c r="D650" s="1" t="str"/>
      <c r="E650" s="1" t="str"/>
      <c r="F650" s="1" t="str"/>
      <c r="G650" s="1" t="str"/>
      <c r="H650" s="1" t="str"/>
      <c r="I650" s="2" t="str"/>
      <c r="J650" s="2" t="str"/>
      <c r="K650" s="2" t="str"/>
      <c r="L650" s="1" t="str"/>
      <c r="M650" s="2" t="str"/>
      <c r="N650" s="2" t="str"/>
      <c r="O650" s="1" t="str"/>
      <c r="P650" s="1" t="str"/>
      <c r="Q650" s="1" t="str"/>
      <c r="R650" s="1">
        <f>IF(H650="Sí",1,0)</f>
        <v/>
      </c>
      <c r="S650" s="1">
        <f>IF(L650="En coordinación",1,0)</f>
        <v/>
      </c>
      <c r="T650" s="1">
        <f>IF(L650="Aceptada",1,0)</f>
        <v/>
      </c>
      <c r="U650" s="1">
        <f>IF(OR(L650="Realizada completa",L650="Realizada incompleta"),1,0)</f>
        <v/>
      </c>
      <c r="V650" s="1">
        <f>IF(L650="Sin respuesta",1,0)</f>
        <v/>
      </c>
    </row>
    <row r="651">
      <c r="A651" s="1" t="str"/>
      <c r="B651" s="1" t="str"/>
      <c r="C651" s="1" t="str"/>
      <c r="D651" s="1" t="str"/>
      <c r="E651" s="1" t="str"/>
      <c r="F651" s="1" t="str"/>
      <c r="G651" s="1" t="str"/>
      <c r="H651" s="1" t="str"/>
      <c r="I651" s="2" t="str"/>
      <c r="J651" s="2" t="str"/>
      <c r="K651" s="2" t="str"/>
      <c r="L651" s="1" t="str"/>
      <c r="M651" s="2" t="str"/>
      <c r="N651" s="2" t="str"/>
      <c r="O651" s="1" t="str"/>
      <c r="P651" s="1" t="str"/>
      <c r="Q651" s="1" t="str"/>
      <c r="R651" s="1">
        <f>IF(H651="Sí",1,0)</f>
        <v/>
      </c>
      <c r="S651" s="1">
        <f>IF(L651="En coordinación",1,0)</f>
        <v/>
      </c>
      <c r="T651" s="1">
        <f>IF(L651="Aceptada",1,0)</f>
        <v/>
      </c>
      <c r="U651" s="1">
        <f>IF(OR(L651="Realizada completa",L651="Realizada incompleta"),1,0)</f>
        <v/>
      </c>
      <c r="V651" s="1">
        <f>IF(L651="Sin respuesta",1,0)</f>
        <v/>
      </c>
    </row>
    <row r="652">
      <c r="A652" s="1" t="str"/>
      <c r="B652" s="1" t="str"/>
      <c r="C652" s="1" t="str"/>
      <c r="D652" s="1" t="str"/>
      <c r="E652" s="1" t="str"/>
      <c r="F652" s="1" t="str"/>
      <c r="G652" s="1" t="str"/>
      <c r="H652" s="1" t="str"/>
      <c r="I652" s="2" t="str"/>
      <c r="J652" s="2" t="str"/>
      <c r="K652" s="2" t="str"/>
      <c r="L652" s="1" t="str"/>
      <c r="M652" s="2" t="str"/>
      <c r="N652" s="2" t="str"/>
      <c r="O652" s="1" t="str"/>
      <c r="P652" s="1" t="str"/>
      <c r="Q652" s="1" t="str"/>
      <c r="R652" s="1">
        <f>IF(H652="Sí",1,0)</f>
        <v/>
      </c>
      <c r="S652" s="1">
        <f>IF(L652="En coordinación",1,0)</f>
        <v/>
      </c>
      <c r="T652" s="1">
        <f>IF(L652="Aceptada",1,0)</f>
        <v/>
      </c>
      <c r="U652" s="1">
        <f>IF(OR(L652="Realizada completa",L652="Realizada incompleta"),1,0)</f>
        <v/>
      </c>
      <c r="V652" s="1">
        <f>IF(L652="Sin respuesta",1,0)</f>
        <v/>
      </c>
    </row>
    <row r="653">
      <c r="A653" s="1" t="str"/>
      <c r="B653" s="1" t="str"/>
      <c r="C653" s="1" t="str"/>
      <c r="D653" s="1" t="str"/>
      <c r="E653" s="1" t="str"/>
      <c r="F653" s="1" t="str"/>
      <c r="G653" s="1" t="str"/>
      <c r="H653" s="1" t="str"/>
      <c r="I653" s="2" t="str"/>
      <c r="J653" s="2" t="str"/>
      <c r="K653" s="2" t="str"/>
      <c r="L653" s="1" t="str"/>
      <c r="M653" s="2" t="str"/>
      <c r="N653" s="2" t="str"/>
      <c r="O653" s="1" t="str"/>
      <c r="P653" s="1" t="str"/>
      <c r="Q653" s="1" t="str"/>
      <c r="R653" s="1">
        <f>IF(H653="Sí",1,0)</f>
        <v/>
      </c>
      <c r="S653" s="1">
        <f>IF(L653="En coordinación",1,0)</f>
        <v/>
      </c>
      <c r="T653" s="1">
        <f>IF(L653="Aceptada",1,0)</f>
        <v/>
      </c>
      <c r="U653" s="1">
        <f>IF(OR(L653="Realizada completa",L653="Realizada incompleta"),1,0)</f>
        <v/>
      </c>
      <c r="V653" s="1">
        <f>IF(L653="Sin respuesta",1,0)</f>
        <v/>
      </c>
    </row>
    <row r="654">
      <c r="A654" s="1" t="str"/>
      <c r="B654" s="1" t="str"/>
      <c r="C654" s="1" t="str"/>
      <c r="D654" s="1" t="str"/>
      <c r="E654" s="1" t="str"/>
      <c r="F654" s="1" t="str"/>
      <c r="G654" s="1" t="str"/>
      <c r="H654" s="1" t="str"/>
      <c r="I654" s="2" t="str"/>
      <c r="J654" s="2" t="str"/>
      <c r="K654" s="2" t="str"/>
      <c r="L654" s="1" t="str"/>
      <c r="M654" s="2" t="str"/>
      <c r="N654" s="2" t="str"/>
      <c r="O654" s="1" t="str"/>
      <c r="P654" s="1" t="str"/>
      <c r="Q654" s="1" t="str"/>
      <c r="R654" s="1">
        <f>IF(H654="Sí",1,0)</f>
        <v/>
      </c>
      <c r="S654" s="1">
        <f>IF(L654="En coordinación",1,0)</f>
        <v/>
      </c>
      <c r="T654" s="1">
        <f>IF(L654="Aceptada",1,0)</f>
        <v/>
      </c>
      <c r="U654" s="1">
        <f>IF(OR(L654="Realizada completa",L654="Realizada incompleta"),1,0)</f>
        <v/>
      </c>
      <c r="V654" s="1">
        <f>IF(L654="Sin respuesta",1,0)</f>
        <v/>
      </c>
    </row>
    <row r="655">
      <c r="A655" s="1" t="str"/>
      <c r="B655" s="1" t="str"/>
      <c r="C655" s="1" t="str"/>
      <c r="D655" s="1" t="str"/>
      <c r="E655" s="1" t="str"/>
      <c r="F655" s="1" t="str"/>
      <c r="G655" s="1" t="str"/>
      <c r="H655" s="1" t="str"/>
      <c r="I655" s="2" t="str"/>
      <c r="J655" s="2" t="str"/>
      <c r="K655" s="2" t="str"/>
      <c r="L655" s="1" t="str"/>
      <c r="M655" s="2" t="str"/>
      <c r="N655" s="2" t="str"/>
      <c r="O655" s="1" t="str"/>
      <c r="P655" s="1" t="str"/>
      <c r="Q655" s="1" t="str"/>
      <c r="R655" s="1">
        <f>IF(H655="Sí",1,0)</f>
        <v/>
      </c>
      <c r="S655" s="1">
        <f>IF(L655="En coordinación",1,0)</f>
        <v/>
      </c>
      <c r="T655" s="1">
        <f>IF(L655="Aceptada",1,0)</f>
        <v/>
      </c>
      <c r="U655" s="1">
        <f>IF(OR(L655="Realizada completa",L655="Realizada incompleta"),1,0)</f>
        <v/>
      </c>
      <c r="V655" s="1">
        <f>IF(L655="Sin respuesta",1,0)</f>
        <v/>
      </c>
    </row>
    <row r="656">
      <c r="A656" s="1" t="str"/>
      <c r="B656" s="1" t="str"/>
      <c r="C656" s="1" t="str"/>
      <c r="D656" s="1" t="str"/>
      <c r="E656" s="1" t="str"/>
      <c r="F656" s="1" t="str"/>
      <c r="G656" s="1" t="str"/>
      <c r="H656" s="1" t="str"/>
      <c r="I656" s="2" t="str"/>
      <c r="J656" s="2" t="str"/>
      <c r="K656" s="2" t="str"/>
      <c r="L656" s="1" t="str"/>
      <c r="M656" s="2" t="str"/>
      <c r="N656" s="2" t="str"/>
      <c r="O656" s="1" t="str"/>
      <c r="P656" s="1" t="str"/>
      <c r="Q656" s="1" t="str"/>
      <c r="R656" s="1">
        <f>IF(H656="Sí",1,0)</f>
        <v/>
      </c>
      <c r="S656" s="1">
        <f>IF(L656="En coordinación",1,0)</f>
        <v/>
      </c>
      <c r="T656" s="1">
        <f>IF(L656="Aceptada",1,0)</f>
        <v/>
      </c>
      <c r="U656" s="1">
        <f>IF(OR(L656="Realizada completa",L656="Realizada incompleta"),1,0)</f>
        <v/>
      </c>
      <c r="V656" s="1">
        <f>IF(L656="Sin respuesta",1,0)</f>
        <v/>
      </c>
    </row>
    <row r="657">
      <c r="A657" s="1" t="str"/>
      <c r="B657" s="1" t="str"/>
      <c r="C657" s="1" t="str"/>
      <c r="D657" s="1" t="str"/>
      <c r="E657" s="1" t="str"/>
      <c r="F657" s="1" t="str"/>
      <c r="G657" s="1" t="str"/>
      <c r="H657" s="1" t="str"/>
      <c r="I657" s="2" t="str"/>
      <c r="J657" s="2" t="str"/>
      <c r="K657" s="2" t="str"/>
      <c r="L657" s="1" t="str"/>
      <c r="M657" s="2" t="str"/>
      <c r="N657" s="2" t="str"/>
      <c r="O657" s="1" t="str"/>
      <c r="P657" s="1" t="str"/>
      <c r="Q657" s="1" t="str"/>
      <c r="R657" s="1">
        <f>IF(H657="Sí",1,0)</f>
        <v/>
      </c>
      <c r="S657" s="1">
        <f>IF(L657="En coordinación",1,0)</f>
        <v/>
      </c>
      <c r="T657" s="1">
        <f>IF(L657="Aceptada",1,0)</f>
        <v/>
      </c>
      <c r="U657" s="1">
        <f>IF(OR(L657="Realizada completa",L657="Realizada incompleta"),1,0)</f>
        <v/>
      </c>
      <c r="V657" s="1">
        <f>IF(L657="Sin respuesta",1,0)</f>
        <v/>
      </c>
    </row>
    <row r="658">
      <c r="A658" s="1" t="str"/>
      <c r="B658" s="1" t="str"/>
      <c r="C658" s="1" t="str"/>
      <c r="D658" s="1" t="str"/>
      <c r="E658" s="1" t="str"/>
      <c r="F658" s="1" t="str"/>
      <c r="G658" s="1" t="str"/>
      <c r="H658" s="1" t="str"/>
      <c r="I658" s="2" t="str"/>
      <c r="J658" s="2" t="str"/>
      <c r="K658" s="2" t="str"/>
      <c r="L658" s="1" t="str"/>
      <c r="M658" s="2" t="str"/>
      <c r="N658" s="2" t="str"/>
      <c r="O658" s="1" t="str"/>
      <c r="P658" s="1" t="str"/>
      <c r="Q658" s="1" t="str"/>
      <c r="R658" s="1">
        <f>IF(H658="Sí",1,0)</f>
        <v/>
      </c>
      <c r="S658" s="1">
        <f>IF(L658="En coordinación",1,0)</f>
        <v/>
      </c>
      <c r="T658" s="1">
        <f>IF(L658="Aceptada",1,0)</f>
        <v/>
      </c>
      <c r="U658" s="1">
        <f>IF(OR(L658="Realizada completa",L658="Realizada incompleta"),1,0)</f>
        <v/>
      </c>
      <c r="V658" s="1">
        <f>IF(L658="Sin respuesta",1,0)</f>
        <v/>
      </c>
    </row>
    <row r="659">
      <c r="A659" s="1" t="str"/>
      <c r="B659" s="1" t="str"/>
      <c r="C659" s="1" t="str"/>
      <c r="D659" s="1" t="str"/>
      <c r="E659" s="1" t="str"/>
      <c r="F659" s="1" t="str"/>
      <c r="G659" s="1" t="str"/>
      <c r="H659" s="1" t="str"/>
      <c r="I659" s="2" t="str"/>
      <c r="J659" s="2" t="str"/>
      <c r="K659" s="2" t="str"/>
      <c r="L659" s="1" t="str"/>
      <c r="M659" s="2" t="str"/>
      <c r="N659" s="2" t="str"/>
      <c r="O659" s="1" t="str"/>
      <c r="P659" s="1" t="str"/>
      <c r="Q659" s="1" t="str"/>
      <c r="R659" s="1">
        <f>IF(H659="Sí",1,0)</f>
        <v/>
      </c>
      <c r="S659" s="1">
        <f>IF(L659="En coordinación",1,0)</f>
        <v/>
      </c>
      <c r="T659" s="1">
        <f>IF(L659="Aceptada",1,0)</f>
        <v/>
      </c>
      <c r="U659" s="1">
        <f>IF(OR(L659="Realizada completa",L659="Realizada incompleta"),1,0)</f>
        <v/>
      </c>
      <c r="V659" s="1">
        <f>IF(L659="Sin respuesta",1,0)</f>
        <v/>
      </c>
    </row>
    <row r="660">
      <c r="A660" s="1" t="str"/>
      <c r="B660" s="1" t="str"/>
      <c r="C660" s="1" t="str"/>
      <c r="D660" s="1" t="str"/>
      <c r="E660" s="1" t="str"/>
      <c r="F660" s="1" t="str"/>
      <c r="G660" s="1" t="str"/>
      <c r="H660" s="1" t="str"/>
      <c r="I660" s="2" t="str"/>
      <c r="J660" s="2" t="str"/>
      <c r="K660" s="2" t="str"/>
      <c r="L660" s="1" t="str"/>
      <c r="M660" s="2" t="str"/>
      <c r="N660" s="2" t="str"/>
      <c r="O660" s="1" t="str"/>
      <c r="P660" s="1" t="str"/>
      <c r="Q660" s="1" t="str"/>
      <c r="R660" s="1">
        <f>IF(H660="Sí",1,0)</f>
        <v/>
      </c>
      <c r="S660" s="1">
        <f>IF(L660="En coordinación",1,0)</f>
        <v/>
      </c>
      <c r="T660" s="1">
        <f>IF(L660="Aceptada",1,0)</f>
        <v/>
      </c>
      <c r="U660" s="1">
        <f>IF(OR(L660="Realizada completa",L660="Realizada incompleta"),1,0)</f>
        <v/>
      </c>
      <c r="V660" s="1">
        <f>IF(L660="Sin respuesta",1,0)</f>
        <v/>
      </c>
    </row>
    <row r="661">
      <c r="A661" s="1" t="str"/>
      <c r="B661" s="1" t="str"/>
      <c r="C661" s="1" t="str"/>
      <c r="D661" s="1" t="str"/>
      <c r="E661" s="1" t="str"/>
      <c r="F661" s="1" t="str"/>
      <c r="G661" s="1" t="str"/>
      <c r="H661" s="1" t="str"/>
      <c r="I661" s="2" t="str"/>
      <c r="J661" s="2" t="str"/>
      <c r="K661" s="2" t="str"/>
      <c r="L661" s="1" t="str"/>
      <c r="M661" s="2" t="str"/>
      <c r="N661" s="2" t="str"/>
      <c r="O661" s="1" t="str"/>
      <c r="P661" s="1" t="str"/>
      <c r="Q661" s="1" t="str"/>
      <c r="R661" s="1">
        <f>IF(H661="Sí",1,0)</f>
        <v/>
      </c>
      <c r="S661" s="1">
        <f>IF(L661="En coordinación",1,0)</f>
        <v/>
      </c>
      <c r="T661" s="1">
        <f>IF(L661="Aceptada",1,0)</f>
        <v/>
      </c>
      <c r="U661" s="1">
        <f>IF(OR(L661="Realizada completa",L661="Realizada incompleta"),1,0)</f>
        <v/>
      </c>
      <c r="V661" s="1">
        <f>IF(L661="Sin respuesta",1,0)</f>
        <v/>
      </c>
    </row>
    <row r="662">
      <c r="A662" s="1" t="str"/>
      <c r="B662" s="1" t="str"/>
      <c r="C662" s="1" t="str"/>
      <c r="D662" s="1" t="str"/>
      <c r="E662" s="1" t="str"/>
      <c r="F662" s="1" t="str"/>
      <c r="G662" s="1" t="str"/>
      <c r="H662" s="1" t="str"/>
      <c r="I662" s="2" t="str"/>
      <c r="J662" s="2" t="str"/>
      <c r="K662" s="2" t="str"/>
      <c r="L662" s="1" t="str"/>
      <c r="M662" s="2" t="str"/>
      <c r="N662" s="2" t="str"/>
      <c r="O662" s="1" t="str"/>
      <c r="P662" s="1" t="str"/>
      <c r="Q662" s="1" t="str"/>
      <c r="R662" s="1">
        <f>IF(H662="Sí",1,0)</f>
        <v/>
      </c>
      <c r="S662" s="1">
        <f>IF(L662="En coordinación",1,0)</f>
        <v/>
      </c>
      <c r="T662" s="1">
        <f>IF(L662="Aceptada",1,0)</f>
        <v/>
      </c>
      <c r="U662" s="1">
        <f>IF(OR(L662="Realizada completa",L662="Realizada incompleta"),1,0)</f>
        <v/>
      </c>
      <c r="V662" s="1">
        <f>IF(L662="Sin respuesta",1,0)</f>
        <v/>
      </c>
    </row>
    <row r="663">
      <c r="A663" s="1" t="str"/>
      <c r="B663" s="1" t="str"/>
      <c r="C663" s="1" t="str"/>
      <c r="D663" s="1" t="str"/>
      <c r="E663" s="1" t="str"/>
      <c r="F663" s="1" t="str"/>
      <c r="G663" s="1" t="str"/>
      <c r="H663" s="1" t="str"/>
      <c r="I663" s="2" t="str"/>
      <c r="J663" s="2" t="str"/>
      <c r="K663" s="2" t="str"/>
      <c r="L663" s="1" t="str"/>
      <c r="M663" s="2" t="str"/>
      <c r="N663" s="2" t="str"/>
      <c r="O663" s="1" t="str"/>
      <c r="P663" s="1" t="str"/>
      <c r="Q663" s="1" t="str"/>
      <c r="R663" s="1">
        <f>IF(H663="Sí",1,0)</f>
        <v/>
      </c>
      <c r="S663" s="1">
        <f>IF(L663="En coordinación",1,0)</f>
        <v/>
      </c>
      <c r="T663" s="1">
        <f>IF(L663="Aceptada",1,0)</f>
        <v/>
      </c>
      <c r="U663" s="1">
        <f>IF(OR(L663="Realizada completa",L663="Realizada incompleta"),1,0)</f>
        <v/>
      </c>
      <c r="V663" s="1">
        <f>IF(L663="Sin respuesta",1,0)</f>
        <v/>
      </c>
    </row>
    <row r="664">
      <c r="A664" s="1" t="str"/>
      <c r="B664" s="1" t="str"/>
      <c r="C664" s="1" t="str"/>
      <c r="D664" s="1" t="str"/>
      <c r="E664" s="1" t="str"/>
      <c r="F664" s="1" t="str"/>
      <c r="G664" s="1" t="str"/>
      <c r="H664" s="1" t="str"/>
      <c r="I664" s="2" t="str"/>
      <c r="J664" s="2" t="str"/>
      <c r="K664" s="2" t="str"/>
      <c r="L664" s="1" t="str"/>
      <c r="M664" s="2" t="str"/>
      <c r="N664" s="2" t="str"/>
      <c r="O664" s="1" t="str"/>
      <c r="P664" s="1" t="str"/>
      <c r="Q664" s="1" t="str"/>
      <c r="R664" s="1">
        <f>IF(H664="Sí",1,0)</f>
        <v/>
      </c>
      <c r="S664" s="1">
        <f>IF(L664="En coordinación",1,0)</f>
        <v/>
      </c>
      <c r="T664" s="1">
        <f>IF(L664="Aceptada",1,0)</f>
        <v/>
      </c>
      <c r="U664" s="1">
        <f>IF(OR(L664="Realizada completa",L664="Realizada incompleta"),1,0)</f>
        <v/>
      </c>
      <c r="V664" s="1">
        <f>IF(L664="Sin respuesta",1,0)</f>
        <v/>
      </c>
    </row>
    <row r="665">
      <c r="A665" s="1" t="str"/>
      <c r="B665" s="1" t="str"/>
      <c r="C665" s="1" t="str"/>
      <c r="D665" s="1" t="str"/>
      <c r="E665" s="1" t="str"/>
      <c r="F665" s="1" t="str"/>
      <c r="G665" s="1" t="str"/>
      <c r="H665" s="1" t="str"/>
      <c r="I665" s="2" t="str"/>
      <c r="J665" s="2" t="str"/>
      <c r="K665" s="2" t="str"/>
      <c r="L665" s="1" t="str"/>
      <c r="M665" s="2" t="str"/>
      <c r="N665" s="2" t="str"/>
      <c r="O665" s="1" t="str"/>
      <c r="P665" s="1" t="str"/>
      <c r="Q665" s="1" t="str"/>
      <c r="R665" s="1">
        <f>IF(H665="Sí",1,0)</f>
        <v/>
      </c>
      <c r="S665" s="1">
        <f>IF(L665="En coordinación",1,0)</f>
        <v/>
      </c>
      <c r="T665" s="1">
        <f>IF(L665="Aceptada",1,0)</f>
        <v/>
      </c>
      <c r="U665" s="1">
        <f>IF(OR(L665="Realizada completa",L665="Realizada incompleta"),1,0)</f>
        <v/>
      </c>
      <c r="V665" s="1">
        <f>IF(L665="Sin respuesta",1,0)</f>
        <v/>
      </c>
    </row>
    <row r="666">
      <c r="A666" s="1" t="str"/>
      <c r="B666" s="1" t="str"/>
      <c r="C666" s="1" t="str"/>
      <c r="D666" s="1" t="str"/>
      <c r="E666" s="1" t="str"/>
      <c r="F666" s="1" t="str"/>
      <c r="G666" s="1" t="str"/>
      <c r="H666" s="1" t="str"/>
      <c r="I666" s="2" t="str"/>
      <c r="J666" s="2" t="str"/>
      <c r="K666" s="2" t="str"/>
      <c r="L666" s="1" t="str"/>
      <c r="M666" s="2" t="str"/>
      <c r="N666" s="2" t="str"/>
      <c r="O666" s="1" t="str"/>
      <c r="P666" s="1" t="str"/>
      <c r="Q666" s="1" t="str"/>
      <c r="R666" s="1">
        <f>IF(H666="Sí",1,0)</f>
        <v/>
      </c>
      <c r="S666" s="1">
        <f>IF(L666="En coordinación",1,0)</f>
        <v/>
      </c>
      <c r="T666" s="1">
        <f>IF(L666="Aceptada",1,0)</f>
        <v/>
      </c>
      <c r="U666" s="1">
        <f>IF(OR(L666="Realizada completa",L666="Realizada incompleta"),1,0)</f>
        <v/>
      </c>
      <c r="V666" s="1">
        <f>IF(L666="Sin respuesta",1,0)</f>
        <v/>
      </c>
    </row>
    <row r="667">
      <c r="A667" s="1" t="str"/>
      <c r="B667" s="1" t="str"/>
      <c r="C667" s="1" t="str"/>
      <c r="D667" s="1" t="str"/>
      <c r="E667" s="1" t="str"/>
      <c r="F667" s="1" t="str"/>
      <c r="G667" s="1" t="str"/>
      <c r="H667" s="1" t="str"/>
      <c r="I667" s="2" t="str"/>
      <c r="J667" s="2" t="str"/>
      <c r="K667" s="2" t="str"/>
      <c r="L667" s="1" t="str"/>
      <c r="M667" s="2" t="str"/>
      <c r="N667" s="2" t="str"/>
      <c r="O667" s="1" t="str"/>
      <c r="P667" s="1" t="str"/>
      <c r="Q667" s="1" t="str"/>
      <c r="R667" s="1">
        <f>IF(H667="Sí",1,0)</f>
        <v/>
      </c>
      <c r="S667" s="1">
        <f>IF(L667="En coordinación",1,0)</f>
        <v/>
      </c>
      <c r="T667" s="1">
        <f>IF(L667="Aceptada",1,0)</f>
        <v/>
      </c>
      <c r="U667" s="1">
        <f>IF(OR(L667="Realizada completa",L667="Realizada incompleta"),1,0)</f>
        <v/>
      </c>
      <c r="V667" s="1">
        <f>IF(L667="Sin respuesta",1,0)</f>
        <v/>
      </c>
    </row>
    <row r="668">
      <c r="A668" s="1" t="str"/>
      <c r="B668" s="1" t="str"/>
      <c r="C668" s="1" t="str"/>
      <c r="D668" s="1" t="str"/>
      <c r="E668" s="1" t="str"/>
      <c r="F668" s="1" t="str"/>
      <c r="G668" s="1" t="str"/>
      <c r="H668" s="1" t="str"/>
      <c r="I668" s="2" t="str"/>
      <c r="J668" s="2" t="str"/>
      <c r="K668" s="2" t="str"/>
      <c r="L668" s="1" t="str"/>
      <c r="M668" s="2" t="str"/>
      <c r="N668" s="2" t="str"/>
      <c r="O668" s="1" t="str"/>
      <c r="P668" s="1" t="str"/>
      <c r="Q668" s="1" t="str"/>
      <c r="R668" s="1">
        <f>IF(H668="Sí",1,0)</f>
        <v/>
      </c>
      <c r="S668" s="1">
        <f>IF(L668="En coordinación",1,0)</f>
        <v/>
      </c>
      <c r="T668" s="1">
        <f>IF(L668="Aceptada",1,0)</f>
        <v/>
      </c>
      <c r="U668" s="1">
        <f>IF(OR(L668="Realizada completa",L668="Realizada incompleta"),1,0)</f>
        <v/>
      </c>
      <c r="V668" s="1">
        <f>IF(L668="Sin respuesta",1,0)</f>
        <v/>
      </c>
    </row>
    <row r="669">
      <c r="A669" s="1" t="str"/>
      <c r="B669" s="1" t="str"/>
      <c r="C669" s="1" t="str"/>
      <c r="D669" s="1" t="str"/>
      <c r="E669" s="1" t="str"/>
      <c r="F669" s="1" t="str"/>
      <c r="G669" s="1" t="str"/>
      <c r="H669" s="1" t="str"/>
      <c r="I669" s="2" t="str"/>
      <c r="J669" s="2" t="str"/>
      <c r="K669" s="2" t="str"/>
      <c r="L669" s="1" t="str"/>
      <c r="M669" s="2" t="str"/>
      <c r="N669" s="2" t="str"/>
      <c r="O669" s="1" t="str"/>
      <c r="P669" s="1" t="str"/>
      <c r="Q669" s="1" t="str"/>
      <c r="R669" s="1">
        <f>IF(H669="Sí",1,0)</f>
        <v/>
      </c>
      <c r="S669" s="1">
        <f>IF(L669="En coordinación",1,0)</f>
        <v/>
      </c>
      <c r="T669" s="1">
        <f>IF(L669="Aceptada",1,0)</f>
        <v/>
      </c>
      <c r="U669" s="1">
        <f>IF(OR(L669="Realizada completa",L669="Realizada incompleta"),1,0)</f>
        <v/>
      </c>
      <c r="V669" s="1">
        <f>IF(L669="Sin respuesta",1,0)</f>
        <v/>
      </c>
    </row>
    <row r="670">
      <c r="A670" s="1" t="str"/>
      <c r="B670" s="1" t="str"/>
      <c r="C670" s="1" t="str"/>
      <c r="D670" s="1" t="str"/>
      <c r="E670" s="1" t="str"/>
      <c r="F670" s="1" t="str"/>
      <c r="G670" s="1" t="str"/>
      <c r="H670" s="1" t="str"/>
      <c r="I670" s="2" t="str"/>
      <c r="J670" s="2" t="str"/>
      <c r="K670" s="2" t="str"/>
      <c r="L670" s="1" t="str"/>
      <c r="M670" s="2" t="str"/>
      <c r="N670" s="2" t="str"/>
      <c r="O670" s="1" t="str"/>
      <c r="P670" s="1" t="str"/>
      <c r="Q670" s="1" t="str"/>
      <c r="R670" s="1">
        <f>IF(H670="Sí",1,0)</f>
        <v/>
      </c>
      <c r="S670" s="1">
        <f>IF(L670="En coordinación",1,0)</f>
        <v/>
      </c>
      <c r="T670" s="1">
        <f>IF(L670="Aceptada",1,0)</f>
        <v/>
      </c>
      <c r="U670" s="1">
        <f>IF(OR(L670="Realizada completa",L670="Realizada incompleta"),1,0)</f>
        <v/>
      </c>
      <c r="V670" s="1">
        <f>IF(L670="Sin respuesta",1,0)</f>
        <v/>
      </c>
    </row>
    <row r="671">
      <c r="A671" s="1" t="str"/>
      <c r="B671" s="1" t="str"/>
      <c r="C671" s="1" t="str"/>
      <c r="D671" s="1" t="str"/>
      <c r="E671" s="1" t="str"/>
      <c r="F671" s="1" t="str"/>
      <c r="G671" s="1" t="str"/>
      <c r="H671" s="1" t="str"/>
      <c r="I671" s="2" t="str"/>
      <c r="J671" s="2" t="str"/>
      <c r="K671" s="2" t="str"/>
      <c r="L671" s="1" t="str"/>
      <c r="M671" s="2" t="str"/>
      <c r="N671" s="2" t="str"/>
      <c r="O671" s="1" t="str"/>
      <c r="P671" s="1" t="str"/>
      <c r="Q671" s="1" t="str"/>
      <c r="R671" s="1">
        <f>IF(H671="Sí",1,0)</f>
        <v/>
      </c>
      <c r="S671" s="1">
        <f>IF(L671="En coordinación",1,0)</f>
        <v/>
      </c>
      <c r="T671" s="1">
        <f>IF(L671="Aceptada",1,0)</f>
        <v/>
      </c>
      <c r="U671" s="1">
        <f>IF(OR(L671="Realizada completa",L671="Realizada incompleta"),1,0)</f>
        <v/>
      </c>
      <c r="V671" s="1">
        <f>IF(L671="Sin respuesta",1,0)</f>
        <v/>
      </c>
    </row>
    <row r="672">
      <c r="A672" s="1" t="str"/>
      <c r="B672" s="1" t="str"/>
      <c r="C672" s="1" t="str"/>
      <c r="D672" s="1" t="str"/>
      <c r="E672" s="1" t="str"/>
      <c r="F672" s="1" t="str"/>
      <c r="G672" s="1" t="str"/>
      <c r="H672" s="1" t="str"/>
      <c r="I672" s="2" t="str"/>
      <c r="J672" s="2" t="str"/>
      <c r="K672" s="2" t="str"/>
      <c r="L672" s="1" t="str"/>
      <c r="M672" s="2" t="str"/>
      <c r="N672" s="2" t="str"/>
      <c r="O672" s="1" t="str"/>
      <c r="P672" s="1" t="str"/>
      <c r="Q672" s="1" t="str"/>
      <c r="R672" s="1">
        <f>IF(H672="Sí",1,0)</f>
        <v/>
      </c>
      <c r="S672" s="1">
        <f>IF(L672="En coordinación",1,0)</f>
        <v/>
      </c>
      <c r="T672" s="1">
        <f>IF(L672="Aceptada",1,0)</f>
        <v/>
      </c>
      <c r="U672" s="1">
        <f>IF(OR(L672="Realizada completa",L672="Realizada incompleta"),1,0)</f>
        <v/>
      </c>
      <c r="V672" s="1">
        <f>IF(L672="Sin respuesta",1,0)</f>
        <v/>
      </c>
    </row>
    <row r="673">
      <c r="A673" s="1" t="str"/>
      <c r="B673" s="1" t="str"/>
      <c r="C673" s="1" t="str"/>
      <c r="D673" s="1" t="str"/>
      <c r="E673" s="1" t="str"/>
      <c r="F673" s="1" t="str"/>
      <c r="G673" s="1" t="str"/>
      <c r="H673" s="1" t="str"/>
      <c r="I673" s="2" t="str"/>
      <c r="J673" s="2" t="str"/>
      <c r="K673" s="2" t="str"/>
      <c r="L673" s="1" t="str"/>
      <c r="M673" s="2" t="str"/>
      <c r="N673" s="2" t="str"/>
      <c r="O673" s="1" t="str"/>
      <c r="P673" s="1" t="str"/>
      <c r="Q673" s="1" t="str"/>
      <c r="R673" s="1">
        <f>IF(H673="Sí",1,0)</f>
        <v/>
      </c>
      <c r="S673" s="1">
        <f>IF(L673="En coordinación",1,0)</f>
        <v/>
      </c>
      <c r="T673" s="1">
        <f>IF(L673="Aceptada",1,0)</f>
        <v/>
      </c>
      <c r="U673" s="1">
        <f>IF(OR(L673="Realizada completa",L673="Realizada incompleta"),1,0)</f>
        <v/>
      </c>
      <c r="V673" s="1">
        <f>IF(L673="Sin respuesta",1,0)</f>
        <v/>
      </c>
    </row>
    <row r="674">
      <c r="A674" s="1" t="str"/>
      <c r="B674" s="1" t="str"/>
      <c r="C674" s="1" t="str"/>
      <c r="D674" s="1" t="str"/>
      <c r="E674" s="1" t="str"/>
      <c r="F674" s="1" t="str"/>
      <c r="G674" s="1" t="str"/>
      <c r="H674" s="1" t="str"/>
      <c r="I674" s="2" t="str"/>
      <c r="J674" s="2" t="str"/>
      <c r="K674" s="2" t="str"/>
      <c r="L674" s="1" t="str"/>
      <c r="M674" s="2" t="str"/>
      <c r="N674" s="2" t="str"/>
      <c r="O674" s="1" t="str"/>
      <c r="P674" s="1" t="str"/>
      <c r="Q674" s="1" t="str"/>
      <c r="R674" s="1">
        <f>IF(H674="Sí",1,0)</f>
        <v/>
      </c>
      <c r="S674" s="1">
        <f>IF(L674="En coordinación",1,0)</f>
        <v/>
      </c>
      <c r="T674" s="1">
        <f>IF(L674="Aceptada",1,0)</f>
        <v/>
      </c>
      <c r="U674" s="1">
        <f>IF(OR(L674="Realizada completa",L674="Realizada incompleta"),1,0)</f>
        <v/>
      </c>
      <c r="V674" s="1">
        <f>IF(L674="Sin respuesta",1,0)</f>
        <v/>
      </c>
    </row>
    <row r="675">
      <c r="A675" s="1" t="str"/>
      <c r="B675" s="1" t="str"/>
      <c r="C675" s="1" t="str"/>
      <c r="D675" s="1" t="str"/>
      <c r="E675" s="1" t="str"/>
      <c r="F675" s="1" t="str"/>
      <c r="G675" s="1" t="str"/>
      <c r="H675" s="1" t="str"/>
      <c r="I675" s="2" t="str"/>
      <c r="J675" s="2" t="str"/>
      <c r="K675" s="2" t="str"/>
      <c r="L675" s="1" t="str"/>
      <c r="M675" s="2" t="str"/>
      <c r="N675" s="2" t="str"/>
      <c r="O675" s="1" t="str"/>
      <c r="P675" s="1" t="str"/>
      <c r="Q675" s="1" t="str"/>
      <c r="R675" s="1">
        <f>IF(H675="Sí",1,0)</f>
        <v/>
      </c>
      <c r="S675" s="1">
        <f>IF(L675="En coordinación",1,0)</f>
        <v/>
      </c>
      <c r="T675" s="1">
        <f>IF(L675="Aceptada",1,0)</f>
        <v/>
      </c>
      <c r="U675" s="1">
        <f>IF(OR(L675="Realizada completa",L675="Realizada incompleta"),1,0)</f>
        <v/>
      </c>
      <c r="V675" s="1">
        <f>IF(L675="Sin respuesta",1,0)</f>
        <v/>
      </c>
    </row>
    <row r="676">
      <c r="A676" s="1" t="str"/>
      <c r="B676" s="1" t="str"/>
      <c r="C676" s="1" t="str"/>
      <c r="D676" s="1" t="str"/>
      <c r="E676" s="1" t="str"/>
      <c r="F676" s="1" t="str"/>
      <c r="G676" s="1" t="str"/>
      <c r="H676" s="1" t="str"/>
      <c r="I676" s="2" t="str"/>
      <c r="J676" s="2" t="str"/>
      <c r="K676" s="2" t="str"/>
      <c r="L676" s="1" t="str"/>
      <c r="M676" s="2" t="str"/>
      <c r="N676" s="2" t="str"/>
      <c r="O676" s="1" t="str"/>
      <c r="P676" s="1" t="str"/>
      <c r="Q676" s="1" t="str"/>
      <c r="R676" s="1">
        <f>IF(H676="Sí",1,0)</f>
        <v/>
      </c>
      <c r="S676" s="1">
        <f>IF(L676="En coordinación",1,0)</f>
        <v/>
      </c>
      <c r="T676" s="1">
        <f>IF(L676="Aceptada",1,0)</f>
        <v/>
      </c>
      <c r="U676" s="1">
        <f>IF(OR(L676="Realizada completa",L676="Realizada incompleta"),1,0)</f>
        <v/>
      </c>
      <c r="V676" s="1">
        <f>IF(L676="Sin respuesta",1,0)</f>
        <v/>
      </c>
    </row>
    <row r="677">
      <c r="A677" s="1" t="str"/>
      <c r="B677" s="1" t="str"/>
      <c r="C677" s="1" t="str"/>
      <c r="D677" s="1" t="str"/>
      <c r="E677" s="1" t="str"/>
      <c r="F677" s="1" t="str"/>
      <c r="G677" s="1" t="str"/>
      <c r="H677" s="1" t="str"/>
      <c r="I677" s="2" t="str"/>
      <c r="J677" s="2" t="str"/>
      <c r="K677" s="2" t="str"/>
      <c r="L677" s="1" t="str"/>
      <c r="M677" s="2" t="str"/>
      <c r="N677" s="2" t="str"/>
      <c r="O677" s="1" t="str"/>
      <c r="P677" s="1" t="str"/>
      <c r="Q677" s="1" t="str"/>
      <c r="R677" s="1">
        <f>IF(H677="Sí",1,0)</f>
        <v/>
      </c>
      <c r="S677" s="1">
        <f>IF(L677="En coordinación",1,0)</f>
        <v/>
      </c>
      <c r="T677" s="1">
        <f>IF(L677="Aceptada",1,0)</f>
        <v/>
      </c>
      <c r="U677" s="1">
        <f>IF(OR(L677="Realizada completa",L677="Realizada incompleta"),1,0)</f>
        <v/>
      </c>
      <c r="V677" s="1">
        <f>IF(L677="Sin respuesta",1,0)</f>
        <v/>
      </c>
    </row>
    <row r="678">
      <c r="A678" s="1" t="str"/>
      <c r="B678" s="1" t="str"/>
      <c r="C678" s="1" t="str"/>
      <c r="D678" s="1" t="str"/>
      <c r="E678" s="1" t="str"/>
      <c r="F678" s="1" t="str"/>
      <c r="G678" s="1" t="str"/>
      <c r="H678" s="1" t="str"/>
      <c r="I678" s="2" t="str"/>
      <c r="J678" s="2" t="str"/>
      <c r="K678" s="2" t="str"/>
      <c r="L678" s="1" t="str"/>
      <c r="M678" s="2" t="str"/>
      <c r="N678" s="2" t="str"/>
      <c r="O678" s="1" t="str"/>
      <c r="P678" s="1" t="str"/>
      <c r="Q678" s="1" t="str"/>
      <c r="R678" s="1">
        <f>IF(H678="Sí",1,0)</f>
        <v/>
      </c>
      <c r="S678" s="1">
        <f>IF(L678="En coordinación",1,0)</f>
        <v/>
      </c>
      <c r="T678" s="1">
        <f>IF(L678="Aceptada",1,0)</f>
        <v/>
      </c>
      <c r="U678" s="1">
        <f>IF(OR(L678="Realizada completa",L678="Realizada incompleta"),1,0)</f>
        <v/>
      </c>
      <c r="V678" s="1">
        <f>IF(L678="Sin respuesta",1,0)</f>
        <v/>
      </c>
    </row>
    <row r="679">
      <c r="A679" s="1" t="str"/>
      <c r="B679" s="1" t="str"/>
      <c r="C679" s="1" t="str"/>
      <c r="D679" s="1" t="str"/>
      <c r="E679" s="1" t="str"/>
      <c r="F679" s="1" t="str"/>
      <c r="G679" s="1" t="str"/>
      <c r="H679" s="1" t="str"/>
      <c r="I679" s="2" t="str"/>
      <c r="J679" s="2" t="str"/>
      <c r="K679" s="2" t="str"/>
      <c r="L679" s="1" t="str"/>
      <c r="M679" s="2" t="str"/>
      <c r="N679" s="2" t="str"/>
      <c r="O679" s="1" t="str"/>
      <c r="P679" s="1" t="str"/>
      <c r="Q679" s="1" t="str"/>
      <c r="R679" s="1">
        <f>IF(H679="Sí",1,0)</f>
        <v/>
      </c>
      <c r="S679" s="1">
        <f>IF(L679="En coordinación",1,0)</f>
        <v/>
      </c>
      <c r="T679" s="1">
        <f>IF(L679="Aceptada",1,0)</f>
        <v/>
      </c>
      <c r="U679" s="1">
        <f>IF(OR(L679="Realizada completa",L679="Realizada incompleta"),1,0)</f>
        <v/>
      </c>
      <c r="V679" s="1">
        <f>IF(L679="Sin respuesta",1,0)</f>
        <v/>
      </c>
    </row>
    <row r="680">
      <c r="A680" s="1" t="str"/>
      <c r="B680" s="1" t="str"/>
      <c r="C680" s="1" t="str"/>
      <c r="D680" s="1" t="str"/>
      <c r="E680" s="1" t="str"/>
      <c r="F680" s="1" t="str"/>
      <c r="G680" s="1" t="str"/>
      <c r="H680" s="1" t="str"/>
      <c r="I680" s="2" t="str"/>
      <c r="J680" s="2" t="str"/>
      <c r="K680" s="2" t="str"/>
      <c r="L680" s="1" t="str"/>
      <c r="M680" s="2" t="str"/>
      <c r="N680" s="2" t="str"/>
      <c r="O680" s="1" t="str"/>
      <c r="P680" s="1" t="str"/>
      <c r="Q680" s="1" t="str"/>
      <c r="R680" s="1">
        <f>IF(H680="Sí",1,0)</f>
        <v/>
      </c>
      <c r="S680" s="1">
        <f>IF(L680="En coordinación",1,0)</f>
        <v/>
      </c>
      <c r="T680" s="1">
        <f>IF(L680="Aceptada",1,0)</f>
        <v/>
      </c>
      <c r="U680" s="1">
        <f>IF(OR(L680="Realizada completa",L680="Realizada incompleta"),1,0)</f>
        <v/>
      </c>
      <c r="V680" s="1">
        <f>IF(L680="Sin respuesta",1,0)</f>
        <v/>
      </c>
    </row>
    <row r="681">
      <c r="A681" s="1" t="str"/>
      <c r="B681" s="1" t="str"/>
      <c r="C681" s="1" t="str"/>
      <c r="D681" s="1" t="str"/>
      <c r="E681" s="1" t="str"/>
      <c r="F681" s="1" t="str"/>
      <c r="G681" s="1" t="str"/>
      <c r="H681" s="1" t="str"/>
      <c r="I681" s="2" t="str"/>
      <c r="J681" s="2" t="str"/>
      <c r="K681" s="2" t="str"/>
      <c r="L681" s="1" t="str"/>
      <c r="M681" s="2" t="str"/>
      <c r="N681" s="2" t="str"/>
      <c r="O681" s="1" t="str"/>
      <c r="P681" s="1" t="str"/>
      <c r="Q681" s="1" t="str"/>
      <c r="R681" s="1">
        <f>IF(H681="Sí",1,0)</f>
        <v/>
      </c>
      <c r="S681" s="1">
        <f>IF(L681="En coordinación",1,0)</f>
        <v/>
      </c>
      <c r="T681" s="1">
        <f>IF(L681="Aceptada",1,0)</f>
        <v/>
      </c>
      <c r="U681" s="1">
        <f>IF(OR(L681="Realizada completa",L681="Realizada incompleta"),1,0)</f>
        <v/>
      </c>
      <c r="V681" s="1">
        <f>IF(L681="Sin respuesta",1,0)</f>
        <v/>
      </c>
    </row>
    <row r="682">
      <c r="A682" s="1" t="str"/>
      <c r="B682" s="1" t="str"/>
      <c r="C682" s="1" t="str"/>
      <c r="D682" s="1" t="str"/>
      <c r="E682" s="1" t="str"/>
      <c r="F682" s="1" t="str"/>
      <c r="G682" s="1" t="str"/>
      <c r="H682" s="1" t="str"/>
      <c r="I682" s="2" t="str"/>
      <c r="J682" s="2" t="str"/>
      <c r="K682" s="2" t="str"/>
      <c r="L682" s="1" t="str"/>
      <c r="M682" s="2" t="str"/>
      <c r="N682" s="2" t="str"/>
      <c r="O682" s="1" t="str"/>
      <c r="P682" s="1" t="str"/>
      <c r="Q682" s="1" t="str"/>
      <c r="R682" s="1">
        <f>IF(H682="Sí",1,0)</f>
        <v/>
      </c>
      <c r="S682" s="1">
        <f>IF(L682="En coordinación",1,0)</f>
        <v/>
      </c>
      <c r="T682" s="1">
        <f>IF(L682="Aceptada",1,0)</f>
        <v/>
      </c>
      <c r="U682" s="1">
        <f>IF(OR(L682="Realizada completa",L682="Realizada incompleta"),1,0)</f>
        <v/>
      </c>
      <c r="V682" s="1">
        <f>IF(L682="Sin respuesta",1,0)</f>
        <v/>
      </c>
    </row>
    <row r="683">
      <c r="A683" s="1" t="str"/>
      <c r="B683" s="1" t="str"/>
      <c r="C683" s="1" t="str"/>
      <c r="D683" s="1" t="str"/>
      <c r="E683" s="1" t="str"/>
      <c r="F683" s="1" t="str"/>
      <c r="G683" s="1" t="str"/>
      <c r="H683" s="1" t="str"/>
      <c r="I683" s="2" t="str"/>
      <c r="J683" s="2" t="str"/>
      <c r="K683" s="2" t="str"/>
      <c r="L683" s="1" t="str"/>
      <c r="M683" s="2" t="str"/>
      <c r="N683" s="2" t="str"/>
      <c r="O683" s="1" t="str"/>
      <c r="P683" s="1" t="str"/>
      <c r="Q683" s="1" t="str"/>
      <c r="R683" s="1">
        <f>IF(H683="Sí",1,0)</f>
        <v/>
      </c>
      <c r="S683" s="1">
        <f>IF(L683="En coordinación",1,0)</f>
        <v/>
      </c>
      <c r="T683" s="1">
        <f>IF(L683="Aceptada",1,0)</f>
        <v/>
      </c>
      <c r="U683" s="1">
        <f>IF(OR(L683="Realizada completa",L683="Realizada incompleta"),1,0)</f>
        <v/>
      </c>
      <c r="V683" s="1">
        <f>IF(L683="Sin respuesta",1,0)</f>
        <v/>
      </c>
    </row>
    <row r="684">
      <c r="A684" s="1" t="str"/>
      <c r="B684" s="1" t="str"/>
      <c r="C684" s="1" t="str"/>
      <c r="D684" s="1" t="str"/>
      <c r="E684" s="1" t="str"/>
      <c r="F684" s="1" t="str"/>
      <c r="G684" s="1" t="str"/>
      <c r="H684" s="1" t="str"/>
      <c r="I684" s="2" t="str"/>
      <c r="J684" s="2" t="str"/>
      <c r="K684" s="2" t="str"/>
      <c r="L684" s="1" t="str"/>
      <c r="M684" s="2" t="str"/>
      <c r="N684" s="2" t="str"/>
      <c r="O684" s="1" t="str"/>
      <c r="P684" s="1" t="str"/>
      <c r="Q684" s="1" t="str"/>
      <c r="R684" s="1">
        <f>IF(H684="Sí",1,0)</f>
        <v/>
      </c>
      <c r="S684" s="1">
        <f>IF(L684="En coordinación",1,0)</f>
        <v/>
      </c>
      <c r="T684" s="1">
        <f>IF(L684="Aceptada",1,0)</f>
        <v/>
      </c>
      <c r="U684" s="1">
        <f>IF(OR(L684="Realizada completa",L684="Realizada incompleta"),1,0)</f>
        <v/>
      </c>
      <c r="V684" s="1">
        <f>IF(L684="Sin respuesta",1,0)</f>
        <v/>
      </c>
    </row>
    <row r="685">
      <c r="A685" s="1" t="str"/>
      <c r="B685" s="1" t="str"/>
      <c r="C685" s="1" t="str"/>
      <c r="D685" s="1" t="str"/>
      <c r="E685" s="1" t="str"/>
      <c r="F685" s="1" t="str"/>
      <c r="G685" s="1" t="str"/>
      <c r="H685" s="1" t="str"/>
      <c r="I685" s="2" t="str"/>
      <c r="J685" s="2" t="str"/>
      <c r="K685" s="2" t="str"/>
      <c r="L685" s="1" t="str"/>
      <c r="M685" s="2" t="str"/>
      <c r="N685" s="2" t="str"/>
      <c r="O685" s="1" t="str"/>
      <c r="P685" s="1" t="str"/>
      <c r="Q685" s="1" t="str"/>
      <c r="R685" s="1">
        <f>IF(H685="Sí",1,0)</f>
        <v/>
      </c>
      <c r="S685" s="1">
        <f>IF(L685="En coordinación",1,0)</f>
        <v/>
      </c>
      <c r="T685" s="1">
        <f>IF(L685="Aceptada",1,0)</f>
        <v/>
      </c>
      <c r="U685" s="1">
        <f>IF(OR(L685="Realizada completa",L685="Realizada incompleta"),1,0)</f>
        <v/>
      </c>
      <c r="V685" s="1">
        <f>IF(L685="Sin respuesta",1,0)</f>
        <v/>
      </c>
    </row>
    <row r="686">
      <c r="A686" s="1" t="str"/>
      <c r="B686" s="1" t="str"/>
      <c r="C686" s="1" t="str"/>
      <c r="D686" s="1" t="str"/>
      <c r="E686" s="1" t="str"/>
      <c r="F686" s="1" t="str"/>
      <c r="G686" s="1" t="str"/>
      <c r="H686" s="1" t="str"/>
      <c r="I686" s="2" t="str"/>
      <c r="J686" s="2" t="str"/>
      <c r="K686" s="2" t="str"/>
      <c r="L686" s="1" t="str"/>
      <c r="M686" s="2" t="str"/>
      <c r="N686" s="2" t="str"/>
      <c r="O686" s="1" t="str"/>
      <c r="P686" s="1" t="str"/>
      <c r="Q686" s="1" t="str"/>
      <c r="R686" s="1">
        <f>IF(H686="Sí",1,0)</f>
        <v/>
      </c>
      <c r="S686" s="1">
        <f>IF(L686="En coordinación",1,0)</f>
        <v/>
      </c>
      <c r="T686" s="1">
        <f>IF(L686="Aceptada",1,0)</f>
        <v/>
      </c>
      <c r="U686" s="1">
        <f>IF(OR(L686="Realizada completa",L686="Realizada incompleta"),1,0)</f>
        <v/>
      </c>
      <c r="V686" s="1">
        <f>IF(L686="Sin respuesta",1,0)</f>
        <v/>
      </c>
    </row>
    <row r="687">
      <c r="A687" s="1" t="str"/>
      <c r="B687" s="1" t="str"/>
      <c r="C687" s="1" t="str"/>
      <c r="D687" s="1" t="str"/>
      <c r="E687" s="1" t="str"/>
      <c r="F687" s="1" t="str"/>
      <c r="G687" s="1" t="str"/>
      <c r="H687" s="1" t="str"/>
      <c r="I687" s="2" t="str"/>
      <c r="J687" s="2" t="str"/>
      <c r="K687" s="2" t="str"/>
      <c r="L687" s="1" t="str"/>
      <c r="M687" s="2" t="str"/>
      <c r="N687" s="2" t="str"/>
      <c r="O687" s="1" t="str"/>
      <c r="P687" s="1" t="str"/>
      <c r="Q687" s="1" t="str"/>
      <c r="R687" s="1">
        <f>IF(H687="Sí",1,0)</f>
        <v/>
      </c>
      <c r="S687" s="1">
        <f>IF(L687="En coordinación",1,0)</f>
        <v/>
      </c>
      <c r="T687" s="1">
        <f>IF(L687="Aceptada",1,0)</f>
        <v/>
      </c>
      <c r="U687" s="1">
        <f>IF(OR(L687="Realizada completa",L687="Realizada incompleta"),1,0)</f>
        <v/>
      </c>
      <c r="V687" s="1">
        <f>IF(L687="Sin respuesta",1,0)</f>
        <v/>
      </c>
    </row>
    <row r="688">
      <c r="A688" s="1" t="str"/>
      <c r="B688" s="1" t="str"/>
      <c r="C688" s="1" t="str"/>
      <c r="D688" s="1" t="str"/>
      <c r="E688" s="1" t="str"/>
      <c r="F688" s="1" t="str"/>
      <c r="G688" s="1" t="str"/>
      <c r="H688" s="1" t="str"/>
      <c r="I688" s="2" t="str"/>
      <c r="J688" s="2" t="str"/>
      <c r="K688" s="2" t="str"/>
      <c r="L688" s="1" t="str"/>
      <c r="M688" s="2" t="str"/>
      <c r="N688" s="2" t="str"/>
      <c r="O688" s="1" t="str"/>
      <c r="P688" s="1" t="str"/>
      <c r="Q688" s="1" t="str"/>
      <c r="R688" s="1">
        <f>IF(H688="Sí",1,0)</f>
        <v/>
      </c>
      <c r="S688" s="1">
        <f>IF(L688="En coordinación",1,0)</f>
        <v/>
      </c>
      <c r="T688" s="1">
        <f>IF(L688="Aceptada",1,0)</f>
        <v/>
      </c>
      <c r="U688" s="1">
        <f>IF(OR(L688="Realizada completa",L688="Realizada incompleta"),1,0)</f>
        <v/>
      </c>
      <c r="V688" s="1">
        <f>IF(L688="Sin respuesta",1,0)</f>
        <v/>
      </c>
    </row>
    <row r="689">
      <c r="A689" s="1" t="str"/>
      <c r="B689" s="1" t="str"/>
      <c r="C689" s="1" t="str"/>
      <c r="D689" s="1" t="str"/>
      <c r="E689" s="1" t="str"/>
      <c r="F689" s="1" t="str"/>
      <c r="G689" s="1" t="str"/>
      <c r="H689" s="1" t="str"/>
      <c r="I689" s="2" t="str"/>
      <c r="J689" s="2" t="str"/>
      <c r="K689" s="2" t="str"/>
      <c r="L689" s="1" t="str"/>
      <c r="M689" s="2" t="str"/>
      <c r="N689" s="2" t="str"/>
      <c r="O689" s="1" t="str"/>
      <c r="P689" s="1" t="str"/>
      <c r="Q689" s="1" t="str"/>
      <c r="R689" s="1">
        <f>IF(H689="Sí",1,0)</f>
        <v/>
      </c>
      <c r="S689" s="1">
        <f>IF(L689="En coordinación",1,0)</f>
        <v/>
      </c>
      <c r="T689" s="1">
        <f>IF(L689="Aceptada",1,0)</f>
        <v/>
      </c>
      <c r="U689" s="1">
        <f>IF(OR(L689="Realizada completa",L689="Realizada incompleta"),1,0)</f>
        <v/>
      </c>
      <c r="V689" s="1">
        <f>IF(L689="Sin respuesta",1,0)</f>
        <v/>
      </c>
    </row>
    <row r="690">
      <c r="A690" s="1" t="str"/>
      <c r="B690" s="1" t="str"/>
      <c r="C690" s="1" t="str"/>
      <c r="D690" s="1" t="str"/>
      <c r="E690" s="1" t="str"/>
      <c r="F690" s="1" t="str"/>
      <c r="G690" s="1" t="str"/>
      <c r="H690" s="1" t="str"/>
      <c r="I690" s="2" t="str"/>
      <c r="J690" s="2" t="str"/>
      <c r="K690" s="2" t="str"/>
      <c r="L690" s="1" t="str"/>
      <c r="M690" s="2" t="str"/>
      <c r="N690" s="2" t="str"/>
      <c r="O690" s="1" t="str"/>
      <c r="P690" s="1" t="str"/>
      <c r="Q690" s="1" t="str"/>
      <c r="R690" s="1">
        <f>IF(H690="Sí",1,0)</f>
        <v/>
      </c>
      <c r="S690" s="1">
        <f>IF(L690="En coordinación",1,0)</f>
        <v/>
      </c>
      <c r="T690" s="1">
        <f>IF(L690="Aceptada",1,0)</f>
        <v/>
      </c>
      <c r="U690" s="1">
        <f>IF(OR(L690="Realizada completa",L690="Realizada incompleta"),1,0)</f>
        <v/>
      </c>
      <c r="V690" s="1">
        <f>IF(L690="Sin respuesta",1,0)</f>
        <v/>
      </c>
    </row>
    <row r="691">
      <c r="A691" s="1" t="str"/>
      <c r="B691" s="1" t="str"/>
      <c r="C691" s="1" t="str"/>
      <c r="D691" s="1" t="str"/>
      <c r="E691" s="1" t="str"/>
      <c r="F691" s="1" t="str"/>
      <c r="G691" s="1" t="str"/>
      <c r="H691" s="1" t="str"/>
      <c r="I691" s="2" t="str"/>
      <c r="J691" s="2" t="str"/>
      <c r="K691" s="2" t="str"/>
      <c r="L691" s="1" t="str"/>
      <c r="M691" s="2" t="str"/>
      <c r="N691" s="2" t="str"/>
      <c r="O691" s="1" t="str"/>
      <c r="P691" s="1" t="str"/>
      <c r="Q691" s="1" t="str"/>
      <c r="R691" s="1">
        <f>IF(H691="Sí",1,0)</f>
        <v/>
      </c>
      <c r="S691" s="1">
        <f>IF(L691="En coordinación",1,0)</f>
        <v/>
      </c>
      <c r="T691" s="1">
        <f>IF(L691="Aceptada",1,0)</f>
        <v/>
      </c>
      <c r="U691" s="1">
        <f>IF(OR(L691="Realizada completa",L691="Realizada incompleta"),1,0)</f>
        <v/>
      </c>
      <c r="V691" s="1">
        <f>IF(L691="Sin respuesta",1,0)</f>
        <v/>
      </c>
    </row>
    <row r="692">
      <c r="A692" s="1" t="str"/>
      <c r="B692" s="1" t="str"/>
      <c r="C692" s="1" t="str"/>
      <c r="D692" s="1" t="str"/>
      <c r="E692" s="1" t="str"/>
      <c r="F692" s="1" t="str"/>
      <c r="G692" s="1" t="str"/>
      <c r="H692" s="1" t="str"/>
      <c r="I692" s="2" t="str"/>
      <c r="J692" s="2" t="str"/>
      <c r="K692" s="2" t="str"/>
      <c r="L692" s="1" t="str"/>
      <c r="M692" s="2" t="str"/>
      <c r="N692" s="2" t="str"/>
      <c r="O692" s="1" t="str"/>
      <c r="P692" s="1" t="str"/>
      <c r="Q692" s="1" t="str"/>
      <c r="R692" s="1">
        <f>IF(H692="Sí",1,0)</f>
        <v/>
      </c>
      <c r="S692" s="1">
        <f>IF(L692="En coordinación",1,0)</f>
        <v/>
      </c>
      <c r="T692" s="1">
        <f>IF(L692="Aceptada",1,0)</f>
        <v/>
      </c>
      <c r="U692" s="1">
        <f>IF(OR(L692="Realizada completa",L692="Realizada incompleta"),1,0)</f>
        <v/>
      </c>
      <c r="V692" s="1">
        <f>IF(L692="Sin respuesta",1,0)</f>
        <v/>
      </c>
    </row>
    <row r="693">
      <c r="A693" s="1" t="str"/>
      <c r="B693" s="1" t="str"/>
      <c r="C693" s="1" t="str"/>
      <c r="D693" s="1" t="str"/>
      <c r="E693" s="1" t="str"/>
      <c r="F693" s="1" t="str"/>
      <c r="G693" s="1" t="str"/>
      <c r="H693" s="1" t="str"/>
      <c r="I693" s="2" t="str"/>
      <c r="J693" s="2" t="str"/>
      <c r="K693" s="2" t="str"/>
      <c r="L693" s="1" t="str"/>
      <c r="M693" s="2" t="str"/>
      <c r="N693" s="2" t="str"/>
      <c r="O693" s="1" t="str"/>
      <c r="P693" s="1" t="str"/>
      <c r="Q693" s="1" t="str"/>
      <c r="R693" s="1">
        <f>IF(H693="Sí",1,0)</f>
        <v/>
      </c>
      <c r="S693" s="1">
        <f>IF(L693="En coordinación",1,0)</f>
        <v/>
      </c>
      <c r="T693" s="1">
        <f>IF(L693="Aceptada",1,0)</f>
        <v/>
      </c>
      <c r="U693" s="1">
        <f>IF(OR(L693="Realizada completa",L693="Realizada incompleta"),1,0)</f>
        <v/>
      </c>
      <c r="V693" s="1">
        <f>IF(L693="Sin respuesta",1,0)</f>
        <v/>
      </c>
    </row>
    <row r="694">
      <c r="A694" s="1" t="str"/>
      <c r="B694" s="1" t="str"/>
      <c r="C694" s="1" t="str"/>
      <c r="D694" s="1" t="str"/>
      <c r="E694" s="1" t="str"/>
      <c r="F694" s="1" t="str"/>
      <c r="G694" s="1" t="str"/>
      <c r="H694" s="1" t="str"/>
      <c r="I694" s="2" t="str"/>
      <c r="J694" s="2" t="str"/>
      <c r="K694" s="2" t="str"/>
      <c r="L694" s="1" t="str"/>
      <c r="M694" s="2" t="str"/>
      <c r="N694" s="2" t="str"/>
      <c r="O694" s="1" t="str"/>
      <c r="P694" s="1" t="str"/>
      <c r="Q694" s="1" t="str"/>
      <c r="R694" s="1">
        <f>IF(H694="Sí",1,0)</f>
        <v/>
      </c>
      <c r="S694" s="1">
        <f>IF(L694="En coordinación",1,0)</f>
        <v/>
      </c>
      <c r="T694" s="1">
        <f>IF(L694="Aceptada",1,0)</f>
        <v/>
      </c>
      <c r="U694" s="1">
        <f>IF(OR(L694="Realizada completa",L694="Realizada incompleta"),1,0)</f>
        <v/>
      </c>
      <c r="V694" s="1">
        <f>IF(L694="Sin respuesta",1,0)</f>
        <v/>
      </c>
    </row>
    <row r="695">
      <c r="A695" s="1" t="str"/>
      <c r="B695" s="1" t="str"/>
      <c r="C695" s="1" t="str"/>
      <c r="D695" s="1" t="str"/>
      <c r="E695" s="1" t="str"/>
      <c r="F695" s="1" t="str"/>
      <c r="G695" s="1" t="str"/>
      <c r="H695" s="1" t="str"/>
      <c r="I695" s="2" t="str"/>
      <c r="J695" s="2" t="str"/>
      <c r="K695" s="2" t="str"/>
      <c r="L695" s="1" t="str"/>
      <c r="M695" s="2" t="str"/>
      <c r="N695" s="2" t="str"/>
      <c r="O695" s="1" t="str"/>
      <c r="P695" s="1" t="str"/>
      <c r="Q695" s="1" t="str"/>
      <c r="R695" s="1">
        <f>IF(H695="Sí",1,0)</f>
        <v/>
      </c>
      <c r="S695" s="1">
        <f>IF(L695="En coordinación",1,0)</f>
        <v/>
      </c>
      <c r="T695" s="1">
        <f>IF(L695="Aceptada",1,0)</f>
        <v/>
      </c>
      <c r="U695" s="1">
        <f>IF(OR(L695="Realizada completa",L695="Realizada incompleta"),1,0)</f>
        <v/>
      </c>
      <c r="V695" s="1">
        <f>IF(L695="Sin respuesta",1,0)</f>
        <v/>
      </c>
    </row>
    <row r="696">
      <c r="A696" s="1" t="str"/>
      <c r="B696" s="1" t="str"/>
      <c r="C696" s="1" t="str"/>
      <c r="D696" s="1" t="str"/>
      <c r="E696" s="1" t="str"/>
      <c r="F696" s="1" t="str"/>
      <c r="G696" s="1" t="str"/>
      <c r="H696" s="1" t="str"/>
      <c r="I696" s="2" t="str"/>
      <c r="J696" s="2" t="str"/>
      <c r="K696" s="2" t="str"/>
      <c r="L696" s="1" t="str"/>
      <c r="M696" s="2" t="str"/>
      <c r="N696" s="2" t="str"/>
      <c r="O696" s="1" t="str"/>
      <c r="P696" s="1" t="str"/>
      <c r="Q696" s="1" t="str"/>
      <c r="R696" s="1">
        <f>IF(H696="Sí",1,0)</f>
        <v/>
      </c>
      <c r="S696" s="1">
        <f>IF(L696="En coordinación",1,0)</f>
        <v/>
      </c>
      <c r="T696" s="1">
        <f>IF(L696="Aceptada",1,0)</f>
        <v/>
      </c>
      <c r="U696" s="1">
        <f>IF(OR(L696="Realizada completa",L696="Realizada incompleta"),1,0)</f>
        <v/>
      </c>
      <c r="V696" s="1">
        <f>IF(L696="Sin respuesta",1,0)</f>
        <v/>
      </c>
    </row>
    <row r="697">
      <c r="A697" s="1" t="str"/>
      <c r="B697" s="1" t="str"/>
      <c r="C697" s="1" t="str"/>
      <c r="D697" s="1" t="str"/>
      <c r="E697" s="1" t="str"/>
      <c r="F697" s="1" t="str"/>
      <c r="G697" s="1" t="str"/>
      <c r="H697" s="1" t="str"/>
      <c r="I697" s="2" t="str"/>
      <c r="J697" s="2" t="str"/>
      <c r="K697" s="2" t="str"/>
      <c r="L697" s="1" t="str"/>
      <c r="M697" s="2" t="str"/>
      <c r="N697" s="2" t="str"/>
      <c r="O697" s="1" t="str"/>
      <c r="P697" s="1" t="str"/>
      <c r="Q697" s="1" t="str"/>
      <c r="R697" s="1">
        <f>IF(H697="Sí",1,0)</f>
        <v/>
      </c>
      <c r="S697" s="1">
        <f>IF(L697="En coordinación",1,0)</f>
        <v/>
      </c>
      <c r="T697" s="1">
        <f>IF(L697="Aceptada",1,0)</f>
        <v/>
      </c>
      <c r="U697" s="1">
        <f>IF(OR(L697="Realizada completa",L697="Realizada incompleta"),1,0)</f>
        <v/>
      </c>
      <c r="V697" s="1">
        <f>IF(L697="Sin respuesta",1,0)</f>
        <v/>
      </c>
    </row>
    <row r="698">
      <c r="A698" s="1" t="str"/>
      <c r="B698" s="1" t="str"/>
      <c r="C698" s="1" t="str"/>
      <c r="D698" s="1" t="str"/>
      <c r="E698" s="1" t="str"/>
      <c r="F698" s="1" t="str"/>
      <c r="G698" s="1" t="str"/>
      <c r="H698" s="1" t="str"/>
      <c r="I698" s="2" t="str"/>
      <c r="J698" s="2" t="str"/>
      <c r="K698" s="2" t="str"/>
      <c r="L698" s="1" t="str"/>
      <c r="M698" s="2" t="str"/>
      <c r="N698" s="2" t="str"/>
      <c r="O698" s="1" t="str"/>
      <c r="P698" s="1" t="str"/>
      <c r="Q698" s="1" t="str"/>
      <c r="R698" s="1">
        <f>IF(H698="Sí",1,0)</f>
        <v/>
      </c>
      <c r="S698" s="1">
        <f>IF(L698="En coordinación",1,0)</f>
        <v/>
      </c>
      <c r="T698" s="1">
        <f>IF(L698="Aceptada",1,0)</f>
        <v/>
      </c>
      <c r="U698" s="1">
        <f>IF(OR(L698="Realizada completa",L698="Realizada incompleta"),1,0)</f>
        <v/>
      </c>
      <c r="V698" s="1">
        <f>IF(L698="Sin respuesta",1,0)</f>
        <v/>
      </c>
    </row>
    <row r="699">
      <c r="A699" s="1" t="str"/>
      <c r="B699" s="1" t="str"/>
      <c r="C699" s="1" t="str"/>
      <c r="D699" s="1" t="str"/>
      <c r="E699" s="1" t="str"/>
      <c r="F699" s="1" t="str"/>
      <c r="G699" s="1" t="str"/>
      <c r="H699" s="1" t="str"/>
      <c r="I699" s="2" t="str"/>
      <c r="J699" s="2" t="str"/>
      <c r="K699" s="2" t="str"/>
      <c r="L699" s="1" t="str"/>
      <c r="M699" s="2" t="str"/>
      <c r="N699" s="2" t="str"/>
      <c r="O699" s="1" t="str"/>
      <c r="P699" s="1" t="str"/>
      <c r="Q699" s="1" t="str"/>
      <c r="R699" s="1">
        <f>IF(H699="Sí",1,0)</f>
        <v/>
      </c>
      <c r="S699" s="1">
        <f>IF(L699="En coordinación",1,0)</f>
        <v/>
      </c>
      <c r="T699" s="1">
        <f>IF(L699="Aceptada",1,0)</f>
        <v/>
      </c>
      <c r="U699" s="1">
        <f>IF(OR(L699="Realizada completa",L699="Realizada incompleta"),1,0)</f>
        <v/>
      </c>
      <c r="V699" s="1">
        <f>IF(L699="Sin respuesta",1,0)</f>
        <v/>
      </c>
    </row>
    <row r="700">
      <c r="A700" s="1" t="str"/>
      <c r="B700" s="1" t="str"/>
      <c r="C700" s="1" t="str"/>
      <c r="D700" s="1" t="str"/>
      <c r="E700" s="1" t="str"/>
      <c r="F700" s="1" t="str"/>
      <c r="G700" s="1" t="str"/>
      <c r="H700" s="1" t="str"/>
      <c r="I700" s="2" t="str"/>
      <c r="J700" s="2" t="str"/>
      <c r="K700" s="2" t="str"/>
      <c r="L700" s="1" t="str"/>
      <c r="M700" s="2" t="str"/>
      <c r="N700" s="2" t="str"/>
      <c r="O700" s="1" t="str"/>
      <c r="P700" s="1" t="str"/>
      <c r="Q700" s="1" t="str"/>
      <c r="R700" s="1">
        <f>IF(H700="Sí",1,0)</f>
        <v/>
      </c>
      <c r="S700" s="1">
        <f>IF(L700="En coordinación",1,0)</f>
        <v/>
      </c>
      <c r="T700" s="1">
        <f>IF(L700="Aceptada",1,0)</f>
        <v/>
      </c>
      <c r="U700" s="1">
        <f>IF(OR(L700="Realizada completa",L700="Realizada incompleta"),1,0)</f>
        <v/>
      </c>
      <c r="V700" s="1">
        <f>IF(L700="Sin respuesta",1,0)</f>
        <v/>
      </c>
    </row>
    <row r="701">
      <c r="A701" s="1" t="str"/>
      <c r="B701" s="1" t="str"/>
      <c r="C701" s="1" t="str"/>
      <c r="D701" s="1" t="str"/>
      <c r="E701" s="1" t="str"/>
      <c r="F701" s="1" t="str"/>
      <c r="G701" s="1" t="str"/>
      <c r="H701" s="1" t="str"/>
      <c r="I701" s="2" t="str"/>
      <c r="J701" s="2" t="str"/>
      <c r="K701" s="2" t="str"/>
      <c r="L701" s="1" t="str"/>
      <c r="M701" s="2" t="str"/>
      <c r="N701" s="2" t="str"/>
      <c r="O701" s="1" t="str"/>
      <c r="P701" s="1" t="str"/>
      <c r="Q701" s="1" t="str"/>
      <c r="R701" s="1">
        <f>IF(H701="Sí",1,0)</f>
        <v/>
      </c>
      <c r="S701" s="1">
        <f>IF(L701="En coordinación",1,0)</f>
        <v/>
      </c>
      <c r="T701" s="1">
        <f>IF(L701="Aceptada",1,0)</f>
        <v/>
      </c>
      <c r="U701" s="1">
        <f>IF(OR(L701="Realizada completa",L701="Realizada incompleta"),1,0)</f>
        <v/>
      </c>
      <c r="V701" s="1">
        <f>IF(L701="Sin respuesta",1,0)</f>
        <v/>
      </c>
    </row>
    <row r="702">
      <c r="A702" s="1" t="str"/>
      <c r="B702" s="1" t="str"/>
      <c r="C702" s="1" t="str"/>
      <c r="D702" s="1" t="str"/>
      <c r="E702" s="1" t="str"/>
      <c r="F702" s="1" t="str"/>
      <c r="G702" s="1" t="str"/>
      <c r="H702" s="1" t="str"/>
      <c r="I702" s="2" t="str"/>
      <c r="J702" s="2" t="str"/>
      <c r="K702" s="2" t="str"/>
      <c r="L702" s="1" t="str"/>
      <c r="M702" s="2" t="str"/>
      <c r="N702" s="2" t="str"/>
      <c r="O702" s="1" t="str"/>
      <c r="P702" s="1" t="str"/>
      <c r="Q702" s="1" t="str"/>
      <c r="R702" s="1">
        <f>IF(H702="Sí",1,0)</f>
        <v/>
      </c>
      <c r="S702" s="1">
        <f>IF(L702="En coordinación",1,0)</f>
        <v/>
      </c>
      <c r="T702" s="1">
        <f>IF(L702="Aceptada",1,0)</f>
        <v/>
      </c>
      <c r="U702" s="1">
        <f>IF(OR(L702="Realizada completa",L702="Realizada incompleta"),1,0)</f>
        <v/>
      </c>
      <c r="V702" s="1">
        <f>IF(L702="Sin respuesta",1,0)</f>
        <v/>
      </c>
    </row>
    <row r="703">
      <c r="A703" s="1" t="str"/>
      <c r="B703" s="1" t="str"/>
      <c r="C703" s="1" t="str"/>
      <c r="D703" s="1" t="str"/>
      <c r="E703" s="1" t="str"/>
      <c r="F703" s="1" t="str"/>
      <c r="G703" s="1" t="str"/>
      <c r="H703" s="1" t="str"/>
      <c r="I703" s="2" t="str"/>
      <c r="J703" s="2" t="str"/>
      <c r="K703" s="2" t="str"/>
      <c r="L703" s="1" t="str"/>
      <c r="M703" s="2" t="str"/>
      <c r="N703" s="2" t="str"/>
      <c r="O703" s="1" t="str"/>
      <c r="P703" s="1" t="str"/>
      <c r="Q703" s="1" t="str"/>
      <c r="R703" s="1">
        <f>IF(H703="Sí",1,0)</f>
        <v/>
      </c>
      <c r="S703" s="1">
        <f>IF(L703="En coordinación",1,0)</f>
        <v/>
      </c>
      <c r="T703" s="1">
        <f>IF(L703="Aceptada",1,0)</f>
        <v/>
      </c>
      <c r="U703" s="1">
        <f>IF(OR(L703="Realizada completa",L703="Realizada incompleta"),1,0)</f>
        <v/>
      </c>
      <c r="V703" s="1">
        <f>IF(L703="Sin respuesta",1,0)</f>
        <v/>
      </c>
    </row>
    <row r="704">
      <c r="A704" s="1" t="str"/>
      <c r="B704" s="1" t="str"/>
      <c r="C704" s="1" t="str"/>
      <c r="D704" s="1" t="str"/>
      <c r="E704" s="1" t="str"/>
      <c r="F704" s="1" t="str"/>
      <c r="G704" s="1" t="str"/>
      <c r="H704" s="1" t="str"/>
      <c r="I704" s="2" t="str"/>
      <c r="J704" s="2" t="str"/>
      <c r="K704" s="2" t="str"/>
      <c r="L704" s="1" t="str"/>
      <c r="M704" s="2" t="str"/>
      <c r="N704" s="2" t="str"/>
      <c r="O704" s="1" t="str"/>
      <c r="P704" s="1" t="str"/>
      <c r="Q704" s="1" t="str"/>
      <c r="R704" s="1">
        <f>IF(H704="Sí",1,0)</f>
        <v/>
      </c>
      <c r="S704" s="1">
        <f>IF(L704="En coordinación",1,0)</f>
        <v/>
      </c>
      <c r="T704" s="1">
        <f>IF(L704="Aceptada",1,0)</f>
        <v/>
      </c>
      <c r="U704" s="1">
        <f>IF(OR(L704="Realizada completa",L704="Realizada incompleta"),1,0)</f>
        <v/>
      </c>
      <c r="V704" s="1">
        <f>IF(L704="Sin respuesta",1,0)</f>
        <v/>
      </c>
    </row>
    <row r="705">
      <c r="A705" s="1" t="str"/>
      <c r="B705" s="1" t="str"/>
      <c r="C705" s="1" t="str"/>
      <c r="D705" s="1" t="str"/>
      <c r="E705" s="1" t="str"/>
      <c r="F705" s="1" t="str"/>
      <c r="G705" s="1" t="str"/>
      <c r="H705" s="1" t="str"/>
      <c r="I705" s="2" t="str"/>
      <c r="J705" s="2" t="str"/>
      <c r="K705" s="2" t="str"/>
      <c r="L705" s="1" t="str"/>
      <c r="M705" s="2" t="str"/>
      <c r="N705" s="2" t="str"/>
      <c r="O705" s="1" t="str"/>
      <c r="P705" s="1" t="str"/>
      <c r="Q705" s="1" t="str"/>
      <c r="R705" s="1">
        <f>IF(H705="Sí",1,0)</f>
        <v/>
      </c>
      <c r="S705" s="1">
        <f>IF(L705="En coordinación",1,0)</f>
        <v/>
      </c>
      <c r="T705" s="1">
        <f>IF(L705="Aceptada",1,0)</f>
        <v/>
      </c>
      <c r="U705" s="1">
        <f>IF(OR(L705="Realizada completa",L705="Realizada incompleta"),1,0)</f>
        <v/>
      </c>
      <c r="V705" s="1">
        <f>IF(L705="Sin respuesta",1,0)</f>
        <v/>
      </c>
    </row>
    <row r="706">
      <c r="A706" s="1" t="str"/>
      <c r="B706" s="1" t="str"/>
      <c r="C706" s="1" t="str"/>
      <c r="D706" s="1" t="str"/>
      <c r="E706" s="1" t="str"/>
      <c r="F706" s="1" t="str"/>
      <c r="G706" s="1" t="str"/>
      <c r="H706" s="1" t="str"/>
      <c r="I706" s="2" t="str"/>
      <c r="J706" s="2" t="str"/>
      <c r="K706" s="2" t="str"/>
      <c r="L706" s="1" t="str"/>
      <c r="M706" s="2" t="str"/>
      <c r="N706" s="2" t="str"/>
      <c r="O706" s="1" t="str"/>
      <c r="P706" s="1" t="str"/>
      <c r="Q706" s="1" t="str"/>
      <c r="R706" s="1">
        <f>IF(H706="Sí",1,0)</f>
        <v/>
      </c>
      <c r="S706" s="1">
        <f>IF(L706="En coordinación",1,0)</f>
        <v/>
      </c>
      <c r="T706" s="1">
        <f>IF(L706="Aceptada",1,0)</f>
        <v/>
      </c>
      <c r="U706" s="1">
        <f>IF(OR(L706="Realizada completa",L706="Realizada incompleta"),1,0)</f>
        <v/>
      </c>
      <c r="V706" s="1">
        <f>IF(L706="Sin respuesta",1,0)</f>
        <v/>
      </c>
    </row>
    <row r="707">
      <c r="A707" s="1" t="str"/>
      <c r="B707" s="1" t="str"/>
      <c r="C707" s="1" t="str"/>
      <c r="D707" s="1" t="str"/>
      <c r="E707" s="1" t="str"/>
      <c r="F707" s="1" t="str"/>
      <c r="G707" s="1" t="str"/>
      <c r="H707" s="1" t="str"/>
      <c r="I707" s="2" t="str"/>
      <c r="J707" s="2" t="str"/>
      <c r="K707" s="2" t="str"/>
      <c r="L707" s="1" t="str"/>
      <c r="M707" s="2" t="str"/>
      <c r="N707" s="2" t="str"/>
      <c r="O707" s="1" t="str"/>
      <c r="P707" s="1" t="str"/>
      <c r="Q707" s="1" t="str"/>
      <c r="R707" s="1">
        <f>IF(H707="Sí",1,0)</f>
        <v/>
      </c>
      <c r="S707" s="1">
        <f>IF(L707="En coordinación",1,0)</f>
        <v/>
      </c>
      <c r="T707" s="1">
        <f>IF(L707="Aceptada",1,0)</f>
        <v/>
      </c>
      <c r="U707" s="1">
        <f>IF(OR(L707="Realizada completa",L707="Realizada incompleta"),1,0)</f>
        <v/>
      </c>
      <c r="V707" s="1">
        <f>IF(L707="Sin respuesta",1,0)</f>
        <v/>
      </c>
    </row>
    <row r="708">
      <c r="A708" s="1" t="str"/>
      <c r="B708" s="1" t="str"/>
      <c r="C708" s="1" t="str"/>
      <c r="D708" s="1" t="str"/>
      <c r="E708" s="1" t="str"/>
      <c r="F708" s="1" t="str"/>
      <c r="G708" s="1" t="str"/>
      <c r="H708" s="1" t="str"/>
      <c r="I708" s="2" t="str"/>
      <c r="J708" s="2" t="str"/>
      <c r="K708" s="2" t="str"/>
      <c r="L708" s="1" t="str"/>
      <c r="M708" s="2" t="str"/>
      <c r="N708" s="2" t="str"/>
      <c r="O708" s="1" t="str"/>
      <c r="P708" s="1" t="str"/>
      <c r="Q708" s="1" t="str"/>
      <c r="R708" s="1">
        <f>IF(H708="Sí",1,0)</f>
        <v/>
      </c>
      <c r="S708" s="1">
        <f>IF(L708="En coordinación",1,0)</f>
        <v/>
      </c>
      <c r="T708" s="1">
        <f>IF(L708="Aceptada",1,0)</f>
        <v/>
      </c>
      <c r="U708" s="1">
        <f>IF(OR(L708="Realizada completa",L708="Realizada incompleta"),1,0)</f>
        <v/>
      </c>
      <c r="V708" s="1">
        <f>IF(L708="Sin respuesta",1,0)</f>
        <v/>
      </c>
    </row>
    <row r="709">
      <c r="A709" s="1" t="str"/>
      <c r="B709" s="1" t="str"/>
      <c r="C709" s="1" t="str"/>
      <c r="D709" s="1" t="str"/>
      <c r="E709" s="1" t="str"/>
      <c r="F709" s="1" t="str"/>
      <c r="G709" s="1" t="str"/>
      <c r="H709" s="1" t="str"/>
      <c r="I709" s="2" t="str"/>
      <c r="J709" s="2" t="str"/>
      <c r="K709" s="2" t="str"/>
      <c r="L709" s="1" t="str"/>
      <c r="M709" s="2" t="str"/>
      <c r="N709" s="2" t="str"/>
      <c r="O709" s="1" t="str"/>
      <c r="P709" s="1" t="str"/>
      <c r="Q709" s="1" t="str"/>
      <c r="R709" s="1">
        <f>IF(H709="Sí",1,0)</f>
        <v/>
      </c>
      <c r="S709" s="1">
        <f>IF(L709="En coordinación",1,0)</f>
        <v/>
      </c>
      <c r="T709" s="1">
        <f>IF(L709="Aceptada",1,0)</f>
        <v/>
      </c>
      <c r="U709" s="1">
        <f>IF(OR(L709="Realizada completa",L709="Realizada incompleta"),1,0)</f>
        <v/>
      </c>
      <c r="V709" s="1">
        <f>IF(L709="Sin respuesta",1,0)</f>
        <v/>
      </c>
    </row>
    <row r="710">
      <c r="A710" s="1" t="str"/>
      <c r="B710" s="1" t="str"/>
      <c r="C710" s="1" t="str"/>
      <c r="D710" s="1" t="str"/>
      <c r="E710" s="1" t="str"/>
      <c r="F710" s="1" t="str"/>
      <c r="G710" s="1" t="str"/>
      <c r="H710" s="1" t="str"/>
      <c r="I710" s="2" t="str"/>
      <c r="J710" s="2" t="str"/>
      <c r="K710" s="2" t="str"/>
      <c r="L710" s="1" t="str"/>
      <c r="M710" s="2" t="str"/>
      <c r="N710" s="2" t="str"/>
      <c r="O710" s="1" t="str"/>
      <c r="P710" s="1" t="str"/>
      <c r="Q710" s="1" t="str"/>
      <c r="R710" s="1">
        <f>IF(H710="Sí",1,0)</f>
        <v/>
      </c>
      <c r="S710" s="1">
        <f>IF(L710="En coordinación",1,0)</f>
        <v/>
      </c>
      <c r="T710" s="1">
        <f>IF(L710="Aceptada",1,0)</f>
        <v/>
      </c>
      <c r="U710" s="1">
        <f>IF(OR(L710="Realizada completa",L710="Realizada incompleta"),1,0)</f>
        <v/>
      </c>
      <c r="V710" s="1">
        <f>IF(L710="Sin respuesta",1,0)</f>
        <v/>
      </c>
    </row>
    <row r="711">
      <c r="A711" s="1" t="str"/>
      <c r="B711" s="1" t="str"/>
      <c r="C711" s="1" t="str"/>
      <c r="D711" s="1" t="str"/>
      <c r="E711" s="1" t="str"/>
      <c r="F711" s="1" t="str"/>
      <c r="G711" s="1" t="str"/>
      <c r="H711" s="1" t="str"/>
      <c r="I711" s="2" t="str"/>
      <c r="J711" s="2" t="str"/>
      <c r="K711" s="2" t="str"/>
      <c r="L711" s="1" t="str"/>
      <c r="M711" s="2" t="str"/>
      <c r="N711" s="2" t="str"/>
      <c r="O711" s="1" t="str"/>
      <c r="P711" s="1" t="str"/>
      <c r="Q711" s="1" t="str"/>
      <c r="R711" s="1">
        <f>IF(H711="Sí",1,0)</f>
        <v/>
      </c>
      <c r="S711" s="1">
        <f>IF(L711="En coordinación",1,0)</f>
        <v/>
      </c>
      <c r="T711" s="1">
        <f>IF(L711="Aceptada",1,0)</f>
        <v/>
      </c>
      <c r="U711" s="1">
        <f>IF(OR(L711="Realizada completa",L711="Realizada incompleta"),1,0)</f>
        <v/>
      </c>
      <c r="V711" s="1">
        <f>IF(L711="Sin respuesta",1,0)</f>
        <v/>
      </c>
    </row>
    <row r="712">
      <c r="A712" s="1" t="str"/>
      <c r="B712" s="1" t="str"/>
      <c r="C712" s="1" t="str"/>
      <c r="D712" s="1" t="str"/>
      <c r="E712" s="1" t="str"/>
      <c r="F712" s="1" t="str"/>
      <c r="G712" s="1" t="str"/>
      <c r="H712" s="1" t="str"/>
      <c r="I712" s="2" t="str"/>
      <c r="J712" s="2" t="str"/>
      <c r="K712" s="2" t="str"/>
      <c r="L712" s="1" t="str"/>
      <c r="M712" s="2" t="str"/>
      <c r="N712" s="2" t="str"/>
      <c r="O712" s="1" t="str"/>
      <c r="P712" s="1" t="str"/>
      <c r="Q712" s="1" t="str"/>
      <c r="R712" s="1">
        <f>IF(H712="Sí",1,0)</f>
        <v/>
      </c>
      <c r="S712" s="1">
        <f>IF(L712="En coordinación",1,0)</f>
        <v/>
      </c>
      <c r="T712" s="1">
        <f>IF(L712="Aceptada",1,0)</f>
        <v/>
      </c>
      <c r="U712" s="1">
        <f>IF(OR(L712="Realizada completa",L712="Realizada incompleta"),1,0)</f>
        <v/>
      </c>
      <c r="V712" s="1">
        <f>IF(L712="Sin respuesta",1,0)</f>
        <v/>
      </c>
    </row>
    <row r="713">
      <c r="A713" s="1" t="str"/>
      <c r="B713" s="1" t="str"/>
      <c r="C713" s="1" t="str"/>
      <c r="D713" s="1" t="str"/>
      <c r="E713" s="1" t="str"/>
      <c r="F713" s="1" t="str"/>
      <c r="G713" s="1" t="str"/>
      <c r="H713" s="1" t="str"/>
      <c r="I713" s="2" t="str"/>
      <c r="J713" s="2" t="str"/>
      <c r="K713" s="2" t="str"/>
      <c r="L713" s="1" t="str"/>
      <c r="M713" s="2" t="str"/>
      <c r="N713" s="2" t="str"/>
      <c r="O713" s="1" t="str"/>
      <c r="P713" s="1" t="str"/>
      <c r="Q713" s="1" t="str"/>
      <c r="R713" s="1">
        <f>IF(H713="Sí",1,0)</f>
        <v/>
      </c>
      <c r="S713" s="1">
        <f>IF(L713="En coordinación",1,0)</f>
        <v/>
      </c>
      <c r="T713" s="1">
        <f>IF(L713="Aceptada",1,0)</f>
        <v/>
      </c>
      <c r="U713" s="1">
        <f>IF(OR(L713="Realizada completa",L713="Realizada incompleta"),1,0)</f>
        <v/>
      </c>
      <c r="V713" s="1">
        <f>IF(L713="Sin respuesta",1,0)</f>
        <v/>
      </c>
    </row>
    <row r="714">
      <c r="A714" s="1" t="str"/>
      <c r="B714" s="1" t="str"/>
      <c r="C714" s="1" t="str"/>
      <c r="D714" s="1" t="str"/>
      <c r="E714" s="1" t="str"/>
      <c r="F714" s="1" t="str"/>
      <c r="G714" s="1" t="str"/>
      <c r="H714" s="1" t="str"/>
      <c r="I714" s="2" t="str"/>
      <c r="J714" s="2" t="str"/>
      <c r="K714" s="2" t="str"/>
      <c r="L714" s="1" t="str"/>
      <c r="M714" s="2" t="str"/>
      <c r="N714" s="2" t="str"/>
      <c r="O714" s="1" t="str"/>
      <c r="P714" s="1" t="str"/>
      <c r="Q714" s="1" t="str"/>
      <c r="R714" s="1">
        <f>IF(H714="Sí",1,0)</f>
        <v/>
      </c>
      <c r="S714" s="1">
        <f>IF(L714="En coordinación",1,0)</f>
        <v/>
      </c>
      <c r="T714" s="1">
        <f>IF(L714="Aceptada",1,0)</f>
        <v/>
      </c>
      <c r="U714" s="1">
        <f>IF(OR(L714="Realizada completa",L714="Realizada incompleta"),1,0)</f>
        <v/>
      </c>
      <c r="V714" s="1">
        <f>IF(L714="Sin respuesta",1,0)</f>
        <v/>
      </c>
    </row>
    <row r="715">
      <c r="A715" s="1" t="str"/>
      <c r="B715" s="1" t="str"/>
      <c r="C715" s="1" t="str"/>
      <c r="D715" s="1" t="str"/>
      <c r="E715" s="1" t="str"/>
      <c r="F715" s="1" t="str"/>
      <c r="G715" s="1" t="str"/>
      <c r="H715" s="1" t="str"/>
      <c r="I715" s="2" t="str"/>
      <c r="J715" s="2" t="str"/>
      <c r="K715" s="2" t="str"/>
      <c r="L715" s="1" t="str"/>
      <c r="M715" s="2" t="str"/>
      <c r="N715" s="2" t="str"/>
      <c r="O715" s="1" t="str"/>
      <c r="P715" s="1" t="str"/>
      <c r="Q715" s="1" t="str"/>
      <c r="R715" s="1">
        <f>IF(H715="Sí",1,0)</f>
        <v/>
      </c>
      <c r="S715" s="1">
        <f>IF(L715="En coordinación",1,0)</f>
        <v/>
      </c>
      <c r="T715" s="1">
        <f>IF(L715="Aceptada",1,0)</f>
        <v/>
      </c>
      <c r="U715" s="1">
        <f>IF(OR(L715="Realizada completa",L715="Realizada incompleta"),1,0)</f>
        <v/>
      </c>
      <c r="V715" s="1">
        <f>IF(L715="Sin respuesta",1,0)</f>
        <v/>
      </c>
    </row>
    <row r="716">
      <c r="A716" s="1" t="str"/>
      <c r="B716" s="1" t="str"/>
      <c r="C716" s="1" t="str"/>
      <c r="D716" s="1" t="str"/>
      <c r="E716" s="1" t="str"/>
      <c r="F716" s="1" t="str"/>
      <c r="G716" s="1" t="str"/>
      <c r="H716" s="1" t="str"/>
      <c r="I716" s="2" t="str"/>
      <c r="J716" s="2" t="str"/>
      <c r="K716" s="2" t="str"/>
      <c r="L716" s="1" t="str"/>
      <c r="M716" s="2" t="str"/>
      <c r="N716" s="2" t="str"/>
      <c r="O716" s="1" t="str"/>
      <c r="P716" s="1" t="str"/>
      <c r="Q716" s="1" t="str"/>
      <c r="R716" s="1">
        <f>IF(H716="Sí",1,0)</f>
        <v/>
      </c>
      <c r="S716" s="1">
        <f>IF(L716="En coordinación",1,0)</f>
        <v/>
      </c>
      <c r="T716" s="1">
        <f>IF(L716="Aceptada",1,0)</f>
        <v/>
      </c>
      <c r="U716" s="1">
        <f>IF(OR(L716="Realizada completa",L716="Realizada incompleta"),1,0)</f>
        <v/>
      </c>
      <c r="V716" s="1">
        <f>IF(L716="Sin respuesta",1,0)</f>
        <v/>
      </c>
    </row>
    <row r="717">
      <c r="A717" s="1" t="str"/>
      <c r="B717" s="1" t="str"/>
      <c r="C717" s="1" t="str"/>
      <c r="D717" s="1" t="str"/>
      <c r="E717" s="1" t="str"/>
      <c r="F717" s="1" t="str"/>
      <c r="G717" s="1" t="str"/>
      <c r="H717" s="1" t="str"/>
      <c r="I717" s="2" t="str"/>
      <c r="J717" s="2" t="str"/>
      <c r="K717" s="2" t="str"/>
      <c r="L717" s="1" t="str"/>
      <c r="M717" s="2" t="str"/>
      <c r="N717" s="2" t="str"/>
      <c r="O717" s="1" t="str"/>
      <c r="P717" s="1" t="str"/>
      <c r="Q717" s="1" t="str"/>
      <c r="R717" s="1">
        <f>IF(H717="Sí",1,0)</f>
        <v/>
      </c>
      <c r="S717" s="1">
        <f>IF(L717="En coordinación",1,0)</f>
        <v/>
      </c>
      <c r="T717" s="1">
        <f>IF(L717="Aceptada",1,0)</f>
        <v/>
      </c>
      <c r="U717" s="1">
        <f>IF(OR(L717="Realizada completa",L717="Realizada incompleta"),1,0)</f>
        <v/>
      </c>
      <c r="V717" s="1">
        <f>IF(L717="Sin respuesta",1,0)</f>
        <v/>
      </c>
    </row>
    <row r="718">
      <c r="A718" s="1" t="str"/>
      <c r="B718" s="1" t="str"/>
      <c r="C718" s="1" t="str"/>
      <c r="D718" s="1" t="str"/>
      <c r="E718" s="1" t="str"/>
      <c r="F718" s="1" t="str"/>
      <c r="G718" s="1" t="str"/>
      <c r="H718" s="1" t="str"/>
      <c r="I718" s="2" t="str"/>
      <c r="J718" s="2" t="str"/>
      <c r="K718" s="2" t="str"/>
      <c r="L718" s="1" t="str"/>
      <c r="M718" s="2" t="str"/>
      <c r="N718" s="2" t="str"/>
      <c r="O718" s="1" t="str"/>
      <c r="P718" s="1" t="str"/>
      <c r="Q718" s="1" t="str"/>
      <c r="R718" s="1">
        <f>IF(H718="Sí",1,0)</f>
        <v/>
      </c>
      <c r="S718" s="1">
        <f>IF(L718="En coordinación",1,0)</f>
        <v/>
      </c>
      <c r="T718" s="1">
        <f>IF(L718="Aceptada",1,0)</f>
        <v/>
      </c>
      <c r="U718" s="1">
        <f>IF(OR(L718="Realizada completa",L718="Realizada incompleta"),1,0)</f>
        <v/>
      </c>
      <c r="V718" s="1">
        <f>IF(L718="Sin respuesta",1,0)</f>
        <v/>
      </c>
    </row>
    <row r="719">
      <c r="A719" s="1" t="str"/>
      <c r="B719" s="1" t="str"/>
      <c r="C719" s="1" t="str"/>
      <c r="D719" s="1" t="str"/>
      <c r="E719" s="1" t="str"/>
      <c r="F719" s="1" t="str"/>
      <c r="G719" s="1" t="str"/>
      <c r="H719" s="1" t="str"/>
      <c r="I719" s="2" t="str"/>
      <c r="J719" s="2" t="str"/>
      <c r="K719" s="2" t="str"/>
      <c r="L719" s="1" t="str"/>
      <c r="M719" s="2" t="str"/>
      <c r="N719" s="2" t="str"/>
      <c r="O719" s="1" t="str"/>
      <c r="P719" s="1" t="str"/>
      <c r="Q719" s="1" t="str"/>
      <c r="R719" s="1">
        <f>IF(H719="Sí",1,0)</f>
        <v/>
      </c>
      <c r="S719" s="1">
        <f>IF(L719="En coordinación",1,0)</f>
        <v/>
      </c>
      <c r="T719" s="1">
        <f>IF(L719="Aceptada",1,0)</f>
        <v/>
      </c>
      <c r="U719" s="1">
        <f>IF(OR(L719="Realizada completa",L719="Realizada incompleta"),1,0)</f>
        <v/>
      </c>
      <c r="V719" s="1">
        <f>IF(L719="Sin respuesta",1,0)</f>
        <v/>
      </c>
    </row>
    <row r="720">
      <c r="A720" s="1" t="str"/>
      <c r="B720" s="1" t="str"/>
      <c r="C720" s="1" t="str"/>
      <c r="D720" s="1" t="str"/>
      <c r="E720" s="1" t="str"/>
      <c r="F720" s="1" t="str"/>
      <c r="G720" s="1" t="str"/>
      <c r="H720" s="1" t="str"/>
      <c r="I720" s="2" t="str"/>
      <c r="J720" s="2" t="str"/>
      <c r="K720" s="2" t="str"/>
      <c r="L720" s="1" t="str"/>
      <c r="M720" s="2" t="str"/>
      <c r="N720" s="2" t="str"/>
      <c r="O720" s="1" t="str"/>
      <c r="P720" s="1" t="str"/>
      <c r="Q720" s="1" t="str"/>
      <c r="R720" s="1">
        <f>IF(H720="Sí",1,0)</f>
        <v/>
      </c>
      <c r="S720" s="1">
        <f>IF(L720="En coordinación",1,0)</f>
        <v/>
      </c>
      <c r="T720" s="1">
        <f>IF(L720="Aceptada",1,0)</f>
        <v/>
      </c>
      <c r="U720" s="1">
        <f>IF(OR(L720="Realizada completa",L720="Realizada incompleta"),1,0)</f>
        <v/>
      </c>
      <c r="V720" s="1">
        <f>IF(L720="Sin respuesta",1,0)</f>
        <v/>
      </c>
    </row>
    <row r="721">
      <c r="A721" s="1" t="str"/>
      <c r="B721" s="1" t="str"/>
      <c r="C721" s="1" t="str"/>
      <c r="D721" s="1" t="str"/>
      <c r="E721" s="1" t="str"/>
      <c r="F721" s="1" t="str"/>
      <c r="G721" s="1" t="str"/>
      <c r="H721" s="1" t="str"/>
      <c r="I721" s="2" t="str"/>
      <c r="J721" s="2" t="str"/>
      <c r="K721" s="2" t="str"/>
      <c r="L721" s="1" t="str"/>
      <c r="M721" s="2" t="str"/>
      <c r="N721" s="2" t="str"/>
      <c r="O721" s="1" t="str"/>
      <c r="P721" s="1" t="str"/>
      <c r="Q721" s="1" t="str"/>
      <c r="R721" s="1">
        <f>IF(H721="Sí",1,0)</f>
        <v/>
      </c>
      <c r="S721" s="1">
        <f>IF(L721="En coordinación",1,0)</f>
        <v/>
      </c>
      <c r="T721" s="1">
        <f>IF(L721="Aceptada",1,0)</f>
        <v/>
      </c>
      <c r="U721" s="1">
        <f>IF(OR(L721="Realizada completa",L721="Realizada incompleta"),1,0)</f>
        <v/>
      </c>
      <c r="V721" s="1">
        <f>IF(L721="Sin respuesta",1,0)</f>
        <v/>
      </c>
    </row>
    <row r="722">
      <c r="A722" s="1" t="str"/>
      <c r="B722" s="1" t="str"/>
      <c r="C722" s="1" t="str"/>
      <c r="D722" s="1" t="str"/>
      <c r="E722" s="1" t="str"/>
      <c r="F722" s="1" t="str"/>
      <c r="G722" s="1" t="str"/>
      <c r="H722" s="1" t="str"/>
      <c r="I722" s="2" t="str"/>
      <c r="J722" s="2" t="str"/>
      <c r="K722" s="2" t="str"/>
      <c r="L722" s="1" t="str"/>
      <c r="M722" s="2" t="str"/>
      <c r="N722" s="2" t="str"/>
      <c r="O722" s="1" t="str"/>
      <c r="P722" s="1" t="str"/>
      <c r="Q722" s="1" t="str"/>
      <c r="R722" s="1">
        <f>IF(H722="Sí",1,0)</f>
        <v/>
      </c>
      <c r="S722" s="1">
        <f>IF(L722="En coordinación",1,0)</f>
        <v/>
      </c>
      <c r="T722" s="1">
        <f>IF(L722="Aceptada",1,0)</f>
        <v/>
      </c>
      <c r="U722" s="1">
        <f>IF(OR(L722="Realizada completa",L722="Realizada incompleta"),1,0)</f>
        <v/>
      </c>
      <c r="V722" s="1">
        <f>IF(L722="Sin respuesta",1,0)</f>
        <v/>
      </c>
    </row>
    <row r="723">
      <c r="A723" s="1" t="str"/>
      <c r="B723" s="1" t="str"/>
      <c r="C723" s="1" t="str"/>
      <c r="D723" s="1" t="str"/>
      <c r="E723" s="1" t="str"/>
      <c r="F723" s="1" t="str"/>
      <c r="G723" s="1" t="str"/>
      <c r="H723" s="1" t="str"/>
      <c r="I723" s="2" t="str"/>
      <c r="J723" s="2" t="str"/>
      <c r="K723" s="2" t="str"/>
      <c r="L723" s="1" t="str"/>
      <c r="M723" s="2" t="str"/>
      <c r="N723" s="2" t="str"/>
      <c r="O723" s="1" t="str"/>
      <c r="P723" s="1" t="str"/>
      <c r="Q723" s="1" t="str"/>
      <c r="R723" s="1">
        <f>IF(H723="Sí",1,0)</f>
        <v/>
      </c>
      <c r="S723" s="1">
        <f>IF(L723="En coordinación",1,0)</f>
        <v/>
      </c>
      <c r="T723" s="1">
        <f>IF(L723="Aceptada",1,0)</f>
        <v/>
      </c>
      <c r="U723" s="1">
        <f>IF(OR(L723="Realizada completa",L723="Realizada incompleta"),1,0)</f>
        <v/>
      </c>
      <c r="V723" s="1">
        <f>IF(L723="Sin respuesta",1,0)</f>
        <v/>
      </c>
    </row>
    <row r="724">
      <c r="A724" s="1" t="str"/>
      <c r="B724" s="1" t="str"/>
      <c r="C724" s="1" t="str"/>
      <c r="D724" s="1" t="str"/>
      <c r="E724" s="1" t="str"/>
      <c r="F724" s="1" t="str"/>
      <c r="G724" s="1" t="str"/>
      <c r="H724" s="1" t="str"/>
      <c r="I724" s="2" t="str"/>
      <c r="J724" s="2" t="str"/>
      <c r="K724" s="2" t="str"/>
      <c r="L724" s="1" t="str"/>
      <c r="M724" s="2" t="str"/>
      <c r="N724" s="2" t="str"/>
      <c r="O724" s="1" t="str"/>
      <c r="P724" s="1" t="str"/>
      <c r="Q724" s="1" t="str"/>
      <c r="R724" s="1">
        <f>IF(H724="Sí",1,0)</f>
        <v/>
      </c>
      <c r="S724" s="1">
        <f>IF(L724="En coordinación",1,0)</f>
        <v/>
      </c>
      <c r="T724" s="1">
        <f>IF(L724="Aceptada",1,0)</f>
        <v/>
      </c>
      <c r="U724" s="1">
        <f>IF(OR(L724="Realizada completa",L724="Realizada incompleta"),1,0)</f>
        <v/>
      </c>
      <c r="V724" s="1">
        <f>IF(L724="Sin respuesta",1,0)</f>
        <v/>
      </c>
    </row>
    <row r="725">
      <c r="A725" s="1" t="str"/>
      <c r="B725" s="1" t="str"/>
      <c r="C725" s="1" t="str"/>
      <c r="D725" s="1" t="str"/>
      <c r="E725" s="1" t="str"/>
      <c r="F725" s="1" t="str"/>
      <c r="G725" s="1" t="str"/>
      <c r="H725" s="1" t="str"/>
      <c r="I725" s="2" t="str"/>
      <c r="J725" s="2" t="str"/>
      <c r="K725" s="2" t="str"/>
      <c r="L725" s="1" t="str"/>
      <c r="M725" s="2" t="str"/>
      <c r="N725" s="2" t="str"/>
      <c r="O725" s="1" t="str"/>
      <c r="P725" s="1" t="str"/>
      <c r="Q725" s="1" t="str"/>
      <c r="R725" s="1">
        <f>IF(H725="Sí",1,0)</f>
        <v/>
      </c>
      <c r="S725" s="1">
        <f>IF(L725="En coordinación",1,0)</f>
        <v/>
      </c>
      <c r="T725" s="1">
        <f>IF(L725="Aceptada",1,0)</f>
        <v/>
      </c>
      <c r="U725" s="1">
        <f>IF(OR(L725="Realizada completa",L725="Realizada incompleta"),1,0)</f>
        <v/>
      </c>
      <c r="V725" s="1">
        <f>IF(L725="Sin respuesta",1,0)</f>
        <v/>
      </c>
    </row>
    <row r="726">
      <c r="A726" s="1" t="str"/>
      <c r="B726" s="1" t="str"/>
      <c r="C726" s="1" t="str"/>
      <c r="D726" s="1" t="str"/>
      <c r="E726" s="1" t="str"/>
      <c r="F726" s="1" t="str"/>
      <c r="G726" s="1" t="str"/>
      <c r="H726" s="1" t="str"/>
      <c r="I726" s="2" t="str"/>
      <c r="J726" s="2" t="str"/>
      <c r="K726" s="2" t="str"/>
      <c r="L726" s="1" t="str"/>
      <c r="M726" s="2" t="str"/>
      <c r="N726" s="2" t="str"/>
      <c r="O726" s="1" t="str"/>
      <c r="P726" s="1" t="str"/>
      <c r="Q726" s="1" t="str"/>
      <c r="R726" s="1">
        <f>IF(H726="Sí",1,0)</f>
        <v/>
      </c>
      <c r="S726" s="1">
        <f>IF(L726="En coordinación",1,0)</f>
        <v/>
      </c>
      <c r="T726" s="1">
        <f>IF(L726="Aceptada",1,0)</f>
        <v/>
      </c>
      <c r="U726" s="1">
        <f>IF(OR(L726="Realizada completa",L726="Realizada incompleta"),1,0)</f>
        <v/>
      </c>
      <c r="V726" s="1">
        <f>IF(L726="Sin respuesta",1,0)</f>
        <v/>
      </c>
    </row>
    <row r="727">
      <c r="A727" s="1" t="str"/>
      <c r="B727" s="1" t="str"/>
      <c r="C727" s="1" t="str"/>
      <c r="D727" s="1" t="str"/>
      <c r="E727" s="1" t="str"/>
      <c r="F727" s="1" t="str"/>
      <c r="G727" s="1" t="str"/>
      <c r="H727" s="1" t="str"/>
      <c r="I727" s="2" t="str"/>
      <c r="J727" s="2" t="str"/>
      <c r="K727" s="2" t="str"/>
      <c r="L727" s="1" t="str"/>
      <c r="M727" s="2" t="str"/>
      <c r="N727" s="2" t="str"/>
      <c r="O727" s="1" t="str"/>
      <c r="P727" s="1" t="str"/>
      <c r="Q727" s="1" t="str"/>
      <c r="R727" s="1">
        <f>IF(H727="Sí",1,0)</f>
        <v/>
      </c>
      <c r="S727" s="1">
        <f>IF(L727="En coordinación",1,0)</f>
        <v/>
      </c>
      <c r="T727" s="1">
        <f>IF(L727="Aceptada",1,0)</f>
        <v/>
      </c>
      <c r="U727" s="1">
        <f>IF(OR(L727="Realizada completa",L727="Realizada incompleta"),1,0)</f>
        <v/>
      </c>
      <c r="V727" s="1">
        <f>IF(L727="Sin respuesta",1,0)</f>
        <v/>
      </c>
    </row>
    <row r="728">
      <c r="A728" s="1" t="str"/>
      <c r="B728" s="1" t="str"/>
      <c r="C728" s="1" t="str"/>
      <c r="D728" s="1" t="str"/>
      <c r="E728" s="1" t="str"/>
      <c r="F728" s="1" t="str"/>
      <c r="G728" s="1" t="str"/>
      <c r="H728" s="1" t="str"/>
      <c r="I728" s="2" t="str"/>
      <c r="J728" s="2" t="str"/>
      <c r="K728" s="2" t="str"/>
      <c r="L728" s="1" t="str"/>
      <c r="M728" s="2" t="str"/>
      <c r="N728" s="2" t="str"/>
      <c r="O728" s="1" t="str"/>
      <c r="P728" s="1" t="str"/>
      <c r="Q728" s="1" t="str"/>
      <c r="R728" s="1">
        <f>IF(H728="Sí",1,0)</f>
        <v/>
      </c>
      <c r="S728" s="1">
        <f>IF(L728="En coordinación",1,0)</f>
        <v/>
      </c>
      <c r="T728" s="1">
        <f>IF(L728="Aceptada",1,0)</f>
        <v/>
      </c>
      <c r="U728" s="1">
        <f>IF(OR(L728="Realizada completa",L728="Realizada incompleta"),1,0)</f>
        <v/>
      </c>
      <c r="V728" s="1">
        <f>IF(L728="Sin respuesta",1,0)</f>
        <v/>
      </c>
    </row>
    <row r="729">
      <c r="A729" s="1" t="str"/>
      <c r="B729" s="1" t="str"/>
      <c r="C729" s="1" t="str"/>
      <c r="D729" s="1" t="str"/>
      <c r="E729" s="1" t="str"/>
      <c r="F729" s="1" t="str"/>
      <c r="G729" s="1" t="str"/>
      <c r="H729" s="1" t="str"/>
      <c r="I729" s="2" t="str"/>
      <c r="J729" s="2" t="str"/>
      <c r="K729" s="2" t="str"/>
      <c r="L729" s="1" t="str"/>
      <c r="M729" s="2" t="str"/>
      <c r="N729" s="2" t="str"/>
      <c r="O729" s="1" t="str"/>
      <c r="P729" s="1" t="str"/>
      <c r="Q729" s="1" t="str"/>
      <c r="R729" s="1">
        <f>IF(H729="Sí",1,0)</f>
        <v/>
      </c>
      <c r="S729" s="1">
        <f>IF(L729="En coordinación",1,0)</f>
        <v/>
      </c>
      <c r="T729" s="1">
        <f>IF(L729="Aceptada",1,0)</f>
        <v/>
      </c>
      <c r="U729" s="1">
        <f>IF(OR(L729="Realizada completa",L729="Realizada incompleta"),1,0)</f>
        <v/>
      </c>
      <c r="V729" s="1">
        <f>IF(L729="Sin respuesta",1,0)</f>
        <v/>
      </c>
    </row>
    <row r="730">
      <c r="A730" s="1" t="str"/>
      <c r="B730" s="1" t="str"/>
      <c r="C730" s="1" t="str"/>
      <c r="D730" s="1" t="str"/>
      <c r="E730" s="1" t="str"/>
      <c r="F730" s="1" t="str"/>
      <c r="G730" s="1" t="str"/>
      <c r="H730" s="1" t="str"/>
      <c r="I730" s="2" t="str"/>
      <c r="J730" s="2" t="str"/>
      <c r="K730" s="2" t="str"/>
      <c r="L730" s="1" t="str"/>
      <c r="M730" s="2" t="str"/>
      <c r="N730" s="2" t="str"/>
      <c r="O730" s="1" t="str"/>
      <c r="P730" s="1" t="str"/>
      <c r="Q730" s="1" t="str"/>
      <c r="R730" s="1">
        <f>IF(H730="Sí",1,0)</f>
        <v/>
      </c>
      <c r="S730" s="1">
        <f>IF(L730="En coordinación",1,0)</f>
        <v/>
      </c>
      <c r="T730" s="1">
        <f>IF(L730="Aceptada",1,0)</f>
        <v/>
      </c>
      <c r="U730" s="1">
        <f>IF(OR(L730="Realizada completa",L730="Realizada incompleta"),1,0)</f>
        <v/>
      </c>
      <c r="V730" s="1">
        <f>IF(L730="Sin respuesta",1,0)</f>
        <v/>
      </c>
    </row>
    <row r="731">
      <c r="A731" s="1" t="str"/>
      <c r="B731" s="1" t="str"/>
      <c r="C731" s="1" t="str"/>
      <c r="D731" s="1" t="str"/>
      <c r="E731" s="1" t="str"/>
      <c r="F731" s="1" t="str"/>
      <c r="G731" s="1" t="str"/>
      <c r="H731" s="1" t="str"/>
      <c r="I731" s="2" t="str"/>
      <c r="J731" s="2" t="str"/>
      <c r="K731" s="2" t="str"/>
      <c r="L731" s="1" t="str"/>
      <c r="M731" s="2" t="str"/>
      <c r="N731" s="2" t="str"/>
      <c r="O731" s="1" t="str"/>
      <c r="P731" s="1" t="str"/>
      <c r="Q731" s="1" t="str"/>
      <c r="R731" s="1">
        <f>IF(H731="Sí",1,0)</f>
        <v/>
      </c>
      <c r="S731" s="1">
        <f>IF(L731="En coordinación",1,0)</f>
        <v/>
      </c>
      <c r="T731" s="1">
        <f>IF(L731="Aceptada",1,0)</f>
        <v/>
      </c>
      <c r="U731" s="1">
        <f>IF(OR(L731="Realizada completa",L731="Realizada incompleta"),1,0)</f>
        <v/>
      </c>
      <c r="V731" s="1">
        <f>IF(L731="Sin respuesta",1,0)</f>
        <v/>
      </c>
    </row>
    <row r="732">
      <c r="A732" s="1" t="str"/>
      <c r="B732" s="1" t="str"/>
      <c r="C732" s="1" t="str"/>
      <c r="D732" s="1" t="str"/>
      <c r="E732" s="1" t="str"/>
      <c r="F732" s="1" t="str"/>
      <c r="G732" s="1" t="str"/>
      <c r="H732" s="1" t="str"/>
      <c r="I732" s="2" t="str"/>
      <c r="J732" s="2" t="str"/>
      <c r="K732" s="2" t="str"/>
      <c r="L732" s="1" t="str"/>
      <c r="M732" s="2" t="str"/>
      <c r="N732" s="2" t="str"/>
      <c r="O732" s="1" t="str"/>
      <c r="P732" s="1" t="str"/>
      <c r="Q732" s="1" t="str"/>
      <c r="R732" s="1">
        <f>IF(H732="Sí",1,0)</f>
        <v/>
      </c>
      <c r="S732" s="1">
        <f>IF(L732="En coordinación",1,0)</f>
        <v/>
      </c>
      <c r="T732" s="1">
        <f>IF(L732="Aceptada",1,0)</f>
        <v/>
      </c>
      <c r="U732" s="1">
        <f>IF(OR(L732="Realizada completa",L732="Realizada incompleta"),1,0)</f>
        <v/>
      </c>
      <c r="V732" s="1">
        <f>IF(L732="Sin respuesta",1,0)</f>
        <v/>
      </c>
    </row>
    <row r="733">
      <c r="A733" s="1" t="str"/>
      <c r="B733" s="1" t="str"/>
      <c r="C733" s="1" t="str"/>
      <c r="D733" s="1" t="str"/>
      <c r="E733" s="1" t="str"/>
      <c r="F733" s="1" t="str"/>
      <c r="G733" s="1" t="str"/>
      <c r="H733" s="1" t="str"/>
      <c r="I733" s="2" t="str"/>
      <c r="J733" s="2" t="str"/>
      <c r="K733" s="2" t="str"/>
      <c r="L733" s="1" t="str"/>
      <c r="M733" s="2" t="str"/>
      <c r="N733" s="2" t="str"/>
      <c r="O733" s="1" t="str"/>
      <c r="P733" s="1" t="str"/>
      <c r="Q733" s="1" t="str"/>
      <c r="R733" s="1">
        <f>IF(H733="Sí",1,0)</f>
        <v/>
      </c>
      <c r="S733" s="1">
        <f>IF(L733="En coordinación",1,0)</f>
        <v/>
      </c>
      <c r="T733" s="1">
        <f>IF(L733="Aceptada",1,0)</f>
        <v/>
      </c>
      <c r="U733" s="1">
        <f>IF(OR(L733="Realizada completa",L733="Realizada incompleta"),1,0)</f>
        <v/>
      </c>
      <c r="V733" s="1">
        <f>IF(L733="Sin respuesta",1,0)</f>
        <v/>
      </c>
    </row>
    <row r="734">
      <c r="A734" s="1" t="str"/>
      <c r="B734" s="1" t="str"/>
      <c r="C734" s="1" t="str"/>
      <c r="D734" s="1" t="str"/>
      <c r="E734" s="1" t="str"/>
      <c r="F734" s="1" t="str"/>
      <c r="G734" s="1" t="str"/>
      <c r="H734" s="1" t="str"/>
      <c r="I734" s="2" t="str"/>
      <c r="J734" s="2" t="str"/>
      <c r="K734" s="2" t="str"/>
      <c r="L734" s="1" t="str"/>
      <c r="M734" s="2" t="str"/>
      <c r="N734" s="2" t="str"/>
      <c r="O734" s="1" t="str"/>
      <c r="P734" s="1" t="str"/>
      <c r="Q734" s="1" t="str"/>
      <c r="R734" s="1">
        <f>IF(H734="Sí",1,0)</f>
        <v/>
      </c>
      <c r="S734" s="1">
        <f>IF(L734="En coordinación",1,0)</f>
        <v/>
      </c>
      <c r="T734" s="1">
        <f>IF(L734="Aceptada",1,0)</f>
        <v/>
      </c>
      <c r="U734" s="1">
        <f>IF(OR(L734="Realizada completa",L734="Realizada incompleta"),1,0)</f>
        <v/>
      </c>
      <c r="V734" s="1">
        <f>IF(L734="Sin respuesta",1,0)</f>
        <v/>
      </c>
    </row>
    <row r="735">
      <c r="A735" s="1" t="str"/>
      <c r="B735" s="1" t="str"/>
      <c r="C735" s="1" t="str"/>
      <c r="D735" s="1" t="str"/>
      <c r="E735" s="1" t="str"/>
      <c r="F735" s="1" t="str"/>
      <c r="G735" s="1" t="str"/>
      <c r="H735" s="1" t="str"/>
      <c r="I735" s="2" t="str"/>
      <c r="J735" s="2" t="str"/>
      <c r="K735" s="2" t="str"/>
      <c r="L735" s="1" t="str"/>
      <c r="M735" s="2" t="str"/>
      <c r="N735" s="2" t="str"/>
      <c r="O735" s="1" t="str"/>
      <c r="P735" s="1" t="str"/>
      <c r="Q735" s="1" t="str"/>
      <c r="R735" s="1">
        <f>IF(H735="Sí",1,0)</f>
        <v/>
      </c>
      <c r="S735" s="1">
        <f>IF(L735="En coordinación",1,0)</f>
        <v/>
      </c>
      <c r="T735" s="1">
        <f>IF(L735="Aceptada",1,0)</f>
        <v/>
      </c>
      <c r="U735" s="1">
        <f>IF(OR(L735="Realizada completa",L735="Realizada incompleta"),1,0)</f>
        <v/>
      </c>
      <c r="V735" s="1">
        <f>IF(L735="Sin respuesta",1,0)</f>
        <v/>
      </c>
    </row>
    <row r="736">
      <c r="A736" s="1" t="str"/>
      <c r="B736" s="1" t="str"/>
      <c r="C736" s="1" t="str"/>
      <c r="D736" s="1" t="str"/>
      <c r="E736" s="1" t="str"/>
      <c r="F736" s="1" t="str"/>
      <c r="G736" s="1" t="str"/>
      <c r="H736" s="1" t="str"/>
      <c r="I736" s="2" t="str"/>
      <c r="J736" s="2" t="str"/>
      <c r="K736" s="2" t="str"/>
      <c r="L736" s="1" t="str"/>
      <c r="M736" s="2" t="str"/>
      <c r="N736" s="2" t="str"/>
      <c r="O736" s="1" t="str"/>
      <c r="P736" s="1" t="str"/>
      <c r="Q736" s="1" t="str"/>
      <c r="R736" s="1">
        <f>IF(H736="Sí",1,0)</f>
        <v/>
      </c>
      <c r="S736" s="1">
        <f>IF(L736="En coordinación",1,0)</f>
        <v/>
      </c>
      <c r="T736" s="1">
        <f>IF(L736="Aceptada",1,0)</f>
        <v/>
      </c>
      <c r="U736" s="1">
        <f>IF(OR(L736="Realizada completa",L736="Realizada incompleta"),1,0)</f>
        <v/>
      </c>
      <c r="V736" s="1">
        <f>IF(L736="Sin respuesta",1,0)</f>
        <v/>
      </c>
    </row>
    <row r="737">
      <c r="A737" s="1" t="str"/>
      <c r="B737" s="1" t="str"/>
      <c r="C737" s="1" t="str"/>
      <c r="D737" s="1" t="str"/>
      <c r="E737" s="1" t="str"/>
      <c r="F737" s="1" t="str"/>
      <c r="G737" s="1" t="str"/>
      <c r="H737" s="1" t="str"/>
      <c r="I737" s="2" t="str"/>
      <c r="J737" s="2" t="str"/>
      <c r="K737" s="2" t="str"/>
      <c r="L737" s="1" t="str"/>
      <c r="M737" s="2" t="str"/>
      <c r="N737" s="2" t="str"/>
      <c r="O737" s="1" t="str"/>
      <c r="P737" s="1" t="str"/>
      <c r="Q737" s="1" t="str"/>
      <c r="R737" s="1">
        <f>IF(H737="Sí",1,0)</f>
        <v/>
      </c>
      <c r="S737" s="1">
        <f>IF(L737="En coordinación",1,0)</f>
        <v/>
      </c>
      <c r="T737" s="1">
        <f>IF(L737="Aceptada",1,0)</f>
        <v/>
      </c>
      <c r="U737" s="1">
        <f>IF(OR(L737="Realizada completa",L737="Realizada incompleta"),1,0)</f>
        <v/>
      </c>
      <c r="V737" s="1">
        <f>IF(L737="Sin respuesta",1,0)</f>
        <v/>
      </c>
    </row>
    <row r="738">
      <c r="A738" s="1" t="str"/>
      <c r="B738" s="1" t="str"/>
      <c r="C738" s="1" t="str"/>
      <c r="D738" s="1" t="str"/>
      <c r="E738" s="1" t="str"/>
      <c r="F738" s="1" t="str"/>
      <c r="G738" s="1" t="str"/>
      <c r="H738" s="1" t="str"/>
      <c r="I738" s="2" t="str"/>
      <c r="J738" s="2" t="str"/>
      <c r="K738" s="2" t="str"/>
      <c r="L738" s="1" t="str"/>
      <c r="M738" s="2" t="str"/>
      <c r="N738" s="2" t="str"/>
      <c r="O738" s="1" t="str"/>
      <c r="P738" s="1" t="str"/>
      <c r="Q738" s="1" t="str"/>
      <c r="R738" s="1">
        <f>IF(H738="Sí",1,0)</f>
        <v/>
      </c>
      <c r="S738" s="1">
        <f>IF(L738="En coordinación",1,0)</f>
        <v/>
      </c>
      <c r="T738" s="1">
        <f>IF(L738="Aceptada",1,0)</f>
        <v/>
      </c>
      <c r="U738" s="1">
        <f>IF(OR(L738="Realizada completa",L738="Realizada incompleta"),1,0)</f>
        <v/>
      </c>
      <c r="V738" s="1">
        <f>IF(L738="Sin respuesta",1,0)</f>
        <v/>
      </c>
    </row>
    <row r="739">
      <c r="A739" s="1" t="str"/>
      <c r="B739" s="1" t="str"/>
      <c r="C739" s="1" t="str"/>
      <c r="D739" s="1" t="str"/>
      <c r="E739" s="1" t="str"/>
      <c r="F739" s="1" t="str"/>
      <c r="G739" s="1" t="str"/>
      <c r="H739" s="1" t="str"/>
      <c r="I739" s="2" t="str"/>
      <c r="J739" s="2" t="str"/>
      <c r="K739" s="2" t="str"/>
      <c r="L739" s="1" t="str"/>
      <c r="M739" s="2" t="str"/>
      <c r="N739" s="2" t="str"/>
      <c r="O739" s="1" t="str"/>
      <c r="P739" s="1" t="str"/>
      <c r="Q739" s="1" t="str"/>
      <c r="R739" s="1">
        <f>IF(H739="Sí",1,0)</f>
        <v/>
      </c>
      <c r="S739" s="1">
        <f>IF(L739="En coordinación",1,0)</f>
        <v/>
      </c>
      <c r="T739" s="1">
        <f>IF(L739="Aceptada",1,0)</f>
        <v/>
      </c>
      <c r="U739" s="1">
        <f>IF(OR(L739="Realizada completa",L739="Realizada incompleta"),1,0)</f>
        <v/>
      </c>
      <c r="V739" s="1">
        <f>IF(L739="Sin respuesta",1,0)</f>
        <v/>
      </c>
    </row>
    <row r="740">
      <c r="A740" s="1" t="str"/>
      <c r="B740" s="1" t="str"/>
      <c r="C740" s="1" t="str"/>
      <c r="D740" s="1" t="str"/>
      <c r="E740" s="1" t="str"/>
      <c r="F740" s="1" t="str"/>
      <c r="G740" s="1" t="str"/>
      <c r="H740" s="1" t="str"/>
      <c r="I740" s="2" t="str"/>
      <c r="J740" s="2" t="str"/>
      <c r="K740" s="2" t="str"/>
      <c r="L740" s="1" t="str"/>
      <c r="M740" s="2" t="str"/>
      <c r="N740" s="2" t="str"/>
      <c r="O740" s="1" t="str"/>
      <c r="P740" s="1" t="str"/>
      <c r="Q740" s="1" t="str"/>
      <c r="R740" s="1">
        <f>IF(H740="Sí",1,0)</f>
        <v/>
      </c>
      <c r="S740" s="1">
        <f>IF(L740="En coordinación",1,0)</f>
        <v/>
      </c>
      <c r="T740" s="1">
        <f>IF(L740="Aceptada",1,0)</f>
        <v/>
      </c>
      <c r="U740" s="1">
        <f>IF(OR(L740="Realizada completa",L740="Realizada incompleta"),1,0)</f>
        <v/>
      </c>
      <c r="V740" s="1">
        <f>IF(L740="Sin respuesta",1,0)</f>
        <v/>
      </c>
    </row>
    <row r="741">
      <c r="A741" s="1" t="str"/>
      <c r="B741" s="1" t="str"/>
      <c r="C741" s="1" t="str"/>
      <c r="D741" s="1" t="str"/>
      <c r="E741" s="1" t="str"/>
      <c r="F741" s="1" t="str"/>
      <c r="G741" s="1" t="str"/>
      <c r="H741" s="1" t="str"/>
      <c r="I741" s="2" t="str"/>
      <c r="J741" s="2" t="str"/>
      <c r="K741" s="2" t="str"/>
      <c r="L741" s="1" t="str"/>
      <c r="M741" s="2" t="str"/>
      <c r="N741" s="2" t="str"/>
      <c r="O741" s="1" t="str"/>
      <c r="P741" s="1" t="str"/>
      <c r="Q741" s="1" t="str"/>
      <c r="R741" s="1">
        <f>IF(H741="Sí",1,0)</f>
        <v/>
      </c>
      <c r="S741" s="1">
        <f>IF(L741="En coordinación",1,0)</f>
        <v/>
      </c>
      <c r="T741" s="1">
        <f>IF(L741="Aceptada",1,0)</f>
        <v/>
      </c>
      <c r="U741" s="1">
        <f>IF(OR(L741="Realizada completa",L741="Realizada incompleta"),1,0)</f>
        <v/>
      </c>
      <c r="V741" s="1">
        <f>IF(L741="Sin respuesta",1,0)</f>
        <v/>
      </c>
    </row>
    <row r="742">
      <c r="A742" s="1" t="str"/>
      <c r="B742" s="1" t="str"/>
      <c r="C742" s="1" t="str"/>
      <c r="D742" s="1" t="str"/>
      <c r="E742" s="1" t="str"/>
      <c r="F742" s="1" t="str"/>
      <c r="G742" s="1" t="str"/>
      <c r="H742" s="1" t="str"/>
      <c r="I742" s="2" t="str"/>
      <c r="J742" s="2" t="str"/>
      <c r="K742" s="2" t="str"/>
      <c r="L742" s="1" t="str"/>
      <c r="M742" s="2" t="str"/>
      <c r="N742" s="2" t="str"/>
      <c r="O742" s="1" t="str"/>
      <c r="P742" s="1" t="str"/>
      <c r="Q742" s="1" t="str"/>
      <c r="R742" s="1">
        <f>IF(H742="Sí",1,0)</f>
        <v/>
      </c>
      <c r="S742" s="1">
        <f>IF(L742="En coordinación",1,0)</f>
        <v/>
      </c>
      <c r="T742" s="1">
        <f>IF(L742="Aceptada",1,0)</f>
        <v/>
      </c>
      <c r="U742" s="1">
        <f>IF(OR(L742="Realizada completa",L742="Realizada incompleta"),1,0)</f>
        <v/>
      </c>
      <c r="V742" s="1">
        <f>IF(L742="Sin respuesta",1,0)</f>
        <v/>
      </c>
    </row>
    <row r="743">
      <c r="A743" s="1" t="str"/>
      <c r="B743" s="1" t="str"/>
      <c r="C743" s="1" t="str"/>
      <c r="D743" s="1" t="str"/>
      <c r="E743" s="1" t="str"/>
      <c r="F743" s="1" t="str"/>
      <c r="G743" s="1" t="str"/>
      <c r="H743" s="1" t="str"/>
      <c r="I743" s="2" t="str"/>
      <c r="J743" s="2" t="str"/>
      <c r="K743" s="2" t="str"/>
      <c r="L743" s="1" t="str"/>
      <c r="M743" s="2" t="str"/>
      <c r="N743" s="2" t="str"/>
      <c r="O743" s="1" t="str"/>
      <c r="P743" s="1" t="str"/>
      <c r="Q743" s="1" t="str"/>
      <c r="R743" s="1">
        <f>IF(H743="Sí",1,0)</f>
        <v/>
      </c>
      <c r="S743" s="1">
        <f>IF(L743="En coordinación",1,0)</f>
        <v/>
      </c>
      <c r="T743" s="1">
        <f>IF(L743="Aceptada",1,0)</f>
        <v/>
      </c>
      <c r="U743" s="1">
        <f>IF(OR(L743="Realizada completa",L743="Realizada incompleta"),1,0)</f>
        <v/>
      </c>
      <c r="V743" s="1">
        <f>IF(L743="Sin respuesta",1,0)</f>
        <v/>
      </c>
    </row>
    <row r="744">
      <c r="A744" s="1" t="str"/>
      <c r="B744" s="1" t="str"/>
      <c r="C744" s="1" t="str"/>
      <c r="D744" s="1" t="str"/>
      <c r="E744" s="1" t="str"/>
      <c r="F744" s="1" t="str"/>
      <c r="G744" s="1" t="str"/>
      <c r="H744" s="1" t="str"/>
      <c r="I744" s="2" t="str"/>
      <c r="J744" s="2" t="str"/>
      <c r="K744" s="2" t="str"/>
      <c r="L744" s="1" t="str"/>
      <c r="M744" s="2" t="str"/>
      <c r="N744" s="2" t="str"/>
      <c r="O744" s="1" t="str"/>
      <c r="P744" s="1" t="str"/>
      <c r="Q744" s="1" t="str"/>
      <c r="R744" s="1">
        <f>IF(H744="Sí",1,0)</f>
        <v/>
      </c>
      <c r="S744" s="1">
        <f>IF(L744="En coordinación",1,0)</f>
        <v/>
      </c>
      <c r="T744" s="1">
        <f>IF(L744="Aceptada",1,0)</f>
        <v/>
      </c>
      <c r="U744" s="1">
        <f>IF(OR(L744="Realizada completa",L744="Realizada incompleta"),1,0)</f>
        <v/>
      </c>
      <c r="V744" s="1">
        <f>IF(L744="Sin respuesta",1,0)</f>
        <v/>
      </c>
    </row>
    <row r="745">
      <c r="A745" s="1" t="str"/>
      <c r="B745" s="1" t="str"/>
      <c r="C745" s="1" t="str"/>
      <c r="D745" s="1" t="str"/>
      <c r="E745" s="1" t="str"/>
      <c r="F745" s="1" t="str"/>
      <c r="G745" s="1" t="str"/>
      <c r="H745" s="1" t="str"/>
      <c r="I745" s="2" t="str"/>
      <c r="J745" s="2" t="str"/>
      <c r="K745" s="2" t="str"/>
      <c r="L745" s="1" t="str"/>
      <c r="M745" s="2" t="str"/>
      <c r="N745" s="2" t="str"/>
      <c r="O745" s="1" t="str"/>
      <c r="P745" s="1" t="str"/>
      <c r="Q745" s="1" t="str"/>
      <c r="R745" s="1">
        <f>IF(H745="Sí",1,0)</f>
        <v/>
      </c>
      <c r="S745" s="1">
        <f>IF(L745="En coordinación",1,0)</f>
        <v/>
      </c>
      <c r="T745" s="1">
        <f>IF(L745="Aceptada",1,0)</f>
        <v/>
      </c>
      <c r="U745" s="1">
        <f>IF(OR(L745="Realizada completa",L745="Realizada incompleta"),1,0)</f>
        <v/>
      </c>
      <c r="V745" s="1">
        <f>IF(L745="Sin respuesta",1,0)</f>
        <v/>
      </c>
    </row>
    <row r="746">
      <c r="A746" s="1" t="str"/>
      <c r="B746" s="1" t="str"/>
      <c r="C746" s="1" t="str"/>
      <c r="D746" s="1" t="str"/>
      <c r="E746" s="1" t="str"/>
      <c r="F746" s="1" t="str"/>
      <c r="G746" s="1" t="str"/>
      <c r="H746" s="1" t="str"/>
      <c r="I746" s="2" t="str"/>
      <c r="J746" s="2" t="str"/>
      <c r="K746" s="2" t="str"/>
      <c r="L746" s="1" t="str"/>
      <c r="M746" s="2" t="str"/>
      <c r="N746" s="2" t="str"/>
      <c r="O746" s="1" t="str"/>
      <c r="P746" s="1" t="str"/>
      <c r="Q746" s="1" t="str"/>
      <c r="R746" s="1">
        <f>IF(H746="Sí",1,0)</f>
        <v/>
      </c>
      <c r="S746" s="1">
        <f>IF(L746="En coordinación",1,0)</f>
        <v/>
      </c>
      <c r="T746" s="1">
        <f>IF(L746="Aceptada",1,0)</f>
        <v/>
      </c>
      <c r="U746" s="1">
        <f>IF(OR(L746="Realizada completa",L746="Realizada incompleta"),1,0)</f>
        <v/>
      </c>
      <c r="V746" s="1">
        <f>IF(L746="Sin respuesta",1,0)</f>
        <v/>
      </c>
    </row>
    <row r="747">
      <c r="A747" s="1" t="str"/>
      <c r="B747" s="1" t="str"/>
      <c r="C747" s="1" t="str"/>
      <c r="D747" s="1" t="str"/>
      <c r="E747" s="1" t="str"/>
      <c r="F747" s="1" t="str"/>
      <c r="G747" s="1" t="str"/>
      <c r="H747" s="1" t="str"/>
      <c r="I747" s="2" t="str"/>
      <c r="J747" s="2" t="str"/>
      <c r="K747" s="2" t="str"/>
      <c r="L747" s="1" t="str"/>
      <c r="M747" s="2" t="str"/>
      <c r="N747" s="2" t="str"/>
      <c r="O747" s="1" t="str"/>
      <c r="P747" s="1" t="str"/>
      <c r="Q747" s="1" t="str"/>
      <c r="R747" s="1">
        <f>IF(H747="Sí",1,0)</f>
        <v/>
      </c>
      <c r="S747" s="1">
        <f>IF(L747="En coordinación",1,0)</f>
        <v/>
      </c>
      <c r="T747" s="1">
        <f>IF(L747="Aceptada",1,0)</f>
        <v/>
      </c>
      <c r="U747" s="1">
        <f>IF(OR(L747="Realizada completa",L747="Realizada incompleta"),1,0)</f>
        <v/>
      </c>
      <c r="V747" s="1">
        <f>IF(L747="Sin respuesta",1,0)</f>
        <v/>
      </c>
    </row>
    <row r="748">
      <c r="A748" s="1" t="str"/>
      <c r="B748" s="1" t="str"/>
      <c r="C748" s="1" t="str"/>
      <c r="D748" s="1" t="str"/>
      <c r="E748" s="1" t="str"/>
      <c r="F748" s="1" t="str"/>
      <c r="G748" s="1" t="str"/>
      <c r="H748" s="1" t="str"/>
      <c r="I748" s="2" t="str"/>
      <c r="J748" s="2" t="str"/>
      <c r="K748" s="2" t="str"/>
      <c r="L748" s="1" t="str"/>
      <c r="M748" s="2" t="str"/>
      <c r="N748" s="2" t="str"/>
      <c r="O748" s="1" t="str"/>
      <c r="P748" s="1" t="str"/>
      <c r="Q748" s="1" t="str"/>
      <c r="R748" s="1">
        <f>IF(H748="Sí",1,0)</f>
        <v/>
      </c>
      <c r="S748" s="1">
        <f>IF(L748="En coordinación",1,0)</f>
        <v/>
      </c>
      <c r="T748" s="1">
        <f>IF(L748="Aceptada",1,0)</f>
        <v/>
      </c>
      <c r="U748" s="1">
        <f>IF(OR(L748="Realizada completa",L748="Realizada incompleta"),1,0)</f>
        <v/>
      </c>
      <c r="V748" s="1">
        <f>IF(L748="Sin respuesta",1,0)</f>
        <v/>
      </c>
    </row>
    <row r="749">
      <c r="A749" s="1" t="str"/>
      <c r="B749" s="1" t="str"/>
      <c r="C749" s="1" t="str"/>
      <c r="D749" s="1" t="str"/>
      <c r="E749" s="1" t="str"/>
      <c r="F749" s="1" t="str"/>
      <c r="G749" s="1" t="str"/>
      <c r="H749" s="1" t="str"/>
      <c r="I749" s="2" t="str"/>
      <c r="J749" s="2" t="str"/>
      <c r="K749" s="2" t="str"/>
      <c r="L749" s="1" t="str"/>
      <c r="M749" s="2" t="str"/>
      <c r="N749" s="2" t="str"/>
      <c r="O749" s="1" t="str"/>
      <c r="P749" s="1" t="str"/>
      <c r="Q749" s="1" t="str"/>
      <c r="R749" s="1">
        <f>IF(H749="Sí",1,0)</f>
        <v/>
      </c>
      <c r="S749" s="1">
        <f>IF(L749="En coordinación",1,0)</f>
        <v/>
      </c>
      <c r="T749" s="1">
        <f>IF(L749="Aceptada",1,0)</f>
        <v/>
      </c>
      <c r="U749" s="1">
        <f>IF(OR(L749="Realizada completa",L749="Realizada incompleta"),1,0)</f>
        <v/>
      </c>
      <c r="V749" s="1">
        <f>IF(L749="Sin respuesta",1,0)</f>
        <v/>
      </c>
    </row>
    <row r="750">
      <c r="A750" s="1" t="str"/>
      <c r="B750" s="1" t="str"/>
      <c r="C750" s="1" t="str"/>
      <c r="D750" s="1" t="str"/>
      <c r="E750" s="1" t="str"/>
      <c r="F750" s="1" t="str"/>
      <c r="G750" s="1" t="str"/>
      <c r="H750" s="1" t="str"/>
      <c r="I750" s="2" t="str"/>
      <c r="J750" s="2" t="str"/>
      <c r="K750" s="2" t="str"/>
      <c r="L750" s="1" t="str"/>
      <c r="M750" s="2" t="str"/>
      <c r="N750" s="2" t="str"/>
      <c r="O750" s="1" t="str"/>
      <c r="P750" s="1" t="str"/>
      <c r="Q750" s="1" t="str"/>
      <c r="R750" s="1">
        <f>IF(H750="Sí",1,0)</f>
        <v/>
      </c>
      <c r="S750" s="1">
        <f>IF(L750="En coordinación",1,0)</f>
        <v/>
      </c>
      <c r="T750" s="1">
        <f>IF(L750="Aceptada",1,0)</f>
        <v/>
      </c>
      <c r="U750" s="1">
        <f>IF(OR(L750="Realizada completa",L750="Realizada incompleta"),1,0)</f>
        <v/>
      </c>
      <c r="V750" s="1">
        <f>IF(L750="Sin respuesta",1,0)</f>
        <v/>
      </c>
    </row>
    <row r="751">
      <c r="A751" s="1" t="str"/>
      <c r="B751" s="1" t="str"/>
      <c r="C751" s="1" t="str"/>
      <c r="D751" s="1" t="str"/>
      <c r="E751" s="1" t="str"/>
      <c r="F751" s="1" t="str"/>
      <c r="G751" s="1" t="str"/>
      <c r="H751" s="1" t="str"/>
      <c r="I751" s="2" t="str"/>
      <c r="J751" s="2" t="str"/>
      <c r="K751" s="2" t="str"/>
      <c r="L751" s="1" t="str"/>
      <c r="M751" s="2" t="str"/>
      <c r="N751" s="2" t="str"/>
      <c r="O751" s="1" t="str"/>
      <c r="P751" s="1" t="str"/>
      <c r="Q751" s="1" t="str"/>
      <c r="R751" s="1">
        <f>IF(H751="Sí",1,0)</f>
        <v/>
      </c>
      <c r="S751" s="1">
        <f>IF(L751="En coordinación",1,0)</f>
        <v/>
      </c>
      <c r="T751" s="1">
        <f>IF(L751="Aceptada",1,0)</f>
        <v/>
      </c>
      <c r="U751" s="1">
        <f>IF(OR(L751="Realizada completa",L751="Realizada incompleta"),1,0)</f>
        <v/>
      </c>
      <c r="V751" s="1">
        <f>IF(L751="Sin respuesta",1,0)</f>
        <v/>
      </c>
    </row>
    <row r="752">
      <c r="A752" s="1" t="str"/>
      <c r="B752" s="1" t="str"/>
      <c r="C752" s="1" t="str"/>
      <c r="D752" s="1" t="str"/>
      <c r="E752" s="1" t="str"/>
      <c r="F752" s="1" t="str"/>
      <c r="G752" s="1" t="str"/>
      <c r="H752" s="1" t="str"/>
      <c r="I752" s="2" t="str"/>
      <c r="J752" s="2" t="str"/>
      <c r="K752" s="2" t="str"/>
      <c r="L752" s="1" t="str"/>
      <c r="M752" s="2" t="str"/>
      <c r="N752" s="2" t="str"/>
      <c r="O752" s="1" t="str"/>
      <c r="P752" s="1" t="str"/>
      <c r="Q752" s="1" t="str"/>
      <c r="R752" s="1">
        <f>IF(H752="Sí",1,0)</f>
        <v/>
      </c>
      <c r="S752" s="1">
        <f>IF(L752="En coordinación",1,0)</f>
        <v/>
      </c>
      <c r="T752" s="1">
        <f>IF(L752="Aceptada",1,0)</f>
        <v/>
      </c>
      <c r="U752" s="1">
        <f>IF(OR(L752="Realizada completa",L752="Realizada incompleta"),1,0)</f>
        <v/>
      </c>
      <c r="V752" s="1">
        <f>IF(L752="Sin respuesta",1,0)</f>
        <v/>
      </c>
    </row>
    <row r="753">
      <c r="A753" s="1" t="str"/>
      <c r="B753" s="1" t="str"/>
      <c r="C753" s="1" t="str"/>
      <c r="D753" s="1" t="str"/>
      <c r="E753" s="1" t="str"/>
      <c r="F753" s="1" t="str"/>
      <c r="G753" s="1" t="str"/>
      <c r="H753" s="1" t="str"/>
      <c r="I753" s="2" t="str"/>
      <c r="J753" s="2" t="str"/>
      <c r="K753" s="2" t="str"/>
      <c r="L753" s="1" t="str"/>
      <c r="M753" s="2" t="str"/>
      <c r="N753" s="2" t="str"/>
      <c r="O753" s="1" t="str"/>
      <c r="P753" s="1" t="str"/>
      <c r="Q753" s="1" t="str"/>
      <c r="R753" s="1">
        <f>IF(H753="Sí",1,0)</f>
        <v/>
      </c>
      <c r="S753" s="1">
        <f>IF(L753="En coordinación",1,0)</f>
        <v/>
      </c>
      <c r="T753" s="1">
        <f>IF(L753="Aceptada",1,0)</f>
        <v/>
      </c>
      <c r="U753" s="1">
        <f>IF(OR(L753="Realizada completa",L753="Realizada incompleta"),1,0)</f>
        <v/>
      </c>
      <c r="V753" s="1">
        <f>IF(L753="Sin respuesta",1,0)</f>
        <v/>
      </c>
    </row>
    <row r="754">
      <c r="A754" s="1" t="str"/>
      <c r="B754" s="1" t="str"/>
      <c r="C754" s="1" t="str"/>
      <c r="D754" s="1" t="str"/>
      <c r="E754" s="1" t="str"/>
      <c r="F754" s="1" t="str"/>
      <c r="G754" s="1" t="str"/>
      <c r="H754" s="1" t="str"/>
      <c r="I754" s="2" t="str"/>
      <c r="J754" s="2" t="str"/>
      <c r="K754" s="2" t="str"/>
      <c r="L754" s="1" t="str"/>
      <c r="M754" s="2" t="str"/>
      <c r="N754" s="2" t="str"/>
      <c r="O754" s="1" t="str"/>
      <c r="P754" s="1" t="str"/>
      <c r="Q754" s="1" t="str"/>
      <c r="R754" s="1">
        <f>IF(H754="Sí",1,0)</f>
        <v/>
      </c>
      <c r="S754" s="1">
        <f>IF(L754="En coordinación",1,0)</f>
        <v/>
      </c>
      <c r="T754" s="1">
        <f>IF(L754="Aceptada",1,0)</f>
        <v/>
      </c>
      <c r="U754" s="1">
        <f>IF(OR(L754="Realizada completa",L754="Realizada incompleta"),1,0)</f>
        <v/>
      </c>
      <c r="V754" s="1">
        <f>IF(L754="Sin respuesta",1,0)</f>
        <v/>
      </c>
    </row>
    <row r="755">
      <c r="A755" s="1" t="str"/>
      <c r="B755" s="1" t="str"/>
      <c r="C755" s="1" t="str"/>
      <c r="D755" s="1" t="str"/>
      <c r="E755" s="1" t="str"/>
      <c r="F755" s="1" t="str"/>
      <c r="G755" s="1" t="str"/>
      <c r="H755" s="1" t="str"/>
      <c r="I755" s="2" t="str"/>
      <c r="J755" s="2" t="str"/>
      <c r="K755" s="2" t="str"/>
      <c r="L755" s="1" t="str"/>
      <c r="M755" s="2" t="str"/>
      <c r="N755" s="2" t="str"/>
      <c r="O755" s="1" t="str"/>
      <c r="P755" s="1" t="str"/>
      <c r="Q755" s="1" t="str"/>
      <c r="R755" s="1">
        <f>IF(H755="Sí",1,0)</f>
        <v/>
      </c>
      <c r="S755" s="1">
        <f>IF(L755="En coordinación",1,0)</f>
        <v/>
      </c>
      <c r="T755" s="1">
        <f>IF(L755="Aceptada",1,0)</f>
        <v/>
      </c>
      <c r="U755" s="1">
        <f>IF(OR(L755="Realizada completa",L755="Realizada incompleta"),1,0)</f>
        <v/>
      </c>
      <c r="V755" s="1">
        <f>IF(L755="Sin respuesta",1,0)</f>
        <v/>
      </c>
    </row>
    <row r="756">
      <c r="A756" s="1" t="str"/>
      <c r="B756" s="1" t="str"/>
      <c r="C756" s="1" t="str"/>
      <c r="D756" s="1" t="str"/>
      <c r="E756" s="1" t="str"/>
      <c r="F756" s="1" t="str"/>
      <c r="G756" s="1" t="str"/>
      <c r="H756" s="1" t="str"/>
      <c r="I756" s="2" t="str"/>
      <c r="J756" s="2" t="str"/>
      <c r="K756" s="2" t="str"/>
      <c r="L756" s="1" t="str"/>
      <c r="M756" s="2" t="str"/>
      <c r="N756" s="2" t="str"/>
      <c r="O756" s="1" t="str"/>
      <c r="P756" s="1" t="str"/>
      <c r="Q756" s="1" t="str"/>
      <c r="R756" s="1">
        <f>IF(H756="Sí",1,0)</f>
        <v/>
      </c>
      <c r="S756" s="1">
        <f>IF(L756="En coordinación",1,0)</f>
        <v/>
      </c>
      <c r="T756" s="1">
        <f>IF(L756="Aceptada",1,0)</f>
        <v/>
      </c>
      <c r="U756" s="1">
        <f>IF(OR(L756="Realizada completa",L756="Realizada incompleta"),1,0)</f>
        <v/>
      </c>
      <c r="V756" s="1">
        <f>IF(L756="Sin respuesta",1,0)</f>
        <v/>
      </c>
    </row>
    <row r="757">
      <c r="A757" s="1" t="str"/>
      <c r="B757" s="1" t="str"/>
      <c r="C757" s="1" t="str"/>
      <c r="D757" s="1" t="str"/>
      <c r="E757" s="1" t="str"/>
      <c r="F757" s="1" t="str"/>
      <c r="G757" s="1" t="str"/>
      <c r="H757" s="1" t="str"/>
      <c r="I757" s="2" t="str"/>
      <c r="J757" s="2" t="str"/>
      <c r="K757" s="2" t="str"/>
      <c r="L757" s="1" t="str"/>
      <c r="M757" s="2" t="str"/>
      <c r="N757" s="2" t="str"/>
      <c r="O757" s="1" t="str"/>
      <c r="P757" s="1" t="str"/>
      <c r="Q757" s="1" t="str"/>
      <c r="R757" s="1">
        <f>IF(H757="Sí",1,0)</f>
        <v/>
      </c>
      <c r="S757" s="1">
        <f>IF(L757="En coordinación",1,0)</f>
        <v/>
      </c>
      <c r="T757" s="1">
        <f>IF(L757="Aceptada",1,0)</f>
        <v/>
      </c>
      <c r="U757" s="1">
        <f>IF(OR(L757="Realizada completa",L757="Realizada incompleta"),1,0)</f>
        <v/>
      </c>
      <c r="V757" s="1">
        <f>IF(L757="Sin respuesta",1,0)</f>
        <v/>
      </c>
    </row>
    <row r="758">
      <c r="A758" s="1" t="str"/>
      <c r="B758" s="1" t="str"/>
      <c r="C758" s="1" t="str"/>
      <c r="D758" s="1" t="str"/>
      <c r="E758" s="1" t="str"/>
      <c r="F758" s="1" t="str"/>
      <c r="G758" s="1" t="str"/>
      <c r="H758" s="1" t="str"/>
      <c r="I758" s="2" t="str"/>
      <c r="J758" s="2" t="str"/>
      <c r="K758" s="2" t="str"/>
      <c r="L758" s="1" t="str"/>
      <c r="M758" s="2" t="str"/>
      <c r="N758" s="2" t="str"/>
      <c r="O758" s="1" t="str"/>
      <c r="P758" s="1" t="str"/>
      <c r="Q758" s="1" t="str"/>
      <c r="R758" s="1">
        <f>IF(H758="Sí",1,0)</f>
        <v/>
      </c>
      <c r="S758" s="1">
        <f>IF(L758="En coordinación",1,0)</f>
        <v/>
      </c>
      <c r="T758" s="1">
        <f>IF(L758="Aceptada",1,0)</f>
        <v/>
      </c>
      <c r="U758" s="1">
        <f>IF(OR(L758="Realizada completa",L758="Realizada incompleta"),1,0)</f>
        <v/>
      </c>
      <c r="V758" s="1">
        <f>IF(L758="Sin respuesta",1,0)</f>
        <v/>
      </c>
    </row>
    <row r="759">
      <c r="A759" s="1" t="str"/>
      <c r="B759" s="1" t="str"/>
      <c r="C759" s="1" t="str"/>
      <c r="D759" s="1" t="str"/>
      <c r="E759" s="1" t="str"/>
      <c r="F759" s="1" t="str"/>
      <c r="G759" s="1" t="str"/>
      <c r="H759" s="1" t="str"/>
      <c r="I759" s="2" t="str"/>
      <c r="J759" s="2" t="str"/>
      <c r="K759" s="2" t="str"/>
      <c r="L759" s="1" t="str"/>
      <c r="M759" s="2" t="str"/>
      <c r="N759" s="2" t="str"/>
      <c r="O759" s="1" t="str"/>
      <c r="P759" s="1" t="str"/>
      <c r="Q759" s="1" t="str"/>
      <c r="R759" s="1">
        <f>IF(H759="Sí",1,0)</f>
        <v/>
      </c>
      <c r="S759" s="1">
        <f>IF(L759="En coordinación",1,0)</f>
        <v/>
      </c>
      <c r="T759" s="1">
        <f>IF(L759="Aceptada",1,0)</f>
        <v/>
      </c>
      <c r="U759" s="1">
        <f>IF(OR(L759="Realizada completa",L759="Realizada incompleta"),1,0)</f>
        <v/>
      </c>
      <c r="V759" s="1">
        <f>IF(L759="Sin respuesta",1,0)</f>
        <v/>
      </c>
    </row>
    <row r="760">
      <c r="A760" s="1" t="str"/>
      <c r="B760" s="1" t="str"/>
      <c r="C760" s="1" t="str"/>
      <c r="D760" s="1" t="str"/>
      <c r="E760" s="1" t="str"/>
      <c r="F760" s="1" t="str"/>
      <c r="G760" s="1" t="str"/>
      <c r="H760" s="1" t="str"/>
      <c r="I760" s="2" t="str"/>
      <c r="J760" s="2" t="str"/>
      <c r="K760" s="2" t="str"/>
      <c r="L760" s="1" t="str"/>
      <c r="M760" s="2" t="str"/>
      <c r="N760" s="2" t="str"/>
      <c r="O760" s="1" t="str"/>
      <c r="P760" s="1" t="str"/>
      <c r="Q760" s="1" t="str"/>
      <c r="R760" s="1">
        <f>IF(H760="Sí",1,0)</f>
        <v/>
      </c>
      <c r="S760" s="1">
        <f>IF(L760="En coordinación",1,0)</f>
        <v/>
      </c>
      <c r="T760" s="1">
        <f>IF(L760="Aceptada",1,0)</f>
        <v/>
      </c>
      <c r="U760" s="1">
        <f>IF(OR(L760="Realizada completa",L760="Realizada incompleta"),1,0)</f>
        <v/>
      </c>
      <c r="V760" s="1">
        <f>IF(L760="Sin respuesta",1,0)</f>
        <v/>
      </c>
    </row>
    <row r="761">
      <c r="A761" s="1" t="str"/>
      <c r="B761" s="1" t="str"/>
      <c r="C761" s="1" t="str"/>
      <c r="D761" s="1" t="str"/>
      <c r="E761" s="1" t="str"/>
      <c r="F761" s="1" t="str"/>
      <c r="G761" s="1" t="str"/>
      <c r="H761" s="1" t="str"/>
      <c r="I761" s="2" t="str"/>
      <c r="J761" s="2" t="str"/>
      <c r="K761" s="2" t="str"/>
      <c r="L761" s="1" t="str"/>
      <c r="M761" s="2" t="str"/>
      <c r="N761" s="2" t="str"/>
      <c r="O761" s="1" t="str"/>
      <c r="P761" s="1" t="str"/>
      <c r="Q761" s="1" t="str"/>
      <c r="R761" s="1">
        <f>IF(H761="Sí",1,0)</f>
        <v/>
      </c>
      <c r="S761" s="1">
        <f>IF(L761="En coordinación",1,0)</f>
        <v/>
      </c>
      <c r="T761" s="1">
        <f>IF(L761="Aceptada",1,0)</f>
        <v/>
      </c>
      <c r="U761" s="1">
        <f>IF(OR(L761="Realizada completa",L761="Realizada incompleta"),1,0)</f>
        <v/>
      </c>
      <c r="V761" s="1">
        <f>IF(L761="Sin respuesta",1,0)</f>
        <v/>
      </c>
    </row>
    <row r="762">
      <c r="A762" s="1" t="str"/>
      <c r="B762" s="1" t="str"/>
      <c r="C762" s="1" t="str"/>
      <c r="D762" s="1" t="str"/>
      <c r="E762" s="1" t="str"/>
      <c r="F762" s="1" t="str"/>
      <c r="G762" s="1" t="str"/>
      <c r="H762" s="1" t="str"/>
      <c r="I762" s="2" t="str"/>
      <c r="J762" s="2" t="str"/>
      <c r="K762" s="2" t="str"/>
      <c r="L762" s="1" t="str"/>
      <c r="M762" s="2" t="str"/>
      <c r="N762" s="2" t="str"/>
      <c r="O762" s="1" t="str"/>
      <c r="P762" s="1" t="str"/>
      <c r="Q762" s="1" t="str"/>
      <c r="R762" s="1">
        <f>IF(H762="Sí",1,0)</f>
        <v/>
      </c>
      <c r="S762" s="1">
        <f>IF(L762="En coordinación",1,0)</f>
        <v/>
      </c>
      <c r="T762" s="1">
        <f>IF(L762="Aceptada",1,0)</f>
        <v/>
      </c>
      <c r="U762" s="1">
        <f>IF(OR(L762="Realizada completa",L762="Realizada incompleta"),1,0)</f>
        <v/>
      </c>
      <c r="V762" s="1">
        <f>IF(L762="Sin respuesta",1,0)</f>
        <v/>
      </c>
    </row>
    <row r="763">
      <c r="A763" s="1" t="str"/>
      <c r="B763" s="1" t="str"/>
      <c r="C763" s="1" t="str"/>
      <c r="D763" s="1" t="str"/>
      <c r="E763" s="1" t="str"/>
      <c r="F763" s="1" t="str"/>
      <c r="G763" s="1" t="str"/>
      <c r="H763" s="1" t="str"/>
      <c r="I763" s="2" t="str"/>
      <c r="J763" s="2" t="str"/>
      <c r="K763" s="2" t="str"/>
      <c r="L763" s="1" t="str"/>
      <c r="M763" s="2" t="str"/>
      <c r="N763" s="2" t="str"/>
      <c r="O763" s="1" t="str"/>
      <c r="P763" s="1" t="str"/>
      <c r="Q763" s="1" t="str"/>
      <c r="R763" s="1">
        <f>IF(H763="Sí",1,0)</f>
        <v/>
      </c>
      <c r="S763" s="1">
        <f>IF(L763="En coordinación",1,0)</f>
        <v/>
      </c>
      <c r="T763" s="1">
        <f>IF(L763="Aceptada",1,0)</f>
        <v/>
      </c>
      <c r="U763" s="1">
        <f>IF(OR(L763="Realizada completa",L763="Realizada incompleta"),1,0)</f>
        <v/>
      </c>
      <c r="V763" s="1">
        <f>IF(L763="Sin respuesta",1,0)</f>
        <v/>
      </c>
    </row>
    <row r="764">
      <c r="A764" s="1" t="str"/>
      <c r="B764" s="1" t="str"/>
      <c r="C764" s="1" t="str"/>
      <c r="D764" s="1" t="str"/>
      <c r="E764" s="1" t="str"/>
      <c r="F764" s="1" t="str"/>
      <c r="G764" s="1" t="str"/>
      <c r="H764" s="1" t="str"/>
      <c r="I764" s="2" t="str"/>
      <c r="J764" s="2" t="str"/>
      <c r="K764" s="2" t="str"/>
      <c r="L764" s="1" t="str"/>
      <c r="M764" s="2" t="str"/>
      <c r="N764" s="2" t="str"/>
      <c r="O764" s="1" t="str"/>
      <c r="P764" s="1" t="str"/>
      <c r="Q764" s="1" t="str"/>
      <c r="R764" s="1">
        <f>IF(H764="Sí",1,0)</f>
        <v/>
      </c>
      <c r="S764" s="1">
        <f>IF(L764="En coordinación",1,0)</f>
        <v/>
      </c>
      <c r="T764" s="1">
        <f>IF(L764="Aceptada",1,0)</f>
        <v/>
      </c>
      <c r="U764" s="1">
        <f>IF(OR(L764="Realizada completa",L764="Realizada incompleta"),1,0)</f>
        <v/>
      </c>
      <c r="V764" s="1">
        <f>IF(L764="Sin respuesta",1,0)</f>
        <v/>
      </c>
    </row>
    <row r="765">
      <c r="A765" s="1" t="str"/>
      <c r="B765" s="1" t="str"/>
      <c r="C765" s="1" t="str"/>
      <c r="D765" s="1" t="str"/>
      <c r="E765" s="1" t="str"/>
      <c r="F765" s="1" t="str"/>
      <c r="G765" s="1" t="str"/>
      <c r="H765" s="1" t="str"/>
      <c r="I765" s="2" t="str"/>
      <c r="J765" s="2" t="str"/>
      <c r="K765" s="2" t="str"/>
      <c r="L765" s="1" t="str"/>
      <c r="M765" s="2" t="str"/>
      <c r="N765" s="2" t="str"/>
      <c r="O765" s="1" t="str"/>
      <c r="P765" s="1" t="str"/>
      <c r="Q765" s="1" t="str"/>
      <c r="R765" s="1">
        <f>IF(H765="Sí",1,0)</f>
        <v/>
      </c>
      <c r="S765" s="1">
        <f>IF(L765="En coordinación",1,0)</f>
        <v/>
      </c>
      <c r="T765" s="1">
        <f>IF(L765="Aceptada",1,0)</f>
        <v/>
      </c>
      <c r="U765" s="1">
        <f>IF(OR(L765="Realizada completa",L765="Realizada incompleta"),1,0)</f>
        <v/>
      </c>
      <c r="V765" s="1">
        <f>IF(L765="Sin respuesta",1,0)</f>
        <v/>
      </c>
    </row>
    <row r="766">
      <c r="A766" s="1" t="str"/>
      <c r="B766" s="1" t="str"/>
      <c r="C766" s="1" t="str"/>
      <c r="D766" s="1" t="str"/>
      <c r="E766" s="1" t="str"/>
      <c r="F766" s="1" t="str"/>
      <c r="G766" s="1" t="str"/>
      <c r="H766" s="1" t="str"/>
      <c r="I766" s="2" t="str"/>
      <c r="J766" s="2" t="str"/>
      <c r="K766" s="2" t="str"/>
      <c r="L766" s="1" t="str"/>
      <c r="M766" s="2" t="str"/>
      <c r="N766" s="2" t="str"/>
      <c r="O766" s="1" t="str"/>
      <c r="P766" s="1" t="str"/>
      <c r="Q766" s="1" t="str"/>
      <c r="R766" s="1">
        <f>IF(H766="Sí",1,0)</f>
        <v/>
      </c>
      <c r="S766" s="1">
        <f>IF(L766="En coordinación",1,0)</f>
        <v/>
      </c>
      <c r="T766" s="1">
        <f>IF(L766="Aceptada",1,0)</f>
        <v/>
      </c>
      <c r="U766" s="1">
        <f>IF(OR(L766="Realizada completa",L766="Realizada incompleta"),1,0)</f>
        <v/>
      </c>
      <c r="V766" s="1">
        <f>IF(L766="Sin respuesta",1,0)</f>
        <v/>
      </c>
    </row>
    <row r="767">
      <c r="A767" s="1" t="str"/>
      <c r="B767" s="1" t="str"/>
      <c r="C767" s="1" t="str"/>
      <c r="D767" s="1" t="str"/>
      <c r="E767" s="1" t="str"/>
      <c r="F767" s="1" t="str"/>
      <c r="G767" s="1" t="str"/>
      <c r="H767" s="1" t="str"/>
      <c r="I767" s="2" t="str"/>
      <c r="J767" s="2" t="str"/>
      <c r="K767" s="2" t="str"/>
      <c r="L767" s="1" t="str"/>
      <c r="M767" s="2" t="str"/>
      <c r="N767" s="2" t="str"/>
      <c r="O767" s="1" t="str"/>
      <c r="P767" s="1" t="str"/>
      <c r="Q767" s="1" t="str"/>
      <c r="R767" s="1">
        <f>IF(H767="Sí",1,0)</f>
        <v/>
      </c>
      <c r="S767" s="1">
        <f>IF(L767="En coordinación",1,0)</f>
        <v/>
      </c>
      <c r="T767" s="1">
        <f>IF(L767="Aceptada",1,0)</f>
        <v/>
      </c>
      <c r="U767" s="1">
        <f>IF(OR(L767="Realizada completa",L767="Realizada incompleta"),1,0)</f>
        <v/>
      </c>
      <c r="V767" s="1">
        <f>IF(L767="Sin respuesta",1,0)</f>
        <v/>
      </c>
    </row>
    <row r="768">
      <c r="A768" s="1" t="str"/>
      <c r="B768" s="1" t="str"/>
      <c r="C768" s="1" t="str"/>
      <c r="D768" s="1" t="str"/>
      <c r="E768" s="1" t="str"/>
      <c r="F768" s="1" t="str"/>
      <c r="G768" s="1" t="str"/>
      <c r="H768" s="1" t="str"/>
      <c r="I768" s="2" t="str"/>
      <c r="J768" s="2" t="str"/>
      <c r="K768" s="2" t="str"/>
      <c r="L768" s="1" t="str"/>
      <c r="M768" s="2" t="str"/>
      <c r="N768" s="2" t="str"/>
      <c r="O768" s="1" t="str"/>
      <c r="P768" s="1" t="str"/>
      <c r="Q768" s="1" t="str"/>
      <c r="R768" s="1">
        <f>IF(H768="Sí",1,0)</f>
        <v/>
      </c>
      <c r="S768" s="1">
        <f>IF(L768="En coordinación",1,0)</f>
        <v/>
      </c>
      <c r="T768" s="1">
        <f>IF(L768="Aceptada",1,0)</f>
        <v/>
      </c>
      <c r="U768" s="1">
        <f>IF(OR(L768="Realizada completa",L768="Realizada incompleta"),1,0)</f>
        <v/>
      </c>
      <c r="V768" s="1">
        <f>IF(L768="Sin respuesta",1,0)</f>
        <v/>
      </c>
    </row>
    <row r="769">
      <c r="A769" s="1" t="str"/>
      <c r="B769" s="1" t="str"/>
      <c r="C769" s="1" t="str"/>
      <c r="D769" s="1" t="str"/>
      <c r="E769" s="1" t="str"/>
      <c r="F769" s="1" t="str"/>
      <c r="G769" s="1" t="str"/>
      <c r="H769" s="1" t="str"/>
      <c r="I769" s="2" t="str"/>
      <c r="J769" s="2" t="str"/>
      <c r="K769" s="2" t="str"/>
      <c r="L769" s="1" t="str"/>
      <c r="M769" s="2" t="str"/>
      <c r="N769" s="2" t="str"/>
      <c r="O769" s="1" t="str"/>
      <c r="P769" s="1" t="str"/>
      <c r="Q769" s="1" t="str"/>
      <c r="R769" s="1">
        <f>IF(H769="Sí",1,0)</f>
        <v/>
      </c>
      <c r="S769" s="1">
        <f>IF(L769="En coordinación",1,0)</f>
        <v/>
      </c>
      <c r="T769" s="1">
        <f>IF(L769="Aceptada",1,0)</f>
        <v/>
      </c>
      <c r="U769" s="1">
        <f>IF(OR(L769="Realizada completa",L769="Realizada incompleta"),1,0)</f>
        <v/>
      </c>
      <c r="V769" s="1">
        <f>IF(L769="Sin respuesta",1,0)</f>
        <v/>
      </c>
    </row>
    <row r="770">
      <c r="A770" s="1" t="str"/>
      <c r="B770" s="1" t="str"/>
      <c r="C770" s="1" t="str"/>
      <c r="D770" s="1" t="str"/>
      <c r="E770" s="1" t="str"/>
      <c r="F770" s="1" t="str"/>
      <c r="G770" s="1" t="str"/>
      <c r="H770" s="1" t="str"/>
      <c r="I770" s="2" t="str"/>
      <c r="J770" s="2" t="str"/>
      <c r="K770" s="2" t="str"/>
      <c r="L770" s="1" t="str"/>
      <c r="M770" s="2" t="str"/>
      <c r="N770" s="2" t="str"/>
      <c r="O770" s="1" t="str"/>
      <c r="P770" s="1" t="str"/>
      <c r="Q770" s="1" t="str"/>
      <c r="R770" s="1">
        <f>IF(H770="Sí",1,0)</f>
        <v/>
      </c>
      <c r="S770" s="1">
        <f>IF(L770="En coordinación",1,0)</f>
        <v/>
      </c>
      <c r="T770" s="1">
        <f>IF(L770="Aceptada",1,0)</f>
        <v/>
      </c>
      <c r="U770" s="1">
        <f>IF(OR(L770="Realizada completa",L770="Realizada incompleta"),1,0)</f>
        <v/>
      </c>
      <c r="V770" s="1">
        <f>IF(L770="Sin respuesta",1,0)</f>
        <v/>
      </c>
    </row>
    <row r="771">
      <c r="A771" s="1" t="str"/>
      <c r="B771" s="1" t="str"/>
      <c r="C771" s="1" t="str"/>
      <c r="D771" s="1" t="str"/>
      <c r="E771" s="1" t="str"/>
      <c r="F771" s="1" t="str"/>
      <c r="G771" s="1" t="str"/>
      <c r="H771" s="1" t="str"/>
      <c r="I771" s="2" t="str"/>
      <c r="J771" s="2" t="str"/>
      <c r="K771" s="2" t="str"/>
      <c r="L771" s="1" t="str"/>
      <c r="M771" s="2" t="str"/>
      <c r="N771" s="2" t="str"/>
      <c r="O771" s="1" t="str"/>
      <c r="P771" s="1" t="str"/>
      <c r="Q771" s="1" t="str"/>
      <c r="R771" s="1">
        <f>IF(H771="Sí",1,0)</f>
        <v/>
      </c>
      <c r="S771" s="1">
        <f>IF(L771="En coordinación",1,0)</f>
        <v/>
      </c>
      <c r="T771" s="1">
        <f>IF(L771="Aceptada",1,0)</f>
        <v/>
      </c>
      <c r="U771" s="1">
        <f>IF(OR(L771="Realizada completa",L771="Realizada incompleta"),1,0)</f>
        <v/>
      </c>
      <c r="V771" s="1">
        <f>IF(L771="Sin respuesta",1,0)</f>
        <v/>
      </c>
    </row>
    <row r="772">
      <c r="A772" s="1" t="str"/>
      <c r="B772" s="1" t="str"/>
      <c r="C772" s="1" t="str"/>
      <c r="D772" s="1" t="str"/>
      <c r="E772" s="1" t="str"/>
      <c r="F772" s="1" t="str"/>
      <c r="G772" s="1" t="str"/>
      <c r="H772" s="1" t="str"/>
      <c r="I772" s="2" t="str"/>
      <c r="J772" s="2" t="str"/>
      <c r="K772" s="2" t="str"/>
      <c r="L772" s="1" t="str"/>
      <c r="M772" s="2" t="str"/>
      <c r="N772" s="2" t="str"/>
      <c r="O772" s="1" t="str"/>
      <c r="P772" s="1" t="str"/>
      <c r="Q772" s="1" t="str"/>
      <c r="R772" s="1">
        <f>IF(H772="Sí",1,0)</f>
        <v/>
      </c>
      <c r="S772" s="1">
        <f>IF(L772="En coordinación",1,0)</f>
        <v/>
      </c>
      <c r="T772" s="1">
        <f>IF(L772="Aceptada",1,0)</f>
        <v/>
      </c>
      <c r="U772" s="1">
        <f>IF(OR(L772="Realizada completa",L772="Realizada incompleta"),1,0)</f>
        <v/>
      </c>
      <c r="V772" s="1">
        <f>IF(L772="Sin respuesta",1,0)</f>
        <v/>
      </c>
    </row>
    <row r="773">
      <c r="A773" s="1" t="str"/>
      <c r="B773" s="1" t="str"/>
      <c r="C773" s="1" t="str"/>
      <c r="D773" s="1" t="str"/>
      <c r="E773" s="1" t="str"/>
      <c r="F773" s="1" t="str"/>
      <c r="G773" s="1" t="str"/>
      <c r="H773" s="1" t="str"/>
      <c r="I773" s="2" t="str"/>
      <c r="J773" s="2" t="str"/>
      <c r="K773" s="2" t="str"/>
      <c r="L773" s="1" t="str"/>
      <c r="M773" s="2" t="str"/>
      <c r="N773" s="2" t="str"/>
      <c r="O773" s="1" t="str"/>
      <c r="P773" s="1" t="str"/>
      <c r="Q773" s="1" t="str"/>
      <c r="R773" s="1">
        <f>IF(H773="Sí",1,0)</f>
        <v/>
      </c>
      <c r="S773" s="1">
        <f>IF(L773="En coordinación",1,0)</f>
        <v/>
      </c>
      <c r="T773" s="1">
        <f>IF(L773="Aceptada",1,0)</f>
        <v/>
      </c>
      <c r="U773" s="1">
        <f>IF(OR(L773="Realizada completa",L773="Realizada incompleta"),1,0)</f>
        <v/>
      </c>
      <c r="V773" s="1">
        <f>IF(L773="Sin respuesta",1,0)</f>
        <v/>
      </c>
    </row>
    <row r="774">
      <c r="A774" s="1" t="str"/>
      <c r="B774" s="1" t="str"/>
      <c r="C774" s="1" t="str"/>
      <c r="D774" s="1" t="str"/>
      <c r="E774" s="1" t="str"/>
      <c r="F774" s="1" t="str"/>
      <c r="G774" s="1" t="str"/>
      <c r="H774" s="1" t="str"/>
      <c r="I774" s="2" t="str"/>
      <c r="J774" s="2" t="str"/>
      <c r="K774" s="2" t="str"/>
      <c r="L774" s="1" t="str"/>
      <c r="M774" s="2" t="str"/>
      <c r="N774" s="2" t="str"/>
      <c r="O774" s="1" t="str"/>
      <c r="P774" s="1" t="str"/>
      <c r="Q774" s="1" t="str"/>
      <c r="R774" s="1">
        <f>IF(H774="Sí",1,0)</f>
        <v/>
      </c>
      <c r="S774" s="1">
        <f>IF(L774="En coordinación",1,0)</f>
        <v/>
      </c>
      <c r="T774" s="1">
        <f>IF(L774="Aceptada",1,0)</f>
        <v/>
      </c>
      <c r="U774" s="1">
        <f>IF(OR(L774="Realizada completa",L774="Realizada incompleta"),1,0)</f>
        <v/>
      </c>
      <c r="V774" s="1">
        <f>IF(L774="Sin respuesta",1,0)</f>
        <v/>
      </c>
    </row>
    <row r="775">
      <c r="A775" s="1" t="str"/>
      <c r="B775" s="1" t="str"/>
      <c r="C775" s="1" t="str"/>
      <c r="D775" s="1" t="str"/>
      <c r="E775" s="1" t="str"/>
      <c r="F775" s="1" t="str"/>
      <c r="G775" s="1" t="str"/>
      <c r="H775" s="1" t="str"/>
      <c r="I775" s="2" t="str"/>
      <c r="J775" s="2" t="str"/>
      <c r="K775" s="2" t="str"/>
      <c r="L775" s="1" t="str"/>
      <c r="M775" s="2" t="str"/>
      <c r="N775" s="2" t="str"/>
      <c r="O775" s="1" t="str"/>
      <c r="P775" s="1" t="str"/>
      <c r="Q775" s="1" t="str"/>
      <c r="R775" s="1">
        <f>IF(H775="Sí",1,0)</f>
        <v/>
      </c>
      <c r="S775" s="1">
        <f>IF(L775="En coordinación",1,0)</f>
        <v/>
      </c>
      <c r="T775" s="1">
        <f>IF(L775="Aceptada",1,0)</f>
        <v/>
      </c>
      <c r="U775" s="1">
        <f>IF(OR(L775="Realizada completa",L775="Realizada incompleta"),1,0)</f>
        <v/>
      </c>
      <c r="V775" s="1">
        <f>IF(L775="Sin respuesta",1,0)</f>
        <v/>
      </c>
    </row>
    <row r="776">
      <c r="A776" s="1" t="str"/>
      <c r="B776" s="1" t="str"/>
      <c r="C776" s="1" t="str"/>
      <c r="D776" s="1" t="str"/>
      <c r="E776" s="1" t="str"/>
      <c r="F776" s="1" t="str"/>
      <c r="G776" s="1" t="str"/>
      <c r="H776" s="1" t="str"/>
      <c r="I776" s="2" t="str"/>
      <c r="J776" s="2" t="str"/>
      <c r="K776" s="2" t="str"/>
      <c r="L776" s="1" t="str"/>
      <c r="M776" s="2" t="str"/>
      <c r="N776" s="2" t="str"/>
      <c r="O776" s="1" t="str"/>
      <c r="P776" s="1" t="str"/>
      <c r="Q776" s="1" t="str"/>
      <c r="R776" s="1">
        <f>IF(H776="Sí",1,0)</f>
        <v/>
      </c>
      <c r="S776" s="1">
        <f>IF(L776="En coordinación",1,0)</f>
        <v/>
      </c>
      <c r="T776" s="1">
        <f>IF(L776="Aceptada",1,0)</f>
        <v/>
      </c>
      <c r="U776" s="1">
        <f>IF(OR(L776="Realizada completa",L776="Realizada incompleta"),1,0)</f>
        <v/>
      </c>
      <c r="V776" s="1">
        <f>IF(L776="Sin respuesta",1,0)</f>
        <v/>
      </c>
    </row>
    <row r="777">
      <c r="A777" s="1" t="str"/>
      <c r="B777" s="1" t="str"/>
      <c r="C777" s="1" t="str"/>
      <c r="D777" s="1" t="str"/>
      <c r="E777" s="1" t="str"/>
      <c r="F777" s="1" t="str"/>
      <c r="G777" s="1" t="str"/>
      <c r="H777" s="1" t="str"/>
      <c r="I777" s="2" t="str"/>
      <c r="J777" s="2" t="str"/>
      <c r="K777" s="2" t="str"/>
      <c r="L777" s="1" t="str"/>
      <c r="M777" s="2" t="str"/>
      <c r="N777" s="2" t="str"/>
      <c r="O777" s="1" t="str"/>
      <c r="P777" s="1" t="str"/>
      <c r="Q777" s="1" t="str"/>
      <c r="R777" s="1">
        <f>IF(H777="Sí",1,0)</f>
        <v/>
      </c>
      <c r="S777" s="1">
        <f>IF(L777="En coordinación",1,0)</f>
        <v/>
      </c>
      <c r="T777" s="1">
        <f>IF(L777="Aceptada",1,0)</f>
        <v/>
      </c>
      <c r="U777" s="1">
        <f>IF(OR(L777="Realizada completa",L777="Realizada incompleta"),1,0)</f>
        <v/>
      </c>
      <c r="V777" s="1">
        <f>IF(L777="Sin respuesta",1,0)</f>
        <v/>
      </c>
    </row>
    <row r="778">
      <c r="A778" s="1" t="str"/>
      <c r="B778" s="1" t="str"/>
      <c r="C778" s="1" t="str"/>
      <c r="D778" s="1" t="str"/>
      <c r="E778" s="1" t="str"/>
      <c r="F778" s="1" t="str"/>
      <c r="G778" s="1" t="str"/>
      <c r="H778" s="1" t="str"/>
      <c r="I778" s="2" t="str"/>
      <c r="J778" s="2" t="str"/>
      <c r="K778" s="2" t="str"/>
      <c r="L778" s="1" t="str"/>
      <c r="M778" s="2" t="str"/>
      <c r="N778" s="2" t="str"/>
      <c r="O778" s="1" t="str"/>
      <c r="P778" s="1" t="str"/>
      <c r="Q778" s="1" t="str"/>
      <c r="R778" s="1">
        <f>IF(H778="Sí",1,0)</f>
        <v/>
      </c>
      <c r="S778" s="1">
        <f>IF(L778="En coordinación",1,0)</f>
        <v/>
      </c>
      <c r="T778" s="1">
        <f>IF(L778="Aceptada",1,0)</f>
        <v/>
      </c>
      <c r="U778" s="1">
        <f>IF(OR(L778="Realizada completa",L778="Realizada incompleta"),1,0)</f>
        <v/>
      </c>
      <c r="V778" s="1">
        <f>IF(L778="Sin respuesta",1,0)</f>
        <v/>
      </c>
    </row>
    <row r="779">
      <c r="A779" s="1" t="str"/>
      <c r="B779" s="1" t="str"/>
      <c r="C779" s="1" t="str"/>
      <c r="D779" s="1" t="str"/>
      <c r="E779" s="1" t="str"/>
      <c r="F779" s="1" t="str"/>
      <c r="G779" s="1" t="str"/>
      <c r="H779" s="1" t="str"/>
      <c r="I779" s="2" t="str"/>
      <c r="J779" s="2" t="str"/>
      <c r="K779" s="2" t="str"/>
      <c r="L779" s="1" t="str"/>
      <c r="M779" s="2" t="str"/>
      <c r="N779" s="2" t="str"/>
      <c r="O779" s="1" t="str"/>
      <c r="P779" s="1" t="str"/>
      <c r="Q779" s="1" t="str"/>
      <c r="R779" s="1">
        <f>IF(H779="Sí",1,0)</f>
        <v/>
      </c>
      <c r="S779" s="1">
        <f>IF(L779="En coordinación",1,0)</f>
        <v/>
      </c>
      <c r="T779" s="1">
        <f>IF(L779="Aceptada",1,0)</f>
        <v/>
      </c>
      <c r="U779" s="1">
        <f>IF(OR(L779="Realizada completa",L779="Realizada incompleta"),1,0)</f>
        <v/>
      </c>
      <c r="V779" s="1">
        <f>IF(L779="Sin respuesta",1,0)</f>
        <v/>
      </c>
    </row>
    <row r="780">
      <c r="A780" s="1" t="str"/>
      <c r="B780" s="1" t="str"/>
      <c r="C780" s="1" t="str"/>
      <c r="D780" s="1" t="str"/>
      <c r="E780" s="1" t="str"/>
      <c r="F780" s="1" t="str"/>
      <c r="G780" s="1" t="str"/>
      <c r="H780" s="1" t="str"/>
      <c r="I780" s="2" t="str"/>
      <c r="J780" s="2" t="str"/>
      <c r="K780" s="2" t="str"/>
      <c r="L780" s="1" t="str"/>
      <c r="M780" s="2" t="str"/>
      <c r="N780" s="2" t="str"/>
      <c r="O780" s="1" t="str"/>
      <c r="P780" s="1" t="str"/>
      <c r="Q780" s="1" t="str"/>
      <c r="R780" s="1">
        <f>IF(H780="Sí",1,0)</f>
        <v/>
      </c>
      <c r="S780" s="1">
        <f>IF(L780="En coordinación",1,0)</f>
        <v/>
      </c>
      <c r="T780" s="1">
        <f>IF(L780="Aceptada",1,0)</f>
        <v/>
      </c>
      <c r="U780" s="1">
        <f>IF(OR(L780="Realizada completa",L780="Realizada incompleta"),1,0)</f>
        <v/>
      </c>
      <c r="V780" s="1">
        <f>IF(L780="Sin respuesta",1,0)</f>
        <v/>
      </c>
    </row>
    <row r="781">
      <c r="A781" s="1" t="str"/>
      <c r="B781" s="1" t="str"/>
      <c r="C781" s="1" t="str"/>
      <c r="D781" s="1" t="str"/>
      <c r="E781" s="1" t="str"/>
      <c r="F781" s="1" t="str"/>
      <c r="G781" s="1" t="str"/>
      <c r="H781" s="1" t="str"/>
      <c r="I781" s="2" t="str"/>
      <c r="J781" s="2" t="str"/>
      <c r="K781" s="2" t="str"/>
      <c r="L781" s="1" t="str"/>
      <c r="M781" s="2" t="str"/>
      <c r="N781" s="2" t="str"/>
      <c r="O781" s="1" t="str"/>
      <c r="P781" s="1" t="str"/>
      <c r="Q781" s="1" t="str"/>
      <c r="R781" s="1">
        <f>IF(H781="Sí",1,0)</f>
        <v/>
      </c>
      <c r="S781" s="1">
        <f>IF(L781="En coordinación",1,0)</f>
        <v/>
      </c>
      <c r="T781" s="1">
        <f>IF(L781="Aceptada",1,0)</f>
        <v/>
      </c>
      <c r="U781" s="1">
        <f>IF(OR(L781="Realizada completa",L781="Realizada incompleta"),1,0)</f>
        <v/>
      </c>
      <c r="V781" s="1">
        <f>IF(L781="Sin respuesta",1,0)</f>
        <v/>
      </c>
    </row>
    <row r="782">
      <c r="A782" s="1" t="str"/>
      <c r="B782" s="1" t="str"/>
      <c r="C782" s="1" t="str"/>
      <c r="D782" s="1" t="str"/>
      <c r="E782" s="1" t="str"/>
      <c r="F782" s="1" t="str"/>
      <c r="G782" s="1" t="str"/>
      <c r="H782" s="1" t="str"/>
      <c r="I782" s="2" t="str"/>
      <c r="J782" s="2" t="str"/>
      <c r="K782" s="2" t="str"/>
      <c r="L782" s="1" t="str"/>
      <c r="M782" s="2" t="str"/>
      <c r="N782" s="2" t="str"/>
      <c r="O782" s="1" t="str"/>
      <c r="P782" s="1" t="str"/>
      <c r="Q782" s="1" t="str"/>
      <c r="R782" s="1">
        <f>IF(H782="Sí",1,0)</f>
        <v/>
      </c>
      <c r="S782" s="1">
        <f>IF(L782="En coordinación",1,0)</f>
        <v/>
      </c>
      <c r="T782" s="1">
        <f>IF(L782="Aceptada",1,0)</f>
        <v/>
      </c>
      <c r="U782" s="1">
        <f>IF(OR(L782="Realizada completa",L782="Realizada incompleta"),1,0)</f>
        <v/>
      </c>
      <c r="V782" s="1">
        <f>IF(L782="Sin respuesta",1,0)</f>
        <v/>
      </c>
    </row>
    <row r="783">
      <c r="A783" s="1" t="str"/>
      <c r="B783" s="1" t="str"/>
      <c r="C783" s="1" t="str"/>
      <c r="D783" s="1" t="str"/>
      <c r="E783" s="1" t="str"/>
      <c r="F783" s="1" t="str"/>
      <c r="G783" s="1" t="str"/>
      <c r="H783" s="1" t="str"/>
      <c r="I783" s="2" t="str"/>
      <c r="J783" s="2" t="str"/>
      <c r="K783" s="2" t="str"/>
      <c r="L783" s="1" t="str"/>
      <c r="M783" s="2" t="str"/>
      <c r="N783" s="2" t="str"/>
      <c r="O783" s="1" t="str"/>
      <c r="P783" s="1" t="str"/>
      <c r="Q783" s="1" t="str"/>
      <c r="R783" s="1">
        <f>IF(H783="Sí",1,0)</f>
        <v/>
      </c>
      <c r="S783" s="1">
        <f>IF(L783="En coordinación",1,0)</f>
        <v/>
      </c>
      <c r="T783" s="1">
        <f>IF(L783="Aceptada",1,0)</f>
        <v/>
      </c>
      <c r="U783" s="1">
        <f>IF(OR(L783="Realizada completa",L783="Realizada incompleta"),1,0)</f>
        <v/>
      </c>
      <c r="V783" s="1">
        <f>IF(L783="Sin respuesta",1,0)</f>
        <v/>
      </c>
    </row>
    <row r="784">
      <c r="A784" s="1" t="str"/>
      <c r="B784" s="1" t="str"/>
      <c r="C784" s="1" t="str"/>
      <c r="D784" s="1" t="str"/>
      <c r="E784" s="1" t="str"/>
      <c r="F784" s="1" t="str"/>
      <c r="G784" s="1" t="str"/>
      <c r="H784" s="1" t="str"/>
      <c r="I784" s="2" t="str"/>
      <c r="J784" s="2" t="str"/>
      <c r="K784" s="2" t="str"/>
      <c r="L784" s="1" t="str"/>
      <c r="M784" s="2" t="str"/>
      <c r="N784" s="2" t="str"/>
      <c r="O784" s="1" t="str"/>
      <c r="P784" s="1" t="str"/>
      <c r="Q784" s="1" t="str"/>
      <c r="R784" s="1">
        <f>IF(H784="Sí",1,0)</f>
        <v/>
      </c>
      <c r="S784" s="1">
        <f>IF(L784="En coordinación",1,0)</f>
        <v/>
      </c>
      <c r="T784" s="1">
        <f>IF(L784="Aceptada",1,0)</f>
        <v/>
      </c>
      <c r="U784" s="1">
        <f>IF(OR(L784="Realizada completa",L784="Realizada incompleta"),1,0)</f>
        <v/>
      </c>
      <c r="V784" s="1">
        <f>IF(L784="Sin respuesta",1,0)</f>
        <v/>
      </c>
    </row>
    <row r="785">
      <c r="A785" s="1" t="str"/>
      <c r="B785" s="1" t="str"/>
      <c r="C785" s="1" t="str"/>
      <c r="D785" s="1" t="str"/>
      <c r="E785" s="1" t="str"/>
      <c r="F785" s="1" t="str"/>
      <c r="G785" s="1" t="str"/>
      <c r="H785" s="1" t="str"/>
      <c r="I785" s="2" t="str"/>
      <c r="J785" s="2" t="str"/>
      <c r="K785" s="2" t="str"/>
      <c r="L785" s="1" t="str"/>
      <c r="M785" s="2" t="str"/>
      <c r="N785" s="2" t="str"/>
      <c r="O785" s="1" t="str"/>
      <c r="P785" s="1" t="str"/>
      <c r="Q785" s="1" t="str"/>
      <c r="R785" s="1">
        <f>IF(H785="Sí",1,0)</f>
        <v/>
      </c>
      <c r="S785" s="1">
        <f>IF(L785="En coordinación",1,0)</f>
        <v/>
      </c>
      <c r="T785" s="1">
        <f>IF(L785="Aceptada",1,0)</f>
        <v/>
      </c>
      <c r="U785" s="1">
        <f>IF(OR(L785="Realizada completa",L785="Realizada incompleta"),1,0)</f>
        <v/>
      </c>
      <c r="V785" s="1">
        <f>IF(L785="Sin respuesta",1,0)</f>
        <v/>
      </c>
    </row>
    <row r="786">
      <c r="A786" s="1" t="str"/>
      <c r="B786" s="1" t="str"/>
      <c r="C786" s="1" t="str"/>
      <c r="D786" s="1" t="str"/>
      <c r="E786" s="1" t="str"/>
      <c r="F786" s="1" t="str"/>
      <c r="G786" s="1" t="str"/>
      <c r="H786" s="1" t="str"/>
      <c r="I786" s="2" t="str"/>
      <c r="J786" s="2" t="str"/>
      <c r="K786" s="2" t="str"/>
      <c r="L786" s="1" t="str"/>
      <c r="M786" s="2" t="str"/>
      <c r="N786" s="2" t="str"/>
      <c r="O786" s="1" t="str"/>
      <c r="P786" s="1" t="str"/>
      <c r="Q786" s="1" t="str"/>
      <c r="R786" s="1">
        <f>IF(H786="Sí",1,0)</f>
        <v/>
      </c>
      <c r="S786" s="1">
        <f>IF(L786="En coordinación",1,0)</f>
        <v/>
      </c>
      <c r="T786" s="1">
        <f>IF(L786="Aceptada",1,0)</f>
        <v/>
      </c>
      <c r="U786" s="1">
        <f>IF(OR(L786="Realizada completa",L786="Realizada incompleta"),1,0)</f>
        <v/>
      </c>
      <c r="V786" s="1">
        <f>IF(L786="Sin respuesta",1,0)</f>
        <v/>
      </c>
    </row>
    <row r="787">
      <c r="A787" s="1" t="str"/>
      <c r="B787" s="1" t="str"/>
      <c r="C787" s="1" t="str"/>
      <c r="D787" s="1" t="str"/>
      <c r="E787" s="1" t="str"/>
      <c r="F787" s="1" t="str"/>
      <c r="G787" s="1" t="str"/>
      <c r="H787" s="1" t="str"/>
      <c r="I787" s="2" t="str"/>
      <c r="J787" s="2" t="str"/>
      <c r="K787" s="2" t="str"/>
      <c r="L787" s="1" t="str"/>
      <c r="M787" s="2" t="str"/>
      <c r="N787" s="2" t="str"/>
      <c r="O787" s="1" t="str"/>
      <c r="P787" s="1" t="str"/>
      <c r="Q787" s="1" t="str"/>
      <c r="R787" s="1">
        <f>IF(H787="Sí",1,0)</f>
        <v/>
      </c>
      <c r="S787" s="1">
        <f>IF(L787="En coordinación",1,0)</f>
        <v/>
      </c>
      <c r="T787" s="1">
        <f>IF(L787="Aceptada",1,0)</f>
        <v/>
      </c>
      <c r="U787" s="1">
        <f>IF(OR(L787="Realizada completa",L787="Realizada incompleta"),1,0)</f>
        <v/>
      </c>
      <c r="V787" s="1">
        <f>IF(L787="Sin respuesta",1,0)</f>
        <v/>
      </c>
    </row>
    <row r="788">
      <c r="A788" s="1" t="str"/>
      <c r="B788" s="1" t="str"/>
      <c r="C788" s="1" t="str"/>
      <c r="D788" s="1" t="str"/>
      <c r="E788" s="1" t="str"/>
      <c r="F788" s="1" t="str"/>
      <c r="G788" s="1" t="str"/>
      <c r="H788" s="1" t="str"/>
      <c r="I788" s="2" t="str"/>
      <c r="J788" s="2" t="str"/>
      <c r="K788" s="2" t="str"/>
      <c r="L788" s="1" t="str"/>
      <c r="M788" s="2" t="str"/>
      <c r="N788" s="2" t="str"/>
      <c r="O788" s="1" t="str"/>
      <c r="P788" s="1" t="str"/>
      <c r="Q788" s="1" t="str"/>
      <c r="R788" s="1">
        <f>IF(H788="Sí",1,0)</f>
        <v/>
      </c>
      <c r="S788" s="1">
        <f>IF(L788="En coordinación",1,0)</f>
        <v/>
      </c>
      <c r="T788" s="1">
        <f>IF(L788="Aceptada",1,0)</f>
        <v/>
      </c>
      <c r="U788" s="1">
        <f>IF(OR(L788="Realizada completa",L788="Realizada incompleta"),1,0)</f>
        <v/>
      </c>
      <c r="V788" s="1">
        <f>IF(L788="Sin respuesta",1,0)</f>
        <v/>
      </c>
    </row>
    <row r="789">
      <c r="A789" s="1" t="str"/>
      <c r="B789" s="1" t="str"/>
      <c r="C789" s="1" t="str"/>
      <c r="D789" s="1" t="str"/>
      <c r="E789" s="1" t="str"/>
      <c r="F789" s="1" t="str"/>
      <c r="G789" s="1" t="str"/>
      <c r="H789" s="1" t="str"/>
      <c r="I789" s="2" t="str"/>
      <c r="J789" s="2" t="str"/>
      <c r="K789" s="2" t="str"/>
      <c r="L789" s="1" t="str"/>
      <c r="M789" s="2" t="str"/>
      <c r="N789" s="2" t="str"/>
      <c r="O789" s="1" t="str"/>
      <c r="P789" s="1" t="str"/>
      <c r="Q789" s="1" t="str"/>
      <c r="R789" s="1">
        <f>IF(H789="Sí",1,0)</f>
        <v/>
      </c>
      <c r="S789" s="1">
        <f>IF(L789="En coordinación",1,0)</f>
        <v/>
      </c>
      <c r="T789" s="1">
        <f>IF(L789="Aceptada",1,0)</f>
        <v/>
      </c>
      <c r="U789" s="1">
        <f>IF(OR(L789="Realizada completa",L789="Realizada incompleta"),1,0)</f>
        <v/>
      </c>
      <c r="V789" s="1">
        <f>IF(L789="Sin respuesta",1,0)</f>
        <v/>
      </c>
    </row>
    <row r="790">
      <c r="A790" s="1" t="str"/>
      <c r="B790" s="1" t="str"/>
      <c r="C790" s="1" t="str"/>
      <c r="D790" s="1" t="str"/>
      <c r="E790" s="1" t="str"/>
      <c r="F790" s="1" t="str"/>
      <c r="G790" s="1" t="str"/>
      <c r="H790" s="1" t="str"/>
      <c r="I790" s="2" t="str"/>
      <c r="J790" s="2" t="str"/>
      <c r="K790" s="2" t="str"/>
      <c r="L790" s="1" t="str"/>
      <c r="M790" s="2" t="str"/>
      <c r="N790" s="2" t="str"/>
      <c r="O790" s="1" t="str"/>
      <c r="P790" s="1" t="str"/>
      <c r="Q790" s="1" t="str"/>
      <c r="R790" s="1">
        <f>IF(H790="Sí",1,0)</f>
        <v/>
      </c>
      <c r="S790" s="1">
        <f>IF(L790="En coordinación",1,0)</f>
        <v/>
      </c>
      <c r="T790" s="1">
        <f>IF(L790="Aceptada",1,0)</f>
        <v/>
      </c>
      <c r="U790" s="1">
        <f>IF(OR(L790="Realizada completa",L790="Realizada incompleta"),1,0)</f>
        <v/>
      </c>
      <c r="V790" s="1">
        <f>IF(L790="Sin respuesta",1,0)</f>
        <v/>
      </c>
    </row>
    <row r="791">
      <c r="A791" s="1" t="str"/>
      <c r="B791" s="1" t="str"/>
      <c r="C791" s="1" t="str"/>
      <c r="D791" s="1" t="str"/>
      <c r="E791" s="1" t="str"/>
      <c r="F791" s="1" t="str"/>
      <c r="G791" s="1" t="str"/>
      <c r="H791" s="1" t="str"/>
      <c r="I791" s="2" t="str"/>
      <c r="J791" s="2" t="str"/>
      <c r="K791" s="2" t="str"/>
      <c r="L791" s="1" t="str"/>
      <c r="M791" s="2" t="str"/>
      <c r="N791" s="2" t="str"/>
      <c r="O791" s="1" t="str"/>
      <c r="P791" s="1" t="str"/>
      <c r="Q791" s="1" t="str"/>
      <c r="R791" s="1">
        <f>IF(H791="Sí",1,0)</f>
        <v/>
      </c>
      <c r="S791" s="1">
        <f>IF(L791="En coordinación",1,0)</f>
        <v/>
      </c>
      <c r="T791" s="1">
        <f>IF(L791="Aceptada",1,0)</f>
        <v/>
      </c>
      <c r="U791" s="1">
        <f>IF(OR(L791="Realizada completa",L791="Realizada incompleta"),1,0)</f>
        <v/>
      </c>
      <c r="V791" s="1">
        <f>IF(L791="Sin respuesta",1,0)</f>
        <v/>
      </c>
    </row>
    <row r="792">
      <c r="A792" s="1" t="str"/>
      <c r="B792" s="1" t="str"/>
      <c r="C792" s="1" t="str"/>
      <c r="D792" s="1" t="str"/>
      <c r="E792" s="1" t="str"/>
      <c r="F792" s="1" t="str"/>
      <c r="G792" s="1" t="str"/>
      <c r="H792" s="1" t="str"/>
      <c r="I792" s="2" t="str"/>
      <c r="J792" s="2" t="str"/>
      <c r="K792" s="2" t="str"/>
      <c r="L792" s="1" t="str"/>
      <c r="M792" s="2" t="str"/>
      <c r="N792" s="2" t="str"/>
      <c r="O792" s="1" t="str"/>
      <c r="P792" s="1" t="str"/>
      <c r="Q792" s="1" t="str"/>
      <c r="R792" s="1">
        <f>IF(H792="Sí",1,0)</f>
        <v/>
      </c>
      <c r="S792" s="1">
        <f>IF(L792="En coordinación",1,0)</f>
        <v/>
      </c>
      <c r="T792" s="1">
        <f>IF(L792="Aceptada",1,0)</f>
        <v/>
      </c>
      <c r="U792" s="1">
        <f>IF(OR(L792="Realizada completa",L792="Realizada incompleta"),1,0)</f>
        <v/>
      </c>
      <c r="V792" s="1">
        <f>IF(L792="Sin respuesta",1,0)</f>
        <v/>
      </c>
    </row>
    <row r="793">
      <c r="A793" s="1" t="str"/>
      <c r="B793" s="1" t="str"/>
      <c r="C793" s="1" t="str"/>
      <c r="D793" s="1" t="str"/>
      <c r="E793" s="1" t="str"/>
      <c r="F793" s="1" t="str"/>
      <c r="G793" s="1" t="str"/>
      <c r="H793" s="1" t="str"/>
      <c r="I793" s="2" t="str"/>
      <c r="J793" s="2" t="str"/>
      <c r="K793" s="2" t="str"/>
      <c r="L793" s="1" t="str"/>
      <c r="M793" s="2" t="str"/>
      <c r="N793" s="2" t="str"/>
      <c r="O793" s="1" t="str"/>
      <c r="P793" s="1" t="str"/>
      <c r="Q793" s="1" t="str"/>
      <c r="R793" s="1">
        <f>IF(H793="Sí",1,0)</f>
        <v/>
      </c>
      <c r="S793" s="1">
        <f>IF(L793="En coordinación",1,0)</f>
        <v/>
      </c>
      <c r="T793" s="1">
        <f>IF(L793="Aceptada",1,0)</f>
        <v/>
      </c>
      <c r="U793" s="1">
        <f>IF(OR(L793="Realizada completa",L793="Realizada incompleta"),1,0)</f>
        <v/>
      </c>
      <c r="V793" s="1">
        <f>IF(L793="Sin respuesta",1,0)</f>
        <v/>
      </c>
    </row>
    <row r="794">
      <c r="A794" s="1" t="str"/>
      <c r="B794" s="1" t="str"/>
      <c r="C794" s="1" t="str"/>
      <c r="D794" s="1" t="str"/>
      <c r="E794" s="1" t="str"/>
      <c r="F794" s="1" t="str"/>
      <c r="G794" s="1" t="str"/>
      <c r="H794" s="1" t="str"/>
      <c r="I794" s="2" t="str"/>
      <c r="J794" s="2" t="str"/>
      <c r="K794" s="2" t="str"/>
      <c r="L794" s="1" t="str"/>
      <c r="M794" s="2" t="str"/>
      <c r="N794" s="2" t="str"/>
      <c r="O794" s="1" t="str"/>
      <c r="P794" s="1" t="str"/>
      <c r="Q794" s="1" t="str"/>
      <c r="R794" s="1">
        <f>IF(H794="Sí",1,0)</f>
        <v/>
      </c>
      <c r="S794" s="1">
        <f>IF(L794="En coordinación",1,0)</f>
        <v/>
      </c>
      <c r="T794" s="1">
        <f>IF(L794="Aceptada",1,0)</f>
        <v/>
      </c>
      <c r="U794" s="1">
        <f>IF(OR(L794="Realizada completa",L794="Realizada incompleta"),1,0)</f>
        <v/>
      </c>
      <c r="V794" s="1">
        <f>IF(L794="Sin respuesta",1,0)</f>
        <v/>
      </c>
    </row>
    <row r="795">
      <c r="A795" s="1" t="str"/>
      <c r="B795" s="1" t="str"/>
      <c r="C795" s="1" t="str"/>
      <c r="D795" s="1" t="str"/>
      <c r="E795" s="1" t="str"/>
      <c r="F795" s="1" t="str"/>
      <c r="G795" s="1" t="str"/>
      <c r="H795" s="1" t="str"/>
      <c r="I795" s="2" t="str"/>
      <c r="J795" s="2" t="str"/>
      <c r="K795" s="2" t="str"/>
      <c r="L795" s="1" t="str"/>
      <c r="M795" s="2" t="str"/>
      <c r="N795" s="2" t="str"/>
      <c r="O795" s="1" t="str"/>
      <c r="P795" s="1" t="str"/>
      <c r="Q795" s="1" t="str"/>
      <c r="R795" s="1">
        <f>IF(H795="Sí",1,0)</f>
        <v/>
      </c>
      <c r="S795" s="1">
        <f>IF(L795="En coordinación",1,0)</f>
        <v/>
      </c>
      <c r="T795" s="1">
        <f>IF(L795="Aceptada",1,0)</f>
        <v/>
      </c>
      <c r="U795" s="1">
        <f>IF(OR(L795="Realizada completa",L795="Realizada incompleta"),1,0)</f>
        <v/>
      </c>
      <c r="V795" s="1">
        <f>IF(L795="Sin respuesta",1,0)</f>
        <v/>
      </c>
    </row>
    <row r="796">
      <c r="A796" s="1" t="str"/>
      <c r="B796" s="1" t="str"/>
      <c r="C796" s="1" t="str"/>
      <c r="D796" s="1" t="str"/>
      <c r="E796" s="1" t="str"/>
      <c r="F796" s="1" t="str"/>
      <c r="G796" s="1" t="str"/>
      <c r="H796" s="1" t="str"/>
      <c r="I796" s="2" t="str"/>
      <c r="J796" s="2" t="str"/>
      <c r="K796" s="2" t="str"/>
      <c r="L796" s="1" t="str"/>
      <c r="M796" s="2" t="str"/>
      <c r="N796" s="2" t="str"/>
      <c r="O796" s="1" t="str"/>
      <c r="P796" s="1" t="str"/>
      <c r="Q796" s="1" t="str"/>
      <c r="R796" s="1">
        <f>IF(H796="Sí",1,0)</f>
        <v/>
      </c>
      <c r="S796" s="1">
        <f>IF(L796="En coordinación",1,0)</f>
        <v/>
      </c>
      <c r="T796" s="1">
        <f>IF(L796="Aceptada",1,0)</f>
        <v/>
      </c>
      <c r="U796" s="1">
        <f>IF(OR(L796="Realizada completa",L796="Realizada incompleta"),1,0)</f>
        <v/>
      </c>
      <c r="V796" s="1">
        <f>IF(L796="Sin respuesta",1,0)</f>
        <v/>
      </c>
    </row>
    <row r="797">
      <c r="A797" s="1" t="str"/>
      <c r="B797" s="1" t="str"/>
      <c r="C797" s="1" t="str"/>
      <c r="D797" s="1" t="str"/>
      <c r="E797" s="1" t="str"/>
      <c r="F797" s="1" t="str"/>
      <c r="G797" s="1" t="str"/>
      <c r="H797" s="1" t="str"/>
      <c r="I797" s="2" t="str"/>
      <c r="J797" s="2" t="str"/>
      <c r="K797" s="2" t="str"/>
      <c r="L797" s="1" t="str"/>
      <c r="M797" s="2" t="str"/>
      <c r="N797" s="2" t="str"/>
      <c r="O797" s="1" t="str"/>
      <c r="P797" s="1" t="str"/>
      <c r="Q797" s="1" t="str"/>
      <c r="R797" s="1">
        <f>IF(H797="Sí",1,0)</f>
        <v/>
      </c>
      <c r="S797" s="1">
        <f>IF(L797="En coordinación",1,0)</f>
        <v/>
      </c>
      <c r="T797" s="1">
        <f>IF(L797="Aceptada",1,0)</f>
        <v/>
      </c>
      <c r="U797" s="1">
        <f>IF(OR(L797="Realizada completa",L797="Realizada incompleta"),1,0)</f>
        <v/>
      </c>
      <c r="V797" s="1">
        <f>IF(L797="Sin respuesta",1,0)</f>
        <v/>
      </c>
    </row>
    <row r="798">
      <c r="A798" s="1" t="str"/>
      <c r="B798" s="1" t="str"/>
      <c r="C798" s="1" t="str"/>
      <c r="D798" s="1" t="str"/>
      <c r="E798" s="1" t="str"/>
      <c r="F798" s="1" t="str"/>
      <c r="G798" s="1" t="str"/>
      <c r="H798" s="1" t="str"/>
      <c r="I798" s="2" t="str"/>
      <c r="J798" s="2" t="str"/>
      <c r="K798" s="2" t="str"/>
      <c r="L798" s="1" t="str"/>
      <c r="M798" s="2" t="str"/>
      <c r="N798" s="2" t="str"/>
      <c r="O798" s="1" t="str"/>
      <c r="P798" s="1" t="str"/>
      <c r="Q798" s="1" t="str"/>
      <c r="R798" s="1">
        <f>IF(H798="Sí",1,0)</f>
        <v/>
      </c>
      <c r="S798" s="1">
        <f>IF(L798="En coordinación",1,0)</f>
        <v/>
      </c>
      <c r="T798" s="1">
        <f>IF(L798="Aceptada",1,0)</f>
        <v/>
      </c>
      <c r="U798" s="1">
        <f>IF(OR(L798="Realizada completa",L798="Realizada incompleta"),1,0)</f>
        <v/>
      </c>
      <c r="V798" s="1">
        <f>IF(L798="Sin respuesta",1,0)</f>
        <v/>
      </c>
    </row>
    <row r="799">
      <c r="A799" s="1" t="str"/>
      <c r="B799" s="1" t="str"/>
      <c r="C799" s="1" t="str"/>
      <c r="D799" s="1" t="str"/>
      <c r="E799" s="1" t="str"/>
      <c r="F799" s="1" t="str"/>
      <c r="G799" s="1" t="str"/>
      <c r="H799" s="1" t="str"/>
      <c r="I799" s="2" t="str"/>
      <c r="J799" s="2" t="str"/>
      <c r="K799" s="2" t="str"/>
      <c r="L799" s="1" t="str"/>
      <c r="M799" s="2" t="str"/>
      <c r="N799" s="2" t="str"/>
      <c r="O799" s="1" t="str"/>
      <c r="P799" s="1" t="str"/>
      <c r="Q799" s="1" t="str"/>
      <c r="R799" s="1">
        <f>IF(H799="Sí",1,0)</f>
        <v/>
      </c>
      <c r="S799" s="1">
        <f>IF(L799="En coordinación",1,0)</f>
        <v/>
      </c>
      <c r="T799" s="1">
        <f>IF(L799="Aceptada",1,0)</f>
        <v/>
      </c>
      <c r="U799" s="1">
        <f>IF(OR(L799="Realizada completa",L799="Realizada incompleta"),1,0)</f>
        <v/>
      </c>
      <c r="V799" s="1">
        <f>IF(L799="Sin respuesta",1,0)</f>
        <v/>
      </c>
    </row>
    <row r="800">
      <c r="A800" s="1" t="str"/>
      <c r="B800" s="1" t="str"/>
      <c r="C800" s="1" t="str"/>
      <c r="D800" s="1" t="str"/>
      <c r="E800" s="1" t="str"/>
      <c r="F800" s="1" t="str"/>
      <c r="G800" s="1" t="str"/>
      <c r="H800" s="1" t="str"/>
      <c r="I800" s="2" t="str"/>
      <c r="J800" s="2" t="str"/>
      <c r="K800" s="2" t="str"/>
      <c r="L800" s="1" t="str"/>
      <c r="M800" s="2" t="str"/>
      <c r="N800" s="2" t="str"/>
      <c r="O800" s="1" t="str"/>
      <c r="P800" s="1" t="str"/>
      <c r="Q800" s="1" t="str"/>
      <c r="R800" s="1">
        <f>IF(H800="Sí",1,0)</f>
        <v/>
      </c>
      <c r="S800" s="1">
        <f>IF(L800="En coordinación",1,0)</f>
        <v/>
      </c>
      <c r="T800" s="1">
        <f>IF(L800="Aceptada",1,0)</f>
        <v/>
      </c>
      <c r="U800" s="1">
        <f>IF(OR(L800="Realizada completa",L800="Realizada incompleta"),1,0)</f>
        <v/>
      </c>
      <c r="V800" s="1">
        <f>IF(L800="Sin respuesta",1,0)</f>
        <v/>
      </c>
    </row>
    <row r="801">
      <c r="A801" s="1" t="str"/>
      <c r="B801" s="1" t="str"/>
      <c r="C801" s="1" t="str"/>
      <c r="D801" s="1" t="str"/>
      <c r="E801" s="1" t="str"/>
      <c r="F801" s="1" t="str"/>
      <c r="G801" s="1" t="str"/>
      <c r="H801" s="1" t="str"/>
      <c r="I801" s="2" t="str"/>
      <c r="J801" s="2" t="str"/>
      <c r="K801" s="2" t="str"/>
      <c r="L801" s="1" t="str"/>
      <c r="M801" s="2" t="str"/>
      <c r="N801" s="2" t="str"/>
      <c r="O801" s="1" t="str"/>
      <c r="P801" s="1" t="str"/>
      <c r="Q801" s="1" t="str"/>
      <c r="R801" s="1">
        <f>IF(H801="Sí",1,0)</f>
        <v/>
      </c>
      <c r="S801" s="1">
        <f>IF(L801="En coordinación",1,0)</f>
        <v/>
      </c>
      <c r="T801" s="1">
        <f>IF(L801="Aceptada",1,0)</f>
        <v/>
      </c>
      <c r="U801" s="1">
        <f>IF(OR(L801="Realizada completa",L801="Realizada incompleta"),1,0)</f>
        <v/>
      </c>
      <c r="V801" s="1">
        <f>IF(L801="Sin respuesta",1,0)</f>
        <v/>
      </c>
    </row>
    <row r="802">
      <c r="A802" s="1" t="str"/>
      <c r="B802" s="1" t="str"/>
      <c r="C802" s="1" t="str"/>
      <c r="D802" s="1" t="str"/>
      <c r="E802" s="1" t="str"/>
      <c r="F802" s="1" t="str"/>
      <c r="G802" s="1" t="str"/>
      <c r="H802" s="1" t="str"/>
      <c r="I802" s="2" t="str"/>
      <c r="J802" s="2" t="str"/>
      <c r="K802" s="2" t="str"/>
      <c r="L802" s="1" t="str"/>
      <c r="M802" s="2" t="str"/>
      <c r="N802" s="2" t="str"/>
      <c r="O802" s="1" t="str"/>
      <c r="P802" s="1" t="str"/>
      <c r="Q802" s="1" t="str"/>
      <c r="R802" s="1">
        <f>IF(H802="Sí",1,0)</f>
        <v/>
      </c>
      <c r="S802" s="1">
        <f>IF(L802="En coordinación",1,0)</f>
        <v/>
      </c>
      <c r="T802" s="1">
        <f>IF(L802="Aceptada",1,0)</f>
        <v/>
      </c>
      <c r="U802" s="1">
        <f>IF(OR(L802="Realizada completa",L802="Realizada incompleta"),1,0)</f>
        <v/>
      </c>
      <c r="V802" s="1">
        <f>IF(L802="Sin respuesta",1,0)</f>
        <v/>
      </c>
    </row>
    <row r="803">
      <c r="A803" s="1" t="str"/>
      <c r="B803" s="1" t="str"/>
      <c r="C803" s="1" t="str"/>
      <c r="D803" s="1" t="str"/>
      <c r="E803" s="1" t="str"/>
      <c r="F803" s="1" t="str"/>
      <c r="G803" s="1" t="str"/>
      <c r="H803" s="1" t="str"/>
      <c r="I803" s="2" t="str"/>
      <c r="J803" s="2" t="str"/>
      <c r="K803" s="2" t="str"/>
      <c r="L803" s="1" t="str"/>
      <c r="M803" s="2" t="str"/>
      <c r="N803" s="2" t="str"/>
      <c r="O803" s="1" t="str"/>
      <c r="P803" s="1" t="str"/>
      <c r="Q803" s="1" t="str"/>
      <c r="R803" s="1">
        <f>IF(H803="Sí",1,0)</f>
        <v/>
      </c>
      <c r="S803" s="1">
        <f>IF(L803="En coordinación",1,0)</f>
        <v/>
      </c>
      <c r="T803" s="1">
        <f>IF(L803="Aceptada",1,0)</f>
        <v/>
      </c>
      <c r="U803" s="1">
        <f>IF(OR(L803="Realizada completa",L803="Realizada incompleta"),1,0)</f>
        <v/>
      </c>
      <c r="V803" s="1">
        <f>IF(L803="Sin respuesta",1,0)</f>
        <v/>
      </c>
    </row>
    <row r="804">
      <c r="A804" s="1" t="str"/>
      <c r="B804" s="1" t="str"/>
      <c r="C804" s="1" t="str"/>
      <c r="D804" s="1" t="str"/>
      <c r="E804" s="1" t="str"/>
      <c r="F804" s="1" t="str"/>
      <c r="G804" s="1" t="str"/>
      <c r="H804" s="1" t="str"/>
      <c r="I804" s="2" t="str"/>
      <c r="J804" s="2" t="str"/>
      <c r="K804" s="2" t="str"/>
      <c r="L804" s="1" t="str"/>
      <c r="M804" s="2" t="str"/>
      <c r="N804" s="2" t="str"/>
      <c r="O804" s="1" t="str"/>
      <c r="P804" s="1" t="str"/>
      <c r="Q804" s="1" t="str"/>
      <c r="R804" s="1">
        <f>IF(H804="Sí",1,0)</f>
        <v/>
      </c>
      <c r="S804" s="1">
        <f>IF(L804="En coordinación",1,0)</f>
        <v/>
      </c>
      <c r="T804" s="1">
        <f>IF(L804="Aceptada",1,0)</f>
        <v/>
      </c>
      <c r="U804" s="1">
        <f>IF(OR(L804="Realizada completa",L804="Realizada incompleta"),1,0)</f>
        <v/>
      </c>
      <c r="V804" s="1">
        <f>IF(L804="Sin respuesta",1,0)</f>
        <v/>
      </c>
    </row>
    <row r="805">
      <c r="A805" s="1" t="str"/>
      <c r="B805" s="1" t="str"/>
      <c r="C805" s="1" t="str"/>
      <c r="D805" s="1" t="str"/>
      <c r="E805" s="1" t="str"/>
      <c r="F805" s="1" t="str"/>
      <c r="G805" s="1" t="str"/>
      <c r="H805" s="1" t="str"/>
      <c r="I805" s="2" t="str"/>
      <c r="J805" s="2" t="str"/>
      <c r="K805" s="2" t="str"/>
      <c r="L805" s="1" t="str"/>
      <c r="M805" s="2" t="str"/>
      <c r="N805" s="2" t="str"/>
      <c r="O805" s="1" t="str"/>
      <c r="P805" s="1" t="str"/>
      <c r="Q805" s="1" t="str"/>
      <c r="R805" s="1">
        <f>IF(H805="Sí",1,0)</f>
        <v/>
      </c>
      <c r="S805" s="1">
        <f>IF(L805="En coordinación",1,0)</f>
        <v/>
      </c>
      <c r="T805" s="1">
        <f>IF(L805="Aceptada",1,0)</f>
        <v/>
      </c>
      <c r="U805" s="1">
        <f>IF(OR(L805="Realizada completa",L805="Realizada incompleta"),1,0)</f>
        <v/>
      </c>
      <c r="V805" s="1">
        <f>IF(L805="Sin respuesta",1,0)</f>
        <v/>
      </c>
    </row>
    <row r="806">
      <c r="A806" s="1" t="str"/>
      <c r="B806" s="1" t="str"/>
      <c r="C806" s="1" t="str"/>
      <c r="D806" s="1" t="str"/>
      <c r="E806" s="1" t="str"/>
      <c r="F806" s="1" t="str"/>
      <c r="G806" s="1" t="str"/>
      <c r="H806" s="1" t="str"/>
      <c r="I806" s="2" t="str"/>
      <c r="J806" s="2" t="str"/>
      <c r="K806" s="2" t="str"/>
      <c r="L806" s="1" t="str"/>
      <c r="M806" s="2" t="str"/>
      <c r="N806" s="2" t="str"/>
      <c r="O806" s="1" t="str"/>
      <c r="P806" s="1" t="str"/>
      <c r="Q806" s="1" t="str"/>
      <c r="R806" s="1">
        <f>IF(H806="Sí",1,0)</f>
        <v/>
      </c>
      <c r="S806" s="1">
        <f>IF(L806="En coordinación",1,0)</f>
        <v/>
      </c>
      <c r="T806" s="1">
        <f>IF(L806="Aceptada",1,0)</f>
        <v/>
      </c>
      <c r="U806" s="1">
        <f>IF(OR(L806="Realizada completa",L806="Realizada incompleta"),1,0)</f>
        <v/>
      </c>
      <c r="V806" s="1">
        <f>IF(L806="Sin respuesta",1,0)</f>
        <v/>
      </c>
    </row>
    <row r="807">
      <c r="A807" s="1" t="str"/>
      <c r="B807" s="1" t="str"/>
      <c r="C807" s="1" t="str"/>
      <c r="D807" s="1" t="str"/>
      <c r="E807" s="1" t="str"/>
      <c r="F807" s="1" t="str"/>
      <c r="G807" s="1" t="str"/>
      <c r="H807" s="1" t="str"/>
      <c r="I807" s="2" t="str"/>
      <c r="J807" s="2" t="str"/>
      <c r="K807" s="2" t="str"/>
      <c r="L807" s="1" t="str"/>
      <c r="M807" s="2" t="str"/>
      <c r="N807" s="2" t="str"/>
      <c r="O807" s="1" t="str"/>
      <c r="P807" s="1" t="str"/>
      <c r="Q807" s="1" t="str"/>
      <c r="R807" s="1">
        <f>IF(H807="Sí",1,0)</f>
        <v/>
      </c>
      <c r="S807" s="1">
        <f>IF(L807="En coordinación",1,0)</f>
        <v/>
      </c>
      <c r="T807" s="1">
        <f>IF(L807="Aceptada",1,0)</f>
        <v/>
      </c>
      <c r="U807" s="1">
        <f>IF(OR(L807="Realizada completa",L807="Realizada incompleta"),1,0)</f>
        <v/>
      </c>
      <c r="V807" s="1">
        <f>IF(L807="Sin respuesta",1,0)</f>
        <v/>
      </c>
    </row>
    <row r="808">
      <c r="A808" s="1" t="str"/>
      <c r="B808" s="1" t="str"/>
      <c r="C808" s="1" t="str"/>
      <c r="D808" s="1" t="str"/>
      <c r="E808" s="1" t="str"/>
      <c r="F808" s="1" t="str"/>
      <c r="G808" s="1" t="str"/>
      <c r="H808" s="1" t="str"/>
      <c r="I808" s="2" t="str"/>
      <c r="J808" s="2" t="str"/>
      <c r="K808" s="2" t="str"/>
      <c r="L808" s="1" t="str"/>
      <c r="M808" s="2" t="str"/>
      <c r="N808" s="2" t="str"/>
      <c r="O808" s="1" t="str"/>
      <c r="P808" s="1" t="str"/>
      <c r="Q808" s="1" t="str"/>
      <c r="R808" s="1">
        <f>IF(H808="Sí",1,0)</f>
        <v/>
      </c>
      <c r="S808" s="1">
        <f>IF(L808="En coordinación",1,0)</f>
        <v/>
      </c>
      <c r="T808" s="1">
        <f>IF(L808="Aceptada",1,0)</f>
        <v/>
      </c>
      <c r="U808" s="1">
        <f>IF(OR(L808="Realizada completa",L808="Realizada incompleta"),1,0)</f>
        <v/>
      </c>
      <c r="V808" s="1">
        <f>IF(L808="Sin respuesta",1,0)</f>
        <v/>
      </c>
    </row>
    <row r="809">
      <c r="A809" s="1" t="str"/>
      <c r="B809" s="1" t="str"/>
      <c r="C809" s="1" t="str"/>
      <c r="D809" s="1" t="str"/>
      <c r="E809" s="1" t="str"/>
      <c r="F809" s="1" t="str"/>
      <c r="G809" s="1" t="str"/>
      <c r="H809" s="1" t="str"/>
      <c r="I809" s="2" t="str"/>
      <c r="J809" s="2" t="str"/>
      <c r="K809" s="2" t="str"/>
      <c r="L809" s="1" t="str"/>
      <c r="M809" s="2" t="str"/>
      <c r="N809" s="2" t="str"/>
      <c r="O809" s="1" t="str"/>
      <c r="P809" s="1" t="str"/>
      <c r="Q809" s="1" t="str"/>
      <c r="R809" s="1">
        <f>IF(H809="Sí",1,0)</f>
        <v/>
      </c>
      <c r="S809" s="1">
        <f>IF(L809="En coordinación",1,0)</f>
        <v/>
      </c>
      <c r="T809" s="1">
        <f>IF(L809="Aceptada",1,0)</f>
        <v/>
      </c>
      <c r="U809" s="1">
        <f>IF(OR(L809="Realizada completa",L809="Realizada incompleta"),1,0)</f>
        <v/>
      </c>
      <c r="V809" s="1">
        <f>IF(L809="Sin respuesta",1,0)</f>
        <v/>
      </c>
    </row>
    <row r="810">
      <c r="A810" s="1" t="str"/>
      <c r="B810" s="1" t="str"/>
      <c r="C810" s="1" t="str"/>
      <c r="D810" s="1" t="str"/>
      <c r="E810" s="1" t="str"/>
      <c r="F810" s="1" t="str"/>
      <c r="G810" s="1" t="str"/>
      <c r="H810" s="1" t="str"/>
      <c r="I810" s="2" t="str"/>
      <c r="J810" s="2" t="str"/>
      <c r="K810" s="2" t="str"/>
      <c r="L810" s="1" t="str"/>
      <c r="M810" s="2" t="str"/>
      <c r="N810" s="2" t="str"/>
      <c r="O810" s="1" t="str"/>
      <c r="P810" s="1" t="str"/>
      <c r="Q810" s="1" t="str"/>
      <c r="R810" s="1">
        <f>IF(H810="Sí",1,0)</f>
        <v/>
      </c>
      <c r="S810" s="1">
        <f>IF(L810="En coordinación",1,0)</f>
        <v/>
      </c>
      <c r="T810" s="1">
        <f>IF(L810="Aceptada",1,0)</f>
        <v/>
      </c>
      <c r="U810" s="1">
        <f>IF(OR(L810="Realizada completa",L810="Realizada incompleta"),1,0)</f>
        <v/>
      </c>
      <c r="V810" s="1">
        <f>IF(L810="Sin respuesta",1,0)</f>
        <v/>
      </c>
    </row>
    <row r="811">
      <c r="A811" s="1" t="str"/>
      <c r="B811" s="1" t="str"/>
      <c r="C811" s="1" t="str"/>
      <c r="D811" s="1" t="str"/>
      <c r="E811" s="1" t="str"/>
      <c r="F811" s="1" t="str"/>
      <c r="G811" s="1" t="str"/>
      <c r="H811" s="1" t="str"/>
      <c r="I811" s="2" t="str"/>
      <c r="J811" s="2" t="str"/>
      <c r="K811" s="2" t="str"/>
      <c r="L811" s="1" t="str"/>
      <c r="M811" s="2" t="str"/>
      <c r="N811" s="2" t="str"/>
      <c r="O811" s="1" t="str"/>
      <c r="P811" s="1" t="str"/>
      <c r="Q811" s="1" t="str"/>
      <c r="R811" s="1">
        <f>IF(H811="Sí",1,0)</f>
        <v/>
      </c>
      <c r="S811" s="1">
        <f>IF(L811="En coordinación",1,0)</f>
        <v/>
      </c>
      <c r="T811" s="1">
        <f>IF(L811="Aceptada",1,0)</f>
        <v/>
      </c>
      <c r="U811" s="1">
        <f>IF(OR(L811="Realizada completa",L811="Realizada incompleta"),1,0)</f>
        <v/>
      </c>
      <c r="V811" s="1">
        <f>IF(L811="Sin respuesta",1,0)</f>
        <v/>
      </c>
    </row>
    <row r="812">
      <c r="A812" s="1" t="str"/>
      <c r="B812" s="1" t="str"/>
      <c r="C812" s="1" t="str"/>
      <c r="D812" s="1" t="str"/>
      <c r="E812" s="1" t="str"/>
      <c r="F812" s="1" t="str"/>
      <c r="G812" s="1" t="str"/>
      <c r="H812" s="1" t="str"/>
      <c r="I812" s="2" t="str"/>
      <c r="J812" s="2" t="str"/>
      <c r="K812" s="2" t="str"/>
      <c r="L812" s="1" t="str"/>
      <c r="M812" s="2" t="str"/>
      <c r="N812" s="2" t="str"/>
      <c r="O812" s="1" t="str"/>
      <c r="P812" s="1" t="str"/>
      <c r="Q812" s="1" t="str"/>
      <c r="R812" s="1">
        <f>IF(H812="Sí",1,0)</f>
        <v/>
      </c>
      <c r="S812" s="1">
        <f>IF(L812="En coordinación",1,0)</f>
        <v/>
      </c>
      <c r="T812" s="1">
        <f>IF(L812="Aceptada",1,0)</f>
        <v/>
      </c>
      <c r="U812" s="1">
        <f>IF(OR(L812="Realizada completa",L812="Realizada incompleta"),1,0)</f>
        <v/>
      </c>
      <c r="V812" s="1">
        <f>IF(L812="Sin respuesta",1,0)</f>
        <v/>
      </c>
    </row>
    <row r="813">
      <c r="A813" s="1" t="str"/>
      <c r="B813" s="1" t="str"/>
      <c r="C813" s="1" t="str"/>
      <c r="D813" s="1" t="str"/>
      <c r="E813" s="1" t="str"/>
      <c r="F813" s="1" t="str"/>
      <c r="G813" s="1" t="str"/>
      <c r="H813" s="1" t="str"/>
      <c r="I813" s="2" t="str"/>
      <c r="J813" s="2" t="str"/>
      <c r="K813" s="2" t="str"/>
      <c r="L813" s="1" t="str"/>
      <c r="M813" s="2" t="str"/>
      <c r="N813" s="2" t="str"/>
      <c r="O813" s="1" t="str"/>
      <c r="P813" s="1" t="str"/>
      <c r="Q813" s="1" t="str"/>
      <c r="R813" s="1">
        <f>IF(H813="Sí",1,0)</f>
        <v/>
      </c>
      <c r="S813" s="1">
        <f>IF(L813="En coordinación",1,0)</f>
        <v/>
      </c>
      <c r="T813" s="1">
        <f>IF(L813="Aceptada",1,0)</f>
        <v/>
      </c>
      <c r="U813" s="1">
        <f>IF(OR(L813="Realizada completa",L813="Realizada incompleta"),1,0)</f>
        <v/>
      </c>
      <c r="V813" s="1">
        <f>IF(L813="Sin respuesta",1,0)</f>
        <v/>
      </c>
    </row>
    <row r="814">
      <c r="A814" s="1" t="str"/>
      <c r="B814" s="1" t="str"/>
      <c r="C814" s="1" t="str"/>
      <c r="D814" s="1" t="str"/>
      <c r="E814" s="1" t="str"/>
      <c r="F814" s="1" t="str"/>
      <c r="G814" s="1" t="str"/>
      <c r="H814" s="1" t="str"/>
      <c r="I814" s="2" t="str"/>
      <c r="J814" s="2" t="str"/>
      <c r="K814" s="2" t="str"/>
      <c r="L814" s="1" t="str"/>
      <c r="M814" s="2" t="str"/>
      <c r="N814" s="2" t="str"/>
      <c r="O814" s="1" t="str"/>
      <c r="P814" s="1" t="str"/>
      <c r="Q814" s="1" t="str"/>
      <c r="R814" s="1">
        <f>IF(H814="Sí",1,0)</f>
        <v/>
      </c>
      <c r="S814" s="1">
        <f>IF(L814="En coordinación",1,0)</f>
        <v/>
      </c>
      <c r="T814" s="1">
        <f>IF(L814="Aceptada",1,0)</f>
        <v/>
      </c>
      <c r="U814" s="1">
        <f>IF(OR(L814="Realizada completa",L814="Realizada incompleta"),1,0)</f>
        <v/>
      </c>
      <c r="V814" s="1">
        <f>IF(L814="Sin respuesta",1,0)</f>
        <v/>
      </c>
    </row>
    <row r="815">
      <c r="A815" s="1" t="str"/>
      <c r="B815" s="1" t="str"/>
      <c r="C815" s="1" t="str"/>
      <c r="D815" s="1" t="str"/>
      <c r="E815" s="1" t="str"/>
      <c r="F815" s="1" t="str"/>
      <c r="G815" s="1" t="str"/>
      <c r="H815" s="1" t="str"/>
      <c r="I815" s="2" t="str"/>
      <c r="J815" s="2" t="str"/>
      <c r="K815" s="2" t="str"/>
      <c r="L815" s="1" t="str"/>
      <c r="M815" s="2" t="str"/>
      <c r="N815" s="2" t="str"/>
      <c r="O815" s="1" t="str"/>
      <c r="P815" s="1" t="str"/>
      <c r="Q815" s="1" t="str"/>
      <c r="R815" s="1">
        <f>IF(H815="Sí",1,0)</f>
        <v/>
      </c>
      <c r="S815" s="1">
        <f>IF(L815="En coordinación",1,0)</f>
        <v/>
      </c>
      <c r="T815" s="1">
        <f>IF(L815="Aceptada",1,0)</f>
        <v/>
      </c>
      <c r="U815" s="1">
        <f>IF(OR(L815="Realizada completa",L815="Realizada incompleta"),1,0)</f>
        <v/>
      </c>
      <c r="V815" s="1">
        <f>IF(L815="Sin respuesta",1,0)</f>
        <v/>
      </c>
    </row>
    <row r="816">
      <c r="A816" s="1" t="str"/>
      <c r="B816" s="1" t="str"/>
      <c r="C816" s="1" t="str"/>
      <c r="D816" s="1" t="str"/>
      <c r="E816" s="1" t="str"/>
      <c r="F816" s="1" t="str"/>
      <c r="G816" s="1" t="str"/>
      <c r="H816" s="1" t="str"/>
      <c r="I816" s="2" t="str"/>
      <c r="J816" s="2" t="str"/>
      <c r="K816" s="2" t="str"/>
      <c r="L816" s="1" t="str"/>
      <c r="M816" s="2" t="str"/>
      <c r="N816" s="2" t="str"/>
      <c r="O816" s="1" t="str"/>
      <c r="P816" s="1" t="str"/>
      <c r="Q816" s="1" t="str"/>
      <c r="R816" s="1">
        <f>IF(H816="Sí",1,0)</f>
        <v/>
      </c>
      <c r="S816" s="1">
        <f>IF(L816="En coordinación",1,0)</f>
        <v/>
      </c>
      <c r="T816" s="1">
        <f>IF(L816="Aceptada",1,0)</f>
        <v/>
      </c>
      <c r="U816" s="1">
        <f>IF(OR(L816="Realizada completa",L816="Realizada incompleta"),1,0)</f>
        <v/>
      </c>
      <c r="V816" s="1">
        <f>IF(L816="Sin respuesta",1,0)</f>
        <v/>
      </c>
    </row>
    <row r="817">
      <c r="A817" s="1" t="str"/>
      <c r="B817" s="1" t="str"/>
      <c r="C817" s="1" t="str"/>
      <c r="D817" s="1" t="str"/>
      <c r="E817" s="1" t="str"/>
      <c r="F817" s="1" t="str"/>
      <c r="G817" s="1" t="str"/>
      <c r="H817" s="1" t="str"/>
      <c r="I817" s="2" t="str"/>
      <c r="J817" s="2" t="str"/>
      <c r="K817" s="2" t="str"/>
      <c r="L817" s="1" t="str"/>
      <c r="M817" s="2" t="str"/>
      <c r="N817" s="2" t="str"/>
      <c r="O817" s="1" t="str"/>
      <c r="P817" s="1" t="str"/>
      <c r="Q817" s="1" t="str"/>
      <c r="R817" s="1">
        <f>IF(H817="Sí",1,0)</f>
        <v/>
      </c>
      <c r="S817" s="1">
        <f>IF(L817="En coordinación",1,0)</f>
        <v/>
      </c>
      <c r="T817" s="1">
        <f>IF(L817="Aceptada",1,0)</f>
        <v/>
      </c>
      <c r="U817" s="1">
        <f>IF(OR(L817="Realizada completa",L817="Realizada incompleta"),1,0)</f>
        <v/>
      </c>
      <c r="V817" s="1">
        <f>IF(L817="Sin respuesta",1,0)</f>
        <v/>
      </c>
    </row>
    <row r="818">
      <c r="A818" s="1" t="str"/>
      <c r="B818" s="1" t="str"/>
      <c r="C818" s="1" t="str"/>
      <c r="D818" s="1" t="str"/>
      <c r="E818" s="1" t="str"/>
      <c r="F818" s="1" t="str"/>
      <c r="G818" s="1" t="str"/>
      <c r="H818" s="1" t="str"/>
      <c r="I818" s="2" t="str"/>
      <c r="J818" s="2" t="str"/>
      <c r="K818" s="2" t="str"/>
      <c r="L818" s="1" t="str"/>
      <c r="M818" s="2" t="str"/>
      <c r="N818" s="2" t="str"/>
      <c r="O818" s="1" t="str"/>
      <c r="P818" s="1" t="str"/>
      <c r="Q818" s="1" t="str"/>
      <c r="R818" s="1">
        <f>IF(H818="Sí",1,0)</f>
        <v/>
      </c>
      <c r="S818" s="1">
        <f>IF(L818="En coordinación",1,0)</f>
        <v/>
      </c>
      <c r="T818" s="1">
        <f>IF(L818="Aceptada",1,0)</f>
        <v/>
      </c>
      <c r="U818" s="1">
        <f>IF(OR(L818="Realizada completa",L818="Realizada incompleta"),1,0)</f>
        <v/>
      </c>
      <c r="V818" s="1">
        <f>IF(L818="Sin respuesta",1,0)</f>
        <v/>
      </c>
    </row>
    <row r="819">
      <c r="A819" s="1" t="str"/>
      <c r="B819" s="1" t="str"/>
      <c r="C819" s="1" t="str"/>
      <c r="D819" s="1" t="str"/>
      <c r="E819" s="1" t="str"/>
      <c r="F819" s="1" t="str"/>
      <c r="G819" s="1" t="str"/>
      <c r="H819" s="1" t="str"/>
      <c r="I819" s="2" t="str"/>
      <c r="J819" s="2" t="str"/>
      <c r="K819" s="2" t="str"/>
      <c r="L819" s="1" t="str"/>
      <c r="M819" s="2" t="str"/>
      <c r="N819" s="2" t="str"/>
      <c r="O819" s="1" t="str"/>
      <c r="P819" s="1" t="str"/>
      <c r="Q819" s="1" t="str"/>
      <c r="R819" s="1">
        <f>IF(H819="Sí",1,0)</f>
        <v/>
      </c>
      <c r="S819" s="1">
        <f>IF(L819="En coordinación",1,0)</f>
        <v/>
      </c>
      <c r="T819" s="1">
        <f>IF(L819="Aceptada",1,0)</f>
        <v/>
      </c>
      <c r="U819" s="1">
        <f>IF(OR(L819="Realizada completa",L819="Realizada incompleta"),1,0)</f>
        <v/>
      </c>
      <c r="V819" s="1">
        <f>IF(L819="Sin respuesta",1,0)</f>
        <v/>
      </c>
    </row>
    <row r="820">
      <c r="A820" s="1" t="str"/>
      <c r="B820" s="1" t="str"/>
      <c r="C820" s="1" t="str"/>
      <c r="D820" s="1" t="str"/>
      <c r="E820" s="1" t="str"/>
      <c r="F820" s="1" t="str"/>
      <c r="G820" s="1" t="str"/>
      <c r="H820" s="1" t="str"/>
      <c r="I820" s="2" t="str"/>
      <c r="J820" s="2" t="str"/>
      <c r="K820" s="2" t="str"/>
      <c r="L820" s="1" t="str"/>
      <c r="M820" s="2" t="str"/>
      <c r="N820" s="2" t="str"/>
      <c r="O820" s="1" t="str"/>
      <c r="P820" s="1" t="str"/>
      <c r="Q820" s="1" t="str"/>
      <c r="R820" s="1">
        <f>IF(H820="Sí",1,0)</f>
        <v/>
      </c>
      <c r="S820" s="1">
        <f>IF(L820="En coordinación",1,0)</f>
        <v/>
      </c>
      <c r="T820" s="1">
        <f>IF(L820="Aceptada",1,0)</f>
        <v/>
      </c>
      <c r="U820" s="1">
        <f>IF(OR(L820="Realizada completa",L820="Realizada incompleta"),1,0)</f>
        <v/>
      </c>
      <c r="V820" s="1">
        <f>IF(L820="Sin respuesta",1,0)</f>
        <v/>
      </c>
    </row>
    <row r="821">
      <c r="A821" s="1" t="str"/>
      <c r="B821" s="1" t="str"/>
      <c r="C821" s="1" t="str"/>
      <c r="D821" s="1" t="str"/>
      <c r="E821" s="1" t="str"/>
      <c r="F821" s="1" t="str"/>
      <c r="G821" s="1" t="str"/>
      <c r="H821" s="1" t="str"/>
      <c r="I821" s="2" t="str"/>
      <c r="J821" s="2" t="str"/>
      <c r="K821" s="2" t="str"/>
      <c r="L821" s="1" t="str"/>
      <c r="M821" s="2" t="str"/>
      <c r="N821" s="2" t="str"/>
      <c r="O821" s="1" t="str"/>
      <c r="P821" s="1" t="str"/>
      <c r="Q821" s="1" t="str"/>
      <c r="R821" s="1">
        <f>IF(H821="Sí",1,0)</f>
        <v/>
      </c>
      <c r="S821" s="1">
        <f>IF(L821="En coordinación",1,0)</f>
        <v/>
      </c>
      <c r="T821" s="1">
        <f>IF(L821="Aceptada",1,0)</f>
        <v/>
      </c>
      <c r="U821" s="1">
        <f>IF(OR(L821="Realizada completa",L821="Realizada incompleta"),1,0)</f>
        <v/>
      </c>
      <c r="V821" s="1">
        <f>IF(L821="Sin respuesta",1,0)</f>
        <v/>
      </c>
    </row>
    <row r="822">
      <c r="A822" s="1" t="str"/>
      <c r="B822" s="1" t="str"/>
      <c r="C822" s="1" t="str"/>
      <c r="D822" s="1" t="str"/>
      <c r="E822" s="1" t="str"/>
      <c r="F822" s="1" t="str"/>
      <c r="G822" s="1" t="str"/>
      <c r="H822" s="1" t="str"/>
      <c r="I822" s="2" t="str"/>
      <c r="J822" s="2" t="str"/>
      <c r="K822" s="2" t="str"/>
      <c r="L822" s="1" t="str"/>
      <c r="M822" s="2" t="str"/>
      <c r="N822" s="2" t="str"/>
      <c r="O822" s="1" t="str"/>
      <c r="P822" s="1" t="str"/>
      <c r="Q822" s="1" t="str"/>
      <c r="R822" s="1">
        <f>IF(H822="Sí",1,0)</f>
        <v/>
      </c>
      <c r="S822" s="1">
        <f>IF(L822="En coordinación",1,0)</f>
        <v/>
      </c>
      <c r="T822" s="1">
        <f>IF(L822="Aceptada",1,0)</f>
        <v/>
      </c>
      <c r="U822" s="1">
        <f>IF(OR(L822="Realizada completa",L822="Realizada incompleta"),1,0)</f>
        <v/>
      </c>
      <c r="V822" s="1">
        <f>IF(L822="Sin respuesta",1,0)</f>
        <v/>
      </c>
    </row>
    <row r="823">
      <c r="A823" s="1" t="str"/>
      <c r="B823" s="1" t="str"/>
      <c r="C823" s="1" t="str"/>
      <c r="D823" s="1" t="str"/>
      <c r="E823" s="1" t="str"/>
      <c r="F823" s="1" t="str"/>
      <c r="G823" s="1" t="str"/>
      <c r="H823" s="1" t="str"/>
      <c r="I823" s="2" t="str"/>
      <c r="J823" s="2" t="str"/>
      <c r="K823" s="2" t="str"/>
      <c r="L823" s="1" t="str"/>
      <c r="M823" s="2" t="str"/>
      <c r="N823" s="2" t="str"/>
      <c r="O823" s="1" t="str"/>
      <c r="P823" s="1" t="str"/>
      <c r="Q823" s="1" t="str"/>
      <c r="R823" s="1">
        <f>IF(H823="Sí",1,0)</f>
        <v/>
      </c>
      <c r="S823" s="1">
        <f>IF(L823="En coordinación",1,0)</f>
        <v/>
      </c>
      <c r="T823" s="1">
        <f>IF(L823="Aceptada",1,0)</f>
        <v/>
      </c>
      <c r="U823" s="1">
        <f>IF(OR(L823="Realizada completa",L823="Realizada incompleta"),1,0)</f>
        <v/>
      </c>
      <c r="V823" s="1">
        <f>IF(L823="Sin respuesta",1,0)</f>
        <v/>
      </c>
    </row>
    <row r="824">
      <c r="A824" s="1" t="str"/>
      <c r="B824" s="1" t="str"/>
      <c r="C824" s="1" t="str"/>
      <c r="D824" s="1" t="str"/>
      <c r="E824" s="1" t="str"/>
      <c r="F824" s="1" t="str"/>
      <c r="G824" s="1" t="str"/>
      <c r="H824" s="1" t="str"/>
      <c r="I824" s="2" t="str"/>
      <c r="J824" s="2" t="str"/>
      <c r="K824" s="2" t="str"/>
      <c r="L824" s="1" t="str"/>
      <c r="M824" s="2" t="str"/>
      <c r="N824" s="2" t="str"/>
      <c r="O824" s="1" t="str"/>
      <c r="P824" s="1" t="str"/>
      <c r="Q824" s="1" t="str"/>
      <c r="R824" s="1">
        <f>IF(H824="Sí",1,0)</f>
        <v/>
      </c>
      <c r="S824" s="1">
        <f>IF(L824="En coordinación",1,0)</f>
        <v/>
      </c>
      <c r="T824" s="1">
        <f>IF(L824="Aceptada",1,0)</f>
        <v/>
      </c>
      <c r="U824" s="1">
        <f>IF(OR(L824="Realizada completa",L824="Realizada incompleta"),1,0)</f>
        <v/>
      </c>
      <c r="V824" s="1">
        <f>IF(L824="Sin respuesta",1,0)</f>
        <v/>
      </c>
    </row>
    <row r="825">
      <c r="A825" s="1" t="str"/>
      <c r="B825" s="1" t="str"/>
      <c r="C825" s="1" t="str"/>
      <c r="D825" s="1" t="str"/>
      <c r="E825" s="1" t="str"/>
      <c r="F825" s="1" t="str"/>
      <c r="G825" s="1" t="str"/>
      <c r="H825" s="1" t="str"/>
      <c r="I825" s="2" t="str"/>
      <c r="J825" s="2" t="str"/>
      <c r="K825" s="2" t="str"/>
      <c r="L825" s="1" t="str"/>
      <c r="M825" s="2" t="str"/>
      <c r="N825" s="2" t="str"/>
      <c r="O825" s="1" t="str"/>
      <c r="P825" s="1" t="str"/>
      <c r="Q825" s="1" t="str"/>
      <c r="R825" s="1">
        <f>IF(H825="Sí",1,0)</f>
        <v/>
      </c>
      <c r="S825" s="1">
        <f>IF(L825="En coordinación",1,0)</f>
        <v/>
      </c>
      <c r="T825" s="1">
        <f>IF(L825="Aceptada",1,0)</f>
        <v/>
      </c>
      <c r="U825" s="1">
        <f>IF(OR(L825="Realizada completa",L825="Realizada incompleta"),1,0)</f>
        <v/>
      </c>
      <c r="V825" s="1">
        <f>IF(L825="Sin respuesta",1,0)</f>
        <v/>
      </c>
    </row>
    <row r="826">
      <c r="A826" s="1" t="str"/>
      <c r="B826" s="1" t="str"/>
      <c r="C826" s="1" t="str"/>
      <c r="D826" s="1" t="str"/>
      <c r="E826" s="1" t="str"/>
      <c r="F826" s="1" t="str"/>
      <c r="G826" s="1" t="str"/>
      <c r="H826" s="1" t="str"/>
      <c r="I826" s="2" t="str"/>
      <c r="J826" s="2" t="str"/>
      <c r="K826" s="2" t="str"/>
      <c r="L826" s="1" t="str"/>
      <c r="M826" s="2" t="str"/>
      <c r="N826" s="2" t="str"/>
      <c r="O826" s="1" t="str"/>
      <c r="P826" s="1" t="str"/>
      <c r="Q826" s="1" t="str"/>
      <c r="R826" s="1">
        <f>IF(H826="Sí",1,0)</f>
        <v/>
      </c>
      <c r="S826" s="1">
        <f>IF(L826="En coordinación",1,0)</f>
        <v/>
      </c>
      <c r="T826" s="1">
        <f>IF(L826="Aceptada",1,0)</f>
        <v/>
      </c>
      <c r="U826" s="1">
        <f>IF(OR(L826="Realizada completa",L826="Realizada incompleta"),1,0)</f>
        <v/>
      </c>
      <c r="V826" s="1">
        <f>IF(L826="Sin respuesta",1,0)</f>
        <v/>
      </c>
    </row>
    <row r="827">
      <c r="A827" s="1" t="str"/>
      <c r="B827" s="1" t="str"/>
      <c r="C827" s="1" t="str"/>
      <c r="D827" s="1" t="str"/>
      <c r="E827" s="1" t="str"/>
      <c r="F827" s="1" t="str"/>
      <c r="G827" s="1" t="str"/>
      <c r="H827" s="1" t="str"/>
      <c r="I827" s="2" t="str"/>
      <c r="J827" s="2" t="str"/>
      <c r="K827" s="2" t="str"/>
      <c r="L827" s="1" t="str"/>
      <c r="M827" s="2" t="str"/>
      <c r="N827" s="2" t="str"/>
      <c r="O827" s="1" t="str"/>
      <c r="P827" s="1" t="str"/>
      <c r="Q827" s="1" t="str"/>
      <c r="R827" s="1">
        <f>IF(H827="Sí",1,0)</f>
        <v/>
      </c>
      <c r="S827" s="1">
        <f>IF(L827="En coordinación",1,0)</f>
        <v/>
      </c>
      <c r="T827" s="1">
        <f>IF(L827="Aceptada",1,0)</f>
        <v/>
      </c>
      <c r="U827" s="1">
        <f>IF(OR(L827="Realizada completa",L827="Realizada incompleta"),1,0)</f>
        <v/>
      </c>
      <c r="V827" s="1">
        <f>IF(L827="Sin respuesta",1,0)</f>
        <v/>
      </c>
    </row>
    <row r="828">
      <c r="A828" s="1" t="str"/>
      <c r="B828" s="1" t="str"/>
      <c r="C828" s="1" t="str"/>
      <c r="D828" s="1" t="str"/>
      <c r="E828" s="1" t="str"/>
      <c r="F828" s="1" t="str"/>
      <c r="G828" s="1" t="str"/>
      <c r="H828" s="1" t="str"/>
      <c r="I828" s="2" t="str"/>
      <c r="J828" s="2" t="str"/>
      <c r="K828" s="2" t="str"/>
      <c r="L828" s="1" t="str"/>
      <c r="M828" s="2" t="str"/>
      <c r="N828" s="2" t="str"/>
      <c r="O828" s="1" t="str"/>
      <c r="P828" s="1" t="str"/>
      <c r="Q828" s="1" t="str"/>
      <c r="R828" s="1">
        <f>IF(H828="Sí",1,0)</f>
        <v/>
      </c>
      <c r="S828" s="1">
        <f>IF(L828="En coordinación",1,0)</f>
        <v/>
      </c>
      <c r="T828" s="1">
        <f>IF(L828="Aceptada",1,0)</f>
        <v/>
      </c>
      <c r="U828" s="1">
        <f>IF(OR(L828="Realizada completa",L828="Realizada incompleta"),1,0)</f>
        <v/>
      </c>
      <c r="V828" s="1">
        <f>IF(L828="Sin respuesta",1,0)</f>
        <v/>
      </c>
    </row>
    <row r="829">
      <c r="A829" s="1" t="str"/>
      <c r="B829" s="1" t="str"/>
      <c r="C829" s="1" t="str"/>
      <c r="D829" s="1" t="str"/>
      <c r="E829" s="1" t="str"/>
      <c r="F829" s="1" t="str"/>
      <c r="G829" s="1" t="str"/>
      <c r="H829" s="1" t="str"/>
      <c r="I829" s="2" t="str"/>
      <c r="J829" s="2" t="str"/>
      <c r="K829" s="2" t="str"/>
      <c r="L829" s="1" t="str"/>
      <c r="M829" s="2" t="str"/>
      <c r="N829" s="2" t="str"/>
      <c r="O829" s="1" t="str"/>
      <c r="P829" s="1" t="str"/>
      <c r="Q829" s="1" t="str"/>
      <c r="R829" s="1">
        <f>IF(H829="Sí",1,0)</f>
        <v/>
      </c>
      <c r="S829" s="1">
        <f>IF(L829="En coordinación",1,0)</f>
        <v/>
      </c>
      <c r="T829" s="1">
        <f>IF(L829="Aceptada",1,0)</f>
        <v/>
      </c>
      <c r="U829" s="1">
        <f>IF(OR(L829="Realizada completa",L829="Realizada incompleta"),1,0)</f>
        <v/>
      </c>
      <c r="V829" s="1">
        <f>IF(L829="Sin respuesta",1,0)</f>
        <v/>
      </c>
    </row>
    <row r="830">
      <c r="A830" s="1" t="str"/>
      <c r="B830" s="1" t="str"/>
      <c r="C830" s="1" t="str"/>
      <c r="D830" s="1" t="str"/>
      <c r="E830" s="1" t="str"/>
      <c r="F830" s="1" t="str"/>
      <c r="G830" s="1" t="str"/>
      <c r="H830" s="1" t="str"/>
      <c r="I830" s="2" t="str"/>
      <c r="J830" s="2" t="str"/>
      <c r="K830" s="2" t="str"/>
      <c r="L830" s="1" t="str"/>
      <c r="M830" s="2" t="str"/>
      <c r="N830" s="2" t="str"/>
      <c r="O830" s="1" t="str"/>
      <c r="P830" s="1" t="str"/>
      <c r="Q830" s="1" t="str"/>
      <c r="R830" s="1">
        <f>IF(H830="Sí",1,0)</f>
        <v/>
      </c>
      <c r="S830" s="1">
        <f>IF(L830="En coordinación",1,0)</f>
        <v/>
      </c>
      <c r="T830" s="1">
        <f>IF(L830="Aceptada",1,0)</f>
        <v/>
      </c>
      <c r="U830" s="1">
        <f>IF(OR(L830="Realizada completa",L830="Realizada incompleta"),1,0)</f>
        <v/>
      </c>
      <c r="V830" s="1">
        <f>IF(L830="Sin respuesta",1,0)</f>
        <v/>
      </c>
    </row>
    <row r="831">
      <c r="A831" s="1" t="str"/>
      <c r="B831" s="1" t="str"/>
      <c r="C831" s="1" t="str"/>
      <c r="D831" s="1" t="str"/>
      <c r="E831" s="1" t="str"/>
      <c r="F831" s="1" t="str"/>
      <c r="G831" s="1" t="str"/>
      <c r="H831" s="1" t="str"/>
      <c r="I831" s="2" t="str"/>
      <c r="J831" s="2" t="str"/>
      <c r="K831" s="2" t="str"/>
      <c r="L831" s="1" t="str"/>
      <c r="M831" s="2" t="str"/>
      <c r="N831" s="2" t="str"/>
      <c r="O831" s="1" t="str"/>
      <c r="P831" s="1" t="str"/>
      <c r="Q831" s="1" t="str"/>
      <c r="R831" s="1">
        <f>IF(H831="Sí",1,0)</f>
        <v/>
      </c>
      <c r="S831" s="1">
        <f>IF(L831="En coordinación",1,0)</f>
        <v/>
      </c>
      <c r="T831" s="1">
        <f>IF(L831="Aceptada",1,0)</f>
        <v/>
      </c>
      <c r="U831" s="1">
        <f>IF(OR(L831="Realizada completa",L831="Realizada incompleta"),1,0)</f>
        <v/>
      </c>
      <c r="V831" s="1">
        <f>IF(L831="Sin respuesta",1,0)</f>
        <v/>
      </c>
    </row>
    <row r="832">
      <c r="A832" s="1" t="str"/>
      <c r="B832" s="1" t="str"/>
      <c r="C832" s="1" t="str"/>
      <c r="D832" s="1" t="str"/>
      <c r="E832" s="1" t="str"/>
      <c r="F832" s="1" t="str"/>
      <c r="G832" s="1" t="str"/>
      <c r="H832" s="1" t="str"/>
      <c r="I832" s="2" t="str"/>
      <c r="J832" s="2" t="str"/>
      <c r="K832" s="2" t="str"/>
      <c r="L832" s="1" t="str"/>
      <c r="M832" s="2" t="str"/>
      <c r="N832" s="2" t="str"/>
      <c r="O832" s="1" t="str"/>
      <c r="P832" s="1" t="str"/>
      <c r="Q832" s="1" t="str"/>
      <c r="R832" s="1">
        <f>IF(H832="Sí",1,0)</f>
        <v/>
      </c>
      <c r="S832" s="1">
        <f>IF(L832="En coordinación",1,0)</f>
        <v/>
      </c>
      <c r="T832" s="1">
        <f>IF(L832="Aceptada",1,0)</f>
        <v/>
      </c>
      <c r="U832" s="1">
        <f>IF(OR(L832="Realizada completa",L832="Realizada incompleta"),1,0)</f>
        <v/>
      </c>
      <c r="V832" s="1">
        <f>IF(L832="Sin respuesta",1,0)</f>
        <v/>
      </c>
    </row>
    <row r="833">
      <c r="A833" s="1" t="str"/>
      <c r="B833" s="1" t="str"/>
      <c r="C833" s="1" t="str"/>
      <c r="D833" s="1" t="str"/>
      <c r="E833" s="1" t="str"/>
      <c r="F833" s="1" t="str"/>
      <c r="G833" s="1" t="str"/>
      <c r="H833" s="1" t="str"/>
      <c r="I833" s="2" t="str"/>
      <c r="J833" s="2" t="str"/>
      <c r="K833" s="2" t="str"/>
      <c r="L833" s="1" t="str"/>
      <c r="M833" s="2" t="str"/>
      <c r="N833" s="2" t="str"/>
      <c r="O833" s="1" t="str"/>
      <c r="P833" s="1" t="str"/>
      <c r="Q833" s="1" t="str"/>
      <c r="R833" s="1">
        <f>IF(H833="Sí",1,0)</f>
        <v/>
      </c>
      <c r="S833" s="1">
        <f>IF(L833="En coordinación",1,0)</f>
        <v/>
      </c>
      <c r="T833" s="1">
        <f>IF(L833="Aceptada",1,0)</f>
        <v/>
      </c>
      <c r="U833" s="1">
        <f>IF(OR(L833="Realizada completa",L833="Realizada incompleta"),1,0)</f>
        <v/>
      </c>
      <c r="V833" s="1">
        <f>IF(L833="Sin respuesta",1,0)</f>
        <v/>
      </c>
    </row>
    <row r="834">
      <c r="A834" s="1" t="str"/>
      <c r="B834" s="1" t="str"/>
      <c r="C834" s="1" t="str"/>
      <c r="D834" s="1" t="str"/>
      <c r="E834" s="1" t="str"/>
      <c r="F834" s="1" t="str"/>
      <c r="G834" s="1" t="str"/>
      <c r="H834" s="1" t="str"/>
      <c r="I834" s="2" t="str"/>
      <c r="J834" s="2" t="str"/>
      <c r="K834" s="2" t="str"/>
      <c r="L834" s="1" t="str"/>
      <c r="M834" s="2" t="str"/>
      <c r="N834" s="2" t="str"/>
      <c r="O834" s="1" t="str"/>
      <c r="P834" s="1" t="str"/>
      <c r="Q834" s="1" t="str"/>
      <c r="R834" s="1">
        <f>IF(H834="Sí",1,0)</f>
        <v/>
      </c>
      <c r="S834" s="1">
        <f>IF(L834="En coordinación",1,0)</f>
        <v/>
      </c>
      <c r="T834" s="1">
        <f>IF(L834="Aceptada",1,0)</f>
        <v/>
      </c>
      <c r="U834" s="1">
        <f>IF(OR(L834="Realizada completa",L834="Realizada incompleta"),1,0)</f>
        <v/>
      </c>
      <c r="V834" s="1">
        <f>IF(L834="Sin respuesta",1,0)</f>
        <v/>
      </c>
    </row>
    <row r="835">
      <c r="A835" s="1" t="str"/>
      <c r="B835" s="1" t="str"/>
      <c r="C835" s="1" t="str"/>
      <c r="D835" s="1" t="str"/>
      <c r="E835" s="1" t="str"/>
      <c r="F835" s="1" t="str"/>
      <c r="G835" s="1" t="str"/>
      <c r="H835" s="1" t="str"/>
      <c r="I835" s="2" t="str"/>
      <c r="J835" s="2" t="str"/>
      <c r="K835" s="2" t="str"/>
      <c r="L835" s="1" t="str"/>
      <c r="M835" s="2" t="str"/>
      <c r="N835" s="2" t="str"/>
      <c r="O835" s="1" t="str"/>
      <c r="P835" s="1" t="str"/>
      <c r="Q835" s="1" t="str"/>
      <c r="R835" s="1">
        <f>IF(H835="Sí",1,0)</f>
        <v/>
      </c>
      <c r="S835" s="1">
        <f>IF(L835="En coordinación",1,0)</f>
        <v/>
      </c>
      <c r="T835" s="1">
        <f>IF(L835="Aceptada",1,0)</f>
        <v/>
      </c>
      <c r="U835" s="1">
        <f>IF(OR(L835="Realizada completa",L835="Realizada incompleta"),1,0)</f>
        <v/>
      </c>
      <c r="V835" s="1">
        <f>IF(L835="Sin respuesta",1,0)</f>
        <v/>
      </c>
    </row>
    <row r="836">
      <c r="A836" s="1" t="str"/>
      <c r="B836" s="1" t="str"/>
      <c r="C836" s="1" t="str"/>
      <c r="D836" s="1" t="str"/>
      <c r="E836" s="1" t="str"/>
      <c r="F836" s="1" t="str"/>
      <c r="G836" s="1" t="str"/>
      <c r="H836" s="1" t="str"/>
      <c r="I836" s="2" t="str"/>
      <c r="J836" s="2" t="str"/>
      <c r="K836" s="2" t="str"/>
      <c r="L836" s="1" t="str"/>
      <c r="M836" s="2" t="str"/>
      <c r="N836" s="2" t="str"/>
      <c r="O836" s="1" t="str"/>
      <c r="P836" s="1" t="str"/>
      <c r="Q836" s="1" t="str"/>
      <c r="R836" s="1">
        <f>IF(H836="Sí",1,0)</f>
        <v/>
      </c>
      <c r="S836" s="1">
        <f>IF(L836="En coordinación",1,0)</f>
        <v/>
      </c>
      <c r="T836" s="1">
        <f>IF(L836="Aceptada",1,0)</f>
        <v/>
      </c>
      <c r="U836" s="1">
        <f>IF(OR(L836="Realizada completa",L836="Realizada incompleta"),1,0)</f>
        <v/>
      </c>
      <c r="V836" s="1">
        <f>IF(L836="Sin respuesta",1,0)</f>
        <v/>
      </c>
    </row>
    <row r="837">
      <c r="A837" s="1" t="str"/>
      <c r="B837" s="1" t="str"/>
      <c r="C837" s="1" t="str"/>
      <c r="D837" s="1" t="str"/>
      <c r="E837" s="1" t="str"/>
      <c r="F837" s="1" t="str"/>
      <c r="G837" s="1" t="str"/>
      <c r="H837" s="1" t="str"/>
      <c r="I837" s="2" t="str"/>
      <c r="J837" s="2" t="str"/>
      <c r="K837" s="2" t="str"/>
      <c r="L837" s="1" t="str"/>
      <c r="M837" s="2" t="str"/>
      <c r="N837" s="2" t="str"/>
      <c r="O837" s="1" t="str"/>
      <c r="P837" s="1" t="str"/>
      <c r="Q837" s="1" t="str"/>
      <c r="R837" s="1">
        <f>IF(H837="Sí",1,0)</f>
        <v/>
      </c>
      <c r="S837" s="1">
        <f>IF(L837="En coordinación",1,0)</f>
        <v/>
      </c>
      <c r="T837" s="1">
        <f>IF(L837="Aceptada",1,0)</f>
        <v/>
      </c>
      <c r="U837" s="1">
        <f>IF(OR(L837="Realizada completa",L837="Realizada incompleta"),1,0)</f>
        <v/>
      </c>
      <c r="V837" s="1">
        <f>IF(L837="Sin respuesta",1,0)</f>
        <v/>
      </c>
    </row>
    <row r="838">
      <c r="A838" s="1" t="str"/>
      <c r="B838" s="1" t="str"/>
      <c r="C838" s="1" t="str"/>
      <c r="D838" s="1" t="str"/>
      <c r="E838" s="1" t="str"/>
      <c r="F838" s="1" t="str"/>
      <c r="G838" s="1" t="str"/>
      <c r="H838" s="1" t="str"/>
      <c r="I838" s="2" t="str"/>
      <c r="J838" s="2" t="str"/>
      <c r="K838" s="2" t="str"/>
      <c r="L838" s="1" t="str"/>
      <c r="M838" s="2" t="str"/>
      <c r="N838" s="2" t="str"/>
      <c r="O838" s="1" t="str"/>
      <c r="P838" s="1" t="str"/>
      <c r="Q838" s="1" t="str"/>
      <c r="R838" s="1">
        <f>IF(H838="Sí",1,0)</f>
        <v/>
      </c>
      <c r="S838" s="1">
        <f>IF(L838="En coordinación",1,0)</f>
        <v/>
      </c>
      <c r="T838" s="1">
        <f>IF(L838="Aceptada",1,0)</f>
        <v/>
      </c>
      <c r="U838" s="1">
        <f>IF(OR(L838="Realizada completa",L838="Realizada incompleta"),1,0)</f>
        <v/>
      </c>
      <c r="V838" s="1">
        <f>IF(L838="Sin respuesta",1,0)</f>
        <v/>
      </c>
    </row>
    <row r="839">
      <c r="A839" s="1" t="str"/>
      <c r="B839" s="1" t="str"/>
      <c r="C839" s="1" t="str"/>
      <c r="D839" s="1" t="str"/>
      <c r="E839" s="1" t="str"/>
      <c r="F839" s="1" t="str"/>
      <c r="G839" s="1" t="str"/>
      <c r="H839" s="1" t="str"/>
      <c r="I839" s="2" t="str"/>
      <c r="J839" s="2" t="str"/>
      <c r="K839" s="2" t="str"/>
      <c r="L839" s="1" t="str"/>
      <c r="M839" s="2" t="str"/>
      <c r="N839" s="2" t="str"/>
      <c r="O839" s="1" t="str"/>
      <c r="P839" s="1" t="str"/>
      <c r="Q839" s="1" t="str"/>
      <c r="R839" s="1">
        <f>IF(H839="Sí",1,0)</f>
        <v/>
      </c>
      <c r="S839" s="1">
        <f>IF(L839="En coordinación",1,0)</f>
        <v/>
      </c>
      <c r="T839" s="1">
        <f>IF(L839="Aceptada",1,0)</f>
        <v/>
      </c>
      <c r="U839" s="1">
        <f>IF(OR(L839="Realizada completa",L839="Realizada incompleta"),1,0)</f>
        <v/>
      </c>
      <c r="V839" s="1">
        <f>IF(L839="Sin respuesta",1,0)</f>
        <v/>
      </c>
    </row>
    <row r="840">
      <c r="A840" s="1" t="str"/>
      <c r="B840" s="1" t="str"/>
      <c r="C840" s="1" t="str"/>
      <c r="D840" s="1" t="str"/>
      <c r="E840" s="1" t="str"/>
      <c r="F840" s="1" t="str"/>
      <c r="G840" s="1" t="str"/>
      <c r="H840" s="1" t="str"/>
      <c r="I840" s="2" t="str"/>
      <c r="J840" s="2" t="str"/>
      <c r="K840" s="2" t="str"/>
      <c r="L840" s="1" t="str"/>
      <c r="M840" s="2" t="str"/>
      <c r="N840" s="2" t="str"/>
      <c r="O840" s="1" t="str"/>
      <c r="P840" s="1" t="str"/>
      <c r="Q840" s="1" t="str"/>
      <c r="R840" s="1">
        <f>IF(H840="Sí",1,0)</f>
        <v/>
      </c>
      <c r="S840" s="1">
        <f>IF(L840="En coordinación",1,0)</f>
        <v/>
      </c>
      <c r="T840" s="1">
        <f>IF(L840="Aceptada",1,0)</f>
        <v/>
      </c>
      <c r="U840" s="1">
        <f>IF(OR(L840="Realizada completa",L840="Realizada incompleta"),1,0)</f>
        <v/>
      </c>
      <c r="V840" s="1">
        <f>IF(L840="Sin respuesta",1,0)</f>
        <v/>
      </c>
    </row>
    <row r="841">
      <c r="A841" s="1" t="str"/>
      <c r="B841" s="1" t="str"/>
      <c r="C841" s="1" t="str"/>
      <c r="D841" s="1" t="str"/>
      <c r="E841" s="1" t="str"/>
      <c r="F841" s="1" t="str"/>
      <c r="G841" s="1" t="str"/>
      <c r="H841" s="1" t="str"/>
      <c r="I841" s="2" t="str"/>
      <c r="J841" s="2" t="str"/>
      <c r="K841" s="2" t="str"/>
      <c r="L841" s="1" t="str"/>
      <c r="M841" s="2" t="str"/>
      <c r="N841" s="2" t="str"/>
      <c r="O841" s="1" t="str"/>
      <c r="P841" s="1" t="str"/>
      <c r="Q841" s="1" t="str"/>
      <c r="R841" s="1">
        <f>IF(H841="Sí",1,0)</f>
        <v/>
      </c>
      <c r="S841" s="1">
        <f>IF(L841="En coordinación",1,0)</f>
        <v/>
      </c>
      <c r="T841" s="1">
        <f>IF(L841="Aceptada",1,0)</f>
        <v/>
      </c>
      <c r="U841" s="1">
        <f>IF(OR(L841="Realizada completa",L841="Realizada incompleta"),1,0)</f>
        <v/>
      </c>
      <c r="V841" s="1">
        <f>IF(L841="Sin respuesta",1,0)</f>
        <v/>
      </c>
    </row>
    <row r="842">
      <c r="A842" s="1" t="str"/>
      <c r="B842" s="1" t="str"/>
      <c r="C842" s="1" t="str"/>
      <c r="D842" s="1" t="str"/>
      <c r="E842" s="1" t="str"/>
      <c r="F842" s="1" t="str"/>
      <c r="G842" s="1" t="str"/>
      <c r="H842" s="1" t="str"/>
      <c r="I842" s="2" t="str"/>
      <c r="J842" s="2" t="str"/>
      <c r="K842" s="2" t="str"/>
      <c r="L842" s="1" t="str"/>
      <c r="M842" s="2" t="str"/>
      <c r="N842" s="2" t="str"/>
      <c r="O842" s="1" t="str"/>
      <c r="P842" s="1" t="str"/>
      <c r="Q842" s="1" t="str"/>
      <c r="R842" s="1">
        <f>IF(H842="Sí",1,0)</f>
        <v/>
      </c>
      <c r="S842" s="1">
        <f>IF(L842="En coordinación",1,0)</f>
        <v/>
      </c>
      <c r="T842" s="1">
        <f>IF(L842="Aceptada",1,0)</f>
        <v/>
      </c>
      <c r="U842" s="1">
        <f>IF(OR(L842="Realizada completa",L842="Realizada incompleta"),1,0)</f>
        <v/>
      </c>
      <c r="V842" s="1">
        <f>IF(L842="Sin respuesta",1,0)</f>
        <v/>
      </c>
    </row>
    <row r="843">
      <c r="A843" s="1" t="str"/>
      <c r="B843" s="1" t="str"/>
      <c r="C843" s="1" t="str"/>
      <c r="D843" s="1" t="str"/>
      <c r="E843" s="1" t="str"/>
      <c r="F843" s="1" t="str"/>
      <c r="G843" s="1" t="str"/>
      <c r="H843" s="1" t="str"/>
      <c r="I843" s="2" t="str"/>
      <c r="J843" s="2" t="str"/>
      <c r="K843" s="2" t="str"/>
      <c r="L843" s="1" t="str"/>
      <c r="M843" s="2" t="str"/>
      <c r="N843" s="2" t="str"/>
      <c r="O843" s="1" t="str"/>
      <c r="P843" s="1" t="str"/>
      <c r="Q843" s="1" t="str"/>
      <c r="R843" s="1">
        <f>IF(H843="Sí",1,0)</f>
        <v/>
      </c>
      <c r="S843" s="1">
        <f>IF(L843="En coordinación",1,0)</f>
        <v/>
      </c>
      <c r="T843" s="1">
        <f>IF(L843="Aceptada",1,0)</f>
        <v/>
      </c>
      <c r="U843" s="1">
        <f>IF(OR(L843="Realizada completa",L843="Realizada incompleta"),1,0)</f>
        <v/>
      </c>
      <c r="V843" s="1">
        <f>IF(L843="Sin respuesta",1,0)</f>
        <v/>
      </c>
    </row>
    <row r="844">
      <c r="A844" s="1" t="str"/>
      <c r="B844" s="1" t="str"/>
      <c r="C844" s="1" t="str"/>
      <c r="D844" s="1" t="str"/>
      <c r="E844" s="1" t="str"/>
      <c r="F844" s="1" t="str"/>
      <c r="G844" s="1" t="str"/>
      <c r="H844" s="1" t="str"/>
      <c r="I844" s="2" t="str"/>
      <c r="J844" s="2" t="str"/>
      <c r="K844" s="2" t="str"/>
      <c r="L844" s="1" t="str"/>
      <c r="M844" s="2" t="str"/>
      <c r="N844" s="2" t="str"/>
      <c r="O844" s="1" t="str"/>
      <c r="P844" s="1" t="str"/>
      <c r="Q844" s="1" t="str"/>
      <c r="R844" s="1">
        <f>IF(H844="Sí",1,0)</f>
        <v/>
      </c>
      <c r="S844" s="1">
        <f>IF(L844="En coordinación",1,0)</f>
        <v/>
      </c>
      <c r="T844" s="1">
        <f>IF(L844="Aceptada",1,0)</f>
        <v/>
      </c>
      <c r="U844" s="1">
        <f>IF(OR(L844="Realizada completa",L844="Realizada incompleta"),1,0)</f>
        <v/>
      </c>
      <c r="V844" s="1">
        <f>IF(L844="Sin respuesta",1,0)</f>
        <v/>
      </c>
    </row>
    <row r="845">
      <c r="A845" s="1" t="str"/>
      <c r="B845" s="1" t="str"/>
      <c r="C845" s="1" t="str"/>
      <c r="D845" s="1" t="str"/>
      <c r="E845" s="1" t="str"/>
      <c r="F845" s="1" t="str"/>
      <c r="G845" s="1" t="str"/>
      <c r="H845" s="1" t="str"/>
      <c r="I845" s="2" t="str"/>
      <c r="J845" s="2" t="str"/>
      <c r="K845" s="2" t="str"/>
      <c r="L845" s="1" t="str"/>
      <c r="M845" s="2" t="str"/>
      <c r="N845" s="2" t="str"/>
      <c r="O845" s="1" t="str"/>
      <c r="P845" s="1" t="str"/>
      <c r="Q845" s="1" t="str"/>
      <c r="R845" s="1">
        <f>IF(H845="Sí",1,0)</f>
        <v/>
      </c>
      <c r="S845" s="1">
        <f>IF(L845="En coordinación",1,0)</f>
        <v/>
      </c>
      <c r="T845" s="1">
        <f>IF(L845="Aceptada",1,0)</f>
        <v/>
      </c>
      <c r="U845" s="1">
        <f>IF(OR(L845="Realizada completa",L845="Realizada incompleta"),1,0)</f>
        <v/>
      </c>
      <c r="V845" s="1">
        <f>IF(L845="Sin respuesta",1,0)</f>
        <v/>
      </c>
    </row>
    <row r="846">
      <c r="A846" s="1" t="str"/>
      <c r="B846" s="1" t="str"/>
      <c r="C846" s="1" t="str"/>
      <c r="D846" s="1" t="str"/>
      <c r="E846" s="1" t="str"/>
      <c r="F846" s="1" t="str"/>
      <c r="G846" s="1" t="str"/>
      <c r="H846" s="1" t="str"/>
      <c r="I846" s="2" t="str"/>
      <c r="J846" s="2" t="str"/>
      <c r="K846" s="2" t="str"/>
      <c r="L846" s="1" t="str"/>
      <c r="M846" s="2" t="str"/>
      <c r="N846" s="2" t="str"/>
      <c r="O846" s="1" t="str"/>
      <c r="P846" s="1" t="str"/>
      <c r="Q846" s="1" t="str"/>
      <c r="R846" s="1">
        <f>IF(H846="Sí",1,0)</f>
        <v/>
      </c>
      <c r="S846" s="1">
        <f>IF(L846="En coordinación",1,0)</f>
        <v/>
      </c>
      <c r="T846" s="1">
        <f>IF(L846="Aceptada",1,0)</f>
        <v/>
      </c>
      <c r="U846" s="1">
        <f>IF(OR(L846="Realizada completa",L846="Realizada incompleta"),1,0)</f>
        <v/>
      </c>
      <c r="V846" s="1">
        <f>IF(L846="Sin respuesta",1,0)</f>
        <v/>
      </c>
    </row>
    <row r="847">
      <c r="A847" s="1" t="str"/>
      <c r="B847" s="1" t="str"/>
      <c r="C847" s="1" t="str"/>
      <c r="D847" s="1" t="str"/>
      <c r="E847" s="1" t="str"/>
      <c r="F847" s="1" t="str"/>
      <c r="G847" s="1" t="str"/>
      <c r="H847" s="1" t="str"/>
      <c r="I847" s="2" t="str"/>
      <c r="J847" s="2" t="str"/>
      <c r="K847" s="2" t="str"/>
      <c r="L847" s="1" t="str"/>
      <c r="M847" s="2" t="str"/>
      <c r="N847" s="2" t="str"/>
      <c r="O847" s="1" t="str"/>
      <c r="P847" s="1" t="str"/>
      <c r="Q847" s="1" t="str"/>
      <c r="R847" s="1">
        <f>IF(H847="Sí",1,0)</f>
        <v/>
      </c>
      <c r="S847" s="1">
        <f>IF(L847="En coordinación",1,0)</f>
        <v/>
      </c>
      <c r="T847" s="1">
        <f>IF(L847="Aceptada",1,0)</f>
        <v/>
      </c>
      <c r="U847" s="1">
        <f>IF(OR(L847="Realizada completa",L847="Realizada incompleta"),1,0)</f>
        <v/>
      </c>
      <c r="V847" s="1">
        <f>IF(L847="Sin respuesta",1,0)</f>
        <v/>
      </c>
    </row>
    <row r="848">
      <c r="A848" s="1" t="str"/>
      <c r="B848" s="1" t="str"/>
      <c r="C848" s="1" t="str"/>
      <c r="D848" s="1" t="str"/>
      <c r="E848" s="1" t="str"/>
      <c r="F848" s="1" t="str"/>
      <c r="G848" s="1" t="str"/>
      <c r="H848" s="1" t="str"/>
      <c r="I848" s="2" t="str"/>
      <c r="J848" s="2" t="str"/>
      <c r="K848" s="2" t="str"/>
      <c r="L848" s="1" t="str"/>
      <c r="M848" s="2" t="str"/>
      <c r="N848" s="2" t="str"/>
      <c r="O848" s="1" t="str"/>
      <c r="P848" s="1" t="str"/>
      <c r="Q848" s="1" t="str"/>
      <c r="R848" s="1">
        <f>IF(H848="Sí",1,0)</f>
        <v/>
      </c>
      <c r="S848" s="1">
        <f>IF(L848="En coordinación",1,0)</f>
        <v/>
      </c>
      <c r="T848" s="1">
        <f>IF(L848="Aceptada",1,0)</f>
        <v/>
      </c>
      <c r="U848" s="1">
        <f>IF(OR(L848="Realizada completa",L848="Realizada incompleta"),1,0)</f>
        <v/>
      </c>
      <c r="V848" s="1">
        <f>IF(L848="Sin respuesta",1,0)</f>
        <v/>
      </c>
    </row>
    <row r="849">
      <c r="A849" s="1" t="str"/>
      <c r="B849" s="1" t="str"/>
      <c r="C849" s="1" t="str"/>
      <c r="D849" s="1" t="str"/>
      <c r="E849" s="1" t="str"/>
      <c r="F849" s="1" t="str"/>
      <c r="G849" s="1" t="str"/>
      <c r="H849" s="1" t="str"/>
      <c r="I849" s="2" t="str"/>
      <c r="J849" s="2" t="str"/>
      <c r="K849" s="2" t="str"/>
      <c r="L849" s="1" t="str"/>
      <c r="M849" s="2" t="str"/>
      <c r="N849" s="2" t="str"/>
      <c r="O849" s="1" t="str"/>
      <c r="P849" s="1" t="str"/>
      <c r="Q849" s="1" t="str"/>
      <c r="R849" s="1">
        <f>IF(H849="Sí",1,0)</f>
        <v/>
      </c>
      <c r="S849" s="1">
        <f>IF(L849="En coordinación",1,0)</f>
        <v/>
      </c>
      <c r="T849" s="1">
        <f>IF(L849="Aceptada",1,0)</f>
        <v/>
      </c>
      <c r="U849" s="1">
        <f>IF(OR(L849="Realizada completa",L849="Realizada incompleta"),1,0)</f>
        <v/>
      </c>
      <c r="V849" s="1">
        <f>IF(L849="Sin respuesta",1,0)</f>
        <v/>
      </c>
    </row>
    <row r="850">
      <c r="A850" s="1" t="str"/>
      <c r="B850" s="1" t="str"/>
      <c r="C850" s="1" t="str"/>
      <c r="D850" s="1" t="str"/>
      <c r="E850" s="1" t="str"/>
      <c r="F850" s="1" t="str"/>
      <c r="G850" s="1" t="str"/>
      <c r="H850" s="1" t="str"/>
      <c r="I850" s="2" t="str"/>
      <c r="J850" s="2" t="str"/>
      <c r="K850" s="2" t="str"/>
      <c r="L850" s="1" t="str"/>
      <c r="M850" s="2" t="str"/>
      <c r="N850" s="2" t="str"/>
      <c r="O850" s="1" t="str"/>
      <c r="P850" s="1" t="str"/>
      <c r="Q850" s="1" t="str"/>
      <c r="R850" s="1">
        <f>IF(H850="Sí",1,0)</f>
        <v/>
      </c>
      <c r="S850" s="1">
        <f>IF(L850="En coordinación",1,0)</f>
        <v/>
      </c>
      <c r="T850" s="1">
        <f>IF(L850="Aceptada",1,0)</f>
        <v/>
      </c>
      <c r="U850" s="1">
        <f>IF(OR(L850="Realizada completa",L850="Realizada incompleta"),1,0)</f>
        <v/>
      </c>
      <c r="V850" s="1">
        <f>IF(L850="Sin respuesta",1,0)</f>
        <v/>
      </c>
    </row>
    <row r="851">
      <c r="A851" s="1" t="str"/>
      <c r="B851" s="1" t="str"/>
      <c r="C851" s="1" t="str"/>
      <c r="D851" s="1" t="str"/>
      <c r="E851" s="1" t="str"/>
      <c r="F851" s="1" t="str"/>
      <c r="G851" s="1" t="str"/>
      <c r="H851" s="1" t="str"/>
      <c r="I851" s="2" t="str"/>
      <c r="J851" s="2" t="str"/>
      <c r="K851" s="2" t="str"/>
      <c r="L851" s="1" t="str"/>
      <c r="M851" s="2" t="str"/>
      <c r="N851" s="2" t="str"/>
      <c r="O851" s="1" t="str"/>
      <c r="P851" s="1" t="str"/>
      <c r="Q851" s="1" t="str"/>
      <c r="R851" s="1">
        <f>IF(H851="Sí",1,0)</f>
        <v/>
      </c>
      <c r="S851" s="1">
        <f>IF(L851="En coordinación",1,0)</f>
        <v/>
      </c>
      <c r="T851" s="1">
        <f>IF(L851="Aceptada",1,0)</f>
        <v/>
      </c>
      <c r="U851" s="1">
        <f>IF(OR(L851="Realizada completa",L851="Realizada incompleta"),1,0)</f>
        <v/>
      </c>
      <c r="V851" s="1">
        <f>IF(L851="Sin respuesta",1,0)</f>
        <v/>
      </c>
    </row>
    <row r="852">
      <c r="A852" s="1" t="str"/>
      <c r="B852" s="1" t="str"/>
      <c r="C852" s="1" t="str"/>
      <c r="D852" s="1" t="str"/>
      <c r="E852" s="1" t="str"/>
      <c r="F852" s="1" t="str"/>
      <c r="G852" s="1" t="str"/>
      <c r="H852" s="1" t="str"/>
      <c r="I852" s="2" t="str"/>
      <c r="J852" s="2" t="str"/>
      <c r="K852" s="2" t="str"/>
      <c r="L852" s="1" t="str"/>
      <c r="M852" s="2" t="str"/>
      <c r="N852" s="2" t="str"/>
      <c r="O852" s="1" t="str"/>
      <c r="P852" s="1" t="str"/>
      <c r="Q852" s="1" t="str"/>
      <c r="R852" s="1">
        <f>IF(H852="Sí",1,0)</f>
        <v/>
      </c>
      <c r="S852" s="1">
        <f>IF(L852="En coordinación",1,0)</f>
        <v/>
      </c>
      <c r="T852" s="1">
        <f>IF(L852="Aceptada",1,0)</f>
        <v/>
      </c>
      <c r="U852" s="1">
        <f>IF(OR(L852="Realizada completa",L852="Realizada incompleta"),1,0)</f>
        <v/>
      </c>
      <c r="V852" s="1">
        <f>IF(L852="Sin respuesta",1,0)</f>
        <v/>
      </c>
    </row>
    <row r="853">
      <c r="A853" s="1" t="str"/>
      <c r="B853" s="1" t="str"/>
      <c r="C853" s="1" t="str"/>
      <c r="D853" s="1" t="str"/>
      <c r="E853" s="1" t="str"/>
      <c r="F853" s="1" t="str"/>
      <c r="G853" s="1" t="str"/>
      <c r="H853" s="1" t="str"/>
      <c r="I853" s="2" t="str"/>
      <c r="J853" s="2" t="str"/>
      <c r="K853" s="2" t="str"/>
      <c r="L853" s="1" t="str"/>
      <c r="M853" s="2" t="str"/>
      <c r="N853" s="2" t="str"/>
      <c r="O853" s="1" t="str"/>
      <c r="P853" s="1" t="str"/>
      <c r="Q853" s="1" t="str"/>
      <c r="R853" s="1">
        <f>IF(H853="Sí",1,0)</f>
        <v/>
      </c>
      <c r="S853" s="1">
        <f>IF(L853="En coordinación",1,0)</f>
        <v/>
      </c>
      <c r="T853" s="1">
        <f>IF(L853="Aceptada",1,0)</f>
        <v/>
      </c>
      <c r="U853" s="1">
        <f>IF(OR(L853="Realizada completa",L853="Realizada incompleta"),1,0)</f>
        <v/>
      </c>
      <c r="V853" s="1">
        <f>IF(L853="Sin respuesta",1,0)</f>
        <v/>
      </c>
    </row>
    <row r="854">
      <c r="A854" s="1" t="str"/>
      <c r="B854" s="1" t="str"/>
      <c r="C854" s="1" t="str"/>
      <c r="D854" s="1" t="str"/>
      <c r="E854" s="1" t="str"/>
      <c r="F854" s="1" t="str"/>
      <c r="G854" s="1" t="str"/>
      <c r="H854" s="1" t="str"/>
      <c r="I854" s="2" t="str"/>
      <c r="J854" s="2" t="str"/>
      <c r="K854" s="2" t="str"/>
      <c r="L854" s="1" t="str"/>
      <c r="M854" s="2" t="str"/>
      <c r="N854" s="2" t="str"/>
      <c r="O854" s="1" t="str"/>
      <c r="P854" s="1" t="str"/>
      <c r="Q854" s="1" t="str"/>
      <c r="R854" s="1">
        <f>IF(H854="Sí",1,0)</f>
        <v/>
      </c>
      <c r="S854" s="1">
        <f>IF(L854="En coordinación",1,0)</f>
        <v/>
      </c>
      <c r="T854" s="1">
        <f>IF(L854="Aceptada",1,0)</f>
        <v/>
      </c>
      <c r="U854" s="1">
        <f>IF(OR(L854="Realizada completa",L854="Realizada incompleta"),1,0)</f>
        <v/>
      </c>
      <c r="V854" s="1">
        <f>IF(L854="Sin respuesta",1,0)</f>
        <v/>
      </c>
    </row>
    <row r="855">
      <c r="A855" s="1" t="str"/>
      <c r="B855" s="1" t="str"/>
      <c r="C855" s="1" t="str"/>
      <c r="D855" s="1" t="str"/>
      <c r="E855" s="1" t="str"/>
      <c r="F855" s="1" t="str"/>
      <c r="G855" s="1" t="str"/>
      <c r="H855" s="1" t="str"/>
      <c r="I855" s="2" t="str"/>
      <c r="J855" s="2" t="str"/>
      <c r="K855" s="2" t="str"/>
      <c r="L855" s="1" t="str"/>
      <c r="M855" s="2" t="str"/>
      <c r="N855" s="2" t="str"/>
      <c r="O855" s="1" t="str"/>
      <c r="P855" s="1" t="str"/>
      <c r="Q855" s="1" t="str"/>
      <c r="R855" s="1">
        <f>IF(H855="Sí",1,0)</f>
        <v/>
      </c>
      <c r="S855" s="1">
        <f>IF(L855="En coordinación",1,0)</f>
        <v/>
      </c>
      <c r="T855" s="1">
        <f>IF(L855="Aceptada",1,0)</f>
        <v/>
      </c>
      <c r="U855" s="1">
        <f>IF(OR(L855="Realizada completa",L855="Realizada incompleta"),1,0)</f>
        <v/>
      </c>
      <c r="V855" s="1">
        <f>IF(L855="Sin respuesta",1,0)</f>
        <v/>
      </c>
    </row>
    <row r="856">
      <c r="A856" s="1" t="str"/>
      <c r="B856" s="1" t="str"/>
      <c r="C856" s="1" t="str"/>
      <c r="D856" s="1" t="str"/>
      <c r="E856" s="1" t="str"/>
      <c r="F856" s="1" t="str"/>
      <c r="G856" s="1" t="str"/>
      <c r="H856" s="1" t="str"/>
      <c r="I856" s="2" t="str"/>
      <c r="J856" s="2" t="str"/>
      <c r="K856" s="2" t="str"/>
      <c r="L856" s="1" t="str"/>
      <c r="M856" s="2" t="str"/>
      <c r="N856" s="2" t="str"/>
      <c r="O856" s="1" t="str"/>
      <c r="P856" s="1" t="str"/>
      <c r="Q856" s="1" t="str"/>
      <c r="R856" s="1">
        <f>IF(H856="Sí",1,0)</f>
        <v/>
      </c>
      <c r="S856" s="1">
        <f>IF(L856="En coordinación",1,0)</f>
        <v/>
      </c>
      <c r="T856" s="1">
        <f>IF(L856="Aceptada",1,0)</f>
        <v/>
      </c>
      <c r="U856" s="1">
        <f>IF(OR(L856="Realizada completa",L856="Realizada incompleta"),1,0)</f>
        <v/>
      </c>
      <c r="V856" s="1">
        <f>IF(L856="Sin respuesta",1,0)</f>
        <v/>
      </c>
    </row>
    <row r="857">
      <c r="A857" s="1" t="str"/>
      <c r="B857" s="1" t="str"/>
      <c r="C857" s="1" t="str"/>
      <c r="D857" s="1" t="str"/>
      <c r="E857" s="1" t="str"/>
      <c r="F857" s="1" t="str"/>
      <c r="G857" s="1" t="str"/>
      <c r="H857" s="1" t="str"/>
      <c r="I857" s="2" t="str"/>
      <c r="J857" s="2" t="str"/>
      <c r="K857" s="2" t="str"/>
      <c r="L857" s="1" t="str"/>
      <c r="M857" s="2" t="str"/>
      <c r="N857" s="2" t="str"/>
      <c r="O857" s="1" t="str"/>
      <c r="P857" s="1" t="str"/>
      <c r="Q857" s="1" t="str"/>
      <c r="R857" s="1">
        <f>IF(H857="Sí",1,0)</f>
        <v/>
      </c>
      <c r="S857" s="1">
        <f>IF(L857="En coordinación",1,0)</f>
        <v/>
      </c>
      <c r="T857" s="1">
        <f>IF(L857="Aceptada",1,0)</f>
        <v/>
      </c>
      <c r="U857" s="1">
        <f>IF(OR(L857="Realizada completa",L857="Realizada incompleta"),1,0)</f>
        <v/>
      </c>
      <c r="V857" s="1">
        <f>IF(L857="Sin respuesta",1,0)</f>
        <v/>
      </c>
    </row>
    <row r="858">
      <c r="A858" s="1" t="str"/>
      <c r="B858" s="1" t="str"/>
      <c r="C858" s="1" t="str"/>
      <c r="D858" s="1" t="str"/>
      <c r="E858" s="1" t="str"/>
      <c r="F858" s="1" t="str"/>
      <c r="G858" s="1" t="str"/>
      <c r="H858" s="1" t="str"/>
      <c r="I858" s="2" t="str"/>
      <c r="J858" s="2" t="str"/>
      <c r="K858" s="2" t="str"/>
      <c r="L858" s="1" t="str"/>
      <c r="M858" s="2" t="str"/>
      <c r="N858" s="2" t="str"/>
      <c r="O858" s="1" t="str"/>
      <c r="P858" s="1" t="str"/>
      <c r="Q858" s="1" t="str"/>
      <c r="R858" s="1">
        <f>IF(H858="Sí",1,0)</f>
        <v/>
      </c>
      <c r="S858" s="1">
        <f>IF(L858="En coordinación",1,0)</f>
        <v/>
      </c>
      <c r="T858" s="1">
        <f>IF(L858="Aceptada",1,0)</f>
        <v/>
      </c>
      <c r="U858" s="1">
        <f>IF(OR(L858="Realizada completa",L858="Realizada incompleta"),1,0)</f>
        <v/>
      </c>
      <c r="V858" s="1">
        <f>IF(L858="Sin respuesta",1,0)</f>
        <v/>
      </c>
    </row>
    <row r="859">
      <c r="A859" s="1" t="str"/>
      <c r="B859" s="1" t="str"/>
      <c r="C859" s="1" t="str"/>
      <c r="D859" s="1" t="str"/>
      <c r="E859" s="1" t="str"/>
      <c r="F859" s="1" t="str"/>
      <c r="G859" s="1" t="str"/>
      <c r="H859" s="1" t="str"/>
      <c r="I859" s="2" t="str"/>
      <c r="J859" s="2" t="str"/>
      <c r="K859" s="2" t="str"/>
      <c r="L859" s="1" t="str"/>
      <c r="M859" s="2" t="str"/>
      <c r="N859" s="2" t="str"/>
      <c r="O859" s="1" t="str"/>
      <c r="P859" s="1" t="str"/>
      <c r="Q859" s="1" t="str"/>
      <c r="R859" s="1">
        <f>IF(H859="Sí",1,0)</f>
        <v/>
      </c>
      <c r="S859" s="1">
        <f>IF(L859="En coordinación",1,0)</f>
        <v/>
      </c>
      <c r="T859" s="1">
        <f>IF(L859="Aceptada",1,0)</f>
        <v/>
      </c>
      <c r="U859" s="1">
        <f>IF(OR(L859="Realizada completa",L859="Realizada incompleta"),1,0)</f>
        <v/>
      </c>
      <c r="V859" s="1">
        <f>IF(L859="Sin respuesta",1,0)</f>
        <v/>
      </c>
    </row>
    <row r="860">
      <c r="A860" s="1" t="str"/>
      <c r="B860" s="1" t="str"/>
      <c r="C860" s="1" t="str"/>
      <c r="D860" s="1" t="str"/>
      <c r="E860" s="1" t="str"/>
      <c r="F860" s="1" t="str"/>
      <c r="G860" s="1" t="str"/>
      <c r="H860" s="1" t="str"/>
      <c r="I860" s="2" t="str"/>
      <c r="J860" s="2" t="str"/>
      <c r="K860" s="2" t="str"/>
      <c r="L860" s="1" t="str"/>
      <c r="M860" s="2" t="str"/>
      <c r="N860" s="2" t="str"/>
      <c r="O860" s="1" t="str"/>
      <c r="P860" s="1" t="str"/>
      <c r="Q860" s="1" t="str"/>
      <c r="R860" s="1">
        <f>IF(H860="Sí",1,0)</f>
        <v/>
      </c>
      <c r="S860" s="1">
        <f>IF(L860="En coordinación",1,0)</f>
        <v/>
      </c>
      <c r="T860" s="1">
        <f>IF(L860="Aceptada",1,0)</f>
        <v/>
      </c>
      <c r="U860" s="1">
        <f>IF(OR(L860="Realizada completa",L860="Realizada incompleta"),1,0)</f>
        <v/>
      </c>
      <c r="V860" s="1">
        <f>IF(L860="Sin respuesta",1,0)</f>
        <v/>
      </c>
    </row>
    <row r="861">
      <c r="A861" s="1" t="str"/>
      <c r="B861" s="1" t="str"/>
      <c r="C861" s="1" t="str"/>
      <c r="D861" s="1" t="str"/>
      <c r="E861" s="1" t="str"/>
      <c r="F861" s="1" t="str"/>
      <c r="G861" s="1" t="str"/>
      <c r="H861" s="1" t="str"/>
      <c r="I861" s="2" t="str"/>
      <c r="J861" s="2" t="str"/>
      <c r="K861" s="2" t="str"/>
      <c r="L861" s="1" t="str"/>
      <c r="M861" s="2" t="str"/>
      <c r="N861" s="2" t="str"/>
      <c r="O861" s="1" t="str"/>
      <c r="P861" s="1" t="str"/>
      <c r="Q861" s="1" t="str"/>
      <c r="R861" s="1">
        <f>IF(H861="Sí",1,0)</f>
        <v/>
      </c>
      <c r="S861" s="1">
        <f>IF(L861="En coordinación",1,0)</f>
        <v/>
      </c>
      <c r="T861" s="1">
        <f>IF(L861="Aceptada",1,0)</f>
        <v/>
      </c>
      <c r="U861" s="1">
        <f>IF(OR(L861="Realizada completa",L861="Realizada incompleta"),1,0)</f>
        <v/>
      </c>
      <c r="V861" s="1">
        <f>IF(L861="Sin respuesta",1,0)</f>
        <v/>
      </c>
    </row>
    <row r="862">
      <c r="A862" s="1" t="str"/>
      <c r="B862" s="1" t="str"/>
      <c r="C862" s="1" t="str"/>
      <c r="D862" s="1" t="str"/>
      <c r="E862" s="1" t="str"/>
      <c r="F862" s="1" t="str"/>
      <c r="G862" s="1" t="str"/>
      <c r="H862" s="1" t="str"/>
      <c r="I862" s="2" t="str"/>
      <c r="J862" s="2" t="str"/>
      <c r="K862" s="2" t="str"/>
      <c r="L862" s="1" t="str"/>
      <c r="M862" s="2" t="str"/>
      <c r="N862" s="2" t="str"/>
      <c r="O862" s="1" t="str"/>
      <c r="P862" s="1" t="str"/>
      <c r="Q862" s="1" t="str"/>
      <c r="R862" s="1">
        <f>IF(H862="Sí",1,0)</f>
        <v/>
      </c>
      <c r="S862" s="1">
        <f>IF(L862="En coordinación",1,0)</f>
        <v/>
      </c>
      <c r="T862" s="1">
        <f>IF(L862="Aceptada",1,0)</f>
        <v/>
      </c>
      <c r="U862" s="1">
        <f>IF(OR(L862="Realizada completa",L862="Realizada incompleta"),1,0)</f>
        <v/>
      </c>
      <c r="V862" s="1">
        <f>IF(L862="Sin respuesta",1,0)</f>
        <v/>
      </c>
    </row>
    <row r="863">
      <c r="A863" s="1" t="str"/>
      <c r="B863" s="1" t="str"/>
      <c r="C863" s="1" t="str"/>
      <c r="D863" s="1" t="str"/>
      <c r="E863" s="1" t="str"/>
      <c r="F863" s="1" t="str"/>
      <c r="G863" s="1" t="str"/>
      <c r="H863" s="1" t="str"/>
      <c r="I863" s="2" t="str"/>
      <c r="J863" s="2" t="str"/>
      <c r="K863" s="2" t="str"/>
      <c r="L863" s="1" t="str"/>
      <c r="M863" s="2" t="str"/>
      <c r="N863" s="2" t="str"/>
      <c r="O863" s="1" t="str"/>
      <c r="P863" s="1" t="str"/>
      <c r="Q863" s="1" t="str"/>
      <c r="R863" s="1">
        <f>IF(H863="Sí",1,0)</f>
        <v/>
      </c>
      <c r="S863" s="1">
        <f>IF(L863="En coordinación",1,0)</f>
        <v/>
      </c>
      <c r="T863" s="1">
        <f>IF(L863="Aceptada",1,0)</f>
        <v/>
      </c>
      <c r="U863" s="1">
        <f>IF(OR(L863="Realizada completa",L863="Realizada incompleta"),1,0)</f>
        <v/>
      </c>
      <c r="V863" s="1">
        <f>IF(L863="Sin respuesta",1,0)</f>
        <v/>
      </c>
    </row>
    <row r="864">
      <c r="A864" s="1" t="str"/>
      <c r="B864" s="1" t="str"/>
      <c r="C864" s="1" t="str"/>
      <c r="D864" s="1" t="str"/>
      <c r="E864" s="1" t="str"/>
      <c r="F864" s="1" t="str"/>
      <c r="G864" s="1" t="str"/>
      <c r="H864" s="1" t="str"/>
      <c r="I864" s="2" t="str"/>
      <c r="J864" s="2" t="str"/>
      <c r="K864" s="2" t="str"/>
      <c r="L864" s="1" t="str"/>
      <c r="M864" s="2" t="str"/>
      <c r="N864" s="2" t="str"/>
      <c r="O864" s="1" t="str"/>
      <c r="P864" s="1" t="str"/>
      <c r="Q864" s="1" t="str"/>
      <c r="R864" s="1">
        <f>IF(H864="Sí",1,0)</f>
        <v/>
      </c>
      <c r="S864" s="1">
        <f>IF(L864="En coordinación",1,0)</f>
        <v/>
      </c>
      <c r="T864" s="1">
        <f>IF(L864="Aceptada",1,0)</f>
        <v/>
      </c>
      <c r="U864" s="1">
        <f>IF(OR(L864="Realizada completa",L864="Realizada incompleta"),1,0)</f>
        <v/>
      </c>
      <c r="V864" s="1">
        <f>IF(L864="Sin respuesta",1,0)</f>
        <v/>
      </c>
    </row>
    <row r="865">
      <c r="A865" s="1" t="str"/>
      <c r="B865" s="1" t="str"/>
      <c r="C865" s="1" t="str"/>
      <c r="D865" s="1" t="str"/>
      <c r="E865" s="1" t="str"/>
      <c r="F865" s="1" t="str"/>
      <c r="G865" s="1" t="str"/>
      <c r="H865" s="1" t="str"/>
      <c r="I865" s="2" t="str"/>
      <c r="J865" s="2" t="str"/>
      <c r="K865" s="2" t="str"/>
      <c r="L865" s="1" t="str"/>
      <c r="M865" s="2" t="str"/>
      <c r="N865" s="2" t="str"/>
      <c r="O865" s="1" t="str"/>
      <c r="P865" s="1" t="str"/>
      <c r="Q865" s="1" t="str"/>
      <c r="R865" s="1">
        <f>IF(H865="Sí",1,0)</f>
        <v/>
      </c>
      <c r="S865" s="1">
        <f>IF(L865="En coordinación",1,0)</f>
        <v/>
      </c>
      <c r="T865" s="1">
        <f>IF(L865="Aceptada",1,0)</f>
        <v/>
      </c>
      <c r="U865" s="1">
        <f>IF(OR(L865="Realizada completa",L865="Realizada incompleta"),1,0)</f>
        <v/>
      </c>
      <c r="V865" s="1">
        <f>IF(L865="Sin respuesta",1,0)</f>
        <v/>
      </c>
    </row>
    <row r="866">
      <c r="A866" s="1" t="str"/>
      <c r="B866" s="1" t="str"/>
      <c r="C866" s="1" t="str"/>
      <c r="D866" s="1" t="str"/>
      <c r="E866" s="1" t="str"/>
      <c r="F866" s="1" t="str"/>
      <c r="G866" s="1" t="str"/>
      <c r="H866" s="1" t="str"/>
      <c r="I866" s="2" t="str"/>
      <c r="J866" s="2" t="str"/>
      <c r="K866" s="2" t="str"/>
      <c r="L866" s="1" t="str"/>
      <c r="M866" s="2" t="str"/>
      <c r="N866" s="2" t="str"/>
      <c r="O866" s="1" t="str"/>
      <c r="P866" s="1" t="str"/>
      <c r="Q866" s="1" t="str"/>
      <c r="R866" s="1">
        <f>IF(H866="Sí",1,0)</f>
        <v/>
      </c>
      <c r="S866" s="1">
        <f>IF(L866="En coordinación",1,0)</f>
        <v/>
      </c>
      <c r="T866" s="1">
        <f>IF(L866="Aceptada",1,0)</f>
        <v/>
      </c>
      <c r="U866" s="1">
        <f>IF(OR(L866="Realizada completa",L866="Realizada incompleta"),1,0)</f>
        <v/>
      </c>
      <c r="V866" s="1">
        <f>IF(L866="Sin respuesta",1,0)</f>
        <v/>
      </c>
    </row>
    <row r="867">
      <c r="A867" s="1" t="str"/>
      <c r="B867" s="1" t="str"/>
      <c r="C867" s="1" t="str"/>
      <c r="D867" s="1" t="str"/>
      <c r="E867" s="1" t="str"/>
      <c r="F867" s="1" t="str"/>
      <c r="G867" s="1" t="str"/>
      <c r="H867" s="1" t="str"/>
      <c r="I867" s="2" t="str"/>
      <c r="J867" s="2" t="str"/>
      <c r="K867" s="2" t="str"/>
      <c r="L867" s="1" t="str"/>
      <c r="M867" s="2" t="str"/>
      <c r="N867" s="2" t="str"/>
      <c r="O867" s="1" t="str"/>
      <c r="P867" s="1" t="str"/>
      <c r="Q867" s="1" t="str"/>
      <c r="R867" s="1">
        <f>IF(H867="Sí",1,0)</f>
        <v/>
      </c>
      <c r="S867" s="1">
        <f>IF(L867="En coordinación",1,0)</f>
        <v/>
      </c>
      <c r="T867" s="1">
        <f>IF(L867="Aceptada",1,0)</f>
        <v/>
      </c>
      <c r="U867" s="1">
        <f>IF(OR(L867="Realizada completa",L867="Realizada incompleta"),1,0)</f>
        <v/>
      </c>
      <c r="V867" s="1">
        <f>IF(L867="Sin respuesta",1,0)</f>
        <v/>
      </c>
    </row>
    <row r="868">
      <c r="A868" s="1" t="str"/>
      <c r="B868" s="1" t="str"/>
      <c r="C868" s="1" t="str"/>
      <c r="D868" s="1" t="str"/>
      <c r="E868" s="1" t="str"/>
      <c r="F868" s="1" t="str"/>
      <c r="G868" s="1" t="str"/>
      <c r="H868" s="1" t="str"/>
      <c r="I868" s="2" t="str"/>
      <c r="J868" s="2" t="str"/>
      <c r="K868" s="2" t="str"/>
      <c r="L868" s="1" t="str"/>
      <c r="M868" s="2" t="str"/>
      <c r="N868" s="2" t="str"/>
      <c r="O868" s="1" t="str"/>
      <c r="P868" s="1" t="str"/>
      <c r="Q868" s="1" t="str"/>
      <c r="R868" s="1">
        <f>IF(H868="Sí",1,0)</f>
        <v/>
      </c>
      <c r="S868" s="1">
        <f>IF(L868="En coordinación",1,0)</f>
        <v/>
      </c>
      <c r="T868" s="1">
        <f>IF(L868="Aceptada",1,0)</f>
        <v/>
      </c>
      <c r="U868" s="1">
        <f>IF(OR(L868="Realizada completa",L868="Realizada incompleta"),1,0)</f>
        <v/>
      </c>
      <c r="V868" s="1">
        <f>IF(L868="Sin respuesta",1,0)</f>
        <v/>
      </c>
    </row>
    <row r="869">
      <c r="A869" s="1" t="str"/>
      <c r="B869" s="1" t="str"/>
      <c r="C869" s="1" t="str"/>
      <c r="D869" s="1" t="str"/>
      <c r="E869" s="1" t="str"/>
      <c r="F869" s="1" t="str"/>
      <c r="G869" s="1" t="str"/>
      <c r="H869" s="1" t="str"/>
      <c r="I869" s="2" t="str"/>
      <c r="J869" s="2" t="str"/>
      <c r="K869" s="2" t="str"/>
      <c r="L869" s="1" t="str"/>
      <c r="M869" s="2" t="str"/>
      <c r="N869" s="2" t="str"/>
      <c r="O869" s="1" t="str"/>
      <c r="P869" s="1" t="str"/>
      <c r="Q869" s="1" t="str"/>
      <c r="R869" s="1">
        <f>IF(H869="Sí",1,0)</f>
        <v/>
      </c>
      <c r="S869" s="1">
        <f>IF(L869="En coordinación",1,0)</f>
        <v/>
      </c>
      <c r="T869" s="1">
        <f>IF(L869="Aceptada",1,0)</f>
        <v/>
      </c>
      <c r="U869" s="1">
        <f>IF(OR(L869="Realizada completa",L869="Realizada incompleta"),1,0)</f>
        <v/>
      </c>
      <c r="V869" s="1">
        <f>IF(L869="Sin respuesta",1,0)</f>
        <v/>
      </c>
    </row>
    <row r="870">
      <c r="A870" s="1" t="str"/>
      <c r="B870" s="1" t="str"/>
      <c r="C870" s="1" t="str"/>
      <c r="D870" s="1" t="str"/>
      <c r="E870" s="1" t="str"/>
      <c r="F870" s="1" t="str"/>
      <c r="G870" s="1" t="str"/>
      <c r="H870" s="1" t="str"/>
      <c r="I870" s="2" t="str"/>
      <c r="J870" s="2" t="str"/>
      <c r="K870" s="2" t="str"/>
      <c r="L870" s="1" t="str"/>
      <c r="M870" s="2" t="str"/>
      <c r="N870" s="2" t="str"/>
      <c r="O870" s="1" t="str"/>
      <c r="P870" s="1" t="str"/>
      <c r="Q870" s="1" t="str"/>
      <c r="R870" s="1">
        <f>IF(H870="Sí",1,0)</f>
        <v/>
      </c>
      <c r="S870" s="1">
        <f>IF(L870="En coordinación",1,0)</f>
        <v/>
      </c>
      <c r="T870" s="1">
        <f>IF(L870="Aceptada",1,0)</f>
        <v/>
      </c>
      <c r="U870" s="1">
        <f>IF(OR(L870="Realizada completa",L870="Realizada incompleta"),1,0)</f>
        <v/>
      </c>
      <c r="V870" s="1">
        <f>IF(L870="Sin respuesta",1,0)</f>
        <v/>
      </c>
    </row>
    <row r="871">
      <c r="A871" s="1" t="str"/>
      <c r="B871" s="1" t="str"/>
      <c r="C871" s="1" t="str"/>
      <c r="D871" s="1" t="str"/>
      <c r="E871" s="1" t="str"/>
      <c r="F871" s="1" t="str"/>
      <c r="G871" s="1" t="str"/>
      <c r="H871" s="1" t="str"/>
      <c r="I871" s="2" t="str"/>
      <c r="J871" s="2" t="str"/>
      <c r="K871" s="2" t="str"/>
      <c r="L871" s="1" t="str"/>
      <c r="M871" s="2" t="str"/>
      <c r="N871" s="2" t="str"/>
      <c r="O871" s="1" t="str"/>
      <c r="P871" s="1" t="str"/>
      <c r="Q871" s="1" t="str"/>
      <c r="R871" s="1">
        <f>IF(H871="Sí",1,0)</f>
        <v/>
      </c>
      <c r="S871" s="1">
        <f>IF(L871="En coordinación",1,0)</f>
        <v/>
      </c>
      <c r="T871" s="1">
        <f>IF(L871="Aceptada",1,0)</f>
        <v/>
      </c>
      <c r="U871" s="1">
        <f>IF(OR(L871="Realizada completa",L871="Realizada incompleta"),1,0)</f>
        <v/>
      </c>
      <c r="V871" s="1">
        <f>IF(L871="Sin respuesta",1,0)</f>
        <v/>
      </c>
    </row>
    <row r="872">
      <c r="A872" s="1" t="str"/>
      <c r="B872" s="1" t="str"/>
      <c r="C872" s="1" t="str"/>
      <c r="D872" s="1" t="str"/>
      <c r="E872" s="1" t="str"/>
      <c r="F872" s="1" t="str"/>
      <c r="G872" s="1" t="str"/>
      <c r="H872" s="1" t="str"/>
      <c r="I872" s="2" t="str"/>
      <c r="J872" s="2" t="str"/>
      <c r="K872" s="2" t="str"/>
      <c r="L872" s="1" t="str"/>
      <c r="M872" s="2" t="str"/>
      <c r="N872" s="2" t="str"/>
      <c r="O872" s="1" t="str"/>
      <c r="P872" s="1" t="str"/>
      <c r="Q872" s="1" t="str"/>
      <c r="R872" s="1">
        <f>IF(H872="Sí",1,0)</f>
        <v/>
      </c>
      <c r="S872" s="1">
        <f>IF(L872="En coordinación",1,0)</f>
        <v/>
      </c>
      <c r="T872" s="1">
        <f>IF(L872="Aceptada",1,0)</f>
        <v/>
      </c>
      <c r="U872" s="1">
        <f>IF(OR(L872="Realizada completa",L872="Realizada incompleta"),1,0)</f>
        <v/>
      </c>
      <c r="V872" s="1">
        <f>IF(L872="Sin respuesta",1,0)</f>
        <v/>
      </c>
    </row>
    <row r="873">
      <c r="A873" s="1" t="str"/>
      <c r="B873" s="1" t="str"/>
      <c r="C873" s="1" t="str"/>
      <c r="D873" s="1" t="str"/>
      <c r="E873" s="1" t="str"/>
      <c r="F873" s="1" t="str"/>
      <c r="G873" s="1" t="str"/>
      <c r="H873" s="1" t="str"/>
      <c r="I873" s="2" t="str"/>
      <c r="J873" s="2" t="str"/>
      <c r="K873" s="2" t="str"/>
      <c r="L873" s="1" t="str"/>
      <c r="M873" s="2" t="str"/>
      <c r="N873" s="2" t="str"/>
      <c r="O873" s="1" t="str"/>
      <c r="P873" s="1" t="str"/>
      <c r="Q873" s="1" t="str"/>
      <c r="R873" s="1">
        <f>IF(H873="Sí",1,0)</f>
        <v/>
      </c>
      <c r="S873" s="1">
        <f>IF(L873="En coordinación",1,0)</f>
        <v/>
      </c>
      <c r="T873" s="1">
        <f>IF(L873="Aceptada",1,0)</f>
        <v/>
      </c>
      <c r="U873" s="1">
        <f>IF(OR(L873="Realizada completa",L873="Realizada incompleta"),1,0)</f>
        <v/>
      </c>
      <c r="V873" s="1">
        <f>IF(L873="Sin respuesta",1,0)</f>
        <v/>
      </c>
    </row>
    <row r="874">
      <c r="A874" s="1" t="str"/>
      <c r="B874" s="1" t="str"/>
      <c r="C874" s="1" t="str"/>
      <c r="D874" s="1" t="str"/>
      <c r="E874" s="1" t="str"/>
      <c r="F874" s="1" t="str"/>
      <c r="G874" s="1" t="str"/>
      <c r="H874" s="1" t="str"/>
      <c r="I874" s="2" t="str"/>
      <c r="J874" s="2" t="str"/>
      <c r="K874" s="2" t="str"/>
      <c r="L874" s="1" t="str"/>
      <c r="M874" s="2" t="str"/>
      <c r="N874" s="2" t="str"/>
      <c r="O874" s="1" t="str"/>
      <c r="P874" s="1" t="str"/>
      <c r="Q874" s="1" t="str"/>
      <c r="R874" s="1">
        <f>IF(H874="Sí",1,0)</f>
        <v/>
      </c>
      <c r="S874" s="1">
        <f>IF(L874="En coordinación",1,0)</f>
        <v/>
      </c>
      <c r="T874" s="1">
        <f>IF(L874="Aceptada",1,0)</f>
        <v/>
      </c>
      <c r="U874" s="1">
        <f>IF(OR(L874="Realizada completa",L874="Realizada incompleta"),1,0)</f>
        <v/>
      </c>
      <c r="V874" s="1">
        <f>IF(L874="Sin respuesta",1,0)</f>
        <v/>
      </c>
    </row>
    <row r="875">
      <c r="A875" s="1" t="str"/>
      <c r="B875" s="1" t="str"/>
      <c r="C875" s="1" t="str"/>
      <c r="D875" s="1" t="str"/>
      <c r="E875" s="1" t="str"/>
      <c r="F875" s="1" t="str"/>
      <c r="G875" s="1" t="str"/>
      <c r="H875" s="1" t="str"/>
      <c r="I875" s="2" t="str"/>
      <c r="J875" s="2" t="str"/>
      <c r="K875" s="2" t="str"/>
      <c r="L875" s="1" t="str"/>
      <c r="M875" s="2" t="str"/>
      <c r="N875" s="2" t="str"/>
      <c r="O875" s="1" t="str"/>
      <c r="P875" s="1" t="str"/>
      <c r="Q875" s="1" t="str"/>
      <c r="R875" s="1">
        <f>IF(H875="Sí",1,0)</f>
        <v/>
      </c>
      <c r="S875" s="1">
        <f>IF(L875="En coordinación",1,0)</f>
        <v/>
      </c>
      <c r="T875" s="1">
        <f>IF(L875="Aceptada",1,0)</f>
        <v/>
      </c>
      <c r="U875" s="1">
        <f>IF(OR(L875="Realizada completa",L875="Realizada incompleta"),1,0)</f>
        <v/>
      </c>
      <c r="V875" s="1">
        <f>IF(L875="Sin respuesta",1,0)</f>
        <v/>
      </c>
    </row>
    <row r="876">
      <c r="A876" s="1" t="str"/>
      <c r="B876" s="1" t="str"/>
      <c r="C876" s="1" t="str"/>
      <c r="D876" s="1" t="str"/>
      <c r="E876" s="1" t="str"/>
      <c r="F876" s="1" t="str"/>
      <c r="G876" s="1" t="str"/>
      <c r="H876" s="1" t="str"/>
      <c r="I876" s="2" t="str"/>
      <c r="J876" s="2" t="str"/>
      <c r="K876" s="2" t="str"/>
      <c r="L876" s="1" t="str"/>
      <c r="M876" s="2" t="str"/>
      <c r="N876" s="2" t="str"/>
      <c r="O876" s="1" t="str"/>
      <c r="P876" s="1" t="str"/>
      <c r="Q876" s="1" t="str"/>
      <c r="R876" s="1">
        <f>IF(H876="Sí",1,0)</f>
        <v/>
      </c>
      <c r="S876" s="1">
        <f>IF(L876="En coordinación",1,0)</f>
        <v/>
      </c>
      <c r="T876" s="1">
        <f>IF(L876="Aceptada",1,0)</f>
        <v/>
      </c>
      <c r="U876" s="1">
        <f>IF(OR(L876="Realizada completa",L876="Realizada incompleta"),1,0)</f>
        <v/>
      </c>
      <c r="V876" s="1">
        <f>IF(L876="Sin respuesta",1,0)</f>
        <v/>
      </c>
    </row>
    <row r="877">
      <c r="A877" s="1" t="str"/>
      <c r="B877" s="1" t="str"/>
      <c r="C877" s="1" t="str"/>
      <c r="D877" s="1" t="str"/>
      <c r="E877" s="1" t="str"/>
      <c r="F877" s="1" t="str"/>
      <c r="G877" s="1" t="str"/>
      <c r="H877" s="1" t="str"/>
      <c r="I877" s="2" t="str"/>
      <c r="J877" s="2" t="str"/>
      <c r="K877" s="2" t="str"/>
      <c r="L877" s="1" t="str"/>
      <c r="M877" s="2" t="str"/>
      <c r="N877" s="2" t="str"/>
      <c r="O877" s="1" t="str"/>
      <c r="P877" s="1" t="str"/>
      <c r="Q877" s="1" t="str"/>
      <c r="R877" s="1">
        <f>IF(H877="Sí",1,0)</f>
        <v/>
      </c>
      <c r="S877" s="1">
        <f>IF(L877="En coordinación",1,0)</f>
        <v/>
      </c>
      <c r="T877" s="1">
        <f>IF(L877="Aceptada",1,0)</f>
        <v/>
      </c>
      <c r="U877" s="1">
        <f>IF(OR(L877="Realizada completa",L877="Realizada incompleta"),1,0)</f>
        <v/>
      </c>
      <c r="V877" s="1">
        <f>IF(L877="Sin respuesta",1,0)</f>
        <v/>
      </c>
    </row>
    <row r="878">
      <c r="A878" s="1" t="str"/>
      <c r="B878" s="1" t="str"/>
      <c r="C878" s="1" t="str"/>
      <c r="D878" s="1" t="str"/>
      <c r="E878" s="1" t="str"/>
      <c r="F878" s="1" t="str"/>
      <c r="G878" s="1" t="str"/>
      <c r="H878" s="1" t="str"/>
      <c r="I878" s="2" t="str"/>
      <c r="J878" s="2" t="str"/>
      <c r="K878" s="2" t="str"/>
      <c r="L878" s="1" t="str"/>
      <c r="M878" s="2" t="str"/>
      <c r="N878" s="2" t="str"/>
      <c r="O878" s="1" t="str"/>
      <c r="P878" s="1" t="str"/>
      <c r="Q878" s="1" t="str"/>
      <c r="R878" s="1">
        <f>IF(H878="Sí",1,0)</f>
        <v/>
      </c>
      <c r="S878" s="1">
        <f>IF(L878="En coordinación",1,0)</f>
        <v/>
      </c>
      <c r="T878" s="1">
        <f>IF(L878="Aceptada",1,0)</f>
        <v/>
      </c>
      <c r="U878" s="1">
        <f>IF(OR(L878="Realizada completa",L878="Realizada incompleta"),1,0)</f>
        <v/>
      </c>
      <c r="V878" s="1">
        <f>IF(L878="Sin respuesta",1,0)</f>
        <v/>
      </c>
    </row>
    <row r="879">
      <c r="A879" s="1" t="str"/>
      <c r="B879" s="1" t="str"/>
      <c r="C879" s="1" t="str"/>
      <c r="D879" s="1" t="str"/>
      <c r="E879" s="1" t="str"/>
      <c r="F879" s="1" t="str"/>
      <c r="G879" s="1" t="str"/>
      <c r="H879" s="1" t="str"/>
      <c r="I879" s="2" t="str"/>
      <c r="J879" s="2" t="str"/>
      <c r="K879" s="2" t="str"/>
      <c r="L879" s="1" t="str"/>
      <c r="M879" s="2" t="str"/>
      <c r="N879" s="2" t="str"/>
      <c r="O879" s="1" t="str"/>
      <c r="P879" s="1" t="str"/>
      <c r="Q879" s="1" t="str"/>
      <c r="R879" s="1">
        <f>IF(H879="Sí",1,0)</f>
        <v/>
      </c>
      <c r="S879" s="1">
        <f>IF(L879="En coordinación",1,0)</f>
        <v/>
      </c>
      <c r="T879" s="1">
        <f>IF(L879="Aceptada",1,0)</f>
        <v/>
      </c>
      <c r="U879" s="1">
        <f>IF(OR(L879="Realizada completa",L879="Realizada incompleta"),1,0)</f>
        <v/>
      </c>
      <c r="V879" s="1">
        <f>IF(L879="Sin respuesta",1,0)</f>
        <v/>
      </c>
    </row>
    <row r="880">
      <c r="A880" s="1" t="str"/>
      <c r="B880" s="1" t="str"/>
      <c r="C880" s="1" t="str"/>
      <c r="D880" s="1" t="str"/>
      <c r="E880" s="1" t="str"/>
      <c r="F880" s="1" t="str"/>
      <c r="G880" s="1" t="str"/>
      <c r="H880" s="1" t="str"/>
      <c r="I880" s="2" t="str"/>
      <c r="J880" s="2" t="str"/>
      <c r="K880" s="2" t="str"/>
      <c r="L880" s="1" t="str"/>
      <c r="M880" s="2" t="str"/>
      <c r="N880" s="2" t="str"/>
      <c r="O880" s="1" t="str"/>
      <c r="P880" s="1" t="str"/>
      <c r="Q880" s="1" t="str"/>
      <c r="R880" s="1">
        <f>IF(H880="Sí",1,0)</f>
        <v/>
      </c>
      <c r="S880" s="1">
        <f>IF(L880="En coordinación",1,0)</f>
        <v/>
      </c>
      <c r="T880" s="1">
        <f>IF(L880="Aceptada",1,0)</f>
        <v/>
      </c>
      <c r="U880" s="1">
        <f>IF(OR(L880="Realizada completa",L880="Realizada incompleta"),1,0)</f>
        <v/>
      </c>
      <c r="V880" s="1">
        <f>IF(L880="Sin respuesta",1,0)</f>
        <v/>
      </c>
    </row>
    <row r="881">
      <c r="A881" s="1" t="str"/>
      <c r="B881" s="1" t="str"/>
      <c r="C881" s="1" t="str"/>
      <c r="D881" s="1" t="str"/>
      <c r="E881" s="1" t="str"/>
      <c r="F881" s="1" t="str"/>
      <c r="G881" s="1" t="str"/>
      <c r="H881" s="1" t="str"/>
      <c r="I881" s="2" t="str"/>
      <c r="J881" s="2" t="str"/>
      <c r="K881" s="2" t="str"/>
      <c r="L881" s="1" t="str"/>
      <c r="M881" s="2" t="str"/>
      <c r="N881" s="2" t="str"/>
      <c r="O881" s="1" t="str"/>
      <c r="P881" s="1" t="str"/>
      <c r="Q881" s="1" t="str"/>
      <c r="R881" s="1">
        <f>IF(H881="Sí",1,0)</f>
        <v/>
      </c>
      <c r="S881" s="1">
        <f>IF(L881="En coordinación",1,0)</f>
        <v/>
      </c>
      <c r="T881" s="1">
        <f>IF(L881="Aceptada",1,0)</f>
        <v/>
      </c>
      <c r="U881" s="1">
        <f>IF(OR(L881="Realizada completa",L881="Realizada incompleta"),1,0)</f>
        <v/>
      </c>
      <c r="V881" s="1">
        <f>IF(L881="Sin respuesta",1,0)</f>
        <v/>
      </c>
    </row>
    <row r="882">
      <c r="A882" s="1" t="str"/>
      <c r="B882" s="1" t="str"/>
      <c r="C882" s="1" t="str"/>
      <c r="D882" s="1" t="str"/>
      <c r="E882" s="1" t="str"/>
      <c r="F882" s="1" t="str"/>
      <c r="G882" s="1" t="str"/>
      <c r="H882" s="1" t="str"/>
      <c r="I882" s="2" t="str"/>
      <c r="J882" s="2" t="str"/>
      <c r="K882" s="2" t="str"/>
      <c r="L882" s="1" t="str"/>
      <c r="M882" s="2" t="str"/>
      <c r="N882" s="2" t="str"/>
      <c r="O882" s="1" t="str"/>
      <c r="P882" s="1" t="str"/>
      <c r="Q882" s="1" t="str"/>
      <c r="R882" s="1">
        <f>IF(H882="Sí",1,0)</f>
        <v/>
      </c>
      <c r="S882" s="1">
        <f>IF(L882="En coordinación",1,0)</f>
        <v/>
      </c>
      <c r="T882" s="1">
        <f>IF(L882="Aceptada",1,0)</f>
        <v/>
      </c>
      <c r="U882" s="1">
        <f>IF(OR(L882="Realizada completa",L882="Realizada incompleta"),1,0)</f>
        <v/>
      </c>
      <c r="V882" s="1">
        <f>IF(L882="Sin respuesta",1,0)</f>
        <v/>
      </c>
    </row>
    <row r="883">
      <c r="A883" s="1" t="str"/>
      <c r="B883" s="1" t="str"/>
      <c r="C883" s="1" t="str"/>
      <c r="D883" s="1" t="str"/>
      <c r="E883" s="1" t="str"/>
      <c r="F883" s="1" t="str"/>
      <c r="G883" s="1" t="str"/>
      <c r="H883" s="1" t="str"/>
      <c r="I883" s="2" t="str"/>
      <c r="J883" s="2" t="str"/>
      <c r="K883" s="2" t="str"/>
      <c r="L883" s="1" t="str"/>
      <c r="M883" s="2" t="str"/>
      <c r="N883" s="2" t="str"/>
      <c r="O883" s="1" t="str"/>
      <c r="P883" s="1" t="str"/>
      <c r="Q883" s="1" t="str"/>
      <c r="R883" s="1">
        <f>IF(H883="Sí",1,0)</f>
        <v/>
      </c>
      <c r="S883" s="1">
        <f>IF(L883="En coordinación",1,0)</f>
        <v/>
      </c>
      <c r="T883" s="1">
        <f>IF(L883="Aceptada",1,0)</f>
        <v/>
      </c>
      <c r="U883" s="1">
        <f>IF(OR(L883="Realizada completa",L883="Realizada incompleta"),1,0)</f>
        <v/>
      </c>
      <c r="V883" s="1">
        <f>IF(L883="Sin respuesta",1,0)</f>
        <v/>
      </c>
    </row>
    <row r="884">
      <c r="A884" s="1" t="str"/>
      <c r="B884" s="1" t="str"/>
      <c r="C884" s="1" t="str"/>
      <c r="D884" s="1" t="str"/>
      <c r="E884" s="1" t="str"/>
      <c r="F884" s="1" t="str"/>
      <c r="G884" s="1" t="str"/>
      <c r="H884" s="1" t="str"/>
      <c r="I884" s="2" t="str"/>
      <c r="J884" s="2" t="str"/>
      <c r="K884" s="2" t="str"/>
      <c r="L884" s="1" t="str"/>
      <c r="M884" s="2" t="str"/>
      <c r="N884" s="2" t="str"/>
      <c r="O884" s="1" t="str"/>
      <c r="P884" s="1" t="str"/>
      <c r="Q884" s="1" t="str"/>
      <c r="R884" s="1">
        <f>IF(H884="Sí",1,0)</f>
        <v/>
      </c>
      <c r="S884" s="1">
        <f>IF(L884="En coordinación",1,0)</f>
        <v/>
      </c>
      <c r="T884" s="1">
        <f>IF(L884="Aceptada",1,0)</f>
        <v/>
      </c>
      <c r="U884" s="1">
        <f>IF(OR(L884="Realizada completa",L884="Realizada incompleta"),1,0)</f>
        <v/>
      </c>
      <c r="V884" s="1">
        <f>IF(L884="Sin respuesta",1,0)</f>
        <v/>
      </c>
    </row>
    <row r="885">
      <c r="A885" s="1" t="str"/>
      <c r="B885" s="1" t="str"/>
      <c r="C885" s="1" t="str"/>
      <c r="D885" s="1" t="str"/>
      <c r="E885" s="1" t="str"/>
      <c r="F885" s="1" t="str"/>
      <c r="G885" s="1" t="str"/>
      <c r="H885" s="1" t="str"/>
      <c r="I885" s="2" t="str"/>
      <c r="J885" s="2" t="str"/>
      <c r="K885" s="2" t="str"/>
      <c r="L885" s="1" t="str"/>
      <c r="M885" s="2" t="str"/>
      <c r="N885" s="2" t="str"/>
      <c r="O885" s="1" t="str"/>
      <c r="P885" s="1" t="str"/>
      <c r="Q885" s="1" t="str"/>
      <c r="R885" s="1">
        <f>IF(H885="Sí",1,0)</f>
        <v/>
      </c>
      <c r="S885" s="1">
        <f>IF(L885="En coordinación",1,0)</f>
        <v/>
      </c>
      <c r="T885" s="1">
        <f>IF(L885="Aceptada",1,0)</f>
        <v/>
      </c>
      <c r="U885" s="1">
        <f>IF(OR(L885="Realizada completa",L885="Realizada incompleta"),1,0)</f>
        <v/>
      </c>
      <c r="V885" s="1">
        <f>IF(L885="Sin respuesta",1,0)</f>
        <v/>
      </c>
    </row>
    <row r="886">
      <c r="A886" s="1" t="str"/>
      <c r="B886" s="1" t="str"/>
      <c r="C886" s="1" t="str"/>
      <c r="D886" s="1" t="str"/>
      <c r="E886" s="1" t="str"/>
      <c r="F886" s="1" t="str"/>
      <c r="G886" s="1" t="str"/>
      <c r="H886" s="1" t="str"/>
      <c r="I886" s="2" t="str"/>
      <c r="J886" s="2" t="str"/>
      <c r="K886" s="2" t="str"/>
      <c r="L886" s="1" t="str"/>
      <c r="M886" s="2" t="str"/>
      <c r="N886" s="2" t="str"/>
      <c r="O886" s="1" t="str"/>
      <c r="P886" s="1" t="str"/>
      <c r="Q886" s="1" t="str"/>
      <c r="R886" s="1">
        <f>IF(H886="Sí",1,0)</f>
        <v/>
      </c>
      <c r="S886" s="1">
        <f>IF(L886="En coordinación",1,0)</f>
        <v/>
      </c>
      <c r="T886" s="1">
        <f>IF(L886="Aceptada",1,0)</f>
        <v/>
      </c>
      <c r="U886" s="1">
        <f>IF(OR(L886="Realizada completa",L886="Realizada incompleta"),1,0)</f>
        <v/>
      </c>
      <c r="V886" s="1">
        <f>IF(L886="Sin respuesta",1,0)</f>
        <v/>
      </c>
    </row>
    <row r="887">
      <c r="A887" s="1" t="str"/>
      <c r="B887" s="1" t="str"/>
      <c r="C887" s="1" t="str"/>
      <c r="D887" s="1" t="str"/>
      <c r="E887" s="1" t="str"/>
      <c r="F887" s="1" t="str"/>
      <c r="G887" s="1" t="str"/>
      <c r="H887" s="1" t="str"/>
      <c r="I887" s="2" t="str"/>
      <c r="J887" s="2" t="str"/>
      <c r="K887" s="2" t="str"/>
      <c r="L887" s="1" t="str"/>
      <c r="M887" s="2" t="str"/>
      <c r="N887" s="2" t="str"/>
      <c r="O887" s="1" t="str"/>
      <c r="P887" s="1" t="str"/>
      <c r="Q887" s="1" t="str"/>
      <c r="R887" s="1">
        <f>IF(H887="Sí",1,0)</f>
        <v/>
      </c>
      <c r="S887" s="1">
        <f>IF(L887="En coordinación",1,0)</f>
        <v/>
      </c>
      <c r="T887" s="1">
        <f>IF(L887="Aceptada",1,0)</f>
        <v/>
      </c>
      <c r="U887" s="1">
        <f>IF(OR(L887="Realizada completa",L887="Realizada incompleta"),1,0)</f>
        <v/>
      </c>
      <c r="V887" s="1">
        <f>IF(L887="Sin respuesta",1,0)</f>
        <v/>
      </c>
    </row>
    <row r="888">
      <c r="A888" s="1" t="str"/>
      <c r="B888" s="1" t="str"/>
      <c r="C888" s="1" t="str"/>
      <c r="D888" s="1" t="str"/>
      <c r="E888" s="1" t="str"/>
      <c r="F888" s="1" t="str"/>
      <c r="G888" s="1" t="str"/>
      <c r="H888" s="1" t="str"/>
      <c r="I888" s="2" t="str"/>
      <c r="J888" s="2" t="str"/>
      <c r="K888" s="2" t="str"/>
      <c r="L888" s="1" t="str"/>
      <c r="M888" s="2" t="str"/>
      <c r="N888" s="2" t="str"/>
      <c r="O888" s="1" t="str"/>
      <c r="P888" s="1" t="str"/>
      <c r="Q888" s="1" t="str"/>
      <c r="R888" s="1">
        <f>IF(H888="Sí",1,0)</f>
        <v/>
      </c>
      <c r="S888" s="1">
        <f>IF(L888="En coordinación",1,0)</f>
        <v/>
      </c>
      <c r="T888" s="1">
        <f>IF(L888="Aceptada",1,0)</f>
        <v/>
      </c>
      <c r="U888" s="1">
        <f>IF(OR(L888="Realizada completa",L888="Realizada incompleta"),1,0)</f>
        <v/>
      </c>
      <c r="V888" s="1">
        <f>IF(L888="Sin respuesta",1,0)</f>
        <v/>
      </c>
    </row>
    <row r="889">
      <c r="A889" s="1" t="str"/>
      <c r="B889" s="1" t="str"/>
      <c r="C889" s="1" t="str"/>
      <c r="D889" s="1" t="str"/>
      <c r="E889" s="1" t="str"/>
      <c r="F889" s="1" t="str"/>
      <c r="G889" s="1" t="str"/>
      <c r="H889" s="1" t="str"/>
      <c r="I889" s="2" t="str"/>
      <c r="J889" s="2" t="str"/>
      <c r="K889" s="2" t="str"/>
      <c r="L889" s="1" t="str"/>
      <c r="M889" s="2" t="str"/>
      <c r="N889" s="2" t="str"/>
      <c r="O889" s="1" t="str"/>
      <c r="P889" s="1" t="str"/>
      <c r="Q889" s="1" t="str"/>
      <c r="R889" s="1">
        <f>IF(H889="Sí",1,0)</f>
        <v/>
      </c>
      <c r="S889" s="1">
        <f>IF(L889="En coordinación",1,0)</f>
        <v/>
      </c>
      <c r="T889" s="1">
        <f>IF(L889="Aceptada",1,0)</f>
        <v/>
      </c>
      <c r="U889" s="1">
        <f>IF(OR(L889="Realizada completa",L889="Realizada incompleta"),1,0)</f>
        <v/>
      </c>
      <c r="V889" s="1">
        <f>IF(L889="Sin respuesta",1,0)</f>
        <v/>
      </c>
    </row>
    <row r="890">
      <c r="A890" s="1" t="str"/>
      <c r="B890" s="1" t="str"/>
      <c r="C890" s="1" t="str"/>
      <c r="D890" s="1" t="str"/>
      <c r="E890" s="1" t="str"/>
      <c r="F890" s="1" t="str"/>
      <c r="G890" s="1" t="str"/>
      <c r="H890" s="1" t="str"/>
      <c r="I890" s="2" t="str"/>
      <c r="J890" s="2" t="str"/>
      <c r="K890" s="2" t="str"/>
      <c r="L890" s="1" t="str"/>
      <c r="M890" s="2" t="str"/>
      <c r="N890" s="2" t="str"/>
      <c r="O890" s="1" t="str"/>
      <c r="P890" s="1" t="str"/>
      <c r="Q890" s="1" t="str"/>
      <c r="R890" s="1">
        <f>IF(H890="Sí",1,0)</f>
        <v/>
      </c>
      <c r="S890" s="1">
        <f>IF(L890="En coordinación",1,0)</f>
        <v/>
      </c>
      <c r="T890" s="1">
        <f>IF(L890="Aceptada",1,0)</f>
        <v/>
      </c>
      <c r="U890" s="1">
        <f>IF(OR(L890="Realizada completa",L890="Realizada incompleta"),1,0)</f>
        <v/>
      </c>
      <c r="V890" s="1">
        <f>IF(L890="Sin respuesta",1,0)</f>
        <v/>
      </c>
    </row>
    <row r="891">
      <c r="A891" s="1" t="str"/>
      <c r="B891" s="1" t="str"/>
      <c r="C891" s="1" t="str"/>
      <c r="D891" s="1" t="str"/>
      <c r="E891" s="1" t="str"/>
      <c r="F891" s="1" t="str"/>
      <c r="G891" s="1" t="str"/>
      <c r="H891" s="1" t="str"/>
      <c r="I891" s="2" t="str"/>
      <c r="J891" s="2" t="str"/>
      <c r="K891" s="2" t="str"/>
      <c r="L891" s="1" t="str"/>
      <c r="M891" s="2" t="str"/>
      <c r="N891" s="2" t="str"/>
      <c r="O891" s="1" t="str"/>
      <c r="P891" s="1" t="str"/>
      <c r="Q891" s="1" t="str"/>
      <c r="R891" s="1">
        <f>IF(H891="Sí",1,0)</f>
        <v/>
      </c>
      <c r="S891" s="1">
        <f>IF(L891="En coordinación",1,0)</f>
        <v/>
      </c>
      <c r="T891" s="1">
        <f>IF(L891="Aceptada",1,0)</f>
        <v/>
      </c>
      <c r="U891" s="1">
        <f>IF(OR(L891="Realizada completa",L891="Realizada incompleta"),1,0)</f>
        <v/>
      </c>
      <c r="V891" s="1">
        <f>IF(L891="Sin respuesta",1,0)</f>
        <v/>
      </c>
    </row>
    <row r="892">
      <c r="A892" s="1" t="str"/>
      <c r="B892" s="1" t="str"/>
      <c r="C892" s="1" t="str"/>
      <c r="D892" s="1" t="str"/>
      <c r="E892" s="1" t="str"/>
      <c r="F892" s="1" t="str"/>
      <c r="G892" s="1" t="str"/>
      <c r="H892" s="1" t="str"/>
      <c r="I892" s="2" t="str"/>
      <c r="J892" s="2" t="str"/>
      <c r="K892" s="2" t="str"/>
      <c r="L892" s="1" t="str"/>
      <c r="M892" s="2" t="str"/>
      <c r="N892" s="2" t="str"/>
      <c r="O892" s="1" t="str"/>
      <c r="P892" s="1" t="str"/>
      <c r="Q892" s="1" t="str"/>
      <c r="R892" s="1">
        <f>IF(H892="Sí",1,0)</f>
        <v/>
      </c>
      <c r="S892" s="1">
        <f>IF(L892="En coordinación",1,0)</f>
        <v/>
      </c>
      <c r="T892" s="1">
        <f>IF(L892="Aceptada",1,0)</f>
        <v/>
      </c>
      <c r="U892" s="1">
        <f>IF(OR(L892="Realizada completa",L892="Realizada incompleta"),1,0)</f>
        <v/>
      </c>
      <c r="V892" s="1">
        <f>IF(L892="Sin respuesta",1,0)</f>
        <v/>
      </c>
    </row>
    <row r="893">
      <c r="A893" s="1" t="str"/>
      <c r="B893" s="1" t="str"/>
      <c r="C893" s="1" t="str"/>
      <c r="D893" s="1" t="str"/>
      <c r="E893" s="1" t="str"/>
      <c r="F893" s="1" t="str"/>
      <c r="G893" s="1" t="str"/>
      <c r="H893" s="1" t="str"/>
      <c r="I893" s="2" t="str"/>
      <c r="J893" s="2" t="str"/>
      <c r="K893" s="2" t="str"/>
      <c r="L893" s="1" t="str"/>
      <c r="M893" s="2" t="str"/>
      <c r="N893" s="2" t="str"/>
      <c r="O893" s="1" t="str"/>
      <c r="P893" s="1" t="str"/>
      <c r="Q893" s="1" t="str"/>
      <c r="R893" s="1">
        <f>IF(H893="Sí",1,0)</f>
        <v/>
      </c>
      <c r="S893" s="1">
        <f>IF(L893="En coordinación",1,0)</f>
        <v/>
      </c>
      <c r="T893" s="1">
        <f>IF(L893="Aceptada",1,0)</f>
        <v/>
      </c>
      <c r="U893" s="1">
        <f>IF(OR(L893="Realizada completa",L893="Realizada incompleta"),1,0)</f>
        <v/>
      </c>
      <c r="V893" s="1">
        <f>IF(L893="Sin respuesta",1,0)</f>
        <v/>
      </c>
    </row>
    <row r="894">
      <c r="A894" s="1" t="str"/>
      <c r="B894" s="1" t="str"/>
      <c r="C894" s="1" t="str"/>
      <c r="D894" s="1" t="str"/>
      <c r="E894" s="1" t="str"/>
      <c r="F894" s="1" t="str"/>
      <c r="G894" s="1" t="str"/>
      <c r="H894" s="1" t="str"/>
      <c r="I894" s="2" t="str"/>
      <c r="J894" s="2" t="str"/>
      <c r="K894" s="2" t="str"/>
      <c r="L894" s="1" t="str"/>
      <c r="M894" s="2" t="str"/>
      <c r="N894" s="2" t="str"/>
      <c r="O894" s="1" t="str"/>
      <c r="P894" s="1" t="str"/>
      <c r="Q894" s="1" t="str"/>
      <c r="R894" s="1">
        <f>IF(H894="Sí",1,0)</f>
        <v/>
      </c>
      <c r="S894" s="1">
        <f>IF(L894="En coordinación",1,0)</f>
        <v/>
      </c>
      <c r="T894" s="1">
        <f>IF(L894="Aceptada",1,0)</f>
        <v/>
      </c>
      <c r="U894" s="1">
        <f>IF(OR(L894="Realizada completa",L894="Realizada incompleta"),1,0)</f>
        <v/>
      </c>
      <c r="V894" s="1">
        <f>IF(L894="Sin respuesta",1,0)</f>
        <v/>
      </c>
    </row>
    <row r="895">
      <c r="A895" s="1" t="str"/>
      <c r="B895" s="1" t="str"/>
      <c r="C895" s="1" t="str"/>
      <c r="D895" s="1" t="str"/>
      <c r="E895" s="1" t="str"/>
      <c r="F895" s="1" t="str"/>
      <c r="G895" s="1" t="str"/>
      <c r="H895" s="1" t="str"/>
      <c r="I895" s="2" t="str"/>
      <c r="J895" s="2" t="str"/>
      <c r="K895" s="2" t="str"/>
      <c r="L895" s="1" t="str"/>
      <c r="M895" s="2" t="str"/>
      <c r="N895" s="2" t="str"/>
      <c r="O895" s="1" t="str"/>
      <c r="P895" s="1" t="str"/>
      <c r="Q895" s="1" t="str"/>
      <c r="R895" s="1">
        <f>IF(H895="Sí",1,0)</f>
        <v/>
      </c>
      <c r="S895" s="1">
        <f>IF(L895="En coordinación",1,0)</f>
        <v/>
      </c>
      <c r="T895" s="1">
        <f>IF(L895="Aceptada",1,0)</f>
        <v/>
      </c>
      <c r="U895" s="1">
        <f>IF(OR(L895="Realizada completa",L895="Realizada incompleta"),1,0)</f>
        <v/>
      </c>
      <c r="V895" s="1">
        <f>IF(L895="Sin respuesta",1,0)</f>
        <v/>
      </c>
    </row>
    <row r="896">
      <c r="A896" s="1" t="str"/>
      <c r="B896" s="1" t="str"/>
      <c r="C896" s="1" t="str"/>
      <c r="D896" s="1" t="str"/>
      <c r="E896" s="1" t="str"/>
      <c r="F896" s="1" t="str"/>
      <c r="G896" s="1" t="str"/>
      <c r="H896" s="1" t="str"/>
      <c r="I896" s="2" t="str"/>
      <c r="J896" s="2" t="str"/>
      <c r="K896" s="2" t="str"/>
      <c r="L896" s="1" t="str"/>
      <c r="M896" s="2" t="str"/>
      <c r="N896" s="2" t="str"/>
      <c r="O896" s="1" t="str"/>
      <c r="P896" s="1" t="str"/>
      <c r="Q896" s="1" t="str"/>
      <c r="R896" s="1">
        <f>IF(H896="Sí",1,0)</f>
        <v/>
      </c>
      <c r="S896" s="1">
        <f>IF(L896="En coordinación",1,0)</f>
        <v/>
      </c>
      <c r="T896" s="1">
        <f>IF(L896="Aceptada",1,0)</f>
        <v/>
      </c>
      <c r="U896" s="1">
        <f>IF(OR(L896="Realizada completa",L896="Realizada incompleta"),1,0)</f>
        <v/>
      </c>
      <c r="V896" s="1">
        <f>IF(L896="Sin respuesta",1,0)</f>
        <v/>
      </c>
    </row>
    <row r="897">
      <c r="A897" s="1" t="str"/>
      <c r="B897" s="1" t="str"/>
      <c r="C897" s="1" t="str"/>
      <c r="D897" s="1" t="str"/>
      <c r="E897" s="1" t="str"/>
      <c r="F897" s="1" t="str"/>
      <c r="G897" s="1" t="str"/>
      <c r="H897" s="1" t="str"/>
      <c r="I897" s="2" t="str"/>
      <c r="J897" s="2" t="str"/>
      <c r="K897" s="2" t="str"/>
      <c r="L897" s="1" t="str"/>
      <c r="M897" s="2" t="str"/>
      <c r="N897" s="2" t="str"/>
      <c r="O897" s="1" t="str"/>
      <c r="P897" s="1" t="str"/>
      <c r="Q897" s="1" t="str"/>
      <c r="R897" s="1">
        <f>IF(H897="Sí",1,0)</f>
        <v/>
      </c>
      <c r="S897" s="1">
        <f>IF(L897="En coordinación",1,0)</f>
        <v/>
      </c>
      <c r="T897" s="1">
        <f>IF(L897="Aceptada",1,0)</f>
        <v/>
      </c>
      <c r="U897" s="1">
        <f>IF(OR(L897="Realizada completa",L897="Realizada incompleta"),1,0)</f>
        <v/>
      </c>
      <c r="V897" s="1">
        <f>IF(L897="Sin respuesta",1,0)</f>
        <v/>
      </c>
    </row>
    <row r="898">
      <c r="A898" s="1" t="str"/>
      <c r="B898" s="1" t="str"/>
      <c r="C898" s="1" t="str"/>
      <c r="D898" s="1" t="str"/>
      <c r="E898" s="1" t="str"/>
      <c r="F898" s="1" t="str"/>
      <c r="G898" s="1" t="str"/>
      <c r="H898" s="1" t="str"/>
      <c r="I898" s="2" t="str"/>
      <c r="J898" s="2" t="str"/>
      <c r="K898" s="2" t="str"/>
      <c r="L898" s="1" t="str"/>
      <c r="M898" s="2" t="str"/>
      <c r="N898" s="2" t="str"/>
      <c r="O898" s="1" t="str"/>
      <c r="P898" s="1" t="str"/>
      <c r="Q898" s="1" t="str"/>
      <c r="R898" s="1">
        <f>IF(H898="Sí",1,0)</f>
        <v/>
      </c>
      <c r="S898" s="1">
        <f>IF(L898="En coordinación",1,0)</f>
        <v/>
      </c>
      <c r="T898" s="1">
        <f>IF(L898="Aceptada",1,0)</f>
        <v/>
      </c>
      <c r="U898" s="1">
        <f>IF(OR(L898="Realizada completa",L898="Realizada incompleta"),1,0)</f>
        <v/>
      </c>
      <c r="V898" s="1">
        <f>IF(L898="Sin respuesta",1,0)</f>
        <v/>
      </c>
    </row>
    <row r="899">
      <c r="A899" s="1" t="str"/>
      <c r="B899" s="1" t="str"/>
      <c r="C899" s="1" t="str"/>
      <c r="D899" s="1" t="str"/>
      <c r="E899" s="1" t="str"/>
      <c r="F899" s="1" t="str"/>
      <c r="G899" s="1" t="str"/>
      <c r="H899" s="1" t="str"/>
      <c r="I899" s="2" t="str"/>
      <c r="J899" s="2" t="str"/>
      <c r="K899" s="2" t="str"/>
      <c r="L899" s="1" t="str"/>
      <c r="M899" s="2" t="str"/>
      <c r="N899" s="2" t="str"/>
      <c r="O899" s="1" t="str"/>
      <c r="P899" s="1" t="str"/>
      <c r="Q899" s="1" t="str"/>
      <c r="R899" s="1">
        <f>IF(H899="Sí",1,0)</f>
        <v/>
      </c>
      <c r="S899" s="1">
        <f>IF(L899="En coordinación",1,0)</f>
        <v/>
      </c>
      <c r="T899" s="1">
        <f>IF(L899="Aceptada",1,0)</f>
        <v/>
      </c>
      <c r="U899" s="1">
        <f>IF(OR(L899="Realizada completa",L899="Realizada incompleta"),1,0)</f>
        <v/>
      </c>
      <c r="V899" s="1">
        <f>IF(L899="Sin respuesta",1,0)</f>
        <v/>
      </c>
    </row>
    <row r="900">
      <c r="A900" s="1" t="str"/>
      <c r="B900" s="1" t="str"/>
      <c r="C900" s="1" t="str"/>
      <c r="D900" s="1" t="str"/>
      <c r="E900" s="1" t="str"/>
      <c r="F900" s="1" t="str"/>
      <c r="G900" s="1" t="str"/>
      <c r="H900" s="1" t="str"/>
      <c r="I900" s="2" t="str"/>
      <c r="J900" s="2" t="str"/>
      <c r="K900" s="2" t="str"/>
      <c r="L900" s="1" t="str"/>
      <c r="M900" s="2" t="str"/>
      <c r="N900" s="2" t="str"/>
      <c r="O900" s="1" t="str"/>
      <c r="P900" s="1" t="str"/>
      <c r="Q900" s="1" t="str"/>
      <c r="R900" s="1">
        <f>IF(H900="Sí",1,0)</f>
        <v/>
      </c>
      <c r="S900" s="1">
        <f>IF(L900="En coordinación",1,0)</f>
        <v/>
      </c>
      <c r="T900" s="1">
        <f>IF(L900="Aceptada",1,0)</f>
        <v/>
      </c>
      <c r="U900" s="1">
        <f>IF(OR(L900="Realizada completa",L900="Realizada incompleta"),1,0)</f>
        <v/>
      </c>
      <c r="V900" s="1">
        <f>IF(L900="Sin respuesta",1,0)</f>
        <v/>
      </c>
    </row>
    <row r="901">
      <c r="A901" s="1" t="str"/>
      <c r="B901" s="1" t="str"/>
      <c r="C901" s="1" t="str"/>
      <c r="D901" s="1" t="str"/>
      <c r="E901" s="1" t="str"/>
      <c r="F901" s="1" t="str"/>
      <c r="G901" s="1" t="str"/>
      <c r="H901" s="1" t="str"/>
      <c r="I901" s="2" t="str"/>
      <c r="J901" s="2" t="str"/>
      <c r="K901" s="2" t="str"/>
      <c r="L901" s="1" t="str"/>
      <c r="M901" s="2" t="str"/>
      <c r="N901" s="2" t="str"/>
      <c r="O901" s="1" t="str"/>
      <c r="P901" s="1" t="str"/>
      <c r="Q901" s="1" t="str"/>
      <c r="R901" s="1">
        <f>IF(H901="Sí",1,0)</f>
        <v/>
      </c>
      <c r="S901" s="1">
        <f>IF(L901="En coordinación",1,0)</f>
        <v/>
      </c>
      <c r="T901" s="1">
        <f>IF(L901="Aceptada",1,0)</f>
        <v/>
      </c>
      <c r="U901" s="1">
        <f>IF(OR(L901="Realizada completa",L901="Realizada incompleta"),1,0)</f>
        <v/>
      </c>
      <c r="V901" s="1">
        <f>IF(L901="Sin respuesta",1,0)</f>
        <v/>
      </c>
    </row>
    <row r="902">
      <c r="A902" s="1" t="str"/>
      <c r="B902" s="1" t="str"/>
      <c r="C902" s="1" t="str"/>
      <c r="D902" s="1" t="str"/>
      <c r="E902" s="1" t="str"/>
      <c r="F902" s="1" t="str"/>
      <c r="G902" s="1" t="str"/>
      <c r="H902" s="1" t="str"/>
      <c r="I902" s="2" t="str"/>
      <c r="J902" s="2" t="str"/>
      <c r="K902" s="2" t="str"/>
      <c r="L902" s="1" t="str"/>
      <c r="M902" s="2" t="str"/>
      <c r="N902" s="2" t="str"/>
      <c r="O902" s="1" t="str"/>
      <c r="P902" s="1" t="str"/>
      <c r="Q902" s="1" t="str"/>
      <c r="R902" s="1">
        <f>IF(H902="Sí",1,0)</f>
        <v/>
      </c>
      <c r="S902" s="1">
        <f>IF(L902="En coordinación",1,0)</f>
        <v/>
      </c>
      <c r="T902" s="1">
        <f>IF(L902="Aceptada",1,0)</f>
        <v/>
      </c>
      <c r="U902" s="1">
        <f>IF(OR(L902="Realizada completa",L902="Realizada incompleta"),1,0)</f>
        <v/>
      </c>
      <c r="V902" s="1">
        <f>IF(L902="Sin respuesta",1,0)</f>
        <v/>
      </c>
    </row>
    <row r="903">
      <c r="A903" s="1" t="str"/>
      <c r="B903" s="1" t="str"/>
      <c r="C903" s="1" t="str"/>
      <c r="D903" s="1" t="str"/>
      <c r="E903" s="1" t="str"/>
      <c r="F903" s="1" t="str"/>
      <c r="G903" s="1" t="str"/>
      <c r="H903" s="1" t="str"/>
      <c r="I903" s="2" t="str"/>
      <c r="J903" s="2" t="str"/>
      <c r="K903" s="2" t="str"/>
      <c r="L903" s="1" t="str"/>
      <c r="M903" s="2" t="str"/>
      <c r="N903" s="2" t="str"/>
      <c r="O903" s="1" t="str"/>
      <c r="P903" s="1" t="str"/>
      <c r="Q903" s="1" t="str"/>
      <c r="R903" s="1">
        <f>IF(H903="Sí",1,0)</f>
        <v/>
      </c>
      <c r="S903" s="1">
        <f>IF(L903="En coordinación",1,0)</f>
        <v/>
      </c>
      <c r="T903" s="1">
        <f>IF(L903="Aceptada",1,0)</f>
        <v/>
      </c>
      <c r="U903" s="1">
        <f>IF(OR(L903="Realizada completa",L903="Realizada incompleta"),1,0)</f>
        <v/>
      </c>
      <c r="V903" s="1">
        <f>IF(L903="Sin respuesta",1,0)</f>
        <v/>
      </c>
    </row>
    <row r="904">
      <c r="A904" s="1" t="str"/>
      <c r="B904" s="1" t="str"/>
      <c r="C904" s="1" t="str"/>
      <c r="D904" s="1" t="str"/>
      <c r="E904" s="1" t="str"/>
      <c r="F904" s="1" t="str"/>
      <c r="G904" s="1" t="str"/>
      <c r="H904" s="1" t="str"/>
      <c r="I904" s="2" t="str"/>
      <c r="J904" s="2" t="str"/>
      <c r="K904" s="2" t="str"/>
      <c r="L904" s="1" t="str"/>
      <c r="M904" s="2" t="str"/>
      <c r="N904" s="2" t="str"/>
      <c r="O904" s="1" t="str"/>
      <c r="P904" s="1" t="str"/>
      <c r="Q904" s="1" t="str"/>
      <c r="R904" s="1">
        <f>IF(H904="Sí",1,0)</f>
        <v/>
      </c>
      <c r="S904" s="1">
        <f>IF(L904="En coordinación",1,0)</f>
        <v/>
      </c>
      <c r="T904" s="1">
        <f>IF(L904="Aceptada",1,0)</f>
        <v/>
      </c>
      <c r="U904" s="1">
        <f>IF(OR(L904="Realizada completa",L904="Realizada incompleta"),1,0)</f>
        <v/>
      </c>
      <c r="V904" s="1">
        <f>IF(L904="Sin respuesta",1,0)</f>
        <v/>
      </c>
    </row>
    <row r="905">
      <c r="A905" s="1" t="str"/>
      <c r="B905" s="1" t="str"/>
      <c r="C905" s="1" t="str"/>
      <c r="D905" s="1" t="str"/>
      <c r="E905" s="1" t="str"/>
      <c r="F905" s="1" t="str"/>
      <c r="G905" s="1" t="str"/>
      <c r="H905" s="1" t="str"/>
      <c r="I905" s="2" t="str"/>
      <c r="J905" s="2" t="str"/>
      <c r="K905" s="2" t="str"/>
      <c r="L905" s="1" t="str"/>
      <c r="M905" s="2" t="str"/>
      <c r="N905" s="2" t="str"/>
      <c r="O905" s="1" t="str"/>
      <c r="P905" s="1" t="str"/>
      <c r="Q905" s="1" t="str"/>
      <c r="R905" s="1">
        <f>IF(H905="Sí",1,0)</f>
        <v/>
      </c>
      <c r="S905" s="1">
        <f>IF(L905="En coordinación",1,0)</f>
        <v/>
      </c>
      <c r="T905" s="1">
        <f>IF(L905="Aceptada",1,0)</f>
        <v/>
      </c>
      <c r="U905" s="1">
        <f>IF(OR(L905="Realizada completa",L905="Realizada incompleta"),1,0)</f>
        <v/>
      </c>
      <c r="V905" s="1">
        <f>IF(L905="Sin respuesta",1,0)</f>
        <v/>
      </c>
    </row>
    <row r="906">
      <c r="A906" s="1" t="str"/>
      <c r="B906" s="1" t="str"/>
      <c r="C906" s="1" t="str"/>
      <c r="D906" s="1" t="str"/>
      <c r="E906" s="1" t="str"/>
      <c r="F906" s="1" t="str"/>
      <c r="G906" s="1" t="str"/>
      <c r="H906" s="1" t="str"/>
      <c r="I906" s="2" t="str"/>
      <c r="J906" s="2" t="str"/>
      <c r="K906" s="2" t="str"/>
      <c r="L906" s="1" t="str"/>
      <c r="M906" s="2" t="str"/>
      <c r="N906" s="2" t="str"/>
      <c r="O906" s="1" t="str"/>
      <c r="P906" s="1" t="str"/>
      <c r="Q906" s="1" t="str"/>
      <c r="R906" s="1">
        <f>IF(H906="Sí",1,0)</f>
        <v/>
      </c>
      <c r="S906" s="1">
        <f>IF(L906="En coordinación",1,0)</f>
        <v/>
      </c>
      <c r="T906" s="1">
        <f>IF(L906="Aceptada",1,0)</f>
        <v/>
      </c>
      <c r="U906" s="1">
        <f>IF(OR(L906="Realizada completa",L906="Realizada incompleta"),1,0)</f>
        <v/>
      </c>
      <c r="V906" s="1">
        <f>IF(L906="Sin respuesta",1,0)</f>
        <v/>
      </c>
    </row>
    <row r="907">
      <c r="A907" s="1" t="str"/>
      <c r="B907" s="1" t="str"/>
      <c r="C907" s="1" t="str"/>
      <c r="D907" s="1" t="str"/>
      <c r="E907" s="1" t="str"/>
      <c r="F907" s="1" t="str"/>
      <c r="G907" s="1" t="str"/>
      <c r="H907" s="1" t="str"/>
      <c r="I907" s="2" t="str"/>
      <c r="J907" s="2" t="str"/>
      <c r="K907" s="2" t="str"/>
      <c r="L907" s="1" t="str"/>
      <c r="M907" s="2" t="str"/>
      <c r="N907" s="2" t="str"/>
      <c r="O907" s="1" t="str"/>
      <c r="P907" s="1" t="str"/>
      <c r="Q907" s="1" t="str"/>
      <c r="R907" s="1">
        <f>IF(H907="Sí",1,0)</f>
        <v/>
      </c>
      <c r="S907" s="1">
        <f>IF(L907="En coordinación",1,0)</f>
        <v/>
      </c>
      <c r="T907" s="1">
        <f>IF(L907="Aceptada",1,0)</f>
        <v/>
      </c>
      <c r="U907" s="1">
        <f>IF(OR(L907="Realizada completa",L907="Realizada incompleta"),1,0)</f>
        <v/>
      </c>
      <c r="V907" s="1">
        <f>IF(L907="Sin respuesta",1,0)</f>
        <v/>
      </c>
    </row>
    <row r="908">
      <c r="A908" s="1" t="str"/>
      <c r="B908" s="1" t="str"/>
      <c r="C908" s="1" t="str"/>
      <c r="D908" s="1" t="str"/>
      <c r="E908" s="1" t="str"/>
      <c r="F908" s="1" t="str"/>
      <c r="G908" s="1" t="str"/>
      <c r="H908" s="1" t="str"/>
      <c r="I908" s="2" t="str"/>
      <c r="J908" s="2" t="str"/>
      <c r="K908" s="2" t="str"/>
      <c r="L908" s="1" t="str"/>
      <c r="M908" s="2" t="str"/>
      <c r="N908" s="2" t="str"/>
      <c r="O908" s="1" t="str"/>
      <c r="P908" s="1" t="str"/>
      <c r="Q908" s="1" t="str"/>
      <c r="R908" s="1">
        <f>IF(H908="Sí",1,0)</f>
        <v/>
      </c>
      <c r="S908" s="1">
        <f>IF(L908="En coordinación",1,0)</f>
        <v/>
      </c>
      <c r="T908" s="1">
        <f>IF(L908="Aceptada",1,0)</f>
        <v/>
      </c>
      <c r="U908" s="1">
        <f>IF(OR(L908="Realizada completa",L908="Realizada incompleta"),1,0)</f>
        <v/>
      </c>
      <c r="V908" s="1">
        <f>IF(L908="Sin respuesta",1,0)</f>
        <v/>
      </c>
    </row>
    <row r="909">
      <c r="A909" s="1" t="str"/>
      <c r="B909" s="1" t="str"/>
      <c r="C909" s="1" t="str"/>
      <c r="D909" s="1" t="str"/>
      <c r="E909" s="1" t="str"/>
      <c r="F909" s="1" t="str"/>
      <c r="G909" s="1" t="str"/>
      <c r="H909" s="1" t="str"/>
      <c r="I909" s="2" t="str"/>
      <c r="J909" s="2" t="str"/>
      <c r="K909" s="2" t="str"/>
      <c r="L909" s="1" t="str"/>
      <c r="M909" s="2" t="str"/>
      <c r="N909" s="2" t="str"/>
      <c r="O909" s="1" t="str"/>
      <c r="P909" s="1" t="str"/>
      <c r="Q909" s="1" t="str"/>
      <c r="R909" s="1">
        <f>IF(H909="Sí",1,0)</f>
        <v/>
      </c>
      <c r="S909" s="1">
        <f>IF(L909="En coordinación",1,0)</f>
        <v/>
      </c>
      <c r="T909" s="1">
        <f>IF(L909="Aceptada",1,0)</f>
        <v/>
      </c>
      <c r="U909" s="1">
        <f>IF(OR(L909="Realizada completa",L909="Realizada incompleta"),1,0)</f>
        <v/>
      </c>
      <c r="V909" s="1">
        <f>IF(L909="Sin respuesta",1,0)</f>
        <v/>
      </c>
    </row>
    <row r="910">
      <c r="A910" s="1" t="str"/>
      <c r="B910" s="1" t="str"/>
      <c r="C910" s="1" t="str"/>
      <c r="D910" s="1" t="str"/>
      <c r="E910" s="1" t="str"/>
      <c r="F910" s="1" t="str"/>
      <c r="G910" s="1" t="str"/>
      <c r="H910" s="1" t="str"/>
      <c r="I910" s="2" t="str"/>
      <c r="J910" s="2" t="str"/>
      <c r="K910" s="2" t="str"/>
      <c r="L910" s="1" t="str"/>
      <c r="M910" s="2" t="str"/>
      <c r="N910" s="2" t="str"/>
      <c r="O910" s="1" t="str"/>
      <c r="P910" s="1" t="str"/>
      <c r="Q910" s="1" t="str"/>
      <c r="R910" s="1">
        <f>IF(H910="Sí",1,0)</f>
        <v/>
      </c>
      <c r="S910" s="1">
        <f>IF(L910="En coordinación",1,0)</f>
        <v/>
      </c>
      <c r="T910" s="1">
        <f>IF(L910="Aceptada",1,0)</f>
        <v/>
      </c>
      <c r="U910" s="1">
        <f>IF(OR(L910="Realizada completa",L910="Realizada incompleta"),1,0)</f>
        <v/>
      </c>
      <c r="V910" s="1">
        <f>IF(L910="Sin respuesta",1,0)</f>
        <v/>
      </c>
    </row>
    <row r="911">
      <c r="A911" s="1" t="str"/>
      <c r="B911" s="1" t="str"/>
      <c r="C911" s="1" t="str"/>
      <c r="D911" s="1" t="str"/>
      <c r="E911" s="1" t="str"/>
      <c r="F911" s="1" t="str"/>
      <c r="G911" s="1" t="str"/>
      <c r="H911" s="1" t="str"/>
      <c r="I911" s="2" t="str"/>
      <c r="J911" s="2" t="str"/>
      <c r="K911" s="2" t="str"/>
      <c r="L911" s="1" t="str"/>
      <c r="M911" s="2" t="str"/>
      <c r="N911" s="2" t="str"/>
      <c r="O911" s="1" t="str"/>
      <c r="P911" s="1" t="str"/>
      <c r="Q911" s="1" t="str"/>
      <c r="R911" s="1">
        <f>IF(H911="Sí",1,0)</f>
        <v/>
      </c>
      <c r="S911" s="1">
        <f>IF(L911="En coordinación",1,0)</f>
        <v/>
      </c>
      <c r="T911" s="1">
        <f>IF(L911="Aceptada",1,0)</f>
        <v/>
      </c>
      <c r="U911" s="1">
        <f>IF(OR(L911="Realizada completa",L911="Realizada incompleta"),1,0)</f>
        <v/>
      </c>
      <c r="V911" s="1">
        <f>IF(L911="Sin respuesta",1,0)</f>
        <v/>
      </c>
    </row>
    <row r="912">
      <c r="A912" s="1" t="str"/>
      <c r="B912" s="1" t="str"/>
      <c r="C912" s="1" t="str"/>
      <c r="D912" s="1" t="str"/>
      <c r="E912" s="1" t="str"/>
      <c r="F912" s="1" t="str"/>
      <c r="G912" s="1" t="str"/>
      <c r="H912" s="1" t="str"/>
      <c r="I912" s="2" t="str"/>
      <c r="J912" s="2" t="str"/>
      <c r="K912" s="2" t="str"/>
      <c r="L912" s="1" t="str"/>
      <c r="M912" s="2" t="str"/>
      <c r="N912" s="2" t="str"/>
      <c r="O912" s="1" t="str"/>
      <c r="P912" s="1" t="str"/>
      <c r="Q912" s="1" t="str"/>
      <c r="R912" s="1">
        <f>IF(H912="Sí",1,0)</f>
        <v/>
      </c>
      <c r="S912" s="1">
        <f>IF(L912="En coordinación",1,0)</f>
        <v/>
      </c>
      <c r="T912" s="1">
        <f>IF(L912="Aceptada",1,0)</f>
        <v/>
      </c>
      <c r="U912" s="1">
        <f>IF(OR(L912="Realizada completa",L912="Realizada incompleta"),1,0)</f>
        <v/>
      </c>
      <c r="V912" s="1">
        <f>IF(L912="Sin respuesta",1,0)</f>
        <v/>
      </c>
    </row>
    <row r="913">
      <c r="A913" s="1" t="str"/>
      <c r="B913" s="1" t="str"/>
      <c r="C913" s="1" t="str"/>
      <c r="D913" s="1" t="str"/>
      <c r="E913" s="1" t="str"/>
      <c r="F913" s="1" t="str"/>
      <c r="G913" s="1" t="str"/>
      <c r="H913" s="1" t="str"/>
      <c r="I913" s="2" t="str"/>
      <c r="J913" s="2" t="str"/>
      <c r="K913" s="2" t="str"/>
      <c r="L913" s="1" t="str"/>
      <c r="M913" s="2" t="str"/>
      <c r="N913" s="2" t="str"/>
      <c r="O913" s="1" t="str"/>
      <c r="P913" s="1" t="str"/>
      <c r="Q913" s="1" t="str"/>
      <c r="R913" s="1">
        <f>IF(H913="Sí",1,0)</f>
        <v/>
      </c>
      <c r="S913" s="1">
        <f>IF(L913="En coordinación",1,0)</f>
        <v/>
      </c>
      <c r="T913" s="1">
        <f>IF(L913="Aceptada",1,0)</f>
        <v/>
      </c>
      <c r="U913" s="1">
        <f>IF(OR(L913="Realizada completa",L913="Realizada incompleta"),1,0)</f>
        <v/>
      </c>
      <c r="V913" s="1">
        <f>IF(L913="Sin respuesta",1,0)</f>
        <v/>
      </c>
    </row>
    <row r="914">
      <c r="A914" s="1" t="str"/>
      <c r="B914" s="1" t="str"/>
      <c r="C914" s="1" t="str"/>
      <c r="D914" s="1" t="str"/>
      <c r="E914" s="1" t="str"/>
      <c r="F914" s="1" t="str"/>
      <c r="G914" s="1" t="str"/>
      <c r="H914" s="1" t="str"/>
      <c r="I914" s="2" t="str"/>
      <c r="J914" s="2" t="str"/>
      <c r="K914" s="2" t="str"/>
      <c r="L914" s="1" t="str"/>
      <c r="M914" s="2" t="str"/>
      <c r="N914" s="2" t="str"/>
      <c r="O914" s="1" t="str"/>
      <c r="P914" s="1" t="str"/>
      <c r="Q914" s="1" t="str"/>
      <c r="R914" s="1">
        <f>IF(H914="Sí",1,0)</f>
        <v/>
      </c>
      <c r="S914" s="1">
        <f>IF(L914="En coordinación",1,0)</f>
        <v/>
      </c>
      <c r="T914" s="1">
        <f>IF(L914="Aceptada",1,0)</f>
        <v/>
      </c>
      <c r="U914" s="1">
        <f>IF(OR(L914="Realizada completa",L914="Realizada incompleta"),1,0)</f>
        <v/>
      </c>
      <c r="V914" s="1">
        <f>IF(L914="Sin respuesta",1,0)</f>
        <v/>
      </c>
    </row>
    <row r="915">
      <c r="A915" s="1" t="str"/>
      <c r="B915" s="1" t="str"/>
      <c r="C915" s="1" t="str"/>
      <c r="D915" s="1" t="str"/>
      <c r="E915" s="1" t="str"/>
      <c r="F915" s="1" t="str"/>
      <c r="G915" s="1" t="str"/>
      <c r="H915" s="1" t="str"/>
      <c r="I915" s="2" t="str"/>
      <c r="J915" s="2" t="str"/>
      <c r="K915" s="2" t="str"/>
      <c r="L915" s="1" t="str"/>
      <c r="M915" s="2" t="str"/>
      <c r="N915" s="2" t="str"/>
      <c r="O915" s="1" t="str"/>
      <c r="P915" s="1" t="str"/>
      <c r="Q915" s="1" t="str"/>
      <c r="R915" s="1">
        <f>IF(H915="Sí",1,0)</f>
        <v/>
      </c>
      <c r="S915" s="1">
        <f>IF(L915="En coordinación",1,0)</f>
        <v/>
      </c>
      <c r="T915" s="1">
        <f>IF(L915="Aceptada",1,0)</f>
        <v/>
      </c>
      <c r="U915" s="1">
        <f>IF(OR(L915="Realizada completa",L915="Realizada incompleta"),1,0)</f>
        <v/>
      </c>
      <c r="V915" s="1">
        <f>IF(L915="Sin respuesta",1,0)</f>
        <v/>
      </c>
    </row>
    <row r="916">
      <c r="A916" s="1" t="str"/>
      <c r="B916" s="1" t="str"/>
      <c r="C916" s="1" t="str"/>
      <c r="D916" s="1" t="str"/>
      <c r="E916" s="1" t="str"/>
      <c r="F916" s="1" t="str"/>
      <c r="G916" s="1" t="str"/>
      <c r="H916" s="1" t="str"/>
      <c r="I916" s="2" t="str"/>
      <c r="J916" s="2" t="str"/>
      <c r="K916" s="2" t="str"/>
      <c r="L916" s="1" t="str"/>
      <c r="M916" s="2" t="str"/>
      <c r="N916" s="2" t="str"/>
      <c r="O916" s="1" t="str"/>
      <c r="P916" s="1" t="str"/>
      <c r="Q916" s="1" t="str"/>
      <c r="R916" s="1">
        <f>IF(H916="Sí",1,0)</f>
        <v/>
      </c>
      <c r="S916" s="1">
        <f>IF(L916="En coordinación",1,0)</f>
        <v/>
      </c>
      <c r="T916" s="1">
        <f>IF(L916="Aceptada",1,0)</f>
        <v/>
      </c>
      <c r="U916" s="1">
        <f>IF(OR(L916="Realizada completa",L916="Realizada incompleta"),1,0)</f>
        <v/>
      </c>
      <c r="V916" s="1">
        <f>IF(L916="Sin respuesta",1,0)</f>
        <v/>
      </c>
    </row>
    <row r="917">
      <c r="A917" s="1" t="str"/>
      <c r="B917" s="1" t="str"/>
      <c r="C917" s="1" t="str"/>
      <c r="D917" s="1" t="str"/>
      <c r="E917" s="1" t="str"/>
      <c r="F917" s="1" t="str"/>
      <c r="G917" s="1" t="str"/>
      <c r="H917" s="1" t="str"/>
      <c r="I917" s="2" t="str"/>
      <c r="J917" s="2" t="str"/>
      <c r="K917" s="2" t="str"/>
      <c r="L917" s="1" t="str"/>
      <c r="M917" s="2" t="str"/>
      <c r="N917" s="2" t="str"/>
      <c r="O917" s="1" t="str"/>
      <c r="P917" s="1" t="str"/>
      <c r="Q917" s="1" t="str"/>
      <c r="R917" s="1">
        <f>IF(H917="Sí",1,0)</f>
        <v/>
      </c>
      <c r="S917" s="1">
        <f>IF(L917="En coordinación",1,0)</f>
        <v/>
      </c>
      <c r="T917" s="1">
        <f>IF(L917="Aceptada",1,0)</f>
        <v/>
      </c>
      <c r="U917" s="1">
        <f>IF(OR(L917="Realizada completa",L917="Realizada incompleta"),1,0)</f>
        <v/>
      </c>
      <c r="V917" s="1">
        <f>IF(L917="Sin respuesta",1,0)</f>
        <v/>
      </c>
    </row>
    <row r="918">
      <c r="A918" s="1" t="str"/>
      <c r="B918" s="1" t="str"/>
      <c r="C918" s="1" t="str"/>
      <c r="D918" s="1" t="str"/>
      <c r="E918" s="1" t="str"/>
      <c r="F918" s="1" t="str"/>
      <c r="G918" s="1" t="str"/>
      <c r="H918" s="1" t="str"/>
      <c r="I918" s="2" t="str"/>
      <c r="J918" s="2" t="str"/>
      <c r="K918" s="2" t="str"/>
      <c r="L918" s="1" t="str"/>
      <c r="M918" s="2" t="str"/>
      <c r="N918" s="2" t="str"/>
      <c r="O918" s="1" t="str"/>
      <c r="P918" s="1" t="str"/>
      <c r="Q918" s="1" t="str"/>
      <c r="R918" s="1">
        <f>IF(H918="Sí",1,0)</f>
        <v/>
      </c>
      <c r="S918" s="1">
        <f>IF(L918="En coordinación",1,0)</f>
        <v/>
      </c>
      <c r="T918" s="1">
        <f>IF(L918="Aceptada",1,0)</f>
        <v/>
      </c>
      <c r="U918" s="1">
        <f>IF(OR(L918="Realizada completa",L918="Realizada incompleta"),1,0)</f>
        <v/>
      </c>
      <c r="V918" s="1">
        <f>IF(L918="Sin respuesta",1,0)</f>
        <v/>
      </c>
    </row>
    <row r="919">
      <c r="A919" s="1" t="str"/>
      <c r="B919" s="1" t="str"/>
      <c r="C919" s="1" t="str"/>
      <c r="D919" s="1" t="str"/>
      <c r="E919" s="1" t="str"/>
      <c r="F919" s="1" t="str"/>
      <c r="G919" s="1" t="str"/>
      <c r="H919" s="1" t="str"/>
      <c r="I919" s="2" t="str"/>
      <c r="J919" s="2" t="str"/>
      <c r="K919" s="2" t="str"/>
      <c r="L919" s="1" t="str"/>
      <c r="M919" s="2" t="str"/>
      <c r="N919" s="2" t="str"/>
      <c r="O919" s="1" t="str"/>
      <c r="P919" s="1" t="str"/>
      <c r="Q919" s="1" t="str"/>
      <c r="R919" s="1">
        <f>IF(H919="Sí",1,0)</f>
        <v/>
      </c>
      <c r="S919" s="1">
        <f>IF(L919="En coordinación",1,0)</f>
        <v/>
      </c>
      <c r="T919" s="1">
        <f>IF(L919="Aceptada",1,0)</f>
        <v/>
      </c>
      <c r="U919" s="1">
        <f>IF(OR(L919="Realizada completa",L919="Realizada incompleta"),1,0)</f>
        <v/>
      </c>
      <c r="V919" s="1">
        <f>IF(L919="Sin respuesta",1,0)</f>
        <v/>
      </c>
    </row>
    <row r="920">
      <c r="A920" s="1" t="str"/>
      <c r="B920" s="1" t="str"/>
      <c r="C920" s="1" t="str"/>
      <c r="D920" s="1" t="str"/>
      <c r="E920" s="1" t="str"/>
      <c r="F920" s="1" t="str"/>
      <c r="G920" s="1" t="str"/>
      <c r="H920" s="1" t="str"/>
      <c r="I920" s="2" t="str"/>
      <c r="J920" s="2" t="str"/>
      <c r="K920" s="2" t="str"/>
      <c r="L920" s="1" t="str"/>
      <c r="M920" s="2" t="str"/>
      <c r="N920" s="2" t="str"/>
      <c r="O920" s="1" t="str"/>
      <c r="P920" s="1" t="str"/>
      <c r="Q920" s="1" t="str"/>
      <c r="R920" s="1">
        <f>IF(H920="Sí",1,0)</f>
        <v/>
      </c>
      <c r="S920" s="1">
        <f>IF(L920="En coordinación",1,0)</f>
        <v/>
      </c>
      <c r="T920" s="1">
        <f>IF(L920="Aceptada",1,0)</f>
        <v/>
      </c>
      <c r="U920" s="1">
        <f>IF(OR(L920="Realizada completa",L920="Realizada incompleta"),1,0)</f>
        <v/>
      </c>
      <c r="V920" s="1">
        <f>IF(L920="Sin respuesta",1,0)</f>
        <v/>
      </c>
    </row>
    <row r="921">
      <c r="A921" s="1" t="str"/>
      <c r="B921" s="1" t="str"/>
      <c r="C921" s="1" t="str"/>
      <c r="D921" s="1" t="str"/>
      <c r="E921" s="1" t="str"/>
      <c r="F921" s="1" t="str"/>
      <c r="G921" s="1" t="str"/>
      <c r="H921" s="1" t="str"/>
      <c r="I921" s="2" t="str"/>
      <c r="J921" s="2" t="str"/>
      <c r="K921" s="2" t="str"/>
      <c r="L921" s="1" t="str"/>
      <c r="M921" s="2" t="str"/>
      <c r="N921" s="2" t="str"/>
      <c r="O921" s="1" t="str"/>
      <c r="P921" s="1" t="str"/>
      <c r="Q921" s="1" t="str"/>
      <c r="R921" s="1">
        <f>IF(H921="Sí",1,0)</f>
        <v/>
      </c>
      <c r="S921" s="1">
        <f>IF(L921="En coordinación",1,0)</f>
        <v/>
      </c>
      <c r="T921" s="1">
        <f>IF(L921="Aceptada",1,0)</f>
        <v/>
      </c>
      <c r="U921" s="1">
        <f>IF(OR(L921="Realizada completa",L921="Realizada incompleta"),1,0)</f>
        <v/>
      </c>
      <c r="V921" s="1">
        <f>IF(L921="Sin respuesta",1,0)</f>
        <v/>
      </c>
    </row>
    <row r="922">
      <c r="A922" s="1" t="str"/>
      <c r="B922" s="1" t="str"/>
      <c r="C922" s="1" t="str"/>
      <c r="D922" s="1" t="str"/>
      <c r="E922" s="1" t="str"/>
      <c r="F922" s="1" t="str"/>
      <c r="G922" s="1" t="str"/>
      <c r="H922" s="1" t="str"/>
      <c r="I922" s="2" t="str"/>
      <c r="J922" s="2" t="str"/>
      <c r="K922" s="2" t="str"/>
      <c r="L922" s="1" t="str"/>
      <c r="M922" s="2" t="str"/>
      <c r="N922" s="2" t="str"/>
      <c r="O922" s="1" t="str"/>
      <c r="P922" s="1" t="str"/>
      <c r="Q922" s="1" t="str"/>
      <c r="R922" s="1">
        <f>IF(H922="Sí",1,0)</f>
        <v/>
      </c>
      <c r="S922" s="1">
        <f>IF(L922="En coordinación",1,0)</f>
        <v/>
      </c>
      <c r="T922" s="1">
        <f>IF(L922="Aceptada",1,0)</f>
        <v/>
      </c>
      <c r="U922" s="1">
        <f>IF(OR(L922="Realizada completa",L922="Realizada incompleta"),1,0)</f>
        <v/>
      </c>
      <c r="V922" s="1">
        <f>IF(L922="Sin respuesta",1,0)</f>
        <v/>
      </c>
    </row>
    <row r="923">
      <c r="A923" s="1" t="str"/>
      <c r="B923" s="1" t="str"/>
      <c r="C923" s="1" t="str"/>
      <c r="D923" s="1" t="str"/>
      <c r="E923" s="1" t="str"/>
      <c r="F923" s="1" t="str"/>
      <c r="G923" s="1" t="str"/>
      <c r="H923" s="1" t="str"/>
      <c r="I923" s="2" t="str"/>
      <c r="J923" s="2" t="str"/>
      <c r="K923" s="2" t="str"/>
      <c r="L923" s="1" t="str"/>
      <c r="M923" s="2" t="str"/>
      <c r="N923" s="2" t="str"/>
      <c r="O923" s="1" t="str"/>
      <c r="P923" s="1" t="str"/>
      <c r="Q923" s="1" t="str"/>
      <c r="R923" s="1">
        <f>IF(H923="Sí",1,0)</f>
        <v/>
      </c>
      <c r="S923" s="1">
        <f>IF(L923="En coordinación",1,0)</f>
        <v/>
      </c>
      <c r="T923" s="1">
        <f>IF(L923="Aceptada",1,0)</f>
        <v/>
      </c>
      <c r="U923" s="1">
        <f>IF(OR(L923="Realizada completa",L923="Realizada incompleta"),1,0)</f>
        <v/>
      </c>
      <c r="V923" s="1">
        <f>IF(L923="Sin respuesta",1,0)</f>
        <v/>
      </c>
    </row>
    <row r="924">
      <c r="A924" s="1" t="str"/>
      <c r="B924" s="1" t="str"/>
      <c r="C924" s="1" t="str"/>
      <c r="D924" s="1" t="str"/>
      <c r="E924" s="1" t="str"/>
      <c r="F924" s="1" t="str"/>
      <c r="G924" s="1" t="str"/>
      <c r="H924" s="1" t="str"/>
      <c r="I924" s="2" t="str"/>
      <c r="J924" s="2" t="str"/>
      <c r="K924" s="2" t="str"/>
      <c r="L924" s="1" t="str"/>
      <c r="M924" s="2" t="str"/>
      <c r="N924" s="2" t="str"/>
      <c r="O924" s="1" t="str"/>
      <c r="P924" s="1" t="str"/>
      <c r="Q924" s="1" t="str"/>
      <c r="R924" s="1">
        <f>IF(H924="Sí",1,0)</f>
        <v/>
      </c>
      <c r="S924" s="1">
        <f>IF(L924="En coordinación",1,0)</f>
        <v/>
      </c>
      <c r="T924" s="1">
        <f>IF(L924="Aceptada",1,0)</f>
        <v/>
      </c>
      <c r="U924" s="1">
        <f>IF(OR(L924="Realizada completa",L924="Realizada incompleta"),1,0)</f>
        <v/>
      </c>
      <c r="V924" s="1">
        <f>IF(L924="Sin respuesta",1,0)</f>
        <v/>
      </c>
    </row>
    <row r="925">
      <c r="A925" s="1" t="str"/>
      <c r="B925" s="1" t="str"/>
      <c r="C925" s="1" t="str"/>
      <c r="D925" s="1" t="str"/>
      <c r="E925" s="1" t="str"/>
      <c r="F925" s="1" t="str"/>
      <c r="G925" s="1" t="str"/>
      <c r="H925" s="1" t="str"/>
      <c r="I925" s="2" t="str"/>
      <c r="J925" s="2" t="str"/>
      <c r="K925" s="2" t="str"/>
      <c r="L925" s="1" t="str"/>
      <c r="M925" s="2" t="str"/>
      <c r="N925" s="2" t="str"/>
      <c r="O925" s="1" t="str"/>
      <c r="P925" s="1" t="str"/>
      <c r="Q925" s="1" t="str"/>
      <c r="R925" s="1">
        <f>IF(H925="Sí",1,0)</f>
        <v/>
      </c>
      <c r="S925" s="1">
        <f>IF(L925="En coordinación",1,0)</f>
        <v/>
      </c>
      <c r="T925" s="1">
        <f>IF(L925="Aceptada",1,0)</f>
        <v/>
      </c>
      <c r="U925" s="1">
        <f>IF(OR(L925="Realizada completa",L925="Realizada incompleta"),1,0)</f>
        <v/>
      </c>
      <c r="V925" s="1">
        <f>IF(L925="Sin respuesta",1,0)</f>
        <v/>
      </c>
    </row>
    <row r="926">
      <c r="A926" s="1" t="str"/>
      <c r="B926" s="1" t="str"/>
      <c r="C926" s="1" t="str"/>
      <c r="D926" s="1" t="str"/>
      <c r="E926" s="1" t="str"/>
      <c r="F926" s="1" t="str"/>
      <c r="G926" s="1" t="str"/>
      <c r="H926" s="1" t="str"/>
      <c r="I926" s="2" t="str"/>
      <c r="J926" s="2" t="str"/>
      <c r="K926" s="2" t="str"/>
      <c r="L926" s="1" t="str"/>
      <c r="M926" s="2" t="str"/>
      <c r="N926" s="2" t="str"/>
      <c r="O926" s="1" t="str"/>
      <c r="P926" s="1" t="str"/>
      <c r="Q926" s="1" t="str"/>
      <c r="R926" s="1">
        <f>IF(H926="Sí",1,0)</f>
        <v/>
      </c>
      <c r="S926" s="1">
        <f>IF(L926="En coordinación",1,0)</f>
        <v/>
      </c>
      <c r="T926" s="1">
        <f>IF(L926="Aceptada",1,0)</f>
        <v/>
      </c>
      <c r="U926" s="1">
        <f>IF(OR(L926="Realizada completa",L926="Realizada incompleta"),1,0)</f>
        <v/>
      </c>
      <c r="V926" s="1">
        <f>IF(L926="Sin respuesta",1,0)</f>
        <v/>
      </c>
    </row>
    <row r="927">
      <c r="A927" s="1" t="str"/>
      <c r="B927" s="1" t="str"/>
      <c r="C927" s="1" t="str"/>
      <c r="D927" s="1" t="str"/>
      <c r="E927" s="1" t="str"/>
      <c r="F927" s="1" t="str"/>
      <c r="G927" s="1" t="str"/>
      <c r="H927" s="1" t="str"/>
      <c r="I927" s="2" t="str"/>
      <c r="J927" s="2" t="str"/>
      <c r="K927" s="2" t="str"/>
      <c r="L927" s="1" t="str"/>
      <c r="M927" s="2" t="str"/>
      <c r="N927" s="2" t="str"/>
      <c r="O927" s="1" t="str"/>
      <c r="P927" s="1" t="str"/>
      <c r="Q927" s="1" t="str"/>
      <c r="R927" s="1">
        <f>IF(H927="Sí",1,0)</f>
        <v/>
      </c>
      <c r="S927" s="1">
        <f>IF(L927="En coordinación",1,0)</f>
        <v/>
      </c>
      <c r="T927" s="1">
        <f>IF(L927="Aceptada",1,0)</f>
        <v/>
      </c>
      <c r="U927" s="1">
        <f>IF(OR(L927="Realizada completa",L927="Realizada incompleta"),1,0)</f>
        <v/>
      </c>
      <c r="V927" s="1">
        <f>IF(L927="Sin respuesta",1,0)</f>
        <v/>
      </c>
    </row>
    <row r="928">
      <c r="A928" s="1" t="str"/>
      <c r="B928" s="1" t="str"/>
      <c r="C928" s="1" t="str"/>
      <c r="D928" s="1" t="str"/>
      <c r="E928" s="1" t="str"/>
      <c r="F928" s="1" t="str"/>
      <c r="G928" s="1" t="str"/>
      <c r="H928" s="1" t="str"/>
      <c r="I928" s="2" t="str"/>
      <c r="J928" s="2" t="str"/>
      <c r="K928" s="2" t="str"/>
      <c r="L928" s="1" t="str"/>
      <c r="M928" s="2" t="str"/>
      <c r="N928" s="2" t="str"/>
      <c r="O928" s="1" t="str"/>
      <c r="P928" s="1" t="str"/>
      <c r="Q928" s="1" t="str"/>
      <c r="R928" s="1">
        <f>IF(H928="Sí",1,0)</f>
        <v/>
      </c>
      <c r="S928" s="1">
        <f>IF(L928="En coordinación",1,0)</f>
        <v/>
      </c>
      <c r="T928" s="1">
        <f>IF(L928="Aceptada",1,0)</f>
        <v/>
      </c>
      <c r="U928" s="1">
        <f>IF(OR(L928="Realizada completa",L928="Realizada incompleta"),1,0)</f>
        <v/>
      </c>
      <c r="V928" s="1">
        <f>IF(L928="Sin respuesta",1,0)</f>
        <v/>
      </c>
    </row>
    <row r="929">
      <c r="A929" s="1" t="str"/>
      <c r="B929" s="1" t="str"/>
      <c r="C929" s="1" t="str"/>
      <c r="D929" s="1" t="str"/>
      <c r="E929" s="1" t="str"/>
      <c r="F929" s="1" t="str"/>
      <c r="G929" s="1" t="str"/>
      <c r="H929" s="1" t="str"/>
      <c r="I929" s="2" t="str"/>
      <c r="J929" s="2" t="str"/>
      <c r="K929" s="2" t="str"/>
      <c r="L929" s="1" t="str"/>
      <c r="M929" s="2" t="str"/>
      <c r="N929" s="2" t="str"/>
      <c r="O929" s="1" t="str"/>
      <c r="P929" s="1" t="str"/>
      <c r="Q929" s="1" t="str"/>
      <c r="R929" s="1">
        <f>IF(H929="Sí",1,0)</f>
        <v/>
      </c>
      <c r="S929" s="1">
        <f>IF(L929="En coordinación",1,0)</f>
        <v/>
      </c>
      <c r="T929" s="1">
        <f>IF(L929="Aceptada",1,0)</f>
        <v/>
      </c>
      <c r="U929" s="1">
        <f>IF(OR(L929="Realizada completa",L929="Realizada incompleta"),1,0)</f>
        <v/>
      </c>
      <c r="V929" s="1">
        <f>IF(L929="Sin respuesta",1,0)</f>
        <v/>
      </c>
    </row>
    <row r="930">
      <c r="A930" s="1" t="str"/>
      <c r="B930" s="1" t="str"/>
      <c r="C930" s="1" t="str"/>
      <c r="D930" s="1" t="str"/>
      <c r="E930" s="1" t="str"/>
      <c r="F930" s="1" t="str"/>
      <c r="G930" s="1" t="str"/>
      <c r="H930" s="1" t="str"/>
      <c r="I930" s="2" t="str"/>
      <c r="J930" s="2" t="str"/>
      <c r="K930" s="2" t="str"/>
      <c r="L930" s="1" t="str"/>
      <c r="M930" s="2" t="str"/>
      <c r="N930" s="2" t="str"/>
      <c r="O930" s="1" t="str"/>
      <c r="P930" s="1" t="str"/>
      <c r="Q930" s="1" t="str"/>
      <c r="R930" s="1">
        <f>IF(H930="Sí",1,0)</f>
        <v/>
      </c>
      <c r="S930" s="1">
        <f>IF(L930="En coordinación",1,0)</f>
        <v/>
      </c>
      <c r="T930" s="1">
        <f>IF(L930="Aceptada",1,0)</f>
        <v/>
      </c>
      <c r="U930" s="1">
        <f>IF(OR(L930="Realizada completa",L930="Realizada incompleta"),1,0)</f>
        <v/>
      </c>
      <c r="V930" s="1">
        <f>IF(L930="Sin respuesta",1,0)</f>
        <v/>
      </c>
    </row>
    <row r="931">
      <c r="A931" s="1" t="str"/>
      <c r="B931" s="1" t="str"/>
      <c r="C931" s="1" t="str"/>
      <c r="D931" s="1" t="str"/>
      <c r="E931" s="1" t="str"/>
      <c r="F931" s="1" t="str"/>
      <c r="G931" s="1" t="str"/>
      <c r="H931" s="1" t="str"/>
      <c r="I931" s="2" t="str"/>
      <c r="J931" s="2" t="str"/>
      <c r="K931" s="2" t="str"/>
      <c r="L931" s="1" t="str"/>
      <c r="M931" s="2" t="str"/>
      <c r="N931" s="2" t="str"/>
      <c r="O931" s="1" t="str"/>
      <c r="P931" s="1" t="str"/>
      <c r="Q931" s="1" t="str"/>
      <c r="R931" s="1">
        <f>IF(H931="Sí",1,0)</f>
        <v/>
      </c>
      <c r="S931" s="1">
        <f>IF(L931="En coordinación",1,0)</f>
        <v/>
      </c>
      <c r="T931" s="1">
        <f>IF(L931="Aceptada",1,0)</f>
        <v/>
      </c>
      <c r="U931" s="1">
        <f>IF(OR(L931="Realizada completa",L931="Realizada incompleta"),1,0)</f>
        <v/>
      </c>
      <c r="V931" s="1">
        <f>IF(L931="Sin respuesta",1,0)</f>
        <v/>
      </c>
    </row>
    <row r="932">
      <c r="A932" s="1" t="str"/>
      <c r="B932" s="1" t="str"/>
      <c r="C932" s="1" t="str"/>
      <c r="D932" s="1" t="str"/>
      <c r="E932" s="1" t="str"/>
      <c r="F932" s="1" t="str"/>
      <c r="G932" s="1" t="str"/>
      <c r="H932" s="1" t="str"/>
      <c r="I932" s="2" t="str"/>
      <c r="J932" s="2" t="str"/>
      <c r="K932" s="2" t="str"/>
      <c r="L932" s="1" t="str"/>
      <c r="M932" s="2" t="str"/>
      <c r="N932" s="2" t="str"/>
      <c r="O932" s="1" t="str"/>
      <c r="P932" s="1" t="str"/>
      <c r="Q932" s="1" t="str"/>
      <c r="R932" s="1">
        <f>IF(H932="Sí",1,0)</f>
        <v/>
      </c>
      <c r="S932" s="1">
        <f>IF(L932="En coordinación",1,0)</f>
        <v/>
      </c>
      <c r="T932" s="1">
        <f>IF(L932="Aceptada",1,0)</f>
        <v/>
      </c>
      <c r="U932" s="1">
        <f>IF(OR(L932="Realizada completa",L932="Realizada incompleta"),1,0)</f>
        <v/>
      </c>
      <c r="V932" s="1">
        <f>IF(L932="Sin respuesta",1,0)</f>
        <v/>
      </c>
    </row>
    <row r="933">
      <c r="A933" s="1" t="str"/>
      <c r="B933" s="1" t="str"/>
      <c r="C933" s="1" t="str"/>
      <c r="D933" s="1" t="str"/>
      <c r="E933" s="1" t="str"/>
      <c r="F933" s="1" t="str"/>
      <c r="G933" s="1" t="str"/>
      <c r="H933" s="1" t="str"/>
      <c r="I933" s="2" t="str"/>
      <c r="J933" s="2" t="str"/>
      <c r="K933" s="2" t="str"/>
      <c r="L933" s="1" t="str"/>
      <c r="M933" s="2" t="str"/>
      <c r="N933" s="2" t="str"/>
      <c r="O933" s="1" t="str"/>
      <c r="P933" s="1" t="str"/>
      <c r="Q933" s="1" t="str"/>
      <c r="R933" s="1">
        <f>IF(H933="Sí",1,0)</f>
        <v/>
      </c>
      <c r="S933" s="1">
        <f>IF(L933="En coordinación",1,0)</f>
        <v/>
      </c>
      <c r="T933" s="1">
        <f>IF(L933="Aceptada",1,0)</f>
        <v/>
      </c>
      <c r="U933" s="1">
        <f>IF(OR(L933="Realizada completa",L933="Realizada incompleta"),1,0)</f>
        <v/>
      </c>
      <c r="V933" s="1">
        <f>IF(L933="Sin respuesta",1,0)</f>
        <v/>
      </c>
    </row>
    <row r="934">
      <c r="A934" s="1" t="str"/>
      <c r="B934" s="1" t="str"/>
      <c r="C934" s="1" t="str"/>
      <c r="D934" s="1" t="str"/>
      <c r="E934" s="1" t="str"/>
      <c r="F934" s="1" t="str"/>
      <c r="G934" s="1" t="str"/>
      <c r="H934" s="1" t="str"/>
      <c r="I934" s="2" t="str"/>
      <c r="J934" s="2" t="str"/>
      <c r="K934" s="2" t="str"/>
      <c r="L934" s="1" t="str"/>
      <c r="M934" s="2" t="str"/>
      <c r="N934" s="2" t="str"/>
      <c r="O934" s="1" t="str"/>
      <c r="P934" s="1" t="str"/>
      <c r="Q934" s="1" t="str"/>
      <c r="R934" s="1">
        <f>IF(H934="Sí",1,0)</f>
        <v/>
      </c>
      <c r="S934" s="1">
        <f>IF(L934="En coordinación",1,0)</f>
        <v/>
      </c>
      <c r="T934" s="1">
        <f>IF(L934="Aceptada",1,0)</f>
        <v/>
      </c>
      <c r="U934" s="1">
        <f>IF(OR(L934="Realizada completa",L934="Realizada incompleta"),1,0)</f>
        <v/>
      </c>
      <c r="V934" s="1">
        <f>IF(L934="Sin respuesta",1,0)</f>
        <v/>
      </c>
    </row>
    <row r="935">
      <c r="A935" s="1" t="str"/>
      <c r="B935" s="1" t="str"/>
      <c r="C935" s="1" t="str"/>
      <c r="D935" s="1" t="str"/>
      <c r="E935" s="1" t="str"/>
      <c r="F935" s="1" t="str"/>
      <c r="G935" s="1" t="str"/>
      <c r="H935" s="1" t="str"/>
      <c r="I935" s="2" t="str"/>
      <c r="J935" s="2" t="str"/>
      <c r="K935" s="2" t="str"/>
      <c r="L935" s="1" t="str"/>
      <c r="M935" s="2" t="str"/>
      <c r="N935" s="2" t="str"/>
      <c r="O935" s="1" t="str"/>
      <c r="P935" s="1" t="str"/>
      <c r="Q935" s="1" t="str"/>
      <c r="R935" s="1">
        <f>IF(H935="Sí",1,0)</f>
        <v/>
      </c>
      <c r="S935" s="1">
        <f>IF(L935="En coordinación",1,0)</f>
        <v/>
      </c>
      <c r="T935" s="1">
        <f>IF(L935="Aceptada",1,0)</f>
        <v/>
      </c>
      <c r="U935" s="1">
        <f>IF(OR(L935="Realizada completa",L935="Realizada incompleta"),1,0)</f>
        <v/>
      </c>
      <c r="V935" s="1">
        <f>IF(L935="Sin respuesta",1,0)</f>
        <v/>
      </c>
    </row>
    <row r="936">
      <c r="A936" s="1" t="str"/>
      <c r="B936" s="1" t="str"/>
      <c r="C936" s="1" t="str"/>
      <c r="D936" s="1" t="str"/>
      <c r="E936" s="1" t="str"/>
      <c r="F936" s="1" t="str"/>
      <c r="G936" s="1" t="str"/>
      <c r="H936" s="1" t="str"/>
      <c r="I936" s="2" t="str"/>
      <c r="J936" s="2" t="str"/>
      <c r="K936" s="2" t="str"/>
      <c r="L936" s="1" t="str"/>
      <c r="M936" s="2" t="str"/>
      <c r="N936" s="2" t="str"/>
      <c r="O936" s="1" t="str"/>
      <c r="P936" s="1" t="str"/>
      <c r="Q936" s="1" t="str"/>
      <c r="R936" s="1">
        <f>IF(H936="Sí",1,0)</f>
        <v/>
      </c>
      <c r="S936" s="1">
        <f>IF(L936="En coordinación",1,0)</f>
        <v/>
      </c>
      <c r="T936" s="1">
        <f>IF(L936="Aceptada",1,0)</f>
        <v/>
      </c>
      <c r="U936" s="1">
        <f>IF(OR(L936="Realizada completa",L936="Realizada incompleta"),1,0)</f>
        <v/>
      </c>
      <c r="V936" s="1">
        <f>IF(L936="Sin respuesta",1,0)</f>
        <v/>
      </c>
    </row>
    <row r="937">
      <c r="A937" s="1" t="str"/>
      <c r="B937" s="1" t="str"/>
      <c r="C937" s="1" t="str"/>
      <c r="D937" s="1" t="str"/>
      <c r="E937" s="1" t="str"/>
      <c r="F937" s="1" t="str"/>
      <c r="G937" s="1" t="str"/>
      <c r="H937" s="1" t="str"/>
      <c r="I937" s="2" t="str"/>
      <c r="J937" s="2" t="str"/>
      <c r="K937" s="2" t="str"/>
      <c r="L937" s="1" t="str"/>
      <c r="M937" s="2" t="str"/>
      <c r="N937" s="2" t="str"/>
      <c r="O937" s="1" t="str"/>
      <c r="P937" s="1" t="str"/>
      <c r="Q937" s="1" t="str"/>
      <c r="R937" s="1">
        <f>IF(H937="Sí",1,0)</f>
        <v/>
      </c>
      <c r="S937" s="1">
        <f>IF(L937="En coordinación",1,0)</f>
        <v/>
      </c>
      <c r="T937" s="1">
        <f>IF(L937="Aceptada",1,0)</f>
        <v/>
      </c>
      <c r="U937" s="1">
        <f>IF(OR(L937="Realizada completa",L937="Realizada incompleta"),1,0)</f>
        <v/>
      </c>
      <c r="V937" s="1">
        <f>IF(L937="Sin respuesta",1,0)</f>
        <v/>
      </c>
    </row>
    <row r="938">
      <c r="A938" s="1" t="str"/>
      <c r="B938" s="1" t="str"/>
      <c r="C938" s="1" t="str"/>
      <c r="D938" s="1" t="str"/>
      <c r="E938" s="1" t="str"/>
      <c r="F938" s="1" t="str"/>
      <c r="G938" s="1" t="str"/>
      <c r="H938" s="1" t="str"/>
      <c r="I938" s="2" t="str"/>
      <c r="J938" s="2" t="str"/>
      <c r="K938" s="2" t="str"/>
      <c r="L938" s="1" t="str"/>
      <c r="M938" s="2" t="str"/>
      <c r="N938" s="2" t="str"/>
      <c r="O938" s="1" t="str"/>
      <c r="P938" s="1" t="str"/>
      <c r="Q938" s="1" t="str"/>
      <c r="R938" s="1">
        <f>IF(H938="Sí",1,0)</f>
        <v/>
      </c>
      <c r="S938" s="1">
        <f>IF(L938="En coordinación",1,0)</f>
        <v/>
      </c>
      <c r="T938" s="1">
        <f>IF(L938="Aceptada",1,0)</f>
        <v/>
      </c>
      <c r="U938" s="1">
        <f>IF(OR(L938="Realizada completa",L938="Realizada incompleta"),1,0)</f>
        <v/>
      </c>
      <c r="V938" s="1">
        <f>IF(L938="Sin respuesta",1,0)</f>
        <v/>
      </c>
    </row>
    <row r="939">
      <c r="A939" s="1" t="str"/>
      <c r="B939" s="1" t="str"/>
      <c r="C939" s="1" t="str"/>
      <c r="D939" s="1" t="str"/>
      <c r="E939" s="1" t="str"/>
      <c r="F939" s="1" t="str"/>
      <c r="G939" s="1" t="str"/>
      <c r="H939" s="1" t="str"/>
      <c r="I939" s="2" t="str"/>
      <c r="J939" s="2" t="str"/>
      <c r="K939" s="2" t="str"/>
      <c r="L939" s="1" t="str"/>
      <c r="M939" s="2" t="str"/>
      <c r="N939" s="2" t="str"/>
      <c r="O939" s="1" t="str"/>
      <c r="P939" s="1" t="str"/>
      <c r="Q939" s="1" t="str"/>
      <c r="R939" s="1">
        <f>IF(H939="Sí",1,0)</f>
        <v/>
      </c>
      <c r="S939" s="1">
        <f>IF(L939="En coordinación",1,0)</f>
        <v/>
      </c>
      <c r="T939" s="1">
        <f>IF(L939="Aceptada",1,0)</f>
        <v/>
      </c>
      <c r="U939" s="1">
        <f>IF(OR(L939="Realizada completa",L939="Realizada incompleta"),1,0)</f>
        <v/>
      </c>
      <c r="V939" s="1">
        <f>IF(L939="Sin respuesta",1,0)</f>
        <v/>
      </c>
    </row>
    <row r="940">
      <c r="A940" s="1" t="str"/>
      <c r="B940" s="1" t="str"/>
      <c r="C940" s="1" t="str"/>
      <c r="D940" s="1" t="str"/>
      <c r="E940" s="1" t="str"/>
      <c r="F940" s="1" t="str"/>
      <c r="G940" s="1" t="str"/>
      <c r="H940" s="1" t="str"/>
      <c r="I940" s="2" t="str"/>
      <c r="J940" s="2" t="str"/>
      <c r="K940" s="2" t="str"/>
      <c r="L940" s="1" t="str"/>
      <c r="M940" s="2" t="str"/>
      <c r="N940" s="2" t="str"/>
      <c r="O940" s="1" t="str"/>
      <c r="P940" s="1" t="str"/>
      <c r="Q940" s="1" t="str"/>
      <c r="R940" s="1">
        <f>IF(H940="Sí",1,0)</f>
        <v/>
      </c>
      <c r="S940" s="1">
        <f>IF(L940="En coordinación",1,0)</f>
        <v/>
      </c>
      <c r="T940" s="1">
        <f>IF(L940="Aceptada",1,0)</f>
        <v/>
      </c>
      <c r="U940" s="1">
        <f>IF(OR(L940="Realizada completa",L940="Realizada incompleta"),1,0)</f>
        <v/>
      </c>
      <c r="V940" s="1">
        <f>IF(L940="Sin respuesta",1,0)</f>
        <v/>
      </c>
    </row>
    <row r="941">
      <c r="A941" s="1" t="str"/>
      <c r="B941" s="1" t="str"/>
      <c r="C941" s="1" t="str"/>
      <c r="D941" s="1" t="str"/>
      <c r="E941" s="1" t="str"/>
      <c r="F941" s="1" t="str"/>
      <c r="G941" s="1" t="str"/>
      <c r="H941" s="1" t="str"/>
      <c r="I941" s="2" t="str"/>
      <c r="J941" s="2" t="str"/>
      <c r="K941" s="2" t="str"/>
      <c r="L941" s="1" t="str"/>
      <c r="M941" s="2" t="str"/>
      <c r="N941" s="2" t="str"/>
      <c r="O941" s="1" t="str"/>
      <c r="P941" s="1" t="str"/>
      <c r="Q941" s="1" t="str"/>
      <c r="R941" s="1">
        <f>IF(H941="Sí",1,0)</f>
        <v/>
      </c>
      <c r="S941" s="1">
        <f>IF(L941="En coordinación",1,0)</f>
        <v/>
      </c>
      <c r="T941" s="1">
        <f>IF(L941="Aceptada",1,0)</f>
        <v/>
      </c>
      <c r="U941" s="1">
        <f>IF(OR(L941="Realizada completa",L941="Realizada incompleta"),1,0)</f>
        <v/>
      </c>
      <c r="V941" s="1">
        <f>IF(L941="Sin respuesta",1,0)</f>
        <v/>
      </c>
    </row>
    <row r="942">
      <c r="A942" s="1" t="str"/>
      <c r="B942" s="1" t="str"/>
      <c r="C942" s="1" t="str"/>
      <c r="D942" s="1" t="str"/>
      <c r="E942" s="1" t="str"/>
      <c r="F942" s="1" t="str"/>
      <c r="G942" s="1" t="str"/>
      <c r="H942" s="1" t="str"/>
      <c r="I942" s="2" t="str"/>
      <c r="J942" s="2" t="str"/>
      <c r="K942" s="2" t="str"/>
      <c r="L942" s="1" t="str"/>
      <c r="M942" s="2" t="str"/>
      <c r="N942" s="2" t="str"/>
      <c r="O942" s="1" t="str"/>
      <c r="P942" s="1" t="str"/>
      <c r="Q942" s="1" t="str"/>
      <c r="R942" s="1">
        <f>IF(H942="Sí",1,0)</f>
        <v/>
      </c>
      <c r="S942" s="1">
        <f>IF(L942="En coordinación",1,0)</f>
        <v/>
      </c>
      <c r="T942" s="1">
        <f>IF(L942="Aceptada",1,0)</f>
        <v/>
      </c>
      <c r="U942" s="1">
        <f>IF(OR(L942="Realizada completa",L942="Realizada incompleta"),1,0)</f>
        <v/>
      </c>
      <c r="V942" s="1">
        <f>IF(L942="Sin respuesta",1,0)</f>
        <v/>
      </c>
    </row>
    <row r="943">
      <c r="A943" s="1" t="str"/>
      <c r="B943" s="1" t="str"/>
      <c r="C943" s="1" t="str"/>
      <c r="D943" s="1" t="str"/>
      <c r="E943" s="1" t="str"/>
      <c r="F943" s="1" t="str"/>
      <c r="G943" s="1" t="str"/>
      <c r="H943" s="1" t="str"/>
      <c r="I943" s="2" t="str"/>
      <c r="J943" s="2" t="str"/>
      <c r="K943" s="2" t="str"/>
      <c r="L943" s="1" t="str"/>
      <c r="M943" s="2" t="str"/>
      <c r="N943" s="2" t="str"/>
      <c r="O943" s="1" t="str"/>
      <c r="P943" s="1" t="str"/>
      <c r="Q943" s="1" t="str"/>
      <c r="R943" s="1">
        <f>IF(H943="Sí",1,0)</f>
        <v/>
      </c>
      <c r="S943" s="1">
        <f>IF(L943="En coordinación",1,0)</f>
        <v/>
      </c>
      <c r="T943" s="1">
        <f>IF(L943="Aceptada",1,0)</f>
        <v/>
      </c>
      <c r="U943" s="1">
        <f>IF(OR(L943="Realizada completa",L943="Realizada incompleta"),1,0)</f>
        <v/>
      </c>
      <c r="V943" s="1">
        <f>IF(L943="Sin respuesta",1,0)</f>
        <v/>
      </c>
    </row>
    <row r="944">
      <c r="A944" s="1" t="str"/>
      <c r="B944" s="1" t="str"/>
      <c r="C944" s="1" t="str"/>
      <c r="D944" s="1" t="str"/>
      <c r="E944" s="1" t="str"/>
      <c r="F944" s="1" t="str"/>
      <c r="G944" s="1" t="str"/>
      <c r="H944" s="1" t="str"/>
      <c r="I944" s="2" t="str"/>
      <c r="J944" s="2" t="str"/>
      <c r="K944" s="2" t="str"/>
      <c r="L944" s="1" t="str"/>
      <c r="M944" s="2" t="str"/>
      <c r="N944" s="2" t="str"/>
      <c r="O944" s="1" t="str"/>
      <c r="P944" s="1" t="str"/>
      <c r="Q944" s="1" t="str"/>
      <c r="R944" s="1">
        <f>IF(H944="Sí",1,0)</f>
        <v/>
      </c>
      <c r="S944" s="1">
        <f>IF(L944="En coordinación",1,0)</f>
        <v/>
      </c>
      <c r="T944" s="1">
        <f>IF(L944="Aceptada",1,0)</f>
        <v/>
      </c>
      <c r="U944" s="1">
        <f>IF(OR(L944="Realizada completa",L944="Realizada incompleta"),1,0)</f>
        <v/>
      </c>
      <c r="V944" s="1">
        <f>IF(L944="Sin respuesta",1,0)</f>
        <v/>
      </c>
    </row>
    <row r="945">
      <c r="A945" s="1" t="str"/>
      <c r="B945" s="1" t="str"/>
      <c r="C945" s="1" t="str"/>
      <c r="D945" s="1" t="str"/>
      <c r="E945" s="1" t="str"/>
      <c r="F945" s="1" t="str"/>
      <c r="G945" s="1" t="str"/>
      <c r="H945" s="1" t="str"/>
      <c r="I945" s="2" t="str"/>
      <c r="J945" s="2" t="str"/>
      <c r="K945" s="2" t="str"/>
      <c r="L945" s="1" t="str"/>
      <c r="M945" s="2" t="str"/>
      <c r="N945" s="2" t="str"/>
      <c r="O945" s="1" t="str"/>
      <c r="P945" s="1" t="str"/>
      <c r="Q945" s="1" t="str"/>
      <c r="R945" s="1">
        <f>IF(H945="Sí",1,0)</f>
        <v/>
      </c>
      <c r="S945" s="1">
        <f>IF(L945="En coordinación",1,0)</f>
        <v/>
      </c>
      <c r="T945" s="1">
        <f>IF(L945="Aceptada",1,0)</f>
        <v/>
      </c>
      <c r="U945" s="1">
        <f>IF(OR(L945="Realizada completa",L945="Realizada incompleta"),1,0)</f>
        <v/>
      </c>
      <c r="V945" s="1">
        <f>IF(L945="Sin respuesta",1,0)</f>
        <v/>
      </c>
    </row>
    <row r="946">
      <c r="A946" s="1" t="str"/>
      <c r="B946" s="1" t="str"/>
      <c r="C946" s="1" t="str"/>
      <c r="D946" s="1" t="str"/>
      <c r="E946" s="1" t="str"/>
      <c r="F946" s="1" t="str"/>
      <c r="G946" s="1" t="str"/>
      <c r="H946" s="1" t="str"/>
      <c r="I946" s="2" t="str"/>
      <c r="J946" s="2" t="str"/>
      <c r="K946" s="2" t="str"/>
      <c r="L946" s="1" t="str"/>
      <c r="M946" s="2" t="str"/>
      <c r="N946" s="2" t="str"/>
      <c r="O946" s="1" t="str"/>
      <c r="P946" s="1" t="str"/>
      <c r="Q946" s="1" t="str"/>
      <c r="R946" s="1">
        <f>IF(H946="Sí",1,0)</f>
        <v/>
      </c>
      <c r="S946" s="1">
        <f>IF(L946="En coordinación",1,0)</f>
        <v/>
      </c>
      <c r="T946" s="1">
        <f>IF(L946="Aceptada",1,0)</f>
        <v/>
      </c>
      <c r="U946" s="1">
        <f>IF(OR(L946="Realizada completa",L946="Realizada incompleta"),1,0)</f>
        <v/>
      </c>
      <c r="V946" s="1">
        <f>IF(L946="Sin respuesta",1,0)</f>
        <v/>
      </c>
    </row>
    <row r="947">
      <c r="A947" s="1" t="str"/>
      <c r="B947" s="1" t="str"/>
      <c r="C947" s="1" t="str"/>
      <c r="D947" s="1" t="str"/>
      <c r="E947" s="1" t="str"/>
      <c r="F947" s="1" t="str"/>
      <c r="G947" s="1" t="str"/>
      <c r="H947" s="1" t="str"/>
      <c r="I947" s="2" t="str"/>
      <c r="J947" s="2" t="str"/>
      <c r="K947" s="2" t="str"/>
      <c r="L947" s="1" t="str"/>
      <c r="M947" s="2" t="str"/>
      <c r="N947" s="2" t="str"/>
      <c r="O947" s="1" t="str"/>
      <c r="P947" s="1" t="str"/>
      <c r="Q947" s="1" t="str"/>
      <c r="R947" s="1">
        <f>IF(H947="Sí",1,0)</f>
        <v/>
      </c>
      <c r="S947" s="1">
        <f>IF(L947="En coordinación",1,0)</f>
        <v/>
      </c>
      <c r="T947" s="1">
        <f>IF(L947="Aceptada",1,0)</f>
        <v/>
      </c>
      <c r="U947" s="1">
        <f>IF(OR(L947="Realizada completa",L947="Realizada incompleta"),1,0)</f>
        <v/>
      </c>
      <c r="V947" s="1">
        <f>IF(L947="Sin respuesta",1,0)</f>
        <v/>
      </c>
    </row>
    <row r="948">
      <c r="A948" s="1" t="str"/>
      <c r="B948" s="1" t="str"/>
      <c r="C948" s="1" t="str"/>
      <c r="D948" s="1" t="str"/>
      <c r="E948" s="1" t="str"/>
      <c r="F948" s="1" t="str"/>
      <c r="G948" s="1" t="str"/>
      <c r="H948" s="1" t="str"/>
      <c r="I948" s="2" t="str"/>
      <c r="J948" s="2" t="str"/>
      <c r="K948" s="2" t="str"/>
      <c r="L948" s="1" t="str"/>
      <c r="M948" s="2" t="str"/>
      <c r="N948" s="2" t="str"/>
      <c r="O948" s="1" t="str"/>
      <c r="P948" s="1" t="str"/>
      <c r="Q948" s="1" t="str"/>
      <c r="R948" s="1">
        <f>IF(H948="Sí",1,0)</f>
        <v/>
      </c>
      <c r="S948" s="1">
        <f>IF(L948="En coordinación",1,0)</f>
        <v/>
      </c>
      <c r="T948" s="1">
        <f>IF(L948="Aceptada",1,0)</f>
        <v/>
      </c>
      <c r="U948" s="1">
        <f>IF(OR(L948="Realizada completa",L948="Realizada incompleta"),1,0)</f>
        <v/>
      </c>
      <c r="V948" s="1">
        <f>IF(L948="Sin respuesta",1,0)</f>
        <v/>
      </c>
    </row>
    <row r="949">
      <c r="A949" s="1" t="str"/>
      <c r="B949" s="1" t="str"/>
      <c r="C949" s="1" t="str"/>
      <c r="D949" s="1" t="str"/>
      <c r="E949" s="1" t="str"/>
      <c r="F949" s="1" t="str"/>
      <c r="G949" s="1" t="str"/>
      <c r="H949" s="1" t="str"/>
      <c r="I949" s="2" t="str"/>
      <c r="J949" s="2" t="str"/>
      <c r="K949" s="2" t="str"/>
      <c r="L949" s="1" t="str"/>
      <c r="M949" s="2" t="str"/>
      <c r="N949" s="2" t="str"/>
      <c r="O949" s="1" t="str"/>
      <c r="P949" s="1" t="str"/>
      <c r="Q949" s="1" t="str"/>
      <c r="R949" s="1">
        <f>IF(H949="Sí",1,0)</f>
        <v/>
      </c>
      <c r="S949" s="1">
        <f>IF(L949="En coordinación",1,0)</f>
        <v/>
      </c>
      <c r="T949" s="1">
        <f>IF(L949="Aceptada",1,0)</f>
        <v/>
      </c>
      <c r="U949" s="1">
        <f>IF(OR(L949="Realizada completa",L949="Realizada incompleta"),1,0)</f>
        <v/>
      </c>
      <c r="V949" s="1">
        <f>IF(L949="Sin respuesta",1,0)</f>
        <v/>
      </c>
    </row>
    <row r="950">
      <c r="A950" s="1" t="str"/>
      <c r="B950" s="1" t="str"/>
      <c r="C950" s="1" t="str"/>
      <c r="D950" s="1" t="str"/>
      <c r="E950" s="1" t="str"/>
      <c r="F950" s="1" t="str"/>
      <c r="G950" s="1" t="str"/>
      <c r="H950" s="1" t="str"/>
      <c r="I950" s="2" t="str"/>
      <c r="J950" s="2" t="str"/>
      <c r="K950" s="2" t="str"/>
      <c r="L950" s="1" t="str"/>
      <c r="M950" s="2" t="str"/>
      <c r="N950" s="2" t="str"/>
      <c r="O950" s="1" t="str"/>
      <c r="P950" s="1" t="str"/>
      <c r="Q950" s="1" t="str"/>
      <c r="R950" s="1">
        <f>IF(H950="Sí",1,0)</f>
        <v/>
      </c>
      <c r="S950" s="1">
        <f>IF(L950="En coordinación",1,0)</f>
        <v/>
      </c>
      <c r="T950" s="1">
        <f>IF(L950="Aceptada",1,0)</f>
        <v/>
      </c>
      <c r="U950" s="1">
        <f>IF(OR(L950="Realizada completa",L950="Realizada incompleta"),1,0)</f>
        <v/>
      </c>
      <c r="V950" s="1">
        <f>IF(L950="Sin respuesta",1,0)</f>
        <v/>
      </c>
    </row>
    <row r="951">
      <c r="A951" s="1" t="str"/>
      <c r="B951" s="1" t="str"/>
      <c r="C951" s="1" t="str"/>
      <c r="D951" s="1" t="str"/>
      <c r="E951" s="1" t="str"/>
      <c r="F951" s="1" t="str"/>
      <c r="G951" s="1" t="str"/>
      <c r="H951" s="1" t="str"/>
      <c r="I951" s="2" t="str"/>
      <c r="J951" s="2" t="str"/>
      <c r="K951" s="2" t="str"/>
      <c r="L951" s="1" t="str"/>
      <c r="M951" s="2" t="str"/>
      <c r="N951" s="2" t="str"/>
      <c r="O951" s="1" t="str"/>
      <c r="P951" s="1" t="str"/>
      <c r="Q951" s="1" t="str"/>
      <c r="R951" s="1">
        <f>IF(H951="Sí",1,0)</f>
        <v/>
      </c>
      <c r="S951" s="1">
        <f>IF(L951="En coordinación",1,0)</f>
        <v/>
      </c>
      <c r="T951" s="1">
        <f>IF(L951="Aceptada",1,0)</f>
        <v/>
      </c>
      <c r="U951" s="1">
        <f>IF(OR(L951="Realizada completa",L951="Realizada incompleta"),1,0)</f>
        <v/>
      </c>
      <c r="V951" s="1">
        <f>IF(L951="Sin respuesta",1,0)</f>
        <v/>
      </c>
    </row>
    <row r="952">
      <c r="A952" s="1" t="str"/>
      <c r="B952" s="1" t="str"/>
      <c r="C952" s="1" t="str"/>
      <c r="D952" s="1" t="str"/>
      <c r="E952" s="1" t="str"/>
      <c r="F952" s="1" t="str"/>
      <c r="G952" s="1" t="str"/>
      <c r="H952" s="1" t="str"/>
      <c r="I952" s="2" t="str"/>
      <c r="J952" s="2" t="str"/>
      <c r="K952" s="2" t="str"/>
      <c r="L952" s="1" t="str"/>
      <c r="M952" s="2" t="str"/>
      <c r="N952" s="2" t="str"/>
      <c r="O952" s="1" t="str"/>
      <c r="P952" s="1" t="str"/>
      <c r="Q952" s="1" t="str"/>
      <c r="R952" s="1">
        <f>IF(H952="Sí",1,0)</f>
        <v/>
      </c>
      <c r="S952" s="1">
        <f>IF(L952="En coordinación",1,0)</f>
        <v/>
      </c>
      <c r="T952" s="1">
        <f>IF(L952="Aceptada",1,0)</f>
        <v/>
      </c>
      <c r="U952" s="1">
        <f>IF(OR(L952="Realizada completa",L952="Realizada incompleta"),1,0)</f>
        <v/>
      </c>
      <c r="V952" s="1">
        <f>IF(L952="Sin respuesta",1,0)</f>
        <v/>
      </c>
    </row>
    <row r="953">
      <c r="A953" s="1" t="str"/>
      <c r="B953" s="1" t="str"/>
      <c r="C953" s="1" t="str"/>
      <c r="D953" s="1" t="str"/>
      <c r="E953" s="1" t="str"/>
      <c r="F953" s="1" t="str"/>
      <c r="G953" s="1" t="str"/>
      <c r="H953" s="1" t="str"/>
      <c r="I953" s="2" t="str"/>
      <c r="J953" s="2" t="str"/>
      <c r="K953" s="2" t="str"/>
      <c r="L953" s="1" t="str"/>
      <c r="M953" s="2" t="str"/>
      <c r="N953" s="2" t="str"/>
      <c r="O953" s="1" t="str"/>
      <c r="P953" s="1" t="str"/>
      <c r="Q953" s="1" t="str"/>
      <c r="R953" s="1">
        <f>IF(H953="Sí",1,0)</f>
        <v/>
      </c>
      <c r="S953" s="1">
        <f>IF(L953="En coordinación",1,0)</f>
        <v/>
      </c>
      <c r="T953" s="1">
        <f>IF(L953="Aceptada",1,0)</f>
        <v/>
      </c>
      <c r="U953" s="1">
        <f>IF(OR(L953="Realizada completa",L953="Realizada incompleta"),1,0)</f>
        <v/>
      </c>
      <c r="V953" s="1">
        <f>IF(L953="Sin respuesta",1,0)</f>
        <v/>
      </c>
    </row>
    <row r="954">
      <c r="A954" s="1" t="str"/>
      <c r="B954" s="1" t="str"/>
      <c r="C954" s="1" t="str"/>
      <c r="D954" s="1" t="str"/>
      <c r="E954" s="1" t="str"/>
      <c r="F954" s="1" t="str"/>
      <c r="G954" s="1" t="str"/>
      <c r="H954" s="1" t="str"/>
      <c r="I954" s="2" t="str"/>
      <c r="J954" s="2" t="str"/>
      <c r="K954" s="2" t="str"/>
      <c r="L954" s="1" t="str"/>
      <c r="M954" s="2" t="str"/>
      <c r="N954" s="2" t="str"/>
      <c r="O954" s="1" t="str"/>
      <c r="P954" s="1" t="str"/>
      <c r="Q954" s="1" t="str"/>
      <c r="R954" s="1">
        <f>IF(H954="Sí",1,0)</f>
        <v/>
      </c>
      <c r="S954" s="1">
        <f>IF(L954="En coordinación",1,0)</f>
        <v/>
      </c>
      <c r="T954" s="1">
        <f>IF(L954="Aceptada",1,0)</f>
        <v/>
      </c>
      <c r="U954" s="1">
        <f>IF(OR(L954="Realizada completa",L954="Realizada incompleta"),1,0)</f>
        <v/>
      </c>
      <c r="V954" s="1">
        <f>IF(L954="Sin respuesta",1,0)</f>
        <v/>
      </c>
    </row>
    <row r="955">
      <c r="A955" s="1" t="str"/>
      <c r="B955" s="1" t="str"/>
      <c r="C955" s="1" t="str"/>
      <c r="D955" s="1" t="str"/>
      <c r="E955" s="1" t="str"/>
      <c r="F955" s="1" t="str"/>
      <c r="G955" s="1" t="str"/>
      <c r="H955" s="1" t="str"/>
      <c r="I955" s="2" t="str"/>
      <c r="J955" s="2" t="str"/>
      <c r="K955" s="2" t="str"/>
      <c r="L955" s="1" t="str"/>
      <c r="M955" s="2" t="str"/>
      <c r="N955" s="2" t="str"/>
      <c r="O955" s="1" t="str"/>
      <c r="P955" s="1" t="str"/>
      <c r="Q955" s="1" t="str"/>
      <c r="R955" s="1">
        <f>IF(H955="Sí",1,0)</f>
        <v/>
      </c>
      <c r="S955" s="1">
        <f>IF(L955="En coordinación",1,0)</f>
        <v/>
      </c>
      <c r="T955" s="1">
        <f>IF(L955="Aceptada",1,0)</f>
        <v/>
      </c>
      <c r="U955" s="1">
        <f>IF(OR(L955="Realizada completa",L955="Realizada incompleta"),1,0)</f>
        <v/>
      </c>
      <c r="V955" s="1">
        <f>IF(L955="Sin respuesta",1,0)</f>
        <v/>
      </c>
    </row>
    <row r="956">
      <c r="A956" s="1" t="str"/>
      <c r="B956" s="1" t="str"/>
      <c r="C956" s="1" t="str"/>
      <c r="D956" s="1" t="str"/>
      <c r="E956" s="1" t="str"/>
      <c r="F956" s="1" t="str"/>
      <c r="G956" s="1" t="str"/>
      <c r="H956" s="1" t="str"/>
      <c r="I956" s="2" t="str"/>
      <c r="J956" s="2" t="str"/>
      <c r="K956" s="2" t="str"/>
      <c r="L956" s="1" t="str"/>
      <c r="M956" s="2" t="str"/>
      <c r="N956" s="2" t="str"/>
      <c r="O956" s="1" t="str"/>
      <c r="P956" s="1" t="str"/>
      <c r="Q956" s="1" t="str"/>
      <c r="R956" s="1">
        <f>IF(H956="Sí",1,0)</f>
        <v/>
      </c>
      <c r="S956" s="1">
        <f>IF(L956="En coordinación",1,0)</f>
        <v/>
      </c>
      <c r="T956" s="1">
        <f>IF(L956="Aceptada",1,0)</f>
        <v/>
      </c>
      <c r="U956" s="1">
        <f>IF(OR(L956="Realizada completa",L956="Realizada incompleta"),1,0)</f>
        <v/>
      </c>
      <c r="V956" s="1">
        <f>IF(L956="Sin respuesta",1,0)</f>
        <v/>
      </c>
    </row>
    <row r="957">
      <c r="A957" s="1" t="str"/>
      <c r="B957" s="1" t="str"/>
      <c r="C957" s="1" t="str"/>
      <c r="D957" s="1" t="str"/>
      <c r="E957" s="1" t="str"/>
      <c r="F957" s="1" t="str"/>
      <c r="G957" s="1" t="str"/>
      <c r="H957" s="1" t="str"/>
      <c r="I957" s="2" t="str"/>
      <c r="J957" s="2" t="str"/>
      <c r="K957" s="2" t="str"/>
      <c r="L957" s="1" t="str"/>
      <c r="M957" s="2" t="str"/>
      <c r="N957" s="2" t="str"/>
      <c r="O957" s="1" t="str"/>
      <c r="P957" s="1" t="str"/>
      <c r="Q957" s="1" t="str"/>
      <c r="R957" s="1">
        <f>IF(H957="Sí",1,0)</f>
        <v/>
      </c>
      <c r="S957" s="1">
        <f>IF(L957="En coordinación",1,0)</f>
        <v/>
      </c>
      <c r="T957" s="1">
        <f>IF(L957="Aceptada",1,0)</f>
        <v/>
      </c>
      <c r="U957" s="1">
        <f>IF(OR(L957="Realizada completa",L957="Realizada incompleta"),1,0)</f>
        <v/>
      </c>
      <c r="V957" s="1">
        <f>IF(L957="Sin respuesta",1,0)</f>
        <v/>
      </c>
    </row>
    <row r="958">
      <c r="A958" s="1" t="str"/>
      <c r="B958" s="1" t="str"/>
      <c r="C958" s="1" t="str"/>
      <c r="D958" s="1" t="str"/>
      <c r="E958" s="1" t="str"/>
      <c r="F958" s="1" t="str"/>
      <c r="G958" s="1" t="str"/>
      <c r="H958" s="1" t="str"/>
      <c r="I958" s="2" t="str"/>
      <c r="J958" s="2" t="str"/>
      <c r="K958" s="2" t="str"/>
      <c r="L958" s="1" t="str"/>
      <c r="M958" s="2" t="str"/>
      <c r="N958" s="2" t="str"/>
      <c r="O958" s="1" t="str"/>
      <c r="P958" s="1" t="str"/>
      <c r="Q958" s="1" t="str"/>
      <c r="R958" s="1">
        <f>IF(H958="Sí",1,0)</f>
        <v/>
      </c>
      <c r="S958" s="1">
        <f>IF(L958="En coordinación",1,0)</f>
        <v/>
      </c>
      <c r="T958" s="1">
        <f>IF(L958="Aceptada",1,0)</f>
        <v/>
      </c>
      <c r="U958" s="1">
        <f>IF(OR(L958="Realizada completa",L958="Realizada incompleta"),1,0)</f>
        <v/>
      </c>
      <c r="V958" s="1">
        <f>IF(L958="Sin respuesta",1,0)</f>
        <v/>
      </c>
    </row>
    <row r="959">
      <c r="A959" s="1" t="str"/>
      <c r="B959" s="1" t="str"/>
      <c r="C959" s="1" t="str"/>
      <c r="D959" s="1" t="str"/>
      <c r="E959" s="1" t="str"/>
      <c r="F959" s="1" t="str"/>
      <c r="G959" s="1" t="str"/>
      <c r="H959" s="1" t="str"/>
      <c r="I959" s="2" t="str"/>
      <c r="J959" s="2" t="str"/>
      <c r="K959" s="2" t="str"/>
      <c r="L959" s="1" t="str"/>
      <c r="M959" s="2" t="str"/>
      <c r="N959" s="2" t="str"/>
      <c r="O959" s="1" t="str"/>
      <c r="P959" s="1" t="str"/>
      <c r="Q959" s="1" t="str"/>
      <c r="R959" s="1">
        <f>IF(H959="Sí",1,0)</f>
        <v/>
      </c>
      <c r="S959" s="1">
        <f>IF(L959="En coordinación",1,0)</f>
        <v/>
      </c>
      <c r="T959" s="1">
        <f>IF(L959="Aceptada",1,0)</f>
        <v/>
      </c>
      <c r="U959" s="1">
        <f>IF(OR(L959="Realizada completa",L959="Realizada incompleta"),1,0)</f>
        <v/>
      </c>
      <c r="V959" s="1">
        <f>IF(L959="Sin respuesta",1,0)</f>
        <v/>
      </c>
    </row>
    <row r="960">
      <c r="A960" s="1" t="str"/>
      <c r="B960" s="1" t="str"/>
      <c r="C960" s="1" t="str"/>
      <c r="D960" s="1" t="str"/>
      <c r="E960" s="1" t="str"/>
      <c r="F960" s="1" t="str"/>
      <c r="G960" s="1" t="str"/>
      <c r="H960" s="1" t="str"/>
      <c r="I960" s="2" t="str"/>
      <c r="J960" s="2" t="str"/>
      <c r="K960" s="2" t="str"/>
      <c r="L960" s="1" t="str"/>
      <c r="M960" s="2" t="str"/>
      <c r="N960" s="2" t="str"/>
      <c r="O960" s="1" t="str"/>
      <c r="P960" s="1" t="str"/>
      <c r="Q960" s="1" t="str"/>
      <c r="R960" s="1">
        <f>IF(H960="Sí",1,0)</f>
        <v/>
      </c>
      <c r="S960" s="1">
        <f>IF(L960="En coordinación",1,0)</f>
        <v/>
      </c>
      <c r="T960" s="1">
        <f>IF(L960="Aceptada",1,0)</f>
        <v/>
      </c>
      <c r="U960" s="1">
        <f>IF(OR(L960="Realizada completa",L960="Realizada incompleta"),1,0)</f>
        <v/>
      </c>
      <c r="V960" s="1">
        <f>IF(L960="Sin respuesta",1,0)</f>
        <v/>
      </c>
    </row>
    <row r="961">
      <c r="A961" s="1" t="str"/>
      <c r="B961" s="1" t="str"/>
      <c r="C961" s="1" t="str"/>
      <c r="D961" s="1" t="str"/>
      <c r="E961" s="1" t="str"/>
      <c r="F961" s="1" t="str"/>
      <c r="G961" s="1" t="str"/>
      <c r="H961" s="1" t="str"/>
      <c r="I961" s="2" t="str"/>
      <c r="J961" s="2" t="str"/>
      <c r="K961" s="2" t="str"/>
      <c r="L961" s="1" t="str"/>
      <c r="M961" s="2" t="str"/>
      <c r="N961" s="2" t="str"/>
      <c r="O961" s="1" t="str"/>
      <c r="P961" s="1" t="str"/>
      <c r="Q961" s="1" t="str"/>
      <c r="R961" s="1">
        <f>IF(H961="Sí",1,0)</f>
        <v/>
      </c>
      <c r="S961" s="1">
        <f>IF(L961="En coordinación",1,0)</f>
        <v/>
      </c>
      <c r="T961" s="1">
        <f>IF(L961="Aceptada",1,0)</f>
        <v/>
      </c>
      <c r="U961" s="1">
        <f>IF(OR(L961="Realizada completa",L961="Realizada incompleta"),1,0)</f>
        <v/>
      </c>
      <c r="V961" s="1">
        <f>IF(L961="Sin respuesta",1,0)</f>
        <v/>
      </c>
    </row>
    <row r="962">
      <c r="A962" s="1" t="str"/>
      <c r="B962" s="1" t="str"/>
      <c r="C962" s="1" t="str"/>
      <c r="D962" s="1" t="str"/>
      <c r="E962" s="1" t="str"/>
      <c r="F962" s="1" t="str"/>
      <c r="G962" s="1" t="str"/>
      <c r="H962" s="1" t="str"/>
      <c r="I962" s="2" t="str"/>
      <c r="J962" s="2" t="str"/>
      <c r="K962" s="2" t="str"/>
      <c r="L962" s="1" t="str"/>
      <c r="M962" s="2" t="str"/>
      <c r="N962" s="2" t="str"/>
      <c r="O962" s="1" t="str"/>
      <c r="P962" s="1" t="str"/>
      <c r="Q962" s="1" t="str"/>
      <c r="R962" s="1">
        <f>IF(H962="Sí",1,0)</f>
        <v/>
      </c>
      <c r="S962" s="1">
        <f>IF(L962="En coordinación",1,0)</f>
        <v/>
      </c>
      <c r="T962" s="1">
        <f>IF(L962="Aceptada",1,0)</f>
        <v/>
      </c>
      <c r="U962" s="1">
        <f>IF(OR(L962="Realizada completa",L962="Realizada incompleta"),1,0)</f>
        <v/>
      </c>
      <c r="V962" s="1">
        <f>IF(L962="Sin respuesta",1,0)</f>
        <v/>
      </c>
    </row>
    <row r="963">
      <c r="A963" s="1" t="str"/>
      <c r="B963" s="1" t="str"/>
      <c r="C963" s="1" t="str"/>
      <c r="D963" s="1" t="str"/>
      <c r="E963" s="1" t="str"/>
      <c r="F963" s="1" t="str"/>
      <c r="G963" s="1" t="str"/>
      <c r="H963" s="1" t="str"/>
      <c r="I963" s="2" t="str"/>
      <c r="J963" s="2" t="str"/>
      <c r="K963" s="2" t="str"/>
      <c r="L963" s="1" t="str"/>
      <c r="M963" s="2" t="str"/>
      <c r="N963" s="2" t="str"/>
      <c r="O963" s="1" t="str"/>
      <c r="P963" s="1" t="str"/>
      <c r="Q963" s="1" t="str"/>
      <c r="R963" s="1">
        <f>IF(H963="Sí",1,0)</f>
        <v/>
      </c>
      <c r="S963" s="1">
        <f>IF(L963="En coordinación",1,0)</f>
        <v/>
      </c>
      <c r="T963" s="1">
        <f>IF(L963="Aceptada",1,0)</f>
        <v/>
      </c>
      <c r="U963" s="1">
        <f>IF(OR(L963="Realizada completa",L963="Realizada incompleta"),1,0)</f>
        <v/>
      </c>
      <c r="V963" s="1">
        <f>IF(L963="Sin respuesta",1,0)</f>
        <v/>
      </c>
    </row>
    <row r="964">
      <c r="A964" s="1" t="str"/>
      <c r="B964" s="1" t="str"/>
      <c r="C964" s="1" t="str"/>
      <c r="D964" s="1" t="str"/>
      <c r="E964" s="1" t="str"/>
      <c r="F964" s="1" t="str"/>
      <c r="G964" s="1" t="str"/>
      <c r="H964" s="1" t="str"/>
      <c r="I964" s="2" t="str"/>
      <c r="J964" s="2" t="str"/>
      <c r="K964" s="2" t="str"/>
      <c r="L964" s="1" t="str"/>
      <c r="M964" s="2" t="str"/>
      <c r="N964" s="2" t="str"/>
      <c r="O964" s="1" t="str"/>
      <c r="P964" s="1" t="str"/>
      <c r="Q964" s="1" t="str"/>
      <c r="R964" s="1">
        <f>IF(H964="Sí",1,0)</f>
        <v/>
      </c>
      <c r="S964" s="1">
        <f>IF(L964="En coordinación",1,0)</f>
        <v/>
      </c>
      <c r="T964" s="1">
        <f>IF(L964="Aceptada",1,0)</f>
        <v/>
      </c>
      <c r="U964" s="1">
        <f>IF(OR(L964="Realizada completa",L964="Realizada incompleta"),1,0)</f>
        <v/>
      </c>
      <c r="V964" s="1">
        <f>IF(L964="Sin respuesta",1,0)</f>
        <v/>
      </c>
    </row>
    <row r="965">
      <c r="A965" s="1" t="str"/>
      <c r="B965" s="1" t="str"/>
      <c r="C965" s="1" t="str"/>
      <c r="D965" s="1" t="str"/>
      <c r="E965" s="1" t="str"/>
      <c r="F965" s="1" t="str"/>
      <c r="G965" s="1" t="str"/>
      <c r="H965" s="1" t="str"/>
      <c r="I965" s="2" t="str"/>
      <c r="J965" s="2" t="str"/>
      <c r="K965" s="2" t="str"/>
      <c r="L965" s="1" t="str"/>
      <c r="M965" s="2" t="str"/>
      <c r="N965" s="2" t="str"/>
      <c r="O965" s="1" t="str"/>
      <c r="P965" s="1" t="str"/>
      <c r="Q965" s="1" t="str"/>
      <c r="R965" s="1">
        <f>IF(H965="Sí",1,0)</f>
        <v/>
      </c>
      <c r="S965" s="1">
        <f>IF(L965="En coordinación",1,0)</f>
        <v/>
      </c>
      <c r="T965" s="1">
        <f>IF(L965="Aceptada",1,0)</f>
        <v/>
      </c>
      <c r="U965" s="1">
        <f>IF(OR(L965="Realizada completa",L965="Realizada incompleta"),1,0)</f>
        <v/>
      </c>
      <c r="V965" s="1">
        <f>IF(L965="Sin respuesta",1,0)</f>
        <v/>
      </c>
    </row>
    <row r="966">
      <c r="A966" s="1" t="str"/>
      <c r="B966" s="1" t="str"/>
      <c r="C966" s="1" t="str"/>
      <c r="D966" s="1" t="str"/>
      <c r="E966" s="1" t="str"/>
      <c r="F966" s="1" t="str"/>
      <c r="G966" s="1" t="str"/>
      <c r="H966" s="1" t="str"/>
      <c r="I966" s="2" t="str"/>
      <c r="J966" s="2" t="str"/>
      <c r="K966" s="2" t="str"/>
      <c r="L966" s="1" t="str"/>
      <c r="M966" s="2" t="str"/>
      <c r="N966" s="2" t="str"/>
      <c r="O966" s="1" t="str"/>
      <c r="P966" s="1" t="str"/>
      <c r="Q966" s="1" t="str"/>
      <c r="R966" s="1">
        <f>IF(H966="Sí",1,0)</f>
        <v/>
      </c>
      <c r="S966" s="1">
        <f>IF(L966="En coordinación",1,0)</f>
        <v/>
      </c>
      <c r="T966" s="1">
        <f>IF(L966="Aceptada",1,0)</f>
        <v/>
      </c>
      <c r="U966" s="1">
        <f>IF(OR(L966="Realizada completa",L966="Realizada incompleta"),1,0)</f>
        <v/>
      </c>
      <c r="V966" s="1">
        <f>IF(L966="Sin respuesta",1,0)</f>
        <v/>
      </c>
    </row>
    <row r="967">
      <c r="A967" s="1" t="str"/>
      <c r="B967" s="1" t="str"/>
      <c r="C967" s="1" t="str"/>
      <c r="D967" s="1" t="str"/>
      <c r="E967" s="1" t="str"/>
      <c r="F967" s="1" t="str"/>
      <c r="G967" s="1" t="str"/>
      <c r="H967" s="1" t="str"/>
      <c r="I967" s="2" t="str"/>
      <c r="J967" s="2" t="str"/>
      <c r="K967" s="2" t="str"/>
      <c r="L967" s="1" t="str"/>
      <c r="M967" s="2" t="str"/>
      <c r="N967" s="2" t="str"/>
      <c r="O967" s="1" t="str"/>
      <c r="P967" s="1" t="str"/>
      <c r="Q967" s="1" t="str"/>
      <c r="R967" s="1">
        <f>IF(H967="Sí",1,0)</f>
        <v/>
      </c>
      <c r="S967" s="1">
        <f>IF(L967="En coordinación",1,0)</f>
        <v/>
      </c>
      <c r="T967" s="1">
        <f>IF(L967="Aceptada",1,0)</f>
        <v/>
      </c>
      <c r="U967" s="1">
        <f>IF(OR(L967="Realizada completa",L967="Realizada incompleta"),1,0)</f>
        <v/>
      </c>
      <c r="V967" s="1">
        <f>IF(L967="Sin respuesta",1,0)</f>
        <v/>
      </c>
    </row>
    <row r="968">
      <c r="A968" s="1" t="str"/>
      <c r="B968" s="1" t="str"/>
      <c r="C968" s="1" t="str"/>
      <c r="D968" s="1" t="str"/>
      <c r="E968" s="1" t="str"/>
      <c r="F968" s="1" t="str"/>
      <c r="G968" s="1" t="str"/>
      <c r="H968" s="1" t="str"/>
      <c r="I968" s="2" t="str"/>
      <c r="J968" s="2" t="str"/>
      <c r="K968" s="2" t="str"/>
      <c r="L968" s="1" t="str"/>
      <c r="M968" s="2" t="str"/>
      <c r="N968" s="2" t="str"/>
      <c r="O968" s="1" t="str"/>
      <c r="P968" s="1" t="str"/>
      <c r="Q968" s="1" t="str"/>
      <c r="R968" s="1">
        <f>IF(H968="Sí",1,0)</f>
        <v/>
      </c>
      <c r="S968" s="1">
        <f>IF(L968="En coordinación",1,0)</f>
        <v/>
      </c>
      <c r="T968" s="1">
        <f>IF(L968="Aceptada",1,0)</f>
        <v/>
      </c>
      <c r="U968" s="1">
        <f>IF(OR(L968="Realizada completa",L968="Realizada incompleta"),1,0)</f>
        <v/>
      </c>
      <c r="V968" s="1">
        <f>IF(L968="Sin respuesta",1,0)</f>
        <v/>
      </c>
    </row>
    <row r="969">
      <c r="A969" s="1" t="str"/>
      <c r="B969" s="1" t="str"/>
      <c r="C969" s="1" t="str"/>
      <c r="D969" s="1" t="str"/>
      <c r="E969" s="1" t="str"/>
      <c r="F969" s="1" t="str"/>
      <c r="G969" s="1" t="str"/>
      <c r="H969" s="1" t="str"/>
      <c r="I969" s="2" t="str"/>
      <c r="J969" s="2" t="str"/>
      <c r="K969" s="2" t="str"/>
      <c r="L969" s="1" t="str"/>
      <c r="M969" s="2" t="str"/>
      <c r="N969" s="2" t="str"/>
      <c r="O969" s="1" t="str"/>
      <c r="P969" s="1" t="str"/>
      <c r="Q969" s="1" t="str"/>
      <c r="R969" s="1">
        <f>IF(H969="Sí",1,0)</f>
        <v/>
      </c>
      <c r="S969" s="1">
        <f>IF(L969="En coordinación",1,0)</f>
        <v/>
      </c>
      <c r="T969" s="1">
        <f>IF(L969="Aceptada",1,0)</f>
        <v/>
      </c>
      <c r="U969" s="1">
        <f>IF(OR(L969="Realizada completa",L969="Realizada incompleta"),1,0)</f>
        <v/>
      </c>
      <c r="V969" s="1">
        <f>IF(L969="Sin respuesta",1,0)</f>
        <v/>
      </c>
    </row>
    <row r="970">
      <c r="A970" s="1" t="str"/>
      <c r="B970" s="1" t="str"/>
      <c r="C970" s="1" t="str"/>
      <c r="D970" s="1" t="str"/>
      <c r="E970" s="1" t="str"/>
      <c r="F970" s="1" t="str"/>
      <c r="G970" s="1" t="str"/>
      <c r="H970" s="1" t="str"/>
      <c r="I970" s="2" t="str"/>
      <c r="J970" s="2" t="str"/>
      <c r="K970" s="2" t="str"/>
      <c r="L970" s="1" t="str"/>
      <c r="M970" s="2" t="str"/>
      <c r="N970" s="2" t="str"/>
      <c r="O970" s="1" t="str"/>
      <c r="P970" s="1" t="str"/>
      <c r="Q970" s="1" t="str"/>
      <c r="R970" s="1">
        <f>IF(H970="Sí",1,0)</f>
        <v/>
      </c>
      <c r="S970" s="1">
        <f>IF(L970="En coordinación",1,0)</f>
        <v/>
      </c>
      <c r="T970" s="1">
        <f>IF(L970="Aceptada",1,0)</f>
        <v/>
      </c>
      <c r="U970" s="1">
        <f>IF(OR(L970="Realizada completa",L970="Realizada incompleta"),1,0)</f>
        <v/>
      </c>
      <c r="V970" s="1">
        <f>IF(L970="Sin respuesta",1,0)</f>
        <v/>
      </c>
    </row>
    <row r="971">
      <c r="A971" s="1" t="str"/>
      <c r="B971" s="1" t="str"/>
      <c r="C971" s="1" t="str"/>
      <c r="D971" s="1" t="str"/>
      <c r="E971" s="1" t="str"/>
      <c r="F971" s="1" t="str"/>
      <c r="G971" s="1" t="str"/>
      <c r="H971" s="1" t="str"/>
      <c r="I971" s="2" t="str"/>
      <c r="J971" s="2" t="str"/>
      <c r="K971" s="2" t="str"/>
      <c r="L971" s="1" t="str"/>
      <c r="M971" s="2" t="str"/>
      <c r="N971" s="2" t="str"/>
      <c r="O971" s="1" t="str"/>
      <c r="P971" s="1" t="str"/>
      <c r="Q971" s="1" t="str"/>
      <c r="R971" s="1">
        <f>IF(H971="Sí",1,0)</f>
        <v/>
      </c>
      <c r="S971" s="1">
        <f>IF(L971="En coordinación",1,0)</f>
        <v/>
      </c>
      <c r="T971" s="1">
        <f>IF(L971="Aceptada",1,0)</f>
        <v/>
      </c>
      <c r="U971" s="1">
        <f>IF(OR(L971="Realizada completa",L971="Realizada incompleta"),1,0)</f>
        <v/>
      </c>
      <c r="V971" s="1">
        <f>IF(L971="Sin respuesta",1,0)</f>
        <v/>
      </c>
    </row>
    <row r="972">
      <c r="A972" s="1" t="str"/>
      <c r="B972" s="1" t="str"/>
      <c r="C972" s="1" t="str"/>
      <c r="D972" s="1" t="str"/>
      <c r="E972" s="1" t="str"/>
      <c r="F972" s="1" t="str"/>
      <c r="G972" s="1" t="str"/>
      <c r="H972" s="1" t="str"/>
      <c r="I972" s="2" t="str"/>
      <c r="J972" s="2" t="str"/>
      <c r="K972" s="2" t="str"/>
      <c r="L972" s="1" t="str"/>
      <c r="M972" s="2" t="str"/>
      <c r="N972" s="2" t="str"/>
      <c r="O972" s="1" t="str"/>
      <c r="P972" s="1" t="str"/>
      <c r="Q972" s="1" t="str"/>
      <c r="R972" s="1">
        <f>IF(H972="Sí",1,0)</f>
        <v/>
      </c>
      <c r="S972" s="1">
        <f>IF(L972="En coordinación",1,0)</f>
        <v/>
      </c>
      <c r="T972" s="1">
        <f>IF(L972="Aceptada",1,0)</f>
        <v/>
      </c>
      <c r="U972" s="1">
        <f>IF(OR(L972="Realizada completa",L972="Realizada incompleta"),1,0)</f>
        <v/>
      </c>
      <c r="V972" s="1">
        <f>IF(L972="Sin respuesta",1,0)</f>
        <v/>
      </c>
    </row>
    <row r="973">
      <c r="A973" s="1" t="str"/>
      <c r="B973" s="1" t="str"/>
      <c r="C973" s="1" t="str"/>
      <c r="D973" s="1" t="str"/>
      <c r="E973" s="1" t="str"/>
      <c r="F973" s="1" t="str"/>
      <c r="G973" s="1" t="str"/>
      <c r="H973" s="1" t="str"/>
      <c r="I973" s="2" t="str"/>
      <c r="J973" s="2" t="str"/>
      <c r="K973" s="2" t="str"/>
      <c r="L973" s="1" t="str"/>
      <c r="M973" s="2" t="str"/>
      <c r="N973" s="2" t="str"/>
      <c r="O973" s="1" t="str"/>
      <c r="P973" s="1" t="str"/>
      <c r="Q973" s="1" t="str"/>
      <c r="R973" s="1">
        <f>IF(H973="Sí",1,0)</f>
        <v/>
      </c>
      <c r="S973" s="1">
        <f>IF(L973="En coordinación",1,0)</f>
        <v/>
      </c>
      <c r="T973" s="1">
        <f>IF(L973="Aceptada",1,0)</f>
        <v/>
      </c>
      <c r="U973" s="1">
        <f>IF(OR(L973="Realizada completa",L973="Realizada incompleta"),1,0)</f>
        <v/>
      </c>
      <c r="V973" s="1">
        <f>IF(L973="Sin respuesta",1,0)</f>
        <v/>
      </c>
    </row>
    <row r="974">
      <c r="A974" s="1" t="str"/>
      <c r="B974" s="1" t="str"/>
      <c r="C974" s="1" t="str"/>
      <c r="D974" s="1" t="str"/>
      <c r="E974" s="1" t="str"/>
      <c r="F974" s="1" t="str"/>
      <c r="G974" s="1" t="str"/>
      <c r="H974" s="1" t="str"/>
      <c r="I974" s="2" t="str"/>
      <c r="J974" s="2" t="str"/>
      <c r="K974" s="2" t="str"/>
      <c r="L974" s="1" t="str"/>
      <c r="M974" s="2" t="str"/>
      <c r="N974" s="2" t="str"/>
      <c r="O974" s="1" t="str"/>
      <c r="P974" s="1" t="str"/>
      <c r="Q974" s="1" t="str"/>
      <c r="R974" s="1">
        <f>IF(H974="Sí",1,0)</f>
        <v/>
      </c>
      <c r="S974" s="1">
        <f>IF(L974="En coordinación",1,0)</f>
        <v/>
      </c>
      <c r="T974" s="1">
        <f>IF(L974="Aceptada",1,0)</f>
        <v/>
      </c>
      <c r="U974" s="1">
        <f>IF(OR(L974="Realizada completa",L974="Realizada incompleta"),1,0)</f>
        <v/>
      </c>
      <c r="V974" s="1">
        <f>IF(L974="Sin respuesta",1,0)</f>
        <v/>
      </c>
    </row>
    <row r="975">
      <c r="A975" s="1" t="str"/>
      <c r="B975" s="1" t="str"/>
      <c r="C975" s="1" t="str"/>
      <c r="D975" s="1" t="str"/>
      <c r="E975" s="1" t="str"/>
      <c r="F975" s="1" t="str"/>
      <c r="G975" s="1" t="str"/>
      <c r="H975" s="1" t="str"/>
      <c r="I975" s="2" t="str"/>
      <c r="J975" s="2" t="str"/>
      <c r="K975" s="2" t="str"/>
      <c r="L975" s="1" t="str"/>
      <c r="M975" s="2" t="str"/>
      <c r="N975" s="2" t="str"/>
      <c r="O975" s="1" t="str"/>
      <c r="P975" s="1" t="str"/>
      <c r="Q975" s="1" t="str"/>
      <c r="R975" s="1">
        <f>IF(H975="Sí",1,0)</f>
        <v/>
      </c>
      <c r="S975" s="1">
        <f>IF(L975="En coordinación",1,0)</f>
        <v/>
      </c>
      <c r="T975" s="1">
        <f>IF(L975="Aceptada",1,0)</f>
        <v/>
      </c>
      <c r="U975" s="1">
        <f>IF(OR(L975="Realizada completa",L975="Realizada incompleta"),1,0)</f>
        <v/>
      </c>
      <c r="V975" s="1">
        <f>IF(L975="Sin respuesta",1,0)</f>
        <v/>
      </c>
    </row>
    <row r="976">
      <c r="A976" s="1" t="str"/>
      <c r="B976" s="1" t="str"/>
      <c r="C976" s="1" t="str"/>
      <c r="D976" s="1" t="str"/>
      <c r="E976" s="1" t="str"/>
      <c r="F976" s="1" t="str"/>
      <c r="G976" s="1" t="str"/>
      <c r="H976" s="1" t="str"/>
      <c r="I976" s="2" t="str"/>
      <c r="J976" s="2" t="str"/>
      <c r="K976" s="2" t="str"/>
      <c r="L976" s="1" t="str"/>
      <c r="M976" s="2" t="str"/>
      <c r="N976" s="2" t="str"/>
      <c r="O976" s="1" t="str"/>
      <c r="P976" s="1" t="str"/>
      <c r="Q976" s="1" t="str"/>
      <c r="R976" s="1">
        <f>IF(H976="Sí",1,0)</f>
        <v/>
      </c>
      <c r="S976" s="1">
        <f>IF(L976="En coordinación",1,0)</f>
        <v/>
      </c>
      <c r="T976" s="1">
        <f>IF(L976="Aceptada",1,0)</f>
        <v/>
      </c>
      <c r="U976" s="1">
        <f>IF(OR(L976="Realizada completa",L976="Realizada incompleta"),1,0)</f>
        <v/>
      </c>
      <c r="V976" s="1">
        <f>IF(L976="Sin respuesta",1,0)</f>
        <v/>
      </c>
    </row>
    <row r="977">
      <c r="A977" s="1" t="str"/>
      <c r="B977" s="1" t="str"/>
      <c r="C977" s="1" t="str"/>
      <c r="D977" s="1" t="str"/>
      <c r="E977" s="1" t="str"/>
      <c r="F977" s="1" t="str"/>
      <c r="G977" s="1" t="str"/>
      <c r="H977" s="1" t="str"/>
      <c r="I977" s="2" t="str"/>
      <c r="J977" s="2" t="str"/>
      <c r="K977" s="2" t="str"/>
      <c r="L977" s="1" t="str"/>
      <c r="M977" s="2" t="str"/>
      <c r="N977" s="2" t="str"/>
      <c r="O977" s="1" t="str"/>
      <c r="P977" s="1" t="str"/>
      <c r="Q977" s="1" t="str"/>
      <c r="R977" s="1">
        <f>IF(H977="Sí",1,0)</f>
        <v/>
      </c>
      <c r="S977" s="1">
        <f>IF(L977="En coordinación",1,0)</f>
        <v/>
      </c>
      <c r="T977" s="1">
        <f>IF(L977="Aceptada",1,0)</f>
        <v/>
      </c>
      <c r="U977" s="1">
        <f>IF(OR(L977="Realizada completa",L977="Realizada incompleta"),1,0)</f>
        <v/>
      </c>
      <c r="V977" s="1">
        <f>IF(L977="Sin respuesta",1,0)</f>
        <v/>
      </c>
    </row>
    <row r="978">
      <c r="A978" s="1" t="str"/>
      <c r="B978" s="1" t="str"/>
      <c r="C978" s="1" t="str"/>
      <c r="D978" s="1" t="str"/>
      <c r="E978" s="1" t="str"/>
      <c r="F978" s="1" t="str"/>
      <c r="G978" s="1" t="str"/>
      <c r="H978" s="1" t="str"/>
      <c r="I978" s="2" t="str"/>
      <c r="J978" s="2" t="str"/>
      <c r="K978" s="2" t="str"/>
      <c r="L978" s="1" t="str"/>
      <c r="M978" s="2" t="str"/>
      <c r="N978" s="2" t="str"/>
      <c r="O978" s="1" t="str"/>
      <c r="P978" s="1" t="str"/>
      <c r="Q978" s="1" t="str"/>
      <c r="R978" s="1">
        <f>IF(H978="Sí",1,0)</f>
        <v/>
      </c>
      <c r="S978" s="1">
        <f>IF(L978="En coordinación",1,0)</f>
        <v/>
      </c>
      <c r="T978" s="1">
        <f>IF(L978="Aceptada",1,0)</f>
        <v/>
      </c>
      <c r="U978" s="1">
        <f>IF(OR(L978="Realizada completa",L978="Realizada incompleta"),1,0)</f>
        <v/>
      </c>
      <c r="V978" s="1">
        <f>IF(L978="Sin respuesta",1,0)</f>
        <v/>
      </c>
    </row>
    <row r="979">
      <c r="A979" s="1" t="str"/>
      <c r="B979" s="1" t="str"/>
      <c r="C979" s="1" t="str"/>
      <c r="D979" s="1" t="str"/>
      <c r="E979" s="1" t="str"/>
      <c r="F979" s="1" t="str"/>
      <c r="G979" s="1" t="str"/>
      <c r="H979" s="1" t="str"/>
      <c r="I979" s="2" t="str"/>
      <c r="J979" s="2" t="str"/>
      <c r="K979" s="2" t="str"/>
      <c r="L979" s="1" t="str"/>
      <c r="M979" s="2" t="str"/>
      <c r="N979" s="2" t="str"/>
      <c r="O979" s="1" t="str"/>
      <c r="P979" s="1" t="str"/>
      <c r="Q979" s="1" t="str"/>
      <c r="R979" s="1">
        <f>IF(H979="Sí",1,0)</f>
        <v/>
      </c>
      <c r="S979" s="1">
        <f>IF(L979="En coordinación",1,0)</f>
        <v/>
      </c>
      <c r="T979" s="1">
        <f>IF(L979="Aceptada",1,0)</f>
        <v/>
      </c>
      <c r="U979" s="1">
        <f>IF(OR(L979="Realizada completa",L979="Realizada incompleta"),1,0)</f>
        <v/>
      </c>
      <c r="V979" s="1">
        <f>IF(L979="Sin respuesta",1,0)</f>
        <v/>
      </c>
    </row>
    <row r="980">
      <c r="A980" s="1" t="str"/>
      <c r="B980" s="1" t="str"/>
      <c r="C980" s="1" t="str"/>
      <c r="D980" s="1" t="str"/>
      <c r="E980" s="1" t="str"/>
      <c r="F980" s="1" t="str"/>
      <c r="G980" s="1" t="str"/>
      <c r="H980" s="1" t="str"/>
      <c r="I980" s="2" t="str"/>
      <c r="J980" s="2" t="str"/>
      <c r="K980" s="2" t="str"/>
      <c r="L980" s="1" t="str"/>
      <c r="M980" s="2" t="str"/>
      <c r="N980" s="2" t="str"/>
      <c r="O980" s="1" t="str"/>
      <c r="P980" s="1" t="str"/>
      <c r="Q980" s="1" t="str"/>
      <c r="R980" s="1">
        <f>IF(H980="Sí",1,0)</f>
        <v/>
      </c>
      <c r="S980" s="1">
        <f>IF(L980="En coordinación",1,0)</f>
        <v/>
      </c>
      <c r="T980" s="1">
        <f>IF(L980="Aceptada",1,0)</f>
        <v/>
      </c>
      <c r="U980" s="1">
        <f>IF(OR(L980="Realizada completa",L980="Realizada incompleta"),1,0)</f>
        <v/>
      </c>
      <c r="V980" s="1">
        <f>IF(L980="Sin respuesta",1,0)</f>
        <v/>
      </c>
    </row>
    <row r="981">
      <c r="A981" s="1" t="str"/>
      <c r="B981" s="1" t="str"/>
      <c r="C981" s="1" t="str"/>
      <c r="D981" s="1" t="str"/>
      <c r="E981" s="1" t="str"/>
      <c r="F981" s="1" t="str"/>
      <c r="G981" s="1" t="str"/>
      <c r="H981" s="1" t="str"/>
      <c r="I981" s="2" t="str"/>
      <c r="J981" s="2" t="str"/>
      <c r="K981" s="2" t="str"/>
      <c r="L981" s="1" t="str"/>
      <c r="M981" s="2" t="str"/>
      <c r="N981" s="2" t="str"/>
      <c r="O981" s="1" t="str"/>
      <c r="P981" s="1" t="str"/>
      <c r="Q981" s="1" t="str"/>
      <c r="R981" s="1">
        <f>IF(H981="Sí",1,0)</f>
        <v/>
      </c>
      <c r="S981" s="1">
        <f>IF(L981="En coordinación",1,0)</f>
        <v/>
      </c>
      <c r="T981" s="1">
        <f>IF(L981="Aceptada",1,0)</f>
        <v/>
      </c>
      <c r="U981" s="1">
        <f>IF(OR(L981="Realizada completa",L981="Realizada incompleta"),1,0)</f>
        <v/>
      </c>
      <c r="V981" s="1">
        <f>IF(L981="Sin respuesta",1,0)</f>
        <v/>
      </c>
    </row>
    <row r="982">
      <c r="A982" s="1" t="str"/>
      <c r="B982" s="1" t="str"/>
      <c r="C982" s="1" t="str"/>
      <c r="D982" s="1" t="str"/>
      <c r="E982" s="1" t="str"/>
      <c r="F982" s="1" t="str"/>
      <c r="G982" s="1" t="str"/>
      <c r="H982" s="1" t="str"/>
      <c r="I982" s="2" t="str"/>
      <c r="J982" s="2" t="str"/>
      <c r="K982" s="2" t="str"/>
      <c r="L982" s="1" t="str"/>
      <c r="M982" s="2" t="str"/>
      <c r="N982" s="2" t="str"/>
      <c r="O982" s="1" t="str"/>
      <c r="P982" s="1" t="str"/>
      <c r="Q982" s="1" t="str"/>
      <c r="R982" s="1">
        <f>IF(H982="Sí",1,0)</f>
        <v/>
      </c>
      <c r="S982" s="1">
        <f>IF(L982="En coordinación",1,0)</f>
        <v/>
      </c>
      <c r="T982" s="1">
        <f>IF(L982="Aceptada",1,0)</f>
        <v/>
      </c>
      <c r="U982" s="1">
        <f>IF(OR(L982="Realizada completa",L982="Realizada incompleta"),1,0)</f>
        <v/>
      </c>
      <c r="V982" s="1">
        <f>IF(L982="Sin respuesta",1,0)</f>
        <v/>
      </c>
    </row>
    <row r="983">
      <c r="A983" s="1" t="str"/>
      <c r="B983" s="1" t="str"/>
      <c r="C983" s="1" t="str"/>
      <c r="D983" s="1" t="str"/>
      <c r="E983" s="1" t="str"/>
      <c r="F983" s="1" t="str"/>
      <c r="G983" s="1" t="str"/>
      <c r="H983" s="1" t="str"/>
      <c r="I983" s="2" t="str"/>
      <c r="J983" s="2" t="str"/>
      <c r="K983" s="2" t="str"/>
      <c r="L983" s="1" t="str"/>
      <c r="M983" s="2" t="str"/>
      <c r="N983" s="2" t="str"/>
      <c r="O983" s="1" t="str"/>
      <c r="P983" s="1" t="str"/>
      <c r="Q983" s="1" t="str"/>
      <c r="R983" s="1">
        <f>IF(H983="Sí",1,0)</f>
        <v/>
      </c>
      <c r="S983" s="1">
        <f>IF(L983="En coordinación",1,0)</f>
        <v/>
      </c>
      <c r="T983" s="1">
        <f>IF(L983="Aceptada",1,0)</f>
        <v/>
      </c>
      <c r="U983" s="1">
        <f>IF(OR(L983="Realizada completa",L983="Realizada incompleta"),1,0)</f>
        <v/>
      </c>
      <c r="V983" s="1">
        <f>IF(L983="Sin respuesta",1,0)</f>
        <v/>
      </c>
    </row>
    <row r="984">
      <c r="A984" s="1" t="str"/>
      <c r="B984" s="1" t="str"/>
      <c r="C984" s="1" t="str"/>
      <c r="D984" s="1" t="str"/>
      <c r="E984" s="1" t="str"/>
      <c r="F984" s="1" t="str"/>
      <c r="G984" s="1" t="str"/>
      <c r="H984" s="1" t="str"/>
      <c r="I984" s="2" t="str"/>
      <c r="J984" s="2" t="str"/>
      <c r="K984" s="2" t="str"/>
      <c r="L984" s="1" t="str"/>
      <c r="M984" s="2" t="str"/>
      <c r="N984" s="2" t="str"/>
      <c r="O984" s="1" t="str"/>
      <c r="P984" s="1" t="str"/>
      <c r="Q984" s="1" t="str"/>
      <c r="R984" s="1">
        <f>IF(H984="Sí",1,0)</f>
        <v/>
      </c>
      <c r="S984" s="1">
        <f>IF(L984="En coordinación",1,0)</f>
        <v/>
      </c>
      <c r="T984" s="1">
        <f>IF(L984="Aceptada",1,0)</f>
        <v/>
      </c>
      <c r="U984" s="1">
        <f>IF(OR(L984="Realizada completa",L984="Realizada incompleta"),1,0)</f>
        <v/>
      </c>
      <c r="V984" s="1">
        <f>IF(L984="Sin respuesta",1,0)</f>
        <v/>
      </c>
    </row>
    <row r="985">
      <c r="A985" s="1" t="str"/>
      <c r="B985" s="1" t="str"/>
      <c r="C985" s="1" t="str"/>
      <c r="D985" s="1" t="str"/>
      <c r="E985" s="1" t="str"/>
      <c r="F985" s="1" t="str"/>
      <c r="G985" s="1" t="str"/>
      <c r="H985" s="1" t="str"/>
      <c r="I985" s="2" t="str"/>
      <c r="J985" s="2" t="str"/>
      <c r="K985" s="2" t="str"/>
      <c r="L985" s="1" t="str"/>
      <c r="M985" s="2" t="str"/>
      <c r="N985" s="2" t="str"/>
      <c r="O985" s="1" t="str"/>
      <c r="P985" s="1" t="str"/>
      <c r="Q985" s="1" t="str"/>
      <c r="R985" s="1">
        <f>IF(H985="Sí",1,0)</f>
        <v/>
      </c>
      <c r="S985" s="1">
        <f>IF(L985="En coordinación",1,0)</f>
        <v/>
      </c>
      <c r="T985" s="1">
        <f>IF(L985="Aceptada",1,0)</f>
        <v/>
      </c>
      <c r="U985" s="1">
        <f>IF(OR(L985="Realizada completa",L985="Realizada incompleta"),1,0)</f>
        <v/>
      </c>
      <c r="V985" s="1">
        <f>IF(L985="Sin respuesta",1,0)</f>
        <v/>
      </c>
    </row>
    <row r="986">
      <c r="A986" s="1" t="str"/>
      <c r="B986" s="1" t="str"/>
      <c r="C986" s="1" t="str"/>
      <c r="D986" s="1" t="str"/>
      <c r="E986" s="1" t="str"/>
      <c r="F986" s="1" t="str"/>
      <c r="G986" s="1" t="str"/>
      <c r="H986" s="1" t="str"/>
      <c r="I986" s="2" t="str"/>
      <c r="J986" s="2" t="str"/>
      <c r="K986" s="2" t="str"/>
      <c r="L986" s="1" t="str"/>
      <c r="M986" s="2" t="str"/>
      <c r="N986" s="2" t="str"/>
      <c r="O986" s="1" t="str"/>
      <c r="P986" s="1" t="str"/>
      <c r="Q986" s="1" t="str"/>
      <c r="R986" s="1">
        <f>IF(H986="Sí",1,0)</f>
        <v/>
      </c>
      <c r="S986" s="1">
        <f>IF(L986="En coordinación",1,0)</f>
        <v/>
      </c>
      <c r="T986" s="1">
        <f>IF(L986="Aceptada",1,0)</f>
        <v/>
      </c>
      <c r="U986" s="1">
        <f>IF(OR(L986="Realizada completa",L986="Realizada incompleta"),1,0)</f>
        <v/>
      </c>
      <c r="V986" s="1">
        <f>IF(L986="Sin respuesta",1,0)</f>
        <v/>
      </c>
    </row>
    <row r="987">
      <c r="A987" s="1" t="str"/>
      <c r="B987" s="1" t="str"/>
      <c r="C987" s="1" t="str"/>
      <c r="D987" s="1" t="str"/>
      <c r="E987" s="1" t="str"/>
      <c r="F987" s="1" t="str"/>
      <c r="G987" s="1" t="str"/>
      <c r="H987" s="1" t="str"/>
      <c r="I987" s="2" t="str"/>
      <c r="J987" s="2" t="str"/>
      <c r="K987" s="2" t="str"/>
      <c r="L987" s="1" t="str"/>
      <c r="M987" s="2" t="str"/>
      <c r="N987" s="2" t="str"/>
      <c r="O987" s="1" t="str"/>
      <c r="P987" s="1" t="str"/>
      <c r="Q987" s="1" t="str"/>
      <c r="R987" s="1">
        <f>IF(H987="Sí",1,0)</f>
        <v/>
      </c>
      <c r="S987" s="1">
        <f>IF(L987="En coordinación",1,0)</f>
        <v/>
      </c>
      <c r="T987" s="1">
        <f>IF(L987="Aceptada",1,0)</f>
        <v/>
      </c>
      <c r="U987" s="1">
        <f>IF(OR(L987="Realizada completa",L987="Realizada incompleta"),1,0)</f>
        <v/>
      </c>
      <c r="V987" s="1">
        <f>IF(L987="Sin respuesta",1,0)</f>
        <v/>
      </c>
    </row>
    <row r="988">
      <c r="A988" s="1" t="str"/>
      <c r="B988" s="1" t="str"/>
      <c r="C988" s="1" t="str"/>
      <c r="D988" s="1" t="str"/>
      <c r="E988" s="1" t="str"/>
      <c r="F988" s="1" t="str"/>
      <c r="G988" s="1" t="str"/>
      <c r="H988" s="1" t="str"/>
      <c r="I988" s="2" t="str"/>
      <c r="J988" s="2" t="str"/>
      <c r="K988" s="2" t="str"/>
      <c r="L988" s="1" t="str"/>
      <c r="M988" s="2" t="str"/>
      <c r="N988" s="2" t="str"/>
      <c r="O988" s="1" t="str"/>
      <c r="P988" s="1" t="str"/>
      <c r="Q988" s="1" t="str"/>
      <c r="R988" s="1">
        <f>IF(H988="Sí",1,0)</f>
        <v/>
      </c>
      <c r="S988" s="1">
        <f>IF(L988="En coordinación",1,0)</f>
        <v/>
      </c>
      <c r="T988" s="1">
        <f>IF(L988="Aceptada",1,0)</f>
        <v/>
      </c>
      <c r="U988" s="1">
        <f>IF(OR(L988="Realizada completa",L988="Realizada incompleta"),1,0)</f>
        <v/>
      </c>
      <c r="V988" s="1">
        <f>IF(L988="Sin respuesta",1,0)</f>
        <v/>
      </c>
    </row>
    <row r="989">
      <c r="A989" s="1" t="str"/>
      <c r="B989" s="1" t="str"/>
      <c r="C989" s="1" t="str"/>
      <c r="D989" s="1" t="str"/>
      <c r="E989" s="1" t="str"/>
      <c r="F989" s="1" t="str"/>
      <c r="G989" s="1" t="str"/>
      <c r="H989" s="1" t="str"/>
      <c r="I989" s="2" t="str"/>
      <c r="J989" s="2" t="str"/>
      <c r="K989" s="2" t="str"/>
      <c r="L989" s="1" t="str"/>
      <c r="M989" s="2" t="str"/>
      <c r="N989" s="2" t="str"/>
      <c r="O989" s="1" t="str"/>
      <c r="P989" s="1" t="str"/>
      <c r="Q989" s="1" t="str"/>
      <c r="R989" s="1">
        <f>IF(H989="Sí",1,0)</f>
        <v/>
      </c>
      <c r="S989" s="1">
        <f>IF(L989="En coordinación",1,0)</f>
        <v/>
      </c>
      <c r="T989" s="1">
        <f>IF(L989="Aceptada",1,0)</f>
        <v/>
      </c>
      <c r="U989" s="1">
        <f>IF(OR(L989="Realizada completa",L989="Realizada incompleta"),1,0)</f>
        <v/>
      </c>
      <c r="V989" s="1">
        <f>IF(L989="Sin respuesta",1,0)</f>
        <v/>
      </c>
    </row>
    <row r="990">
      <c r="A990" s="1" t="str"/>
      <c r="B990" s="1" t="str"/>
      <c r="C990" s="1" t="str"/>
      <c r="D990" s="1" t="str"/>
      <c r="E990" s="1" t="str"/>
      <c r="F990" s="1" t="str"/>
      <c r="G990" s="1" t="str"/>
      <c r="H990" s="1" t="str"/>
      <c r="I990" s="2" t="str"/>
      <c r="J990" s="2" t="str"/>
      <c r="K990" s="2" t="str"/>
      <c r="L990" s="1" t="str"/>
      <c r="M990" s="2" t="str"/>
      <c r="N990" s="2" t="str"/>
      <c r="O990" s="1" t="str"/>
      <c r="P990" s="1" t="str"/>
      <c r="Q990" s="1" t="str"/>
      <c r="R990" s="1">
        <f>IF(H990="Sí",1,0)</f>
        <v/>
      </c>
      <c r="S990" s="1">
        <f>IF(L990="En coordinación",1,0)</f>
        <v/>
      </c>
      <c r="T990" s="1">
        <f>IF(L990="Aceptada",1,0)</f>
        <v/>
      </c>
      <c r="U990" s="1">
        <f>IF(OR(L990="Realizada completa",L990="Realizada incompleta"),1,0)</f>
        <v/>
      </c>
      <c r="V990" s="1">
        <f>IF(L990="Sin respuesta",1,0)</f>
        <v/>
      </c>
    </row>
    <row r="991">
      <c r="A991" s="1" t="str"/>
      <c r="B991" s="1" t="str"/>
      <c r="C991" s="1" t="str"/>
      <c r="D991" s="1" t="str"/>
      <c r="E991" s="1" t="str"/>
      <c r="F991" s="1" t="str"/>
      <c r="G991" s="1" t="str"/>
      <c r="H991" s="1" t="str"/>
      <c r="I991" s="2" t="str"/>
      <c r="J991" s="2" t="str"/>
      <c r="K991" s="2" t="str"/>
      <c r="L991" s="1" t="str"/>
      <c r="M991" s="2" t="str"/>
      <c r="N991" s="2" t="str"/>
      <c r="O991" s="1" t="str"/>
      <c r="P991" s="1" t="str"/>
      <c r="Q991" s="1" t="str"/>
      <c r="R991" s="1">
        <f>IF(H991="Sí",1,0)</f>
        <v/>
      </c>
      <c r="S991" s="1">
        <f>IF(L991="En coordinación",1,0)</f>
        <v/>
      </c>
      <c r="T991" s="1">
        <f>IF(L991="Aceptada",1,0)</f>
        <v/>
      </c>
      <c r="U991" s="1">
        <f>IF(OR(L991="Realizada completa",L991="Realizada incompleta"),1,0)</f>
        <v/>
      </c>
      <c r="V991" s="1">
        <f>IF(L991="Sin respuesta",1,0)</f>
        <v/>
      </c>
    </row>
    <row r="992">
      <c r="A992" s="1" t="str"/>
      <c r="B992" s="1" t="str"/>
      <c r="C992" s="1" t="str"/>
      <c r="D992" s="1" t="str"/>
      <c r="E992" s="1" t="str"/>
      <c r="F992" s="1" t="str"/>
      <c r="G992" s="1" t="str"/>
      <c r="H992" s="1" t="str"/>
      <c r="I992" s="2" t="str"/>
      <c r="J992" s="2" t="str"/>
      <c r="K992" s="2" t="str"/>
      <c r="L992" s="1" t="str"/>
      <c r="M992" s="2" t="str"/>
      <c r="N992" s="2" t="str"/>
      <c r="O992" s="1" t="str"/>
      <c r="P992" s="1" t="str"/>
      <c r="Q992" s="1" t="str"/>
      <c r="R992" s="1">
        <f>IF(H992="Sí",1,0)</f>
        <v/>
      </c>
      <c r="S992" s="1">
        <f>IF(L992="En coordinación",1,0)</f>
        <v/>
      </c>
      <c r="T992" s="1">
        <f>IF(L992="Aceptada",1,0)</f>
        <v/>
      </c>
      <c r="U992" s="1">
        <f>IF(OR(L992="Realizada completa",L992="Realizada incompleta"),1,0)</f>
        <v/>
      </c>
      <c r="V992" s="1">
        <f>IF(L992="Sin respuesta",1,0)</f>
        <v/>
      </c>
    </row>
    <row r="993">
      <c r="A993" s="1" t="str"/>
      <c r="B993" s="1" t="str"/>
      <c r="C993" s="1" t="str"/>
      <c r="D993" s="1" t="str"/>
      <c r="E993" s="1" t="str"/>
      <c r="F993" s="1" t="str"/>
      <c r="G993" s="1" t="str"/>
      <c r="H993" s="1" t="str"/>
      <c r="I993" s="2" t="str"/>
      <c r="J993" s="2" t="str"/>
      <c r="K993" s="2" t="str"/>
      <c r="L993" s="1" t="str"/>
      <c r="M993" s="2" t="str"/>
      <c r="N993" s="2" t="str"/>
      <c r="O993" s="1" t="str"/>
      <c r="P993" s="1" t="str"/>
      <c r="Q993" s="1" t="str"/>
      <c r="R993" s="1">
        <f>IF(H993="Sí",1,0)</f>
        <v/>
      </c>
      <c r="S993" s="1">
        <f>IF(L993="En coordinación",1,0)</f>
        <v/>
      </c>
      <c r="T993" s="1">
        <f>IF(L993="Aceptada",1,0)</f>
        <v/>
      </c>
      <c r="U993" s="1">
        <f>IF(OR(L993="Realizada completa",L993="Realizada incompleta"),1,0)</f>
        <v/>
      </c>
      <c r="V993" s="1">
        <f>IF(L993="Sin respuesta",1,0)</f>
        <v/>
      </c>
    </row>
    <row r="994">
      <c r="A994" s="1" t="str"/>
      <c r="B994" s="1" t="str"/>
      <c r="C994" s="1" t="str"/>
      <c r="D994" s="1" t="str"/>
      <c r="E994" s="1" t="str"/>
      <c r="F994" s="1" t="str"/>
      <c r="G994" s="1" t="str"/>
      <c r="H994" s="1" t="str"/>
      <c r="I994" s="2" t="str"/>
      <c r="J994" s="2" t="str"/>
      <c r="K994" s="2" t="str"/>
      <c r="L994" s="1" t="str"/>
      <c r="M994" s="2" t="str"/>
      <c r="N994" s="2" t="str"/>
      <c r="O994" s="1" t="str"/>
      <c r="P994" s="1" t="str"/>
      <c r="Q994" s="1" t="str"/>
      <c r="R994" s="1">
        <f>IF(H994="Sí",1,0)</f>
        <v/>
      </c>
      <c r="S994" s="1">
        <f>IF(L994="En coordinación",1,0)</f>
        <v/>
      </c>
      <c r="T994" s="1">
        <f>IF(L994="Aceptada",1,0)</f>
        <v/>
      </c>
      <c r="U994" s="1">
        <f>IF(OR(L994="Realizada completa",L994="Realizada incompleta"),1,0)</f>
        <v/>
      </c>
      <c r="V994" s="1">
        <f>IF(L994="Sin respuesta",1,0)</f>
        <v/>
      </c>
    </row>
    <row r="995">
      <c r="A995" s="1" t="str"/>
      <c r="B995" s="1" t="str"/>
      <c r="C995" s="1" t="str"/>
      <c r="D995" s="1" t="str"/>
      <c r="E995" s="1" t="str"/>
      <c r="F995" s="1" t="str"/>
      <c r="G995" s="1" t="str"/>
      <c r="H995" s="1" t="str"/>
      <c r="I995" s="2" t="str"/>
      <c r="J995" s="2" t="str"/>
      <c r="K995" s="2" t="str"/>
      <c r="L995" s="1" t="str"/>
      <c r="M995" s="2" t="str"/>
      <c r="N995" s="2" t="str"/>
      <c r="O995" s="1" t="str"/>
      <c r="P995" s="1" t="str"/>
      <c r="Q995" s="1" t="str"/>
      <c r="R995" s="1">
        <f>IF(H995="Sí",1,0)</f>
        <v/>
      </c>
      <c r="S995" s="1">
        <f>IF(L995="En coordinación",1,0)</f>
        <v/>
      </c>
      <c r="T995" s="1">
        <f>IF(L995="Aceptada",1,0)</f>
        <v/>
      </c>
      <c r="U995" s="1">
        <f>IF(OR(L995="Realizada completa",L995="Realizada incompleta"),1,0)</f>
        <v/>
      </c>
      <c r="V995" s="1">
        <f>IF(L995="Sin respuesta",1,0)</f>
        <v/>
      </c>
    </row>
  </sheetData>
  <autoFilter ref="A1:V995"/>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U600"/>
  <sheetViews>
    <sheetView topLeftCell="L1" zoomScale="98" workbookViewId="0">
      <selection activeCell="P3" sqref="P3"/>
    </sheetView>
  </sheetViews>
  <sheetFormatPr baseColWidth="10" defaultRowHeight="14.5"/>
  <cols>
    <col min="1" max="1" width="16" customWidth="true"/>
    <col min="2" max="2" width="24.7265625" bestFit="true" customWidth="true"/>
    <col min="3" max="3" width="22.453125" bestFit="true" customWidth="true"/>
    <col min="4" max="5" width="22.453125" customWidth="true"/>
    <col min="6" max="9" width="16" customWidth="true"/>
    <col min="10" max="10" width="23" bestFit="true" customWidth="true"/>
    <col min="11" max="11" width="16" customWidth="true"/>
    <col min="12" max="12" width="26.1796875" bestFit="true" customWidth="true"/>
    <col min="13" max="13" width="23.7265625" bestFit="true" customWidth="true"/>
    <col min="14" max="21" width="16" customWidth="true"/>
  </cols>
  <sheetData>
    <row r="1" s="15" customFormat="true" ht="13" customHeight="true">
      <c r="A1" s="14" t="inlineStr">
        <is>
          <t>Identificador</t>
        </is>
      </c>
      <c r="B1" s="14" t="inlineStr">
        <is>
          <t>Contacto</t>
        </is>
      </c>
      <c r="C1" s="14" t="inlineStr">
        <is>
          <t>Nombre de sobreviviente</t>
        </is>
      </c>
      <c r="D1" s="14" t="inlineStr">
        <is>
          <t>Tipo de entrevista</t>
        </is>
      </c>
      <c r="E1" s="14" t="inlineStr">
        <is>
          <t>Distrito Judicial</t>
        </is>
      </c>
      <c r="F1" s="14" t="inlineStr">
        <is>
          <t>Encargado de contacto</t>
        </is>
      </c>
      <c r="G1" s="14" t="inlineStr">
        <is>
          <t>Contactada</t>
        </is>
      </c>
      <c r="H1" s="14" t="inlineStr">
        <is>
          <t>Fecha de primer contacto</t>
        </is>
      </c>
      <c r="I1" s="14" t="inlineStr">
        <is>
          <t>Fecha de segundo contacto</t>
        </is>
      </c>
      <c r="J1" s="14" t="inlineStr">
        <is>
          <t>Fecha de tercer contacto</t>
        </is>
      </c>
      <c r="K1" s="14" t="inlineStr">
        <is>
          <t>Respuesta del actor</t>
        </is>
      </c>
      <c r="L1" s="14" t="inlineStr">
        <is>
          <t>Fecha de inicio de entrevista</t>
        </is>
      </c>
      <c r="M1" s="14" t="inlineStr">
        <is>
          <t>Fecha de fin de entrevista</t>
        </is>
      </c>
      <c r="N1" s="14" t="inlineStr">
        <is>
          <t>Resultado</t>
        </is>
      </c>
      <c r="O1" s="14" t="inlineStr">
        <is>
          <t>Modalidad</t>
        </is>
      </c>
      <c r="P1" s="14" t="inlineStr">
        <is>
          <t>Duración total (min)</t>
        </is>
      </c>
      <c r="Q1" s="14" t="inlineStr">
        <is>
          <t>Dummy Contacto</t>
        </is>
      </c>
      <c r="R1" s="14" t="inlineStr">
        <is>
          <t>Dummy coordinación</t>
        </is>
      </c>
      <c r="S1" s="14" t="inlineStr">
        <is>
          <t>Dummy aceptada</t>
        </is>
      </c>
      <c r="T1" s="14" t="inlineStr">
        <is>
          <t>Dummy realizada</t>
        </is>
      </c>
      <c r="U1" s="14" t="inlineStr">
        <is>
          <t>Dummy sin respuesta</t>
        </is>
      </c>
    </row>
    <row r="2">
      <c r="A2">
        <f t="array" ref="A2:A600">++IF((Sobrevivientes!$C$2:$C$600&lt;&gt;""),Sobrevivientes!$C$2:$C$600,"")</f>
        <v/>
      </c>
      <c r="B2">
        <f t="array" ref="B2:B600">++IF((Sobrevivientes!$D$2:$D$600&lt;&gt;""),Sobrevivientes!$D$2:$D$600,"")</f>
        <v/>
      </c>
      <c r="C2">
        <f t="array" ref="C2:C600">++IF((Sobrevivientes!$F$2:$F$600&lt;&gt;""),Sobrevivientes!$F$2:$F$600,"")</f>
        <v/>
      </c>
      <c r="D2">
        <f t="array" ref="D2:D600">++IF((Sobrevivientes!$G$2:$G$600&lt;&gt;""),Sobrevivientes!$G$2:$G$600,"")</f>
        <v/>
      </c>
      <c r="E2">
        <f t="array" ref="E2:E600">++IF((Sobrevivientes!$E$2:$E$600&lt;&gt;""),Sobrevivientes!$E$2:$E$600,"")</f>
        <v/>
      </c>
      <c r="F2">
        <f t="array" ref="F2:F600">++IF((Sobrevivientes!$I$2:$I$600&lt;&gt;""),Sobrevivientes!$I$2:$I$600,"")</f>
        <v/>
      </c>
      <c r="G2">
        <f t="array" ref="G2:G600">++IF((Sobrevivientes!$J$2:$J$600&lt;&gt;""),Sobrevivientes!$J$2:$J$600,"")</f>
        <v/>
      </c>
      <c r="H2">
        <f t="array" ref="H2:H600">++IF((Sobrevivientes!$L$2:$L$600&lt;&gt;""),Sobrevivientes!$L$2:$L$600,"")</f>
        <v/>
      </c>
      <c r="I2">
        <f t="array" ref="I2:I600">++IF((Sobrevivientes!$M$2:$M$600&lt;&gt;""),Sobrevivientes!$M$2:$M$600,"")</f>
        <v/>
      </c>
      <c r="J2">
        <f t="array" ref="J2:J600">++IF((Sobrevivientes!$N$2:$N$600&lt;&gt;""),Sobrevivientes!$N2:$N$600,"")</f>
        <v/>
      </c>
      <c r="K2">
        <f t="array" ref="K2:K600">++IF((Sobrevivientes!$K$2:$K$600&lt;&gt;""),Sobrevivientes!$K$2:$K$600,"")</f>
        <v/>
      </c>
      <c r="L2">
        <f t="array" ref="L2:L600">++IF((Sobrevivientes!$P$2:$P$600&lt;&gt;""),Sobrevivientes!$P$2:$P$600,"")</f>
        <v/>
      </c>
      <c r="M2">
        <f t="array" ref="M2:M600">++IF((Sobrevivientes!$Q$2:$Q$600&lt;&gt;""),Sobrevivientes!$Q$2:$Q$600,"")</f>
        <v/>
      </c>
      <c r="N2">
        <f t="array" ref="N2:N600">++IF((Sobrevivientes!$S$2:$S$600&lt;&gt;""),Sobrevivientes!$S$2:$S$600,"")</f>
        <v/>
      </c>
      <c r="O2">
        <f t="array" ref="O2:O600">++IF((Sobrevivientes!$R$2:$R$600&lt;&gt;""),Sobrevivientes!$R$2:$R$600,"")</f>
        <v/>
      </c>
      <c r="P2">
        <f t="array" ref="P2:P600">++IF((Sobrevivientes!$T$2:$T$600&lt;&gt;""),Sobrevivientes!$T$2:$T$600,"")</f>
        <v/>
      </c>
      <c r="Q2">
        <f>IF(G2="Sí",1,0)</f>
        <v/>
      </c>
      <c r="R2">
        <f>IF(K2="En coordinación",1,0)</f>
        <v/>
      </c>
      <c r="S2">
        <f>IF(K2="En coordinación",1,0)</f>
        <v/>
      </c>
      <c r="T2">
        <f>IF(K2="Realizada completa",1,0)</f>
        <v/>
      </c>
      <c r="U2">
        <f>IF(K2="Sin respuesta",1,0)</f>
        <v/>
      </c>
    </row>
    <row r="3">
      <c r="A3" t="inlineStr">
        <is>
          <t>2</t>
        </is>
      </c>
      <c r="B3" t="inlineStr">
        <is>
          <t>Leyden María Capa Barrios</t>
        </is>
      </c>
      <c r="C3" t="inlineStr">
        <is>
          <t>CRISTINA MENDOZA (Lideresa)</t>
        </is>
      </c>
      <c r="D3" t="inlineStr">
        <is>
          <t>Líder sobreviviente</t>
        </is>
      </c>
      <c r="E3" t="inlineStr">
        <is>
          <t>Distrito Judicial: Callao</t>
        </is>
      </c>
      <c r="G3" t="inlineStr">
        <is>
          <t>No</t>
        </is>
      </c>
      <c r="H3" s="16" t="str"/>
      <c r="K3" t="inlineStr">
        <is>
          <t>En coordinación</t>
        </is>
      </c>
      <c r="L3" s="16" t="str"/>
      <c r="M3" s="16" t="str"/>
      <c r="Q3">
        <f>IF(G3="Sí",1,0)</f>
        <v/>
      </c>
      <c r="R3">
        <f>IF(K3="En coordinación",1,0)</f>
        <v/>
      </c>
      <c r="S3">
        <f>IF(K3="En coordinación",1,0)</f>
        <v/>
      </c>
      <c r="T3">
        <f>IF(K3="Realizada completa",1,0)</f>
        <v/>
      </c>
      <c r="U3">
        <f>IF(K3="Sin respuesta",1,0)</f>
        <v/>
      </c>
    </row>
    <row r="4">
      <c r="A4" t="inlineStr">
        <is>
          <t>3</t>
        </is>
      </c>
      <c r="B4" t="inlineStr">
        <is>
          <t>Leyden María Capa Barrios</t>
        </is>
      </c>
      <c r="C4" t="inlineStr">
        <is>
          <t>Naidolith Peña (Líder)</t>
        </is>
      </c>
      <c r="D4" t="inlineStr">
        <is>
          <t>Líder sobreviviente</t>
        </is>
      </c>
      <c r="E4" t="inlineStr">
        <is>
          <t>Distrito Judicial: Callao</t>
        </is>
      </c>
      <c r="G4" t="inlineStr">
        <is>
          <t>No</t>
        </is>
      </c>
      <c r="H4" s="16" t="str"/>
      <c r="K4" t="inlineStr">
        <is>
          <t>En coordinación</t>
        </is>
      </c>
      <c r="Q4">
        <f>IF(G4="Sí",1,0)</f>
        <v/>
      </c>
      <c r="R4">
        <f>IF(K4="En coordinación",1,0)</f>
        <v/>
      </c>
      <c r="S4">
        <f>IF(K4="En coordinación",1,0)</f>
        <v/>
      </c>
      <c r="T4">
        <f>IF(K4="Realizada completa",1,0)</f>
        <v/>
      </c>
      <c r="U4">
        <f>IF(K4="Sin respuesta",1,0)</f>
        <v/>
      </c>
    </row>
    <row r="5">
      <c r="A5" t="inlineStr">
        <is>
          <t>4</t>
        </is>
      </c>
      <c r="B5" t="inlineStr">
        <is>
          <t>Leyden María Capa Barrios</t>
        </is>
      </c>
      <c r="C5" t="inlineStr">
        <is>
          <t>Martha Quispe</t>
        </is>
      </c>
      <c r="D5" t="inlineStr">
        <is>
          <t>Líder sobreviviente</t>
        </is>
      </c>
      <c r="E5" t="inlineStr">
        <is>
          <t>Distrito Judicial: Callao</t>
        </is>
      </c>
      <c r="G5" t="inlineStr">
        <is>
          <t>No</t>
        </is>
      </c>
      <c r="K5" t="inlineStr">
        <is>
          <t>En coordinación</t>
        </is>
      </c>
      <c r="Q5">
        <f>IF(G5="Sí",1,0)</f>
        <v/>
      </c>
      <c r="R5">
        <f>IF(K5="En coordinación",1,0)</f>
        <v/>
      </c>
      <c r="S5">
        <f>IF(K5="En coordinación",1,0)</f>
        <v/>
      </c>
      <c r="T5">
        <f>IF(K5="Realizada completa",1,0)</f>
        <v/>
      </c>
      <c r="U5">
        <f>IF(K5="Sin respuesta",1,0)</f>
        <v/>
      </c>
    </row>
    <row r="6">
      <c r="A6" t="inlineStr">
        <is>
          <t>5</t>
        </is>
      </c>
      <c r="B6" t="inlineStr">
        <is>
          <t>Líder</t>
        </is>
      </c>
      <c r="D6" t="inlineStr">
        <is>
          <t>Líder sobreviviente</t>
        </is>
      </c>
      <c r="E6" t="inlineStr">
        <is>
          <t>Distrito Judicial: Huánuco</t>
        </is>
      </c>
      <c r="F6" t="inlineStr">
        <is>
          <t>APOYO</t>
        </is>
      </c>
      <c r="G6" t="inlineStr">
        <is>
          <t>Sí</t>
        </is>
      </c>
      <c r="K6" t="inlineStr">
        <is>
          <t>Realizada completa</t>
        </is>
      </c>
      <c r="N6" t="inlineStr">
        <is>
          <t>Realizada completa</t>
        </is>
      </c>
      <c r="O6" t="inlineStr">
        <is>
          <t>Presencial</t>
        </is>
      </c>
      <c r="Q6">
        <f>IF(G6="Sí",1,0)</f>
        <v/>
      </c>
      <c r="R6">
        <f>IF(K6="En coordinación",1,0)</f>
        <v/>
      </c>
      <c r="S6">
        <f>IF(K6="En coordinación",1,0)</f>
        <v/>
      </c>
      <c r="T6">
        <f>IF(K6="Realizada completa",1,0)</f>
        <v/>
      </c>
      <c r="U6">
        <f>IF(K6="Sin respuesta",1,0)</f>
        <v/>
      </c>
    </row>
    <row r="7">
      <c r="A7" t="inlineStr">
        <is>
          <t>6</t>
        </is>
      </c>
      <c r="B7" t="inlineStr">
        <is>
          <t>Sobreviviente01</t>
        </is>
      </c>
      <c r="D7" t="inlineStr">
        <is>
          <t>Sobreviviente</t>
        </is>
      </c>
      <c r="E7" t="inlineStr">
        <is>
          <t>Distrito Judicial: Huánuco</t>
        </is>
      </c>
      <c r="F7" t="inlineStr">
        <is>
          <t>APOYO</t>
        </is>
      </c>
      <c r="G7" t="inlineStr">
        <is>
          <t>Sí</t>
        </is>
      </c>
      <c r="K7" t="inlineStr">
        <is>
          <t>Realizada completa</t>
        </is>
      </c>
      <c r="N7" t="inlineStr">
        <is>
          <t>Realizada completa</t>
        </is>
      </c>
      <c r="O7" t="inlineStr">
        <is>
          <t>Presencial</t>
        </is>
      </c>
      <c r="Q7">
        <f>IF(G7="Sí",1,0)</f>
        <v/>
      </c>
      <c r="R7">
        <f>IF(K7="En coordinación",1,0)</f>
        <v/>
      </c>
      <c r="S7">
        <f>IF(K7="En coordinación",1,0)</f>
        <v/>
      </c>
      <c r="T7">
        <f>IF(K7="Realizada completa",1,0)</f>
        <v/>
      </c>
      <c r="U7">
        <f>IF(K7="Sin respuesta",1,0)</f>
        <v/>
      </c>
    </row>
    <row r="8">
      <c r="A8" t="inlineStr">
        <is>
          <t>7</t>
        </is>
      </c>
      <c r="B8" t="inlineStr">
        <is>
          <t>Sobreviviente02</t>
        </is>
      </c>
      <c r="D8" t="inlineStr">
        <is>
          <t>Sobreviviente</t>
        </is>
      </c>
      <c r="E8" t="inlineStr">
        <is>
          <t>Distrito Judicial: Huánuco</t>
        </is>
      </c>
      <c r="F8" t="inlineStr">
        <is>
          <t>APOYO</t>
        </is>
      </c>
      <c r="G8" t="inlineStr">
        <is>
          <t>Sí</t>
        </is>
      </c>
      <c r="K8" t="inlineStr">
        <is>
          <t>Realizada completa</t>
        </is>
      </c>
      <c r="N8" t="inlineStr">
        <is>
          <t>Realizada completa</t>
        </is>
      </c>
      <c r="O8" t="inlineStr">
        <is>
          <t>Virtual</t>
        </is>
      </c>
      <c r="Q8">
        <f>IF(G8="Sí",1,0)</f>
        <v/>
      </c>
      <c r="R8">
        <f>IF(K8="En coordinación",1,0)</f>
        <v/>
      </c>
      <c r="S8">
        <f>IF(K8="En coordinación",1,0)</f>
        <v/>
      </c>
      <c r="T8">
        <f>IF(K8="Realizada completa",1,0)</f>
        <v/>
      </c>
      <c r="U8">
        <f>IF(K8="Sin respuesta",1,0)</f>
        <v/>
      </c>
    </row>
    <row r="9">
      <c r="A9" t="inlineStr">
        <is>
          <t>8</t>
        </is>
      </c>
      <c r="B9" t="inlineStr">
        <is>
          <t>Marlene Vivanco</t>
        </is>
      </c>
      <c r="C9" t="inlineStr">
        <is>
          <t>Federica</t>
        </is>
      </c>
      <c r="D9" t="inlineStr">
        <is>
          <t>Sobreviviente</t>
        </is>
      </c>
      <c r="E9" t="inlineStr">
        <is>
          <t>Distrito Judicial: Lima</t>
        </is>
      </c>
      <c r="F9" t="inlineStr">
        <is>
          <t>APOYO</t>
        </is>
      </c>
      <c r="G9" t="inlineStr">
        <is>
          <t>Sí</t>
        </is>
      </c>
      <c r="Q9">
        <f>IF(G9="Sí",1,0)</f>
        <v/>
      </c>
      <c r="R9">
        <f>IF(K9="En coordinación",1,0)</f>
        <v/>
      </c>
      <c r="S9">
        <f>IF(K9="En coordinación",1,0)</f>
        <v/>
      </c>
      <c r="T9">
        <f>IF(K9="Realizada completa",1,0)</f>
        <v/>
      </c>
      <c r="U9">
        <f>IF(K9="Sin respuesta",1,0)</f>
        <v/>
      </c>
    </row>
    <row r="10">
      <c r="A10" s="25" t="inlineStr">
        <is>
          <t>9</t>
        </is>
      </c>
      <c r="B10" t="inlineStr">
        <is>
          <t>Líder</t>
        </is>
      </c>
      <c r="D10" t="inlineStr">
        <is>
          <t>Líder sobreviviente</t>
        </is>
      </c>
      <c r="E10" t="inlineStr">
        <is>
          <t>Distrito Judicial: Apurímac</t>
        </is>
      </c>
      <c r="F10" t="inlineStr">
        <is>
          <t>APOYO</t>
        </is>
      </c>
      <c r="G10" t="inlineStr">
        <is>
          <t>Sí</t>
        </is>
      </c>
      <c r="K10" t="inlineStr">
        <is>
          <t>Realizada completa</t>
        </is>
      </c>
      <c r="N10" t="inlineStr">
        <is>
          <t>Realizada completa</t>
        </is>
      </c>
      <c r="O10" t="inlineStr">
        <is>
          <t>Presencial</t>
        </is>
      </c>
      <c r="Q10">
        <f>IF(G10="Sí",1,0)</f>
        <v/>
      </c>
      <c r="R10">
        <f>IF(K10="En coordinación",1,0)</f>
        <v/>
      </c>
      <c r="S10">
        <f>IF(K10="En coordinación",1,0)</f>
        <v/>
      </c>
      <c r="T10">
        <f>IF(K10="Realizada completa",1,0)</f>
        <v/>
      </c>
      <c r="U10">
        <f>IF(K10="Sin respuesta",1,0)</f>
        <v/>
      </c>
    </row>
    <row r="11">
      <c r="A11" t="inlineStr">
        <is>
          <t>10</t>
        </is>
      </c>
      <c r="B11" t="inlineStr">
        <is>
          <t>Sobreviviente01</t>
        </is>
      </c>
      <c r="D11" t="inlineStr">
        <is>
          <t>Sobreviviente</t>
        </is>
      </c>
      <c r="E11" t="inlineStr">
        <is>
          <t>Distrito Judicial: Apurímac</t>
        </is>
      </c>
      <c r="F11" t="inlineStr">
        <is>
          <t>APOYO</t>
        </is>
      </c>
      <c r="G11" t="inlineStr">
        <is>
          <t>Sí</t>
        </is>
      </c>
      <c r="K11" t="inlineStr">
        <is>
          <t>Realizada completa</t>
        </is>
      </c>
      <c r="N11" t="inlineStr">
        <is>
          <t>Realizada completa</t>
        </is>
      </c>
      <c r="O11" t="inlineStr">
        <is>
          <t>Presencial</t>
        </is>
      </c>
      <c r="Q11">
        <f>IF(G11="Sí",1,0)</f>
        <v/>
      </c>
      <c r="R11">
        <f>IF(K11="En coordinación",1,0)</f>
        <v/>
      </c>
      <c r="S11">
        <f>IF(K11="En coordinación",1,0)</f>
        <v/>
      </c>
      <c r="T11">
        <f>IF(K11="Realizada completa",1,0)</f>
        <v/>
      </c>
      <c r="U11">
        <f>IF(K11="Sin respuesta",1,0)</f>
        <v/>
      </c>
    </row>
    <row r="12">
      <c r="A12" t="inlineStr">
        <is>
          <t>11</t>
        </is>
      </c>
      <c r="B12" t="inlineStr">
        <is>
          <t>Sobreviviente02</t>
        </is>
      </c>
      <c r="D12" t="inlineStr">
        <is>
          <t>Sobreviviente</t>
        </is>
      </c>
      <c r="E12" t="inlineStr">
        <is>
          <t>Distrito Judicial: Apurímac</t>
        </is>
      </c>
      <c r="F12" t="inlineStr">
        <is>
          <t>APOYO</t>
        </is>
      </c>
      <c r="G12" t="inlineStr">
        <is>
          <t>Sí</t>
        </is>
      </c>
      <c r="K12" t="inlineStr">
        <is>
          <t>Realizada incompleta</t>
        </is>
      </c>
      <c r="N12" t="inlineStr">
        <is>
          <t>Realizada completa</t>
        </is>
      </c>
      <c r="O12" t="inlineStr">
        <is>
          <t>Presencial</t>
        </is>
      </c>
      <c r="Q12">
        <f>IF(G12="Sí",1,0)</f>
        <v/>
      </c>
      <c r="R12">
        <f>IF(K12="En coordinación",1,0)</f>
        <v/>
      </c>
      <c r="S12">
        <f>IF(K12="En coordinación",1,0)</f>
        <v/>
      </c>
      <c r="T12">
        <f>IF(K12="Realizada completa",1,0)</f>
        <v/>
      </c>
      <c r="U12">
        <f>IF(K12="Sin respuesta",1,0)</f>
        <v/>
      </c>
    </row>
    <row r="13">
      <c r="Q13">
        <f>IF(G13="Sí",1,0)</f>
        <v/>
      </c>
      <c r="R13">
        <f>IF(K13="En coordinación",1,0)</f>
        <v/>
      </c>
      <c r="S13">
        <f>IF(K13="En coordinación",1,0)</f>
        <v/>
      </c>
      <c r="T13">
        <f>IF(K13="Realizada completa",1,0)</f>
        <v/>
      </c>
      <c r="U13">
        <f>IF(K13="Sin respuesta",1,0)</f>
        <v/>
      </c>
    </row>
    <row r="14">
      <c r="Q14">
        <f>IF(G14="Sí",1,0)</f>
        <v/>
      </c>
      <c r="R14">
        <f>IF(K14="En coordinación",1,0)</f>
        <v/>
      </c>
      <c r="S14">
        <f>IF(K14="En coordinación",1,0)</f>
        <v/>
      </c>
      <c r="T14">
        <f>IF(K14="Realizada completa",1,0)</f>
        <v/>
      </c>
      <c r="U14">
        <f>IF(K14="Sin respuesta",1,0)</f>
        <v/>
      </c>
    </row>
    <row r="15">
      <c r="Q15">
        <f>IF(G15="Sí",1,0)</f>
        <v/>
      </c>
      <c r="R15">
        <f>IF(K15="En coordinación",1,0)</f>
        <v/>
      </c>
      <c r="S15">
        <f>IF(K15="En coordinación",1,0)</f>
        <v/>
      </c>
      <c r="T15">
        <f>IF(K15="Realizada completa",1,0)</f>
        <v/>
      </c>
      <c r="U15">
        <f>IF(K15="Sin respuesta",1,0)</f>
        <v/>
      </c>
    </row>
    <row r="16">
      <c r="Q16">
        <f>IF(G16="Sí",1,0)</f>
        <v/>
      </c>
      <c r="R16">
        <f>IF(K16="En coordinación",1,0)</f>
        <v/>
      </c>
      <c r="S16">
        <f>IF(K16="En coordinación",1,0)</f>
        <v/>
      </c>
      <c r="T16">
        <f>IF(K16="Realizada completa",1,0)</f>
        <v/>
      </c>
      <c r="U16">
        <f>IF(K16="Sin respuesta",1,0)</f>
        <v/>
      </c>
    </row>
    <row r="17">
      <c r="Q17">
        <f>IF(G17="Sí",1,0)</f>
        <v/>
      </c>
      <c r="R17">
        <f>IF(K17="En coordinación",1,0)</f>
        <v/>
      </c>
      <c r="S17">
        <f>IF(K17="En coordinación",1,0)</f>
        <v/>
      </c>
      <c r="T17">
        <f>IF(K17="Realizada completa",1,0)</f>
        <v/>
      </c>
      <c r="U17">
        <f>IF(K17="Sin respuesta",1,0)</f>
        <v/>
      </c>
    </row>
    <row r="18">
      <c r="Q18">
        <f>IF(G18="Sí",1,0)</f>
        <v/>
      </c>
      <c r="R18">
        <f>IF(K18="En coordinación",1,0)</f>
        <v/>
      </c>
      <c r="S18">
        <f>IF(K18="En coordinación",1,0)</f>
        <v/>
      </c>
      <c r="T18">
        <f>IF(K18="Realizada completa",1,0)</f>
        <v/>
      </c>
      <c r="U18">
        <f>IF(K18="Sin respuesta",1,0)</f>
        <v/>
      </c>
    </row>
    <row r="19">
      <c r="Q19">
        <f>IF(G19="Sí",1,0)</f>
        <v/>
      </c>
      <c r="R19">
        <f>IF(K19="En coordinación",1,0)</f>
        <v/>
      </c>
      <c r="S19">
        <f>IF(K19="En coordinación",1,0)</f>
        <v/>
      </c>
      <c r="T19">
        <f>IF(K19="Realizada completa",1,0)</f>
        <v/>
      </c>
      <c r="U19">
        <f>IF(K19="Sin respuesta",1,0)</f>
        <v/>
      </c>
    </row>
    <row r="20">
      <c r="Q20">
        <f>IF(G20="Sí",1,0)</f>
        <v/>
      </c>
      <c r="R20">
        <f>IF(K20="En coordinación",1,0)</f>
        <v/>
      </c>
      <c r="S20">
        <f>IF(K20="En coordinación",1,0)</f>
        <v/>
      </c>
      <c r="T20">
        <f>IF(K20="Realizada completa",1,0)</f>
        <v/>
      </c>
      <c r="U20">
        <f>IF(K20="Sin respuesta",1,0)</f>
        <v/>
      </c>
    </row>
    <row r="21">
      <c r="Q21">
        <f>IF(G21="Sí",1,0)</f>
        <v/>
      </c>
      <c r="R21">
        <f>IF(K21="En coordinación",1,0)</f>
        <v/>
      </c>
      <c r="S21">
        <f>IF(K21="En coordinación",1,0)</f>
        <v/>
      </c>
      <c r="T21">
        <f>IF(K21="Realizada completa",1,0)</f>
        <v/>
      </c>
      <c r="U21">
        <f>IF(K21="Sin respuesta",1,0)</f>
        <v/>
      </c>
    </row>
    <row r="22">
      <c r="Q22">
        <f>IF(G22="Sí",1,0)</f>
        <v/>
      </c>
      <c r="R22">
        <f>IF(K22="En coordinación",1,0)</f>
        <v/>
      </c>
      <c r="S22">
        <f>IF(K22="En coordinación",1,0)</f>
        <v/>
      </c>
      <c r="T22">
        <f>IF(K22="Realizada completa",1,0)</f>
        <v/>
      </c>
      <c r="U22">
        <f>IF(K22="Sin respuesta",1,0)</f>
        <v/>
      </c>
    </row>
    <row r="23">
      <c r="Q23">
        <f>IF(G23="Sí",1,0)</f>
        <v/>
      </c>
      <c r="R23">
        <f>IF(K23="En coordinación",1,0)</f>
        <v/>
      </c>
      <c r="S23">
        <f>IF(K23="En coordinación",1,0)</f>
        <v/>
      </c>
      <c r="T23">
        <f>IF(K23="Realizada completa",1,0)</f>
        <v/>
      </c>
      <c r="U23">
        <f>IF(K23="Sin respuesta",1,0)</f>
        <v/>
      </c>
    </row>
    <row r="24">
      <c r="Q24">
        <f>IF(G24="Sí",1,0)</f>
        <v/>
      </c>
      <c r="R24">
        <f>IF(K24="En coordinación",1,0)</f>
        <v/>
      </c>
      <c r="S24">
        <f>IF(K24="En coordinación",1,0)</f>
        <v/>
      </c>
      <c r="T24">
        <f>IF(K24="Realizada completa",1,0)</f>
        <v/>
      </c>
      <c r="U24">
        <f>IF(K24="Sin respuesta",1,0)</f>
        <v/>
      </c>
    </row>
    <row r="25">
      <c r="Q25">
        <f>IF(G25="Sí",1,0)</f>
        <v/>
      </c>
      <c r="R25">
        <f>IF(K25="En coordinación",1,0)</f>
        <v/>
      </c>
      <c r="S25">
        <f>IF(K25="En coordinación",1,0)</f>
        <v/>
      </c>
      <c r="T25">
        <f>IF(K25="Realizada completa",1,0)</f>
        <v/>
      </c>
      <c r="U25">
        <f>IF(K25="Sin respuesta",1,0)</f>
        <v/>
      </c>
    </row>
    <row r="26">
      <c r="Q26">
        <f>IF(G26="Sí",1,0)</f>
        <v/>
      </c>
      <c r="R26">
        <f>IF(K26="En coordinación",1,0)</f>
        <v/>
      </c>
      <c r="S26">
        <f>IF(K26="En coordinación",1,0)</f>
        <v/>
      </c>
      <c r="T26">
        <f>IF(K26="Realizada completa",1,0)</f>
        <v/>
      </c>
      <c r="U26">
        <f>IF(K26="Sin respuesta",1,0)</f>
        <v/>
      </c>
    </row>
    <row r="27">
      <c r="Q27">
        <f>IF(G27="Sí",1,0)</f>
        <v/>
      </c>
      <c r="R27">
        <f>IF(K27="En coordinación",1,0)</f>
        <v/>
      </c>
      <c r="S27">
        <f>IF(K27="En coordinación",1,0)</f>
        <v/>
      </c>
      <c r="T27">
        <f>IF(K27="Realizada completa",1,0)</f>
        <v/>
      </c>
      <c r="U27">
        <f>IF(K27="Sin respuesta",1,0)</f>
        <v/>
      </c>
    </row>
    <row r="28">
      <c r="Q28">
        <f>IF(G28="Sí",1,0)</f>
        <v/>
      </c>
      <c r="R28">
        <f>IF(K28="En coordinación",1,0)</f>
        <v/>
      </c>
      <c r="S28">
        <f>IF(K28="En coordinación",1,0)</f>
        <v/>
      </c>
      <c r="T28">
        <f>IF(K28="Realizada completa",1,0)</f>
        <v/>
      </c>
      <c r="U28">
        <f>IF(K28="Sin respuesta",1,0)</f>
        <v/>
      </c>
    </row>
    <row r="29">
      <c r="Q29">
        <f>IF(G29="Sí",1,0)</f>
        <v/>
      </c>
      <c r="R29">
        <f>IF(K29="En coordinación",1,0)</f>
        <v/>
      </c>
      <c r="S29">
        <f>IF(K29="En coordinación",1,0)</f>
        <v/>
      </c>
      <c r="T29">
        <f>IF(K29="Realizada completa",1,0)</f>
        <v/>
      </c>
      <c r="U29">
        <f>IF(K29="Sin respuesta",1,0)</f>
        <v/>
      </c>
    </row>
    <row r="30">
      <c r="Q30">
        <f>IF(G30="Sí",1,0)</f>
        <v/>
      </c>
      <c r="R30">
        <f>IF(K30="En coordinación",1,0)</f>
        <v/>
      </c>
      <c r="S30">
        <f>IF(K30="En coordinación",1,0)</f>
        <v/>
      </c>
      <c r="T30">
        <f>IF(K30="Realizada completa",1,0)</f>
        <v/>
      </c>
      <c r="U30">
        <f>IF(K30="Sin respuesta",1,0)</f>
        <v/>
      </c>
    </row>
    <row r="31">
      <c r="Q31">
        <f>IF(G31="Sí",1,0)</f>
        <v/>
      </c>
      <c r="R31">
        <f>IF(K31="En coordinación",1,0)</f>
        <v/>
      </c>
      <c r="S31">
        <f>IF(K31="En coordinación",1,0)</f>
        <v/>
      </c>
      <c r="T31">
        <f>IF(K31="Realizada completa",1,0)</f>
        <v/>
      </c>
      <c r="U31">
        <f>IF(K31="Sin respuesta",1,0)</f>
        <v/>
      </c>
    </row>
    <row r="32">
      <c r="Q32">
        <f>IF(G32="Sí",1,0)</f>
        <v/>
      </c>
      <c r="R32">
        <f>IF(K32="En coordinación",1,0)</f>
        <v/>
      </c>
      <c r="S32">
        <f>IF(K32="En coordinación",1,0)</f>
        <v/>
      </c>
      <c r="T32">
        <f>IF(K32="Realizada completa",1,0)</f>
        <v/>
      </c>
      <c r="U32">
        <f>IF(K32="Sin respuesta",1,0)</f>
        <v/>
      </c>
    </row>
    <row r="33">
      <c r="Q33">
        <f>IF(G33="Sí",1,0)</f>
        <v/>
      </c>
      <c r="R33">
        <f>IF(K33="En coordinación",1,0)</f>
        <v/>
      </c>
      <c r="S33">
        <f>IF(K33="En coordinación",1,0)</f>
        <v/>
      </c>
      <c r="T33">
        <f>IF(K33="Realizada completa",1,0)</f>
        <v/>
      </c>
      <c r="U33">
        <f>IF(K33="Sin respuesta",1,0)</f>
        <v/>
      </c>
    </row>
    <row r="34">
      <c r="Q34">
        <f>IF(G34="Sí",1,0)</f>
        <v/>
      </c>
      <c r="R34">
        <f>IF(K34="En coordinación",1,0)</f>
        <v/>
      </c>
      <c r="S34">
        <f>IF(K34="En coordinación",1,0)</f>
        <v/>
      </c>
      <c r="T34">
        <f>IF(K34="Realizada completa",1,0)</f>
        <v/>
      </c>
      <c r="U34">
        <f>IF(K34="Sin respuesta",1,0)</f>
        <v/>
      </c>
    </row>
    <row r="35">
      <c r="Q35">
        <f>IF(G35="Sí",1,0)</f>
        <v/>
      </c>
      <c r="R35">
        <f>IF(K35="En coordinación",1,0)</f>
        <v/>
      </c>
      <c r="S35">
        <f>IF(K35="En coordinación",1,0)</f>
        <v/>
      </c>
      <c r="T35">
        <f>IF(K35="Realizada completa",1,0)</f>
        <v/>
      </c>
      <c r="U35">
        <f>IF(K35="Sin respuesta",1,0)</f>
        <v/>
      </c>
    </row>
    <row r="36">
      <c r="Q36">
        <f>IF(G36="Sí",1,0)</f>
        <v/>
      </c>
      <c r="R36">
        <f>IF(K36="En coordinación",1,0)</f>
        <v/>
      </c>
      <c r="S36">
        <f>IF(K36="En coordinación",1,0)</f>
        <v/>
      </c>
      <c r="T36">
        <f>IF(K36="Realizada completa",1,0)</f>
        <v/>
      </c>
      <c r="U36">
        <f>IF(K36="Sin respuesta",1,0)</f>
        <v/>
      </c>
    </row>
    <row r="37">
      <c r="Q37">
        <f>IF(G37="Sí",1,0)</f>
        <v/>
      </c>
      <c r="R37">
        <f>IF(K37="En coordinación",1,0)</f>
        <v/>
      </c>
      <c r="S37">
        <f>IF(K37="En coordinación",1,0)</f>
        <v/>
      </c>
      <c r="T37">
        <f>IF(K37="Realizada completa",1,0)</f>
        <v/>
      </c>
      <c r="U37">
        <f>IF(K37="Sin respuesta",1,0)</f>
        <v/>
      </c>
    </row>
    <row r="38">
      <c r="Q38">
        <f>IF(G38="Sí",1,0)</f>
        <v/>
      </c>
      <c r="R38">
        <f>IF(K38="En coordinación",1,0)</f>
        <v/>
      </c>
      <c r="S38">
        <f>IF(K38="En coordinación",1,0)</f>
        <v/>
      </c>
      <c r="T38">
        <f>IF(K38="Realizada completa",1,0)</f>
        <v/>
      </c>
      <c r="U38">
        <f>IF(K38="Sin respuesta",1,0)</f>
        <v/>
      </c>
    </row>
    <row r="39">
      <c r="Q39">
        <f>IF(G39="Sí",1,0)</f>
        <v/>
      </c>
      <c r="R39">
        <f>IF(K39="En coordinación",1,0)</f>
        <v/>
      </c>
      <c r="S39">
        <f>IF(K39="En coordinación",1,0)</f>
        <v/>
      </c>
      <c r="T39">
        <f>IF(K39="Realizada completa",1,0)</f>
        <v/>
      </c>
      <c r="U39">
        <f>IF(K39="Sin respuesta",1,0)</f>
        <v/>
      </c>
    </row>
    <row r="40">
      <c r="Q40">
        <f>IF(G40="Sí",1,0)</f>
        <v/>
      </c>
      <c r="R40">
        <f>IF(K40="En coordinación",1,0)</f>
        <v/>
      </c>
      <c r="S40">
        <f>IF(K40="En coordinación",1,0)</f>
        <v/>
      </c>
      <c r="T40">
        <f>IF(K40="Realizada completa",1,0)</f>
        <v/>
      </c>
      <c r="U40">
        <f>IF(K40="Sin respuesta",1,0)</f>
        <v/>
      </c>
    </row>
    <row r="41">
      <c r="Q41">
        <f>IF(G41="Sí",1,0)</f>
        <v/>
      </c>
      <c r="R41">
        <f>IF(K41="En coordinación",1,0)</f>
        <v/>
      </c>
      <c r="S41">
        <f>IF(K41="En coordinación",1,0)</f>
        <v/>
      </c>
      <c r="T41">
        <f>IF(K41="Realizada completa",1,0)</f>
        <v/>
      </c>
      <c r="U41">
        <f>IF(K41="Sin respuesta",1,0)</f>
        <v/>
      </c>
    </row>
    <row r="42">
      <c r="Q42">
        <f>IF(G42="Sí",1,0)</f>
        <v/>
      </c>
      <c r="R42">
        <f>IF(K42="En coordinación",1,0)</f>
        <v/>
      </c>
      <c r="S42">
        <f>IF(K42="En coordinación",1,0)</f>
        <v/>
      </c>
      <c r="T42">
        <f>IF(K42="Realizada completa",1,0)</f>
        <v/>
      </c>
      <c r="U42">
        <f>IF(K42="Sin respuesta",1,0)</f>
        <v/>
      </c>
    </row>
    <row r="43">
      <c r="Q43">
        <f>IF(G43="Sí",1,0)</f>
        <v/>
      </c>
      <c r="R43">
        <f>IF(K43="En coordinación",1,0)</f>
        <v/>
      </c>
      <c r="S43">
        <f>IF(K43="En coordinación",1,0)</f>
        <v/>
      </c>
      <c r="T43">
        <f>IF(K43="Realizada completa",1,0)</f>
        <v/>
      </c>
      <c r="U43">
        <f>IF(K43="Sin respuesta",1,0)</f>
        <v/>
      </c>
    </row>
    <row r="44">
      <c r="Q44">
        <f>IF(G44="Sí",1,0)</f>
        <v/>
      </c>
      <c r="R44">
        <f>IF(K44="En coordinación",1,0)</f>
        <v/>
      </c>
      <c r="S44">
        <f>IF(K44="En coordinación",1,0)</f>
        <v/>
      </c>
      <c r="T44">
        <f>IF(K44="Realizada completa",1,0)</f>
        <v/>
      </c>
      <c r="U44">
        <f>IF(K44="Sin respuesta",1,0)</f>
        <v/>
      </c>
    </row>
    <row r="45">
      <c r="Q45">
        <f>IF(G45="Sí",1,0)</f>
        <v/>
      </c>
      <c r="R45">
        <f>IF(K45="En coordinación",1,0)</f>
        <v/>
      </c>
      <c r="S45">
        <f>IF(K45="En coordinación",1,0)</f>
        <v/>
      </c>
      <c r="T45">
        <f>IF(K45="Realizada completa",1,0)</f>
        <v/>
      </c>
      <c r="U45">
        <f>IF(K45="Sin respuesta",1,0)</f>
        <v/>
      </c>
    </row>
    <row r="46">
      <c r="Q46">
        <f>IF(G46="Sí",1,0)</f>
        <v/>
      </c>
      <c r="R46">
        <f>IF(K46="En coordinación",1,0)</f>
        <v/>
      </c>
      <c r="S46">
        <f>IF(K46="En coordinación",1,0)</f>
        <v/>
      </c>
      <c r="T46">
        <f>IF(K46="Realizada completa",1,0)</f>
        <v/>
      </c>
      <c r="U46">
        <f>IF(K46="Sin respuesta",1,0)</f>
        <v/>
      </c>
    </row>
    <row r="47">
      <c r="Q47">
        <f>IF(G47="Sí",1,0)</f>
        <v/>
      </c>
      <c r="R47">
        <f>IF(K47="En coordinación",1,0)</f>
        <v/>
      </c>
      <c r="S47">
        <f>IF(K47="En coordinación",1,0)</f>
        <v/>
      </c>
      <c r="T47">
        <f>IF(K47="Realizada completa",1,0)</f>
        <v/>
      </c>
      <c r="U47">
        <f>IF(K47="Sin respuesta",1,0)</f>
        <v/>
      </c>
    </row>
    <row r="48">
      <c r="Q48">
        <f>IF(G48="Sí",1,0)</f>
        <v/>
      </c>
      <c r="R48">
        <f>IF(K48="En coordinación",1,0)</f>
        <v/>
      </c>
      <c r="S48">
        <f>IF(K48="En coordinación",1,0)</f>
        <v/>
      </c>
      <c r="T48">
        <f>IF(K48="Realizada completa",1,0)</f>
        <v/>
      </c>
      <c r="U48">
        <f>IF(K48="Sin respuesta",1,0)</f>
        <v/>
      </c>
    </row>
    <row r="49">
      <c r="Q49">
        <f>IF(G49="Sí",1,0)</f>
        <v/>
      </c>
      <c r="R49">
        <f>IF(K49="En coordinación",1,0)</f>
        <v/>
      </c>
      <c r="S49">
        <f>IF(K49="En coordinación",1,0)</f>
        <v/>
      </c>
      <c r="T49">
        <f>IF(K49="Realizada completa",1,0)</f>
        <v/>
      </c>
      <c r="U49">
        <f>IF(K49="Sin respuesta",1,0)</f>
        <v/>
      </c>
    </row>
    <row r="50">
      <c r="Q50">
        <f>IF(G50="Sí",1,0)</f>
        <v/>
      </c>
      <c r="R50">
        <f>IF(K50="En coordinación",1,0)</f>
        <v/>
      </c>
      <c r="S50">
        <f>IF(K50="En coordinación",1,0)</f>
        <v/>
      </c>
      <c r="T50">
        <f>IF(K50="Realizada completa",1,0)</f>
        <v/>
      </c>
      <c r="U50">
        <f>IF(K50="Sin respuesta",1,0)</f>
        <v/>
      </c>
    </row>
    <row r="51">
      <c r="Q51">
        <f>IF(G51="Sí",1,0)</f>
        <v/>
      </c>
      <c r="R51">
        <f>IF(K51="En coordinación",1,0)</f>
        <v/>
      </c>
      <c r="S51">
        <f>IF(K51="En coordinación",1,0)</f>
        <v/>
      </c>
      <c r="T51">
        <f>IF(K51="Realizada completa",1,0)</f>
        <v/>
      </c>
      <c r="U51">
        <f>IF(K51="Sin respuesta",1,0)</f>
        <v/>
      </c>
    </row>
    <row r="52">
      <c r="Q52">
        <f>IF(G52="Sí",1,0)</f>
        <v/>
      </c>
      <c r="R52">
        <f>IF(K52="En coordinación",1,0)</f>
        <v/>
      </c>
      <c r="S52">
        <f>IF(K52="En coordinación",1,0)</f>
        <v/>
      </c>
      <c r="T52">
        <f>IF(K52="Realizada completa",1,0)</f>
        <v/>
      </c>
      <c r="U52">
        <f>IF(K52="Sin respuesta",1,0)</f>
        <v/>
      </c>
    </row>
    <row r="53">
      <c r="Q53">
        <f>IF(G53="Sí",1,0)</f>
        <v/>
      </c>
      <c r="R53">
        <f>IF(K53="En coordinación",1,0)</f>
        <v/>
      </c>
      <c r="S53">
        <f>IF(K53="En coordinación",1,0)</f>
        <v/>
      </c>
      <c r="T53">
        <f>IF(K53="Realizada completa",1,0)</f>
        <v/>
      </c>
      <c r="U53">
        <f>IF(K53="Sin respuesta",1,0)</f>
        <v/>
      </c>
    </row>
    <row r="54">
      <c r="Q54">
        <f>IF(G54="Sí",1,0)</f>
        <v/>
      </c>
      <c r="R54">
        <f>IF(K54="En coordinación",1,0)</f>
        <v/>
      </c>
      <c r="S54">
        <f>IF(K54="En coordinación",1,0)</f>
        <v/>
      </c>
      <c r="T54">
        <f>IF(K54="Realizada completa",1,0)</f>
        <v/>
      </c>
      <c r="U54">
        <f>IF(K54="Sin respuesta",1,0)</f>
        <v/>
      </c>
    </row>
    <row r="55">
      <c r="Q55">
        <f>IF(G55="Sí",1,0)</f>
        <v/>
      </c>
      <c r="R55">
        <f>IF(K55="En coordinación",1,0)</f>
        <v/>
      </c>
      <c r="S55">
        <f>IF(K55="En coordinación",1,0)</f>
        <v/>
      </c>
      <c r="T55">
        <f>IF(K55="Realizada completa",1,0)</f>
        <v/>
      </c>
      <c r="U55">
        <f>IF(K55="Sin respuesta",1,0)</f>
        <v/>
      </c>
    </row>
    <row r="56">
      <c r="Q56">
        <f>IF(G56="Sí",1,0)</f>
        <v/>
      </c>
      <c r="R56">
        <f>IF(K56="En coordinación",1,0)</f>
        <v/>
      </c>
      <c r="S56">
        <f>IF(K56="En coordinación",1,0)</f>
        <v/>
      </c>
      <c r="T56">
        <f>IF(K56="Realizada completa",1,0)</f>
        <v/>
      </c>
      <c r="U56">
        <f>IF(K56="Sin respuesta",1,0)</f>
        <v/>
      </c>
    </row>
    <row r="57">
      <c r="Q57">
        <f>IF(G57="Sí",1,0)</f>
        <v/>
      </c>
      <c r="R57">
        <f>IF(K57="En coordinación",1,0)</f>
        <v/>
      </c>
      <c r="S57">
        <f>IF(K57="En coordinación",1,0)</f>
        <v/>
      </c>
      <c r="T57">
        <f>IF(K57="Realizada completa",1,0)</f>
        <v/>
      </c>
      <c r="U57">
        <f>IF(K57="Sin respuesta",1,0)</f>
        <v/>
      </c>
    </row>
    <row r="58">
      <c r="Q58">
        <f>IF(G58="Sí",1,0)</f>
        <v/>
      </c>
      <c r="R58">
        <f>IF(K58="En coordinación",1,0)</f>
        <v/>
      </c>
      <c r="S58">
        <f>IF(K58="En coordinación",1,0)</f>
        <v/>
      </c>
      <c r="T58">
        <f>IF(K58="Realizada completa",1,0)</f>
        <v/>
      </c>
      <c r="U58">
        <f>IF(K58="Sin respuesta",1,0)</f>
        <v/>
      </c>
    </row>
    <row r="59">
      <c r="Q59">
        <f>IF(G59="Sí",1,0)</f>
        <v/>
      </c>
      <c r="R59">
        <f>IF(K59="En coordinación",1,0)</f>
        <v/>
      </c>
      <c r="S59">
        <f>IF(K59="En coordinación",1,0)</f>
        <v/>
      </c>
      <c r="T59">
        <f>IF(K59="Realizada completa",1,0)</f>
        <v/>
      </c>
      <c r="U59">
        <f>IF(K59="Sin respuesta",1,0)</f>
        <v/>
      </c>
    </row>
    <row r="60">
      <c r="Q60">
        <f>IF(G60="Sí",1,0)</f>
        <v/>
      </c>
      <c r="R60">
        <f>IF(K60="En coordinación",1,0)</f>
        <v/>
      </c>
      <c r="S60">
        <f>IF(K60="En coordinación",1,0)</f>
        <v/>
      </c>
      <c r="T60">
        <f>IF(K60="Realizada completa",1,0)</f>
        <v/>
      </c>
      <c r="U60">
        <f>IF(K60="Sin respuesta",1,0)</f>
        <v/>
      </c>
    </row>
    <row r="61">
      <c r="Q61">
        <f>IF(G61="Sí",1,0)</f>
        <v/>
      </c>
      <c r="R61">
        <f>IF(K61="En coordinación",1,0)</f>
        <v/>
      </c>
      <c r="S61">
        <f>IF(K61="En coordinación",1,0)</f>
        <v/>
      </c>
      <c r="T61">
        <f>IF(K61="Realizada completa",1,0)</f>
        <v/>
      </c>
      <c r="U61">
        <f>IF(K61="Sin respuesta",1,0)</f>
        <v/>
      </c>
    </row>
    <row r="62">
      <c r="Q62">
        <f>IF(G62="Sí",1,0)</f>
        <v/>
      </c>
      <c r="R62">
        <f>IF(K62="En coordinación",1,0)</f>
        <v/>
      </c>
      <c r="S62">
        <f>IF(K62="En coordinación",1,0)</f>
        <v/>
      </c>
      <c r="T62">
        <f>IF(K62="Realizada completa",1,0)</f>
        <v/>
      </c>
      <c r="U62">
        <f>IF(K62="Sin respuesta",1,0)</f>
        <v/>
      </c>
    </row>
    <row r="63">
      <c r="Q63">
        <f>IF(G63="Sí",1,0)</f>
        <v/>
      </c>
      <c r="R63">
        <f>IF(K63="En coordinación",1,0)</f>
        <v/>
      </c>
      <c r="S63">
        <f>IF(K63="En coordinación",1,0)</f>
        <v/>
      </c>
      <c r="T63">
        <f>IF(K63="Realizada completa",1,0)</f>
        <v/>
      </c>
      <c r="U63">
        <f>IF(K63="Sin respuesta",1,0)</f>
        <v/>
      </c>
    </row>
    <row r="64">
      <c r="Q64">
        <f>IF(G64="Sí",1,0)</f>
        <v/>
      </c>
      <c r="R64">
        <f>IF(K64="En coordinación",1,0)</f>
        <v/>
      </c>
      <c r="S64">
        <f>IF(K64="En coordinación",1,0)</f>
        <v/>
      </c>
      <c r="T64">
        <f>IF(K64="Realizada completa",1,0)</f>
        <v/>
      </c>
      <c r="U64">
        <f>IF(K64="Sin respuesta",1,0)</f>
        <v/>
      </c>
    </row>
    <row r="65">
      <c r="Q65">
        <f>IF(G65="Sí",1,0)</f>
        <v/>
      </c>
      <c r="R65">
        <f>IF(K65="En coordinación",1,0)</f>
        <v/>
      </c>
      <c r="S65">
        <f>IF(K65="En coordinación",1,0)</f>
        <v/>
      </c>
      <c r="T65">
        <f>IF(K65="Realizada completa",1,0)</f>
        <v/>
      </c>
      <c r="U65">
        <f>IF(K65="Sin respuesta",1,0)</f>
        <v/>
      </c>
    </row>
    <row r="66">
      <c r="Q66">
        <f>IF(G66="Sí",1,0)</f>
        <v/>
      </c>
      <c r="R66">
        <f>IF(K66="En coordinación",1,0)</f>
        <v/>
      </c>
      <c r="S66">
        <f>IF(K66="En coordinación",1,0)</f>
        <v/>
      </c>
      <c r="T66">
        <f>IF(K66="Realizada completa",1,0)</f>
        <v/>
      </c>
      <c r="U66">
        <f>IF(K66="Sin respuesta",1,0)</f>
        <v/>
      </c>
    </row>
    <row r="67">
      <c r="Q67">
        <f>IF(G67="Sí",1,0)</f>
        <v/>
      </c>
      <c r="R67">
        <f>IF(K67="En coordinación",1,0)</f>
        <v/>
      </c>
      <c r="S67">
        <f>IF(K67="En coordinación",1,0)</f>
        <v/>
      </c>
      <c r="T67">
        <f>IF(K67="Realizada completa",1,0)</f>
        <v/>
      </c>
      <c r="U67">
        <f>IF(K67="Sin respuesta",1,0)</f>
        <v/>
      </c>
    </row>
    <row r="68">
      <c r="Q68">
        <f>IF(G68="Sí",1,0)</f>
        <v/>
      </c>
      <c r="R68">
        <f>IF(K68="En coordinación",1,0)</f>
        <v/>
      </c>
      <c r="S68">
        <f>IF(K68="En coordinación",1,0)</f>
        <v/>
      </c>
      <c r="T68">
        <f>IF(K68="Realizada completa",1,0)</f>
        <v/>
      </c>
      <c r="U68">
        <f>IF(K68="Sin respuesta",1,0)</f>
        <v/>
      </c>
    </row>
    <row r="69">
      <c r="Q69">
        <f>IF(G69="Sí",1,0)</f>
        <v/>
      </c>
      <c r="R69">
        <f>IF(K69="En coordinación",1,0)</f>
        <v/>
      </c>
      <c r="S69">
        <f>IF(K69="En coordinación",1,0)</f>
        <v/>
      </c>
      <c r="T69">
        <f>IF(K69="Realizada completa",1,0)</f>
        <v/>
      </c>
      <c r="U69">
        <f>IF(K69="Sin respuesta",1,0)</f>
        <v/>
      </c>
    </row>
    <row r="70">
      <c r="Q70">
        <f>IF(G70="Sí",1,0)</f>
        <v/>
      </c>
      <c r="R70">
        <f>IF(K70="En coordinación",1,0)</f>
        <v/>
      </c>
      <c r="S70">
        <f>IF(K70="En coordinación",1,0)</f>
        <v/>
      </c>
      <c r="T70">
        <f>IF(K70="Realizada completa",1,0)</f>
        <v/>
      </c>
      <c r="U70">
        <f>IF(K70="Sin respuesta",1,0)</f>
        <v/>
      </c>
    </row>
    <row r="71">
      <c r="Q71">
        <f>IF(G71="Sí",1,0)</f>
        <v/>
      </c>
      <c r="R71">
        <f>IF(K71="En coordinación",1,0)</f>
        <v/>
      </c>
      <c r="S71">
        <f>IF(K71="En coordinación",1,0)</f>
        <v/>
      </c>
      <c r="T71">
        <f>IF(K71="Realizada completa",1,0)</f>
        <v/>
      </c>
      <c r="U71">
        <f>IF(K71="Sin respuesta",1,0)</f>
        <v/>
      </c>
    </row>
    <row r="72">
      <c r="Q72">
        <f>IF(G72="Sí",1,0)</f>
        <v/>
      </c>
      <c r="R72">
        <f>IF(K72="En coordinación",1,0)</f>
        <v/>
      </c>
      <c r="S72">
        <f>IF(K72="En coordinación",1,0)</f>
        <v/>
      </c>
      <c r="T72">
        <f>IF(K72="Realizada completa",1,0)</f>
        <v/>
      </c>
      <c r="U72">
        <f>IF(K72="Sin respuesta",1,0)</f>
        <v/>
      </c>
    </row>
    <row r="73">
      <c r="Q73">
        <f>IF(G73="Sí",1,0)</f>
        <v/>
      </c>
      <c r="R73">
        <f>IF(K73="En coordinación",1,0)</f>
        <v/>
      </c>
      <c r="S73">
        <f>IF(K73="En coordinación",1,0)</f>
        <v/>
      </c>
      <c r="T73">
        <f>IF(K73="Realizada completa",1,0)</f>
        <v/>
      </c>
      <c r="U73">
        <f>IF(K73="Sin respuesta",1,0)</f>
        <v/>
      </c>
    </row>
    <row r="74">
      <c r="Q74">
        <f>IF(G74="Sí",1,0)</f>
        <v/>
      </c>
      <c r="R74">
        <f>IF(K74="En coordinación",1,0)</f>
        <v/>
      </c>
      <c r="S74">
        <f>IF(K74="En coordinación",1,0)</f>
        <v/>
      </c>
      <c r="T74">
        <f>IF(K74="Realizada completa",1,0)</f>
        <v/>
      </c>
      <c r="U74">
        <f>IF(K74="Sin respuesta",1,0)</f>
        <v/>
      </c>
    </row>
    <row r="75">
      <c r="Q75">
        <f>IF(G75="Sí",1,0)</f>
        <v/>
      </c>
      <c r="R75">
        <f>IF(K75="En coordinación",1,0)</f>
        <v/>
      </c>
      <c r="S75">
        <f>IF(K75="En coordinación",1,0)</f>
        <v/>
      </c>
      <c r="T75">
        <f>IF(K75="Realizada completa",1,0)</f>
        <v/>
      </c>
      <c r="U75">
        <f>IF(K75="Sin respuesta",1,0)</f>
        <v/>
      </c>
    </row>
    <row r="76">
      <c r="Q76">
        <f>IF(G76="Sí",1,0)</f>
        <v/>
      </c>
      <c r="R76">
        <f>IF(K76="En coordinación",1,0)</f>
        <v/>
      </c>
      <c r="S76">
        <f>IF(K76="En coordinación",1,0)</f>
        <v/>
      </c>
      <c r="T76">
        <f>IF(K76="Realizada completa",1,0)</f>
        <v/>
      </c>
      <c r="U76">
        <f>IF(K76="Sin respuesta",1,0)</f>
        <v/>
      </c>
    </row>
    <row r="77">
      <c r="Q77">
        <f>IF(G77="Sí",1,0)</f>
        <v/>
      </c>
      <c r="R77">
        <f>IF(K77="En coordinación",1,0)</f>
        <v/>
      </c>
      <c r="S77">
        <f>IF(K77="En coordinación",1,0)</f>
        <v/>
      </c>
      <c r="T77">
        <f>IF(K77="Realizada completa",1,0)</f>
        <v/>
      </c>
      <c r="U77">
        <f>IF(K77="Sin respuesta",1,0)</f>
        <v/>
      </c>
    </row>
    <row r="78">
      <c r="Q78">
        <f>IF(G78="Sí",1,0)</f>
        <v/>
      </c>
      <c r="R78">
        <f>IF(K78="En coordinación",1,0)</f>
        <v/>
      </c>
      <c r="S78">
        <f>IF(K78="En coordinación",1,0)</f>
        <v/>
      </c>
      <c r="T78">
        <f>IF(K78="Realizada completa",1,0)</f>
        <v/>
      </c>
      <c r="U78">
        <f>IF(K78="Sin respuesta",1,0)</f>
        <v/>
      </c>
    </row>
    <row r="79">
      <c r="Q79">
        <f>IF(G79="Sí",1,0)</f>
        <v/>
      </c>
      <c r="R79">
        <f>IF(K79="En coordinación",1,0)</f>
        <v/>
      </c>
      <c r="S79">
        <f>IF(K79="En coordinación",1,0)</f>
        <v/>
      </c>
      <c r="T79">
        <f>IF(K79="Realizada completa",1,0)</f>
        <v/>
      </c>
      <c r="U79">
        <f>IF(K79="Sin respuesta",1,0)</f>
        <v/>
      </c>
    </row>
    <row r="80">
      <c r="Q80">
        <f>IF(G80="Sí",1,0)</f>
        <v/>
      </c>
      <c r="R80">
        <f>IF(K80="En coordinación",1,0)</f>
        <v/>
      </c>
      <c r="S80">
        <f>IF(K80="En coordinación",1,0)</f>
        <v/>
      </c>
      <c r="T80">
        <f>IF(K80="Realizada completa",1,0)</f>
        <v/>
      </c>
      <c r="U80">
        <f>IF(K80="Sin respuesta",1,0)</f>
        <v/>
      </c>
    </row>
    <row r="81">
      <c r="Q81">
        <f>IF(G81="Sí",1,0)</f>
        <v/>
      </c>
      <c r="R81">
        <f>IF(K81="En coordinación",1,0)</f>
        <v/>
      </c>
      <c r="S81">
        <f>IF(K81="En coordinación",1,0)</f>
        <v/>
      </c>
      <c r="T81">
        <f>IF(K81="Realizada completa",1,0)</f>
        <v/>
      </c>
      <c r="U81">
        <f>IF(K81="Sin respuesta",1,0)</f>
        <v/>
      </c>
    </row>
    <row r="82">
      <c r="Q82">
        <f>IF(G82="Sí",1,0)</f>
        <v/>
      </c>
      <c r="R82">
        <f>IF(K82="En coordinación",1,0)</f>
        <v/>
      </c>
      <c r="S82">
        <f>IF(K82="En coordinación",1,0)</f>
        <v/>
      </c>
      <c r="T82">
        <f>IF(K82="Realizada completa",1,0)</f>
        <v/>
      </c>
      <c r="U82">
        <f>IF(K82="Sin respuesta",1,0)</f>
        <v/>
      </c>
    </row>
    <row r="83">
      <c r="Q83">
        <f>IF(G83="Sí",1,0)</f>
        <v/>
      </c>
      <c r="R83">
        <f>IF(K83="En coordinación",1,0)</f>
        <v/>
      </c>
      <c r="S83">
        <f>IF(K83="En coordinación",1,0)</f>
        <v/>
      </c>
      <c r="T83">
        <f>IF(K83="Realizada completa",1,0)</f>
        <v/>
      </c>
      <c r="U83">
        <f>IF(K83="Sin respuesta",1,0)</f>
        <v/>
      </c>
    </row>
    <row r="84">
      <c r="Q84">
        <f>IF(G84="Sí",1,0)</f>
        <v/>
      </c>
      <c r="R84">
        <f>IF(K84="En coordinación",1,0)</f>
        <v/>
      </c>
      <c r="S84">
        <f>IF(K84="En coordinación",1,0)</f>
        <v/>
      </c>
      <c r="T84">
        <f>IF(K84="Realizada completa",1,0)</f>
        <v/>
      </c>
      <c r="U84">
        <f>IF(K84="Sin respuesta",1,0)</f>
        <v/>
      </c>
    </row>
    <row r="85">
      <c r="Q85">
        <f>IF(G85="Sí",1,0)</f>
        <v/>
      </c>
      <c r="R85">
        <f>IF(K85="En coordinación",1,0)</f>
        <v/>
      </c>
      <c r="S85">
        <f>IF(K85="En coordinación",1,0)</f>
        <v/>
      </c>
      <c r="T85">
        <f>IF(K85="Realizada completa",1,0)</f>
        <v/>
      </c>
      <c r="U85">
        <f>IF(K85="Sin respuesta",1,0)</f>
        <v/>
      </c>
    </row>
    <row r="86">
      <c r="Q86">
        <f>IF(G86="Sí",1,0)</f>
        <v/>
      </c>
      <c r="R86">
        <f>IF(K86="En coordinación",1,0)</f>
        <v/>
      </c>
      <c r="S86">
        <f>IF(K86="En coordinación",1,0)</f>
        <v/>
      </c>
      <c r="T86">
        <f>IF(K86="Realizada completa",1,0)</f>
        <v/>
      </c>
      <c r="U86">
        <f>IF(K86="Sin respuesta",1,0)</f>
        <v/>
      </c>
    </row>
    <row r="87">
      <c r="Q87">
        <f>IF(G87="Sí",1,0)</f>
        <v/>
      </c>
      <c r="R87">
        <f>IF(K87="En coordinación",1,0)</f>
        <v/>
      </c>
      <c r="S87">
        <f>IF(K87="En coordinación",1,0)</f>
        <v/>
      </c>
      <c r="T87">
        <f>IF(K87="Realizada completa",1,0)</f>
        <v/>
      </c>
      <c r="U87">
        <f>IF(K87="Sin respuesta",1,0)</f>
        <v/>
      </c>
    </row>
    <row r="88">
      <c r="Q88">
        <f>IF(G88="Sí",1,0)</f>
        <v/>
      </c>
      <c r="R88">
        <f>IF(K88="En coordinación",1,0)</f>
        <v/>
      </c>
      <c r="S88">
        <f>IF(K88="En coordinación",1,0)</f>
        <v/>
      </c>
      <c r="T88">
        <f>IF(K88="Realizada completa",1,0)</f>
        <v/>
      </c>
      <c r="U88">
        <f>IF(K88="Sin respuesta",1,0)</f>
        <v/>
      </c>
    </row>
    <row r="89">
      <c r="Q89">
        <f>IF(G89="Sí",1,0)</f>
        <v/>
      </c>
      <c r="R89">
        <f>IF(K89="En coordinación",1,0)</f>
        <v/>
      </c>
      <c r="S89">
        <f>IF(K89="En coordinación",1,0)</f>
        <v/>
      </c>
      <c r="T89">
        <f>IF(K89="Realizada completa",1,0)</f>
        <v/>
      </c>
      <c r="U89">
        <f>IF(K89="Sin respuesta",1,0)</f>
        <v/>
      </c>
    </row>
    <row r="90">
      <c r="Q90">
        <f>IF(G90="Sí",1,0)</f>
        <v/>
      </c>
      <c r="R90">
        <f>IF(K90="En coordinación",1,0)</f>
        <v/>
      </c>
      <c r="S90">
        <f>IF(K90="En coordinación",1,0)</f>
        <v/>
      </c>
      <c r="T90">
        <f>IF(K90="Realizada completa",1,0)</f>
        <v/>
      </c>
      <c r="U90">
        <f>IF(K90="Sin respuesta",1,0)</f>
        <v/>
      </c>
    </row>
    <row r="91">
      <c r="Q91">
        <f>IF(G91="Sí",1,0)</f>
        <v/>
      </c>
      <c r="R91">
        <f>IF(K91="En coordinación",1,0)</f>
        <v/>
      </c>
      <c r="S91">
        <f>IF(K91="En coordinación",1,0)</f>
        <v/>
      </c>
      <c r="T91">
        <f>IF(K91="Realizada completa",1,0)</f>
        <v/>
      </c>
      <c r="U91">
        <f>IF(K91="Sin respuesta",1,0)</f>
        <v/>
      </c>
    </row>
    <row r="92">
      <c r="Q92">
        <f>IF(G92="Sí",1,0)</f>
        <v/>
      </c>
      <c r="R92">
        <f>IF(K92="En coordinación",1,0)</f>
        <v/>
      </c>
      <c r="S92">
        <f>IF(K92="En coordinación",1,0)</f>
        <v/>
      </c>
      <c r="T92">
        <f>IF(K92="Realizada completa",1,0)</f>
        <v/>
      </c>
      <c r="U92">
        <f>IF(K92="Sin respuesta",1,0)</f>
        <v/>
      </c>
    </row>
    <row r="93">
      <c r="Q93">
        <f>IF(G93="Sí",1,0)</f>
        <v/>
      </c>
      <c r="R93">
        <f>IF(K93="En coordinación",1,0)</f>
        <v/>
      </c>
      <c r="S93">
        <f>IF(K93="En coordinación",1,0)</f>
        <v/>
      </c>
      <c r="T93">
        <f>IF(K93="Realizada completa",1,0)</f>
        <v/>
      </c>
      <c r="U93">
        <f>IF(K93="Sin respuesta",1,0)</f>
        <v/>
      </c>
    </row>
    <row r="94">
      <c r="Q94">
        <f>IF(G94="Sí",1,0)</f>
        <v/>
      </c>
      <c r="R94">
        <f>IF(K94="En coordinación",1,0)</f>
        <v/>
      </c>
      <c r="S94">
        <f>IF(K94="En coordinación",1,0)</f>
        <v/>
      </c>
      <c r="T94">
        <f>IF(K94="Realizada completa",1,0)</f>
        <v/>
      </c>
      <c r="U94">
        <f>IF(K94="Sin respuesta",1,0)</f>
        <v/>
      </c>
    </row>
    <row r="95">
      <c r="Q95">
        <f>IF(G95="Sí",1,0)</f>
        <v/>
      </c>
      <c r="R95">
        <f>IF(K95="En coordinación",1,0)</f>
        <v/>
      </c>
      <c r="S95">
        <f>IF(K95="En coordinación",1,0)</f>
        <v/>
      </c>
      <c r="T95">
        <f>IF(K95="Realizada completa",1,0)</f>
        <v/>
      </c>
      <c r="U95">
        <f>IF(K95="Sin respuesta",1,0)</f>
        <v/>
      </c>
    </row>
    <row r="96">
      <c r="Q96">
        <f>IF(G96="Sí",1,0)</f>
        <v/>
      </c>
      <c r="R96">
        <f>IF(K96="En coordinación",1,0)</f>
        <v/>
      </c>
      <c r="S96">
        <f>IF(K96="En coordinación",1,0)</f>
        <v/>
      </c>
      <c r="T96">
        <f>IF(K96="Realizada completa",1,0)</f>
        <v/>
      </c>
      <c r="U96">
        <f>IF(K96="Sin respuesta",1,0)</f>
        <v/>
      </c>
    </row>
    <row r="97">
      <c r="Q97">
        <f>IF(G97="Sí",1,0)</f>
        <v/>
      </c>
      <c r="R97">
        <f>IF(K97="En coordinación",1,0)</f>
        <v/>
      </c>
      <c r="S97">
        <f>IF(K97="En coordinación",1,0)</f>
        <v/>
      </c>
      <c r="T97">
        <f>IF(K97="Realizada completa",1,0)</f>
        <v/>
      </c>
      <c r="U97">
        <f>IF(K97="Sin respuesta",1,0)</f>
        <v/>
      </c>
    </row>
    <row r="98">
      <c r="Q98">
        <f>IF(G98="Sí",1,0)</f>
        <v/>
      </c>
      <c r="R98">
        <f>IF(K98="En coordinación",1,0)</f>
        <v/>
      </c>
      <c r="S98">
        <f>IF(K98="En coordinación",1,0)</f>
        <v/>
      </c>
      <c r="T98">
        <f>IF(K98="Realizada completa",1,0)</f>
        <v/>
      </c>
      <c r="U98">
        <f>IF(K98="Sin respuesta",1,0)</f>
        <v/>
      </c>
    </row>
    <row r="99">
      <c r="Q99">
        <f>IF(G99="Sí",1,0)</f>
        <v/>
      </c>
      <c r="R99">
        <f>IF(K99="En coordinación",1,0)</f>
        <v/>
      </c>
      <c r="S99">
        <f>IF(K99="En coordinación",1,0)</f>
        <v/>
      </c>
      <c r="T99">
        <f>IF(K99="Realizada completa",1,0)</f>
        <v/>
      </c>
      <c r="U99">
        <f>IF(K99="Sin respuesta",1,0)</f>
        <v/>
      </c>
    </row>
    <row r="100">
      <c r="Q100">
        <f>IF(G100="Sí",1,0)</f>
        <v/>
      </c>
      <c r="R100">
        <f>IF(K100="En coordinación",1,0)</f>
        <v/>
      </c>
      <c r="S100">
        <f>IF(K100="En coordinación",1,0)</f>
        <v/>
      </c>
      <c r="T100">
        <f>IF(K100="Realizada completa",1,0)</f>
        <v/>
      </c>
      <c r="U100">
        <f>IF(K100="Sin respuesta",1,0)</f>
        <v/>
      </c>
    </row>
    <row r="101">
      <c r="Q101">
        <f>IF(G101="Sí",1,0)</f>
        <v/>
      </c>
      <c r="R101">
        <f>IF(K101="En coordinación",1,0)</f>
        <v/>
      </c>
      <c r="S101">
        <f>IF(K101="En coordinación",1,0)</f>
        <v/>
      </c>
      <c r="T101">
        <f>IF(K101="Realizada completa",1,0)</f>
        <v/>
      </c>
      <c r="U101">
        <f>IF(K101="Sin respuesta",1,0)</f>
        <v/>
      </c>
    </row>
    <row r="102">
      <c r="Q102">
        <f>IF(G102="Sí",1,0)</f>
        <v/>
      </c>
      <c r="R102">
        <f>IF(K102="En coordinación",1,0)</f>
        <v/>
      </c>
      <c r="S102">
        <f>IF(K102="En coordinación",1,0)</f>
        <v/>
      </c>
      <c r="T102">
        <f>IF(K102="Realizada completa",1,0)</f>
        <v/>
      </c>
      <c r="U102">
        <f>IF(K102="Sin respuesta",1,0)</f>
        <v/>
      </c>
    </row>
    <row r="103">
      <c r="Q103">
        <f>IF(G103="Sí",1,0)</f>
        <v/>
      </c>
      <c r="R103">
        <f>IF(K103="En coordinación",1,0)</f>
        <v/>
      </c>
      <c r="S103">
        <f>IF(K103="En coordinación",1,0)</f>
        <v/>
      </c>
      <c r="T103">
        <f>IF(K103="Realizada completa",1,0)</f>
        <v/>
      </c>
      <c r="U103">
        <f>IF(K103="Sin respuesta",1,0)</f>
        <v/>
      </c>
    </row>
    <row r="104">
      <c r="Q104">
        <f>IF(G104="Sí",1,0)</f>
        <v/>
      </c>
      <c r="R104">
        <f>IF(K104="En coordinación",1,0)</f>
        <v/>
      </c>
      <c r="S104">
        <f>IF(K104="En coordinación",1,0)</f>
        <v/>
      </c>
      <c r="T104">
        <f>IF(K104="Realizada completa",1,0)</f>
        <v/>
      </c>
      <c r="U104">
        <f>IF(K104="Sin respuesta",1,0)</f>
        <v/>
      </c>
    </row>
    <row r="105">
      <c r="Q105">
        <f>IF(G105="Sí",1,0)</f>
        <v/>
      </c>
      <c r="R105">
        <f>IF(K105="En coordinación",1,0)</f>
        <v/>
      </c>
      <c r="S105">
        <f>IF(K105="En coordinación",1,0)</f>
        <v/>
      </c>
      <c r="T105">
        <f>IF(K105="Realizada completa",1,0)</f>
        <v/>
      </c>
      <c r="U105">
        <f>IF(K105="Sin respuesta",1,0)</f>
        <v/>
      </c>
    </row>
    <row r="106">
      <c r="Q106">
        <f>IF(G106="Sí",1,0)</f>
        <v/>
      </c>
      <c r="R106">
        <f>IF(K106="En coordinación",1,0)</f>
        <v/>
      </c>
      <c r="S106">
        <f>IF(K106="En coordinación",1,0)</f>
        <v/>
      </c>
      <c r="T106">
        <f>IF(K106="Realizada completa",1,0)</f>
        <v/>
      </c>
      <c r="U106">
        <f>IF(K106="Sin respuesta",1,0)</f>
        <v/>
      </c>
    </row>
    <row r="107">
      <c r="Q107">
        <f>IF(G107="Sí",1,0)</f>
        <v/>
      </c>
      <c r="R107">
        <f>IF(K107="En coordinación",1,0)</f>
        <v/>
      </c>
      <c r="S107">
        <f>IF(K107="En coordinación",1,0)</f>
        <v/>
      </c>
      <c r="T107">
        <f>IF(K107="Realizada completa",1,0)</f>
        <v/>
      </c>
      <c r="U107">
        <f>IF(K107="Sin respuesta",1,0)</f>
        <v/>
      </c>
    </row>
    <row r="108">
      <c r="Q108">
        <f>IF(G108="Sí",1,0)</f>
        <v/>
      </c>
      <c r="R108">
        <f>IF(K108="En coordinación",1,0)</f>
        <v/>
      </c>
      <c r="S108">
        <f>IF(K108="En coordinación",1,0)</f>
        <v/>
      </c>
      <c r="T108">
        <f>IF(K108="Realizada completa",1,0)</f>
        <v/>
      </c>
      <c r="U108">
        <f>IF(K108="Sin respuesta",1,0)</f>
        <v/>
      </c>
    </row>
    <row r="109">
      <c r="Q109">
        <f>IF(G109="Sí",1,0)</f>
        <v/>
      </c>
      <c r="R109">
        <f>IF(K109="En coordinación",1,0)</f>
        <v/>
      </c>
      <c r="S109">
        <f>IF(K109="En coordinación",1,0)</f>
        <v/>
      </c>
      <c r="T109">
        <f>IF(K109="Realizada completa",1,0)</f>
        <v/>
      </c>
      <c r="U109">
        <f>IF(K109="Sin respuesta",1,0)</f>
        <v/>
      </c>
    </row>
    <row r="110">
      <c r="Q110">
        <f>IF(G110="Sí",1,0)</f>
        <v/>
      </c>
      <c r="R110">
        <f>IF(K110="En coordinación",1,0)</f>
        <v/>
      </c>
      <c r="S110">
        <f>IF(K110="En coordinación",1,0)</f>
        <v/>
      </c>
      <c r="T110">
        <f>IF(K110="Realizada completa",1,0)</f>
        <v/>
      </c>
      <c r="U110">
        <f>IF(K110="Sin respuesta",1,0)</f>
        <v/>
      </c>
    </row>
    <row r="111">
      <c r="Q111">
        <f>IF(G111="Sí",1,0)</f>
        <v/>
      </c>
      <c r="R111">
        <f>IF(K111="En coordinación",1,0)</f>
        <v/>
      </c>
      <c r="S111">
        <f>IF(K111="En coordinación",1,0)</f>
        <v/>
      </c>
      <c r="T111">
        <f>IF(K111="Realizada completa",1,0)</f>
        <v/>
      </c>
      <c r="U111">
        <f>IF(K111="Sin respuesta",1,0)</f>
        <v/>
      </c>
    </row>
    <row r="112">
      <c r="Q112">
        <f>IF(G112="Sí",1,0)</f>
        <v/>
      </c>
      <c r="R112">
        <f>IF(K112="En coordinación",1,0)</f>
        <v/>
      </c>
      <c r="S112">
        <f>IF(K112="En coordinación",1,0)</f>
        <v/>
      </c>
      <c r="T112">
        <f>IF(K112="Realizada completa",1,0)</f>
        <v/>
      </c>
      <c r="U112">
        <f>IF(K112="Sin respuesta",1,0)</f>
        <v/>
      </c>
    </row>
    <row r="113">
      <c r="Q113">
        <f>IF(G113="Sí",1,0)</f>
        <v/>
      </c>
      <c r="R113">
        <f>IF(K113="En coordinación",1,0)</f>
        <v/>
      </c>
      <c r="S113">
        <f>IF(K113="En coordinación",1,0)</f>
        <v/>
      </c>
      <c r="T113">
        <f>IF(K113="Realizada completa",1,0)</f>
        <v/>
      </c>
      <c r="U113">
        <f>IF(K113="Sin respuesta",1,0)</f>
        <v/>
      </c>
    </row>
    <row r="114">
      <c r="Q114">
        <f>IF(G114="Sí",1,0)</f>
        <v/>
      </c>
      <c r="R114">
        <f>IF(K114="En coordinación",1,0)</f>
        <v/>
      </c>
      <c r="S114">
        <f>IF(K114="En coordinación",1,0)</f>
        <v/>
      </c>
      <c r="T114">
        <f>IF(K114="Realizada completa",1,0)</f>
        <v/>
      </c>
      <c r="U114">
        <f>IF(K114="Sin respuesta",1,0)</f>
        <v/>
      </c>
    </row>
    <row r="115">
      <c r="Q115">
        <f>IF(G115="Sí",1,0)</f>
        <v/>
      </c>
      <c r="R115">
        <f>IF(K115="En coordinación",1,0)</f>
        <v/>
      </c>
      <c r="S115">
        <f>IF(K115="En coordinación",1,0)</f>
        <v/>
      </c>
      <c r="T115">
        <f>IF(K115="Realizada completa",1,0)</f>
        <v/>
      </c>
      <c r="U115">
        <f>IF(K115="Sin respuesta",1,0)</f>
        <v/>
      </c>
    </row>
    <row r="116">
      <c r="Q116">
        <f>IF(G116="Sí",1,0)</f>
        <v/>
      </c>
      <c r="R116">
        <f>IF(K116="En coordinación",1,0)</f>
        <v/>
      </c>
      <c r="S116">
        <f>IF(K116="En coordinación",1,0)</f>
        <v/>
      </c>
      <c r="T116">
        <f>IF(K116="Realizada completa",1,0)</f>
        <v/>
      </c>
      <c r="U116">
        <f>IF(K116="Sin respuesta",1,0)</f>
        <v/>
      </c>
    </row>
    <row r="117">
      <c r="Q117">
        <f>IF(G117="Sí",1,0)</f>
        <v/>
      </c>
      <c r="R117">
        <f>IF(K117="En coordinación",1,0)</f>
        <v/>
      </c>
      <c r="S117">
        <f>IF(K117="En coordinación",1,0)</f>
        <v/>
      </c>
      <c r="T117">
        <f>IF(K117="Realizada completa",1,0)</f>
        <v/>
      </c>
      <c r="U117">
        <f>IF(K117="Sin respuesta",1,0)</f>
        <v/>
      </c>
    </row>
    <row r="118">
      <c r="Q118">
        <f>IF(G118="Sí",1,0)</f>
        <v/>
      </c>
      <c r="R118">
        <f>IF(K118="En coordinación",1,0)</f>
        <v/>
      </c>
      <c r="S118">
        <f>IF(K118="En coordinación",1,0)</f>
        <v/>
      </c>
      <c r="T118">
        <f>IF(K118="Realizada completa",1,0)</f>
        <v/>
      </c>
      <c r="U118">
        <f>IF(K118="Sin respuesta",1,0)</f>
        <v/>
      </c>
    </row>
    <row r="119">
      <c r="Q119">
        <f>IF(G119="Sí",1,0)</f>
        <v/>
      </c>
      <c r="R119">
        <f>IF(K119="En coordinación",1,0)</f>
        <v/>
      </c>
      <c r="S119">
        <f>IF(K119="En coordinación",1,0)</f>
        <v/>
      </c>
      <c r="T119">
        <f>IF(K119="Realizada completa",1,0)</f>
        <v/>
      </c>
      <c r="U119">
        <f>IF(K119="Sin respuesta",1,0)</f>
        <v/>
      </c>
    </row>
    <row r="120">
      <c r="Q120">
        <f>IF(G120="Sí",1,0)</f>
        <v/>
      </c>
      <c r="R120">
        <f>IF(K120="En coordinación",1,0)</f>
        <v/>
      </c>
      <c r="S120">
        <f>IF(K120="En coordinación",1,0)</f>
        <v/>
      </c>
      <c r="T120">
        <f>IF(K120="Realizada completa",1,0)</f>
        <v/>
      </c>
      <c r="U120">
        <f>IF(K120="Sin respuesta",1,0)</f>
        <v/>
      </c>
    </row>
    <row r="121">
      <c r="Q121">
        <f>IF(G121="Sí",1,0)</f>
        <v/>
      </c>
      <c r="R121">
        <f>IF(K121="En coordinación",1,0)</f>
        <v/>
      </c>
      <c r="S121">
        <f>IF(K121="En coordinación",1,0)</f>
        <v/>
      </c>
      <c r="T121">
        <f>IF(K121="Realizada completa",1,0)</f>
        <v/>
      </c>
      <c r="U121">
        <f>IF(K121="Sin respuesta",1,0)</f>
        <v/>
      </c>
    </row>
    <row r="122">
      <c r="Q122">
        <f>IF(G122="Sí",1,0)</f>
        <v/>
      </c>
      <c r="R122">
        <f>IF(K122="En coordinación",1,0)</f>
        <v/>
      </c>
      <c r="S122">
        <f>IF(K122="En coordinación",1,0)</f>
        <v/>
      </c>
      <c r="T122">
        <f>IF(K122="Realizada completa",1,0)</f>
        <v/>
      </c>
      <c r="U122">
        <f>IF(K122="Sin respuesta",1,0)</f>
        <v/>
      </c>
    </row>
    <row r="123">
      <c r="Q123">
        <f>IF(G123="Sí",1,0)</f>
        <v/>
      </c>
      <c r="R123">
        <f>IF(K123="En coordinación",1,0)</f>
        <v/>
      </c>
      <c r="S123">
        <f>IF(K123="En coordinación",1,0)</f>
        <v/>
      </c>
      <c r="T123">
        <f>IF(K123="Realizada completa",1,0)</f>
        <v/>
      </c>
      <c r="U123">
        <f>IF(K123="Sin respuesta",1,0)</f>
        <v/>
      </c>
    </row>
    <row r="124">
      <c r="Q124">
        <f>IF(G124="Sí",1,0)</f>
        <v/>
      </c>
      <c r="R124">
        <f>IF(K124="En coordinación",1,0)</f>
        <v/>
      </c>
      <c r="S124">
        <f>IF(K124="En coordinación",1,0)</f>
        <v/>
      </c>
      <c r="T124">
        <f>IF(K124="Realizada completa",1,0)</f>
        <v/>
      </c>
      <c r="U124">
        <f>IF(K124="Sin respuesta",1,0)</f>
        <v/>
      </c>
    </row>
    <row r="125">
      <c r="Q125">
        <f>IF(G125="Sí",1,0)</f>
        <v/>
      </c>
      <c r="R125">
        <f>IF(K125="En coordinación",1,0)</f>
        <v/>
      </c>
      <c r="S125">
        <f>IF(K125="En coordinación",1,0)</f>
        <v/>
      </c>
      <c r="T125">
        <f>IF(K125="Realizada completa",1,0)</f>
        <v/>
      </c>
      <c r="U125">
        <f>IF(K125="Sin respuesta",1,0)</f>
        <v/>
      </c>
    </row>
    <row r="126">
      <c r="Q126">
        <f>IF(G126="Sí",1,0)</f>
        <v/>
      </c>
      <c r="R126">
        <f>IF(K126="En coordinación",1,0)</f>
        <v/>
      </c>
      <c r="S126">
        <f>IF(K126="En coordinación",1,0)</f>
        <v/>
      </c>
      <c r="T126">
        <f>IF(K126="Realizada completa",1,0)</f>
        <v/>
      </c>
      <c r="U126">
        <f>IF(K126="Sin respuesta",1,0)</f>
        <v/>
      </c>
    </row>
    <row r="127">
      <c r="Q127">
        <f>IF(G127="Sí",1,0)</f>
        <v/>
      </c>
      <c r="R127">
        <f>IF(K127="En coordinación",1,0)</f>
        <v/>
      </c>
      <c r="S127">
        <f>IF(K127="En coordinación",1,0)</f>
        <v/>
      </c>
      <c r="T127">
        <f>IF(K127="Realizada completa",1,0)</f>
        <v/>
      </c>
      <c r="U127">
        <f>IF(K127="Sin respuesta",1,0)</f>
        <v/>
      </c>
    </row>
    <row r="128">
      <c r="Q128">
        <f>IF(G128="Sí",1,0)</f>
        <v/>
      </c>
      <c r="R128">
        <f>IF(K128="En coordinación",1,0)</f>
        <v/>
      </c>
      <c r="S128">
        <f>IF(K128="En coordinación",1,0)</f>
        <v/>
      </c>
      <c r="T128">
        <f>IF(K128="Realizada completa",1,0)</f>
        <v/>
      </c>
      <c r="U128">
        <f>IF(K128="Sin respuesta",1,0)</f>
        <v/>
      </c>
    </row>
    <row r="129">
      <c r="Q129">
        <f>IF(G129="Sí",1,0)</f>
        <v/>
      </c>
      <c r="R129">
        <f>IF(K129="En coordinación",1,0)</f>
        <v/>
      </c>
      <c r="S129">
        <f>IF(K129="En coordinación",1,0)</f>
        <v/>
      </c>
      <c r="T129">
        <f>IF(K129="Realizada completa",1,0)</f>
        <v/>
      </c>
      <c r="U129">
        <f>IF(K129="Sin respuesta",1,0)</f>
        <v/>
      </c>
    </row>
    <row r="130">
      <c r="Q130">
        <f>IF(G130="Sí",1,0)</f>
        <v/>
      </c>
      <c r="R130">
        <f>IF(K130="En coordinación",1,0)</f>
        <v/>
      </c>
      <c r="S130">
        <f>IF(K130="En coordinación",1,0)</f>
        <v/>
      </c>
      <c r="T130">
        <f>IF(K130="Realizada completa",1,0)</f>
        <v/>
      </c>
      <c r="U130">
        <f>IF(K130="Sin respuesta",1,0)</f>
        <v/>
      </c>
    </row>
    <row r="131">
      <c r="Q131">
        <f>IF(G131="Sí",1,0)</f>
        <v/>
      </c>
      <c r="R131">
        <f>IF(K131="En coordinación",1,0)</f>
        <v/>
      </c>
      <c r="S131">
        <f>IF(K131="En coordinación",1,0)</f>
        <v/>
      </c>
      <c r="T131">
        <f>IF(K131="Realizada completa",1,0)</f>
        <v/>
      </c>
      <c r="U131">
        <f>IF(K131="Sin respuesta",1,0)</f>
        <v/>
      </c>
    </row>
    <row r="132">
      <c r="Q132">
        <f>IF(G132="Sí",1,0)</f>
        <v/>
      </c>
      <c r="R132">
        <f>IF(K132="En coordinación",1,0)</f>
        <v/>
      </c>
      <c r="S132">
        <f>IF(K132="En coordinación",1,0)</f>
        <v/>
      </c>
      <c r="T132">
        <f>IF(K132="Realizada completa",1,0)</f>
        <v/>
      </c>
      <c r="U132">
        <f>IF(K132="Sin respuesta",1,0)</f>
        <v/>
      </c>
    </row>
    <row r="133">
      <c r="Q133">
        <f>IF(G133="Sí",1,0)</f>
        <v/>
      </c>
      <c r="R133">
        <f>IF(K133="En coordinación",1,0)</f>
        <v/>
      </c>
      <c r="S133">
        <f>IF(K133="En coordinación",1,0)</f>
        <v/>
      </c>
      <c r="T133">
        <f>IF(K133="Realizada completa",1,0)</f>
        <v/>
      </c>
      <c r="U133">
        <f>IF(K133="Sin respuesta",1,0)</f>
        <v/>
      </c>
    </row>
    <row r="134">
      <c r="Q134">
        <f>IF(G134="Sí",1,0)</f>
        <v/>
      </c>
      <c r="R134">
        <f>IF(K134="En coordinación",1,0)</f>
        <v/>
      </c>
      <c r="S134">
        <f>IF(K134="En coordinación",1,0)</f>
        <v/>
      </c>
      <c r="T134">
        <f>IF(K134="Realizada completa",1,0)</f>
        <v/>
      </c>
      <c r="U134">
        <f>IF(K134="Sin respuesta",1,0)</f>
        <v/>
      </c>
    </row>
    <row r="135">
      <c r="Q135">
        <f>IF(G135="Sí",1,0)</f>
        <v/>
      </c>
      <c r="R135">
        <f>IF(K135="En coordinación",1,0)</f>
        <v/>
      </c>
      <c r="S135">
        <f>IF(K135="En coordinación",1,0)</f>
        <v/>
      </c>
      <c r="T135">
        <f>IF(K135="Realizada completa",1,0)</f>
        <v/>
      </c>
      <c r="U135">
        <f>IF(K135="Sin respuesta",1,0)</f>
        <v/>
      </c>
    </row>
    <row r="136">
      <c r="Q136">
        <f>IF(G136="Sí",1,0)</f>
        <v/>
      </c>
      <c r="R136">
        <f>IF(K136="En coordinación",1,0)</f>
        <v/>
      </c>
      <c r="S136">
        <f>IF(K136="En coordinación",1,0)</f>
        <v/>
      </c>
      <c r="T136">
        <f>IF(K136="Realizada completa",1,0)</f>
        <v/>
      </c>
      <c r="U136">
        <f>IF(K136="Sin respuesta",1,0)</f>
        <v/>
      </c>
    </row>
    <row r="137">
      <c r="Q137">
        <f>IF(G137="Sí",1,0)</f>
        <v/>
      </c>
      <c r="R137">
        <f>IF(K137="En coordinación",1,0)</f>
        <v/>
      </c>
      <c r="S137">
        <f>IF(K137="En coordinación",1,0)</f>
        <v/>
      </c>
      <c r="T137">
        <f>IF(K137="Realizada completa",1,0)</f>
        <v/>
      </c>
      <c r="U137">
        <f>IF(K137="Sin respuesta",1,0)</f>
        <v/>
      </c>
    </row>
    <row r="138">
      <c r="Q138">
        <f>IF(G138="Sí",1,0)</f>
        <v/>
      </c>
      <c r="R138">
        <f>IF(K138="En coordinación",1,0)</f>
        <v/>
      </c>
      <c r="S138">
        <f>IF(K138="En coordinación",1,0)</f>
        <v/>
      </c>
      <c r="T138">
        <f>IF(K138="Realizada completa",1,0)</f>
        <v/>
      </c>
      <c r="U138">
        <f>IF(K138="Sin respuesta",1,0)</f>
        <v/>
      </c>
    </row>
    <row r="139">
      <c r="Q139">
        <f>IF(G139="Sí",1,0)</f>
        <v/>
      </c>
      <c r="R139">
        <f>IF(K139="En coordinación",1,0)</f>
        <v/>
      </c>
      <c r="S139">
        <f>IF(K139="En coordinación",1,0)</f>
        <v/>
      </c>
      <c r="T139">
        <f>IF(K139="Realizada completa",1,0)</f>
        <v/>
      </c>
      <c r="U139">
        <f>IF(K139="Sin respuesta",1,0)</f>
        <v/>
      </c>
    </row>
    <row r="140">
      <c r="Q140">
        <f>IF(G140="Sí",1,0)</f>
        <v/>
      </c>
      <c r="R140">
        <f>IF(K140="En coordinación",1,0)</f>
        <v/>
      </c>
      <c r="S140">
        <f>IF(K140="En coordinación",1,0)</f>
        <v/>
      </c>
      <c r="T140">
        <f>IF(K140="Realizada completa",1,0)</f>
        <v/>
      </c>
      <c r="U140">
        <f>IF(K140="Sin respuesta",1,0)</f>
        <v/>
      </c>
    </row>
    <row r="141">
      <c r="Q141">
        <f>IF(G141="Sí",1,0)</f>
        <v/>
      </c>
      <c r="R141">
        <f>IF(K141="En coordinación",1,0)</f>
        <v/>
      </c>
      <c r="S141">
        <f>IF(K141="En coordinación",1,0)</f>
        <v/>
      </c>
      <c r="T141">
        <f>IF(K141="Realizada completa",1,0)</f>
        <v/>
      </c>
      <c r="U141">
        <f>IF(K141="Sin respuesta",1,0)</f>
        <v/>
      </c>
    </row>
    <row r="142">
      <c r="Q142">
        <f>IF(G142="Sí",1,0)</f>
        <v/>
      </c>
      <c r="R142">
        <f>IF(K142="En coordinación",1,0)</f>
        <v/>
      </c>
      <c r="S142">
        <f>IF(K142="En coordinación",1,0)</f>
        <v/>
      </c>
      <c r="T142">
        <f>IF(K142="Realizada completa",1,0)</f>
        <v/>
      </c>
      <c r="U142">
        <f>IF(K142="Sin respuesta",1,0)</f>
        <v/>
      </c>
    </row>
    <row r="143">
      <c r="Q143">
        <f>IF(G143="Sí",1,0)</f>
        <v/>
      </c>
      <c r="R143">
        <f>IF(K143="En coordinación",1,0)</f>
        <v/>
      </c>
      <c r="S143">
        <f>IF(K143="En coordinación",1,0)</f>
        <v/>
      </c>
      <c r="T143">
        <f>IF(K143="Realizada completa",1,0)</f>
        <v/>
      </c>
      <c r="U143">
        <f>IF(K143="Sin respuesta",1,0)</f>
        <v/>
      </c>
    </row>
    <row r="144">
      <c r="Q144">
        <f>IF(G144="Sí",1,0)</f>
        <v/>
      </c>
      <c r="R144">
        <f>IF(K144="En coordinación",1,0)</f>
        <v/>
      </c>
      <c r="S144">
        <f>IF(K144="En coordinación",1,0)</f>
        <v/>
      </c>
      <c r="T144">
        <f>IF(K144="Realizada completa",1,0)</f>
        <v/>
      </c>
      <c r="U144">
        <f>IF(K144="Sin respuesta",1,0)</f>
        <v/>
      </c>
    </row>
    <row r="145">
      <c r="Q145">
        <f>IF(G145="Sí",1,0)</f>
        <v/>
      </c>
      <c r="R145">
        <f>IF(K145="En coordinación",1,0)</f>
        <v/>
      </c>
      <c r="S145">
        <f>IF(K145="En coordinación",1,0)</f>
        <v/>
      </c>
      <c r="T145">
        <f>IF(K145="Realizada completa",1,0)</f>
        <v/>
      </c>
      <c r="U145">
        <f>IF(K145="Sin respuesta",1,0)</f>
        <v/>
      </c>
    </row>
    <row r="146">
      <c r="Q146">
        <f>IF(G146="Sí",1,0)</f>
        <v/>
      </c>
      <c r="R146">
        <f>IF(K146="En coordinación",1,0)</f>
        <v/>
      </c>
      <c r="S146">
        <f>IF(K146="En coordinación",1,0)</f>
        <v/>
      </c>
      <c r="T146">
        <f>IF(K146="Realizada completa",1,0)</f>
        <v/>
      </c>
      <c r="U146">
        <f>IF(K146="Sin respuesta",1,0)</f>
        <v/>
      </c>
    </row>
    <row r="147">
      <c r="Q147">
        <f>IF(G147="Sí",1,0)</f>
        <v/>
      </c>
      <c r="R147">
        <f>IF(K147="En coordinación",1,0)</f>
        <v/>
      </c>
      <c r="S147">
        <f>IF(K147="En coordinación",1,0)</f>
        <v/>
      </c>
      <c r="T147">
        <f>IF(K147="Realizada completa",1,0)</f>
        <v/>
      </c>
      <c r="U147">
        <f>IF(K147="Sin respuesta",1,0)</f>
        <v/>
      </c>
    </row>
    <row r="148">
      <c r="Q148">
        <f>IF(G148="Sí",1,0)</f>
        <v/>
      </c>
      <c r="R148">
        <f>IF(K148="En coordinación",1,0)</f>
        <v/>
      </c>
      <c r="S148">
        <f>IF(K148="En coordinación",1,0)</f>
        <v/>
      </c>
      <c r="T148">
        <f>IF(K148="Realizada completa",1,0)</f>
        <v/>
      </c>
      <c r="U148">
        <f>IF(K148="Sin respuesta",1,0)</f>
        <v/>
      </c>
    </row>
    <row r="149">
      <c r="Q149">
        <f>IF(G149="Sí",1,0)</f>
        <v/>
      </c>
      <c r="R149">
        <f>IF(K149="En coordinación",1,0)</f>
        <v/>
      </c>
      <c r="S149">
        <f>IF(K149="En coordinación",1,0)</f>
        <v/>
      </c>
      <c r="T149">
        <f>IF(K149="Realizada completa",1,0)</f>
        <v/>
      </c>
      <c r="U149">
        <f>IF(K149="Sin respuesta",1,0)</f>
        <v/>
      </c>
    </row>
    <row r="150">
      <c r="Q150">
        <f>IF(G150="Sí",1,0)</f>
        <v/>
      </c>
      <c r="R150">
        <f>IF(K150="En coordinación",1,0)</f>
        <v/>
      </c>
      <c r="S150">
        <f>IF(K150="En coordinación",1,0)</f>
        <v/>
      </c>
      <c r="T150">
        <f>IF(K150="Realizada completa",1,0)</f>
        <v/>
      </c>
      <c r="U150">
        <f>IF(K150="Sin respuesta",1,0)</f>
        <v/>
      </c>
    </row>
    <row r="151">
      <c r="Q151">
        <f>IF(G151="Sí",1,0)</f>
        <v/>
      </c>
      <c r="R151">
        <f>IF(K151="En coordinación",1,0)</f>
        <v/>
      </c>
      <c r="S151">
        <f>IF(K151="En coordinación",1,0)</f>
        <v/>
      </c>
      <c r="T151">
        <f>IF(K151="Realizada completa",1,0)</f>
        <v/>
      </c>
      <c r="U151">
        <f>IF(K151="Sin respuesta",1,0)</f>
        <v/>
      </c>
    </row>
    <row r="152">
      <c r="Q152">
        <f>IF(G152="Sí",1,0)</f>
        <v/>
      </c>
      <c r="R152">
        <f>IF(K152="En coordinación",1,0)</f>
        <v/>
      </c>
      <c r="S152">
        <f>IF(K152="En coordinación",1,0)</f>
        <v/>
      </c>
      <c r="T152">
        <f>IF(K152="Realizada completa",1,0)</f>
        <v/>
      </c>
      <c r="U152">
        <f>IF(K152="Sin respuesta",1,0)</f>
        <v/>
      </c>
    </row>
    <row r="153">
      <c r="Q153">
        <f>IF(G153="Sí",1,0)</f>
        <v/>
      </c>
      <c r="R153">
        <f>IF(K153="En coordinación",1,0)</f>
        <v/>
      </c>
      <c r="S153">
        <f>IF(K153="En coordinación",1,0)</f>
        <v/>
      </c>
      <c r="T153">
        <f>IF(K153="Realizada completa",1,0)</f>
        <v/>
      </c>
      <c r="U153">
        <f>IF(K153="Sin respuesta",1,0)</f>
        <v/>
      </c>
    </row>
    <row r="154">
      <c r="Q154">
        <f>IF(G154="Sí",1,0)</f>
        <v/>
      </c>
      <c r="R154">
        <f>IF(K154="En coordinación",1,0)</f>
        <v/>
      </c>
      <c r="S154">
        <f>IF(K154="En coordinación",1,0)</f>
        <v/>
      </c>
      <c r="T154">
        <f>IF(K154="Realizada completa",1,0)</f>
        <v/>
      </c>
      <c r="U154">
        <f>IF(K154="Sin respuesta",1,0)</f>
        <v/>
      </c>
    </row>
    <row r="155">
      <c r="Q155">
        <f>IF(G155="Sí",1,0)</f>
        <v/>
      </c>
      <c r="R155">
        <f>IF(K155="En coordinación",1,0)</f>
        <v/>
      </c>
      <c r="S155">
        <f>IF(K155="En coordinación",1,0)</f>
        <v/>
      </c>
      <c r="T155">
        <f>IF(K155="Realizada completa",1,0)</f>
        <v/>
      </c>
      <c r="U155">
        <f>IF(K155="Sin respuesta",1,0)</f>
        <v/>
      </c>
    </row>
    <row r="156">
      <c r="Q156">
        <f>IF(G156="Sí",1,0)</f>
        <v/>
      </c>
      <c r="R156">
        <f>IF(K156="En coordinación",1,0)</f>
        <v/>
      </c>
      <c r="S156">
        <f>IF(K156="En coordinación",1,0)</f>
        <v/>
      </c>
      <c r="T156">
        <f>IF(K156="Realizada completa",1,0)</f>
        <v/>
      </c>
      <c r="U156">
        <f>IF(K156="Sin respuesta",1,0)</f>
        <v/>
      </c>
    </row>
    <row r="157">
      <c r="Q157">
        <f>IF(G157="Sí",1,0)</f>
        <v/>
      </c>
      <c r="R157">
        <f>IF(K157="En coordinación",1,0)</f>
        <v/>
      </c>
      <c r="S157">
        <f>IF(K157="En coordinación",1,0)</f>
        <v/>
      </c>
      <c r="T157">
        <f>IF(K157="Realizada completa",1,0)</f>
        <v/>
      </c>
      <c r="U157">
        <f>IF(K157="Sin respuesta",1,0)</f>
        <v/>
      </c>
    </row>
    <row r="158">
      <c r="Q158">
        <f>IF(G158="Sí",1,0)</f>
        <v/>
      </c>
      <c r="R158">
        <f>IF(K158="En coordinación",1,0)</f>
        <v/>
      </c>
      <c r="S158">
        <f>IF(K158="En coordinación",1,0)</f>
        <v/>
      </c>
      <c r="T158">
        <f>IF(K158="Realizada completa",1,0)</f>
        <v/>
      </c>
      <c r="U158">
        <f>IF(K158="Sin respuesta",1,0)</f>
        <v/>
      </c>
    </row>
    <row r="159">
      <c r="Q159">
        <f>IF(G159="Sí",1,0)</f>
        <v/>
      </c>
      <c r="R159">
        <f>IF(K159="En coordinación",1,0)</f>
        <v/>
      </c>
      <c r="S159">
        <f>IF(K159="En coordinación",1,0)</f>
        <v/>
      </c>
      <c r="T159">
        <f>IF(K159="Realizada completa",1,0)</f>
        <v/>
      </c>
      <c r="U159">
        <f>IF(K159="Sin respuesta",1,0)</f>
        <v/>
      </c>
    </row>
    <row r="160">
      <c r="Q160">
        <f>IF(G160="Sí",1,0)</f>
        <v/>
      </c>
      <c r="R160">
        <f>IF(K160="En coordinación",1,0)</f>
        <v/>
      </c>
      <c r="S160">
        <f>IF(K160="En coordinación",1,0)</f>
        <v/>
      </c>
      <c r="T160">
        <f>IF(K160="Realizada completa",1,0)</f>
        <v/>
      </c>
      <c r="U160">
        <f>IF(K160="Sin respuesta",1,0)</f>
        <v/>
      </c>
    </row>
    <row r="161">
      <c r="Q161">
        <f>IF(G161="Sí",1,0)</f>
        <v/>
      </c>
      <c r="R161">
        <f>IF(K161="En coordinación",1,0)</f>
        <v/>
      </c>
      <c r="S161">
        <f>IF(K161="En coordinación",1,0)</f>
        <v/>
      </c>
      <c r="T161">
        <f>IF(K161="Realizada completa",1,0)</f>
        <v/>
      </c>
      <c r="U161">
        <f>IF(K161="Sin respuesta",1,0)</f>
        <v/>
      </c>
    </row>
    <row r="162">
      <c r="Q162">
        <f>IF(G162="Sí",1,0)</f>
        <v/>
      </c>
      <c r="R162">
        <f>IF(K162="En coordinación",1,0)</f>
        <v/>
      </c>
      <c r="S162">
        <f>IF(K162="En coordinación",1,0)</f>
        <v/>
      </c>
      <c r="T162">
        <f>IF(K162="Realizada completa",1,0)</f>
        <v/>
      </c>
      <c r="U162">
        <f>IF(K162="Sin respuesta",1,0)</f>
        <v/>
      </c>
    </row>
    <row r="163">
      <c r="Q163">
        <f>IF(G163="Sí",1,0)</f>
        <v/>
      </c>
      <c r="R163">
        <f>IF(K163="En coordinación",1,0)</f>
        <v/>
      </c>
      <c r="S163">
        <f>IF(K163="En coordinación",1,0)</f>
        <v/>
      </c>
      <c r="T163">
        <f>IF(K163="Realizada completa",1,0)</f>
        <v/>
      </c>
      <c r="U163">
        <f>IF(K163="Sin respuesta",1,0)</f>
        <v/>
      </c>
    </row>
    <row r="164">
      <c r="Q164">
        <f>IF(G164="Sí",1,0)</f>
        <v/>
      </c>
      <c r="R164">
        <f>IF(K164="En coordinación",1,0)</f>
        <v/>
      </c>
      <c r="S164">
        <f>IF(K164="En coordinación",1,0)</f>
        <v/>
      </c>
      <c r="T164">
        <f>IF(K164="Realizada completa",1,0)</f>
        <v/>
      </c>
      <c r="U164">
        <f>IF(K164="Sin respuesta",1,0)</f>
        <v/>
      </c>
    </row>
    <row r="165">
      <c r="Q165">
        <f>IF(G165="Sí",1,0)</f>
        <v/>
      </c>
      <c r="R165">
        <f>IF(K165="En coordinación",1,0)</f>
        <v/>
      </c>
      <c r="S165">
        <f>IF(K165="En coordinación",1,0)</f>
        <v/>
      </c>
      <c r="T165">
        <f>IF(K165="Realizada completa",1,0)</f>
        <v/>
      </c>
      <c r="U165">
        <f>IF(K165="Sin respuesta",1,0)</f>
        <v/>
      </c>
    </row>
    <row r="166">
      <c r="Q166">
        <f>IF(G166="Sí",1,0)</f>
        <v/>
      </c>
      <c r="R166">
        <f>IF(K166="En coordinación",1,0)</f>
        <v/>
      </c>
      <c r="S166">
        <f>IF(K166="En coordinación",1,0)</f>
        <v/>
      </c>
      <c r="T166">
        <f>IF(K166="Realizada completa",1,0)</f>
        <v/>
      </c>
      <c r="U166">
        <f>IF(K166="Sin respuesta",1,0)</f>
        <v/>
      </c>
    </row>
    <row r="167">
      <c r="Q167">
        <f>IF(G167="Sí",1,0)</f>
        <v/>
      </c>
      <c r="R167">
        <f>IF(K167="En coordinación",1,0)</f>
        <v/>
      </c>
      <c r="S167">
        <f>IF(K167="En coordinación",1,0)</f>
        <v/>
      </c>
      <c r="T167">
        <f>IF(K167="Realizada completa",1,0)</f>
        <v/>
      </c>
      <c r="U167">
        <f>IF(K167="Sin respuesta",1,0)</f>
        <v/>
      </c>
    </row>
    <row r="168">
      <c r="Q168">
        <f>IF(G168="Sí",1,0)</f>
        <v/>
      </c>
      <c r="R168">
        <f>IF(K168="En coordinación",1,0)</f>
        <v/>
      </c>
      <c r="S168">
        <f>IF(K168="En coordinación",1,0)</f>
        <v/>
      </c>
      <c r="T168">
        <f>IF(K168="Realizada completa",1,0)</f>
        <v/>
      </c>
      <c r="U168">
        <f>IF(K168="Sin respuesta",1,0)</f>
        <v/>
      </c>
    </row>
    <row r="169">
      <c r="Q169">
        <f>IF(G169="Sí",1,0)</f>
        <v/>
      </c>
      <c r="R169">
        <f>IF(K169="En coordinación",1,0)</f>
        <v/>
      </c>
      <c r="S169">
        <f>IF(K169="En coordinación",1,0)</f>
        <v/>
      </c>
      <c r="T169">
        <f>IF(K169="Realizada completa",1,0)</f>
        <v/>
      </c>
      <c r="U169">
        <f>IF(K169="Sin respuesta",1,0)</f>
        <v/>
      </c>
    </row>
    <row r="170">
      <c r="Q170">
        <f>IF(G170="Sí",1,0)</f>
        <v/>
      </c>
      <c r="R170">
        <f>IF(K170="En coordinación",1,0)</f>
        <v/>
      </c>
      <c r="S170">
        <f>IF(K170="En coordinación",1,0)</f>
        <v/>
      </c>
      <c r="T170">
        <f>IF(K170="Realizada completa",1,0)</f>
        <v/>
      </c>
      <c r="U170">
        <f>IF(K170="Sin respuesta",1,0)</f>
        <v/>
      </c>
    </row>
    <row r="171">
      <c r="Q171">
        <f>IF(G171="Sí",1,0)</f>
        <v/>
      </c>
      <c r="R171">
        <f>IF(K171="En coordinación",1,0)</f>
        <v/>
      </c>
      <c r="S171">
        <f>IF(K171="En coordinación",1,0)</f>
        <v/>
      </c>
      <c r="T171">
        <f>IF(K171="Realizada completa",1,0)</f>
        <v/>
      </c>
      <c r="U171">
        <f>IF(K171="Sin respuesta",1,0)</f>
        <v/>
      </c>
    </row>
    <row r="172">
      <c r="Q172">
        <f>IF(G172="Sí",1,0)</f>
        <v/>
      </c>
      <c r="R172">
        <f>IF(K172="En coordinación",1,0)</f>
        <v/>
      </c>
      <c r="S172">
        <f>IF(K172="En coordinación",1,0)</f>
        <v/>
      </c>
      <c r="T172">
        <f>IF(K172="Realizada completa",1,0)</f>
        <v/>
      </c>
      <c r="U172">
        <f>IF(K172="Sin respuesta",1,0)</f>
        <v/>
      </c>
    </row>
    <row r="173">
      <c r="Q173">
        <f>IF(G173="Sí",1,0)</f>
        <v/>
      </c>
      <c r="R173">
        <f>IF(K173="En coordinación",1,0)</f>
        <v/>
      </c>
      <c r="S173">
        <f>IF(K173="En coordinación",1,0)</f>
        <v/>
      </c>
      <c r="T173">
        <f>IF(K173="Realizada completa",1,0)</f>
        <v/>
      </c>
      <c r="U173">
        <f>IF(K173="Sin respuesta",1,0)</f>
        <v/>
      </c>
    </row>
    <row r="174">
      <c r="Q174">
        <f>IF(G174="Sí",1,0)</f>
        <v/>
      </c>
      <c r="R174">
        <f>IF(K174="En coordinación",1,0)</f>
        <v/>
      </c>
      <c r="S174">
        <f>IF(K174="En coordinación",1,0)</f>
        <v/>
      </c>
      <c r="T174">
        <f>IF(K174="Realizada completa",1,0)</f>
        <v/>
      </c>
      <c r="U174">
        <f>IF(K174="Sin respuesta",1,0)</f>
        <v/>
      </c>
    </row>
    <row r="175">
      <c r="Q175">
        <f>IF(G175="Sí",1,0)</f>
        <v/>
      </c>
      <c r="R175">
        <f>IF(K175="En coordinación",1,0)</f>
        <v/>
      </c>
      <c r="S175">
        <f>IF(K175="En coordinación",1,0)</f>
        <v/>
      </c>
      <c r="T175">
        <f>IF(K175="Realizada completa",1,0)</f>
        <v/>
      </c>
      <c r="U175">
        <f>IF(K175="Sin respuesta",1,0)</f>
        <v/>
      </c>
    </row>
    <row r="176">
      <c r="Q176">
        <f>IF(G176="Sí",1,0)</f>
        <v/>
      </c>
      <c r="R176">
        <f>IF(K176="En coordinación",1,0)</f>
        <v/>
      </c>
      <c r="S176">
        <f>IF(K176="En coordinación",1,0)</f>
        <v/>
      </c>
      <c r="T176">
        <f>IF(K176="Realizada completa",1,0)</f>
        <v/>
      </c>
      <c r="U176">
        <f>IF(K176="Sin respuesta",1,0)</f>
        <v/>
      </c>
    </row>
    <row r="177">
      <c r="Q177">
        <f>IF(G177="Sí",1,0)</f>
        <v/>
      </c>
      <c r="R177">
        <f>IF(K177="En coordinación",1,0)</f>
        <v/>
      </c>
      <c r="S177">
        <f>IF(K177="En coordinación",1,0)</f>
        <v/>
      </c>
      <c r="T177">
        <f>IF(K177="Realizada completa",1,0)</f>
        <v/>
      </c>
      <c r="U177">
        <f>IF(K177="Sin respuesta",1,0)</f>
        <v/>
      </c>
    </row>
    <row r="178">
      <c r="Q178">
        <f>IF(G178="Sí",1,0)</f>
        <v/>
      </c>
      <c r="R178">
        <f>IF(K178="En coordinación",1,0)</f>
        <v/>
      </c>
      <c r="S178">
        <f>IF(K178="En coordinación",1,0)</f>
        <v/>
      </c>
      <c r="T178">
        <f>IF(K178="Realizada completa",1,0)</f>
        <v/>
      </c>
      <c r="U178">
        <f>IF(K178="Sin respuesta",1,0)</f>
        <v/>
      </c>
    </row>
    <row r="179">
      <c r="Q179">
        <f>IF(G179="Sí",1,0)</f>
        <v/>
      </c>
      <c r="R179">
        <f>IF(K179="En coordinación",1,0)</f>
        <v/>
      </c>
      <c r="S179">
        <f>IF(K179="En coordinación",1,0)</f>
        <v/>
      </c>
      <c r="T179">
        <f>IF(K179="Realizada completa",1,0)</f>
        <v/>
      </c>
      <c r="U179">
        <f>IF(K179="Sin respuesta",1,0)</f>
        <v/>
      </c>
    </row>
    <row r="180">
      <c r="Q180">
        <f>IF(G180="Sí",1,0)</f>
        <v/>
      </c>
      <c r="R180">
        <f>IF(K180="En coordinación",1,0)</f>
        <v/>
      </c>
      <c r="S180">
        <f>IF(K180="En coordinación",1,0)</f>
        <v/>
      </c>
      <c r="T180">
        <f>IF(K180="Realizada completa",1,0)</f>
        <v/>
      </c>
      <c r="U180">
        <f>IF(K180="Sin respuesta",1,0)</f>
        <v/>
      </c>
    </row>
    <row r="181">
      <c r="Q181">
        <f>IF(G181="Sí",1,0)</f>
        <v/>
      </c>
      <c r="R181">
        <f>IF(K181="En coordinación",1,0)</f>
        <v/>
      </c>
      <c r="S181">
        <f>IF(K181="En coordinación",1,0)</f>
        <v/>
      </c>
      <c r="T181">
        <f>IF(K181="Realizada completa",1,0)</f>
        <v/>
      </c>
      <c r="U181">
        <f>IF(K181="Sin respuesta",1,0)</f>
        <v/>
      </c>
    </row>
    <row r="182">
      <c r="Q182">
        <f>IF(G182="Sí",1,0)</f>
        <v/>
      </c>
      <c r="R182">
        <f>IF(K182="En coordinación",1,0)</f>
        <v/>
      </c>
      <c r="S182">
        <f>IF(K182="En coordinación",1,0)</f>
        <v/>
      </c>
      <c r="T182">
        <f>IF(K182="Realizada completa",1,0)</f>
        <v/>
      </c>
      <c r="U182">
        <f>IF(K182="Sin respuesta",1,0)</f>
        <v/>
      </c>
    </row>
    <row r="183">
      <c r="Q183">
        <f>IF(G183="Sí",1,0)</f>
        <v/>
      </c>
      <c r="R183">
        <f>IF(K183="En coordinación",1,0)</f>
        <v/>
      </c>
      <c r="S183">
        <f>IF(K183="En coordinación",1,0)</f>
        <v/>
      </c>
      <c r="T183">
        <f>IF(K183="Realizada completa",1,0)</f>
        <v/>
      </c>
      <c r="U183">
        <f>IF(K183="Sin respuesta",1,0)</f>
        <v/>
      </c>
    </row>
    <row r="184">
      <c r="Q184">
        <f>IF(G184="Sí",1,0)</f>
        <v/>
      </c>
      <c r="R184">
        <f>IF(K184="En coordinación",1,0)</f>
        <v/>
      </c>
      <c r="S184">
        <f>IF(K184="En coordinación",1,0)</f>
        <v/>
      </c>
      <c r="T184">
        <f>IF(K184="Realizada completa",1,0)</f>
        <v/>
      </c>
      <c r="U184">
        <f>IF(K184="Sin respuesta",1,0)</f>
        <v/>
      </c>
    </row>
    <row r="185">
      <c r="Q185">
        <f>IF(G185="Sí",1,0)</f>
        <v/>
      </c>
      <c r="R185">
        <f>IF(K185="En coordinación",1,0)</f>
        <v/>
      </c>
      <c r="S185">
        <f>IF(K185="En coordinación",1,0)</f>
        <v/>
      </c>
      <c r="T185">
        <f>IF(K185="Realizada completa",1,0)</f>
        <v/>
      </c>
      <c r="U185">
        <f>IF(K185="Sin respuesta",1,0)</f>
        <v/>
      </c>
    </row>
    <row r="186">
      <c r="Q186">
        <f>IF(G186="Sí",1,0)</f>
        <v/>
      </c>
      <c r="R186">
        <f>IF(K186="En coordinación",1,0)</f>
        <v/>
      </c>
      <c r="S186">
        <f>IF(K186="En coordinación",1,0)</f>
        <v/>
      </c>
      <c r="T186">
        <f>IF(K186="Realizada completa",1,0)</f>
        <v/>
      </c>
      <c r="U186">
        <f>IF(K186="Sin respuesta",1,0)</f>
        <v/>
      </c>
    </row>
    <row r="187">
      <c r="Q187">
        <f>IF(G187="Sí",1,0)</f>
        <v/>
      </c>
      <c r="R187">
        <f>IF(K187="En coordinación",1,0)</f>
        <v/>
      </c>
      <c r="S187">
        <f>IF(K187="En coordinación",1,0)</f>
        <v/>
      </c>
      <c r="T187">
        <f>IF(K187="Realizada completa",1,0)</f>
        <v/>
      </c>
      <c r="U187">
        <f>IF(K187="Sin respuesta",1,0)</f>
        <v/>
      </c>
    </row>
    <row r="188">
      <c r="Q188">
        <f>IF(G188="Sí",1,0)</f>
        <v/>
      </c>
      <c r="R188">
        <f>IF(K188="En coordinación",1,0)</f>
        <v/>
      </c>
      <c r="S188">
        <f>IF(K188="En coordinación",1,0)</f>
        <v/>
      </c>
      <c r="T188">
        <f>IF(K188="Realizada completa",1,0)</f>
        <v/>
      </c>
      <c r="U188">
        <f>IF(K188="Sin respuesta",1,0)</f>
        <v/>
      </c>
    </row>
    <row r="189">
      <c r="Q189">
        <f>IF(G189="Sí",1,0)</f>
        <v/>
      </c>
      <c r="R189">
        <f>IF(K189="En coordinación",1,0)</f>
        <v/>
      </c>
      <c r="S189">
        <f>IF(K189="En coordinación",1,0)</f>
        <v/>
      </c>
      <c r="T189">
        <f>IF(K189="Realizada completa",1,0)</f>
        <v/>
      </c>
      <c r="U189">
        <f>IF(K189="Sin respuesta",1,0)</f>
        <v/>
      </c>
    </row>
    <row r="190">
      <c r="Q190">
        <f>IF(G190="Sí",1,0)</f>
        <v/>
      </c>
      <c r="R190">
        <f>IF(K190="En coordinación",1,0)</f>
        <v/>
      </c>
      <c r="S190">
        <f>IF(K190="En coordinación",1,0)</f>
        <v/>
      </c>
      <c r="T190">
        <f>IF(K190="Realizada completa",1,0)</f>
        <v/>
      </c>
      <c r="U190">
        <f>IF(K190="Sin respuesta",1,0)</f>
        <v/>
      </c>
    </row>
    <row r="191">
      <c r="Q191">
        <f>IF(G191="Sí",1,0)</f>
        <v/>
      </c>
      <c r="R191">
        <f>IF(K191="En coordinación",1,0)</f>
        <v/>
      </c>
      <c r="S191">
        <f>IF(K191="En coordinación",1,0)</f>
        <v/>
      </c>
      <c r="T191">
        <f>IF(K191="Realizada completa",1,0)</f>
        <v/>
      </c>
      <c r="U191">
        <f>IF(K191="Sin respuesta",1,0)</f>
        <v/>
      </c>
    </row>
    <row r="192">
      <c r="Q192">
        <f>IF(G192="Sí",1,0)</f>
        <v/>
      </c>
      <c r="R192">
        <f>IF(K192="En coordinación",1,0)</f>
        <v/>
      </c>
      <c r="S192">
        <f>IF(K192="En coordinación",1,0)</f>
        <v/>
      </c>
      <c r="T192">
        <f>IF(K192="Realizada completa",1,0)</f>
        <v/>
      </c>
      <c r="U192">
        <f>IF(K192="Sin respuesta",1,0)</f>
        <v/>
      </c>
    </row>
    <row r="193">
      <c r="Q193">
        <f>IF(G193="Sí",1,0)</f>
        <v/>
      </c>
      <c r="R193">
        <f>IF(K193="En coordinación",1,0)</f>
        <v/>
      </c>
      <c r="S193">
        <f>IF(K193="En coordinación",1,0)</f>
        <v/>
      </c>
      <c r="T193">
        <f>IF(K193="Realizada completa",1,0)</f>
        <v/>
      </c>
      <c r="U193">
        <f>IF(K193="Sin respuesta",1,0)</f>
        <v/>
      </c>
    </row>
    <row r="194">
      <c r="Q194">
        <f>IF(G194="Sí",1,0)</f>
        <v/>
      </c>
      <c r="R194">
        <f>IF(K194="En coordinación",1,0)</f>
        <v/>
      </c>
      <c r="S194">
        <f>IF(K194="En coordinación",1,0)</f>
        <v/>
      </c>
      <c r="T194">
        <f>IF(K194="Realizada completa",1,0)</f>
        <v/>
      </c>
      <c r="U194">
        <f>IF(K194="Sin respuesta",1,0)</f>
        <v/>
      </c>
    </row>
    <row r="195">
      <c r="Q195">
        <f>IF(G195="Sí",1,0)</f>
        <v/>
      </c>
      <c r="R195">
        <f>IF(K195="En coordinación",1,0)</f>
        <v/>
      </c>
      <c r="S195">
        <f>IF(K195="En coordinación",1,0)</f>
        <v/>
      </c>
      <c r="T195">
        <f>IF(K195="Realizada completa",1,0)</f>
        <v/>
      </c>
      <c r="U195">
        <f>IF(K195="Sin respuesta",1,0)</f>
        <v/>
      </c>
    </row>
    <row r="196">
      <c r="Q196">
        <f>IF(G196="Sí",1,0)</f>
        <v/>
      </c>
      <c r="R196">
        <f>IF(K196="En coordinación",1,0)</f>
        <v/>
      </c>
      <c r="S196">
        <f>IF(K196="En coordinación",1,0)</f>
        <v/>
      </c>
      <c r="T196">
        <f>IF(K196="Realizada completa",1,0)</f>
        <v/>
      </c>
      <c r="U196">
        <f>IF(K196="Sin respuesta",1,0)</f>
        <v/>
      </c>
    </row>
    <row r="197">
      <c r="Q197">
        <f>IF(G197="Sí",1,0)</f>
        <v/>
      </c>
      <c r="R197">
        <f>IF(K197="En coordinación",1,0)</f>
        <v/>
      </c>
      <c r="S197">
        <f>IF(K197="En coordinación",1,0)</f>
        <v/>
      </c>
      <c r="T197">
        <f>IF(K197="Realizada completa",1,0)</f>
        <v/>
      </c>
      <c r="U197">
        <f>IF(K197="Sin respuesta",1,0)</f>
        <v/>
      </c>
    </row>
    <row r="198">
      <c r="Q198">
        <f>IF(G198="Sí",1,0)</f>
        <v/>
      </c>
      <c r="R198">
        <f>IF(K198="En coordinación",1,0)</f>
        <v/>
      </c>
      <c r="S198">
        <f>IF(K198="En coordinación",1,0)</f>
        <v/>
      </c>
      <c r="T198">
        <f>IF(K198="Realizada completa",1,0)</f>
        <v/>
      </c>
      <c r="U198">
        <f>IF(K198="Sin respuesta",1,0)</f>
        <v/>
      </c>
    </row>
    <row r="199">
      <c r="Q199">
        <f>IF(G199="Sí",1,0)</f>
        <v/>
      </c>
      <c r="R199">
        <f>IF(K199="En coordinación",1,0)</f>
        <v/>
      </c>
      <c r="S199">
        <f>IF(K199="En coordinación",1,0)</f>
        <v/>
      </c>
      <c r="T199">
        <f>IF(K199="Realizada completa",1,0)</f>
        <v/>
      </c>
      <c r="U199">
        <f>IF(K199="Sin respuesta",1,0)</f>
        <v/>
      </c>
    </row>
    <row r="200">
      <c r="Q200">
        <f>IF(G200="Sí",1,0)</f>
        <v/>
      </c>
      <c r="R200">
        <f>IF(K200="En coordinación",1,0)</f>
        <v/>
      </c>
      <c r="S200">
        <f>IF(K200="En coordinación",1,0)</f>
        <v/>
      </c>
      <c r="T200">
        <f>IF(K200="Realizada completa",1,0)</f>
        <v/>
      </c>
      <c r="U200">
        <f>IF(K200="Sin respuesta",1,0)</f>
        <v/>
      </c>
    </row>
    <row r="201">
      <c r="Q201">
        <f>IF(G201="Sí",1,0)</f>
        <v/>
      </c>
      <c r="R201">
        <f>IF(K201="En coordinación",1,0)</f>
        <v/>
      </c>
      <c r="S201">
        <f>IF(K201="En coordinación",1,0)</f>
        <v/>
      </c>
      <c r="T201">
        <f>IF(K201="Realizada completa",1,0)</f>
        <v/>
      </c>
      <c r="U201">
        <f>IF(K201="Sin respuesta",1,0)</f>
        <v/>
      </c>
    </row>
    <row r="202">
      <c r="Q202">
        <f>IF(G202="Sí",1,0)</f>
        <v/>
      </c>
      <c r="R202">
        <f>IF(K202="En coordinación",1,0)</f>
        <v/>
      </c>
      <c r="S202">
        <f>IF(K202="En coordinación",1,0)</f>
        <v/>
      </c>
      <c r="T202">
        <f>IF(K202="Realizada completa",1,0)</f>
        <v/>
      </c>
      <c r="U202">
        <f>IF(K202="Sin respuesta",1,0)</f>
        <v/>
      </c>
    </row>
    <row r="203">
      <c r="Q203">
        <f>IF(G203="Sí",1,0)</f>
        <v/>
      </c>
      <c r="R203">
        <f>IF(K203="En coordinación",1,0)</f>
        <v/>
      </c>
      <c r="S203">
        <f>IF(K203="En coordinación",1,0)</f>
        <v/>
      </c>
      <c r="T203">
        <f>IF(K203="Realizada completa",1,0)</f>
        <v/>
      </c>
      <c r="U203">
        <f>IF(K203="Sin respuesta",1,0)</f>
        <v/>
      </c>
    </row>
    <row r="204">
      <c r="Q204">
        <f>IF(G204="Sí",1,0)</f>
        <v/>
      </c>
      <c r="R204">
        <f>IF(K204="En coordinación",1,0)</f>
        <v/>
      </c>
      <c r="S204">
        <f>IF(K204="En coordinación",1,0)</f>
        <v/>
      </c>
      <c r="T204">
        <f>IF(K204="Realizada completa",1,0)</f>
        <v/>
      </c>
      <c r="U204">
        <f>IF(K204="Sin respuesta",1,0)</f>
        <v/>
      </c>
    </row>
    <row r="205">
      <c r="Q205">
        <f>IF(G205="Sí",1,0)</f>
        <v/>
      </c>
      <c r="R205">
        <f>IF(K205="En coordinación",1,0)</f>
        <v/>
      </c>
      <c r="S205">
        <f>IF(K205="En coordinación",1,0)</f>
        <v/>
      </c>
      <c r="T205">
        <f>IF(K205="Realizada completa",1,0)</f>
        <v/>
      </c>
      <c r="U205">
        <f>IF(K205="Sin respuesta",1,0)</f>
        <v/>
      </c>
    </row>
    <row r="206">
      <c r="Q206">
        <f>IF(G206="Sí",1,0)</f>
        <v/>
      </c>
      <c r="R206">
        <f>IF(K206="En coordinación",1,0)</f>
        <v/>
      </c>
      <c r="S206">
        <f>IF(K206="En coordinación",1,0)</f>
        <v/>
      </c>
      <c r="T206">
        <f>IF(K206="Realizada completa",1,0)</f>
        <v/>
      </c>
      <c r="U206">
        <f>IF(K206="Sin respuesta",1,0)</f>
        <v/>
      </c>
    </row>
    <row r="207">
      <c r="Q207">
        <f>IF(G207="Sí",1,0)</f>
        <v/>
      </c>
      <c r="R207">
        <f>IF(K207="En coordinación",1,0)</f>
        <v/>
      </c>
      <c r="S207">
        <f>IF(K207="En coordinación",1,0)</f>
        <v/>
      </c>
      <c r="T207">
        <f>IF(K207="Realizada completa",1,0)</f>
        <v/>
      </c>
      <c r="U207">
        <f>IF(K207="Sin respuesta",1,0)</f>
        <v/>
      </c>
    </row>
    <row r="208">
      <c r="Q208">
        <f>IF(G208="Sí",1,0)</f>
        <v/>
      </c>
      <c r="R208">
        <f>IF(K208="En coordinación",1,0)</f>
        <v/>
      </c>
      <c r="S208">
        <f>IF(K208="En coordinación",1,0)</f>
        <v/>
      </c>
      <c r="T208">
        <f>IF(K208="Realizada completa",1,0)</f>
        <v/>
      </c>
      <c r="U208">
        <f>IF(K208="Sin respuesta",1,0)</f>
        <v/>
      </c>
    </row>
    <row r="209">
      <c r="Q209">
        <f>IF(G209="Sí",1,0)</f>
        <v/>
      </c>
      <c r="R209">
        <f>IF(K209="En coordinación",1,0)</f>
        <v/>
      </c>
      <c r="S209">
        <f>IF(K209="En coordinación",1,0)</f>
        <v/>
      </c>
      <c r="T209">
        <f>IF(K209="Realizada completa",1,0)</f>
        <v/>
      </c>
      <c r="U209">
        <f>IF(K209="Sin respuesta",1,0)</f>
        <v/>
      </c>
    </row>
    <row r="210">
      <c r="Q210">
        <f>IF(G210="Sí",1,0)</f>
        <v/>
      </c>
      <c r="R210">
        <f>IF(K210="En coordinación",1,0)</f>
        <v/>
      </c>
      <c r="S210">
        <f>IF(K210="En coordinación",1,0)</f>
        <v/>
      </c>
      <c r="T210">
        <f>IF(K210="Realizada completa",1,0)</f>
        <v/>
      </c>
      <c r="U210">
        <f>IF(K210="Sin respuesta",1,0)</f>
        <v/>
      </c>
    </row>
    <row r="211">
      <c r="Q211">
        <f>IF(G211="Sí",1,0)</f>
        <v/>
      </c>
      <c r="R211">
        <f>IF(K211="En coordinación",1,0)</f>
        <v/>
      </c>
      <c r="S211">
        <f>IF(K211="En coordinación",1,0)</f>
        <v/>
      </c>
      <c r="T211">
        <f>IF(K211="Realizada completa",1,0)</f>
        <v/>
      </c>
      <c r="U211">
        <f>IF(K211="Sin respuesta",1,0)</f>
        <v/>
      </c>
    </row>
    <row r="212">
      <c r="Q212">
        <f>IF(G212="Sí",1,0)</f>
        <v/>
      </c>
      <c r="R212">
        <f>IF(K212="En coordinación",1,0)</f>
        <v/>
      </c>
      <c r="S212">
        <f>IF(K212="En coordinación",1,0)</f>
        <v/>
      </c>
      <c r="T212">
        <f>IF(K212="Realizada completa",1,0)</f>
        <v/>
      </c>
      <c r="U212">
        <f>IF(K212="Sin respuesta",1,0)</f>
        <v/>
      </c>
    </row>
    <row r="213">
      <c r="Q213">
        <f>IF(G213="Sí",1,0)</f>
        <v/>
      </c>
      <c r="R213">
        <f>IF(K213="En coordinación",1,0)</f>
        <v/>
      </c>
      <c r="S213">
        <f>IF(K213="En coordinación",1,0)</f>
        <v/>
      </c>
      <c r="T213">
        <f>IF(K213="Realizada completa",1,0)</f>
        <v/>
      </c>
      <c r="U213">
        <f>IF(K213="Sin respuesta",1,0)</f>
        <v/>
      </c>
    </row>
    <row r="214">
      <c r="Q214">
        <f>IF(G214="Sí",1,0)</f>
        <v/>
      </c>
      <c r="R214">
        <f>IF(K214="En coordinación",1,0)</f>
        <v/>
      </c>
      <c r="S214">
        <f>IF(K214="En coordinación",1,0)</f>
        <v/>
      </c>
      <c r="T214">
        <f>IF(K214="Realizada completa",1,0)</f>
        <v/>
      </c>
      <c r="U214">
        <f>IF(K214="Sin respuesta",1,0)</f>
        <v/>
      </c>
    </row>
    <row r="215">
      <c r="Q215">
        <f>IF(G215="Sí",1,0)</f>
        <v/>
      </c>
      <c r="R215">
        <f>IF(K215="En coordinación",1,0)</f>
        <v/>
      </c>
      <c r="S215">
        <f>IF(K215="En coordinación",1,0)</f>
        <v/>
      </c>
      <c r="T215">
        <f>IF(K215="Realizada completa",1,0)</f>
        <v/>
      </c>
      <c r="U215">
        <f>IF(K215="Sin respuesta",1,0)</f>
        <v/>
      </c>
    </row>
    <row r="216">
      <c r="Q216">
        <f>IF(G216="Sí",1,0)</f>
        <v/>
      </c>
      <c r="R216">
        <f>IF(K216="En coordinación",1,0)</f>
        <v/>
      </c>
      <c r="S216">
        <f>IF(K216="En coordinación",1,0)</f>
        <v/>
      </c>
      <c r="T216">
        <f>IF(K216="Realizada completa",1,0)</f>
        <v/>
      </c>
      <c r="U216">
        <f>IF(K216="Sin respuesta",1,0)</f>
        <v/>
      </c>
    </row>
    <row r="217">
      <c r="Q217">
        <f>IF(G217="Sí",1,0)</f>
        <v/>
      </c>
      <c r="R217">
        <f>IF(K217="En coordinación",1,0)</f>
        <v/>
      </c>
      <c r="S217">
        <f>IF(K217="En coordinación",1,0)</f>
        <v/>
      </c>
      <c r="T217">
        <f>IF(K217="Realizada completa",1,0)</f>
        <v/>
      </c>
      <c r="U217">
        <f>IF(K217="Sin respuesta",1,0)</f>
        <v/>
      </c>
    </row>
    <row r="218">
      <c r="Q218">
        <f>IF(G218="Sí",1,0)</f>
        <v/>
      </c>
      <c r="R218">
        <f>IF(K218="En coordinación",1,0)</f>
        <v/>
      </c>
      <c r="S218">
        <f>IF(K218="En coordinación",1,0)</f>
        <v/>
      </c>
      <c r="T218">
        <f>IF(K218="Realizada completa",1,0)</f>
        <v/>
      </c>
      <c r="U218">
        <f>IF(K218="Sin respuesta",1,0)</f>
        <v/>
      </c>
    </row>
    <row r="219">
      <c r="Q219">
        <f>IF(G219="Sí",1,0)</f>
        <v/>
      </c>
      <c r="R219">
        <f>IF(K219="En coordinación",1,0)</f>
        <v/>
      </c>
      <c r="S219">
        <f>IF(K219="En coordinación",1,0)</f>
        <v/>
      </c>
      <c r="T219">
        <f>IF(K219="Realizada completa",1,0)</f>
        <v/>
      </c>
      <c r="U219">
        <f>IF(K219="Sin respuesta",1,0)</f>
        <v/>
      </c>
    </row>
    <row r="220">
      <c r="Q220">
        <f>IF(G220="Sí",1,0)</f>
        <v/>
      </c>
      <c r="R220">
        <f>IF(K220="En coordinación",1,0)</f>
        <v/>
      </c>
      <c r="S220">
        <f>IF(K220="En coordinación",1,0)</f>
        <v/>
      </c>
      <c r="T220">
        <f>IF(K220="Realizada completa",1,0)</f>
        <v/>
      </c>
      <c r="U220">
        <f>IF(K220="Sin respuesta",1,0)</f>
        <v/>
      </c>
    </row>
    <row r="221">
      <c r="Q221">
        <f>IF(G221="Sí",1,0)</f>
        <v/>
      </c>
      <c r="R221">
        <f>IF(K221="En coordinación",1,0)</f>
        <v/>
      </c>
      <c r="S221">
        <f>IF(K221="En coordinación",1,0)</f>
        <v/>
      </c>
      <c r="T221">
        <f>IF(K221="Realizada completa",1,0)</f>
        <v/>
      </c>
      <c r="U221">
        <f>IF(K221="Sin respuesta",1,0)</f>
        <v/>
      </c>
    </row>
    <row r="222">
      <c r="Q222">
        <f>IF(G222="Sí",1,0)</f>
        <v/>
      </c>
      <c r="R222">
        <f>IF(K222="En coordinación",1,0)</f>
        <v/>
      </c>
      <c r="S222">
        <f>IF(K222="En coordinación",1,0)</f>
        <v/>
      </c>
      <c r="T222">
        <f>IF(K222="Realizada completa",1,0)</f>
        <v/>
      </c>
      <c r="U222">
        <f>IF(K222="Sin respuesta",1,0)</f>
        <v/>
      </c>
    </row>
    <row r="223">
      <c r="Q223">
        <f>IF(G223="Sí",1,0)</f>
        <v/>
      </c>
      <c r="R223">
        <f>IF(K223="En coordinación",1,0)</f>
        <v/>
      </c>
      <c r="S223">
        <f>IF(K223="En coordinación",1,0)</f>
        <v/>
      </c>
      <c r="T223">
        <f>IF(K223="Realizada completa",1,0)</f>
        <v/>
      </c>
      <c r="U223">
        <f>IF(K223="Sin respuesta",1,0)</f>
        <v/>
      </c>
    </row>
    <row r="224">
      <c r="Q224">
        <f>IF(G224="Sí",1,0)</f>
        <v/>
      </c>
      <c r="R224">
        <f>IF(K224="En coordinación",1,0)</f>
        <v/>
      </c>
      <c r="S224">
        <f>IF(K224="En coordinación",1,0)</f>
        <v/>
      </c>
      <c r="T224">
        <f>IF(K224="Realizada completa",1,0)</f>
        <v/>
      </c>
      <c r="U224">
        <f>IF(K224="Sin respuesta",1,0)</f>
        <v/>
      </c>
    </row>
    <row r="225">
      <c r="Q225">
        <f>IF(G225="Sí",1,0)</f>
        <v/>
      </c>
      <c r="R225">
        <f>IF(K225="En coordinación",1,0)</f>
        <v/>
      </c>
      <c r="S225">
        <f>IF(K225="En coordinación",1,0)</f>
        <v/>
      </c>
      <c r="T225">
        <f>IF(K225="Realizada completa",1,0)</f>
        <v/>
      </c>
      <c r="U225">
        <f>IF(K225="Sin respuesta",1,0)</f>
        <v/>
      </c>
    </row>
    <row r="226">
      <c r="Q226">
        <f>IF(G226="Sí",1,0)</f>
        <v/>
      </c>
      <c r="R226">
        <f>IF(K226="En coordinación",1,0)</f>
        <v/>
      </c>
      <c r="S226">
        <f>IF(K226="En coordinación",1,0)</f>
        <v/>
      </c>
      <c r="T226">
        <f>IF(K226="Realizada completa",1,0)</f>
        <v/>
      </c>
      <c r="U226">
        <f>IF(K226="Sin respuesta",1,0)</f>
        <v/>
      </c>
    </row>
    <row r="227">
      <c r="Q227">
        <f>IF(G227="Sí",1,0)</f>
        <v/>
      </c>
      <c r="R227">
        <f>IF(K227="En coordinación",1,0)</f>
        <v/>
      </c>
      <c r="S227">
        <f>IF(K227="En coordinación",1,0)</f>
        <v/>
      </c>
      <c r="T227">
        <f>IF(K227="Realizada completa",1,0)</f>
        <v/>
      </c>
      <c r="U227">
        <f>IF(K227="Sin respuesta",1,0)</f>
        <v/>
      </c>
    </row>
    <row r="228">
      <c r="Q228">
        <f>IF(G228="Sí",1,0)</f>
        <v/>
      </c>
      <c r="R228">
        <f>IF(K228="En coordinación",1,0)</f>
        <v/>
      </c>
      <c r="S228">
        <f>IF(K228="En coordinación",1,0)</f>
        <v/>
      </c>
      <c r="T228">
        <f>IF(K228="Realizada completa",1,0)</f>
        <v/>
      </c>
      <c r="U228">
        <f>IF(K228="Sin respuesta",1,0)</f>
        <v/>
      </c>
    </row>
    <row r="229">
      <c r="Q229">
        <f>IF(G229="Sí",1,0)</f>
        <v/>
      </c>
      <c r="R229">
        <f>IF(K229="En coordinación",1,0)</f>
        <v/>
      </c>
      <c r="S229">
        <f>IF(K229="En coordinación",1,0)</f>
        <v/>
      </c>
      <c r="T229">
        <f>IF(K229="Realizada completa",1,0)</f>
        <v/>
      </c>
      <c r="U229">
        <f>IF(K229="Sin respuesta",1,0)</f>
        <v/>
      </c>
    </row>
    <row r="230">
      <c r="Q230">
        <f>IF(G230="Sí",1,0)</f>
        <v/>
      </c>
      <c r="R230">
        <f>IF(K230="En coordinación",1,0)</f>
        <v/>
      </c>
      <c r="S230">
        <f>IF(K230="En coordinación",1,0)</f>
        <v/>
      </c>
      <c r="T230">
        <f>IF(K230="Realizada completa",1,0)</f>
        <v/>
      </c>
      <c r="U230">
        <f>IF(K230="Sin respuesta",1,0)</f>
        <v/>
      </c>
    </row>
    <row r="231">
      <c r="Q231">
        <f>IF(G231="Sí",1,0)</f>
        <v/>
      </c>
      <c r="R231">
        <f>IF(K231="En coordinación",1,0)</f>
        <v/>
      </c>
      <c r="S231">
        <f>IF(K231="En coordinación",1,0)</f>
        <v/>
      </c>
      <c r="T231">
        <f>IF(K231="Realizada completa",1,0)</f>
        <v/>
      </c>
      <c r="U231">
        <f>IF(K231="Sin respuesta",1,0)</f>
        <v/>
      </c>
    </row>
    <row r="232">
      <c r="Q232">
        <f>IF(G232="Sí",1,0)</f>
        <v/>
      </c>
      <c r="R232">
        <f>IF(K232="En coordinación",1,0)</f>
        <v/>
      </c>
      <c r="S232">
        <f>IF(K232="En coordinación",1,0)</f>
        <v/>
      </c>
      <c r="T232">
        <f>IF(K232="Realizada completa",1,0)</f>
        <v/>
      </c>
      <c r="U232">
        <f>IF(K232="Sin respuesta",1,0)</f>
        <v/>
      </c>
    </row>
    <row r="233">
      <c r="Q233">
        <f>IF(G233="Sí",1,0)</f>
        <v/>
      </c>
      <c r="R233">
        <f>IF(K233="En coordinación",1,0)</f>
        <v/>
      </c>
      <c r="S233">
        <f>IF(K233="En coordinación",1,0)</f>
        <v/>
      </c>
      <c r="T233">
        <f>IF(K233="Realizada completa",1,0)</f>
        <v/>
      </c>
      <c r="U233">
        <f>IF(K233="Sin respuesta",1,0)</f>
        <v/>
      </c>
    </row>
    <row r="234">
      <c r="Q234">
        <f>IF(G234="Sí",1,0)</f>
        <v/>
      </c>
      <c r="R234">
        <f>IF(K234="En coordinación",1,0)</f>
        <v/>
      </c>
      <c r="S234">
        <f>IF(K234="En coordinación",1,0)</f>
        <v/>
      </c>
      <c r="T234">
        <f>IF(K234="Realizada completa",1,0)</f>
        <v/>
      </c>
      <c r="U234">
        <f>IF(K234="Sin respuesta",1,0)</f>
        <v/>
      </c>
    </row>
    <row r="235">
      <c r="Q235">
        <f>IF(G235="Sí",1,0)</f>
        <v/>
      </c>
      <c r="R235">
        <f>IF(K235="En coordinación",1,0)</f>
        <v/>
      </c>
      <c r="S235">
        <f>IF(K235="En coordinación",1,0)</f>
        <v/>
      </c>
      <c r="T235">
        <f>IF(K235="Realizada completa",1,0)</f>
        <v/>
      </c>
      <c r="U235">
        <f>IF(K235="Sin respuesta",1,0)</f>
        <v/>
      </c>
    </row>
    <row r="236">
      <c r="Q236">
        <f>IF(G236="Sí",1,0)</f>
        <v/>
      </c>
      <c r="R236">
        <f>IF(K236="En coordinación",1,0)</f>
        <v/>
      </c>
      <c r="S236">
        <f>IF(K236="En coordinación",1,0)</f>
        <v/>
      </c>
      <c r="T236">
        <f>IF(K236="Realizada completa",1,0)</f>
        <v/>
      </c>
      <c r="U236">
        <f>IF(K236="Sin respuesta",1,0)</f>
        <v/>
      </c>
    </row>
    <row r="237">
      <c r="Q237">
        <f>IF(G237="Sí",1,0)</f>
        <v/>
      </c>
      <c r="R237">
        <f>IF(K237="En coordinación",1,0)</f>
        <v/>
      </c>
      <c r="S237">
        <f>IF(K237="En coordinación",1,0)</f>
        <v/>
      </c>
      <c r="T237">
        <f>IF(K237="Realizada completa",1,0)</f>
        <v/>
      </c>
      <c r="U237">
        <f>IF(K237="Sin respuesta",1,0)</f>
        <v/>
      </c>
    </row>
    <row r="238">
      <c r="Q238">
        <f>IF(G238="Sí",1,0)</f>
        <v/>
      </c>
      <c r="R238">
        <f>IF(K238="En coordinación",1,0)</f>
        <v/>
      </c>
      <c r="S238">
        <f>IF(K238="En coordinación",1,0)</f>
        <v/>
      </c>
      <c r="T238">
        <f>IF(K238="Realizada completa",1,0)</f>
        <v/>
      </c>
      <c r="U238">
        <f>IF(K238="Sin respuesta",1,0)</f>
        <v/>
      </c>
    </row>
    <row r="239">
      <c r="Q239">
        <f>IF(G239="Sí",1,0)</f>
        <v/>
      </c>
      <c r="R239">
        <f>IF(K239="En coordinación",1,0)</f>
        <v/>
      </c>
      <c r="S239">
        <f>IF(K239="En coordinación",1,0)</f>
        <v/>
      </c>
      <c r="T239">
        <f>IF(K239="Realizada completa",1,0)</f>
        <v/>
      </c>
      <c r="U239">
        <f>IF(K239="Sin respuesta",1,0)</f>
        <v/>
      </c>
    </row>
    <row r="240">
      <c r="Q240">
        <f>IF(G240="Sí",1,0)</f>
        <v/>
      </c>
      <c r="R240">
        <f>IF(K240="En coordinación",1,0)</f>
        <v/>
      </c>
      <c r="S240">
        <f>IF(K240="En coordinación",1,0)</f>
        <v/>
      </c>
      <c r="T240">
        <f>IF(K240="Realizada completa",1,0)</f>
        <v/>
      </c>
      <c r="U240">
        <f>IF(K240="Sin respuesta",1,0)</f>
        <v/>
      </c>
    </row>
    <row r="241">
      <c r="Q241">
        <f>IF(G241="Sí",1,0)</f>
        <v/>
      </c>
      <c r="R241">
        <f>IF(K241="En coordinación",1,0)</f>
        <v/>
      </c>
      <c r="S241">
        <f>IF(K241="En coordinación",1,0)</f>
        <v/>
      </c>
      <c r="T241">
        <f>IF(K241="Realizada completa",1,0)</f>
        <v/>
      </c>
      <c r="U241">
        <f>IF(K241="Sin respuesta",1,0)</f>
        <v/>
      </c>
    </row>
    <row r="242">
      <c r="Q242">
        <f>IF(G242="Sí",1,0)</f>
        <v/>
      </c>
      <c r="R242">
        <f>IF(K242="En coordinación",1,0)</f>
        <v/>
      </c>
      <c r="S242">
        <f>IF(K242="En coordinación",1,0)</f>
        <v/>
      </c>
      <c r="T242">
        <f>IF(K242="Realizada completa",1,0)</f>
        <v/>
      </c>
      <c r="U242">
        <f>IF(K242="Sin respuesta",1,0)</f>
        <v/>
      </c>
    </row>
    <row r="243">
      <c r="Q243">
        <f>IF(G243="Sí",1,0)</f>
        <v/>
      </c>
      <c r="R243">
        <f>IF(K243="En coordinación",1,0)</f>
        <v/>
      </c>
      <c r="S243">
        <f>IF(K243="En coordinación",1,0)</f>
        <v/>
      </c>
      <c r="T243">
        <f>IF(K243="Realizada completa",1,0)</f>
        <v/>
      </c>
      <c r="U243">
        <f>IF(K243="Sin respuesta",1,0)</f>
        <v/>
      </c>
    </row>
    <row r="244">
      <c r="Q244">
        <f>IF(G244="Sí",1,0)</f>
        <v/>
      </c>
      <c r="R244">
        <f>IF(K244="En coordinación",1,0)</f>
        <v/>
      </c>
      <c r="S244">
        <f>IF(K244="En coordinación",1,0)</f>
        <v/>
      </c>
      <c r="T244">
        <f>IF(K244="Realizada completa",1,0)</f>
        <v/>
      </c>
      <c r="U244">
        <f>IF(K244="Sin respuesta",1,0)</f>
        <v/>
      </c>
    </row>
    <row r="245">
      <c r="Q245">
        <f>IF(G245="Sí",1,0)</f>
        <v/>
      </c>
      <c r="R245">
        <f>IF(K245="En coordinación",1,0)</f>
        <v/>
      </c>
      <c r="S245">
        <f>IF(K245="En coordinación",1,0)</f>
        <v/>
      </c>
      <c r="T245">
        <f>IF(K245="Realizada completa",1,0)</f>
        <v/>
      </c>
      <c r="U245">
        <f>IF(K245="Sin respuesta",1,0)</f>
        <v/>
      </c>
    </row>
    <row r="246">
      <c r="Q246">
        <f>IF(G246="Sí",1,0)</f>
        <v/>
      </c>
      <c r="R246">
        <f>IF(K246="En coordinación",1,0)</f>
        <v/>
      </c>
      <c r="S246">
        <f>IF(K246="En coordinación",1,0)</f>
        <v/>
      </c>
      <c r="T246">
        <f>IF(K246="Realizada completa",1,0)</f>
        <v/>
      </c>
      <c r="U246">
        <f>IF(K246="Sin respuesta",1,0)</f>
        <v/>
      </c>
    </row>
    <row r="247">
      <c r="Q247">
        <f>IF(G247="Sí",1,0)</f>
        <v/>
      </c>
      <c r="R247">
        <f>IF(K247="En coordinación",1,0)</f>
        <v/>
      </c>
      <c r="S247">
        <f>IF(K247="En coordinación",1,0)</f>
        <v/>
      </c>
      <c r="T247">
        <f>IF(K247="Realizada completa",1,0)</f>
        <v/>
      </c>
      <c r="U247">
        <f>IF(K247="Sin respuesta",1,0)</f>
        <v/>
      </c>
    </row>
    <row r="248">
      <c r="Q248">
        <f>IF(G248="Sí",1,0)</f>
        <v/>
      </c>
      <c r="R248">
        <f>IF(K248="En coordinación",1,0)</f>
        <v/>
      </c>
      <c r="S248">
        <f>IF(K248="En coordinación",1,0)</f>
        <v/>
      </c>
      <c r="T248">
        <f>IF(K248="Realizada completa",1,0)</f>
        <v/>
      </c>
      <c r="U248">
        <f>IF(K248="Sin respuesta",1,0)</f>
        <v/>
      </c>
    </row>
    <row r="249">
      <c r="Q249">
        <f>IF(G249="Sí",1,0)</f>
        <v/>
      </c>
      <c r="R249">
        <f>IF(K249="En coordinación",1,0)</f>
        <v/>
      </c>
      <c r="S249">
        <f>IF(K249="En coordinación",1,0)</f>
        <v/>
      </c>
      <c r="T249">
        <f>IF(K249="Realizada completa",1,0)</f>
        <v/>
      </c>
      <c r="U249">
        <f>IF(K249="Sin respuesta",1,0)</f>
        <v/>
      </c>
    </row>
    <row r="250">
      <c r="Q250">
        <f>IF(G250="Sí",1,0)</f>
        <v/>
      </c>
      <c r="R250">
        <f>IF(K250="En coordinación",1,0)</f>
        <v/>
      </c>
      <c r="S250">
        <f>IF(K250="En coordinación",1,0)</f>
        <v/>
      </c>
      <c r="T250">
        <f>IF(K250="Realizada completa",1,0)</f>
        <v/>
      </c>
      <c r="U250">
        <f>IF(K250="Sin respuesta",1,0)</f>
        <v/>
      </c>
    </row>
    <row r="251">
      <c r="Q251">
        <f>IF(G251="Sí",1,0)</f>
        <v/>
      </c>
      <c r="R251">
        <f>IF(K251="En coordinación",1,0)</f>
        <v/>
      </c>
      <c r="S251">
        <f>IF(K251="En coordinación",1,0)</f>
        <v/>
      </c>
      <c r="T251">
        <f>IF(K251="Realizada completa",1,0)</f>
        <v/>
      </c>
      <c r="U251">
        <f>IF(K251="Sin respuesta",1,0)</f>
        <v/>
      </c>
    </row>
    <row r="252">
      <c r="Q252">
        <f>IF(G252="Sí",1,0)</f>
        <v/>
      </c>
      <c r="R252">
        <f>IF(K252="En coordinación",1,0)</f>
        <v/>
      </c>
      <c r="S252">
        <f>IF(K252="En coordinación",1,0)</f>
        <v/>
      </c>
      <c r="T252">
        <f>IF(K252="Realizada completa",1,0)</f>
        <v/>
      </c>
      <c r="U252">
        <f>IF(K252="Sin respuesta",1,0)</f>
        <v/>
      </c>
    </row>
    <row r="253">
      <c r="Q253">
        <f>IF(G253="Sí",1,0)</f>
        <v/>
      </c>
      <c r="R253">
        <f>IF(K253="En coordinación",1,0)</f>
        <v/>
      </c>
      <c r="S253">
        <f>IF(K253="En coordinación",1,0)</f>
        <v/>
      </c>
      <c r="T253">
        <f>IF(K253="Realizada completa",1,0)</f>
        <v/>
      </c>
      <c r="U253">
        <f>IF(K253="Sin respuesta",1,0)</f>
        <v/>
      </c>
    </row>
    <row r="254">
      <c r="Q254">
        <f>IF(G254="Sí",1,0)</f>
        <v/>
      </c>
      <c r="R254">
        <f>IF(K254="En coordinación",1,0)</f>
        <v/>
      </c>
      <c r="S254">
        <f>IF(K254="En coordinación",1,0)</f>
        <v/>
      </c>
      <c r="T254">
        <f>IF(K254="Realizada completa",1,0)</f>
        <v/>
      </c>
      <c r="U254">
        <f>IF(K254="Sin respuesta",1,0)</f>
        <v/>
      </c>
    </row>
    <row r="255">
      <c r="Q255">
        <f>IF(G255="Sí",1,0)</f>
        <v/>
      </c>
      <c r="R255">
        <f>IF(K255="En coordinación",1,0)</f>
        <v/>
      </c>
      <c r="S255">
        <f>IF(K255="En coordinación",1,0)</f>
        <v/>
      </c>
      <c r="T255">
        <f>IF(K255="Realizada completa",1,0)</f>
        <v/>
      </c>
      <c r="U255">
        <f>IF(K255="Sin respuesta",1,0)</f>
        <v/>
      </c>
    </row>
    <row r="256">
      <c r="Q256">
        <f>IF(G256="Sí",1,0)</f>
        <v/>
      </c>
      <c r="R256">
        <f>IF(K256="En coordinación",1,0)</f>
        <v/>
      </c>
      <c r="S256">
        <f>IF(K256="En coordinación",1,0)</f>
        <v/>
      </c>
      <c r="T256">
        <f>IF(K256="Realizada completa",1,0)</f>
        <v/>
      </c>
      <c r="U256">
        <f>IF(K256="Sin respuesta",1,0)</f>
        <v/>
      </c>
    </row>
    <row r="257">
      <c r="Q257">
        <f>IF(G257="Sí",1,0)</f>
        <v/>
      </c>
      <c r="R257">
        <f>IF(K257="En coordinación",1,0)</f>
        <v/>
      </c>
      <c r="S257">
        <f>IF(K257="En coordinación",1,0)</f>
        <v/>
      </c>
      <c r="T257">
        <f>IF(K257="Realizada completa",1,0)</f>
        <v/>
      </c>
      <c r="U257">
        <f>IF(K257="Sin respuesta",1,0)</f>
        <v/>
      </c>
    </row>
    <row r="258">
      <c r="Q258">
        <f>IF(G258="Sí",1,0)</f>
        <v/>
      </c>
      <c r="R258">
        <f>IF(K258="En coordinación",1,0)</f>
        <v/>
      </c>
      <c r="S258">
        <f>IF(K258="En coordinación",1,0)</f>
        <v/>
      </c>
      <c r="T258">
        <f>IF(K258="Realizada completa",1,0)</f>
        <v/>
      </c>
      <c r="U258">
        <f>IF(K258="Sin respuesta",1,0)</f>
        <v/>
      </c>
    </row>
    <row r="259">
      <c r="Q259">
        <f>IF(G259="Sí",1,0)</f>
        <v/>
      </c>
      <c r="R259">
        <f>IF(K259="En coordinación",1,0)</f>
        <v/>
      </c>
      <c r="S259">
        <f>IF(K259="En coordinación",1,0)</f>
        <v/>
      </c>
      <c r="T259">
        <f>IF(K259="Realizada completa",1,0)</f>
        <v/>
      </c>
      <c r="U259">
        <f>IF(K259="Sin respuesta",1,0)</f>
        <v/>
      </c>
    </row>
    <row r="260">
      <c r="Q260">
        <f>IF(G260="Sí",1,0)</f>
        <v/>
      </c>
      <c r="R260">
        <f>IF(K260="En coordinación",1,0)</f>
        <v/>
      </c>
      <c r="S260">
        <f>IF(K260="En coordinación",1,0)</f>
        <v/>
      </c>
      <c r="T260">
        <f>IF(K260="Realizada completa",1,0)</f>
        <v/>
      </c>
      <c r="U260">
        <f>IF(K260="Sin respuesta",1,0)</f>
        <v/>
      </c>
    </row>
    <row r="261">
      <c r="Q261">
        <f>IF(G261="Sí",1,0)</f>
        <v/>
      </c>
      <c r="R261">
        <f>IF(K261="En coordinación",1,0)</f>
        <v/>
      </c>
      <c r="S261">
        <f>IF(K261="En coordinación",1,0)</f>
        <v/>
      </c>
      <c r="T261">
        <f>IF(K261="Realizada completa",1,0)</f>
        <v/>
      </c>
      <c r="U261">
        <f>IF(K261="Sin respuesta",1,0)</f>
        <v/>
      </c>
    </row>
    <row r="262">
      <c r="Q262">
        <f>IF(G262="Sí",1,0)</f>
        <v/>
      </c>
      <c r="R262">
        <f>IF(K262="En coordinación",1,0)</f>
        <v/>
      </c>
      <c r="S262">
        <f>IF(K262="En coordinación",1,0)</f>
        <v/>
      </c>
      <c r="T262">
        <f>IF(K262="Realizada completa",1,0)</f>
        <v/>
      </c>
      <c r="U262">
        <f>IF(K262="Sin respuesta",1,0)</f>
        <v/>
      </c>
    </row>
    <row r="263">
      <c r="Q263">
        <f>IF(G263="Sí",1,0)</f>
        <v/>
      </c>
      <c r="R263">
        <f>IF(K263="En coordinación",1,0)</f>
        <v/>
      </c>
      <c r="S263">
        <f>IF(K263="En coordinación",1,0)</f>
        <v/>
      </c>
      <c r="T263">
        <f>IF(K263="Realizada completa",1,0)</f>
        <v/>
      </c>
      <c r="U263">
        <f>IF(K263="Sin respuesta",1,0)</f>
        <v/>
      </c>
    </row>
    <row r="264">
      <c r="Q264">
        <f>IF(G264="Sí",1,0)</f>
        <v/>
      </c>
      <c r="R264">
        <f>IF(K264="En coordinación",1,0)</f>
        <v/>
      </c>
      <c r="S264">
        <f>IF(K264="En coordinación",1,0)</f>
        <v/>
      </c>
      <c r="T264">
        <f>IF(K264="Realizada completa",1,0)</f>
        <v/>
      </c>
      <c r="U264">
        <f>IF(K264="Sin respuesta",1,0)</f>
        <v/>
      </c>
    </row>
    <row r="265">
      <c r="Q265">
        <f>IF(G265="Sí",1,0)</f>
        <v/>
      </c>
      <c r="R265">
        <f>IF(K265="En coordinación",1,0)</f>
        <v/>
      </c>
      <c r="S265">
        <f>IF(K265="En coordinación",1,0)</f>
        <v/>
      </c>
      <c r="T265">
        <f>IF(K265="Realizada completa",1,0)</f>
        <v/>
      </c>
      <c r="U265">
        <f>IF(K265="Sin respuesta",1,0)</f>
        <v/>
      </c>
    </row>
    <row r="266">
      <c r="Q266">
        <f>IF(G266="Sí",1,0)</f>
        <v/>
      </c>
      <c r="R266">
        <f>IF(K266="En coordinación",1,0)</f>
        <v/>
      </c>
      <c r="S266">
        <f>IF(K266="En coordinación",1,0)</f>
        <v/>
      </c>
      <c r="T266">
        <f>IF(K266="Realizada completa",1,0)</f>
        <v/>
      </c>
      <c r="U266">
        <f>IF(K266="Sin respuesta",1,0)</f>
        <v/>
      </c>
    </row>
    <row r="267">
      <c r="Q267">
        <f>IF(G267="Sí",1,0)</f>
        <v/>
      </c>
      <c r="R267">
        <f>IF(K267="En coordinación",1,0)</f>
        <v/>
      </c>
      <c r="S267">
        <f>IF(K267="En coordinación",1,0)</f>
        <v/>
      </c>
      <c r="T267">
        <f>IF(K267="Realizada completa",1,0)</f>
        <v/>
      </c>
      <c r="U267">
        <f>IF(K267="Sin respuesta",1,0)</f>
        <v/>
      </c>
    </row>
    <row r="268">
      <c r="Q268">
        <f>IF(G268="Sí",1,0)</f>
        <v/>
      </c>
      <c r="R268">
        <f>IF(K268="En coordinación",1,0)</f>
        <v/>
      </c>
      <c r="S268">
        <f>IF(K268="En coordinación",1,0)</f>
        <v/>
      </c>
      <c r="T268">
        <f>IF(K268="Realizada completa",1,0)</f>
        <v/>
      </c>
      <c r="U268">
        <f>IF(K268="Sin respuesta",1,0)</f>
        <v/>
      </c>
    </row>
    <row r="269">
      <c r="Q269">
        <f>IF(G269="Sí",1,0)</f>
        <v/>
      </c>
      <c r="R269">
        <f>IF(K269="En coordinación",1,0)</f>
        <v/>
      </c>
      <c r="S269">
        <f>IF(K269="En coordinación",1,0)</f>
        <v/>
      </c>
      <c r="T269">
        <f>IF(K269="Realizada completa",1,0)</f>
        <v/>
      </c>
      <c r="U269">
        <f>IF(K269="Sin respuesta",1,0)</f>
        <v/>
      </c>
    </row>
    <row r="270">
      <c r="Q270">
        <f>IF(G270="Sí",1,0)</f>
        <v/>
      </c>
      <c r="R270">
        <f>IF(K270="En coordinación",1,0)</f>
        <v/>
      </c>
      <c r="S270">
        <f>IF(K270="En coordinación",1,0)</f>
        <v/>
      </c>
      <c r="T270">
        <f>IF(K270="Realizada completa",1,0)</f>
        <v/>
      </c>
      <c r="U270">
        <f>IF(K270="Sin respuesta",1,0)</f>
        <v/>
      </c>
    </row>
    <row r="271">
      <c r="Q271">
        <f>IF(G271="Sí",1,0)</f>
        <v/>
      </c>
      <c r="R271">
        <f>IF(K271="En coordinación",1,0)</f>
        <v/>
      </c>
      <c r="S271">
        <f>IF(K271="En coordinación",1,0)</f>
        <v/>
      </c>
      <c r="T271">
        <f>IF(K271="Realizada completa",1,0)</f>
        <v/>
      </c>
      <c r="U271">
        <f>IF(K271="Sin respuesta",1,0)</f>
        <v/>
      </c>
    </row>
    <row r="272">
      <c r="Q272">
        <f>IF(G272="Sí",1,0)</f>
        <v/>
      </c>
      <c r="R272">
        <f>IF(K272="En coordinación",1,0)</f>
        <v/>
      </c>
      <c r="S272">
        <f>IF(K272="En coordinación",1,0)</f>
        <v/>
      </c>
      <c r="T272">
        <f>IF(K272="Realizada completa",1,0)</f>
        <v/>
      </c>
      <c r="U272">
        <f>IF(K272="Sin respuesta",1,0)</f>
        <v/>
      </c>
    </row>
    <row r="273">
      <c r="Q273">
        <f>IF(G273="Sí",1,0)</f>
        <v/>
      </c>
      <c r="R273">
        <f>IF(K273="En coordinación",1,0)</f>
        <v/>
      </c>
      <c r="S273">
        <f>IF(K273="En coordinación",1,0)</f>
        <v/>
      </c>
      <c r="T273">
        <f>IF(K273="Realizada completa",1,0)</f>
        <v/>
      </c>
      <c r="U273">
        <f>IF(K273="Sin respuesta",1,0)</f>
        <v/>
      </c>
    </row>
    <row r="274">
      <c r="Q274">
        <f>IF(G274="Sí",1,0)</f>
        <v/>
      </c>
      <c r="R274">
        <f>IF(K274="En coordinación",1,0)</f>
        <v/>
      </c>
      <c r="S274">
        <f>IF(K274="En coordinación",1,0)</f>
        <v/>
      </c>
      <c r="T274">
        <f>IF(K274="Realizada completa",1,0)</f>
        <v/>
      </c>
      <c r="U274">
        <f>IF(K274="Sin respuesta",1,0)</f>
        <v/>
      </c>
    </row>
    <row r="275">
      <c r="Q275">
        <f>IF(G275="Sí",1,0)</f>
        <v/>
      </c>
      <c r="R275">
        <f>IF(K275="En coordinación",1,0)</f>
        <v/>
      </c>
      <c r="S275">
        <f>IF(K275="En coordinación",1,0)</f>
        <v/>
      </c>
      <c r="T275">
        <f>IF(K275="Realizada completa",1,0)</f>
        <v/>
      </c>
      <c r="U275">
        <f>IF(K275="Sin respuesta",1,0)</f>
        <v/>
      </c>
    </row>
    <row r="276">
      <c r="Q276">
        <f>IF(G276="Sí",1,0)</f>
        <v/>
      </c>
      <c r="R276">
        <f>IF(K276="En coordinación",1,0)</f>
        <v/>
      </c>
      <c r="S276">
        <f>IF(K276="En coordinación",1,0)</f>
        <v/>
      </c>
      <c r="T276">
        <f>IF(K276="Realizada completa",1,0)</f>
        <v/>
      </c>
      <c r="U276">
        <f>IF(K276="Sin respuesta",1,0)</f>
        <v/>
      </c>
    </row>
    <row r="277">
      <c r="Q277">
        <f>IF(G277="Sí",1,0)</f>
        <v/>
      </c>
      <c r="R277">
        <f>IF(K277="En coordinación",1,0)</f>
        <v/>
      </c>
      <c r="S277">
        <f>IF(K277="En coordinación",1,0)</f>
        <v/>
      </c>
      <c r="T277">
        <f>IF(K277="Realizada completa",1,0)</f>
        <v/>
      </c>
      <c r="U277">
        <f>IF(K277="Sin respuesta",1,0)</f>
        <v/>
      </c>
    </row>
    <row r="278">
      <c r="Q278">
        <f>IF(G278="Sí",1,0)</f>
        <v/>
      </c>
      <c r="R278">
        <f>IF(K278="En coordinación",1,0)</f>
        <v/>
      </c>
      <c r="S278">
        <f>IF(K278="En coordinación",1,0)</f>
        <v/>
      </c>
      <c r="T278">
        <f>IF(K278="Realizada completa",1,0)</f>
        <v/>
      </c>
      <c r="U278">
        <f>IF(K278="Sin respuesta",1,0)</f>
        <v/>
      </c>
    </row>
    <row r="279">
      <c r="Q279">
        <f>IF(G279="Sí",1,0)</f>
        <v/>
      </c>
      <c r="R279">
        <f>IF(K279="En coordinación",1,0)</f>
        <v/>
      </c>
      <c r="S279">
        <f>IF(K279="En coordinación",1,0)</f>
        <v/>
      </c>
      <c r="T279">
        <f>IF(K279="Realizada completa",1,0)</f>
        <v/>
      </c>
      <c r="U279">
        <f>IF(K279="Sin respuesta",1,0)</f>
        <v/>
      </c>
    </row>
    <row r="280">
      <c r="Q280">
        <f>IF(G280="Sí",1,0)</f>
        <v/>
      </c>
      <c r="R280">
        <f>IF(K280="En coordinación",1,0)</f>
        <v/>
      </c>
      <c r="S280">
        <f>IF(K280="En coordinación",1,0)</f>
        <v/>
      </c>
      <c r="T280">
        <f>IF(K280="Realizada completa",1,0)</f>
        <v/>
      </c>
      <c r="U280">
        <f>IF(K280="Sin respuesta",1,0)</f>
        <v/>
      </c>
    </row>
    <row r="281">
      <c r="Q281">
        <f>IF(G281="Sí",1,0)</f>
        <v/>
      </c>
      <c r="R281">
        <f>IF(K281="En coordinación",1,0)</f>
        <v/>
      </c>
      <c r="S281">
        <f>IF(K281="En coordinación",1,0)</f>
        <v/>
      </c>
      <c r="T281">
        <f>IF(K281="Realizada completa",1,0)</f>
        <v/>
      </c>
      <c r="U281">
        <f>IF(K281="Sin respuesta",1,0)</f>
        <v/>
      </c>
    </row>
    <row r="282">
      <c r="Q282">
        <f>IF(G282="Sí",1,0)</f>
        <v/>
      </c>
      <c r="R282">
        <f>IF(K282="En coordinación",1,0)</f>
        <v/>
      </c>
      <c r="S282">
        <f>IF(K282="En coordinación",1,0)</f>
        <v/>
      </c>
      <c r="T282">
        <f>IF(K282="Realizada completa",1,0)</f>
        <v/>
      </c>
      <c r="U282">
        <f>IF(K282="Sin respuesta",1,0)</f>
        <v/>
      </c>
    </row>
    <row r="283">
      <c r="Q283">
        <f>IF(G283="Sí",1,0)</f>
        <v/>
      </c>
      <c r="R283">
        <f>IF(K283="En coordinación",1,0)</f>
        <v/>
      </c>
      <c r="S283">
        <f>IF(K283="En coordinación",1,0)</f>
        <v/>
      </c>
      <c r="T283">
        <f>IF(K283="Realizada completa",1,0)</f>
        <v/>
      </c>
      <c r="U283">
        <f>IF(K283="Sin respuesta",1,0)</f>
        <v/>
      </c>
    </row>
    <row r="284">
      <c r="Q284">
        <f>IF(G284="Sí",1,0)</f>
        <v/>
      </c>
      <c r="R284">
        <f>IF(K284="En coordinación",1,0)</f>
        <v/>
      </c>
      <c r="S284">
        <f>IF(K284="En coordinación",1,0)</f>
        <v/>
      </c>
      <c r="T284">
        <f>IF(K284="Realizada completa",1,0)</f>
        <v/>
      </c>
      <c r="U284">
        <f>IF(K284="Sin respuesta",1,0)</f>
        <v/>
      </c>
    </row>
    <row r="285">
      <c r="Q285">
        <f>IF(G285="Sí",1,0)</f>
        <v/>
      </c>
      <c r="R285">
        <f>IF(K285="En coordinación",1,0)</f>
        <v/>
      </c>
      <c r="S285">
        <f>IF(K285="En coordinación",1,0)</f>
        <v/>
      </c>
      <c r="T285">
        <f>IF(K285="Realizada completa",1,0)</f>
        <v/>
      </c>
      <c r="U285">
        <f>IF(K285="Sin respuesta",1,0)</f>
        <v/>
      </c>
    </row>
    <row r="286">
      <c r="Q286">
        <f>IF(G286="Sí",1,0)</f>
        <v/>
      </c>
      <c r="R286">
        <f>IF(K286="En coordinación",1,0)</f>
        <v/>
      </c>
      <c r="S286">
        <f>IF(K286="En coordinación",1,0)</f>
        <v/>
      </c>
      <c r="T286">
        <f>IF(K286="Realizada completa",1,0)</f>
        <v/>
      </c>
      <c r="U286">
        <f>IF(K286="Sin respuesta",1,0)</f>
        <v/>
      </c>
    </row>
    <row r="287">
      <c r="Q287">
        <f>IF(G287="Sí",1,0)</f>
        <v/>
      </c>
      <c r="R287">
        <f>IF(K287="En coordinación",1,0)</f>
        <v/>
      </c>
      <c r="S287">
        <f>IF(K287="En coordinación",1,0)</f>
        <v/>
      </c>
      <c r="T287">
        <f>IF(K287="Realizada completa",1,0)</f>
        <v/>
      </c>
      <c r="U287">
        <f>IF(K287="Sin respuesta",1,0)</f>
        <v/>
      </c>
    </row>
    <row r="288">
      <c r="Q288">
        <f>IF(G288="Sí",1,0)</f>
        <v/>
      </c>
      <c r="R288">
        <f>IF(K288="En coordinación",1,0)</f>
        <v/>
      </c>
      <c r="S288">
        <f>IF(K288="En coordinación",1,0)</f>
        <v/>
      </c>
      <c r="T288">
        <f>IF(K288="Realizada completa",1,0)</f>
        <v/>
      </c>
      <c r="U288">
        <f>IF(K288="Sin respuesta",1,0)</f>
        <v/>
      </c>
    </row>
    <row r="289">
      <c r="Q289">
        <f>IF(G289="Sí",1,0)</f>
        <v/>
      </c>
      <c r="R289">
        <f>IF(K289="En coordinación",1,0)</f>
        <v/>
      </c>
      <c r="S289">
        <f>IF(K289="En coordinación",1,0)</f>
        <v/>
      </c>
      <c r="T289">
        <f>IF(K289="Realizada completa",1,0)</f>
        <v/>
      </c>
      <c r="U289">
        <f>IF(K289="Sin respuesta",1,0)</f>
        <v/>
      </c>
    </row>
    <row r="290">
      <c r="Q290">
        <f>IF(G290="Sí",1,0)</f>
        <v/>
      </c>
      <c r="R290">
        <f>IF(K290="En coordinación",1,0)</f>
        <v/>
      </c>
      <c r="S290">
        <f>IF(K290="En coordinación",1,0)</f>
        <v/>
      </c>
      <c r="T290">
        <f>IF(K290="Realizada completa",1,0)</f>
        <v/>
      </c>
      <c r="U290">
        <f>IF(K290="Sin respuesta",1,0)</f>
        <v/>
      </c>
    </row>
    <row r="291">
      <c r="Q291">
        <f>IF(G291="Sí",1,0)</f>
        <v/>
      </c>
      <c r="R291">
        <f>IF(K291="En coordinación",1,0)</f>
        <v/>
      </c>
      <c r="S291">
        <f>IF(K291="En coordinación",1,0)</f>
        <v/>
      </c>
      <c r="T291">
        <f>IF(K291="Realizada completa",1,0)</f>
        <v/>
      </c>
      <c r="U291">
        <f>IF(K291="Sin respuesta",1,0)</f>
        <v/>
      </c>
    </row>
    <row r="292">
      <c r="Q292">
        <f>IF(G292="Sí",1,0)</f>
        <v/>
      </c>
      <c r="R292">
        <f>IF(K292="En coordinación",1,0)</f>
        <v/>
      </c>
      <c r="S292">
        <f>IF(K292="En coordinación",1,0)</f>
        <v/>
      </c>
      <c r="T292">
        <f>IF(K292="Realizada completa",1,0)</f>
        <v/>
      </c>
      <c r="U292">
        <f>IF(K292="Sin respuesta",1,0)</f>
        <v/>
      </c>
    </row>
    <row r="293">
      <c r="Q293">
        <f>IF(G293="Sí",1,0)</f>
        <v/>
      </c>
      <c r="R293">
        <f>IF(K293="En coordinación",1,0)</f>
        <v/>
      </c>
      <c r="S293">
        <f>IF(K293="En coordinación",1,0)</f>
        <v/>
      </c>
      <c r="T293">
        <f>IF(K293="Realizada completa",1,0)</f>
        <v/>
      </c>
      <c r="U293">
        <f>IF(K293="Sin respuesta",1,0)</f>
        <v/>
      </c>
    </row>
    <row r="294">
      <c r="Q294">
        <f>IF(G294="Sí",1,0)</f>
        <v/>
      </c>
      <c r="R294">
        <f>IF(K294="En coordinación",1,0)</f>
        <v/>
      </c>
      <c r="S294">
        <f>IF(K294="En coordinación",1,0)</f>
        <v/>
      </c>
      <c r="T294">
        <f>IF(K294="Realizada completa",1,0)</f>
        <v/>
      </c>
      <c r="U294">
        <f>IF(K294="Sin respuesta",1,0)</f>
        <v/>
      </c>
    </row>
    <row r="295">
      <c r="Q295">
        <f>IF(G295="Sí",1,0)</f>
        <v/>
      </c>
      <c r="R295">
        <f>IF(K295="En coordinación",1,0)</f>
        <v/>
      </c>
      <c r="S295">
        <f>IF(K295="En coordinación",1,0)</f>
        <v/>
      </c>
      <c r="T295">
        <f>IF(K295="Realizada completa",1,0)</f>
        <v/>
      </c>
      <c r="U295">
        <f>IF(K295="Sin respuesta",1,0)</f>
        <v/>
      </c>
    </row>
    <row r="296">
      <c r="Q296">
        <f>IF(G296="Sí",1,0)</f>
        <v/>
      </c>
      <c r="R296">
        <f>IF(K296="En coordinación",1,0)</f>
        <v/>
      </c>
      <c r="S296">
        <f>IF(K296="En coordinación",1,0)</f>
        <v/>
      </c>
      <c r="T296">
        <f>IF(K296="Realizada completa",1,0)</f>
        <v/>
      </c>
      <c r="U296">
        <f>IF(K296="Sin respuesta",1,0)</f>
        <v/>
      </c>
    </row>
    <row r="297">
      <c r="Q297">
        <f>IF(G297="Sí",1,0)</f>
        <v/>
      </c>
      <c r="R297">
        <f>IF(K297="En coordinación",1,0)</f>
        <v/>
      </c>
      <c r="S297">
        <f>IF(K297="En coordinación",1,0)</f>
        <v/>
      </c>
      <c r="T297">
        <f>IF(K297="Realizada completa",1,0)</f>
        <v/>
      </c>
      <c r="U297">
        <f>IF(K297="Sin respuesta",1,0)</f>
        <v/>
      </c>
    </row>
    <row r="298">
      <c r="Q298">
        <f>IF(G298="Sí",1,0)</f>
        <v/>
      </c>
      <c r="R298">
        <f>IF(K298="En coordinación",1,0)</f>
        <v/>
      </c>
      <c r="S298">
        <f>IF(K298="En coordinación",1,0)</f>
        <v/>
      </c>
      <c r="T298">
        <f>IF(K298="Realizada completa",1,0)</f>
        <v/>
      </c>
      <c r="U298">
        <f>IF(K298="Sin respuesta",1,0)</f>
        <v/>
      </c>
    </row>
    <row r="299">
      <c r="Q299">
        <f>IF(G299="Sí",1,0)</f>
        <v/>
      </c>
      <c r="R299">
        <f>IF(K299="En coordinación",1,0)</f>
        <v/>
      </c>
      <c r="S299">
        <f>IF(K299="En coordinación",1,0)</f>
        <v/>
      </c>
      <c r="T299">
        <f>IF(K299="Realizada completa",1,0)</f>
        <v/>
      </c>
      <c r="U299">
        <f>IF(K299="Sin respuesta",1,0)</f>
        <v/>
      </c>
    </row>
    <row r="300">
      <c r="Q300">
        <f>IF(G300="Sí",1,0)</f>
        <v/>
      </c>
      <c r="R300">
        <f>IF(K300="En coordinación",1,0)</f>
        <v/>
      </c>
      <c r="S300">
        <f>IF(K300="En coordinación",1,0)</f>
        <v/>
      </c>
      <c r="T300">
        <f>IF(K300="Realizada completa",1,0)</f>
        <v/>
      </c>
      <c r="U300">
        <f>IF(K300="Sin respuesta",1,0)</f>
        <v/>
      </c>
    </row>
    <row r="301">
      <c r="Q301">
        <f>IF(G301="Sí",1,0)</f>
        <v/>
      </c>
      <c r="R301">
        <f>IF(K301="En coordinación",1,0)</f>
        <v/>
      </c>
      <c r="S301">
        <f>IF(K301="En coordinación",1,0)</f>
        <v/>
      </c>
      <c r="T301">
        <f>IF(K301="Realizada completa",1,0)</f>
        <v/>
      </c>
      <c r="U301">
        <f>IF(K301="Sin respuesta",1,0)</f>
        <v/>
      </c>
    </row>
    <row r="302">
      <c r="Q302">
        <f>IF(G302="Sí",1,0)</f>
        <v/>
      </c>
      <c r="R302">
        <f>IF(K302="En coordinación",1,0)</f>
        <v/>
      </c>
      <c r="S302">
        <f>IF(K302="En coordinación",1,0)</f>
        <v/>
      </c>
      <c r="T302">
        <f>IF(K302="Realizada completa",1,0)</f>
        <v/>
      </c>
      <c r="U302">
        <f>IF(K302="Sin respuesta",1,0)</f>
        <v/>
      </c>
    </row>
    <row r="303">
      <c r="Q303">
        <f>IF(G303="Sí",1,0)</f>
        <v/>
      </c>
      <c r="R303">
        <f>IF(K303="En coordinación",1,0)</f>
        <v/>
      </c>
      <c r="S303">
        <f>IF(K303="En coordinación",1,0)</f>
        <v/>
      </c>
      <c r="T303">
        <f>IF(K303="Realizada completa",1,0)</f>
        <v/>
      </c>
      <c r="U303">
        <f>IF(K303="Sin respuesta",1,0)</f>
        <v/>
      </c>
    </row>
    <row r="304">
      <c r="Q304">
        <f>IF(G304="Sí",1,0)</f>
        <v/>
      </c>
      <c r="R304">
        <f>IF(K304="En coordinación",1,0)</f>
        <v/>
      </c>
      <c r="S304">
        <f>IF(K304="En coordinación",1,0)</f>
        <v/>
      </c>
      <c r="T304">
        <f>IF(K304="Realizada completa",1,0)</f>
        <v/>
      </c>
      <c r="U304">
        <f>IF(K304="Sin respuesta",1,0)</f>
        <v/>
      </c>
    </row>
    <row r="305">
      <c r="Q305">
        <f>IF(G305="Sí",1,0)</f>
        <v/>
      </c>
      <c r="R305">
        <f>IF(K305="En coordinación",1,0)</f>
        <v/>
      </c>
      <c r="S305">
        <f>IF(K305="En coordinación",1,0)</f>
        <v/>
      </c>
      <c r="T305">
        <f>IF(K305="Realizada completa",1,0)</f>
        <v/>
      </c>
      <c r="U305">
        <f>IF(K305="Sin respuesta",1,0)</f>
        <v/>
      </c>
    </row>
    <row r="306">
      <c r="Q306">
        <f>IF(G306="Sí",1,0)</f>
        <v/>
      </c>
      <c r="R306">
        <f>IF(K306="En coordinación",1,0)</f>
        <v/>
      </c>
      <c r="S306">
        <f>IF(K306="En coordinación",1,0)</f>
        <v/>
      </c>
      <c r="T306">
        <f>IF(K306="Realizada completa",1,0)</f>
        <v/>
      </c>
      <c r="U306">
        <f>IF(K306="Sin respuesta",1,0)</f>
        <v/>
      </c>
    </row>
    <row r="307">
      <c r="Q307">
        <f>IF(G307="Sí",1,0)</f>
        <v/>
      </c>
      <c r="R307">
        <f>IF(K307="En coordinación",1,0)</f>
        <v/>
      </c>
      <c r="S307">
        <f>IF(K307="En coordinación",1,0)</f>
        <v/>
      </c>
      <c r="T307">
        <f>IF(K307="Realizada completa",1,0)</f>
        <v/>
      </c>
      <c r="U307">
        <f>IF(K307="Sin respuesta",1,0)</f>
        <v/>
      </c>
    </row>
    <row r="308">
      <c r="Q308">
        <f>IF(G308="Sí",1,0)</f>
        <v/>
      </c>
      <c r="R308">
        <f>IF(K308="En coordinación",1,0)</f>
        <v/>
      </c>
      <c r="S308">
        <f>IF(K308="En coordinación",1,0)</f>
        <v/>
      </c>
      <c r="T308">
        <f>IF(K308="Realizada completa",1,0)</f>
        <v/>
      </c>
      <c r="U308">
        <f>IF(K308="Sin respuesta",1,0)</f>
        <v/>
      </c>
    </row>
    <row r="309">
      <c r="Q309">
        <f>IF(G309="Sí",1,0)</f>
        <v/>
      </c>
      <c r="R309">
        <f>IF(K309="En coordinación",1,0)</f>
        <v/>
      </c>
      <c r="S309">
        <f>IF(K309="En coordinación",1,0)</f>
        <v/>
      </c>
      <c r="T309">
        <f>IF(K309="Realizada completa",1,0)</f>
        <v/>
      </c>
      <c r="U309">
        <f>IF(K309="Sin respuesta",1,0)</f>
        <v/>
      </c>
    </row>
    <row r="310">
      <c r="Q310">
        <f>IF(G310="Sí",1,0)</f>
        <v/>
      </c>
      <c r="R310">
        <f>IF(K310="En coordinación",1,0)</f>
        <v/>
      </c>
      <c r="S310">
        <f>IF(K310="En coordinación",1,0)</f>
        <v/>
      </c>
      <c r="T310">
        <f>IF(K310="Realizada completa",1,0)</f>
        <v/>
      </c>
      <c r="U310">
        <f>IF(K310="Sin respuesta",1,0)</f>
        <v/>
      </c>
    </row>
    <row r="311">
      <c r="Q311">
        <f>IF(G311="Sí",1,0)</f>
        <v/>
      </c>
      <c r="R311">
        <f>IF(K311="En coordinación",1,0)</f>
        <v/>
      </c>
      <c r="S311">
        <f>IF(K311="En coordinación",1,0)</f>
        <v/>
      </c>
      <c r="T311">
        <f>IF(K311="Realizada completa",1,0)</f>
        <v/>
      </c>
      <c r="U311">
        <f>IF(K311="Sin respuesta",1,0)</f>
        <v/>
      </c>
    </row>
    <row r="312">
      <c r="Q312">
        <f>IF(G312="Sí",1,0)</f>
        <v/>
      </c>
      <c r="R312">
        <f>IF(K312="En coordinación",1,0)</f>
        <v/>
      </c>
      <c r="S312">
        <f>IF(K312="En coordinación",1,0)</f>
        <v/>
      </c>
      <c r="T312">
        <f>IF(K312="Realizada completa",1,0)</f>
        <v/>
      </c>
      <c r="U312">
        <f>IF(K312="Sin respuesta",1,0)</f>
        <v/>
      </c>
    </row>
    <row r="313">
      <c r="Q313">
        <f>IF(G313="Sí",1,0)</f>
        <v/>
      </c>
      <c r="R313">
        <f>IF(K313="En coordinación",1,0)</f>
        <v/>
      </c>
      <c r="S313">
        <f>IF(K313="En coordinación",1,0)</f>
        <v/>
      </c>
      <c r="T313">
        <f>IF(K313="Realizada completa",1,0)</f>
        <v/>
      </c>
      <c r="U313">
        <f>IF(K313="Sin respuesta",1,0)</f>
        <v/>
      </c>
    </row>
    <row r="314">
      <c r="Q314">
        <f>IF(G314="Sí",1,0)</f>
        <v/>
      </c>
      <c r="R314">
        <f>IF(K314="En coordinación",1,0)</f>
        <v/>
      </c>
      <c r="S314">
        <f>IF(K314="En coordinación",1,0)</f>
        <v/>
      </c>
      <c r="T314">
        <f>IF(K314="Realizada completa",1,0)</f>
        <v/>
      </c>
      <c r="U314">
        <f>IF(K314="Sin respuesta",1,0)</f>
        <v/>
      </c>
    </row>
    <row r="315">
      <c r="Q315">
        <f>IF(G315="Sí",1,0)</f>
        <v/>
      </c>
      <c r="R315">
        <f>IF(K315="En coordinación",1,0)</f>
        <v/>
      </c>
      <c r="S315">
        <f>IF(K315="En coordinación",1,0)</f>
        <v/>
      </c>
      <c r="T315">
        <f>IF(K315="Realizada completa",1,0)</f>
        <v/>
      </c>
      <c r="U315">
        <f>IF(K315="Sin respuesta",1,0)</f>
        <v/>
      </c>
    </row>
    <row r="316">
      <c r="Q316">
        <f>IF(G316="Sí",1,0)</f>
        <v/>
      </c>
      <c r="R316">
        <f>IF(K316="En coordinación",1,0)</f>
        <v/>
      </c>
      <c r="S316">
        <f>IF(K316="En coordinación",1,0)</f>
        <v/>
      </c>
      <c r="T316">
        <f>IF(K316="Realizada completa",1,0)</f>
        <v/>
      </c>
      <c r="U316">
        <f>IF(K316="Sin respuesta",1,0)</f>
        <v/>
      </c>
    </row>
    <row r="317">
      <c r="Q317">
        <f>IF(G317="Sí",1,0)</f>
        <v/>
      </c>
      <c r="R317">
        <f>IF(K317="En coordinación",1,0)</f>
        <v/>
      </c>
      <c r="S317">
        <f>IF(K317="En coordinación",1,0)</f>
        <v/>
      </c>
      <c r="T317">
        <f>IF(K317="Realizada completa",1,0)</f>
        <v/>
      </c>
      <c r="U317">
        <f>IF(K317="Sin respuesta",1,0)</f>
        <v/>
      </c>
    </row>
    <row r="318">
      <c r="Q318">
        <f>IF(G318="Sí",1,0)</f>
        <v/>
      </c>
      <c r="R318">
        <f>IF(K318="En coordinación",1,0)</f>
        <v/>
      </c>
      <c r="S318">
        <f>IF(K318="En coordinación",1,0)</f>
        <v/>
      </c>
      <c r="T318">
        <f>IF(K318="Realizada completa",1,0)</f>
        <v/>
      </c>
      <c r="U318">
        <f>IF(K318="Sin respuesta",1,0)</f>
        <v/>
      </c>
    </row>
    <row r="319">
      <c r="Q319">
        <f>IF(G319="Sí",1,0)</f>
        <v/>
      </c>
      <c r="R319">
        <f>IF(K319="En coordinación",1,0)</f>
        <v/>
      </c>
      <c r="S319">
        <f>IF(K319="En coordinación",1,0)</f>
        <v/>
      </c>
      <c r="T319">
        <f>IF(K319="Realizada completa",1,0)</f>
        <v/>
      </c>
      <c r="U319">
        <f>IF(K319="Sin respuesta",1,0)</f>
        <v/>
      </c>
    </row>
    <row r="320">
      <c r="Q320">
        <f>IF(G320="Sí",1,0)</f>
        <v/>
      </c>
      <c r="R320">
        <f>IF(K320="En coordinación",1,0)</f>
        <v/>
      </c>
      <c r="S320">
        <f>IF(K320="En coordinación",1,0)</f>
        <v/>
      </c>
      <c r="T320">
        <f>IF(K320="Realizada completa",1,0)</f>
        <v/>
      </c>
      <c r="U320">
        <f>IF(K320="Sin respuesta",1,0)</f>
        <v/>
      </c>
    </row>
    <row r="321">
      <c r="Q321">
        <f>IF(G321="Sí",1,0)</f>
        <v/>
      </c>
      <c r="R321">
        <f>IF(K321="En coordinación",1,0)</f>
        <v/>
      </c>
      <c r="S321">
        <f>IF(K321="En coordinación",1,0)</f>
        <v/>
      </c>
      <c r="T321">
        <f>IF(K321="Realizada completa",1,0)</f>
        <v/>
      </c>
      <c r="U321">
        <f>IF(K321="Sin respuesta",1,0)</f>
        <v/>
      </c>
    </row>
    <row r="322">
      <c r="Q322">
        <f>IF(G322="Sí",1,0)</f>
        <v/>
      </c>
      <c r="R322">
        <f>IF(K322="En coordinación",1,0)</f>
        <v/>
      </c>
      <c r="S322">
        <f>IF(K322="En coordinación",1,0)</f>
        <v/>
      </c>
      <c r="T322">
        <f>IF(K322="Realizada completa",1,0)</f>
        <v/>
      </c>
      <c r="U322">
        <f>IF(K322="Sin respuesta",1,0)</f>
        <v/>
      </c>
    </row>
    <row r="323">
      <c r="Q323">
        <f>IF(G323="Sí",1,0)</f>
        <v/>
      </c>
      <c r="R323">
        <f>IF(K323="En coordinación",1,0)</f>
        <v/>
      </c>
      <c r="S323">
        <f>IF(K323="En coordinación",1,0)</f>
        <v/>
      </c>
      <c r="T323">
        <f>IF(K323="Realizada completa",1,0)</f>
        <v/>
      </c>
      <c r="U323">
        <f>IF(K323="Sin respuesta",1,0)</f>
        <v/>
      </c>
    </row>
    <row r="324">
      <c r="Q324">
        <f>IF(G324="Sí",1,0)</f>
        <v/>
      </c>
      <c r="R324">
        <f>IF(K324="En coordinación",1,0)</f>
        <v/>
      </c>
      <c r="S324">
        <f>IF(K324="En coordinación",1,0)</f>
        <v/>
      </c>
      <c r="T324">
        <f>IF(K324="Realizada completa",1,0)</f>
        <v/>
      </c>
      <c r="U324">
        <f>IF(K324="Sin respuesta",1,0)</f>
        <v/>
      </c>
    </row>
    <row r="325">
      <c r="Q325">
        <f>IF(G325="Sí",1,0)</f>
        <v/>
      </c>
      <c r="R325">
        <f>IF(K325="En coordinación",1,0)</f>
        <v/>
      </c>
      <c r="S325">
        <f>IF(K325="En coordinación",1,0)</f>
        <v/>
      </c>
      <c r="T325">
        <f>IF(K325="Realizada completa",1,0)</f>
        <v/>
      </c>
      <c r="U325">
        <f>IF(K325="Sin respuesta",1,0)</f>
        <v/>
      </c>
    </row>
    <row r="326">
      <c r="Q326">
        <f>IF(G326="Sí",1,0)</f>
        <v/>
      </c>
      <c r="R326">
        <f>IF(K326="En coordinación",1,0)</f>
        <v/>
      </c>
      <c r="S326">
        <f>IF(K326="En coordinación",1,0)</f>
        <v/>
      </c>
      <c r="T326">
        <f>IF(K326="Realizada completa",1,0)</f>
        <v/>
      </c>
      <c r="U326">
        <f>IF(K326="Sin respuesta",1,0)</f>
        <v/>
      </c>
    </row>
    <row r="327">
      <c r="Q327">
        <f>IF(G327="Sí",1,0)</f>
        <v/>
      </c>
      <c r="R327">
        <f>IF(K327="En coordinación",1,0)</f>
        <v/>
      </c>
      <c r="S327">
        <f>IF(K327="En coordinación",1,0)</f>
        <v/>
      </c>
      <c r="T327">
        <f>IF(K327="Realizada completa",1,0)</f>
        <v/>
      </c>
      <c r="U327">
        <f>IF(K327="Sin respuesta",1,0)</f>
        <v/>
      </c>
    </row>
    <row r="328">
      <c r="Q328">
        <f>IF(G328="Sí",1,0)</f>
        <v/>
      </c>
      <c r="R328">
        <f>IF(K328="En coordinación",1,0)</f>
        <v/>
      </c>
      <c r="S328">
        <f>IF(K328="En coordinación",1,0)</f>
        <v/>
      </c>
      <c r="T328">
        <f>IF(K328="Realizada completa",1,0)</f>
        <v/>
      </c>
      <c r="U328">
        <f>IF(K328="Sin respuesta",1,0)</f>
        <v/>
      </c>
    </row>
    <row r="329">
      <c r="Q329">
        <f>IF(G329="Sí",1,0)</f>
        <v/>
      </c>
      <c r="R329">
        <f>IF(K329="En coordinación",1,0)</f>
        <v/>
      </c>
      <c r="S329">
        <f>IF(K329="En coordinación",1,0)</f>
        <v/>
      </c>
      <c r="T329">
        <f>IF(K329="Realizada completa",1,0)</f>
        <v/>
      </c>
      <c r="U329">
        <f>IF(K329="Sin respuesta",1,0)</f>
        <v/>
      </c>
    </row>
    <row r="330">
      <c r="Q330">
        <f>IF(G330="Sí",1,0)</f>
        <v/>
      </c>
      <c r="R330">
        <f>IF(K330="En coordinación",1,0)</f>
        <v/>
      </c>
      <c r="S330">
        <f>IF(K330="En coordinación",1,0)</f>
        <v/>
      </c>
      <c r="T330">
        <f>IF(K330="Realizada completa",1,0)</f>
        <v/>
      </c>
      <c r="U330">
        <f>IF(K330="Sin respuesta",1,0)</f>
        <v/>
      </c>
    </row>
    <row r="331">
      <c r="Q331">
        <f>IF(G331="Sí",1,0)</f>
        <v/>
      </c>
      <c r="R331">
        <f>IF(K331="En coordinación",1,0)</f>
        <v/>
      </c>
      <c r="S331">
        <f>IF(K331="En coordinación",1,0)</f>
        <v/>
      </c>
      <c r="T331">
        <f>IF(K331="Realizada completa",1,0)</f>
        <v/>
      </c>
      <c r="U331">
        <f>IF(K331="Sin respuesta",1,0)</f>
        <v/>
      </c>
    </row>
    <row r="332">
      <c r="Q332">
        <f>IF(G332="Sí",1,0)</f>
        <v/>
      </c>
      <c r="R332">
        <f>IF(K332="En coordinación",1,0)</f>
        <v/>
      </c>
      <c r="S332">
        <f>IF(K332="En coordinación",1,0)</f>
        <v/>
      </c>
      <c r="T332">
        <f>IF(K332="Realizada completa",1,0)</f>
        <v/>
      </c>
      <c r="U332">
        <f>IF(K332="Sin respuesta",1,0)</f>
        <v/>
      </c>
    </row>
    <row r="333">
      <c r="Q333">
        <f>IF(G333="Sí",1,0)</f>
        <v/>
      </c>
      <c r="R333">
        <f>IF(K333="En coordinación",1,0)</f>
        <v/>
      </c>
      <c r="S333">
        <f>IF(K333="En coordinación",1,0)</f>
        <v/>
      </c>
      <c r="T333">
        <f>IF(K333="Realizada completa",1,0)</f>
        <v/>
      </c>
      <c r="U333">
        <f>IF(K333="Sin respuesta",1,0)</f>
        <v/>
      </c>
    </row>
    <row r="334">
      <c r="Q334">
        <f>IF(G334="Sí",1,0)</f>
        <v/>
      </c>
      <c r="R334">
        <f>IF(K334="En coordinación",1,0)</f>
        <v/>
      </c>
      <c r="S334">
        <f>IF(K334="En coordinación",1,0)</f>
        <v/>
      </c>
      <c r="T334">
        <f>IF(K334="Realizada completa",1,0)</f>
        <v/>
      </c>
      <c r="U334">
        <f>IF(K334="Sin respuesta",1,0)</f>
        <v/>
      </c>
    </row>
    <row r="335">
      <c r="Q335">
        <f>IF(G335="Sí",1,0)</f>
        <v/>
      </c>
      <c r="R335">
        <f>IF(K335="En coordinación",1,0)</f>
        <v/>
      </c>
      <c r="S335">
        <f>IF(K335="En coordinación",1,0)</f>
        <v/>
      </c>
      <c r="T335">
        <f>IF(K335="Realizada completa",1,0)</f>
        <v/>
      </c>
      <c r="U335">
        <f>IF(K335="Sin respuesta",1,0)</f>
        <v/>
      </c>
    </row>
    <row r="336">
      <c r="Q336">
        <f>IF(G336="Sí",1,0)</f>
        <v/>
      </c>
      <c r="R336">
        <f>IF(K336="En coordinación",1,0)</f>
        <v/>
      </c>
      <c r="S336">
        <f>IF(K336="En coordinación",1,0)</f>
        <v/>
      </c>
      <c r="T336">
        <f>IF(K336="Realizada completa",1,0)</f>
        <v/>
      </c>
      <c r="U336">
        <f>IF(K336="Sin respuesta",1,0)</f>
        <v/>
      </c>
    </row>
    <row r="337">
      <c r="Q337">
        <f>IF(G337="Sí",1,0)</f>
        <v/>
      </c>
      <c r="R337">
        <f>IF(K337="En coordinación",1,0)</f>
        <v/>
      </c>
      <c r="S337">
        <f>IF(K337="En coordinación",1,0)</f>
        <v/>
      </c>
      <c r="T337">
        <f>IF(K337="Realizada completa",1,0)</f>
        <v/>
      </c>
      <c r="U337">
        <f>IF(K337="Sin respuesta",1,0)</f>
        <v/>
      </c>
    </row>
    <row r="338">
      <c r="Q338">
        <f>IF(G338="Sí",1,0)</f>
        <v/>
      </c>
      <c r="R338">
        <f>IF(K338="En coordinación",1,0)</f>
        <v/>
      </c>
      <c r="S338">
        <f>IF(K338="En coordinación",1,0)</f>
        <v/>
      </c>
      <c r="T338">
        <f>IF(K338="Realizada completa",1,0)</f>
        <v/>
      </c>
      <c r="U338">
        <f>IF(K338="Sin respuesta",1,0)</f>
        <v/>
      </c>
    </row>
    <row r="339">
      <c r="Q339">
        <f>IF(G339="Sí",1,0)</f>
        <v/>
      </c>
      <c r="R339">
        <f>IF(K339="En coordinación",1,0)</f>
        <v/>
      </c>
      <c r="S339">
        <f>IF(K339="En coordinación",1,0)</f>
        <v/>
      </c>
      <c r="T339">
        <f>IF(K339="Realizada completa",1,0)</f>
        <v/>
      </c>
      <c r="U339">
        <f>IF(K339="Sin respuesta",1,0)</f>
        <v/>
      </c>
    </row>
    <row r="340">
      <c r="Q340">
        <f>IF(G340="Sí",1,0)</f>
        <v/>
      </c>
      <c r="R340">
        <f>IF(K340="En coordinación",1,0)</f>
        <v/>
      </c>
      <c r="S340">
        <f>IF(K340="En coordinación",1,0)</f>
        <v/>
      </c>
      <c r="T340">
        <f>IF(K340="Realizada completa",1,0)</f>
        <v/>
      </c>
      <c r="U340">
        <f>IF(K340="Sin respuesta",1,0)</f>
        <v/>
      </c>
    </row>
    <row r="341">
      <c r="Q341">
        <f>IF(G341="Sí",1,0)</f>
        <v/>
      </c>
      <c r="R341">
        <f>IF(K341="En coordinación",1,0)</f>
        <v/>
      </c>
      <c r="S341">
        <f>IF(K341="En coordinación",1,0)</f>
        <v/>
      </c>
      <c r="T341">
        <f>IF(K341="Realizada completa",1,0)</f>
        <v/>
      </c>
      <c r="U341">
        <f>IF(K341="Sin respuesta",1,0)</f>
        <v/>
      </c>
    </row>
    <row r="342">
      <c r="Q342">
        <f>IF(G342="Sí",1,0)</f>
        <v/>
      </c>
      <c r="R342">
        <f>IF(K342="En coordinación",1,0)</f>
        <v/>
      </c>
      <c r="S342">
        <f>IF(K342="En coordinación",1,0)</f>
        <v/>
      </c>
      <c r="T342">
        <f>IF(K342="Realizada completa",1,0)</f>
        <v/>
      </c>
      <c r="U342">
        <f>IF(K342="Sin respuesta",1,0)</f>
        <v/>
      </c>
    </row>
    <row r="343">
      <c r="Q343">
        <f>IF(G343="Sí",1,0)</f>
        <v/>
      </c>
      <c r="R343">
        <f>IF(K343="En coordinación",1,0)</f>
        <v/>
      </c>
      <c r="S343">
        <f>IF(K343="En coordinación",1,0)</f>
        <v/>
      </c>
      <c r="T343">
        <f>IF(K343="Realizada completa",1,0)</f>
        <v/>
      </c>
      <c r="U343">
        <f>IF(K343="Sin respuesta",1,0)</f>
        <v/>
      </c>
    </row>
    <row r="344">
      <c r="Q344">
        <f>IF(G344="Sí",1,0)</f>
        <v/>
      </c>
      <c r="R344">
        <f>IF(K344="En coordinación",1,0)</f>
        <v/>
      </c>
      <c r="S344">
        <f>IF(K344="En coordinación",1,0)</f>
        <v/>
      </c>
      <c r="T344">
        <f>IF(K344="Realizada completa",1,0)</f>
        <v/>
      </c>
      <c r="U344">
        <f>IF(K344="Sin respuesta",1,0)</f>
        <v/>
      </c>
    </row>
    <row r="345">
      <c r="Q345">
        <f>IF(G345="Sí",1,0)</f>
        <v/>
      </c>
      <c r="R345">
        <f>IF(K345="En coordinación",1,0)</f>
        <v/>
      </c>
      <c r="S345">
        <f>IF(K345="En coordinación",1,0)</f>
        <v/>
      </c>
      <c r="T345">
        <f>IF(K345="Realizada completa",1,0)</f>
        <v/>
      </c>
      <c r="U345">
        <f>IF(K345="Sin respuesta",1,0)</f>
        <v/>
      </c>
    </row>
    <row r="346">
      <c r="Q346">
        <f>IF(G346="Sí",1,0)</f>
        <v/>
      </c>
      <c r="R346">
        <f>IF(K346="En coordinación",1,0)</f>
        <v/>
      </c>
      <c r="S346">
        <f>IF(K346="En coordinación",1,0)</f>
        <v/>
      </c>
      <c r="T346">
        <f>IF(K346="Realizada completa",1,0)</f>
        <v/>
      </c>
      <c r="U346">
        <f>IF(K346="Sin respuesta",1,0)</f>
        <v/>
      </c>
    </row>
    <row r="347">
      <c r="Q347">
        <f>IF(G347="Sí",1,0)</f>
        <v/>
      </c>
      <c r="R347">
        <f>IF(K347="En coordinación",1,0)</f>
        <v/>
      </c>
      <c r="S347">
        <f>IF(K347="En coordinación",1,0)</f>
        <v/>
      </c>
      <c r="T347">
        <f>IF(K347="Realizada completa",1,0)</f>
        <v/>
      </c>
      <c r="U347">
        <f>IF(K347="Sin respuesta",1,0)</f>
        <v/>
      </c>
    </row>
    <row r="348">
      <c r="Q348">
        <f>IF(G348="Sí",1,0)</f>
        <v/>
      </c>
      <c r="R348">
        <f>IF(K348="En coordinación",1,0)</f>
        <v/>
      </c>
      <c r="S348">
        <f>IF(K348="En coordinación",1,0)</f>
        <v/>
      </c>
      <c r="T348">
        <f>IF(K348="Realizada completa",1,0)</f>
        <v/>
      </c>
      <c r="U348">
        <f>IF(K348="Sin respuesta",1,0)</f>
        <v/>
      </c>
    </row>
    <row r="349">
      <c r="Q349">
        <f>IF(G349="Sí",1,0)</f>
        <v/>
      </c>
      <c r="R349">
        <f>IF(K349="En coordinación",1,0)</f>
        <v/>
      </c>
      <c r="S349">
        <f>IF(K349="En coordinación",1,0)</f>
        <v/>
      </c>
      <c r="T349">
        <f>IF(K349="Realizada completa",1,0)</f>
        <v/>
      </c>
      <c r="U349">
        <f>IF(K349="Sin respuesta",1,0)</f>
        <v/>
      </c>
    </row>
    <row r="350">
      <c r="Q350">
        <f>IF(G350="Sí",1,0)</f>
        <v/>
      </c>
      <c r="R350">
        <f>IF(K350="En coordinación",1,0)</f>
        <v/>
      </c>
      <c r="S350">
        <f>IF(K350="En coordinación",1,0)</f>
        <v/>
      </c>
      <c r="T350">
        <f>IF(K350="Realizada completa",1,0)</f>
        <v/>
      </c>
      <c r="U350">
        <f>IF(K350="Sin respuesta",1,0)</f>
        <v/>
      </c>
    </row>
    <row r="351">
      <c r="Q351">
        <f>IF(G351="Sí",1,0)</f>
        <v/>
      </c>
      <c r="R351">
        <f>IF(K351="En coordinación",1,0)</f>
        <v/>
      </c>
      <c r="S351">
        <f>IF(K351="En coordinación",1,0)</f>
        <v/>
      </c>
      <c r="T351">
        <f>IF(K351="Realizada completa",1,0)</f>
        <v/>
      </c>
      <c r="U351">
        <f>IF(K351="Sin respuesta",1,0)</f>
        <v/>
      </c>
    </row>
    <row r="352">
      <c r="Q352">
        <f>IF(G352="Sí",1,0)</f>
        <v/>
      </c>
      <c r="R352">
        <f>IF(K352="En coordinación",1,0)</f>
        <v/>
      </c>
      <c r="S352">
        <f>IF(K352="En coordinación",1,0)</f>
        <v/>
      </c>
      <c r="T352">
        <f>IF(K352="Realizada completa",1,0)</f>
        <v/>
      </c>
      <c r="U352">
        <f>IF(K352="Sin respuesta",1,0)</f>
        <v/>
      </c>
    </row>
    <row r="353">
      <c r="Q353">
        <f>IF(G353="Sí",1,0)</f>
        <v/>
      </c>
      <c r="R353">
        <f>IF(K353="En coordinación",1,0)</f>
        <v/>
      </c>
      <c r="S353">
        <f>IF(K353="En coordinación",1,0)</f>
        <v/>
      </c>
      <c r="T353">
        <f>IF(K353="Realizada completa",1,0)</f>
        <v/>
      </c>
      <c r="U353">
        <f>IF(K353="Sin respuesta",1,0)</f>
        <v/>
      </c>
    </row>
    <row r="354">
      <c r="Q354">
        <f>IF(G354="Sí",1,0)</f>
        <v/>
      </c>
      <c r="R354">
        <f>IF(K354="En coordinación",1,0)</f>
        <v/>
      </c>
      <c r="S354">
        <f>IF(K354="En coordinación",1,0)</f>
        <v/>
      </c>
      <c r="T354">
        <f>IF(K354="Realizada completa",1,0)</f>
        <v/>
      </c>
      <c r="U354">
        <f>IF(K354="Sin respuesta",1,0)</f>
        <v/>
      </c>
    </row>
    <row r="355">
      <c r="Q355">
        <f>IF(G355="Sí",1,0)</f>
        <v/>
      </c>
      <c r="R355">
        <f>IF(K355="En coordinación",1,0)</f>
        <v/>
      </c>
      <c r="S355">
        <f>IF(K355="En coordinación",1,0)</f>
        <v/>
      </c>
      <c r="T355">
        <f>IF(K355="Realizada completa",1,0)</f>
        <v/>
      </c>
      <c r="U355">
        <f>IF(K355="Sin respuesta",1,0)</f>
        <v/>
      </c>
    </row>
    <row r="356">
      <c r="Q356">
        <f>IF(G356="Sí",1,0)</f>
        <v/>
      </c>
      <c r="R356">
        <f>IF(K356="En coordinación",1,0)</f>
        <v/>
      </c>
      <c r="S356">
        <f>IF(K356="En coordinación",1,0)</f>
        <v/>
      </c>
      <c r="T356">
        <f>IF(K356="Realizada completa",1,0)</f>
        <v/>
      </c>
      <c r="U356">
        <f>IF(K356="Sin respuesta",1,0)</f>
        <v/>
      </c>
    </row>
    <row r="357">
      <c r="Q357">
        <f>IF(G357="Sí",1,0)</f>
        <v/>
      </c>
      <c r="R357">
        <f>IF(K357="En coordinación",1,0)</f>
        <v/>
      </c>
      <c r="S357">
        <f>IF(K357="En coordinación",1,0)</f>
        <v/>
      </c>
      <c r="T357">
        <f>IF(K357="Realizada completa",1,0)</f>
        <v/>
      </c>
      <c r="U357">
        <f>IF(K357="Sin respuesta",1,0)</f>
        <v/>
      </c>
    </row>
    <row r="358">
      <c r="Q358">
        <f>IF(G358="Sí",1,0)</f>
        <v/>
      </c>
      <c r="R358">
        <f>IF(K358="En coordinación",1,0)</f>
        <v/>
      </c>
      <c r="S358">
        <f>IF(K358="En coordinación",1,0)</f>
        <v/>
      </c>
      <c r="T358">
        <f>IF(K358="Realizada completa",1,0)</f>
        <v/>
      </c>
      <c r="U358">
        <f>IF(K358="Sin respuesta",1,0)</f>
        <v/>
      </c>
    </row>
    <row r="359">
      <c r="Q359">
        <f>IF(G359="Sí",1,0)</f>
        <v/>
      </c>
      <c r="R359">
        <f>IF(K359="En coordinación",1,0)</f>
        <v/>
      </c>
      <c r="S359">
        <f>IF(K359="En coordinación",1,0)</f>
        <v/>
      </c>
      <c r="T359">
        <f>IF(K359="Realizada completa",1,0)</f>
        <v/>
      </c>
      <c r="U359">
        <f>IF(K359="Sin respuesta",1,0)</f>
        <v/>
      </c>
    </row>
    <row r="360">
      <c r="Q360">
        <f>IF(G360="Sí",1,0)</f>
        <v/>
      </c>
      <c r="R360">
        <f>IF(K360="En coordinación",1,0)</f>
        <v/>
      </c>
      <c r="S360">
        <f>IF(K360="En coordinación",1,0)</f>
        <v/>
      </c>
      <c r="T360">
        <f>IF(K360="Realizada completa",1,0)</f>
        <v/>
      </c>
      <c r="U360">
        <f>IF(K360="Sin respuesta",1,0)</f>
        <v/>
      </c>
    </row>
    <row r="361">
      <c r="Q361">
        <f>IF(G361="Sí",1,0)</f>
        <v/>
      </c>
      <c r="R361">
        <f>IF(K361="En coordinación",1,0)</f>
        <v/>
      </c>
      <c r="S361">
        <f>IF(K361="En coordinación",1,0)</f>
        <v/>
      </c>
      <c r="T361">
        <f>IF(K361="Realizada completa",1,0)</f>
        <v/>
      </c>
      <c r="U361">
        <f>IF(K361="Sin respuesta",1,0)</f>
        <v/>
      </c>
    </row>
    <row r="362">
      <c r="Q362">
        <f>IF(G362="Sí",1,0)</f>
        <v/>
      </c>
      <c r="R362">
        <f>IF(K362="En coordinación",1,0)</f>
        <v/>
      </c>
      <c r="S362">
        <f>IF(K362="En coordinación",1,0)</f>
        <v/>
      </c>
      <c r="T362">
        <f>IF(K362="Realizada completa",1,0)</f>
        <v/>
      </c>
      <c r="U362">
        <f>IF(K362="Sin respuesta",1,0)</f>
        <v/>
      </c>
    </row>
    <row r="363">
      <c r="Q363">
        <f>IF(G363="Sí",1,0)</f>
        <v/>
      </c>
      <c r="R363">
        <f>IF(K363="En coordinación",1,0)</f>
        <v/>
      </c>
      <c r="S363">
        <f>IF(K363="En coordinación",1,0)</f>
        <v/>
      </c>
      <c r="T363">
        <f>IF(K363="Realizada completa",1,0)</f>
        <v/>
      </c>
      <c r="U363">
        <f>IF(K363="Sin respuesta",1,0)</f>
        <v/>
      </c>
    </row>
    <row r="364">
      <c r="Q364">
        <f>IF(G364="Sí",1,0)</f>
        <v/>
      </c>
      <c r="R364">
        <f>IF(K364="En coordinación",1,0)</f>
        <v/>
      </c>
      <c r="S364">
        <f>IF(K364="En coordinación",1,0)</f>
        <v/>
      </c>
      <c r="T364">
        <f>IF(K364="Realizada completa",1,0)</f>
        <v/>
      </c>
      <c r="U364">
        <f>IF(K364="Sin respuesta",1,0)</f>
        <v/>
      </c>
    </row>
    <row r="365">
      <c r="Q365">
        <f>IF(G365="Sí",1,0)</f>
        <v/>
      </c>
      <c r="R365">
        <f>IF(K365="En coordinación",1,0)</f>
        <v/>
      </c>
      <c r="S365">
        <f>IF(K365="En coordinación",1,0)</f>
        <v/>
      </c>
      <c r="T365">
        <f>IF(K365="Realizada completa",1,0)</f>
        <v/>
      </c>
      <c r="U365">
        <f>IF(K365="Sin respuesta",1,0)</f>
        <v/>
      </c>
    </row>
    <row r="366">
      <c r="Q366">
        <f>IF(G366="Sí",1,0)</f>
        <v/>
      </c>
      <c r="R366">
        <f>IF(K366="En coordinación",1,0)</f>
        <v/>
      </c>
      <c r="S366">
        <f>IF(K366="En coordinación",1,0)</f>
        <v/>
      </c>
      <c r="T366">
        <f>IF(K366="Realizada completa",1,0)</f>
        <v/>
      </c>
      <c r="U366">
        <f>IF(K366="Sin respuesta",1,0)</f>
        <v/>
      </c>
    </row>
    <row r="367">
      <c r="Q367">
        <f>IF(G367="Sí",1,0)</f>
        <v/>
      </c>
      <c r="R367">
        <f>IF(K367="En coordinación",1,0)</f>
        <v/>
      </c>
      <c r="S367">
        <f>IF(K367="En coordinación",1,0)</f>
        <v/>
      </c>
      <c r="T367">
        <f>IF(K367="Realizada completa",1,0)</f>
        <v/>
      </c>
      <c r="U367">
        <f>IF(K367="Sin respuesta",1,0)</f>
        <v/>
      </c>
    </row>
    <row r="368">
      <c r="Q368">
        <f>IF(G368="Sí",1,0)</f>
        <v/>
      </c>
      <c r="R368">
        <f>IF(K368="En coordinación",1,0)</f>
        <v/>
      </c>
      <c r="S368">
        <f>IF(K368="En coordinación",1,0)</f>
        <v/>
      </c>
      <c r="T368">
        <f>IF(K368="Realizada completa",1,0)</f>
        <v/>
      </c>
      <c r="U368">
        <f>IF(K368="Sin respuesta",1,0)</f>
        <v/>
      </c>
    </row>
    <row r="369">
      <c r="Q369">
        <f>IF(G369="Sí",1,0)</f>
        <v/>
      </c>
      <c r="R369">
        <f>IF(K369="En coordinación",1,0)</f>
        <v/>
      </c>
      <c r="S369">
        <f>IF(K369="En coordinación",1,0)</f>
        <v/>
      </c>
      <c r="T369">
        <f>IF(K369="Realizada completa",1,0)</f>
        <v/>
      </c>
      <c r="U369">
        <f>IF(K369="Sin respuesta",1,0)</f>
        <v/>
      </c>
    </row>
    <row r="370">
      <c r="Q370">
        <f>IF(G370="Sí",1,0)</f>
        <v/>
      </c>
      <c r="R370">
        <f>IF(K370="En coordinación",1,0)</f>
        <v/>
      </c>
      <c r="S370">
        <f>IF(K370="En coordinación",1,0)</f>
        <v/>
      </c>
      <c r="T370">
        <f>IF(K370="Realizada completa",1,0)</f>
        <v/>
      </c>
      <c r="U370">
        <f>IF(K370="Sin respuesta",1,0)</f>
        <v/>
      </c>
    </row>
    <row r="371">
      <c r="Q371">
        <f>IF(G371="Sí",1,0)</f>
        <v/>
      </c>
      <c r="R371">
        <f>IF(K371="En coordinación",1,0)</f>
        <v/>
      </c>
      <c r="S371">
        <f>IF(K371="En coordinación",1,0)</f>
        <v/>
      </c>
      <c r="T371">
        <f>IF(K371="Realizada completa",1,0)</f>
        <v/>
      </c>
      <c r="U371">
        <f>IF(K371="Sin respuesta",1,0)</f>
        <v/>
      </c>
    </row>
    <row r="372">
      <c r="Q372">
        <f>IF(G372="Sí",1,0)</f>
        <v/>
      </c>
      <c r="R372">
        <f>IF(K372="En coordinación",1,0)</f>
        <v/>
      </c>
      <c r="S372">
        <f>IF(K372="En coordinación",1,0)</f>
        <v/>
      </c>
      <c r="T372">
        <f>IF(K372="Realizada completa",1,0)</f>
        <v/>
      </c>
      <c r="U372">
        <f>IF(K372="Sin respuesta",1,0)</f>
        <v/>
      </c>
    </row>
    <row r="373">
      <c r="Q373">
        <f>IF(G373="Sí",1,0)</f>
        <v/>
      </c>
      <c r="R373">
        <f>IF(K373="En coordinación",1,0)</f>
        <v/>
      </c>
      <c r="S373">
        <f>IF(K373="En coordinación",1,0)</f>
        <v/>
      </c>
      <c r="T373">
        <f>IF(K373="Realizada completa",1,0)</f>
        <v/>
      </c>
      <c r="U373">
        <f>IF(K373="Sin respuesta",1,0)</f>
        <v/>
      </c>
    </row>
    <row r="374">
      <c r="Q374">
        <f>IF(G374="Sí",1,0)</f>
        <v/>
      </c>
      <c r="R374">
        <f>IF(K374="En coordinación",1,0)</f>
        <v/>
      </c>
      <c r="S374">
        <f>IF(K374="En coordinación",1,0)</f>
        <v/>
      </c>
      <c r="T374">
        <f>IF(K374="Realizada completa",1,0)</f>
        <v/>
      </c>
      <c r="U374">
        <f>IF(K374="Sin respuesta",1,0)</f>
        <v/>
      </c>
    </row>
    <row r="375">
      <c r="Q375">
        <f>IF(G375="Sí",1,0)</f>
        <v/>
      </c>
      <c r="R375">
        <f>IF(K375="En coordinación",1,0)</f>
        <v/>
      </c>
      <c r="S375">
        <f>IF(K375="En coordinación",1,0)</f>
        <v/>
      </c>
      <c r="T375">
        <f>IF(K375="Realizada completa",1,0)</f>
        <v/>
      </c>
      <c r="U375">
        <f>IF(K375="Sin respuesta",1,0)</f>
        <v/>
      </c>
    </row>
    <row r="376">
      <c r="Q376">
        <f>IF(G376="Sí",1,0)</f>
        <v/>
      </c>
      <c r="R376">
        <f>IF(K376="En coordinación",1,0)</f>
        <v/>
      </c>
      <c r="S376">
        <f>IF(K376="En coordinación",1,0)</f>
        <v/>
      </c>
      <c r="T376">
        <f>IF(K376="Realizada completa",1,0)</f>
        <v/>
      </c>
      <c r="U376">
        <f>IF(K376="Sin respuesta",1,0)</f>
        <v/>
      </c>
    </row>
    <row r="377">
      <c r="Q377">
        <f>IF(G377="Sí",1,0)</f>
        <v/>
      </c>
      <c r="R377">
        <f>IF(K377="En coordinación",1,0)</f>
        <v/>
      </c>
      <c r="S377">
        <f>IF(K377="En coordinación",1,0)</f>
        <v/>
      </c>
      <c r="T377">
        <f>IF(K377="Realizada completa",1,0)</f>
        <v/>
      </c>
      <c r="U377">
        <f>IF(K377="Sin respuesta",1,0)</f>
        <v/>
      </c>
    </row>
    <row r="378">
      <c r="Q378">
        <f>IF(G378="Sí",1,0)</f>
        <v/>
      </c>
      <c r="R378">
        <f>IF(K378="En coordinación",1,0)</f>
        <v/>
      </c>
      <c r="S378">
        <f>IF(K378="En coordinación",1,0)</f>
        <v/>
      </c>
      <c r="T378">
        <f>IF(K378="Realizada completa",1,0)</f>
        <v/>
      </c>
      <c r="U378">
        <f>IF(K378="Sin respuesta",1,0)</f>
        <v/>
      </c>
    </row>
    <row r="379">
      <c r="Q379">
        <f>IF(G379="Sí",1,0)</f>
        <v/>
      </c>
      <c r="R379">
        <f>IF(K379="En coordinación",1,0)</f>
        <v/>
      </c>
      <c r="S379">
        <f>IF(K379="En coordinación",1,0)</f>
        <v/>
      </c>
      <c r="T379">
        <f>IF(K379="Realizada completa",1,0)</f>
        <v/>
      </c>
      <c r="U379">
        <f>IF(K379="Sin respuesta",1,0)</f>
        <v/>
      </c>
    </row>
    <row r="380">
      <c r="Q380">
        <f>IF(G380="Sí",1,0)</f>
        <v/>
      </c>
      <c r="R380">
        <f>IF(K380="En coordinación",1,0)</f>
        <v/>
      </c>
      <c r="S380">
        <f>IF(K380="En coordinación",1,0)</f>
        <v/>
      </c>
      <c r="T380">
        <f>IF(K380="Realizada completa",1,0)</f>
        <v/>
      </c>
      <c r="U380">
        <f>IF(K380="Sin respuesta",1,0)</f>
        <v/>
      </c>
    </row>
    <row r="381">
      <c r="Q381">
        <f>IF(G381="Sí",1,0)</f>
        <v/>
      </c>
      <c r="R381">
        <f>IF(K381="En coordinación",1,0)</f>
        <v/>
      </c>
      <c r="S381">
        <f>IF(K381="En coordinación",1,0)</f>
        <v/>
      </c>
      <c r="T381">
        <f>IF(K381="Realizada completa",1,0)</f>
        <v/>
      </c>
      <c r="U381">
        <f>IF(K381="Sin respuesta",1,0)</f>
        <v/>
      </c>
    </row>
    <row r="382">
      <c r="Q382">
        <f>IF(G382="Sí",1,0)</f>
        <v/>
      </c>
      <c r="R382">
        <f>IF(K382="En coordinación",1,0)</f>
        <v/>
      </c>
      <c r="S382">
        <f>IF(K382="En coordinación",1,0)</f>
        <v/>
      </c>
      <c r="T382">
        <f>IF(K382="Realizada completa",1,0)</f>
        <v/>
      </c>
      <c r="U382">
        <f>IF(K382="Sin respuesta",1,0)</f>
        <v/>
      </c>
    </row>
    <row r="383">
      <c r="Q383">
        <f>IF(G383="Sí",1,0)</f>
        <v/>
      </c>
      <c r="R383">
        <f>IF(K383="En coordinación",1,0)</f>
        <v/>
      </c>
      <c r="S383">
        <f>IF(K383="En coordinación",1,0)</f>
        <v/>
      </c>
      <c r="T383">
        <f>IF(K383="Realizada completa",1,0)</f>
        <v/>
      </c>
      <c r="U383">
        <f>IF(K383="Sin respuesta",1,0)</f>
        <v/>
      </c>
    </row>
    <row r="384">
      <c r="Q384">
        <f>IF(G384="Sí",1,0)</f>
        <v/>
      </c>
      <c r="R384">
        <f>IF(K384="En coordinación",1,0)</f>
        <v/>
      </c>
      <c r="S384">
        <f>IF(K384="En coordinación",1,0)</f>
        <v/>
      </c>
      <c r="T384">
        <f>IF(K384="Realizada completa",1,0)</f>
        <v/>
      </c>
      <c r="U384">
        <f>IF(K384="Sin respuesta",1,0)</f>
        <v/>
      </c>
    </row>
    <row r="385">
      <c r="Q385">
        <f>IF(G385="Sí",1,0)</f>
        <v/>
      </c>
      <c r="R385">
        <f>IF(K385="En coordinación",1,0)</f>
        <v/>
      </c>
      <c r="S385">
        <f>IF(K385="En coordinación",1,0)</f>
        <v/>
      </c>
      <c r="T385">
        <f>IF(K385="Realizada completa",1,0)</f>
        <v/>
      </c>
      <c r="U385">
        <f>IF(K385="Sin respuesta",1,0)</f>
        <v/>
      </c>
    </row>
    <row r="386">
      <c r="Q386">
        <f>IF(G386="Sí",1,0)</f>
        <v/>
      </c>
      <c r="R386">
        <f>IF(K386="En coordinación",1,0)</f>
        <v/>
      </c>
      <c r="S386">
        <f>IF(K386="En coordinación",1,0)</f>
        <v/>
      </c>
      <c r="T386">
        <f>IF(K386="Realizada completa",1,0)</f>
        <v/>
      </c>
      <c r="U386">
        <f>IF(K386="Sin respuesta",1,0)</f>
        <v/>
      </c>
    </row>
    <row r="387">
      <c r="Q387">
        <f>IF(G387="Sí",1,0)</f>
        <v/>
      </c>
      <c r="R387">
        <f>IF(K387="En coordinación",1,0)</f>
        <v/>
      </c>
      <c r="S387">
        <f>IF(K387="En coordinación",1,0)</f>
        <v/>
      </c>
      <c r="T387">
        <f>IF(K387="Realizada completa",1,0)</f>
        <v/>
      </c>
      <c r="U387">
        <f>IF(K387="Sin respuesta",1,0)</f>
        <v/>
      </c>
    </row>
    <row r="388">
      <c r="Q388">
        <f>IF(G388="Sí",1,0)</f>
        <v/>
      </c>
      <c r="R388">
        <f>IF(K388="En coordinación",1,0)</f>
        <v/>
      </c>
      <c r="S388">
        <f>IF(K388="En coordinación",1,0)</f>
        <v/>
      </c>
      <c r="T388">
        <f>IF(K388="Realizada completa",1,0)</f>
        <v/>
      </c>
      <c r="U388">
        <f>IF(K388="Sin respuesta",1,0)</f>
        <v/>
      </c>
    </row>
    <row r="389">
      <c r="Q389">
        <f>IF(G389="Sí",1,0)</f>
        <v/>
      </c>
      <c r="R389">
        <f>IF(K389="En coordinación",1,0)</f>
        <v/>
      </c>
      <c r="S389">
        <f>IF(K389="En coordinación",1,0)</f>
        <v/>
      </c>
      <c r="T389">
        <f>IF(K389="Realizada completa",1,0)</f>
        <v/>
      </c>
      <c r="U389">
        <f>IF(K389="Sin respuesta",1,0)</f>
        <v/>
      </c>
    </row>
    <row r="390">
      <c r="Q390">
        <f>IF(G390="Sí",1,0)</f>
        <v/>
      </c>
      <c r="R390">
        <f>IF(K390="En coordinación",1,0)</f>
        <v/>
      </c>
      <c r="S390">
        <f>IF(K390="En coordinación",1,0)</f>
        <v/>
      </c>
      <c r="T390">
        <f>IF(K390="Realizada completa",1,0)</f>
        <v/>
      </c>
      <c r="U390">
        <f>IF(K390="Sin respuesta",1,0)</f>
        <v/>
      </c>
    </row>
    <row r="391">
      <c r="Q391">
        <f>IF(G391="Sí",1,0)</f>
        <v/>
      </c>
      <c r="R391">
        <f>IF(K391="En coordinación",1,0)</f>
        <v/>
      </c>
      <c r="S391">
        <f>IF(K391="En coordinación",1,0)</f>
        <v/>
      </c>
      <c r="T391">
        <f>IF(K391="Realizada completa",1,0)</f>
        <v/>
      </c>
      <c r="U391">
        <f>IF(K391="Sin respuesta",1,0)</f>
        <v/>
      </c>
    </row>
    <row r="392">
      <c r="Q392">
        <f>IF(G392="Sí",1,0)</f>
        <v/>
      </c>
      <c r="R392">
        <f>IF(K392="En coordinación",1,0)</f>
        <v/>
      </c>
      <c r="S392">
        <f>IF(K392="En coordinación",1,0)</f>
        <v/>
      </c>
      <c r="T392">
        <f>IF(K392="Realizada completa",1,0)</f>
        <v/>
      </c>
      <c r="U392">
        <f>IF(K392="Sin respuesta",1,0)</f>
        <v/>
      </c>
    </row>
    <row r="393">
      <c r="Q393">
        <f>IF(G393="Sí",1,0)</f>
        <v/>
      </c>
      <c r="R393">
        <f>IF(K393="En coordinación",1,0)</f>
        <v/>
      </c>
      <c r="S393">
        <f>IF(K393="En coordinación",1,0)</f>
        <v/>
      </c>
      <c r="T393">
        <f>IF(K393="Realizada completa",1,0)</f>
        <v/>
      </c>
      <c r="U393">
        <f>IF(K393="Sin respuesta",1,0)</f>
        <v/>
      </c>
    </row>
    <row r="394">
      <c r="Q394">
        <f>IF(G394="Sí",1,0)</f>
        <v/>
      </c>
      <c r="R394">
        <f>IF(K394="En coordinación",1,0)</f>
        <v/>
      </c>
      <c r="S394">
        <f>IF(K394="En coordinación",1,0)</f>
        <v/>
      </c>
      <c r="T394">
        <f>IF(K394="Realizada completa",1,0)</f>
        <v/>
      </c>
      <c r="U394">
        <f>IF(K394="Sin respuesta",1,0)</f>
        <v/>
      </c>
    </row>
    <row r="395">
      <c r="Q395">
        <f>IF(G395="Sí",1,0)</f>
        <v/>
      </c>
      <c r="R395">
        <f>IF(K395="En coordinación",1,0)</f>
        <v/>
      </c>
      <c r="S395">
        <f>IF(K395="En coordinación",1,0)</f>
        <v/>
      </c>
      <c r="T395">
        <f>IF(K395="Realizada completa",1,0)</f>
        <v/>
      </c>
      <c r="U395">
        <f>IF(K395="Sin respuesta",1,0)</f>
        <v/>
      </c>
    </row>
    <row r="396">
      <c r="Q396">
        <f>IF(G396="Sí",1,0)</f>
        <v/>
      </c>
      <c r="R396">
        <f>IF(K396="En coordinación",1,0)</f>
        <v/>
      </c>
      <c r="S396">
        <f>IF(K396="En coordinación",1,0)</f>
        <v/>
      </c>
      <c r="T396">
        <f>IF(K396="Realizada completa",1,0)</f>
        <v/>
      </c>
      <c r="U396">
        <f>IF(K396="Sin respuesta",1,0)</f>
        <v/>
      </c>
    </row>
    <row r="397">
      <c r="Q397">
        <f>IF(G397="Sí",1,0)</f>
        <v/>
      </c>
      <c r="R397">
        <f>IF(K397="En coordinación",1,0)</f>
        <v/>
      </c>
      <c r="S397">
        <f>IF(K397="En coordinación",1,0)</f>
        <v/>
      </c>
      <c r="T397">
        <f>IF(K397="Realizada completa",1,0)</f>
        <v/>
      </c>
      <c r="U397">
        <f>IF(K397="Sin respuesta",1,0)</f>
        <v/>
      </c>
    </row>
    <row r="398">
      <c r="Q398">
        <f>IF(G398="Sí",1,0)</f>
        <v/>
      </c>
      <c r="R398">
        <f>IF(K398="En coordinación",1,0)</f>
        <v/>
      </c>
      <c r="S398">
        <f>IF(K398="En coordinación",1,0)</f>
        <v/>
      </c>
      <c r="T398">
        <f>IF(K398="Realizada completa",1,0)</f>
        <v/>
      </c>
      <c r="U398">
        <f>IF(K398="Sin respuesta",1,0)</f>
        <v/>
      </c>
    </row>
    <row r="399">
      <c r="Q399">
        <f>IF(G399="Sí",1,0)</f>
        <v/>
      </c>
      <c r="R399">
        <f>IF(K399="En coordinación",1,0)</f>
        <v/>
      </c>
      <c r="S399">
        <f>IF(K399="En coordinación",1,0)</f>
        <v/>
      </c>
      <c r="T399">
        <f>IF(K399="Realizada completa",1,0)</f>
        <v/>
      </c>
      <c r="U399">
        <f>IF(K399="Sin respuesta",1,0)</f>
        <v/>
      </c>
    </row>
    <row r="400">
      <c r="Q400">
        <f>IF(G400="Sí",1,0)</f>
        <v/>
      </c>
      <c r="R400">
        <f>IF(K400="En coordinación",1,0)</f>
        <v/>
      </c>
      <c r="S400">
        <f>IF(K400="En coordinación",1,0)</f>
        <v/>
      </c>
      <c r="T400">
        <f>IF(K400="Realizada completa",1,0)</f>
        <v/>
      </c>
      <c r="U400">
        <f>IF(K400="Sin respuesta",1,0)</f>
        <v/>
      </c>
    </row>
    <row r="401">
      <c r="Q401">
        <f>IF(G401="Sí",1,0)</f>
        <v/>
      </c>
      <c r="R401">
        <f>IF(K401="En coordinación",1,0)</f>
        <v/>
      </c>
      <c r="S401">
        <f>IF(K401="En coordinación",1,0)</f>
        <v/>
      </c>
      <c r="T401">
        <f>IF(K401="Realizada completa",1,0)</f>
        <v/>
      </c>
      <c r="U401">
        <f>IF(K401="Sin respuesta",1,0)</f>
        <v/>
      </c>
    </row>
    <row r="402">
      <c r="Q402">
        <f>IF(G402="Sí",1,0)</f>
        <v/>
      </c>
      <c r="R402">
        <f>IF(K402="En coordinación",1,0)</f>
        <v/>
      </c>
      <c r="S402">
        <f>IF(K402="En coordinación",1,0)</f>
        <v/>
      </c>
      <c r="T402">
        <f>IF(K402="Realizada completa",1,0)</f>
        <v/>
      </c>
      <c r="U402">
        <f>IF(K402="Sin respuesta",1,0)</f>
        <v/>
      </c>
    </row>
    <row r="403">
      <c r="Q403">
        <f>IF(G403="Sí",1,0)</f>
        <v/>
      </c>
      <c r="R403">
        <f>IF(K403="En coordinación",1,0)</f>
        <v/>
      </c>
      <c r="S403">
        <f>IF(K403="En coordinación",1,0)</f>
        <v/>
      </c>
      <c r="T403">
        <f>IF(K403="Realizada completa",1,0)</f>
        <v/>
      </c>
      <c r="U403">
        <f>IF(K403="Sin respuesta",1,0)</f>
        <v/>
      </c>
    </row>
    <row r="404">
      <c r="Q404">
        <f>IF(G404="Sí",1,0)</f>
        <v/>
      </c>
      <c r="R404">
        <f>IF(K404="En coordinación",1,0)</f>
        <v/>
      </c>
      <c r="S404">
        <f>IF(K404="En coordinación",1,0)</f>
        <v/>
      </c>
      <c r="T404">
        <f>IF(K404="Realizada completa",1,0)</f>
        <v/>
      </c>
      <c r="U404">
        <f>IF(K404="Sin respuesta",1,0)</f>
        <v/>
      </c>
    </row>
    <row r="405">
      <c r="Q405">
        <f>IF(G405="Sí",1,0)</f>
        <v/>
      </c>
      <c r="R405">
        <f>IF(K405="En coordinación",1,0)</f>
        <v/>
      </c>
      <c r="S405">
        <f>IF(K405="En coordinación",1,0)</f>
        <v/>
      </c>
      <c r="T405">
        <f>IF(K405="Realizada completa",1,0)</f>
        <v/>
      </c>
      <c r="U405">
        <f>IF(K405="Sin respuesta",1,0)</f>
        <v/>
      </c>
    </row>
    <row r="406">
      <c r="Q406">
        <f>IF(G406="Sí",1,0)</f>
        <v/>
      </c>
      <c r="R406">
        <f>IF(K406="En coordinación",1,0)</f>
        <v/>
      </c>
      <c r="S406">
        <f>IF(K406="En coordinación",1,0)</f>
        <v/>
      </c>
      <c r="T406">
        <f>IF(K406="Realizada completa",1,0)</f>
        <v/>
      </c>
      <c r="U406">
        <f>IF(K406="Sin respuesta",1,0)</f>
        <v/>
      </c>
    </row>
    <row r="407">
      <c r="Q407">
        <f>IF(G407="Sí",1,0)</f>
        <v/>
      </c>
      <c r="R407">
        <f>IF(K407="En coordinación",1,0)</f>
        <v/>
      </c>
      <c r="S407">
        <f>IF(K407="En coordinación",1,0)</f>
        <v/>
      </c>
      <c r="T407">
        <f>IF(K407="Realizada completa",1,0)</f>
        <v/>
      </c>
      <c r="U407">
        <f>IF(K407="Sin respuesta",1,0)</f>
        <v/>
      </c>
    </row>
    <row r="408">
      <c r="Q408">
        <f>IF(G408="Sí",1,0)</f>
        <v/>
      </c>
      <c r="R408">
        <f>IF(K408="En coordinación",1,0)</f>
        <v/>
      </c>
      <c r="S408">
        <f>IF(K408="En coordinación",1,0)</f>
        <v/>
      </c>
      <c r="T408">
        <f>IF(K408="Realizada completa",1,0)</f>
        <v/>
      </c>
      <c r="U408">
        <f>IF(K408="Sin respuesta",1,0)</f>
        <v/>
      </c>
    </row>
    <row r="409">
      <c r="Q409">
        <f>IF(G409="Sí",1,0)</f>
        <v/>
      </c>
      <c r="R409">
        <f>IF(K409="En coordinación",1,0)</f>
        <v/>
      </c>
      <c r="S409">
        <f>IF(K409="En coordinación",1,0)</f>
        <v/>
      </c>
      <c r="T409">
        <f>IF(K409="Realizada completa",1,0)</f>
        <v/>
      </c>
      <c r="U409">
        <f>IF(K409="Sin respuesta",1,0)</f>
        <v/>
      </c>
    </row>
    <row r="410">
      <c r="Q410">
        <f>IF(G410="Sí",1,0)</f>
        <v/>
      </c>
      <c r="R410">
        <f>IF(K410="En coordinación",1,0)</f>
        <v/>
      </c>
      <c r="S410">
        <f>IF(K410="En coordinación",1,0)</f>
        <v/>
      </c>
      <c r="T410">
        <f>IF(K410="Realizada completa",1,0)</f>
        <v/>
      </c>
      <c r="U410">
        <f>IF(K410="Sin respuesta",1,0)</f>
        <v/>
      </c>
    </row>
    <row r="411">
      <c r="Q411">
        <f>IF(G411="Sí",1,0)</f>
        <v/>
      </c>
      <c r="R411">
        <f>IF(K411="En coordinación",1,0)</f>
        <v/>
      </c>
      <c r="S411">
        <f>IF(K411="En coordinación",1,0)</f>
        <v/>
      </c>
      <c r="T411">
        <f>IF(K411="Realizada completa",1,0)</f>
        <v/>
      </c>
      <c r="U411">
        <f>IF(K411="Sin respuesta",1,0)</f>
        <v/>
      </c>
    </row>
    <row r="412">
      <c r="Q412">
        <f>IF(G412="Sí",1,0)</f>
        <v/>
      </c>
      <c r="R412">
        <f>IF(K412="En coordinación",1,0)</f>
        <v/>
      </c>
      <c r="S412">
        <f>IF(K412="En coordinación",1,0)</f>
        <v/>
      </c>
      <c r="T412">
        <f>IF(K412="Realizada completa",1,0)</f>
        <v/>
      </c>
      <c r="U412">
        <f>IF(K412="Sin respuesta",1,0)</f>
        <v/>
      </c>
    </row>
    <row r="413">
      <c r="Q413">
        <f>IF(G413="Sí",1,0)</f>
        <v/>
      </c>
      <c r="R413">
        <f>IF(K413="En coordinación",1,0)</f>
        <v/>
      </c>
      <c r="S413">
        <f>IF(K413="En coordinación",1,0)</f>
        <v/>
      </c>
      <c r="T413">
        <f>IF(K413="Realizada completa",1,0)</f>
        <v/>
      </c>
      <c r="U413">
        <f>IF(K413="Sin respuesta",1,0)</f>
        <v/>
      </c>
    </row>
    <row r="414">
      <c r="Q414">
        <f>IF(G414="Sí",1,0)</f>
        <v/>
      </c>
      <c r="R414">
        <f>IF(K414="En coordinación",1,0)</f>
        <v/>
      </c>
      <c r="S414">
        <f>IF(K414="En coordinación",1,0)</f>
        <v/>
      </c>
      <c r="T414">
        <f>IF(K414="Realizada completa",1,0)</f>
        <v/>
      </c>
      <c r="U414">
        <f>IF(K414="Sin respuesta",1,0)</f>
        <v/>
      </c>
    </row>
    <row r="415">
      <c r="Q415">
        <f>IF(G415="Sí",1,0)</f>
        <v/>
      </c>
      <c r="R415">
        <f>IF(K415="En coordinación",1,0)</f>
        <v/>
      </c>
      <c r="S415">
        <f>IF(K415="En coordinación",1,0)</f>
        <v/>
      </c>
      <c r="T415">
        <f>IF(K415="Realizada completa",1,0)</f>
        <v/>
      </c>
      <c r="U415">
        <f>IF(K415="Sin respuesta",1,0)</f>
        <v/>
      </c>
    </row>
    <row r="416">
      <c r="Q416">
        <f>IF(G416="Sí",1,0)</f>
        <v/>
      </c>
      <c r="R416">
        <f>IF(K416="En coordinación",1,0)</f>
        <v/>
      </c>
      <c r="S416">
        <f>IF(K416="En coordinación",1,0)</f>
        <v/>
      </c>
      <c r="T416">
        <f>IF(K416="Realizada completa",1,0)</f>
        <v/>
      </c>
      <c r="U416">
        <f>IF(K416="Sin respuesta",1,0)</f>
        <v/>
      </c>
    </row>
    <row r="417">
      <c r="Q417">
        <f>IF(G417="Sí",1,0)</f>
        <v/>
      </c>
      <c r="R417">
        <f>IF(K417="En coordinación",1,0)</f>
        <v/>
      </c>
      <c r="S417">
        <f>IF(K417="En coordinación",1,0)</f>
        <v/>
      </c>
      <c r="T417">
        <f>IF(K417="Realizada completa",1,0)</f>
        <v/>
      </c>
      <c r="U417">
        <f>IF(K417="Sin respuesta",1,0)</f>
        <v/>
      </c>
    </row>
    <row r="418">
      <c r="Q418">
        <f>IF(G418="Sí",1,0)</f>
        <v/>
      </c>
      <c r="R418">
        <f>IF(K418="En coordinación",1,0)</f>
        <v/>
      </c>
      <c r="S418">
        <f>IF(K418="En coordinación",1,0)</f>
        <v/>
      </c>
      <c r="T418">
        <f>IF(K418="Realizada completa",1,0)</f>
        <v/>
      </c>
      <c r="U418">
        <f>IF(K418="Sin respuesta",1,0)</f>
        <v/>
      </c>
    </row>
    <row r="419">
      <c r="Q419">
        <f>IF(G419="Sí",1,0)</f>
        <v/>
      </c>
      <c r="R419">
        <f>IF(K419="En coordinación",1,0)</f>
        <v/>
      </c>
      <c r="S419">
        <f>IF(K419="En coordinación",1,0)</f>
        <v/>
      </c>
      <c r="T419">
        <f>IF(K419="Realizada completa",1,0)</f>
        <v/>
      </c>
      <c r="U419">
        <f>IF(K419="Sin respuesta",1,0)</f>
        <v/>
      </c>
    </row>
    <row r="420">
      <c r="Q420">
        <f>IF(G420="Sí",1,0)</f>
        <v/>
      </c>
      <c r="R420">
        <f>IF(K420="En coordinación",1,0)</f>
        <v/>
      </c>
      <c r="S420">
        <f>IF(K420="En coordinación",1,0)</f>
        <v/>
      </c>
      <c r="T420">
        <f>IF(K420="Realizada completa",1,0)</f>
        <v/>
      </c>
      <c r="U420">
        <f>IF(K420="Sin respuesta",1,0)</f>
        <v/>
      </c>
    </row>
    <row r="421">
      <c r="Q421">
        <f>IF(G421="Sí",1,0)</f>
        <v/>
      </c>
      <c r="R421">
        <f>IF(K421="En coordinación",1,0)</f>
        <v/>
      </c>
      <c r="S421">
        <f>IF(K421="En coordinación",1,0)</f>
        <v/>
      </c>
      <c r="T421">
        <f>IF(K421="Realizada completa",1,0)</f>
        <v/>
      </c>
      <c r="U421">
        <f>IF(K421="Sin respuesta",1,0)</f>
        <v/>
      </c>
    </row>
    <row r="422">
      <c r="Q422">
        <f>IF(G422="Sí",1,0)</f>
        <v/>
      </c>
      <c r="R422">
        <f>IF(K422="En coordinación",1,0)</f>
        <v/>
      </c>
      <c r="S422">
        <f>IF(K422="En coordinación",1,0)</f>
        <v/>
      </c>
      <c r="T422">
        <f>IF(K422="Realizada completa",1,0)</f>
        <v/>
      </c>
      <c r="U422">
        <f>IF(K422="Sin respuesta",1,0)</f>
        <v/>
      </c>
    </row>
    <row r="423">
      <c r="Q423">
        <f>IF(G423="Sí",1,0)</f>
        <v/>
      </c>
      <c r="R423">
        <f>IF(K423="En coordinación",1,0)</f>
        <v/>
      </c>
      <c r="S423">
        <f>IF(K423="En coordinación",1,0)</f>
        <v/>
      </c>
      <c r="T423">
        <f>IF(K423="Realizada completa",1,0)</f>
        <v/>
      </c>
      <c r="U423">
        <f>IF(K423="Sin respuesta",1,0)</f>
        <v/>
      </c>
    </row>
    <row r="424">
      <c r="Q424">
        <f>IF(G424="Sí",1,0)</f>
        <v/>
      </c>
      <c r="R424">
        <f>IF(K424="En coordinación",1,0)</f>
        <v/>
      </c>
      <c r="S424">
        <f>IF(K424="En coordinación",1,0)</f>
        <v/>
      </c>
      <c r="T424">
        <f>IF(K424="Realizada completa",1,0)</f>
        <v/>
      </c>
      <c r="U424">
        <f>IF(K424="Sin respuesta",1,0)</f>
        <v/>
      </c>
    </row>
    <row r="425">
      <c r="Q425">
        <f>IF(G425="Sí",1,0)</f>
        <v/>
      </c>
      <c r="R425">
        <f>IF(K425="En coordinación",1,0)</f>
        <v/>
      </c>
      <c r="S425">
        <f>IF(K425="En coordinación",1,0)</f>
        <v/>
      </c>
      <c r="T425">
        <f>IF(K425="Realizada completa",1,0)</f>
        <v/>
      </c>
      <c r="U425">
        <f>IF(K425="Sin respuesta",1,0)</f>
        <v/>
      </c>
    </row>
    <row r="426">
      <c r="Q426">
        <f>IF(G426="Sí",1,0)</f>
        <v/>
      </c>
      <c r="R426">
        <f>IF(K426="En coordinación",1,0)</f>
        <v/>
      </c>
      <c r="S426">
        <f>IF(K426="En coordinación",1,0)</f>
        <v/>
      </c>
      <c r="T426">
        <f>IF(K426="Realizada completa",1,0)</f>
        <v/>
      </c>
      <c r="U426">
        <f>IF(K426="Sin respuesta",1,0)</f>
        <v/>
      </c>
    </row>
    <row r="427">
      <c r="Q427">
        <f>IF(G427="Sí",1,0)</f>
        <v/>
      </c>
      <c r="R427">
        <f>IF(K427="En coordinación",1,0)</f>
        <v/>
      </c>
      <c r="S427">
        <f>IF(K427="En coordinación",1,0)</f>
        <v/>
      </c>
      <c r="T427">
        <f>IF(K427="Realizada completa",1,0)</f>
        <v/>
      </c>
      <c r="U427">
        <f>IF(K427="Sin respuesta",1,0)</f>
        <v/>
      </c>
    </row>
    <row r="428">
      <c r="Q428">
        <f>IF(G428="Sí",1,0)</f>
        <v/>
      </c>
      <c r="R428">
        <f>IF(K428="En coordinación",1,0)</f>
        <v/>
      </c>
      <c r="S428">
        <f>IF(K428="En coordinación",1,0)</f>
        <v/>
      </c>
      <c r="T428">
        <f>IF(K428="Realizada completa",1,0)</f>
        <v/>
      </c>
      <c r="U428">
        <f>IF(K428="Sin respuesta",1,0)</f>
        <v/>
      </c>
    </row>
    <row r="429">
      <c r="Q429">
        <f>IF(G429="Sí",1,0)</f>
        <v/>
      </c>
      <c r="R429">
        <f>IF(K429="En coordinación",1,0)</f>
        <v/>
      </c>
      <c r="S429">
        <f>IF(K429="En coordinación",1,0)</f>
        <v/>
      </c>
      <c r="T429">
        <f>IF(K429="Realizada completa",1,0)</f>
        <v/>
      </c>
      <c r="U429">
        <f>IF(K429="Sin respuesta",1,0)</f>
        <v/>
      </c>
    </row>
    <row r="430">
      <c r="Q430">
        <f>IF(G430="Sí",1,0)</f>
        <v/>
      </c>
      <c r="R430">
        <f>IF(K430="En coordinación",1,0)</f>
        <v/>
      </c>
      <c r="S430">
        <f>IF(K430="En coordinación",1,0)</f>
        <v/>
      </c>
      <c r="T430">
        <f>IF(K430="Realizada completa",1,0)</f>
        <v/>
      </c>
      <c r="U430">
        <f>IF(K430="Sin respuesta",1,0)</f>
        <v/>
      </c>
    </row>
    <row r="431">
      <c r="Q431">
        <f>IF(G431="Sí",1,0)</f>
        <v/>
      </c>
      <c r="R431">
        <f>IF(K431="En coordinación",1,0)</f>
        <v/>
      </c>
      <c r="S431">
        <f>IF(K431="En coordinación",1,0)</f>
        <v/>
      </c>
      <c r="T431">
        <f>IF(K431="Realizada completa",1,0)</f>
        <v/>
      </c>
      <c r="U431">
        <f>IF(K431="Sin respuesta",1,0)</f>
        <v/>
      </c>
    </row>
    <row r="432">
      <c r="Q432">
        <f>IF(G432="Sí",1,0)</f>
        <v/>
      </c>
      <c r="R432">
        <f>IF(K432="En coordinación",1,0)</f>
        <v/>
      </c>
      <c r="S432">
        <f>IF(K432="En coordinación",1,0)</f>
        <v/>
      </c>
      <c r="T432">
        <f>IF(K432="Realizada completa",1,0)</f>
        <v/>
      </c>
      <c r="U432">
        <f>IF(K432="Sin respuesta",1,0)</f>
        <v/>
      </c>
    </row>
    <row r="433">
      <c r="Q433">
        <f>IF(G433="Sí",1,0)</f>
        <v/>
      </c>
      <c r="R433">
        <f>IF(K433="En coordinación",1,0)</f>
        <v/>
      </c>
      <c r="S433">
        <f>IF(K433="En coordinación",1,0)</f>
        <v/>
      </c>
      <c r="T433">
        <f>IF(K433="Realizada completa",1,0)</f>
        <v/>
      </c>
      <c r="U433">
        <f>IF(K433="Sin respuesta",1,0)</f>
        <v/>
      </c>
    </row>
    <row r="434">
      <c r="Q434">
        <f>IF(G434="Sí",1,0)</f>
        <v/>
      </c>
      <c r="R434">
        <f>IF(K434="En coordinación",1,0)</f>
        <v/>
      </c>
      <c r="S434">
        <f>IF(K434="En coordinación",1,0)</f>
        <v/>
      </c>
      <c r="T434">
        <f>IF(K434="Realizada completa",1,0)</f>
        <v/>
      </c>
      <c r="U434">
        <f>IF(K434="Sin respuesta",1,0)</f>
        <v/>
      </c>
    </row>
    <row r="435">
      <c r="Q435">
        <f>IF(G435="Sí",1,0)</f>
        <v/>
      </c>
      <c r="R435">
        <f>IF(K435="En coordinación",1,0)</f>
        <v/>
      </c>
      <c r="S435">
        <f>IF(K435="En coordinación",1,0)</f>
        <v/>
      </c>
      <c r="T435">
        <f>IF(K435="Realizada completa",1,0)</f>
        <v/>
      </c>
      <c r="U435">
        <f>IF(K435="Sin respuesta",1,0)</f>
        <v/>
      </c>
    </row>
    <row r="436">
      <c r="Q436">
        <f>IF(G436="Sí",1,0)</f>
        <v/>
      </c>
      <c r="R436">
        <f>IF(K436="En coordinación",1,0)</f>
        <v/>
      </c>
      <c r="S436">
        <f>IF(K436="En coordinación",1,0)</f>
        <v/>
      </c>
      <c r="T436">
        <f>IF(K436="Realizada completa",1,0)</f>
        <v/>
      </c>
      <c r="U436">
        <f>IF(K436="Sin respuesta",1,0)</f>
        <v/>
      </c>
    </row>
    <row r="437">
      <c r="Q437">
        <f>IF(G437="Sí",1,0)</f>
        <v/>
      </c>
      <c r="R437">
        <f>IF(K437="En coordinación",1,0)</f>
        <v/>
      </c>
      <c r="S437">
        <f>IF(K437="En coordinación",1,0)</f>
        <v/>
      </c>
      <c r="T437">
        <f>IF(K437="Realizada completa",1,0)</f>
        <v/>
      </c>
      <c r="U437">
        <f>IF(K437="Sin respuesta",1,0)</f>
        <v/>
      </c>
    </row>
    <row r="438">
      <c r="Q438">
        <f>IF(G438="Sí",1,0)</f>
        <v/>
      </c>
      <c r="R438">
        <f>IF(K438="En coordinación",1,0)</f>
        <v/>
      </c>
      <c r="S438">
        <f>IF(K438="En coordinación",1,0)</f>
        <v/>
      </c>
      <c r="T438">
        <f>IF(K438="Realizada completa",1,0)</f>
        <v/>
      </c>
      <c r="U438">
        <f>IF(K438="Sin respuesta",1,0)</f>
        <v/>
      </c>
    </row>
    <row r="439">
      <c r="Q439">
        <f>IF(G439="Sí",1,0)</f>
        <v/>
      </c>
      <c r="R439">
        <f>IF(K439="En coordinación",1,0)</f>
        <v/>
      </c>
      <c r="S439">
        <f>IF(K439="En coordinación",1,0)</f>
        <v/>
      </c>
      <c r="T439">
        <f>IF(K439="Realizada completa",1,0)</f>
        <v/>
      </c>
      <c r="U439">
        <f>IF(K439="Sin respuesta",1,0)</f>
        <v/>
      </c>
    </row>
    <row r="440">
      <c r="Q440">
        <f>IF(G440="Sí",1,0)</f>
        <v/>
      </c>
      <c r="R440">
        <f>IF(K440="En coordinación",1,0)</f>
        <v/>
      </c>
      <c r="S440">
        <f>IF(K440="En coordinación",1,0)</f>
        <v/>
      </c>
      <c r="T440">
        <f>IF(K440="Realizada completa",1,0)</f>
        <v/>
      </c>
      <c r="U440">
        <f>IF(K440="Sin respuesta",1,0)</f>
        <v/>
      </c>
    </row>
    <row r="441">
      <c r="Q441">
        <f>IF(G441="Sí",1,0)</f>
        <v/>
      </c>
      <c r="R441">
        <f>IF(K441="En coordinación",1,0)</f>
        <v/>
      </c>
      <c r="S441">
        <f>IF(K441="En coordinación",1,0)</f>
        <v/>
      </c>
      <c r="T441">
        <f>IF(K441="Realizada completa",1,0)</f>
        <v/>
      </c>
      <c r="U441">
        <f>IF(K441="Sin respuesta",1,0)</f>
        <v/>
      </c>
    </row>
    <row r="442">
      <c r="Q442">
        <f>IF(G442="Sí",1,0)</f>
        <v/>
      </c>
      <c r="R442">
        <f>IF(K442="En coordinación",1,0)</f>
        <v/>
      </c>
      <c r="S442">
        <f>IF(K442="En coordinación",1,0)</f>
        <v/>
      </c>
      <c r="T442">
        <f>IF(K442="Realizada completa",1,0)</f>
        <v/>
      </c>
      <c r="U442">
        <f>IF(K442="Sin respuesta",1,0)</f>
        <v/>
      </c>
    </row>
    <row r="443">
      <c r="Q443">
        <f>IF(G443="Sí",1,0)</f>
        <v/>
      </c>
      <c r="R443">
        <f>IF(K443="En coordinación",1,0)</f>
        <v/>
      </c>
      <c r="S443">
        <f>IF(K443="En coordinación",1,0)</f>
        <v/>
      </c>
      <c r="T443">
        <f>IF(K443="Realizada completa",1,0)</f>
        <v/>
      </c>
      <c r="U443">
        <f>IF(K443="Sin respuesta",1,0)</f>
        <v/>
      </c>
    </row>
    <row r="444">
      <c r="Q444">
        <f>IF(G444="Sí",1,0)</f>
        <v/>
      </c>
      <c r="R444">
        <f>IF(K444="En coordinación",1,0)</f>
        <v/>
      </c>
      <c r="S444">
        <f>IF(K444="En coordinación",1,0)</f>
        <v/>
      </c>
      <c r="T444">
        <f>IF(K444="Realizada completa",1,0)</f>
        <v/>
      </c>
      <c r="U444">
        <f>IF(K444="Sin respuesta",1,0)</f>
        <v/>
      </c>
    </row>
    <row r="445">
      <c r="Q445">
        <f>IF(G445="Sí",1,0)</f>
        <v/>
      </c>
      <c r="R445">
        <f>IF(K445="En coordinación",1,0)</f>
        <v/>
      </c>
      <c r="S445">
        <f>IF(K445="En coordinación",1,0)</f>
        <v/>
      </c>
      <c r="T445">
        <f>IF(K445="Realizada completa",1,0)</f>
        <v/>
      </c>
      <c r="U445">
        <f>IF(K445="Sin respuesta",1,0)</f>
        <v/>
      </c>
    </row>
    <row r="446">
      <c r="Q446">
        <f>IF(G446="Sí",1,0)</f>
        <v/>
      </c>
      <c r="R446">
        <f>IF(K446="En coordinación",1,0)</f>
        <v/>
      </c>
      <c r="S446">
        <f>IF(K446="En coordinación",1,0)</f>
        <v/>
      </c>
      <c r="T446">
        <f>IF(K446="Realizada completa",1,0)</f>
        <v/>
      </c>
      <c r="U446">
        <f>IF(K446="Sin respuesta",1,0)</f>
        <v/>
      </c>
    </row>
    <row r="447">
      <c r="Q447">
        <f>IF(G447="Sí",1,0)</f>
        <v/>
      </c>
      <c r="R447">
        <f>IF(K447="En coordinación",1,0)</f>
        <v/>
      </c>
      <c r="S447">
        <f>IF(K447="En coordinación",1,0)</f>
        <v/>
      </c>
      <c r="T447">
        <f>IF(K447="Realizada completa",1,0)</f>
        <v/>
      </c>
      <c r="U447">
        <f>IF(K447="Sin respuesta",1,0)</f>
        <v/>
      </c>
    </row>
    <row r="448">
      <c r="Q448">
        <f>IF(G448="Sí",1,0)</f>
        <v/>
      </c>
      <c r="R448">
        <f>IF(K448="En coordinación",1,0)</f>
        <v/>
      </c>
      <c r="S448">
        <f>IF(K448="En coordinación",1,0)</f>
        <v/>
      </c>
      <c r="T448">
        <f>IF(K448="Realizada completa",1,0)</f>
        <v/>
      </c>
      <c r="U448">
        <f>IF(K448="Sin respuesta",1,0)</f>
        <v/>
      </c>
    </row>
    <row r="449">
      <c r="Q449">
        <f>IF(G449="Sí",1,0)</f>
        <v/>
      </c>
      <c r="R449">
        <f>IF(K449="En coordinación",1,0)</f>
        <v/>
      </c>
      <c r="S449">
        <f>IF(K449="En coordinación",1,0)</f>
        <v/>
      </c>
      <c r="T449">
        <f>IF(K449="Realizada completa",1,0)</f>
        <v/>
      </c>
      <c r="U449">
        <f>IF(K449="Sin respuesta",1,0)</f>
        <v/>
      </c>
    </row>
    <row r="450">
      <c r="Q450">
        <f>IF(G450="Sí",1,0)</f>
        <v/>
      </c>
      <c r="R450">
        <f>IF(K450="En coordinación",1,0)</f>
        <v/>
      </c>
      <c r="S450">
        <f>IF(K450="En coordinación",1,0)</f>
        <v/>
      </c>
      <c r="T450">
        <f>IF(K450="Realizada completa",1,0)</f>
        <v/>
      </c>
      <c r="U450">
        <f>IF(K450="Sin respuesta",1,0)</f>
        <v/>
      </c>
    </row>
    <row r="451">
      <c r="Q451">
        <f>IF(G451="Sí",1,0)</f>
        <v/>
      </c>
      <c r="R451">
        <f>IF(K451="En coordinación",1,0)</f>
        <v/>
      </c>
      <c r="S451">
        <f>IF(K451="En coordinación",1,0)</f>
        <v/>
      </c>
      <c r="T451">
        <f>IF(K451="Realizada completa",1,0)</f>
        <v/>
      </c>
      <c r="U451">
        <f>IF(K451="Sin respuesta",1,0)</f>
        <v/>
      </c>
    </row>
    <row r="452">
      <c r="Q452">
        <f>IF(G452="Sí",1,0)</f>
        <v/>
      </c>
      <c r="R452">
        <f>IF(K452="En coordinación",1,0)</f>
        <v/>
      </c>
      <c r="S452">
        <f>IF(K452="En coordinación",1,0)</f>
        <v/>
      </c>
      <c r="T452">
        <f>IF(K452="Realizada completa",1,0)</f>
        <v/>
      </c>
      <c r="U452">
        <f>IF(K452="Sin respuesta",1,0)</f>
        <v/>
      </c>
    </row>
    <row r="453">
      <c r="Q453">
        <f>IF(G453="Sí",1,0)</f>
        <v/>
      </c>
      <c r="R453">
        <f>IF(K453="En coordinación",1,0)</f>
        <v/>
      </c>
      <c r="S453">
        <f>IF(K453="En coordinación",1,0)</f>
        <v/>
      </c>
      <c r="T453">
        <f>IF(K453="Realizada completa",1,0)</f>
        <v/>
      </c>
      <c r="U453">
        <f>IF(K453="Sin respuesta",1,0)</f>
        <v/>
      </c>
    </row>
    <row r="454">
      <c r="Q454">
        <f>IF(G454="Sí",1,0)</f>
        <v/>
      </c>
      <c r="R454">
        <f>IF(K454="En coordinación",1,0)</f>
        <v/>
      </c>
      <c r="S454">
        <f>IF(K454="En coordinación",1,0)</f>
        <v/>
      </c>
      <c r="T454">
        <f>IF(K454="Realizada completa",1,0)</f>
        <v/>
      </c>
      <c r="U454">
        <f>IF(K454="Sin respuesta",1,0)</f>
        <v/>
      </c>
    </row>
    <row r="455">
      <c r="Q455">
        <f>IF(G455="Sí",1,0)</f>
        <v/>
      </c>
      <c r="R455">
        <f>IF(K455="En coordinación",1,0)</f>
        <v/>
      </c>
      <c r="S455">
        <f>IF(K455="En coordinación",1,0)</f>
        <v/>
      </c>
      <c r="T455">
        <f>IF(K455="Realizada completa",1,0)</f>
        <v/>
      </c>
      <c r="U455">
        <f>IF(K455="Sin respuesta",1,0)</f>
        <v/>
      </c>
    </row>
    <row r="456">
      <c r="Q456">
        <f>IF(G456="Sí",1,0)</f>
        <v/>
      </c>
      <c r="R456">
        <f>IF(K456="En coordinación",1,0)</f>
        <v/>
      </c>
      <c r="S456">
        <f>IF(K456="En coordinación",1,0)</f>
        <v/>
      </c>
      <c r="T456">
        <f>IF(K456="Realizada completa",1,0)</f>
        <v/>
      </c>
      <c r="U456">
        <f>IF(K456="Sin respuesta",1,0)</f>
        <v/>
      </c>
    </row>
    <row r="457">
      <c r="Q457">
        <f>IF(G457="Sí",1,0)</f>
        <v/>
      </c>
      <c r="R457">
        <f>IF(K457="En coordinación",1,0)</f>
        <v/>
      </c>
      <c r="S457">
        <f>IF(K457="En coordinación",1,0)</f>
        <v/>
      </c>
      <c r="T457">
        <f>IF(K457="Realizada completa",1,0)</f>
        <v/>
      </c>
      <c r="U457">
        <f>IF(K457="Sin respuesta",1,0)</f>
        <v/>
      </c>
    </row>
    <row r="458">
      <c r="Q458">
        <f>IF(G458="Sí",1,0)</f>
        <v/>
      </c>
      <c r="R458">
        <f>IF(K458="En coordinación",1,0)</f>
        <v/>
      </c>
      <c r="S458">
        <f>IF(K458="En coordinación",1,0)</f>
        <v/>
      </c>
      <c r="T458">
        <f>IF(K458="Realizada completa",1,0)</f>
        <v/>
      </c>
      <c r="U458">
        <f>IF(K458="Sin respuesta",1,0)</f>
        <v/>
      </c>
    </row>
    <row r="459">
      <c r="Q459">
        <f>IF(G459="Sí",1,0)</f>
        <v/>
      </c>
      <c r="R459">
        <f>IF(K459="En coordinación",1,0)</f>
        <v/>
      </c>
      <c r="S459">
        <f>IF(K459="En coordinación",1,0)</f>
        <v/>
      </c>
      <c r="T459">
        <f>IF(K459="Realizada completa",1,0)</f>
        <v/>
      </c>
      <c r="U459">
        <f>IF(K459="Sin respuesta",1,0)</f>
        <v/>
      </c>
    </row>
    <row r="460">
      <c r="Q460">
        <f>IF(G460="Sí",1,0)</f>
        <v/>
      </c>
      <c r="R460">
        <f>IF(K460="En coordinación",1,0)</f>
        <v/>
      </c>
      <c r="S460">
        <f>IF(K460="En coordinación",1,0)</f>
        <v/>
      </c>
      <c r="T460">
        <f>IF(K460="Realizada completa",1,0)</f>
        <v/>
      </c>
      <c r="U460">
        <f>IF(K460="Sin respuesta",1,0)</f>
        <v/>
      </c>
    </row>
    <row r="461">
      <c r="Q461">
        <f>IF(G461="Sí",1,0)</f>
        <v/>
      </c>
      <c r="R461">
        <f>IF(K461="En coordinación",1,0)</f>
        <v/>
      </c>
      <c r="S461">
        <f>IF(K461="En coordinación",1,0)</f>
        <v/>
      </c>
      <c r="T461">
        <f>IF(K461="Realizada completa",1,0)</f>
        <v/>
      </c>
      <c r="U461">
        <f>IF(K461="Sin respuesta",1,0)</f>
        <v/>
      </c>
    </row>
    <row r="462">
      <c r="Q462">
        <f>IF(G462="Sí",1,0)</f>
        <v/>
      </c>
      <c r="R462">
        <f>IF(K462="En coordinación",1,0)</f>
        <v/>
      </c>
      <c r="S462">
        <f>IF(K462="En coordinación",1,0)</f>
        <v/>
      </c>
      <c r="T462">
        <f>IF(K462="Realizada completa",1,0)</f>
        <v/>
      </c>
      <c r="U462">
        <f>IF(K462="Sin respuesta",1,0)</f>
        <v/>
      </c>
    </row>
    <row r="463">
      <c r="Q463">
        <f>IF(G463="Sí",1,0)</f>
        <v/>
      </c>
      <c r="R463">
        <f>IF(K463="En coordinación",1,0)</f>
        <v/>
      </c>
      <c r="S463">
        <f>IF(K463="En coordinación",1,0)</f>
        <v/>
      </c>
      <c r="T463">
        <f>IF(K463="Realizada completa",1,0)</f>
        <v/>
      </c>
      <c r="U463">
        <f>IF(K463="Sin respuesta",1,0)</f>
        <v/>
      </c>
    </row>
    <row r="464">
      <c r="Q464">
        <f>IF(G464="Sí",1,0)</f>
        <v/>
      </c>
      <c r="R464">
        <f>IF(K464="En coordinación",1,0)</f>
        <v/>
      </c>
      <c r="S464">
        <f>IF(K464="En coordinación",1,0)</f>
        <v/>
      </c>
      <c r="T464">
        <f>IF(K464="Realizada completa",1,0)</f>
        <v/>
      </c>
      <c r="U464">
        <f>IF(K464="Sin respuesta",1,0)</f>
        <v/>
      </c>
    </row>
    <row r="465">
      <c r="Q465">
        <f>IF(G465="Sí",1,0)</f>
        <v/>
      </c>
      <c r="R465">
        <f>IF(K465="En coordinación",1,0)</f>
        <v/>
      </c>
      <c r="S465">
        <f>IF(K465="En coordinación",1,0)</f>
        <v/>
      </c>
      <c r="T465">
        <f>IF(K465="Realizada completa",1,0)</f>
        <v/>
      </c>
      <c r="U465">
        <f>IF(K465="Sin respuesta",1,0)</f>
        <v/>
      </c>
    </row>
    <row r="466">
      <c r="Q466">
        <f>IF(G466="Sí",1,0)</f>
        <v/>
      </c>
      <c r="R466">
        <f>IF(K466="En coordinación",1,0)</f>
        <v/>
      </c>
      <c r="S466">
        <f>IF(K466="En coordinación",1,0)</f>
        <v/>
      </c>
      <c r="T466">
        <f>IF(K466="Realizada completa",1,0)</f>
        <v/>
      </c>
      <c r="U466">
        <f>IF(K466="Sin respuesta",1,0)</f>
        <v/>
      </c>
    </row>
    <row r="467">
      <c r="Q467">
        <f>IF(G467="Sí",1,0)</f>
        <v/>
      </c>
      <c r="R467">
        <f>IF(K467="En coordinación",1,0)</f>
        <v/>
      </c>
      <c r="S467">
        <f>IF(K467="En coordinación",1,0)</f>
        <v/>
      </c>
      <c r="T467">
        <f>IF(K467="Realizada completa",1,0)</f>
        <v/>
      </c>
      <c r="U467">
        <f>IF(K467="Sin respuesta",1,0)</f>
        <v/>
      </c>
    </row>
    <row r="468">
      <c r="Q468">
        <f>IF(G468="Sí",1,0)</f>
        <v/>
      </c>
      <c r="R468">
        <f>IF(K468="En coordinación",1,0)</f>
        <v/>
      </c>
      <c r="S468">
        <f>IF(K468="En coordinación",1,0)</f>
        <v/>
      </c>
      <c r="T468">
        <f>IF(K468="Realizada completa",1,0)</f>
        <v/>
      </c>
      <c r="U468">
        <f>IF(K468="Sin respuesta",1,0)</f>
        <v/>
      </c>
    </row>
    <row r="469">
      <c r="Q469">
        <f>IF(G469="Sí",1,0)</f>
        <v/>
      </c>
      <c r="R469">
        <f>IF(K469="En coordinación",1,0)</f>
        <v/>
      </c>
      <c r="S469">
        <f>IF(K469="En coordinación",1,0)</f>
        <v/>
      </c>
      <c r="T469">
        <f>IF(K469="Realizada completa",1,0)</f>
        <v/>
      </c>
      <c r="U469">
        <f>IF(K469="Sin respuesta",1,0)</f>
        <v/>
      </c>
    </row>
    <row r="470">
      <c r="Q470">
        <f>IF(G470="Sí",1,0)</f>
        <v/>
      </c>
      <c r="R470">
        <f>IF(K470="En coordinación",1,0)</f>
        <v/>
      </c>
      <c r="S470">
        <f>IF(K470="En coordinación",1,0)</f>
        <v/>
      </c>
      <c r="T470">
        <f>IF(K470="Realizada completa",1,0)</f>
        <v/>
      </c>
      <c r="U470">
        <f>IF(K470="Sin respuesta",1,0)</f>
        <v/>
      </c>
    </row>
    <row r="471">
      <c r="Q471">
        <f>IF(G471="Sí",1,0)</f>
        <v/>
      </c>
      <c r="R471">
        <f>IF(K471="En coordinación",1,0)</f>
        <v/>
      </c>
      <c r="S471">
        <f>IF(K471="En coordinación",1,0)</f>
        <v/>
      </c>
      <c r="T471">
        <f>IF(K471="Realizada completa",1,0)</f>
        <v/>
      </c>
      <c r="U471">
        <f>IF(K471="Sin respuesta",1,0)</f>
        <v/>
      </c>
    </row>
    <row r="472">
      <c r="Q472">
        <f>IF(G472="Sí",1,0)</f>
        <v/>
      </c>
      <c r="R472">
        <f>IF(K472="En coordinación",1,0)</f>
        <v/>
      </c>
      <c r="S472">
        <f>IF(K472="En coordinación",1,0)</f>
        <v/>
      </c>
      <c r="T472">
        <f>IF(K472="Realizada completa",1,0)</f>
        <v/>
      </c>
      <c r="U472">
        <f>IF(K472="Sin respuesta",1,0)</f>
        <v/>
      </c>
    </row>
    <row r="473">
      <c r="Q473">
        <f>IF(G473="Sí",1,0)</f>
        <v/>
      </c>
      <c r="R473">
        <f>IF(K473="En coordinación",1,0)</f>
        <v/>
      </c>
      <c r="S473">
        <f>IF(K473="En coordinación",1,0)</f>
        <v/>
      </c>
      <c r="T473">
        <f>IF(K473="Realizada completa",1,0)</f>
        <v/>
      </c>
      <c r="U473">
        <f>IF(K473="Sin respuesta",1,0)</f>
        <v/>
      </c>
    </row>
    <row r="474">
      <c r="Q474">
        <f>IF(G474="Sí",1,0)</f>
        <v/>
      </c>
      <c r="R474">
        <f>IF(K474="En coordinación",1,0)</f>
        <v/>
      </c>
      <c r="S474">
        <f>IF(K474="En coordinación",1,0)</f>
        <v/>
      </c>
      <c r="T474">
        <f>IF(K474="Realizada completa",1,0)</f>
        <v/>
      </c>
      <c r="U474">
        <f>IF(K474="Sin respuesta",1,0)</f>
        <v/>
      </c>
    </row>
    <row r="475">
      <c r="Q475">
        <f>IF(G475="Sí",1,0)</f>
        <v/>
      </c>
      <c r="R475">
        <f>IF(K475="En coordinación",1,0)</f>
        <v/>
      </c>
      <c r="S475">
        <f>IF(K475="En coordinación",1,0)</f>
        <v/>
      </c>
      <c r="T475">
        <f>IF(K475="Realizada completa",1,0)</f>
        <v/>
      </c>
      <c r="U475">
        <f>IF(K475="Sin respuesta",1,0)</f>
        <v/>
      </c>
    </row>
    <row r="476">
      <c r="Q476">
        <f>IF(G476="Sí",1,0)</f>
        <v/>
      </c>
      <c r="R476">
        <f>IF(K476="En coordinación",1,0)</f>
        <v/>
      </c>
      <c r="S476">
        <f>IF(K476="En coordinación",1,0)</f>
        <v/>
      </c>
      <c r="T476">
        <f>IF(K476="Realizada completa",1,0)</f>
        <v/>
      </c>
      <c r="U476">
        <f>IF(K476="Sin respuesta",1,0)</f>
        <v/>
      </c>
    </row>
    <row r="477">
      <c r="Q477">
        <f>IF(G477="Sí",1,0)</f>
        <v/>
      </c>
      <c r="R477">
        <f>IF(K477="En coordinación",1,0)</f>
        <v/>
      </c>
      <c r="S477">
        <f>IF(K477="En coordinación",1,0)</f>
        <v/>
      </c>
      <c r="T477">
        <f>IF(K477="Realizada completa",1,0)</f>
        <v/>
      </c>
      <c r="U477">
        <f>IF(K477="Sin respuesta",1,0)</f>
        <v/>
      </c>
    </row>
    <row r="478">
      <c r="Q478">
        <f>IF(G478="Sí",1,0)</f>
        <v/>
      </c>
      <c r="R478">
        <f>IF(K478="En coordinación",1,0)</f>
        <v/>
      </c>
      <c r="S478">
        <f>IF(K478="En coordinación",1,0)</f>
        <v/>
      </c>
      <c r="T478">
        <f>IF(K478="Realizada completa",1,0)</f>
        <v/>
      </c>
      <c r="U478">
        <f>IF(K478="Sin respuesta",1,0)</f>
        <v/>
      </c>
    </row>
    <row r="479">
      <c r="Q479">
        <f>IF(G479="Sí",1,0)</f>
        <v/>
      </c>
      <c r="R479">
        <f>IF(K479="En coordinación",1,0)</f>
        <v/>
      </c>
      <c r="S479">
        <f>IF(K479="En coordinación",1,0)</f>
        <v/>
      </c>
      <c r="T479">
        <f>IF(K479="Realizada completa",1,0)</f>
        <v/>
      </c>
      <c r="U479">
        <f>IF(K479="Sin respuesta",1,0)</f>
        <v/>
      </c>
    </row>
    <row r="480">
      <c r="Q480">
        <f>IF(G480="Sí",1,0)</f>
        <v/>
      </c>
      <c r="R480">
        <f>IF(K480="En coordinación",1,0)</f>
        <v/>
      </c>
      <c r="S480">
        <f>IF(K480="En coordinación",1,0)</f>
        <v/>
      </c>
      <c r="T480">
        <f>IF(K480="Realizada completa",1,0)</f>
        <v/>
      </c>
      <c r="U480">
        <f>IF(K480="Sin respuesta",1,0)</f>
        <v/>
      </c>
    </row>
    <row r="481">
      <c r="Q481">
        <f>IF(G481="Sí",1,0)</f>
        <v/>
      </c>
      <c r="R481">
        <f>IF(K481="En coordinación",1,0)</f>
        <v/>
      </c>
      <c r="S481">
        <f>IF(K481="En coordinación",1,0)</f>
        <v/>
      </c>
      <c r="T481">
        <f>IF(K481="Realizada completa",1,0)</f>
        <v/>
      </c>
      <c r="U481">
        <f>IF(K481="Sin respuesta",1,0)</f>
        <v/>
      </c>
    </row>
    <row r="482">
      <c r="Q482">
        <f>IF(G482="Sí",1,0)</f>
        <v/>
      </c>
      <c r="R482">
        <f>IF(K482="En coordinación",1,0)</f>
        <v/>
      </c>
      <c r="S482">
        <f>IF(K482="En coordinación",1,0)</f>
        <v/>
      </c>
      <c r="T482">
        <f>IF(K482="Realizada completa",1,0)</f>
        <v/>
      </c>
      <c r="U482">
        <f>IF(K482="Sin respuesta",1,0)</f>
        <v/>
      </c>
    </row>
    <row r="483">
      <c r="Q483">
        <f>IF(G483="Sí",1,0)</f>
        <v/>
      </c>
      <c r="R483">
        <f>IF(K483="En coordinación",1,0)</f>
        <v/>
      </c>
      <c r="S483">
        <f>IF(K483="En coordinación",1,0)</f>
        <v/>
      </c>
      <c r="T483">
        <f>IF(K483="Realizada completa",1,0)</f>
        <v/>
      </c>
      <c r="U483">
        <f>IF(K483="Sin respuesta",1,0)</f>
        <v/>
      </c>
    </row>
    <row r="484">
      <c r="Q484">
        <f>IF(G484="Sí",1,0)</f>
        <v/>
      </c>
      <c r="R484">
        <f>IF(K484="En coordinación",1,0)</f>
        <v/>
      </c>
      <c r="S484">
        <f>IF(K484="En coordinación",1,0)</f>
        <v/>
      </c>
      <c r="T484">
        <f>IF(K484="Realizada completa",1,0)</f>
        <v/>
      </c>
      <c r="U484">
        <f>IF(K484="Sin respuesta",1,0)</f>
        <v/>
      </c>
    </row>
    <row r="485">
      <c r="Q485">
        <f>IF(G485="Sí",1,0)</f>
        <v/>
      </c>
      <c r="R485">
        <f>IF(K485="En coordinación",1,0)</f>
        <v/>
      </c>
      <c r="S485">
        <f>IF(K485="En coordinación",1,0)</f>
        <v/>
      </c>
      <c r="T485">
        <f>IF(K485="Realizada completa",1,0)</f>
        <v/>
      </c>
      <c r="U485">
        <f>IF(K485="Sin respuesta",1,0)</f>
        <v/>
      </c>
    </row>
    <row r="486">
      <c r="Q486">
        <f>IF(G486="Sí",1,0)</f>
        <v/>
      </c>
      <c r="R486">
        <f>IF(K486="En coordinación",1,0)</f>
        <v/>
      </c>
      <c r="S486">
        <f>IF(K486="En coordinación",1,0)</f>
        <v/>
      </c>
      <c r="T486">
        <f>IF(K486="Realizada completa",1,0)</f>
        <v/>
      </c>
      <c r="U486">
        <f>IF(K486="Sin respuesta",1,0)</f>
        <v/>
      </c>
    </row>
    <row r="487">
      <c r="Q487">
        <f>IF(G487="Sí",1,0)</f>
        <v/>
      </c>
      <c r="R487">
        <f>IF(K487="En coordinación",1,0)</f>
        <v/>
      </c>
      <c r="S487">
        <f>IF(K487="En coordinación",1,0)</f>
        <v/>
      </c>
      <c r="T487">
        <f>IF(K487="Realizada completa",1,0)</f>
        <v/>
      </c>
      <c r="U487">
        <f>IF(K487="Sin respuesta",1,0)</f>
        <v/>
      </c>
    </row>
    <row r="488">
      <c r="Q488">
        <f>IF(G488="Sí",1,0)</f>
        <v/>
      </c>
      <c r="R488">
        <f>IF(K488="En coordinación",1,0)</f>
        <v/>
      </c>
      <c r="S488">
        <f>IF(K488="En coordinación",1,0)</f>
        <v/>
      </c>
      <c r="T488">
        <f>IF(K488="Realizada completa",1,0)</f>
        <v/>
      </c>
      <c r="U488">
        <f>IF(K488="Sin respuesta",1,0)</f>
        <v/>
      </c>
    </row>
    <row r="489">
      <c r="Q489">
        <f>IF(G489="Sí",1,0)</f>
        <v/>
      </c>
      <c r="R489">
        <f>IF(K489="En coordinación",1,0)</f>
        <v/>
      </c>
      <c r="S489">
        <f>IF(K489="En coordinación",1,0)</f>
        <v/>
      </c>
      <c r="T489">
        <f>IF(K489="Realizada completa",1,0)</f>
        <v/>
      </c>
      <c r="U489">
        <f>IF(K489="Sin respuesta",1,0)</f>
        <v/>
      </c>
    </row>
    <row r="490">
      <c r="Q490">
        <f>IF(G490="Sí",1,0)</f>
        <v/>
      </c>
      <c r="R490">
        <f>IF(K490="En coordinación",1,0)</f>
        <v/>
      </c>
      <c r="S490">
        <f>IF(K490="En coordinación",1,0)</f>
        <v/>
      </c>
      <c r="T490">
        <f>IF(K490="Realizada completa",1,0)</f>
        <v/>
      </c>
      <c r="U490">
        <f>IF(K490="Sin respuesta",1,0)</f>
        <v/>
      </c>
    </row>
    <row r="491">
      <c r="Q491">
        <f>IF(G491="Sí",1,0)</f>
        <v/>
      </c>
      <c r="R491">
        <f>IF(K491="En coordinación",1,0)</f>
        <v/>
      </c>
      <c r="S491">
        <f>IF(K491="En coordinación",1,0)</f>
        <v/>
      </c>
      <c r="T491">
        <f>IF(K491="Realizada completa",1,0)</f>
        <v/>
      </c>
      <c r="U491">
        <f>IF(K491="Sin respuesta",1,0)</f>
        <v/>
      </c>
    </row>
    <row r="492">
      <c r="Q492">
        <f>IF(G492="Sí",1,0)</f>
        <v/>
      </c>
      <c r="R492">
        <f>IF(K492="En coordinación",1,0)</f>
        <v/>
      </c>
      <c r="S492">
        <f>IF(K492="En coordinación",1,0)</f>
        <v/>
      </c>
      <c r="T492">
        <f>IF(K492="Realizada completa",1,0)</f>
        <v/>
      </c>
      <c r="U492">
        <f>IF(K492="Sin respuesta",1,0)</f>
        <v/>
      </c>
    </row>
    <row r="493">
      <c r="Q493">
        <f>IF(G493="Sí",1,0)</f>
        <v/>
      </c>
      <c r="R493">
        <f>IF(K493="En coordinación",1,0)</f>
        <v/>
      </c>
      <c r="S493">
        <f>IF(K493="En coordinación",1,0)</f>
        <v/>
      </c>
      <c r="T493">
        <f>IF(K493="Realizada completa",1,0)</f>
        <v/>
      </c>
      <c r="U493">
        <f>IF(K493="Sin respuesta",1,0)</f>
        <v/>
      </c>
    </row>
    <row r="494">
      <c r="Q494">
        <f>IF(G494="Sí",1,0)</f>
        <v/>
      </c>
      <c r="R494">
        <f>IF(K494="En coordinación",1,0)</f>
        <v/>
      </c>
      <c r="S494">
        <f>IF(K494="En coordinación",1,0)</f>
        <v/>
      </c>
      <c r="T494">
        <f>IF(K494="Realizada completa",1,0)</f>
        <v/>
      </c>
      <c r="U494">
        <f>IF(K494="Sin respuesta",1,0)</f>
        <v/>
      </c>
    </row>
    <row r="495">
      <c r="Q495">
        <f>IF(G495="Sí",1,0)</f>
        <v/>
      </c>
      <c r="R495">
        <f>IF(K495="En coordinación",1,0)</f>
        <v/>
      </c>
      <c r="S495">
        <f>IF(K495="En coordinación",1,0)</f>
        <v/>
      </c>
      <c r="T495">
        <f>IF(K495="Realizada completa",1,0)</f>
        <v/>
      </c>
      <c r="U495">
        <f>IF(K495="Sin respuesta",1,0)</f>
        <v/>
      </c>
    </row>
    <row r="496">
      <c r="Q496">
        <f>IF(G496="Sí",1,0)</f>
        <v/>
      </c>
      <c r="R496">
        <f>IF(K496="En coordinación",1,0)</f>
        <v/>
      </c>
      <c r="S496">
        <f>IF(K496="En coordinación",1,0)</f>
        <v/>
      </c>
      <c r="T496">
        <f>IF(K496="Realizada completa",1,0)</f>
        <v/>
      </c>
      <c r="U496">
        <f>IF(K496="Sin respuesta",1,0)</f>
        <v/>
      </c>
    </row>
    <row r="497">
      <c r="Q497">
        <f>IF(G497="Sí",1,0)</f>
        <v/>
      </c>
      <c r="R497">
        <f>IF(K497="En coordinación",1,0)</f>
        <v/>
      </c>
      <c r="S497">
        <f>IF(K497="En coordinación",1,0)</f>
        <v/>
      </c>
      <c r="T497">
        <f>IF(K497="Realizada completa",1,0)</f>
        <v/>
      </c>
      <c r="U497">
        <f>IF(K497="Sin respuesta",1,0)</f>
        <v/>
      </c>
    </row>
    <row r="498">
      <c r="Q498">
        <f>IF(G498="Sí",1,0)</f>
        <v/>
      </c>
      <c r="R498">
        <f>IF(K498="En coordinación",1,0)</f>
        <v/>
      </c>
      <c r="S498">
        <f>IF(K498="En coordinación",1,0)</f>
        <v/>
      </c>
      <c r="T498">
        <f>IF(K498="Realizada completa",1,0)</f>
        <v/>
      </c>
      <c r="U498">
        <f>IF(K498="Sin respuesta",1,0)</f>
        <v/>
      </c>
    </row>
    <row r="499">
      <c r="Q499">
        <f>IF(G499="Sí",1,0)</f>
        <v/>
      </c>
      <c r="R499">
        <f>IF(K499="En coordinación",1,0)</f>
        <v/>
      </c>
      <c r="S499">
        <f>IF(K499="En coordinación",1,0)</f>
        <v/>
      </c>
      <c r="T499">
        <f>IF(K499="Realizada completa",1,0)</f>
        <v/>
      </c>
      <c r="U499">
        <f>IF(K499="Sin respuesta",1,0)</f>
        <v/>
      </c>
    </row>
    <row r="500">
      <c r="Q500">
        <f>IF(G500="Sí",1,0)</f>
        <v/>
      </c>
      <c r="R500">
        <f>IF(K500="En coordinación",1,0)</f>
        <v/>
      </c>
      <c r="S500">
        <f>IF(K500="En coordinación",1,0)</f>
        <v/>
      </c>
      <c r="T500">
        <f>IF(K500="Realizada completa",1,0)</f>
        <v/>
      </c>
      <c r="U500">
        <f>IF(K500="Sin respuesta",1,0)</f>
        <v/>
      </c>
    </row>
    <row r="501">
      <c r="Q501">
        <f>IF(G501="Sí",1,0)</f>
        <v/>
      </c>
      <c r="R501">
        <f>IF(K501="En coordinación",1,0)</f>
        <v/>
      </c>
      <c r="S501">
        <f>IF(K501="En coordinación",1,0)</f>
        <v/>
      </c>
      <c r="T501">
        <f>IF(K501="Realizada completa",1,0)</f>
        <v/>
      </c>
      <c r="U501">
        <f>IF(K501="Sin respuesta",1,0)</f>
        <v/>
      </c>
    </row>
    <row r="502">
      <c r="Q502">
        <f>IF(G502="Sí",1,0)</f>
        <v/>
      </c>
      <c r="R502">
        <f>IF(K502="En coordinación",1,0)</f>
        <v/>
      </c>
      <c r="S502">
        <f>IF(K502="En coordinación",1,0)</f>
        <v/>
      </c>
      <c r="T502">
        <f>IF(K502="Realizada completa",1,0)</f>
        <v/>
      </c>
      <c r="U502">
        <f>IF(K502="Sin respuesta",1,0)</f>
        <v/>
      </c>
    </row>
    <row r="503">
      <c r="Q503">
        <f>IF(G503="Sí",1,0)</f>
        <v/>
      </c>
      <c r="R503">
        <f>IF(K503="En coordinación",1,0)</f>
        <v/>
      </c>
      <c r="S503">
        <f>IF(K503="En coordinación",1,0)</f>
        <v/>
      </c>
      <c r="T503">
        <f>IF(K503="Realizada completa",1,0)</f>
        <v/>
      </c>
      <c r="U503">
        <f>IF(K503="Sin respuesta",1,0)</f>
        <v/>
      </c>
    </row>
    <row r="504">
      <c r="Q504">
        <f>IF(G504="Sí",1,0)</f>
        <v/>
      </c>
      <c r="R504">
        <f>IF(K504="En coordinación",1,0)</f>
        <v/>
      </c>
      <c r="S504">
        <f>IF(K504="En coordinación",1,0)</f>
        <v/>
      </c>
      <c r="T504">
        <f>IF(K504="Realizada completa",1,0)</f>
        <v/>
      </c>
      <c r="U504">
        <f>IF(K504="Sin respuesta",1,0)</f>
        <v/>
      </c>
    </row>
    <row r="505">
      <c r="Q505">
        <f>IF(G505="Sí",1,0)</f>
        <v/>
      </c>
      <c r="R505">
        <f>IF(K505="En coordinación",1,0)</f>
        <v/>
      </c>
      <c r="S505">
        <f>IF(K505="En coordinación",1,0)</f>
        <v/>
      </c>
      <c r="T505">
        <f>IF(K505="Realizada completa",1,0)</f>
        <v/>
      </c>
      <c r="U505">
        <f>IF(K505="Sin respuesta",1,0)</f>
        <v/>
      </c>
    </row>
    <row r="506">
      <c r="Q506">
        <f>IF(G506="Sí",1,0)</f>
        <v/>
      </c>
      <c r="R506">
        <f>IF(K506="En coordinación",1,0)</f>
        <v/>
      </c>
      <c r="S506">
        <f>IF(K506="En coordinación",1,0)</f>
        <v/>
      </c>
      <c r="T506">
        <f>IF(K506="Realizada completa",1,0)</f>
        <v/>
      </c>
      <c r="U506">
        <f>IF(K506="Sin respuesta",1,0)</f>
        <v/>
      </c>
    </row>
    <row r="507">
      <c r="Q507">
        <f>IF(G507="Sí",1,0)</f>
        <v/>
      </c>
      <c r="R507">
        <f>IF(K507="En coordinación",1,0)</f>
        <v/>
      </c>
      <c r="S507">
        <f>IF(K507="En coordinación",1,0)</f>
        <v/>
      </c>
      <c r="T507">
        <f>IF(K507="Realizada completa",1,0)</f>
        <v/>
      </c>
      <c r="U507">
        <f>IF(K507="Sin respuesta",1,0)</f>
        <v/>
      </c>
    </row>
    <row r="508">
      <c r="Q508">
        <f>IF(G508="Sí",1,0)</f>
        <v/>
      </c>
      <c r="R508">
        <f>IF(K508="En coordinación",1,0)</f>
        <v/>
      </c>
      <c r="S508">
        <f>IF(K508="En coordinación",1,0)</f>
        <v/>
      </c>
      <c r="T508">
        <f>IF(K508="Realizada completa",1,0)</f>
        <v/>
      </c>
      <c r="U508">
        <f>IF(K508="Sin respuesta",1,0)</f>
        <v/>
      </c>
    </row>
    <row r="509">
      <c r="Q509">
        <f>IF(G509="Sí",1,0)</f>
        <v/>
      </c>
      <c r="R509">
        <f>IF(K509="En coordinación",1,0)</f>
        <v/>
      </c>
      <c r="S509">
        <f>IF(K509="En coordinación",1,0)</f>
        <v/>
      </c>
      <c r="T509">
        <f>IF(K509="Realizada completa",1,0)</f>
        <v/>
      </c>
      <c r="U509">
        <f>IF(K509="Sin respuesta",1,0)</f>
        <v/>
      </c>
    </row>
    <row r="510">
      <c r="Q510">
        <f>IF(G510="Sí",1,0)</f>
        <v/>
      </c>
      <c r="R510">
        <f>IF(K510="En coordinación",1,0)</f>
        <v/>
      </c>
      <c r="S510">
        <f>IF(K510="En coordinación",1,0)</f>
        <v/>
      </c>
      <c r="T510">
        <f>IF(K510="Realizada completa",1,0)</f>
        <v/>
      </c>
      <c r="U510">
        <f>IF(K510="Sin respuesta",1,0)</f>
        <v/>
      </c>
    </row>
    <row r="511">
      <c r="Q511">
        <f>IF(G511="Sí",1,0)</f>
        <v/>
      </c>
      <c r="R511">
        <f>IF(K511="En coordinación",1,0)</f>
        <v/>
      </c>
      <c r="S511">
        <f>IF(K511="En coordinación",1,0)</f>
        <v/>
      </c>
      <c r="T511">
        <f>IF(K511="Realizada completa",1,0)</f>
        <v/>
      </c>
      <c r="U511">
        <f>IF(K511="Sin respuesta",1,0)</f>
        <v/>
      </c>
    </row>
    <row r="512">
      <c r="Q512">
        <f>IF(G512="Sí",1,0)</f>
        <v/>
      </c>
      <c r="R512">
        <f>IF(K512="En coordinación",1,0)</f>
        <v/>
      </c>
      <c r="S512">
        <f>IF(K512="En coordinación",1,0)</f>
        <v/>
      </c>
      <c r="T512">
        <f>IF(K512="Realizada completa",1,0)</f>
        <v/>
      </c>
      <c r="U512">
        <f>IF(K512="Sin respuesta",1,0)</f>
        <v/>
      </c>
    </row>
    <row r="513">
      <c r="Q513">
        <f>IF(G513="Sí",1,0)</f>
        <v/>
      </c>
      <c r="R513">
        <f>IF(K513="En coordinación",1,0)</f>
        <v/>
      </c>
      <c r="S513">
        <f>IF(K513="En coordinación",1,0)</f>
        <v/>
      </c>
      <c r="T513">
        <f>IF(K513="Realizada completa",1,0)</f>
        <v/>
      </c>
      <c r="U513">
        <f>IF(K513="Sin respuesta",1,0)</f>
        <v/>
      </c>
    </row>
    <row r="514">
      <c r="Q514">
        <f>IF(G514="Sí",1,0)</f>
        <v/>
      </c>
      <c r="R514">
        <f>IF(K514="En coordinación",1,0)</f>
        <v/>
      </c>
      <c r="S514">
        <f>IF(K514="En coordinación",1,0)</f>
        <v/>
      </c>
      <c r="T514">
        <f>IF(K514="Realizada completa",1,0)</f>
        <v/>
      </c>
      <c r="U514">
        <f>IF(K514="Sin respuesta",1,0)</f>
        <v/>
      </c>
    </row>
    <row r="515">
      <c r="Q515">
        <f>IF(G515="Sí",1,0)</f>
        <v/>
      </c>
      <c r="R515">
        <f>IF(K515="En coordinación",1,0)</f>
        <v/>
      </c>
      <c r="S515">
        <f>IF(K515="En coordinación",1,0)</f>
        <v/>
      </c>
      <c r="T515">
        <f>IF(K515="Realizada completa",1,0)</f>
        <v/>
      </c>
      <c r="U515">
        <f>IF(K515="Sin respuesta",1,0)</f>
        <v/>
      </c>
    </row>
    <row r="516">
      <c r="Q516">
        <f>IF(G516="Sí",1,0)</f>
        <v/>
      </c>
      <c r="R516">
        <f>IF(K516="En coordinación",1,0)</f>
        <v/>
      </c>
      <c r="S516">
        <f>IF(K516="En coordinación",1,0)</f>
        <v/>
      </c>
      <c r="T516">
        <f>IF(K516="Realizada completa",1,0)</f>
        <v/>
      </c>
      <c r="U516">
        <f>IF(K516="Sin respuesta",1,0)</f>
        <v/>
      </c>
    </row>
    <row r="517">
      <c r="Q517">
        <f>IF(G517="Sí",1,0)</f>
        <v/>
      </c>
      <c r="R517">
        <f>IF(K517="En coordinación",1,0)</f>
        <v/>
      </c>
      <c r="S517">
        <f>IF(K517="En coordinación",1,0)</f>
        <v/>
      </c>
      <c r="T517">
        <f>IF(K517="Realizada completa",1,0)</f>
        <v/>
      </c>
      <c r="U517">
        <f>IF(K517="Sin respuesta",1,0)</f>
        <v/>
      </c>
    </row>
    <row r="518">
      <c r="Q518">
        <f>IF(G518="Sí",1,0)</f>
        <v/>
      </c>
      <c r="R518">
        <f>IF(K518="En coordinación",1,0)</f>
        <v/>
      </c>
      <c r="S518">
        <f>IF(K518="En coordinación",1,0)</f>
        <v/>
      </c>
      <c r="T518">
        <f>IF(K518="Realizada completa",1,0)</f>
        <v/>
      </c>
      <c r="U518">
        <f>IF(K518="Sin respuesta",1,0)</f>
        <v/>
      </c>
    </row>
    <row r="519">
      <c r="Q519">
        <f>IF(G519="Sí",1,0)</f>
        <v/>
      </c>
      <c r="R519">
        <f>IF(K519="En coordinación",1,0)</f>
        <v/>
      </c>
      <c r="S519">
        <f>IF(K519="En coordinación",1,0)</f>
        <v/>
      </c>
      <c r="T519">
        <f>IF(K519="Realizada completa",1,0)</f>
        <v/>
      </c>
      <c r="U519">
        <f>IF(K519="Sin respuesta",1,0)</f>
        <v/>
      </c>
    </row>
    <row r="520">
      <c r="Q520">
        <f>IF(G520="Sí",1,0)</f>
        <v/>
      </c>
      <c r="R520">
        <f>IF(K520="En coordinación",1,0)</f>
        <v/>
      </c>
      <c r="S520">
        <f>IF(K520="En coordinación",1,0)</f>
        <v/>
      </c>
      <c r="T520">
        <f>IF(K520="Realizada completa",1,0)</f>
        <v/>
      </c>
      <c r="U520">
        <f>IF(K520="Sin respuesta",1,0)</f>
        <v/>
      </c>
    </row>
    <row r="521">
      <c r="Q521">
        <f>IF(G521="Sí",1,0)</f>
        <v/>
      </c>
      <c r="R521">
        <f>IF(K521="En coordinación",1,0)</f>
        <v/>
      </c>
      <c r="S521">
        <f>IF(K521="En coordinación",1,0)</f>
        <v/>
      </c>
      <c r="T521">
        <f>IF(K521="Realizada completa",1,0)</f>
        <v/>
      </c>
      <c r="U521">
        <f>IF(K521="Sin respuesta",1,0)</f>
        <v/>
      </c>
    </row>
    <row r="522">
      <c r="Q522">
        <f>IF(G522="Sí",1,0)</f>
        <v/>
      </c>
      <c r="R522">
        <f>IF(K522="En coordinación",1,0)</f>
        <v/>
      </c>
      <c r="S522">
        <f>IF(K522="En coordinación",1,0)</f>
        <v/>
      </c>
      <c r="T522">
        <f>IF(K522="Realizada completa",1,0)</f>
        <v/>
      </c>
      <c r="U522">
        <f>IF(K522="Sin respuesta",1,0)</f>
        <v/>
      </c>
    </row>
    <row r="523">
      <c r="Q523">
        <f>IF(G523="Sí",1,0)</f>
        <v/>
      </c>
      <c r="R523">
        <f>IF(K523="En coordinación",1,0)</f>
        <v/>
      </c>
      <c r="S523">
        <f>IF(K523="En coordinación",1,0)</f>
        <v/>
      </c>
      <c r="T523">
        <f>IF(K523="Realizada completa",1,0)</f>
        <v/>
      </c>
      <c r="U523">
        <f>IF(K523="Sin respuesta",1,0)</f>
        <v/>
      </c>
    </row>
    <row r="524">
      <c r="Q524">
        <f>IF(G524="Sí",1,0)</f>
        <v/>
      </c>
      <c r="R524">
        <f>IF(K524="En coordinación",1,0)</f>
        <v/>
      </c>
      <c r="S524">
        <f>IF(K524="En coordinación",1,0)</f>
        <v/>
      </c>
      <c r="T524">
        <f>IF(K524="Realizada completa",1,0)</f>
        <v/>
      </c>
      <c r="U524">
        <f>IF(K524="Sin respuesta",1,0)</f>
        <v/>
      </c>
    </row>
    <row r="525">
      <c r="Q525">
        <f>IF(G525="Sí",1,0)</f>
        <v/>
      </c>
      <c r="R525">
        <f>IF(K525="En coordinación",1,0)</f>
        <v/>
      </c>
      <c r="S525">
        <f>IF(K525="En coordinación",1,0)</f>
        <v/>
      </c>
      <c r="T525">
        <f>IF(K525="Realizada completa",1,0)</f>
        <v/>
      </c>
      <c r="U525">
        <f>IF(K525="Sin respuesta",1,0)</f>
        <v/>
      </c>
    </row>
    <row r="526">
      <c r="Q526">
        <f>IF(G526="Sí",1,0)</f>
        <v/>
      </c>
      <c r="R526">
        <f>IF(K526="En coordinación",1,0)</f>
        <v/>
      </c>
      <c r="S526">
        <f>IF(K526="En coordinación",1,0)</f>
        <v/>
      </c>
      <c r="T526">
        <f>IF(K526="Realizada completa",1,0)</f>
        <v/>
      </c>
      <c r="U526">
        <f>IF(K526="Sin respuesta",1,0)</f>
        <v/>
      </c>
    </row>
    <row r="527">
      <c r="Q527">
        <f>IF(G527="Sí",1,0)</f>
        <v/>
      </c>
      <c r="R527">
        <f>IF(K527="En coordinación",1,0)</f>
        <v/>
      </c>
      <c r="S527">
        <f>IF(K527="En coordinación",1,0)</f>
        <v/>
      </c>
      <c r="T527">
        <f>IF(K527="Realizada completa",1,0)</f>
        <v/>
      </c>
      <c r="U527">
        <f>IF(K527="Sin respuesta",1,0)</f>
        <v/>
      </c>
    </row>
    <row r="528">
      <c r="Q528">
        <f>IF(G528="Sí",1,0)</f>
        <v/>
      </c>
      <c r="R528">
        <f>IF(K528="En coordinación",1,0)</f>
        <v/>
      </c>
      <c r="S528">
        <f>IF(K528="En coordinación",1,0)</f>
        <v/>
      </c>
      <c r="T528">
        <f>IF(K528="Realizada completa",1,0)</f>
        <v/>
      </c>
      <c r="U528">
        <f>IF(K528="Sin respuesta",1,0)</f>
        <v/>
      </c>
    </row>
    <row r="529">
      <c r="Q529">
        <f>IF(G529="Sí",1,0)</f>
        <v/>
      </c>
      <c r="R529">
        <f>IF(K529="En coordinación",1,0)</f>
        <v/>
      </c>
      <c r="S529">
        <f>IF(K529="En coordinación",1,0)</f>
        <v/>
      </c>
      <c r="T529">
        <f>IF(K529="Realizada completa",1,0)</f>
        <v/>
      </c>
      <c r="U529">
        <f>IF(K529="Sin respuesta",1,0)</f>
        <v/>
      </c>
    </row>
    <row r="530">
      <c r="Q530">
        <f>IF(G530="Sí",1,0)</f>
        <v/>
      </c>
      <c r="R530">
        <f>IF(K530="En coordinación",1,0)</f>
        <v/>
      </c>
      <c r="S530">
        <f>IF(K530="En coordinación",1,0)</f>
        <v/>
      </c>
      <c r="T530">
        <f>IF(K530="Realizada completa",1,0)</f>
        <v/>
      </c>
      <c r="U530">
        <f>IF(K530="Sin respuesta",1,0)</f>
        <v/>
      </c>
    </row>
    <row r="531">
      <c r="Q531">
        <f>IF(G531="Sí",1,0)</f>
        <v/>
      </c>
      <c r="R531">
        <f>IF(K531="En coordinación",1,0)</f>
        <v/>
      </c>
      <c r="S531">
        <f>IF(K531="En coordinación",1,0)</f>
        <v/>
      </c>
      <c r="T531">
        <f>IF(K531="Realizada completa",1,0)</f>
        <v/>
      </c>
      <c r="U531">
        <f>IF(K531="Sin respuesta",1,0)</f>
        <v/>
      </c>
    </row>
    <row r="532">
      <c r="Q532">
        <f>IF(G532="Sí",1,0)</f>
        <v/>
      </c>
      <c r="R532">
        <f>IF(K532="En coordinación",1,0)</f>
        <v/>
      </c>
      <c r="S532">
        <f>IF(K532="En coordinación",1,0)</f>
        <v/>
      </c>
      <c r="T532">
        <f>IF(K532="Realizada completa",1,0)</f>
        <v/>
      </c>
      <c r="U532">
        <f>IF(K532="Sin respuesta",1,0)</f>
        <v/>
      </c>
    </row>
    <row r="533">
      <c r="Q533">
        <f>IF(G533="Sí",1,0)</f>
        <v/>
      </c>
      <c r="R533">
        <f>IF(K533="En coordinación",1,0)</f>
        <v/>
      </c>
      <c r="S533">
        <f>IF(K533="En coordinación",1,0)</f>
        <v/>
      </c>
      <c r="T533">
        <f>IF(K533="Realizada completa",1,0)</f>
        <v/>
      </c>
      <c r="U533">
        <f>IF(K533="Sin respuesta",1,0)</f>
        <v/>
      </c>
    </row>
    <row r="534">
      <c r="Q534">
        <f>IF(G534="Sí",1,0)</f>
        <v/>
      </c>
      <c r="R534">
        <f>IF(K534="En coordinación",1,0)</f>
        <v/>
      </c>
      <c r="S534">
        <f>IF(K534="En coordinación",1,0)</f>
        <v/>
      </c>
      <c r="T534">
        <f>IF(K534="Realizada completa",1,0)</f>
        <v/>
      </c>
      <c r="U534">
        <f>IF(K534="Sin respuesta",1,0)</f>
        <v/>
      </c>
    </row>
    <row r="535">
      <c r="Q535">
        <f>IF(G535="Sí",1,0)</f>
        <v/>
      </c>
      <c r="R535">
        <f>IF(K535="En coordinación",1,0)</f>
        <v/>
      </c>
      <c r="S535">
        <f>IF(K535="En coordinación",1,0)</f>
        <v/>
      </c>
      <c r="T535">
        <f>IF(K535="Realizada completa",1,0)</f>
        <v/>
      </c>
      <c r="U535">
        <f>IF(K535="Sin respuesta",1,0)</f>
        <v/>
      </c>
    </row>
    <row r="536">
      <c r="Q536">
        <f>IF(G536="Sí",1,0)</f>
        <v/>
      </c>
      <c r="R536">
        <f>IF(K536="En coordinación",1,0)</f>
        <v/>
      </c>
      <c r="S536">
        <f>IF(K536="En coordinación",1,0)</f>
        <v/>
      </c>
      <c r="T536">
        <f>IF(K536="Realizada completa",1,0)</f>
        <v/>
      </c>
      <c r="U536">
        <f>IF(K536="Sin respuesta",1,0)</f>
        <v/>
      </c>
    </row>
    <row r="537">
      <c r="Q537">
        <f>IF(G537="Sí",1,0)</f>
        <v/>
      </c>
      <c r="R537">
        <f>IF(K537="En coordinación",1,0)</f>
        <v/>
      </c>
      <c r="S537">
        <f>IF(K537="En coordinación",1,0)</f>
        <v/>
      </c>
      <c r="T537">
        <f>IF(K537="Realizada completa",1,0)</f>
        <v/>
      </c>
      <c r="U537">
        <f>IF(K537="Sin respuesta",1,0)</f>
        <v/>
      </c>
    </row>
    <row r="538">
      <c r="Q538">
        <f>IF(G538="Sí",1,0)</f>
        <v/>
      </c>
      <c r="R538">
        <f>IF(K538="En coordinación",1,0)</f>
        <v/>
      </c>
      <c r="S538">
        <f>IF(K538="En coordinación",1,0)</f>
        <v/>
      </c>
      <c r="T538">
        <f>IF(K538="Realizada completa",1,0)</f>
        <v/>
      </c>
      <c r="U538">
        <f>IF(K538="Sin respuesta",1,0)</f>
        <v/>
      </c>
    </row>
    <row r="539">
      <c r="Q539">
        <f>IF(G539="Sí",1,0)</f>
        <v/>
      </c>
      <c r="R539">
        <f>IF(K539="En coordinación",1,0)</f>
        <v/>
      </c>
      <c r="S539">
        <f>IF(K539="En coordinación",1,0)</f>
        <v/>
      </c>
      <c r="T539">
        <f>IF(K539="Realizada completa",1,0)</f>
        <v/>
      </c>
      <c r="U539">
        <f>IF(K539="Sin respuesta",1,0)</f>
        <v/>
      </c>
    </row>
    <row r="540">
      <c r="Q540">
        <f>IF(G540="Sí",1,0)</f>
        <v/>
      </c>
      <c r="R540">
        <f>IF(K540="En coordinación",1,0)</f>
        <v/>
      </c>
      <c r="S540">
        <f>IF(K540="En coordinación",1,0)</f>
        <v/>
      </c>
      <c r="T540">
        <f>IF(K540="Realizada completa",1,0)</f>
        <v/>
      </c>
      <c r="U540">
        <f>IF(K540="Sin respuesta",1,0)</f>
        <v/>
      </c>
    </row>
    <row r="541">
      <c r="Q541">
        <f>IF(G541="Sí",1,0)</f>
        <v/>
      </c>
      <c r="R541">
        <f>IF(K541="En coordinación",1,0)</f>
        <v/>
      </c>
      <c r="S541">
        <f>IF(K541="En coordinación",1,0)</f>
        <v/>
      </c>
      <c r="T541">
        <f>IF(K541="Realizada completa",1,0)</f>
        <v/>
      </c>
      <c r="U541">
        <f>IF(K541="Sin respuesta",1,0)</f>
        <v/>
      </c>
    </row>
    <row r="542">
      <c r="Q542">
        <f>IF(G542="Sí",1,0)</f>
        <v/>
      </c>
      <c r="R542">
        <f>IF(K542="En coordinación",1,0)</f>
        <v/>
      </c>
      <c r="S542">
        <f>IF(K542="En coordinación",1,0)</f>
        <v/>
      </c>
      <c r="T542">
        <f>IF(K542="Realizada completa",1,0)</f>
        <v/>
      </c>
      <c r="U542">
        <f>IF(K542="Sin respuesta",1,0)</f>
        <v/>
      </c>
    </row>
    <row r="543">
      <c r="Q543">
        <f>IF(G543="Sí",1,0)</f>
        <v/>
      </c>
      <c r="R543">
        <f>IF(K543="En coordinación",1,0)</f>
        <v/>
      </c>
      <c r="S543">
        <f>IF(K543="En coordinación",1,0)</f>
        <v/>
      </c>
      <c r="T543">
        <f>IF(K543="Realizada completa",1,0)</f>
        <v/>
      </c>
      <c r="U543">
        <f>IF(K543="Sin respuesta",1,0)</f>
        <v/>
      </c>
    </row>
    <row r="544">
      <c r="Q544">
        <f>IF(G544="Sí",1,0)</f>
        <v/>
      </c>
      <c r="R544">
        <f>IF(K544="En coordinación",1,0)</f>
        <v/>
      </c>
      <c r="S544">
        <f>IF(K544="En coordinación",1,0)</f>
        <v/>
      </c>
      <c r="T544">
        <f>IF(K544="Realizada completa",1,0)</f>
        <v/>
      </c>
      <c r="U544">
        <f>IF(K544="Sin respuesta",1,0)</f>
        <v/>
      </c>
    </row>
    <row r="545">
      <c r="Q545">
        <f>IF(G545="Sí",1,0)</f>
        <v/>
      </c>
      <c r="R545">
        <f>IF(K545="En coordinación",1,0)</f>
        <v/>
      </c>
      <c r="S545">
        <f>IF(K545="En coordinación",1,0)</f>
        <v/>
      </c>
      <c r="T545">
        <f>IF(K545="Realizada completa",1,0)</f>
        <v/>
      </c>
      <c r="U545">
        <f>IF(K545="Sin respuesta",1,0)</f>
        <v/>
      </c>
    </row>
    <row r="546">
      <c r="Q546">
        <f>IF(G546="Sí",1,0)</f>
        <v/>
      </c>
      <c r="R546">
        <f>IF(K546="En coordinación",1,0)</f>
        <v/>
      </c>
      <c r="S546">
        <f>IF(K546="En coordinación",1,0)</f>
        <v/>
      </c>
      <c r="T546">
        <f>IF(K546="Realizada completa",1,0)</f>
        <v/>
      </c>
      <c r="U546">
        <f>IF(K546="Sin respuesta",1,0)</f>
        <v/>
      </c>
    </row>
    <row r="547">
      <c r="Q547">
        <f>IF(G547="Sí",1,0)</f>
        <v/>
      </c>
      <c r="R547">
        <f>IF(K547="En coordinación",1,0)</f>
        <v/>
      </c>
      <c r="S547">
        <f>IF(K547="En coordinación",1,0)</f>
        <v/>
      </c>
      <c r="T547">
        <f>IF(K547="Realizada completa",1,0)</f>
        <v/>
      </c>
      <c r="U547">
        <f>IF(K547="Sin respuesta",1,0)</f>
        <v/>
      </c>
    </row>
    <row r="548">
      <c r="Q548">
        <f>IF(G548="Sí",1,0)</f>
        <v/>
      </c>
      <c r="R548">
        <f>IF(K548="En coordinación",1,0)</f>
        <v/>
      </c>
      <c r="S548">
        <f>IF(K548="En coordinación",1,0)</f>
        <v/>
      </c>
      <c r="T548">
        <f>IF(K548="Realizada completa",1,0)</f>
        <v/>
      </c>
      <c r="U548">
        <f>IF(K548="Sin respuesta",1,0)</f>
        <v/>
      </c>
    </row>
    <row r="549">
      <c r="Q549">
        <f>IF(G549="Sí",1,0)</f>
        <v/>
      </c>
      <c r="R549">
        <f>IF(K549="En coordinación",1,0)</f>
        <v/>
      </c>
      <c r="S549">
        <f>IF(K549="En coordinación",1,0)</f>
        <v/>
      </c>
      <c r="T549">
        <f>IF(K549="Realizada completa",1,0)</f>
        <v/>
      </c>
      <c r="U549">
        <f>IF(K549="Sin respuesta",1,0)</f>
        <v/>
      </c>
    </row>
    <row r="550">
      <c r="Q550">
        <f>IF(G550="Sí",1,0)</f>
        <v/>
      </c>
      <c r="R550">
        <f>IF(K550="En coordinación",1,0)</f>
        <v/>
      </c>
      <c r="S550">
        <f>IF(K550="En coordinación",1,0)</f>
        <v/>
      </c>
      <c r="T550">
        <f>IF(K550="Realizada completa",1,0)</f>
        <v/>
      </c>
      <c r="U550">
        <f>IF(K550="Sin respuesta",1,0)</f>
        <v/>
      </c>
    </row>
    <row r="551">
      <c r="Q551">
        <f>IF(G551="Sí",1,0)</f>
        <v/>
      </c>
      <c r="R551">
        <f>IF(K551="En coordinación",1,0)</f>
        <v/>
      </c>
      <c r="S551">
        <f>IF(K551="En coordinación",1,0)</f>
        <v/>
      </c>
      <c r="T551">
        <f>IF(K551="Realizada completa",1,0)</f>
        <v/>
      </c>
      <c r="U551">
        <f>IF(K551="Sin respuesta",1,0)</f>
        <v/>
      </c>
    </row>
    <row r="552">
      <c r="Q552">
        <f>IF(G552="Sí",1,0)</f>
        <v/>
      </c>
      <c r="R552">
        <f>IF(K552="En coordinación",1,0)</f>
        <v/>
      </c>
      <c r="S552">
        <f>IF(K552="En coordinación",1,0)</f>
        <v/>
      </c>
      <c r="T552">
        <f>IF(K552="Realizada completa",1,0)</f>
        <v/>
      </c>
      <c r="U552">
        <f>IF(K552="Sin respuesta",1,0)</f>
        <v/>
      </c>
    </row>
    <row r="553">
      <c r="Q553">
        <f>IF(G553="Sí",1,0)</f>
        <v/>
      </c>
      <c r="R553">
        <f>IF(K553="En coordinación",1,0)</f>
        <v/>
      </c>
      <c r="S553">
        <f>IF(K553="En coordinación",1,0)</f>
        <v/>
      </c>
      <c r="T553">
        <f>IF(K553="Realizada completa",1,0)</f>
        <v/>
      </c>
      <c r="U553">
        <f>IF(K553="Sin respuesta",1,0)</f>
        <v/>
      </c>
    </row>
    <row r="554">
      <c r="Q554">
        <f>IF(G554="Sí",1,0)</f>
        <v/>
      </c>
      <c r="R554">
        <f>IF(K554="En coordinación",1,0)</f>
        <v/>
      </c>
      <c r="S554">
        <f>IF(K554="En coordinación",1,0)</f>
        <v/>
      </c>
      <c r="T554">
        <f>IF(K554="Realizada completa",1,0)</f>
        <v/>
      </c>
      <c r="U554">
        <f>IF(K554="Sin respuesta",1,0)</f>
        <v/>
      </c>
    </row>
    <row r="555">
      <c r="Q555">
        <f>IF(G555="Sí",1,0)</f>
        <v/>
      </c>
      <c r="R555">
        <f>IF(K555="En coordinación",1,0)</f>
        <v/>
      </c>
      <c r="S555">
        <f>IF(K555="En coordinación",1,0)</f>
        <v/>
      </c>
      <c r="T555">
        <f>IF(K555="Realizada completa",1,0)</f>
        <v/>
      </c>
      <c r="U555">
        <f>IF(K555="Sin respuesta",1,0)</f>
        <v/>
      </c>
    </row>
    <row r="556">
      <c r="Q556">
        <f>IF(G556="Sí",1,0)</f>
        <v/>
      </c>
      <c r="R556">
        <f>IF(K556="En coordinación",1,0)</f>
        <v/>
      </c>
      <c r="S556">
        <f>IF(K556="En coordinación",1,0)</f>
        <v/>
      </c>
      <c r="T556">
        <f>IF(K556="Realizada completa",1,0)</f>
        <v/>
      </c>
      <c r="U556">
        <f>IF(K556="Sin respuesta",1,0)</f>
        <v/>
      </c>
    </row>
    <row r="557">
      <c r="Q557">
        <f>IF(G557="Sí",1,0)</f>
        <v/>
      </c>
      <c r="R557">
        <f>IF(K557="En coordinación",1,0)</f>
        <v/>
      </c>
      <c r="S557">
        <f>IF(K557="En coordinación",1,0)</f>
        <v/>
      </c>
      <c r="T557">
        <f>IF(K557="Realizada completa",1,0)</f>
        <v/>
      </c>
      <c r="U557">
        <f>IF(K557="Sin respuesta",1,0)</f>
        <v/>
      </c>
    </row>
    <row r="558">
      <c r="Q558">
        <f>IF(G558="Sí",1,0)</f>
        <v/>
      </c>
      <c r="R558">
        <f>IF(K558="En coordinación",1,0)</f>
        <v/>
      </c>
      <c r="S558">
        <f>IF(K558="En coordinación",1,0)</f>
        <v/>
      </c>
      <c r="T558">
        <f>IF(K558="Realizada completa",1,0)</f>
        <v/>
      </c>
      <c r="U558">
        <f>IF(K558="Sin respuesta",1,0)</f>
        <v/>
      </c>
    </row>
    <row r="559">
      <c r="Q559">
        <f>IF(G559="Sí",1,0)</f>
        <v/>
      </c>
      <c r="R559">
        <f>IF(K559="En coordinación",1,0)</f>
        <v/>
      </c>
      <c r="S559">
        <f>IF(K559="En coordinación",1,0)</f>
        <v/>
      </c>
      <c r="T559">
        <f>IF(K559="Realizada completa",1,0)</f>
        <v/>
      </c>
      <c r="U559">
        <f>IF(K559="Sin respuesta",1,0)</f>
        <v/>
      </c>
    </row>
    <row r="560">
      <c r="Q560">
        <f>IF(G560="Sí",1,0)</f>
        <v/>
      </c>
      <c r="R560">
        <f>IF(K560="En coordinación",1,0)</f>
        <v/>
      </c>
      <c r="S560">
        <f>IF(K560="En coordinación",1,0)</f>
        <v/>
      </c>
      <c r="T560">
        <f>IF(K560="Realizada completa",1,0)</f>
        <v/>
      </c>
      <c r="U560">
        <f>IF(K560="Sin respuesta",1,0)</f>
        <v/>
      </c>
    </row>
    <row r="561">
      <c r="Q561">
        <f>IF(G561="Sí",1,0)</f>
        <v/>
      </c>
      <c r="R561">
        <f>IF(K561="En coordinación",1,0)</f>
        <v/>
      </c>
      <c r="S561">
        <f>IF(K561="En coordinación",1,0)</f>
        <v/>
      </c>
      <c r="T561">
        <f>IF(K561="Realizada completa",1,0)</f>
        <v/>
      </c>
      <c r="U561">
        <f>IF(K561="Sin respuesta",1,0)</f>
        <v/>
      </c>
    </row>
    <row r="562">
      <c r="Q562">
        <f>IF(G562="Sí",1,0)</f>
        <v/>
      </c>
      <c r="R562">
        <f>IF(K562="En coordinación",1,0)</f>
        <v/>
      </c>
      <c r="S562">
        <f>IF(K562="En coordinación",1,0)</f>
        <v/>
      </c>
      <c r="T562">
        <f>IF(K562="Realizada completa",1,0)</f>
        <v/>
      </c>
      <c r="U562">
        <f>IF(K562="Sin respuesta",1,0)</f>
        <v/>
      </c>
    </row>
    <row r="563">
      <c r="Q563">
        <f>IF(G563="Sí",1,0)</f>
        <v/>
      </c>
      <c r="R563">
        <f>IF(K563="En coordinación",1,0)</f>
        <v/>
      </c>
      <c r="S563">
        <f>IF(K563="En coordinación",1,0)</f>
        <v/>
      </c>
      <c r="T563">
        <f>IF(K563="Realizada completa",1,0)</f>
        <v/>
      </c>
      <c r="U563">
        <f>IF(K563="Sin respuesta",1,0)</f>
        <v/>
      </c>
    </row>
    <row r="564">
      <c r="Q564">
        <f>IF(G564="Sí",1,0)</f>
        <v/>
      </c>
      <c r="R564">
        <f>IF(K564="En coordinación",1,0)</f>
        <v/>
      </c>
      <c r="S564">
        <f>IF(K564="En coordinación",1,0)</f>
        <v/>
      </c>
      <c r="T564">
        <f>IF(K564="Realizada completa",1,0)</f>
        <v/>
      </c>
      <c r="U564">
        <f>IF(K564="Sin respuesta",1,0)</f>
        <v/>
      </c>
    </row>
    <row r="565">
      <c r="Q565">
        <f>IF(G565="Sí",1,0)</f>
        <v/>
      </c>
      <c r="R565">
        <f>IF(K565="En coordinación",1,0)</f>
        <v/>
      </c>
      <c r="S565">
        <f>IF(K565="En coordinación",1,0)</f>
        <v/>
      </c>
      <c r="T565">
        <f>IF(K565="Realizada completa",1,0)</f>
        <v/>
      </c>
      <c r="U565">
        <f>IF(K565="Sin respuesta",1,0)</f>
        <v/>
      </c>
    </row>
    <row r="566">
      <c r="Q566">
        <f>IF(G566="Sí",1,0)</f>
        <v/>
      </c>
      <c r="R566">
        <f>IF(K566="En coordinación",1,0)</f>
        <v/>
      </c>
      <c r="S566">
        <f>IF(K566="En coordinación",1,0)</f>
        <v/>
      </c>
      <c r="T566">
        <f>IF(K566="Realizada completa",1,0)</f>
        <v/>
      </c>
      <c r="U566">
        <f>IF(K566="Sin respuesta",1,0)</f>
        <v/>
      </c>
    </row>
    <row r="567">
      <c r="Q567">
        <f>IF(G567="Sí",1,0)</f>
        <v/>
      </c>
      <c r="R567">
        <f>IF(K567="En coordinación",1,0)</f>
        <v/>
      </c>
      <c r="S567">
        <f>IF(K567="En coordinación",1,0)</f>
        <v/>
      </c>
      <c r="T567">
        <f>IF(K567="Realizada completa",1,0)</f>
        <v/>
      </c>
      <c r="U567">
        <f>IF(K567="Sin respuesta",1,0)</f>
        <v/>
      </c>
    </row>
    <row r="568">
      <c r="Q568">
        <f>IF(G568="Sí",1,0)</f>
        <v/>
      </c>
      <c r="R568">
        <f>IF(K568="En coordinación",1,0)</f>
        <v/>
      </c>
      <c r="S568">
        <f>IF(K568="En coordinación",1,0)</f>
        <v/>
      </c>
      <c r="T568">
        <f>IF(K568="Realizada completa",1,0)</f>
        <v/>
      </c>
      <c r="U568">
        <f>IF(K568="Sin respuesta",1,0)</f>
        <v/>
      </c>
    </row>
    <row r="569">
      <c r="Q569">
        <f>IF(G569="Sí",1,0)</f>
        <v/>
      </c>
      <c r="R569">
        <f>IF(K569="En coordinación",1,0)</f>
        <v/>
      </c>
      <c r="S569">
        <f>IF(K569="En coordinación",1,0)</f>
        <v/>
      </c>
      <c r="T569">
        <f>IF(K569="Realizada completa",1,0)</f>
        <v/>
      </c>
      <c r="U569">
        <f>IF(K569="Sin respuesta",1,0)</f>
        <v/>
      </c>
    </row>
    <row r="570">
      <c r="Q570">
        <f>IF(G570="Sí",1,0)</f>
        <v/>
      </c>
      <c r="R570">
        <f>IF(K570="En coordinación",1,0)</f>
        <v/>
      </c>
      <c r="S570">
        <f>IF(K570="En coordinación",1,0)</f>
        <v/>
      </c>
      <c r="T570">
        <f>IF(K570="Realizada completa",1,0)</f>
        <v/>
      </c>
      <c r="U570">
        <f>IF(K570="Sin respuesta",1,0)</f>
        <v/>
      </c>
    </row>
    <row r="571">
      <c r="Q571">
        <f>IF(G571="Sí",1,0)</f>
        <v/>
      </c>
      <c r="R571">
        <f>IF(K571="En coordinación",1,0)</f>
        <v/>
      </c>
      <c r="S571">
        <f>IF(K571="En coordinación",1,0)</f>
        <v/>
      </c>
      <c r="T571">
        <f>IF(K571="Realizada completa",1,0)</f>
        <v/>
      </c>
      <c r="U571">
        <f>IF(K571="Sin respuesta",1,0)</f>
        <v/>
      </c>
    </row>
    <row r="572">
      <c r="Q572">
        <f>IF(G572="Sí",1,0)</f>
        <v/>
      </c>
      <c r="R572">
        <f>IF(K572="En coordinación",1,0)</f>
        <v/>
      </c>
      <c r="S572">
        <f>IF(K572="En coordinación",1,0)</f>
        <v/>
      </c>
      <c r="T572">
        <f>IF(K572="Realizada completa",1,0)</f>
        <v/>
      </c>
      <c r="U572">
        <f>IF(K572="Sin respuesta",1,0)</f>
        <v/>
      </c>
    </row>
    <row r="573">
      <c r="Q573">
        <f>IF(G573="Sí",1,0)</f>
        <v/>
      </c>
      <c r="R573">
        <f>IF(K573="En coordinación",1,0)</f>
        <v/>
      </c>
      <c r="S573">
        <f>IF(K573="En coordinación",1,0)</f>
        <v/>
      </c>
      <c r="T573">
        <f>IF(K573="Realizada completa",1,0)</f>
        <v/>
      </c>
      <c r="U573">
        <f>IF(K573="Sin respuesta",1,0)</f>
        <v/>
      </c>
    </row>
    <row r="574">
      <c r="Q574">
        <f>IF(G574="Sí",1,0)</f>
        <v/>
      </c>
      <c r="R574">
        <f>IF(K574="En coordinación",1,0)</f>
        <v/>
      </c>
      <c r="S574">
        <f>IF(K574="En coordinación",1,0)</f>
        <v/>
      </c>
      <c r="T574">
        <f>IF(K574="Realizada completa",1,0)</f>
        <v/>
      </c>
      <c r="U574">
        <f>IF(K574="Sin respuesta",1,0)</f>
        <v/>
      </c>
    </row>
    <row r="575">
      <c r="Q575">
        <f>IF(G575="Sí",1,0)</f>
        <v/>
      </c>
      <c r="R575">
        <f>IF(K575="En coordinación",1,0)</f>
        <v/>
      </c>
      <c r="S575">
        <f>IF(K575="En coordinación",1,0)</f>
        <v/>
      </c>
      <c r="T575">
        <f>IF(K575="Realizada completa",1,0)</f>
        <v/>
      </c>
      <c r="U575">
        <f>IF(K575="Sin respuesta",1,0)</f>
        <v/>
      </c>
    </row>
    <row r="576">
      <c r="Q576">
        <f>IF(G576="Sí",1,0)</f>
        <v/>
      </c>
      <c r="R576">
        <f>IF(K576="En coordinación",1,0)</f>
        <v/>
      </c>
      <c r="S576">
        <f>IF(K576="En coordinación",1,0)</f>
        <v/>
      </c>
      <c r="T576">
        <f>IF(K576="Realizada completa",1,0)</f>
        <v/>
      </c>
      <c r="U576">
        <f>IF(K576="Sin respuesta",1,0)</f>
        <v/>
      </c>
    </row>
    <row r="577">
      <c r="Q577">
        <f>IF(G577="Sí",1,0)</f>
        <v/>
      </c>
      <c r="R577">
        <f>IF(K577="En coordinación",1,0)</f>
        <v/>
      </c>
      <c r="S577">
        <f>IF(K577="En coordinación",1,0)</f>
        <v/>
      </c>
      <c r="T577">
        <f>IF(K577="Realizada completa",1,0)</f>
        <v/>
      </c>
      <c r="U577">
        <f>IF(K577="Sin respuesta",1,0)</f>
        <v/>
      </c>
    </row>
    <row r="578">
      <c r="Q578">
        <f>IF(G578="Sí",1,0)</f>
        <v/>
      </c>
      <c r="R578">
        <f>IF(K578="En coordinación",1,0)</f>
        <v/>
      </c>
      <c r="S578">
        <f>IF(K578="En coordinación",1,0)</f>
        <v/>
      </c>
      <c r="T578">
        <f>IF(K578="Realizada completa",1,0)</f>
        <v/>
      </c>
      <c r="U578">
        <f>IF(K578="Sin respuesta",1,0)</f>
        <v/>
      </c>
    </row>
    <row r="579">
      <c r="Q579">
        <f>IF(G579="Sí",1,0)</f>
        <v/>
      </c>
      <c r="R579">
        <f>IF(K579="En coordinación",1,0)</f>
        <v/>
      </c>
      <c r="S579">
        <f>IF(K579="En coordinación",1,0)</f>
        <v/>
      </c>
      <c r="T579">
        <f>IF(K579="Realizada completa",1,0)</f>
        <v/>
      </c>
      <c r="U579">
        <f>IF(K579="Sin respuesta",1,0)</f>
        <v/>
      </c>
    </row>
    <row r="580">
      <c r="Q580">
        <f>IF(G580="Sí",1,0)</f>
        <v/>
      </c>
      <c r="R580">
        <f>IF(K580="En coordinación",1,0)</f>
        <v/>
      </c>
      <c r="S580">
        <f>IF(K580="En coordinación",1,0)</f>
        <v/>
      </c>
      <c r="T580">
        <f>IF(K580="Realizada completa",1,0)</f>
        <v/>
      </c>
      <c r="U580">
        <f>IF(K580="Sin respuesta",1,0)</f>
        <v/>
      </c>
    </row>
    <row r="581">
      <c r="Q581">
        <f>IF(G581="Sí",1,0)</f>
        <v/>
      </c>
      <c r="R581">
        <f>IF(K581="En coordinación",1,0)</f>
        <v/>
      </c>
      <c r="S581">
        <f>IF(K581="En coordinación",1,0)</f>
        <v/>
      </c>
      <c r="T581">
        <f>IF(K581="Realizada completa",1,0)</f>
        <v/>
      </c>
      <c r="U581">
        <f>IF(K581="Sin respuesta",1,0)</f>
        <v/>
      </c>
    </row>
    <row r="582">
      <c r="Q582">
        <f>IF(G582="Sí",1,0)</f>
        <v/>
      </c>
      <c r="R582">
        <f>IF(K582="En coordinación",1,0)</f>
        <v/>
      </c>
      <c r="S582">
        <f>IF(K582="En coordinación",1,0)</f>
        <v/>
      </c>
      <c r="T582">
        <f>IF(K582="Realizada completa",1,0)</f>
        <v/>
      </c>
      <c r="U582">
        <f>IF(K582="Sin respuesta",1,0)</f>
        <v/>
      </c>
    </row>
    <row r="583">
      <c r="Q583">
        <f>IF(G583="Sí",1,0)</f>
        <v/>
      </c>
      <c r="R583">
        <f>IF(K583="En coordinación",1,0)</f>
        <v/>
      </c>
      <c r="S583">
        <f>IF(K583="En coordinación",1,0)</f>
        <v/>
      </c>
      <c r="T583">
        <f>IF(K583="Realizada completa",1,0)</f>
        <v/>
      </c>
      <c r="U583">
        <f>IF(K583="Sin respuesta",1,0)</f>
        <v/>
      </c>
    </row>
    <row r="584">
      <c r="Q584">
        <f>IF(G584="Sí",1,0)</f>
        <v/>
      </c>
      <c r="R584">
        <f>IF(K584="En coordinación",1,0)</f>
        <v/>
      </c>
      <c r="S584">
        <f>IF(K584="En coordinación",1,0)</f>
        <v/>
      </c>
      <c r="T584">
        <f>IF(K584="Realizada completa",1,0)</f>
        <v/>
      </c>
      <c r="U584">
        <f>IF(K584="Sin respuesta",1,0)</f>
        <v/>
      </c>
    </row>
    <row r="585">
      <c r="Q585">
        <f>IF(G585="Sí",1,0)</f>
        <v/>
      </c>
      <c r="R585">
        <f>IF(K585="En coordinación",1,0)</f>
        <v/>
      </c>
      <c r="S585">
        <f>IF(K585="En coordinación",1,0)</f>
        <v/>
      </c>
      <c r="T585">
        <f>IF(K585="Realizada completa",1,0)</f>
        <v/>
      </c>
      <c r="U585">
        <f>IF(K585="Sin respuesta",1,0)</f>
        <v/>
      </c>
    </row>
    <row r="586">
      <c r="Q586">
        <f>IF(G586="Sí",1,0)</f>
        <v/>
      </c>
      <c r="R586">
        <f>IF(K586="En coordinación",1,0)</f>
        <v/>
      </c>
      <c r="S586">
        <f>IF(K586="En coordinación",1,0)</f>
        <v/>
      </c>
      <c r="T586">
        <f>IF(K586="Realizada completa",1,0)</f>
        <v/>
      </c>
      <c r="U586">
        <f>IF(K586="Sin respuesta",1,0)</f>
        <v/>
      </c>
    </row>
    <row r="587">
      <c r="Q587">
        <f>IF(G587="Sí",1,0)</f>
        <v/>
      </c>
      <c r="R587">
        <f>IF(K587="En coordinación",1,0)</f>
        <v/>
      </c>
      <c r="S587">
        <f>IF(K587="En coordinación",1,0)</f>
        <v/>
      </c>
      <c r="T587">
        <f>IF(K587="Realizada completa",1,0)</f>
        <v/>
      </c>
      <c r="U587">
        <f>IF(K587="Sin respuesta",1,0)</f>
        <v/>
      </c>
    </row>
    <row r="588">
      <c r="Q588">
        <f>IF(G588="Sí",1,0)</f>
        <v/>
      </c>
      <c r="R588">
        <f>IF(K588="En coordinación",1,0)</f>
        <v/>
      </c>
      <c r="S588">
        <f>IF(K588="En coordinación",1,0)</f>
        <v/>
      </c>
      <c r="T588">
        <f>IF(K588="Realizada completa",1,0)</f>
        <v/>
      </c>
      <c r="U588">
        <f>IF(K588="Sin respuesta",1,0)</f>
        <v/>
      </c>
    </row>
    <row r="589">
      <c r="Q589">
        <f>IF(G589="Sí",1,0)</f>
        <v/>
      </c>
      <c r="R589">
        <f>IF(K589="En coordinación",1,0)</f>
        <v/>
      </c>
      <c r="S589">
        <f>IF(K589="En coordinación",1,0)</f>
        <v/>
      </c>
      <c r="T589">
        <f>IF(K589="Realizada completa",1,0)</f>
        <v/>
      </c>
      <c r="U589">
        <f>IF(K589="Sin respuesta",1,0)</f>
        <v/>
      </c>
    </row>
    <row r="590">
      <c r="Q590">
        <f>IF(G590="Sí",1,0)</f>
        <v/>
      </c>
      <c r="R590">
        <f>IF(K590="En coordinación",1,0)</f>
        <v/>
      </c>
      <c r="S590">
        <f>IF(K590="En coordinación",1,0)</f>
        <v/>
      </c>
      <c r="T590">
        <f>IF(K590="Realizada completa",1,0)</f>
        <v/>
      </c>
      <c r="U590">
        <f>IF(K590="Sin respuesta",1,0)</f>
        <v/>
      </c>
    </row>
    <row r="591">
      <c r="Q591">
        <f>IF(G591="Sí",1,0)</f>
        <v/>
      </c>
      <c r="R591">
        <f>IF(K591="En coordinación",1,0)</f>
        <v/>
      </c>
      <c r="S591">
        <f>IF(K591="En coordinación",1,0)</f>
        <v/>
      </c>
      <c r="T591">
        <f>IF(K591="Realizada completa",1,0)</f>
        <v/>
      </c>
      <c r="U591">
        <f>IF(K591="Sin respuesta",1,0)</f>
        <v/>
      </c>
    </row>
    <row r="592">
      <c r="Q592">
        <f>IF(G592="Sí",1,0)</f>
        <v/>
      </c>
      <c r="R592">
        <f>IF(K592="En coordinación",1,0)</f>
        <v/>
      </c>
      <c r="S592">
        <f>IF(K592="En coordinación",1,0)</f>
        <v/>
      </c>
      <c r="T592">
        <f>IF(K592="Realizada completa",1,0)</f>
        <v/>
      </c>
      <c r="U592">
        <f>IF(K592="Sin respuesta",1,0)</f>
        <v/>
      </c>
    </row>
    <row r="593">
      <c r="Q593">
        <f>IF(G593="Sí",1,0)</f>
        <v/>
      </c>
      <c r="R593">
        <f>IF(K593="En coordinación",1,0)</f>
        <v/>
      </c>
      <c r="S593">
        <f>IF(K593="En coordinación",1,0)</f>
        <v/>
      </c>
      <c r="T593">
        <f>IF(K593="Realizada completa",1,0)</f>
        <v/>
      </c>
      <c r="U593">
        <f>IF(K593="Sin respuesta",1,0)</f>
        <v/>
      </c>
    </row>
    <row r="594">
      <c r="Q594">
        <f>IF(G594="Sí",1,0)</f>
        <v/>
      </c>
      <c r="R594">
        <f>IF(K594="En coordinación",1,0)</f>
        <v/>
      </c>
      <c r="S594">
        <f>IF(K594="En coordinación",1,0)</f>
        <v/>
      </c>
      <c r="T594">
        <f>IF(K594="Realizada completa",1,0)</f>
        <v/>
      </c>
      <c r="U594">
        <f>IF(K594="Sin respuesta",1,0)</f>
        <v/>
      </c>
    </row>
    <row r="595">
      <c r="Q595">
        <f>IF(G595="Sí",1,0)</f>
        <v/>
      </c>
      <c r="R595">
        <f>IF(K595="En coordinación",1,0)</f>
        <v/>
      </c>
      <c r="S595">
        <f>IF(K595="En coordinación",1,0)</f>
        <v/>
      </c>
      <c r="T595">
        <f>IF(K595="Realizada completa",1,0)</f>
        <v/>
      </c>
      <c r="U595">
        <f>IF(K595="Sin respuesta",1,0)</f>
        <v/>
      </c>
    </row>
    <row r="596">
      <c r="Q596">
        <f>IF(G596="Sí",1,0)</f>
        <v/>
      </c>
      <c r="R596">
        <f>IF(K596="En coordinación",1,0)</f>
        <v/>
      </c>
      <c r="S596">
        <f>IF(K596="En coordinación",1,0)</f>
        <v/>
      </c>
      <c r="T596">
        <f>IF(K596="Realizada completa",1,0)</f>
        <v/>
      </c>
      <c r="U596">
        <f>IF(K596="Sin respuesta",1,0)</f>
        <v/>
      </c>
    </row>
    <row r="597">
      <c r="Q597">
        <f>IF(G597="Sí",1,0)</f>
        <v/>
      </c>
      <c r="R597">
        <f>IF(K597="En coordinación",1,0)</f>
        <v/>
      </c>
      <c r="S597">
        <f>IF(K597="En coordinación",1,0)</f>
        <v/>
      </c>
      <c r="T597">
        <f>IF(K597="Realizada completa",1,0)</f>
        <v/>
      </c>
      <c r="U597">
        <f>IF(K597="Sin respuesta",1,0)</f>
        <v/>
      </c>
    </row>
    <row r="598">
      <c r="Q598">
        <f>IF(G598="Sí",1,0)</f>
        <v/>
      </c>
      <c r="R598">
        <f>IF(K598="En coordinación",1,0)</f>
        <v/>
      </c>
      <c r="S598">
        <f>IF(K598="En coordinación",1,0)</f>
        <v/>
      </c>
      <c r="T598">
        <f>IF(K598="Realizada completa",1,0)</f>
        <v/>
      </c>
      <c r="U598">
        <f>IF(K598="Sin respuesta",1,0)</f>
        <v/>
      </c>
    </row>
    <row r="599">
      <c r="Q599">
        <f>IF(G599="Sí",1,0)</f>
        <v/>
      </c>
      <c r="R599">
        <f>IF(K599="En coordinación",1,0)</f>
        <v/>
      </c>
      <c r="S599">
        <f>IF(K599="En coordinación",1,0)</f>
        <v/>
      </c>
      <c r="T599">
        <f>IF(K599="Realizada completa",1,0)</f>
        <v/>
      </c>
      <c r="U599">
        <f>IF(K599="Sin respuesta",1,0)</f>
        <v/>
      </c>
    </row>
    <row r="600">
      <c r="Q600">
        <f>IF(G600="Sí",1,0)</f>
        <v/>
      </c>
      <c r="R600">
        <f>IF(K600="En coordinación",1,0)</f>
        <v/>
      </c>
      <c r="S600">
        <f>IF(K600="En coordinación",1,0)</f>
        <v/>
      </c>
      <c r="T600">
        <f>IF(K600="Realizada completa",1,0)</f>
        <v/>
      </c>
      <c r="U600">
        <f>IF(K600="Sin respuesta",1,0)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U996"/>
  <sheetViews>
    <sheetView topLeftCell="D1" zoomScale="85" zoomScaleNormal="98" workbookViewId="0">
      <selection activeCell="P10" sqref="P10"/>
    </sheetView>
  </sheetViews>
  <sheetFormatPr baseColWidth="10" defaultColWidth="11.453125" defaultRowHeight="14.5"/>
  <cols>
    <col min="1" max="1" width="22.81640625" style="21" bestFit="true" customWidth="true"/>
    <col min="2" max="2" width="38.7265625" style="23" customWidth="true"/>
    <col min="3" max="3" width="26.1796875" bestFit="true" customWidth="true"/>
    <col min="4" max="4" width="55.1796875" bestFit="true" customWidth="true"/>
    <col min="5" max="5" width="35.54296875" customWidth="true"/>
    <col min="6" max="6" width="30.54296875" customWidth="true"/>
    <col min="7" max="7" width="22.453125" bestFit="true" customWidth="true"/>
    <col min="9" max="11" width="21" style="2" bestFit="true" customWidth="true"/>
    <col min="12" max="12" width="21" style="1" bestFit="true" customWidth="true"/>
    <col min="13" max="13" width="21" style="2" bestFit="true" customWidth="true"/>
    <col min="14" max="14" width="21" style="1" customWidth="true"/>
    <col min="15" max="16" width="21" style="1" bestFit="true" customWidth="true"/>
    <col min="17" max="18" width="21" style="1" customWidth="true"/>
  </cols>
  <sheetData>
    <row r="1">
      <c r="A1" s="14" t="inlineStr">
        <is>
          <t>Identificador</t>
        </is>
      </c>
      <c r="B1" s="22" t="inlineStr">
        <is>
          <t>Nombre</t>
        </is>
      </c>
      <c r="C1" s="3" t="inlineStr">
        <is>
          <t>Tipo de grupo focal</t>
        </is>
      </c>
      <c r="D1" s="3" t="inlineStr">
        <is>
          <t>Institución</t>
        </is>
      </c>
      <c r="E1" s="3" t="inlineStr">
        <is>
          <t>Tipo de actor</t>
        </is>
      </c>
      <c r="F1" s="3" t="inlineStr">
        <is>
          <t>Distrito judicial</t>
        </is>
      </c>
      <c r="G1" s="3" t="inlineStr">
        <is>
          <t>Encargado de contacto</t>
        </is>
      </c>
      <c r="H1" s="3" t="inlineStr">
        <is>
          <t>Contacto</t>
        </is>
      </c>
      <c r="I1" s="18" t="inlineStr">
        <is>
          <t>Fecha de primer contacto</t>
        </is>
      </c>
      <c r="J1" s="18" t="inlineStr">
        <is>
          <t>Fecha de segundo contacto</t>
        </is>
      </c>
      <c r="K1" s="18" t="inlineStr">
        <is>
          <t>Fecha de tercer contacto</t>
        </is>
      </c>
      <c r="L1" s="3" t="inlineStr">
        <is>
          <t>Respuesta del actor</t>
        </is>
      </c>
      <c r="M1" s="18" t="inlineStr">
        <is>
          <t>Fecha de grupo focal</t>
        </is>
      </c>
      <c r="N1" s="3" t="inlineStr">
        <is>
          <t>Asistencia al grupo focal</t>
        </is>
      </c>
      <c r="O1" s="3" t="inlineStr">
        <is>
          <t>N° de Grupo Focal</t>
        </is>
      </c>
      <c r="P1" s="3" t="inlineStr">
        <is>
          <t>Duración total (min)</t>
        </is>
      </c>
      <c r="Q1" s="3" t="inlineStr">
        <is>
          <t>Dummy contacto</t>
        </is>
      </c>
      <c r="R1" s="3" t="inlineStr">
        <is>
          <t>Dummy coordinación</t>
        </is>
      </c>
      <c r="S1" s="3" t="inlineStr">
        <is>
          <t>Dummy considerado inicialmente</t>
        </is>
      </c>
      <c r="T1" s="3" t="inlineStr">
        <is>
          <t>Dummy asistencia</t>
        </is>
      </c>
      <c r="U1" s="3" t="inlineStr">
        <is>
          <t>Dummy aceptado</t>
        </is>
      </c>
    </row>
    <row r="2">
      <c r="A2" s="15">
        <f t="array" ref="A2:A994">+IF('Seguimiento grupos focales'!C7:C999&lt;&gt;"",'Seguimiento grupos focales'!C7:C999,"")</f>
        <v/>
      </c>
      <c r="B2" s="5">
        <f t="array" ref="B2:B994">+IF('Seguimiento grupos focales'!D7:D999&lt;&gt;"",'Seguimiento grupos focales'!D7:D999,"")</f>
        <v/>
      </c>
      <c r="C2" s="1">
        <f t="array" ref="C2:C994">+IF('Seguimiento grupos focales'!J7:J999&lt;&gt;"",'Seguimiento grupos focales'!J7:J999,"")</f>
        <v/>
      </c>
      <c r="D2" s="1">
        <f t="array" ref="D2:D994">+IF('Seguimiento grupos focales'!E7:E999&lt;&gt;"",'Seguimiento grupos focales'!E7:E999,"")</f>
        <v/>
      </c>
      <c r="E2" s="1">
        <f t="array" ref="E2:E994">+IF('Seguimiento grupos focales'!I7:I999&lt;&gt;"",'Seguimiento grupos focales'!I7:I999,"")</f>
        <v/>
      </c>
      <c r="F2" s="1">
        <f t="array" ref="F2:F994">+IF('Seguimiento grupos focales'!F7:F999&lt;&gt;"",'Seguimiento grupos focales'!F7:F999,"")</f>
        <v/>
      </c>
      <c r="G2" s="1">
        <f t="array" ref="G2:G994">+IF('Seguimiento grupos focales'!Q7:Q999&lt;&gt;"",'Seguimiento grupos focales'!Q7:Q999,"")</f>
        <v/>
      </c>
      <c r="H2" s="1">
        <f t="array" ref="H2:H994">+IF('Seguimiento grupos focales'!S7:S999&lt;&gt;"",'Seguimiento grupos focales'!S7:S999,"")</f>
        <v/>
      </c>
      <c r="I2" s="2">
        <f t="array" ref="I2:I994">+IF('Seguimiento grupos focales'!U7:U999&lt;&gt;"",'Seguimiento grupos focales'!U7:U999,"")</f>
        <v/>
      </c>
      <c r="J2" s="2">
        <f t="array" ref="J2:J994">+IF('Seguimiento grupos focales'!V7:V999&lt;&gt;"",'Seguimiento grupos focales'!V7:V999,"")</f>
        <v/>
      </c>
      <c r="K2" s="2">
        <f t="array" ref="K2:K994">+IF('Seguimiento grupos focales'!W7:W999&lt;&gt;"",'Seguimiento grupos focales'!W7:W999,"")</f>
        <v/>
      </c>
      <c r="L2" s="2">
        <f t="array" ref="L2:L994">+IF('Seguimiento grupos focales'!T7:T999&lt;&gt;"",'Seguimiento grupos focales'!T7:T999,"")</f>
        <v/>
      </c>
      <c r="M2" s="2">
        <f t="array" ref="M2:M994">+IF('Seguimiento grupos focales'!X7:X999&lt;&gt;"",'Seguimiento grupos focales'!X7:X999,"")</f>
        <v/>
      </c>
      <c r="N2" s="2">
        <f t="array" ref="N2:N994">+IF('Seguimiento grupos focales'!L7:L999&lt;&gt;"",'Seguimiento grupos focales'!L7:L999,"")</f>
        <v/>
      </c>
      <c r="O2" s="1">
        <f t="array" ref="O2:O994">+IF('Seguimiento grupos focales'!K7:K999&lt;&gt;"",'Seguimiento grupos focales'!K7:K999,"")</f>
        <v/>
      </c>
      <c r="P2" s="1">
        <f t="array" ref="P2:P994">+IF('Seguimiento grupos focales'!AC7:AC999&lt;&gt;"",'Seguimiento grupos focales'!AC7:AC999,"")</f>
        <v/>
      </c>
      <c r="Q2" s="1">
        <f>IF(H2="Sí",1,0)</f>
        <v/>
      </c>
      <c r="R2" s="1">
        <f>IF(L2="En coordinación",1,0)</f>
        <v/>
      </c>
      <c r="S2" t="n">
        <v>0</v>
      </c>
      <c r="T2">
        <f>IF(N2="Sí",1,0)</f>
        <v/>
      </c>
      <c r="U2">
        <f>IF(L2="Aceptada",1,0)</f>
        <v/>
      </c>
    </row>
    <row r="3">
      <c r="A3" s="15" t="inlineStr">
        <is>
          <t>2</t>
        </is>
      </c>
      <c r="B3" s="5" t="inlineStr">
        <is>
          <t>Cinthia Navarro</t>
        </is>
      </c>
      <c r="C3" s="1" t="inlineStr">
        <is>
          <t>Grupo focal de reconocimiento</t>
        </is>
      </c>
      <c r="D3" s="1" t="inlineStr">
        <is>
          <t>Oxfam</t>
        </is>
      </c>
      <c r="E3" s="1" t="inlineStr">
        <is>
          <t>Expertos en la temática</t>
        </is>
      </c>
      <c r="F3" s="1" t="inlineStr">
        <is>
          <t>Nacional</t>
        </is>
      </c>
      <c r="G3" s="1" t="inlineStr">
        <is>
          <t>IJM</t>
        </is>
      </c>
      <c r="H3" s="1" t="inlineStr">
        <is>
          <t>Sí</t>
        </is>
      </c>
      <c r="I3" s="2" t="inlineStr">
        <is>
          <t xml:space="preserve"> 4/27/2026</t>
        </is>
      </c>
      <c r="J3" s="2" t="inlineStr">
        <is>
          <t xml:space="preserve"> 6-May</t>
        </is>
      </c>
      <c r="K3" s="2" t="inlineStr">
        <is>
          <t>15-May</t>
        </is>
      </c>
      <c r="L3" s="1" t="inlineStr">
        <is>
          <t>Sin respuesta</t>
        </is>
      </c>
      <c r="M3" s="2" t="str"/>
      <c r="N3" s="1" t="str"/>
      <c r="O3" s="1" t="inlineStr">
        <is>
          <t>Grupo focal 2</t>
        </is>
      </c>
      <c r="P3" s="1" t="str"/>
      <c r="Q3" s="1">
        <f>IF(H3="Sí",1,0)</f>
        <v/>
      </c>
      <c r="R3" s="1">
        <f>IF(L3="En coordinación",1,0)</f>
        <v/>
      </c>
      <c r="S3" t="n">
        <v>1</v>
      </c>
      <c r="T3">
        <f>IF(N3="Sí",1,0)</f>
        <v/>
      </c>
      <c r="U3">
        <f>IF(L3="Aceptada",1,0)</f>
        <v/>
      </c>
    </row>
    <row r="4">
      <c r="A4" s="15" t="inlineStr">
        <is>
          <t>3</t>
        </is>
      </c>
      <c r="B4" s="5" t="inlineStr">
        <is>
          <t>Sofia Garcia</t>
        </is>
      </c>
      <c r="C4" s="1" t="inlineStr">
        <is>
          <t>Grupo focal de reconocimiento</t>
        </is>
      </c>
      <c r="D4" s="1" t="inlineStr">
        <is>
          <t>Instituto Promoviendo Desarrollo Social-IPRODES</t>
        </is>
      </c>
      <c r="E4" s="1" t="inlineStr">
        <is>
          <t>Expertos en la temática</t>
        </is>
      </c>
      <c r="F4" s="1" t="inlineStr">
        <is>
          <t>Distrito Judicial: Huánuco</t>
        </is>
      </c>
      <c r="G4" s="1" t="inlineStr">
        <is>
          <t>APOYO</t>
        </is>
      </c>
      <c r="H4" s="1" t="inlineStr">
        <is>
          <t>Sí</t>
        </is>
      </c>
      <c r="I4" s="2" t="inlineStr">
        <is>
          <t>29-Apr</t>
        </is>
      </c>
      <c r="J4" s="2" t="inlineStr">
        <is>
          <t xml:space="preserve"> 8-May</t>
        </is>
      </c>
      <c r="K4" s="2" t="inlineStr">
        <is>
          <t>14-May</t>
        </is>
      </c>
      <c r="L4" s="1" t="inlineStr">
        <is>
          <t>Aceptada</t>
        </is>
      </c>
      <c r="M4" s="2" t="inlineStr">
        <is>
          <t>20-May</t>
        </is>
      </c>
      <c r="N4" s="1" t="inlineStr">
        <is>
          <t>Sí</t>
        </is>
      </c>
      <c r="O4" s="1" t="inlineStr">
        <is>
          <t>Grupo focal 2</t>
        </is>
      </c>
      <c r="P4" s="1" t="str"/>
      <c r="Q4" s="1">
        <f>IF(H4="Sí",1,0)</f>
        <v/>
      </c>
      <c r="R4" s="1">
        <f>IF(L4="En coordinación",1,0)</f>
        <v/>
      </c>
      <c r="S4" t="n">
        <v>1</v>
      </c>
      <c r="T4">
        <f>IF(N4="Sí",1,0)</f>
        <v/>
      </c>
      <c r="U4">
        <f>IF(L4="Aceptada",1,0)</f>
        <v/>
      </c>
    </row>
    <row r="5">
      <c r="A5" s="15" t="inlineStr">
        <is>
          <t>4</t>
        </is>
      </c>
      <c r="B5" s="5" t="inlineStr">
        <is>
          <t>Sandra Contreras</t>
        </is>
      </c>
      <c r="C5" s="1" t="inlineStr">
        <is>
          <t>Grupo focal de reconocimiento</t>
        </is>
      </c>
      <c r="D5" s="1" t="inlineStr">
        <is>
          <t>World Vision</t>
        </is>
      </c>
      <c r="E5" s="1" t="inlineStr">
        <is>
          <t>Expertos en la temática</t>
        </is>
      </c>
      <c r="F5" s="1" t="inlineStr">
        <is>
          <t>Nacional</t>
        </is>
      </c>
      <c r="G5" s="1" t="inlineStr">
        <is>
          <t>APOYO</t>
        </is>
      </c>
      <c r="H5" s="1" t="inlineStr">
        <is>
          <t>Sí</t>
        </is>
      </c>
      <c r="I5" s="2" t="inlineStr">
        <is>
          <t xml:space="preserve"> 9-Apr</t>
        </is>
      </c>
      <c r="J5" s="2" t="inlineStr">
        <is>
          <t xml:space="preserve"> 6-May</t>
        </is>
      </c>
      <c r="K5" s="2" t="str"/>
      <c r="L5" s="1" t="inlineStr">
        <is>
          <t>Sin respuesta</t>
        </is>
      </c>
      <c r="M5" s="2" t="str"/>
      <c r="N5" s="1" t="str"/>
      <c r="O5" s="1" t="inlineStr">
        <is>
          <t>Grupo focal 2</t>
        </is>
      </c>
      <c r="P5" s="1" t="str"/>
      <c r="Q5" s="1">
        <f>IF(H5="Sí",1,0)</f>
        <v/>
      </c>
      <c r="R5" s="1">
        <f>IF(L5="En coordinación",1,0)</f>
        <v/>
      </c>
      <c r="S5" t="n">
        <v>1</v>
      </c>
      <c r="T5">
        <f>IF(N5="Sí",1,0)</f>
        <v/>
      </c>
      <c r="U5">
        <f>IF(L5="Aceptada",1,0)</f>
        <v/>
      </c>
    </row>
    <row r="6">
      <c r="A6" s="15" t="inlineStr">
        <is>
          <t>5</t>
        </is>
      </c>
      <c r="B6" s="5" t="inlineStr">
        <is>
          <t>Silvia Romero Borda</t>
        </is>
      </c>
      <c r="C6" s="1" t="inlineStr">
        <is>
          <t>Grupo focal de reconocimiento</t>
        </is>
      </c>
      <c r="D6" s="1" t="inlineStr">
        <is>
          <t>GIZ</t>
        </is>
      </c>
      <c r="E6" s="1" t="inlineStr">
        <is>
          <t>Expertos en la temática</t>
        </is>
      </c>
      <c r="F6" s="1" t="inlineStr">
        <is>
          <t>Nacional</t>
        </is>
      </c>
      <c r="G6" s="1" t="inlineStr">
        <is>
          <t>IJM</t>
        </is>
      </c>
      <c r="H6" s="1" t="inlineStr">
        <is>
          <t>Sí</t>
        </is>
      </c>
      <c r="I6" s="2" t="inlineStr">
        <is>
          <t xml:space="preserve"> 4/27/2026</t>
        </is>
      </c>
      <c r="J6" s="2" t="inlineStr">
        <is>
          <t>12-May</t>
        </is>
      </c>
      <c r="K6" s="2" t="inlineStr">
        <is>
          <t>14-May</t>
        </is>
      </c>
      <c r="L6" s="1" t="inlineStr">
        <is>
          <t>Aceptada</t>
        </is>
      </c>
      <c r="M6" s="2" t="inlineStr">
        <is>
          <t>11-May</t>
        </is>
      </c>
      <c r="N6" s="1" t="inlineStr">
        <is>
          <t>No</t>
        </is>
      </c>
      <c r="O6" s="1" t="inlineStr">
        <is>
          <t>Grupo focal 1</t>
        </is>
      </c>
      <c r="P6" s="1" t="str"/>
      <c r="Q6" s="1">
        <f>IF(H6="Sí",1,0)</f>
        <v/>
      </c>
      <c r="R6" s="1">
        <f>IF(L6="En coordinación",1,0)</f>
        <v/>
      </c>
      <c r="S6" t="n">
        <v>1</v>
      </c>
      <c r="T6">
        <f>IF(N6="Sí",1,0)</f>
        <v/>
      </c>
      <c r="U6">
        <f>IF(L6="Aceptada",1,0)</f>
        <v/>
      </c>
    </row>
    <row r="7">
      <c r="A7" s="15" t="inlineStr">
        <is>
          <t>6</t>
        </is>
      </c>
      <c r="B7" s="5" t="inlineStr">
        <is>
          <t>Sandy Martinez</t>
        </is>
      </c>
      <c r="C7" s="1" t="str"/>
      <c r="D7" s="1" t="inlineStr">
        <is>
          <t>GIZ</t>
        </is>
      </c>
      <c r="E7" s="1" t="str"/>
      <c r="F7" s="1" t="str"/>
      <c r="G7" s="1" t="str"/>
      <c r="H7" s="1" t="str"/>
      <c r="I7" s="2" t="str"/>
      <c r="J7" s="2" t="str"/>
      <c r="K7" s="2" t="str"/>
      <c r="L7" s="1" t="inlineStr">
        <is>
          <t>Aceptada</t>
        </is>
      </c>
      <c r="M7" s="2" t="inlineStr">
        <is>
          <t>20-May</t>
        </is>
      </c>
      <c r="N7" s="1" t="inlineStr">
        <is>
          <t>Sí</t>
        </is>
      </c>
      <c r="O7" s="1" t="str"/>
      <c r="P7" s="1" t="str"/>
      <c r="Q7" s="1">
        <f>IF(H7="Sí",1,0)</f>
        <v/>
      </c>
      <c r="R7" s="1">
        <f>IF(L7="En coordinación",1,0)</f>
        <v/>
      </c>
      <c r="S7" t="n">
        <v>1</v>
      </c>
      <c r="T7">
        <f>IF(N7="Sí",1,0)</f>
        <v/>
      </c>
      <c r="U7">
        <f>IF(L7="Aceptada",1,0)</f>
        <v/>
      </c>
    </row>
    <row r="8">
      <c r="A8" s="15" t="inlineStr">
        <is>
          <t>7</t>
        </is>
      </c>
      <c r="B8" s="5" t="inlineStr">
        <is>
          <t>Lissette Tobar</t>
        </is>
      </c>
      <c r="C8" s="1" t="inlineStr">
        <is>
          <t>Grupo focal de reconocimiento</t>
        </is>
      </c>
      <c r="D8" s="1" t="inlineStr">
        <is>
          <t>Fundación Arbol de la Vida</t>
        </is>
      </c>
      <c r="E8" s="1" t="inlineStr">
        <is>
          <t>Expertos en la temática</t>
        </is>
      </c>
      <c r="F8" s="1" t="inlineStr">
        <is>
          <t>Distrito Judicial: Ucayali</t>
        </is>
      </c>
      <c r="G8" s="1" t="inlineStr">
        <is>
          <t>IJM</t>
        </is>
      </c>
      <c r="H8" s="1" t="inlineStr">
        <is>
          <t>Sí</t>
        </is>
      </c>
      <c r="I8" s="2" t="inlineStr">
        <is>
          <t xml:space="preserve"> 4/27/2026</t>
        </is>
      </c>
      <c r="J8" s="2" t="inlineStr">
        <is>
          <t xml:space="preserve"> 6-May</t>
        </is>
      </c>
      <c r="K8" s="2" t="inlineStr">
        <is>
          <t>15-May</t>
        </is>
      </c>
      <c r="L8" s="1" t="inlineStr">
        <is>
          <t>Sin respuesta</t>
        </is>
      </c>
      <c r="M8" s="2" t="str"/>
      <c r="N8" s="1" t="str"/>
      <c r="O8" s="1" t="inlineStr">
        <is>
          <t>Grupo focal 2</t>
        </is>
      </c>
      <c r="P8" s="1" t="str"/>
      <c r="Q8" s="1">
        <f>IF(H8="Sí",1,0)</f>
        <v/>
      </c>
      <c r="R8" s="1">
        <f>IF(L8="En coordinación",1,0)</f>
        <v/>
      </c>
      <c r="S8" t="n">
        <v>1</v>
      </c>
      <c r="T8">
        <f>IF(N8="Sí",1,0)</f>
        <v/>
      </c>
      <c r="U8">
        <f>IF(L8="Aceptada",1,0)</f>
        <v/>
      </c>
    </row>
    <row r="9">
      <c r="A9" s="15" t="inlineStr">
        <is>
          <t>8</t>
        </is>
      </c>
      <c r="B9" s="5" t="inlineStr">
        <is>
          <t>Jenny Dador</t>
        </is>
      </c>
      <c r="C9" s="1" t="inlineStr">
        <is>
          <t>Grupo focal de reconocimiento</t>
        </is>
      </c>
      <c r="D9" s="1" t="inlineStr">
        <is>
          <t>Coordinadora de Derechos Humanos</t>
        </is>
      </c>
      <c r="E9" s="1" t="inlineStr">
        <is>
          <t>Expertos en la temática</t>
        </is>
      </c>
      <c r="F9" s="1" t="inlineStr">
        <is>
          <t>Distrito Judicial: Lima Este</t>
        </is>
      </c>
      <c r="G9" s="1" t="inlineStr">
        <is>
          <t>APOYO</t>
        </is>
      </c>
      <c r="H9" s="1" t="inlineStr">
        <is>
          <t>Sí</t>
        </is>
      </c>
      <c r="I9" s="2" t="inlineStr">
        <is>
          <t>29-Apr</t>
        </is>
      </c>
      <c r="J9" s="2" t="inlineStr">
        <is>
          <t xml:space="preserve"> 6-May</t>
        </is>
      </c>
      <c r="K9" s="2" t="inlineStr">
        <is>
          <t>14-May</t>
        </is>
      </c>
      <c r="L9" s="1" t="inlineStr">
        <is>
          <t>Sin respuesta</t>
        </is>
      </c>
      <c r="M9" s="2" t="str"/>
      <c r="N9" s="1" t="str"/>
      <c r="O9" s="1" t="inlineStr">
        <is>
          <t>Grupo focal 1</t>
        </is>
      </c>
      <c r="P9" s="1" t="str"/>
      <c r="Q9" s="1">
        <f>IF(H9="Sí",1,0)</f>
        <v/>
      </c>
      <c r="R9" s="1">
        <f>IF(L9="En coordinación",1,0)</f>
        <v/>
      </c>
      <c r="S9" t="n">
        <v>1</v>
      </c>
      <c r="T9">
        <f>IF(N9="Sí",1,0)</f>
        <v/>
      </c>
      <c r="U9">
        <f>IF(L9="Aceptada",1,0)</f>
        <v/>
      </c>
    </row>
    <row r="10">
      <c r="A10" s="15" t="inlineStr">
        <is>
          <t>9</t>
        </is>
      </c>
      <c r="B10" s="5" t="inlineStr">
        <is>
          <t>Oscar Andrés Alva Arías</t>
        </is>
      </c>
      <c r="C10" s="1" t="inlineStr">
        <is>
          <t>Grupo focal de reconocimiento</t>
        </is>
      </c>
      <c r="D10" s="1" t="inlineStr">
        <is>
          <t xml:space="preserve">Ministerio de la Mujer </t>
        </is>
      </c>
      <c r="E10" s="1" t="inlineStr">
        <is>
          <t>Actores locales</t>
        </is>
      </c>
      <c r="F10" s="1" t="inlineStr">
        <is>
          <t>Nacional</t>
        </is>
      </c>
      <c r="G10" s="1" t="inlineStr">
        <is>
          <t>IJM</t>
        </is>
      </c>
      <c r="H10" s="1" t="inlineStr">
        <is>
          <t>Sí</t>
        </is>
      </c>
      <c r="I10" s="2" t="inlineStr">
        <is>
          <t xml:space="preserve"> 4/27/2026</t>
        </is>
      </c>
      <c r="J10" s="2" t="str"/>
      <c r="K10" s="2" t="str"/>
      <c r="L10" s="1" t="inlineStr">
        <is>
          <t>Aceptada</t>
        </is>
      </c>
      <c r="M10" s="2" t="inlineStr">
        <is>
          <t>20-May</t>
        </is>
      </c>
      <c r="N10" s="1" t="inlineStr">
        <is>
          <t>Sí</t>
        </is>
      </c>
      <c r="O10" s="1" t="inlineStr">
        <is>
          <t>Grupo focal 2</t>
        </is>
      </c>
      <c r="P10" s="1" t="str"/>
      <c r="Q10" s="1">
        <f>IF(H10="Sí",1,0)</f>
        <v/>
      </c>
      <c r="R10" s="1">
        <f>IF(L10="En coordinación",1,0)</f>
        <v/>
      </c>
      <c r="S10" t="n">
        <v>1</v>
      </c>
      <c r="T10">
        <f>IF(N10="Sí",1,0)</f>
        <v/>
      </c>
      <c r="U10">
        <f>IF(L10="Aceptada",1,0)</f>
        <v/>
      </c>
    </row>
    <row r="11">
      <c r="A11" s="15" t="inlineStr">
        <is>
          <t>10</t>
        </is>
      </c>
      <c r="B11" s="5" t="inlineStr">
        <is>
          <t>Gloria Cano</t>
        </is>
      </c>
      <c r="C11" s="1" t="inlineStr">
        <is>
          <t>Grupo focal de reconocimiento</t>
        </is>
      </c>
      <c r="D11" s="1" t="inlineStr">
        <is>
          <t>Asociación Pro Derechos Humanos (APRODEH)</t>
        </is>
      </c>
      <c r="E11" s="1" t="inlineStr">
        <is>
          <t>Actores locales</t>
        </is>
      </c>
      <c r="F11" s="1" t="inlineStr">
        <is>
          <t>Nacional</t>
        </is>
      </c>
      <c r="G11" s="1" t="inlineStr">
        <is>
          <t>APOYO</t>
        </is>
      </c>
      <c r="H11" s="1" t="inlineStr">
        <is>
          <t>Sí</t>
        </is>
      </c>
      <c r="I11" s="2" t="inlineStr">
        <is>
          <t>29-Apr</t>
        </is>
      </c>
      <c r="J11" s="2" t="inlineStr">
        <is>
          <t xml:space="preserve"> 6-May</t>
        </is>
      </c>
      <c r="K11" s="2" t="str"/>
      <c r="L11" s="1" t="inlineStr">
        <is>
          <t>Sin respuesta</t>
        </is>
      </c>
      <c r="M11" s="2" t="str"/>
      <c r="N11" s="1" t="str"/>
      <c r="O11" s="1" t="inlineStr">
        <is>
          <t>Grupo focal 1</t>
        </is>
      </c>
      <c r="P11" s="1" t="str"/>
      <c r="Q11" s="1">
        <f>IF(H11="Sí",1,0)</f>
        <v/>
      </c>
      <c r="R11" s="1">
        <f>IF(L11="En coordinación",1,0)</f>
        <v/>
      </c>
      <c r="S11" t="n">
        <v>1</v>
      </c>
      <c r="T11">
        <f>IF(N11="Sí",1,0)</f>
        <v/>
      </c>
      <c r="U11">
        <f>IF(L11="Aceptada",1,0)</f>
        <v/>
      </c>
    </row>
    <row r="12">
      <c r="A12" s="15" t="inlineStr">
        <is>
          <t>11</t>
        </is>
      </c>
      <c r="B12" s="5" t="inlineStr">
        <is>
          <t>Maria Elena Bazan Ponce de Leon</t>
        </is>
      </c>
      <c r="C12" s="1" t="inlineStr">
        <is>
          <t>Grupo focal de reconocimiento</t>
        </is>
      </c>
      <c r="D12" s="1" t="inlineStr">
        <is>
          <t>Centros de Acogida Residencial</t>
        </is>
      </c>
      <c r="E12" s="1" t="inlineStr">
        <is>
          <t>Actores locales</t>
        </is>
      </c>
      <c r="F12" s="1" t="inlineStr">
        <is>
          <t>Distrito Judicial: Lima Norte</t>
        </is>
      </c>
      <c r="G12" s="1" t="inlineStr">
        <is>
          <t>APOYO</t>
        </is>
      </c>
      <c r="H12" s="1" t="inlineStr">
        <is>
          <t>Sí</t>
        </is>
      </c>
      <c r="I12" s="2" t="inlineStr">
        <is>
          <t>29-Apr</t>
        </is>
      </c>
      <c r="J12" s="2" t="inlineStr">
        <is>
          <t xml:space="preserve"> 6-May</t>
        </is>
      </c>
      <c r="K12" s="2" t="inlineStr">
        <is>
          <t xml:space="preserve"> 8-May</t>
        </is>
      </c>
      <c r="L12" s="1" t="inlineStr">
        <is>
          <t>Sin respuesta</t>
        </is>
      </c>
      <c r="M12" s="2" t="str"/>
      <c r="N12" s="1" t="str"/>
      <c r="O12" s="1" t="inlineStr">
        <is>
          <t>Grupo focal 2</t>
        </is>
      </c>
      <c r="P12" s="1" t="str"/>
      <c r="Q12" s="1">
        <f>IF(H12="Sí",1,0)</f>
        <v/>
      </c>
      <c r="R12" s="1">
        <f>IF(L12="En coordinación",1,0)</f>
        <v/>
      </c>
      <c r="S12" t="n">
        <v>1</v>
      </c>
      <c r="T12">
        <f>IF(N12="Sí",1,0)</f>
        <v/>
      </c>
      <c r="U12">
        <f>IF(L12="Aceptada",1,0)</f>
        <v/>
      </c>
    </row>
    <row r="13">
      <c r="A13" s="15" t="inlineStr">
        <is>
          <t>12</t>
        </is>
      </c>
      <c r="B13" s="5" t="inlineStr">
        <is>
          <t>Sara Estela Rivera Almerco</t>
        </is>
      </c>
      <c r="C13" s="1" t="inlineStr">
        <is>
          <t>Grupo focal de reconocimiento</t>
        </is>
      </c>
      <c r="D13" s="1" t="inlineStr">
        <is>
          <t>Centros de Acogida Residencial</t>
        </is>
      </c>
      <c r="E13" s="1" t="inlineStr">
        <is>
          <t>Actores locales</t>
        </is>
      </c>
      <c r="F13" s="1" t="inlineStr">
        <is>
          <t>Distrito Judicial: Huánuco</t>
        </is>
      </c>
      <c r="G13" s="1" t="inlineStr">
        <is>
          <t>APOYO</t>
        </is>
      </c>
      <c r="H13" s="1" t="inlineStr">
        <is>
          <t>Sí</t>
        </is>
      </c>
      <c r="I13" s="2" t="inlineStr">
        <is>
          <t>29-Apr</t>
        </is>
      </c>
      <c r="J13" s="2" t="inlineStr">
        <is>
          <t xml:space="preserve"> 6-May</t>
        </is>
      </c>
      <c r="K13" s="2" t="inlineStr">
        <is>
          <t xml:space="preserve"> 8-May</t>
        </is>
      </c>
      <c r="L13" s="1" t="inlineStr">
        <is>
          <t>Sin respuesta</t>
        </is>
      </c>
      <c r="M13" s="2" t="str"/>
      <c r="N13" s="1" t="str"/>
      <c r="O13" s="1" t="inlineStr">
        <is>
          <t>Grupo focal 1</t>
        </is>
      </c>
      <c r="P13" s="1" t="str"/>
      <c r="Q13" s="1">
        <f>IF(H13="Sí",1,0)</f>
        <v/>
      </c>
      <c r="R13" s="1">
        <f>IF(L13="En coordinación",1,0)</f>
        <v/>
      </c>
      <c r="S13" t="n">
        <v>1</v>
      </c>
      <c r="T13">
        <f>IF(N13="Sí",1,0)</f>
        <v/>
      </c>
      <c r="U13">
        <f>IF(L13="Aceptada",1,0)</f>
        <v/>
      </c>
    </row>
    <row r="14">
      <c r="A14" s="15" t="inlineStr">
        <is>
          <t>13</t>
        </is>
      </c>
      <c r="B14" s="5" t="inlineStr">
        <is>
          <t>Soledad Chavez Bedoya</t>
        </is>
      </c>
      <c r="C14" s="1" t="inlineStr">
        <is>
          <t>Grupo focal de reconocimiento</t>
        </is>
      </c>
      <c r="D14" s="1" t="inlineStr">
        <is>
          <t>Centros de Acogida Residencial</t>
        </is>
      </c>
      <c r="E14" s="1" t="inlineStr">
        <is>
          <t>Actores locales</t>
        </is>
      </c>
      <c r="F14" s="1" t="inlineStr">
        <is>
          <t>Distrito Judicial: Lima</t>
        </is>
      </c>
      <c r="G14" s="1" t="inlineStr">
        <is>
          <t>APOYO</t>
        </is>
      </c>
      <c r="H14" s="1" t="inlineStr">
        <is>
          <t>No</t>
        </is>
      </c>
      <c r="I14" s="2" t="inlineStr">
        <is>
          <t xml:space="preserve"> 8-May</t>
        </is>
      </c>
      <c r="J14" s="2" t="inlineStr">
        <is>
          <t>12-May</t>
        </is>
      </c>
      <c r="K14" s="2" t="inlineStr">
        <is>
          <t>15-May</t>
        </is>
      </c>
      <c r="L14" s="1" t="inlineStr">
        <is>
          <t>Sin respuesta</t>
        </is>
      </c>
      <c r="M14" s="2" t="str"/>
      <c r="N14" s="1" t="str"/>
      <c r="O14" s="1" t="inlineStr">
        <is>
          <t>Grupo focal 2</t>
        </is>
      </c>
      <c r="P14" s="1" t="str"/>
      <c r="Q14" s="1">
        <f>IF(H14="Sí",1,0)</f>
        <v/>
      </c>
      <c r="R14" s="1">
        <f>IF(L14="En coordinación",1,0)</f>
        <v/>
      </c>
      <c r="S14" t="n">
        <v>1</v>
      </c>
      <c r="T14">
        <f>IF(N14="Sí",1,0)</f>
        <v/>
      </c>
      <c r="U14">
        <f>IF(L14="Aceptada",1,0)</f>
        <v/>
      </c>
    </row>
    <row r="15">
      <c r="A15" s="15" t="inlineStr">
        <is>
          <t>14</t>
        </is>
      </c>
      <c r="B15" s="5" t="inlineStr">
        <is>
          <t>Silvia Arteaga</t>
        </is>
      </c>
      <c r="C15" s="1" t="inlineStr">
        <is>
          <t>Grupo focal de reconocimiento</t>
        </is>
      </c>
      <c r="D15" s="1" t="inlineStr">
        <is>
          <t>Centros de Acogida Residencial</t>
        </is>
      </c>
      <c r="E15" s="1" t="inlineStr">
        <is>
          <t>Actores locales</t>
        </is>
      </c>
      <c r="F15" s="1" t="inlineStr">
        <is>
          <t>Distrito Judicial: Lima Este</t>
        </is>
      </c>
      <c r="G15" s="1" t="inlineStr">
        <is>
          <t>APOYO</t>
        </is>
      </c>
      <c r="H15" s="1" t="inlineStr">
        <is>
          <t>Sí</t>
        </is>
      </c>
      <c r="I15" s="2" t="inlineStr">
        <is>
          <t>29-Apr</t>
        </is>
      </c>
      <c r="J15" s="2" t="inlineStr">
        <is>
          <t xml:space="preserve"> 6-May</t>
        </is>
      </c>
      <c r="K15" s="2" t="inlineStr">
        <is>
          <t xml:space="preserve"> 8-May</t>
        </is>
      </c>
      <c r="L15" s="1" t="inlineStr">
        <is>
          <t>Aceptada</t>
        </is>
      </c>
      <c r="M15" s="2" t="inlineStr">
        <is>
          <t>20-May</t>
        </is>
      </c>
      <c r="N15" s="1" t="str"/>
      <c r="O15" s="1" t="inlineStr">
        <is>
          <t>Grupo focal 2</t>
        </is>
      </c>
      <c r="P15" s="1" t="str"/>
      <c r="Q15" s="1">
        <f>IF(H15="Sí",1,0)</f>
        <v/>
      </c>
      <c r="R15" s="1">
        <f>IF(L15="En coordinación",1,0)</f>
        <v/>
      </c>
      <c r="S15" t="n">
        <v>1</v>
      </c>
      <c r="T15">
        <f>IF(N15="Sí",1,0)</f>
        <v/>
      </c>
      <c r="U15">
        <f>IF(L15="Aceptada",1,0)</f>
        <v/>
      </c>
    </row>
    <row r="16">
      <c r="A16" s="15" t="inlineStr">
        <is>
          <t>15</t>
        </is>
      </c>
      <c r="B16" s="5" t="inlineStr">
        <is>
          <t>Karolina</t>
        </is>
      </c>
      <c r="C16" s="1" t="inlineStr">
        <is>
          <t>Grupo focal de reconocimiento</t>
        </is>
      </c>
      <c r="D16" s="1" t="inlineStr">
        <is>
          <t>Centros de Acogida Residencial</t>
        </is>
      </c>
      <c r="E16" s="1" t="inlineStr">
        <is>
          <t>Actores locales</t>
        </is>
      </c>
      <c r="F16" s="1" t="inlineStr">
        <is>
          <t>Distrito Judicial: Lima Este</t>
        </is>
      </c>
      <c r="G16" s="1" t="inlineStr">
        <is>
          <t>APOYO</t>
        </is>
      </c>
      <c r="H16" s="1" t="inlineStr">
        <is>
          <t>Sí</t>
        </is>
      </c>
      <c r="I16" s="2" t="inlineStr">
        <is>
          <t>11-May</t>
        </is>
      </c>
      <c r="J16" s="2" t="str"/>
      <c r="K16" s="2" t="str"/>
      <c r="L16" s="1" t="inlineStr">
        <is>
          <t>Aceptada</t>
        </is>
      </c>
      <c r="M16" s="2" t="inlineStr">
        <is>
          <t>20-May</t>
        </is>
      </c>
      <c r="N16" s="1" t="str"/>
      <c r="O16" s="1" t="inlineStr">
        <is>
          <t>Grupo focal 2</t>
        </is>
      </c>
      <c r="P16" s="1" t="str"/>
      <c r="Q16" s="1">
        <f>IF(H16="Sí",1,0)</f>
        <v/>
      </c>
      <c r="R16" s="1">
        <f>IF(L16="En coordinación",1,0)</f>
        <v/>
      </c>
      <c r="S16" t="n">
        <v>1</v>
      </c>
      <c r="T16">
        <f>IF(N16="Sí",1,0)</f>
        <v/>
      </c>
      <c r="U16">
        <f>IF(L16="Aceptada",1,0)</f>
        <v/>
      </c>
    </row>
    <row r="17">
      <c r="A17" s="15" t="inlineStr">
        <is>
          <t>16</t>
        </is>
      </c>
      <c r="B17" s="5" t="inlineStr">
        <is>
          <t>Carol Tremont</t>
        </is>
      </c>
      <c r="C17" s="1" t="inlineStr">
        <is>
          <t>Grupo focal de reconocimiento</t>
        </is>
      </c>
      <c r="D17" s="1" t="inlineStr">
        <is>
          <t>Asociación Protección Población Vulnerable</t>
        </is>
      </c>
      <c r="E17" s="1" t="inlineStr">
        <is>
          <t>Actores locales</t>
        </is>
      </c>
      <c r="F17" s="1" t="inlineStr">
        <is>
          <t>Distrito Judicial: Lima</t>
        </is>
      </c>
      <c r="G17" s="1" t="inlineStr">
        <is>
          <t>APOYO</t>
        </is>
      </c>
      <c r="H17" s="1" t="inlineStr">
        <is>
          <t>Sí</t>
        </is>
      </c>
      <c r="I17" s="2" t="inlineStr">
        <is>
          <t>29-Apr</t>
        </is>
      </c>
      <c r="J17" s="2" t="inlineStr">
        <is>
          <t xml:space="preserve"> 6-May</t>
        </is>
      </c>
      <c r="K17" s="2" t="str"/>
      <c r="L17" s="1" t="inlineStr">
        <is>
          <t>Sin respuesta</t>
        </is>
      </c>
      <c r="M17" s="2" t="str"/>
      <c r="N17" s="1" t="str"/>
      <c r="O17" s="1" t="inlineStr">
        <is>
          <t>Grupo focal 2</t>
        </is>
      </c>
      <c r="P17" s="1" t="str"/>
      <c r="Q17" s="1">
        <f>IF(H17="Sí",1,0)</f>
        <v/>
      </c>
      <c r="R17" s="1">
        <f>IF(L17="En coordinación",1,0)</f>
        <v/>
      </c>
      <c r="S17" t="n">
        <v>1</v>
      </c>
      <c r="T17">
        <f>IF(N17="Sí",1,0)</f>
        <v/>
      </c>
      <c r="U17">
        <f>IF(L17="Aceptada",1,0)</f>
        <v/>
      </c>
    </row>
    <row r="18">
      <c r="A18" s="15" t="inlineStr">
        <is>
          <t>17</t>
        </is>
      </c>
      <c r="B18" s="5" t="inlineStr">
        <is>
          <t>Intikilla Eutropía Delgado Castro</t>
        </is>
      </c>
      <c r="C18" s="1" t="inlineStr">
        <is>
          <t>Grupo focal de reconocimiento</t>
        </is>
      </c>
      <c r="D18" s="1" t="inlineStr">
        <is>
          <t>Asociación Kallpa</t>
        </is>
      </c>
      <c r="E18" s="1" t="inlineStr">
        <is>
          <t>Actores locales</t>
        </is>
      </c>
      <c r="F18" s="1" t="inlineStr">
        <is>
          <t>Distrito Judicial: Ayacucho</t>
        </is>
      </c>
      <c r="G18" s="1" t="inlineStr">
        <is>
          <t>APOYO</t>
        </is>
      </c>
      <c r="H18" s="1" t="inlineStr">
        <is>
          <t>Sí</t>
        </is>
      </c>
      <c r="I18" s="2" t="inlineStr">
        <is>
          <t>29-Apr</t>
        </is>
      </c>
      <c r="J18" s="2" t="inlineStr">
        <is>
          <t xml:space="preserve"> 6-May</t>
        </is>
      </c>
      <c r="K18" s="2" t="inlineStr">
        <is>
          <t xml:space="preserve"> 8-May</t>
        </is>
      </c>
      <c r="L18" s="1" t="inlineStr">
        <is>
          <t>Sin respuesta</t>
        </is>
      </c>
      <c r="M18" s="2" t="str"/>
      <c r="N18" s="1" t="str"/>
      <c r="O18" s="1" t="inlineStr">
        <is>
          <t>Grupo focal 1</t>
        </is>
      </c>
      <c r="P18" s="1" t="str"/>
      <c r="Q18" s="1">
        <f>IF(H18="Sí",1,0)</f>
        <v/>
      </c>
      <c r="R18" s="1">
        <f>IF(L18="En coordinación",1,0)</f>
        <v/>
      </c>
      <c r="S18" t="n">
        <v>1</v>
      </c>
      <c r="T18">
        <f>IF(N18="Sí",1,0)</f>
        <v/>
      </c>
      <c r="U18">
        <f>IF(L18="Aceptada",1,0)</f>
        <v/>
      </c>
    </row>
    <row r="19">
      <c r="A19" s="15" t="inlineStr">
        <is>
          <t>18</t>
        </is>
      </c>
      <c r="B19" s="5" t="inlineStr">
        <is>
          <t>Rosario Cosar</t>
        </is>
      </c>
      <c r="C19" s="1" t="inlineStr">
        <is>
          <t>Grupo focal de reconocimiento</t>
        </is>
      </c>
      <c r="D19" s="1" t="inlineStr">
        <is>
          <t>Asociación Kallpa</t>
        </is>
      </c>
      <c r="E19" s="1" t="inlineStr">
        <is>
          <t>Actores locales</t>
        </is>
      </c>
      <c r="F19" s="1" t="inlineStr">
        <is>
          <t>Nacional</t>
        </is>
      </c>
      <c r="G19" s="1" t="inlineStr">
        <is>
          <t>APOYO</t>
        </is>
      </c>
      <c r="H19" s="1" t="inlineStr">
        <is>
          <t>Sí</t>
        </is>
      </c>
      <c r="I19" s="2" t="inlineStr">
        <is>
          <t>29-Apr</t>
        </is>
      </c>
      <c r="J19" s="2" t="inlineStr">
        <is>
          <t xml:space="preserve"> 6-May</t>
        </is>
      </c>
      <c r="K19" s="2" t="inlineStr">
        <is>
          <t xml:space="preserve"> 8-May</t>
        </is>
      </c>
      <c r="L19" s="1" t="inlineStr">
        <is>
          <t>Sin respuesta</t>
        </is>
      </c>
      <c r="M19" s="2" t="str"/>
      <c r="N19" s="1" t="str"/>
      <c r="O19" s="1" t="inlineStr">
        <is>
          <t>Grupo focal 2</t>
        </is>
      </c>
      <c r="P19" s="1" t="str"/>
      <c r="Q19" s="1">
        <f>IF(H19="Sí",1,0)</f>
        <v/>
      </c>
      <c r="R19" s="1">
        <f>IF(L19="En coordinación",1,0)</f>
        <v/>
      </c>
      <c r="S19" t="n">
        <v>1</v>
      </c>
      <c r="T19">
        <f>IF(N19="Sí",1,0)</f>
        <v/>
      </c>
      <c r="U19">
        <f>IF(L19="Aceptada",1,0)</f>
        <v/>
      </c>
    </row>
    <row r="20">
      <c r="A20" s="15" t="inlineStr">
        <is>
          <t>19</t>
        </is>
      </c>
      <c r="B20" s="5" t="inlineStr">
        <is>
          <t>Lourdes Febres</t>
        </is>
      </c>
      <c r="C20" s="1" t="inlineStr">
        <is>
          <t>Grupo focal de reconocimiento</t>
        </is>
      </c>
      <c r="D20" s="1" t="inlineStr">
        <is>
          <t>Acción por los niños</t>
        </is>
      </c>
      <c r="E20" s="1" t="inlineStr">
        <is>
          <t>Actores locales</t>
        </is>
      </c>
      <c r="F20" s="1" t="inlineStr">
        <is>
          <t>Distrito Judicial: Cajamarca</t>
        </is>
      </c>
      <c r="G20" s="1" t="inlineStr">
        <is>
          <t>APOYO</t>
        </is>
      </c>
      <c r="H20" s="1" t="inlineStr">
        <is>
          <t>Sí</t>
        </is>
      </c>
      <c r="I20" s="2" t="inlineStr">
        <is>
          <t>29-Apr</t>
        </is>
      </c>
      <c r="J20" s="2" t="inlineStr">
        <is>
          <t xml:space="preserve"> 6-May</t>
        </is>
      </c>
      <c r="K20" s="2" t="str"/>
      <c r="L20" s="1" t="inlineStr">
        <is>
          <t>Aceptada</t>
        </is>
      </c>
      <c r="M20" s="2" t="inlineStr">
        <is>
          <t>20-May</t>
        </is>
      </c>
      <c r="N20" s="1" t="inlineStr">
        <is>
          <t>Sí</t>
        </is>
      </c>
      <c r="O20" s="1" t="inlineStr">
        <is>
          <t>Grupo focal 2</t>
        </is>
      </c>
      <c r="P20" s="1" t="str"/>
      <c r="Q20" s="1">
        <f>IF(H20="Sí",1,0)</f>
        <v/>
      </c>
      <c r="R20" s="1">
        <f>IF(L20="En coordinación",1,0)</f>
        <v/>
      </c>
      <c r="S20" t="n">
        <v>1</v>
      </c>
      <c r="T20">
        <f>IF(N20="Sí",1,0)</f>
        <v/>
      </c>
      <c r="U20">
        <f>IF(L20="Aceptada",1,0)</f>
        <v/>
      </c>
    </row>
    <row r="21">
      <c r="A21" s="15" t="inlineStr">
        <is>
          <t>20</t>
        </is>
      </c>
      <c r="B21" s="5" t="inlineStr">
        <is>
          <t>Magaly Blas</t>
        </is>
      </c>
      <c r="C21" s="1" t="inlineStr">
        <is>
          <t>Grupo focal de reconocimiento</t>
        </is>
      </c>
      <c r="D21" s="1" t="inlineStr">
        <is>
          <t>Colegio Médico del Perú</t>
        </is>
      </c>
      <c r="E21" s="1" t="inlineStr">
        <is>
          <t>Actores locales</t>
        </is>
      </c>
      <c r="F21" s="1" t="inlineStr">
        <is>
          <t>Distrito Judicial: Lima Norte</t>
        </is>
      </c>
      <c r="G21" s="1" t="inlineStr">
        <is>
          <t>APOYO</t>
        </is>
      </c>
      <c r="H21" s="1" t="inlineStr">
        <is>
          <t>Sí</t>
        </is>
      </c>
      <c r="I21" s="2" t="inlineStr">
        <is>
          <t>29-Apr</t>
        </is>
      </c>
      <c r="J21" s="2" t="inlineStr">
        <is>
          <t xml:space="preserve"> 6-May</t>
        </is>
      </c>
      <c r="K21" s="2" t="str"/>
      <c r="L21" s="1" t="inlineStr">
        <is>
          <t>Sin respuesta</t>
        </is>
      </c>
      <c r="M21" s="2" t="str"/>
      <c r="N21" s="1" t="str"/>
      <c r="O21" s="1" t="inlineStr">
        <is>
          <t>Grupo focal 2</t>
        </is>
      </c>
      <c r="P21" s="1" t="str"/>
      <c r="Q21" s="1">
        <f>IF(H21="Sí",1,0)</f>
        <v/>
      </c>
      <c r="R21" s="1">
        <f>IF(L21="En coordinación",1,0)</f>
        <v/>
      </c>
      <c r="S21" t="n">
        <v>1</v>
      </c>
      <c r="T21">
        <f>IF(N21="Sí",1,0)</f>
        <v/>
      </c>
      <c r="U21">
        <f>IF(L21="Aceptada",1,0)</f>
        <v/>
      </c>
    </row>
    <row r="22">
      <c r="A22" s="15" t="inlineStr">
        <is>
          <t>21</t>
        </is>
      </c>
      <c r="B22" s="5" t="inlineStr">
        <is>
          <t>Gabriela Osco Chuquizuta</t>
        </is>
      </c>
      <c r="C22" s="1" t="inlineStr">
        <is>
          <t>Grupo focal de reconocimiento</t>
        </is>
      </c>
      <c r="D22" s="1" t="inlineStr">
        <is>
          <t>Red Interquorum</t>
        </is>
      </c>
      <c r="E22" s="1" t="inlineStr">
        <is>
          <t>Actores locales</t>
        </is>
      </c>
      <c r="F22" s="1" t="inlineStr">
        <is>
          <t>Nacional</t>
        </is>
      </c>
      <c r="G22" s="1" t="inlineStr">
        <is>
          <t>APOYO</t>
        </is>
      </c>
      <c r="H22" s="1" t="inlineStr">
        <is>
          <t>Sí</t>
        </is>
      </c>
      <c r="I22" s="2" t="inlineStr">
        <is>
          <t>29-Apr</t>
        </is>
      </c>
      <c r="J22" s="2" t="inlineStr">
        <is>
          <t xml:space="preserve"> 6-May</t>
        </is>
      </c>
      <c r="K22" s="2" t="str"/>
      <c r="L22" s="1" t="inlineStr">
        <is>
          <t>Sin respuesta</t>
        </is>
      </c>
      <c r="M22" s="2" t="str"/>
      <c r="N22" s="1" t="str"/>
      <c r="O22" s="1" t="inlineStr">
        <is>
          <t>Grupo focal 1</t>
        </is>
      </c>
      <c r="P22" s="1" t="str"/>
      <c r="Q22" s="1">
        <f>IF(H22="Sí",1,0)</f>
        <v/>
      </c>
      <c r="R22" s="1">
        <f>IF(L22="En coordinación",1,0)</f>
        <v/>
      </c>
      <c r="S22" t="n">
        <v>1</v>
      </c>
      <c r="T22">
        <f>IF(N22="Sí",1,0)</f>
        <v/>
      </c>
      <c r="U22">
        <f>IF(L22="Aceptada",1,0)</f>
        <v/>
      </c>
    </row>
    <row r="23">
      <c r="A23" s="15" t="inlineStr">
        <is>
          <t>22</t>
        </is>
      </c>
      <c r="B23" s="5" t="inlineStr">
        <is>
          <t>Inés Agresott</t>
        </is>
      </c>
      <c r="C23" s="1" t="inlineStr">
        <is>
          <t>Grupo focal de reconocimiento</t>
        </is>
      </c>
      <c r="D23" s="1" t="inlineStr">
        <is>
          <t>Mujeres Migrantes Maltratadas</t>
        </is>
      </c>
      <c r="E23" s="1" t="inlineStr">
        <is>
          <t>Actores locales</t>
        </is>
      </c>
      <c r="F23" s="1" t="inlineStr">
        <is>
          <t>Nacional</t>
        </is>
      </c>
      <c r="G23" s="1" t="inlineStr">
        <is>
          <t>APOYO</t>
        </is>
      </c>
      <c r="H23" s="1" t="inlineStr">
        <is>
          <t>Sí</t>
        </is>
      </c>
      <c r="I23" s="2" t="inlineStr">
        <is>
          <t>29-Apr</t>
        </is>
      </c>
      <c r="J23" s="2" t="inlineStr">
        <is>
          <t xml:space="preserve"> 6-May</t>
        </is>
      </c>
      <c r="K23" s="2" t="str"/>
      <c r="L23" s="1" t="inlineStr">
        <is>
          <t>Sin respuesta</t>
        </is>
      </c>
      <c r="M23" s="2" t="str"/>
      <c r="N23" s="1" t="str"/>
      <c r="O23" s="1" t="inlineStr">
        <is>
          <t>Grupo focal 2</t>
        </is>
      </c>
      <c r="P23" s="1" t="str"/>
      <c r="Q23" s="1">
        <f>IF(H23="Sí",1,0)</f>
        <v/>
      </c>
      <c r="R23" s="1">
        <f>IF(L23="En coordinación",1,0)</f>
        <v/>
      </c>
      <c r="S23" t="n">
        <v>1</v>
      </c>
      <c r="T23">
        <f>IF(N23="Sí",1,0)</f>
        <v/>
      </c>
      <c r="U23">
        <f>IF(L23="Aceptada",1,0)</f>
        <v/>
      </c>
    </row>
    <row r="24">
      <c r="A24" s="15" t="inlineStr">
        <is>
          <t>23</t>
        </is>
      </c>
      <c r="B24" s="5" t="inlineStr">
        <is>
          <t>Arlette Contreras</t>
        </is>
      </c>
      <c r="C24" s="1" t="inlineStr">
        <is>
          <t>Grupo focal de reconocimiento</t>
        </is>
      </c>
      <c r="D24" s="1" t="inlineStr">
        <is>
          <t>Ni una menos</t>
        </is>
      </c>
      <c r="E24" s="1" t="inlineStr">
        <is>
          <t>Actores locales</t>
        </is>
      </c>
      <c r="F24" s="1" t="inlineStr">
        <is>
          <t>Distrito Judicial: Cusco</t>
        </is>
      </c>
      <c r="G24" s="1" t="inlineStr">
        <is>
          <t>APOYO</t>
        </is>
      </c>
      <c r="H24" s="1" t="inlineStr">
        <is>
          <t>Sí</t>
        </is>
      </c>
      <c r="I24" s="2" t="inlineStr">
        <is>
          <t>29-Apr</t>
        </is>
      </c>
      <c r="J24" s="2" t="inlineStr">
        <is>
          <t xml:space="preserve"> 6-May</t>
        </is>
      </c>
      <c r="K24" s="2" t="str"/>
      <c r="L24" s="1" t="inlineStr">
        <is>
          <t>Sin respuesta</t>
        </is>
      </c>
      <c r="M24" s="2" t="str"/>
      <c r="N24" s="1" t="str"/>
      <c r="O24" s="1" t="inlineStr">
        <is>
          <t>Grupo focal 1</t>
        </is>
      </c>
      <c r="P24" s="1" t="str"/>
      <c r="Q24" s="1">
        <f>IF(H24="Sí",1,0)</f>
        <v/>
      </c>
      <c r="R24" s="1">
        <f>IF(L24="En coordinación",1,0)</f>
        <v/>
      </c>
      <c r="S24" t="n">
        <v>1</v>
      </c>
      <c r="T24">
        <f>IF(N24="Sí",1,0)</f>
        <v/>
      </c>
      <c r="U24">
        <f>IF(L24="Aceptada",1,0)</f>
        <v/>
      </c>
    </row>
    <row r="25">
      <c r="A25" s="15" t="inlineStr">
        <is>
          <t>24</t>
        </is>
      </c>
      <c r="B25" s="5" t="inlineStr">
        <is>
          <t>Sandy Evangelista</t>
        </is>
      </c>
      <c r="C25" s="1" t="inlineStr">
        <is>
          <t>Grupo focal de reconocimiento</t>
        </is>
      </c>
      <c r="D25" s="1" t="inlineStr">
        <is>
          <t>Familias Unidas Por Justicia: Familiares de Víctimas de Feminicidio</t>
        </is>
      </c>
      <c r="E25" s="1" t="inlineStr">
        <is>
          <t>Actores locales</t>
        </is>
      </c>
      <c r="F25" s="1" t="inlineStr">
        <is>
          <t>Distrito Judicial: Amazonas</t>
        </is>
      </c>
      <c r="G25" s="1" t="inlineStr">
        <is>
          <t>APOYO</t>
        </is>
      </c>
      <c r="H25" s="1" t="inlineStr">
        <is>
          <t>Sí</t>
        </is>
      </c>
      <c r="I25" s="2" t="inlineStr">
        <is>
          <t>29-Apr</t>
        </is>
      </c>
      <c r="J25" s="2" t="str"/>
      <c r="K25" s="2" t="str"/>
      <c r="L25" s="1" t="inlineStr">
        <is>
          <t>Aceptada</t>
        </is>
      </c>
      <c r="M25" s="2" t="inlineStr">
        <is>
          <t>20-May</t>
        </is>
      </c>
      <c r="N25" s="1" t="inlineStr">
        <is>
          <t>Sí</t>
        </is>
      </c>
      <c r="O25" s="1" t="inlineStr">
        <is>
          <t>Grupo focal 2</t>
        </is>
      </c>
      <c r="P25" s="1" t="str"/>
      <c r="Q25" s="1">
        <f>IF(H25="Sí",1,0)</f>
        <v/>
      </c>
      <c r="R25" s="1">
        <f>IF(L25="En coordinación",1,0)</f>
        <v/>
      </c>
      <c r="S25" t="n">
        <v>1</v>
      </c>
      <c r="T25">
        <f>IF(N25="Sí",1,0)</f>
        <v/>
      </c>
      <c r="U25">
        <f>IF(L25="Aceptada",1,0)</f>
        <v/>
      </c>
    </row>
    <row r="26">
      <c r="A26" s="15" t="inlineStr">
        <is>
          <t>25</t>
        </is>
      </c>
      <c r="B26" s="5" t="inlineStr">
        <is>
          <t xml:space="preserve">Victoria Pomalaya Trillo </t>
        </is>
      </c>
      <c r="C26" s="1" t="inlineStr">
        <is>
          <t>Grupo focal de reconocimiento</t>
        </is>
      </c>
      <c r="D26" s="1" t="inlineStr">
        <is>
          <t>Ministerio Público (Fiscalía)</t>
        </is>
      </c>
      <c r="E26" s="1" t="inlineStr">
        <is>
          <t>Funcionarios del Sistema</t>
        </is>
      </c>
      <c r="F26" s="1" t="inlineStr">
        <is>
          <t>Distrito Judicial: Ayacucho</t>
        </is>
      </c>
      <c r="G26" s="1" t="inlineStr">
        <is>
          <t>IJM</t>
        </is>
      </c>
      <c r="H26" s="1" t="inlineStr">
        <is>
          <t>Sí</t>
        </is>
      </c>
      <c r="I26" s="2" t="inlineStr">
        <is>
          <t xml:space="preserve"> 4/27/2026</t>
        </is>
      </c>
      <c r="J26" s="2" t="inlineStr">
        <is>
          <t xml:space="preserve"> 6-May</t>
        </is>
      </c>
      <c r="K26" s="2" t="str"/>
      <c r="L26" s="1" t="inlineStr">
        <is>
          <t>Aceptada</t>
        </is>
      </c>
      <c r="M26" s="2" t="inlineStr">
        <is>
          <t>11-May</t>
        </is>
      </c>
      <c r="N26" s="1" t="inlineStr">
        <is>
          <t>Sí</t>
        </is>
      </c>
      <c r="O26" s="1" t="inlineStr">
        <is>
          <t>Grupo focal 1</t>
        </is>
      </c>
      <c r="P26" s="1" t="str"/>
      <c r="Q26" s="1">
        <f>IF(H26="Sí",1,0)</f>
        <v/>
      </c>
      <c r="R26" s="1">
        <f>IF(L26="En coordinación",1,0)</f>
        <v/>
      </c>
      <c r="S26" t="n">
        <v>1</v>
      </c>
      <c r="T26">
        <f>IF(N26="Sí",1,0)</f>
        <v/>
      </c>
      <c r="U26">
        <f>IF(L26="Aceptada",1,0)</f>
        <v/>
      </c>
    </row>
    <row r="27">
      <c r="A27" s="15" t="inlineStr">
        <is>
          <t>26</t>
        </is>
      </c>
      <c r="B27" s="5" t="inlineStr">
        <is>
          <t>Ulises Requejo</t>
        </is>
      </c>
      <c r="C27" s="1" t="inlineStr">
        <is>
          <t>Grupo focal de reconocimiento</t>
        </is>
      </c>
      <c r="D27" s="1" t="inlineStr">
        <is>
          <t>Ministerio Público (Fiscalía)</t>
        </is>
      </c>
      <c r="E27" s="1" t="inlineStr">
        <is>
          <t>Funcionarios del Sistema</t>
        </is>
      </c>
      <c r="F27" s="1" t="inlineStr">
        <is>
          <t>Distrito Judicial: Ayacucho</t>
        </is>
      </c>
      <c r="G27" s="1" t="str"/>
      <c r="H27" s="1" t="inlineStr">
        <is>
          <t>Sí</t>
        </is>
      </c>
      <c r="I27" s="2" t="inlineStr">
        <is>
          <t xml:space="preserve">  5/7/2026</t>
        </is>
      </c>
      <c r="J27" s="2" t="inlineStr">
        <is>
          <t xml:space="preserve"> 8-May</t>
        </is>
      </c>
      <c r="K27" s="2" t="str"/>
      <c r="L27" s="1" t="inlineStr">
        <is>
          <t>Aceptada</t>
        </is>
      </c>
      <c r="M27" s="2" t="inlineStr">
        <is>
          <t>20-May</t>
        </is>
      </c>
      <c r="N27" s="1" t="str"/>
      <c r="O27" s="1" t="inlineStr">
        <is>
          <t>Grupo focal 2</t>
        </is>
      </c>
      <c r="P27" s="1" t="str"/>
      <c r="Q27" s="1">
        <f>IF(H27="Sí",1,0)</f>
        <v/>
      </c>
      <c r="R27" s="1">
        <f>IF(L27="En coordinación",1,0)</f>
        <v/>
      </c>
      <c r="S27" t="n">
        <v>1</v>
      </c>
      <c r="T27">
        <f>IF(N27="Sí",1,0)</f>
        <v/>
      </c>
      <c r="U27">
        <f>IF(L27="Aceptada",1,0)</f>
        <v/>
      </c>
    </row>
    <row r="28">
      <c r="A28" s="15" t="inlineStr">
        <is>
          <t>27</t>
        </is>
      </c>
      <c r="B28" s="5" t="inlineStr">
        <is>
          <t xml:space="preserve">Norma Rojas </t>
        </is>
      </c>
      <c r="C28" s="1" t="inlineStr">
        <is>
          <t>Grupo focal de reconocimiento</t>
        </is>
      </c>
      <c r="D28" s="1" t="inlineStr">
        <is>
          <t>Ministerio del Interior</t>
        </is>
      </c>
      <c r="E28" s="1" t="inlineStr">
        <is>
          <t>Funcionarios del Sistema</t>
        </is>
      </c>
      <c r="F28" s="1" t="inlineStr">
        <is>
          <t>Distrito Judicial: Apurímac</t>
        </is>
      </c>
      <c r="G28" s="1" t="inlineStr">
        <is>
          <t>IJM</t>
        </is>
      </c>
      <c r="H28" s="1" t="inlineStr">
        <is>
          <t>Sí</t>
        </is>
      </c>
      <c r="I28" s="2" t="inlineStr">
        <is>
          <t xml:space="preserve"> 4/27/2026</t>
        </is>
      </c>
      <c r="J28" s="2" t="str"/>
      <c r="K28" s="2" t="str"/>
      <c r="L28" s="1" t="inlineStr">
        <is>
          <t>Rechazada</t>
        </is>
      </c>
      <c r="M28" s="2" t="str"/>
      <c r="N28" s="1" t="str"/>
      <c r="O28" s="1" t="inlineStr">
        <is>
          <t>Grupo focal 2</t>
        </is>
      </c>
      <c r="P28" s="1" t="str"/>
      <c r="Q28" s="1">
        <f>IF(H28="Sí",1,0)</f>
        <v/>
      </c>
      <c r="R28" s="1">
        <f>IF(L28="En coordinación",1,0)</f>
        <v/>
      </c>
      <c r="S28" t="n">
        <v>1</v>
      </c>
      <c r="T28">
        <f>IF(N28="Sí",1,0)</f>
        <v/>
      </c>
      <c r="U28">
        <f>IF(L28="Aceptada",1,0)</f>
        <v/>
      </c>
    </row>
    <row r="29">
      <c r="A29" s="15" t="inlineStr">
        <is>
          <t>28</t>
        </is>
      </c>
      <c r="B29" s="5" t="inlineStr">
        <is>
          <t>Angel Grimaldo Palacios Trujillo</t>
        </is>
      </c>
      <c r="C29" s="1" t="inlineStr">
        <is>
          <t>Grupo focal de reconocimiento</t>
        </is>
      </c>
      <c r="D29" s="1" t="inlineStr">
        <is>
          <t>Centros de Emergencia Mujer</t>
        </is>
      </c>
      <c r="E29" s="1" t="inlineStr">
        <is>
          <t>Acompañantes</t>
        </is>
      </c>
      <c r="F29" s="1" t="inlineStr">
        <is>
          <t>Distrito Judicial: Ucayali</t>
        </is>
      </c>
      <c r="G29" s="1" t="inlineStr">
        <is>
          <t>IJM</t>
        </is>
      </c>
      <c r="H29" s="1" t="inlineStr">
        <is>
          <t>Sí</t>
        </is>
      </c>
      <c r="I29" s="2" t="inlineStr">
        <is>
          <t xml:space="preserve"> 4/27/2026</t>
        </is>
      </c>
      <c r="J29" s="2" t="inlineStr">
        <is>
          <t xml:space="preserve"> 6-May</t>
        </is>
      </c>
      <c r="K29" s="2" t="str"/>
      <c r="L29" s="1" t="inlineStr">
        <is>
          <t>Sin respuesta</t>
        </is>
      </c>
      <c r="M29" s="2" t="str"/>
      <c r="N29" s="1" t="str"/>
      <c r="O29" s="1" t="inlineStr">
        <is>
          <t>Grupo focal 1</t>
        </is>
      </c>
      <c r="P29" s="1" t="str"/>
      <c r="Q29" s="1">
        <f>IF(H29="Sí",1,0)</f>
        <v/>
      </c>
      <c r="R29" s="1">
        <f>IF(L29="En coordinación",1,0)</f>
        <v/>
      </c>
      <c r="S29" t="n">
        <v>1</v>
      </c>
      <c r="T29">
        <f>IF(N29="Sí",1,0)</f>
        <v/>
      </c>
      <c r="U29">
        <f>IF(L29="Aceptada",1,0)</f>
        <v/>
      </c>
    </row>
    <row r="30">
      <c r="A30" s="15" t="inlineStr">
        <is>
          <t>29</t>
        </is>
      </c>
      <c r="B30" s="5" t="inlineStr">
        <is>
          <t>Heydy Taype Pérez</t>
        </is>
      </c>
      <c r="C30" s="1" t="inlineStr">
        <is>
          <t>Grupo focal de reconocimiento</t>
        </is>
      </c>
      <c r="D30" s="1" t="inlineStr">
        <is>
          <t>Centros de Emergencia Mujer</t>
        </is>
      </c>
      <c r="E30" s="1" t="inlineStr">
        <is>
          <t>Acompañantes</t>
        </is>
      </c>
      <c r="F30" s="1" t="inlineStr">
        <is>
          <t>Distrito Judicial: Huánuco</t>
        </is>
      </c>
      <c r="G30" s="1" t="inlineStr">
        <is>
          <t>IJM</t>
        </is>
      </c>
      <c r="H30" s="1" t="inlineStr">
        <is>
          <t>No</t>
        </is>
      </c>
      <c r="I30" s="2" t="inlineStr">
        <is>
          <t xml:space="preserve"> 6-May</t>
        </is>
      </c>
      <c r="J30" s="2" t="inlineStr">
        <is>
          <t xml:space="preserve"> 8-May</t>
        </is>
      </c>
      <c r="K30" s="2" t="str"/>
      <c r="L30" s="1" t="inlineStr">
        <is>
          <t>Sin respuesta</t>
        </is>
      </c>
      <c r="M30" s="2" t="str"/>
      <c r="N30" s="1" t="str"/>
      <c r="O30" s="1" t="inlineStr">
        <is>
          <t>Grupo focal 2</t>
        </is>
      </c>
      <c r="P30" s="1" t="str"/>
      <c r="Q30" s="1">
        <f>IF(H30="Sí",1,0)</f>
        <v/>
      </c>
      <c r="R30" s="1">
        <f>IF(L30="En coordinación",1,0)</f>
        <v/>
      </c>
      <c r="S30" t="n">
        <v>1</v>
      </c>
      <c r="T30">
        <f>IF(N30="Sí",1,0)</f>
        <v/>
      </c>
      <c r="U30">
        <f>IF(L30="Aceptada",1,0)</f>
        <v/>
      </c>
    </row>
    <row r="31">
      <c r="A31" s="15" t="inlineStr">
        <is>
          <t>30</t>
        </is>
      </c>
      <c r="B31" s="5" t="inlineStr">
        <is>
          <t>Alicia Soledad Cusquisibán Sánchez</t>
        </is>
      </c>
      <c r="C31" s="1" t="inlineStr">
        <is>
          <t>Grupo focal de reconocimiento</t>
        </is>
      </c>
      <c r="D31" s="1" t="inlineStr">
        <is>
          <t>Centros de Emergencia Mujer</t>
        </is>
      </c>
      <c r="E31" s="1" t="inlineStr">
        <is>
          <t>Acompañantes</t>
        </is>
      </c>
      <c r="F31" s="1" t="inlineStr">
        <is>
          <t>Distrito Judicial: Cajamarca</t>
        </is>
      </c>
      <c r="G31" s="1" t="inlineStr">
        <is>
          <t>IJM</t>
        </is>
      </c>
      <c r="H31" s="1" t="inlineStr">
        <is>
          <t>No</t>
        </is>
      </c>
      <c r="I31" s="2" t="inlineStr">
        <is>
          <t xml:space="preserve"> 6-May</t>
        </is>
      </c>
      <c r="J31" s="2" t="inlineStr">
        <is>
          <t xml:space="preserve"> 8-May</t>
        </is>
      </c>
      <c r="K31" s="2" t="str"/>
      <c r="L31" s="1" t="inlineStr">
        <is>
          <t>Sin respuesta</t>
        </is>
      </c>
      <c r="M31" s="2" t="str"/>
      <c r="N31" s="1" t="str"/>
      <c r="O31" s="1" t="inlineStr">
        <is>
          <t>Grupo focal 1</t>
        </is>
      </c>
      <c r="P31" s="1" t="str"/>
      <c r="Q31" s="1">
        <f>IF(H31="Sí",1,0)</f>
        <v/>
      </c>
      <c r="R31" s="1">
        <f>IF(L31="En coordinación",1,0)</f>
        <v/>
      </c>
      <c r="S31" t="n">
        <v>1</v>
      </c>
      <c r="T31">
        <f>IF(N31="Sí",1,0)</f>
        <v/>
      </c>
      <c r="U31">
        <f>IF(L31="Aceptada",1,0)</f>
        <v/>
      </c>
    </row>
    <row r="32">
      <c r="A32" s="15" t="inlineStr">
        <is>
          <t>31</t>
        </is>
      </c>
      <c r="B32" s="5" t="inlineStr">
        <is>
          <t>Blanca Marianela Benites Avalos</t>
        </is>
      </c>
      <c r="C32" s="1" t="inlineStr">
        <is>
          <t>Grupo focal de reconocimiento</t>
        </is>
      </c>
      <c r="D32" s="1" t="inlineStr">
        <is>
          <t>Centros de Emergencia Mujer</t>
        </is>
      </c>
      <c r="E32" s="1" t="inlineStr">
        <is>
          <t>Acompañantes</t>
        </is>
      </c>
      <c r="F32" s="1" t="inlineStr">
        <is>
          <t>Distrito Judicial: Cajamarca</t>
        </is>
      </c>
      <c r="G32" s="1" t="inlineStr">
        <is>
          <t>IJM</t>
        </is>
      </c>
      <c r="H32" s="1" t="inlineStr">
        <is>
          <t>Sí</t>
        </is>
      </c>
      <c r="I32" s="2" t="inlineStr">
        <is>
          <t xml:space="preserve"> 6-May</t>
        </is>
      </c>
      <c r="J32" s="2" t="str"/>
      <c r="K32" s="2" t="str"/>
      <c r="L32" s="1" t="inlineStr">
        <is>
          <t>Sin respuesta</t>
        </is>
      </c>
      <c r="M32" s="2" t="str"/>
      <c r="N32" s="1" t="str"/>
      <c r="O32" s="1" t="inlineStr">
        <is>
          <t>Grupo focal 2</t>
        </is>
      </c>
      <c r="P32" s="1" t="str"/>
      <c r="Q32" s="1">
        <f>IF(H32="Sí",1,0)</f>
        <v/>
      </c>
      <c r="R32" s="1">
        <f>IF(L32="En coordinación",1,0)</f>
        <v/>
      </c>
      <c r="S32" t="n">
        <v>1</v>
      </c>
      <c r="T32">
        <f>IF(N32="Sí",1,0)</f>
        <v/>
      </c>
      <c r="U32">
        <f>IF(L32="Aceptada",1,0)</f>
        <v/>
      </c>
    </row>
    <row r="33">
      <c r="A33" s="15" t="inlineStr">
        <is>
          <t>32</t>
        </is>
      </c>
      <c r="B33" s="23" t="inlineStr">
        <is>
          <t>Jose Miguel Chavez Montero</t>
        </is>
      </c>
      <c r="C33" t="inlineStr">
        <is>
          <t>Grupo focal de reconocimiento</t>
        </is>
      </c>
      <c r="D33" t="inlineStr">
        <is>
          <t>Centros de Emergencia Mujer</t>
        </is>
      </c>
      <c r="E33" t="inlineStr">
        <is>
          <t>Acompañantes</t>
        </is>
      </c>
      <c r="F33" t="inlineStr">
        <is>
          <t>Distrito Judicial: Ucayali</t>
        </is>
      </c>
      <c r="H33" t="inlineStr">
        <is>
          <t>Sí</t>
        </is>
      </c>
      <c r="I33" s="2" t="inlineStr">
        <is>
          <t xml:space="preserve"> 6-May</t>
        </is>
      </c>
      <c r="J33" s="2" t="inlineStr">
        <is>
          <t xml:space="preserve"> 8-May</t>
        </is>
      </c>
      <c r="K33" s="2" t="str"/>
      <c r="L33" s="1" t="inlineStr">
        <is>
          <t>En coordinación</t>
        </is>
      </c>
      <c r="M33" s="2" t="str"/>
      <c r="N33" s="1" t="str"/>
      <c r="O33" s="1" t="str"/>
      <c r="P33" s="1" t="str"/>
      <c r="Q33" s="1">
        <f>IF(H33="Sí",1,0)</f>
        <v/>
      </c>
      <c r="R33" s="1">
        <f>IF(L33="En coordinación",1,0)</f>
        <v/>
      </c>
      <c r="S33" t="n">
        <v>1</v>
      </c>
      <c r="T33">
        <f>IF(N33="Sí",1,0)</f>
        <v/>
      </c>
      <c r="U33">
        <f>IF(L33="Aceptada",1,0)</f>
        <v/>
      </c>
    </row>
    <row r="34">
      <c r="A34" s="15" t="inlineStr">
        <is>
          <t>33</t>
        </is>
      </c>
      <c r="B34" s="23" t="inlineStr">
        <is>
          <t>Hellen Victoria Ku Yanasupo</t>
        </is>
      </c>
      <c r="C34" t="inlineStr">
        <is>
          <t>Grupo focal de reconocimiento</t>
        </is>
      </c>
      <c r="D34" t="inlineStr">
        <is>
          <t>Centros de Emergencia Mujer</t>
        </is>
      </c>
      <c r="E34" t="inlineStr">
        <is>
          <t>Acompañantes</t>
        </is>
      </c>
      <c r="F34" t="inlineStr">
        <is>
          <t>Distrito Judicial: Lima</t>
        </is>
      </c>
      <c r="G34" t="inlineStr">
        <is>
          <t>IJM</t>
        </is>
      </c>
      <c r="H34" t="inlineStr">
        <is>
          <t>Sí</t>
        </is>
      </c>
      <c r="I34" s="2" t="inlineStr">
        <is>
          <t xml:space="preserve"> 4/27/2026</t>
        </is>
      </c>
      <c r="J34" s="2" t="inlineStr">
        <is>
          <t xml:space="preserve"> 6-May</t>
        </is>
      </c>
      <c r="K34" s="2" t="str"/>
      <c r="L34" s="1" t="inlineStr">
        <is>
          <t>Sin respuesta</t>
        </is>
      </c>
      <c r="M34" s="2" t="str"/>
      <c r="N34" s="1" t="str"/>
      <c r="O34" s="1" t="inlineStr">
        <is>
          <t>Grupo focal 1</t>
        </is>
      </c>
      <c r="P34" s="1" t="str"/>
      <c r="Q34" s="1">
        <f>IF(H34="Sí",1,0)</f>
        <v/>
      </c>
      <c r="R34" s="1">
        <f>IF(L34="En coordinación",1,0)</f>
        <v/>
      </c>
      <c r="S34" t="n">
        <v>1</v>
      </c>
      <c r="T34">
        <f>IF(N34="Sí",1,0)</f>
        <v/>
      </c>
      <c r="U34">
        <f>IF(L34="Aceptada",1,0)</f>
        <v/>
      </c>
    </row>
    <row r="35">
      <c r="A35" s="15" t="inlineStr">
        <is>
          <t>34</t>
        </is>
      </c>
      <c r="B35" s="23" t="inlineStr">
        <is>
          <t>Zoila Cabanillas</t>
        </is>
      </c>
      <c r="C35" t="inlineStr">
        <is>
          <t>Grupo focal de reconocimiento</t>
        </is>
      </c>
      <c r="D35" t="inlineStr">
        <is>
          <t>Wami Ñan</t>
        </is>
      </c>
      <c r="E35" t="inlineStr">
        <is>
          <t>Acompañantes</t>
        </is>
      </c>
      <c r="F35" t="inlineStr">
        <is>
          <t>Distrito Judicial: Lima</t>
        </is>
      </c>
      <c r="G35" t="inlineStr">
        <is>
          <t>IJM</t>
        </is>
      </c>
      <c r="H35" t="inlineStr">
        <is>
          <t>Sí</t>
        </is>
      </c>
      <c r="I35" s="2" t="inlineStr">
        <is>
          <t xml:space="preserve"> 4/27/2026</t>
        </is>
      </c>
      <c r="J35" s="2" t="inlineStr">
        <is>
          <t xml:space="preserve"> 6-May</t>
        </is>
      </c>
      <c r="K35" s="2" t="str"/>
      <c r="L35" s="1" t="inlineStr">
        <is>
          <t>Aceptada</t>
        </is>
      </c>
      <c r="M35" s="2" t="inlineStr">
        <is>
          <t>20-May</t>
        </is>
      </c>
      <c r="N35" s="1" t="inlineStr">
        <is>
          <t>Sí</t>
        </is>
      </c>
      <c r="O35" s="1" t="inlineStr">
        <is>
          <t>Grupo focal 2</t>
        </is>
      </c>
      <c r="P35" s="1" t="str"/>
      <c r="Q35" s="1">
        <f>IF(H35="Sí",1,0)</f>
        <v/>
      </c>
      <c r="R35" s="1">
        <f>IF(L35="En coordinación",1,0)</f>
        <v/>
      </c>
      <c r="S35" t="n">
        <v>1</v>
      </c>
      <c r="T35">
        <f>IF(N35="Sí",1,0)</f>
        <v/>
      </c>
      <c r="U35">
        <f>IF(L35="Aceptada",1,0)</f>
        <v/>
      </c>
    </row>
    <row r="36">
      <c r="A36" s="15" t="inlineStr">
        <is>
          <t>35</t>
        </is>
      </c>
      <c r="B36" s="23" t="inlineStr">
        <is>
          <t>Santos Vanessa Díaz Angulo de Loayza</t>
        </is>
      </c>
      <c r="D36" t="inlineStr">
        <is>
          <t>Wami Ñan</t>
        </is>
      </c>
      <c r="E36" t="inlineStr">
        <is>
          <t>Acompañantes</t>
        </is>
      </c>
      <c r="F36" t="inlineStr">
        <is>
          <t>Distrito Judicial: Loreto</t>
        </is>
      </c>
      <c r="H36" t="inlineStr">
        <is>
          <t>Sí</t>
        </is>
      </c>
      <c r="I36" s="2" t="str"/>
      <c r="J36" s="2" t="str"/>
      <c r="K36" s="2" t="str"/>
      <c r="L36" s="1" t="inlineStr">
        <is>
          <t>Aceptada</t>
        </is>
      </c>
      <c r="M36" s="2" t="inlineStr">
        <is>
          <t>20-May</t>
        </is>
      </c>
      <c r="N36" s="1" t="inlineStr">
        <is>
          <t>Sí</t>
        </is>
      </c>
      <c r="O36" s="1" t="inlineStr">
        <is>
          <t>Grupo focal 2</t>
        </is>
      </c>
      <c r="P36" s="1" t="str"/>
      <c r="Q36" s="1">
        <f>IF(H36="Sí",1,0)</f>
        <v/>
      </c>
      <c r="R36" s="1">
        <f>IF(L36="En coordinación",1,0)</f>
        <v/>
      </c>
      <c r="S36" t="n">
        <v>1</v>
      </c>
      <c r="T36">
        <f>IF(N36="Sí",1,0)</f>
        <v/>
      </c>
      <c r="U36">
        <f>IF(L36="Aceptada",1,0)</f>
        <v/>
      </c>
    </row>
    <row r="37">
      <c r="A37" s="15" t="inlineStr">
        <is>
          <t>36</t>
        </is>
      </c>
      <c r="B37" s="23" t="inlineStr">
        <is>
          <t>Ever Nuñez</t>
        </is>
      </c>
      <c r="C37" t="inlineStr">
        <is>
          <t>Grupo focal de reconocimiento</t>
        </is>
      </c>
      <c r="D37" t="inlineStr">
        <is>
          <t>Red Nacional de Promoción de la Mujer – RNPM</t>
        </is>
      </c>
      <c r="E37" t="inlineStr">
        <is>
          <t>Acompañantes</t>
        </is>
      </c>
      <c r="F37" t="inlineStr">
        <is>
          <t>Distrito Judicial: Sullana</t>
        </is>
      </c>
      <c r="G37" t="inlineStr">
        <is>
          <t>APOYO</t>
        </is>
      </c>
      <c r="H37" t="inlineStr">
        <is>
          <t>Sí</t>
        </is>
      </c>
      <c r="I37" s="2" t="inlineStr">
        <is>
          <t>29-Apr</t>
        </is>
      </c>
      <c r="J37" s="2" t="inlineStr">
        <is>
          <t xml:space="preserve"> 6-May</t>
        </is>
      </c>
      <c r="K37" s="2" t="inlineStr">
        <is>
          <t xml:space="preserve"> 8-May</t>
        </is>
      </c>
      <c r="L37" s="1" t="inlineStr">
        <is>
          <t>En coordinación</t>
        </is>
      </c>
      <c r="M37" s="2" t="inlineStr">
        <is>
          <t>11-May</t>
        </is>
      </c>
      <c r="N37" s="1" t="str"/>
      <c r="O37" s="1" t="inlineStr">
        <is>
          <t>Grupo focal 1</t>
        </is>
      </c>
      <c r="P37" s="1" t="str"/>
      <c r="Q37" s="1">
        <f>IF(H37="Sí",1,0)</f>
        <v/>
      </c>
      <c r="R37" s="1">
        <f>IF(L37="En coordinación",1,0)</f>
        <v/>
      </c>
      <c r="S37" t="n">
        <v>1</v>
      </c>
      <c r="T37">
        <f>IF(N37="Sí",1,0)</f>
        <v/>
      </c>
      <c r="U37">
        <f>IF(L37="Aceptada",1,0)</f>
        <v/>
      </c>
    </row>
    <row r="38">
      <c r="A38" s="15" t="inlineStr">
        <is>
          <t>37</t>
        </is>
      </c>
      <c r="B38" s="23" t="inlineStr">
        <is>
          <t>Tania Pariona Tarqui</t>
        </is>
      </c>
      <c r="C38" t="inlineStr">
        <is>
          <t>Grupo focal de reconocimiento</t>
        </is>
      </c>
      <c r="D38" t="inlineStr">
        <is>
          <t>Coordinadora Nacional de Derechos Humanos (CNDDHH)</t>
        </is>
      </c>
      <c r="E38" t="inlineStr">
        <is>
          <t>Acompañantes</t>
        </is>
      </c>
      <c r="F38" t="inlineStr">
        <is>
          <t>Distrito Judicial: Huánuco</t>
        </is>
      </c>
      <c r="G38" t="inlineStr">
        <is>
          <t>APOYO</t>
        </is>
      </c>
      <c r="H38" t="inlineStr">
        <is>
          <t>Sí</t>
        </is>
      </c>
      <c r="I38" s="2" t="inlineStr">
        <is>
          <t>29-Apr</t>
        </is>
      </c>
      <c r="J38" s="2" t="inlineStr">
        <is>
          <t xml:space="preserve"> 6-May</t>
        </is>
      </c>
      <c r="K38" s="2" t="str"/>
      <c r="L38" s="1" t="inlineStr">
        <is>
          <t>Aceptada</t>
        </is>
      </c>
      <c r="M38" s="2" t="inlineStr">
        <is>
          <t>20-May</t>
        </is>
      </c>
      <c r="N38" s="1" t="inlineStr">
        <is>
          <t>Sí</t>
        </is>
      </c>
      <c r="O38" s="1" t="inlineStr">
        <is>
          <t>Grupo focal 2</t>
        </is>
      </c>
      <c r="P38" s="1" t="str"/>
      <c r="Q38" s="1">
        <f>IF(H38="Sí",1,0)</f>
        <v/>
      </c>
      <c r="R38" s="1">
        <f>IF(L38="En coordinación",1,0)</f>
        <v/>
      </c>
      <c r="S38" t="n">
        <v>1</v>
      </c>
      <c r="T38">
        <f>IF(N38="Sí",1,0)</f>
        <v/>
      </c>
      <c r="U38">
        <f>IF(L38="Aceptada",1,0)</f>
        <v/>
      </c>
    </row>
    <row r="39">
      <c r="A39" s="15" t="inlineStr">
        <is>
          <t>38</t>
        </is>
      </c>
      <c r="B39" s="23" t="inlineStr">
        <is>
          <t>Sonia Condoria Mitma</t>
        </is>
      </c>
      <c r="C39" t="inlineStr">
        <is>
          <t>Grupo focal de reconocimiento</t>
        </is>
      </c>
      <c r="D39" t="inlineStr">
        <is>
          <t>Orientadoras Judiciales</t>
        </is>
      </c>
      <c r="E39" t="inlineStr">
        <is>
          <t>Acompañantes</t>
        </is>
      </c>
      <c r="F39" t="inlineStr">
        <is>
          <t>Distrito Judicial: Ayacucho</t>
        </is>
      </c>
      <c r="G39" t="inlineStr">
        <is>
          <t>APOYO</t>
        </is>
      </c>
      <c r="H39" t="inlineStr">
        <is>
          <t>Sí</t>
        </is>
      </c>
      <c r="I39" s="2" t="inlineStr">
        <is>
          <t>29-Apr</t>
        </is>
      </c>
      <c r="J39" s="2" t="str"/>
      <c r="K39" s="2" t="str"/>
      <c r="L39" s="1" t="inlineStr">
        <is>
          <t>Aceptada</t>
        </is>
      </c>
      <c r="M39" s="2" t="inlineStr">
        <is>
          <t>11-May</t>
        </is>
      </c>
      <c r="N39" s="1" t="inlineStr">
        <is>
          <t>Sí</t>
        </is>
      </c>
      <c r="O39" s="1" t="inlineStr">
        <is>
          <t>Grupo focal 1</t>
        </is>
      </c>
      <c r="P39" s="1" t="str"/>
      <c r="Q39" s="1">
        <f>IF(H39="Sí",1,0)</f>
        <v/>
      </c>
      <c r="R39" s="1">
        <f>IF(L39="En coordinación",1,0)</f>
        <v/>
      </c>
      <c r="S39" t="n">
        <v>1</v>
      </c>
      <c r="T39">
        <f>IF(N39="Sí",1,0)</f>
        <v/>
      </c>
      <c r="U39">
        <f>IF(L39="Aceptada",1,0)</f>
        <v/>
      </c>
    </row>
    <row r="40">
      <c r="A40" s="15" t="inlineStr">
        <is>
          <t>39</t>
        </is>
      </c>
      <c r="B40" s="23" t="inlineStr">
        <is>
          <t>Carmen Rosa Villela Vargas</t>
        </is>
      </c>
      <c r="C40" t="inlineStr">
        <is>
          <t>Grupo focal de reconocimiento</t>
        </is>
      </c>
      <c r="D40" t="inlineStr">
        <is>
          <t>Orientadoras Judiciales</t>
        </is>
      </c>
      <c r="E40" t="inlineStr">
        <is>
          <t>Acompañantes</t>
        </is>
      </c>
      <c r="F40" t="inlineStr">
        <is>
          <t>Distrito Judicial: Lima</t>
        </is>
      </c>
      <c r="G40" t="inlineStr">
        <is>
          <t>APOYO</t>
        </is>
      </c>
      <c r="H40" t="inlineStr">
        <is>
          <t>Sí</t>
        </is>
      </c>
      <c r="I40" s="2" t="inlineStr">
        <is>
          <t>29-Apr</t>
        </is>
      </c>
      <c r="J40" s="2" t="inlineStr">
        <is>
          <t xml:space="preserve"> 6-May</t>
        </is>
      </c>
      <c r="K40" s="2" t="inlineStr">
        <is>
          <t xml:space="preserve"> 8-May</t>
        </is>
      </c>
      <c r="L40" s="1" t="inlineStr">
        <is>
          <t>Sin respuesta</t>
        </is>
      </c>
      <c r="M40" s="2" t="str"/>
      <c r="N40" s="1" t="str"/>
      <c r="O40" s="1" t="inlineStr">
        <is>
          <t>Grupo focal 2</t>
        </is>
      </c>
      <c r="P40" s="1" t="str"/>
      <c r="Q40" s="1">
        <f>IF(H40="Sí",1,0)</f>
        <v/>
      </c>
      <c r="R40" s="1">
        <f>IF(L40="En coordinación",1,0)</f>
        <v/>
      </c>
      <c r="S40" t="n">
        <v>1</v>
      </c>
      <c r="T40">
        <f>IF(N40="Sí",1,0)</f>
        <v/>
      </c>
      <c r="U40">
        <f>IF(L40="Aceptada",1,0)</f>
        <v/>
      </c>
    </row>
    <row r="41">
      <c r="A41" s="15" t="inlineStr">
        <is>
          <t>40</t>
        </is>
      </c>
      <c r="B41" s="23" t="inlineStr">
        <is>
          <t>Eutropia Ayllon León de Lima Norte</t>
        </is>
      </c>
      <c r="C41" t="inlineStr">
        <is>
          <t>Grupo focal de reconocimiento</t>
        </is>
      </c>
      <c r="D41" t="inlineStr">
        <is>
          <t>Orientadoras Judiciales</t>
        </is>
      </c>
      <c r="E41" t="inlineStr">
        <is>
          <t>Acompañantes</t>
        </is>
      </c>
      <c r="F41" t="inlineStr">
        <is>
          <t>Distrito Judicial: Lima Norte</t>
        </is>
      </c>
      <c r="G41" t="inlineStr">
        <is>
          <t>APOYO</t>
        </is>
      </c>
      <c r="H41" t="inlineStr">
        <is>
          <t>Sí</t>
        </is>
      </c>
      <c r="I41" s="2" t="inlineStr">
        <is>
          <t xml:space="preserve"> 6-May</t>
        </is>
      </c>
      <c r="J41" s="2" t="str"/>
      <c r="K41" s="2" t="str"/>
      <c r="L41" s="1" t="inlineStr">
        <is>
          <t>Aceptada</t>
        </is>
      </c>
      <c r="M41" s="2" t="inlineStr">
        <is>
          <t>11-May</t>
        </is>
      </c>
      <c r="N41" s="1" t="inlineStr">
        <is>
          <t>Sí</t>
        </is>
      </c>
      <c r="O41" s="1" t="inlineStr">
        <is>
          <t>Grupo focal 1</t>
        </is>
      </c>
      <c r="P41" s="1" t="str"/>
      <c r="Q41" s="1">
        <f>IF(H41="Sí",1,0)</f>
        <v/>
      </c>
      <c r="R41" s="1">
        <f>IF(L41="En coordinación",1,0)</f>
        <v/>
      </c>
      <c r="S41" t="n">
        <v>1</v>
      </c>
      <c r="T41">
        <f>IF(N41="Sí",1,0)</f>
        <v/>
      </c>
      <c r="U41">
        <f>IF(L41="Aceptada",1,0)</f>
        <v/>
      </c>
    </row>
    <row r="42">
      <c r="A42" s="21" t="inlineStr">
        <is>
          <t>41</t>
        </is>
      </c>
      <c r="B42" s="23" t="inlineStr">
        <is>
          <t>Irma Milagritos Llontop Vilchez</t>
        </is>
      </c>
      <c r="C42" t="inlineStr">
        <is>
          <t>Grupo focal de reconocimiento</t>
        </is>
      </c>
      <c r="D42" t="inlineStr">
        <is>
          <t>Defensa Pública</t>
        </is>
      </c>
      <c r="E42" t="inlineStr">
        <is>
          <t>Acompañantes</t>
        </is>
      </c>
      <c r="F42" t="inlineStr">
        <is>
          <t>Nacional</t>
        </is>
      </c>
      <c r="G42" t="inlineStr">
        <is>
          <t>IJM</t>
        </is>
      </c>
      <c r="H42" t="inlineStr">
        <is>
          <t>Sí</t>
        </is>
      </c>
      <c r="I42" s="2" t="inlineStr">
        <is>
          <t xml:space="preserve"> 4/27/2026</t>
        </is>
      </c>
      <c r="J42" s="2" t="inlineStr">
        <is>
          <t>13-May</t>
        </is>
      </c>
      <c r="K42" s="2" t="str"/>
      <c r="L42" s="1" t="inlineStr">
        <is>
          <t>Aceptada</t>
        </is>
      </c>
      <c r="M42" s="2" t="inlineStr">
        <is>
          <t>20-May</t>
        </is>
      </c>
      <c r="N42" s="1" t="inlineStr">
        <is>
          <t>Sí</t>
        </is>
      </c>
      <c r="O42" s="1" t="inlineStr">
        <is>
          <t>Grupo focal 2</t>
        </is>
      </c>
      <c r="P42" s="1" t="str"/>
      <c r="Q42" s="1">
        <f>IF(H42="Sí",1,0)</f>
        <v/>
      </c>
      <c r="R42" s="1">
        <f>IF(L42="En coordinación",1,0)</f>
        <v/>
      </c>
      <c r="S42" t="n">
        <v>1</v>
      </c>
      <c r="T42">
        <f>IF(N42="Sí",1,0)</f>
        <v/>
      </c>
      <c r="U42">
        <f>IF(L42="Aceptada",1,0)</f>
        <v/>
      </c>
    </row>
    <row r="43">
      <c r="A43" s="21" t="inlineStr">
        <is>
          <t>42</t>
        </is>
      </c>
      <c r="B43" s="23" t="inlineStr">
        <is>
          <t>Estela Lozano Reyes</t>
        </is>
      </c>
      <c r="C43" t="inlineStr">
        <is>
          <t>Grupo focal de reconocimiento</t>
        </is>
      </c>
      <c r="D43" t="inlineStr">
        <is>
          <t>Defensoría del Pueblo</t>
        </is>
      </c>
      <c r="E43" t="inlineStr">
        <is>
          <t>Acompañantes</t>
        </is>
      </c>
      <c r="F43" t="inlineStr">
        <is>
          <t>Nacional</t>
        </is>
      </c>
      <c r="G43" t="inlineStr">
        <is>
          <t>IJM</t>
        </is>
      </c>
      <c r="H43" t="inlineStr">
        <is>
          <t>Sí</t>
        </is>
      </c>
      <c r="I43" s="2" t="inlineStr">
        <is>
          <t>27-Apr</t>
        </is>
      </c>
      <c r="J43" s="2" t="inlineStr">
        <is>
          <t xml:space="preserve"> 6-May</t>
        </is>
      </c>
      <c r="K43" s="2" t="inlineStr">
        <is>
          <t>14-May</t>
        </is>
      </c>
      <c r="L43" s="1" t="inlineStr">
        <is>
          <t>En coordinación</t>
        </is>
      </c>
      <c r="M43" s="2" t="inlineStr">
        <is>
          <t>11-May</t>
        </is>
      </c>
      <c r="N43" s="1" t="str"/>
      <c r="O43" s="1" t="inlineStr">
        <is>
          <t>Grupo focal 1</t>
        </is>
      </c>
      <c r="P43" s="1" t="str"/>
      <c r="Q43" s="1">
        <f>IF(H43="Sí",1,0)</f>
        <v/>
      </c>
      <c r="R43" s="1">
        <f>IF(L43="En coordinación",1,0)</f>
        <v/>
      </c>
      <c r="S43" t="n">
        <v>1</v>
      </c>
      <c r="T43">
        <f>IF(N43="Sí",1,0)</f>
        <v/>
      </c>
      <c r="U43">
        <f>IF(L43="Aceptada",1,0)</f>
        <v/>
      </c>
    </row>
    <row r="44">
      <c r="A44" s="21" t="inlineStr">
        <is>
          <t>43</t>
        </is>
      </c>
      <c r="B44" s="23" t="inlineStr">
        <is>
          <t>Elga Prado</t>
        </is>
      </c>
      <c r="C44" t="inlineStr">
        <is>
          <t>Grupo focal de reconocimiento</t>
        </is>
      </c>
      <c r="D44" t="inlineStr">
        <is>
          <t>Manuela Ramos</t>
        </is>
      </c>
      <c r="E44" t="inlineStr">
        <is>
          <t>Actores locales</t>
        </is>
      </c>
      <c r="F44" t="inlineStr">
        <is>
          <t>Nacional</t>
        </is>
      </c>
      <c r="G44" t="inlineStr">
        <is>
          <t>IJM</t>
        </is>
      </c>
      <c r="H44" t="inlineStr">
        <is>
          <t>Sí</t>
        </is>
      </c>
      <c r="I44" s="2" t="inlineStr">
        <is>
          <t xml:space="preserve">  5/5/2026</t>
        </is>
      </c>
      <c r="J44" s="2" t="inlineStr">
        <is>
          <t>14-May</t>
        </is>
      </c>
      <c r="K44" s="2" t="str"/>
      <c r="L44" s="1" t="inlineStr">
        <is>
          <t>En coordinación</t>
        </is>
      </c>
      <c r="M44" s="2" t="inlineStr">
        <is>
          <t>11-May</t>
        </is>
      </c>
      <c r="N44" s="1" t="str"/>
      <c r="O44" s="1" t="inlineStr">
        <is>
          <t>Grupo focal 1</t>
        </is>
      </c>
      <c r="P44" s="1" t="str"/>
      <c r="Q44" s="1">
        <f>IF(H44="Sí",1,0)</f>
        <v/>
      </c>
      <c r="R44" s="1">
        <f>IF(L44="En coordinación",1,0)</f>
        <v/>
      </c>
      <c r="S44" t="n">
        <v>1</v>
      </c>
      <c r="T44">
        <f>IF(N44="Sí",1,0)</f>
        <v/>
      </c>
      <c r="U44">
        <f>IF(L44="Aceptada",1,0)</f>
        <v/>
      </c>
    </row>
    <row r="45">
      <c r="A45" s="21" t="inlineStr">
        <is>
          <t>44</t>
        </is>
      </c>
      <c r="B45" s="23" t="inlineStr">
        <is>
          <t xml:space="preserve">Fabiana Rodari </t>
        </is>
      </c>
      <c r="C45" t="inlineStr">
        <is>
          <t>Grupo focal de reconocimiento</t>
        </is>
      </c>
      <c r="D45" t="inlineStr">
        <is>
          <t>Apurímac ETS</t>
        </is>
      </c>
      <c r="E45" t="inlineStr">
        <is>
          <t>Acompañantes</t>
        </is>
      </c>
      <c r="F45" t="inlineStr">
        <is>
          <t>Distrito Judicial: Apurímac</t>
        </is>
      </c>
      <c r="G45" t="inlineStr">
        <is>
          <t>IJM</t>
        </is>
      </c>
      <c r="H45" t="inlineStr">
        <is>
          <t>Sí</t>
        </is>
      </c>
      <c r="I45" s="2" t="inlineStr">
        <is>
          <t xml:space="preserve"> 5-May</t>
        </is>
      </c>
      <c r="J45" s="2" t="str"/>
      <c r="K45" s="2" t="str"/>
      <c r="L45" s="1" t="inlineStr">
        <is>
          <t>Aceptada</t>
        </is>
      </c>
      <c r="M45" s="2" t="inlineStr">
        <is>
          <t>11-May</t>
        </is>
      </c>
      <c r="N45" s="1" t="inlineStr">
        <is>
          <t>Sí</t>
        </is>
      </c>
      <c r="O45" s="1" t="inlineStr">
        <is>
          <t>Grupo focal 1</t>
        </is>
      </c>
      <c r="P45" s="1" t="str"/>
      <c r="Q45" s="1">
        <f>IF(H45="Sí",1,0)</f>
        <v/>
      </c>
      <c r="R45" s="1">
        <f>IF(L45="En coordinación",1,0)</f>
        <v/>
      </c>
      <c r="S45" t="n">
        <v>1</v>
      </c>
      <c r="T45">
        <f>IF(N45="Sí",1,0)</f>
        <v/>
      </c>
      <c r="U45">
        <f>IF(L45="Aceptada",1,0)</f>
        <v/>
      </c>
    </row>
    <row r="46">
      <c r="A46" s="21" t="inlineStr">
        <is>
          <t>45</t>
        </is>
      </c>
      <c r="B46" s="23" t="inlineStr">
        <is>
          <t>Víctor Canales</t>
        </is>
      </c>
      <c r="C46" t="inlineStr">
        <is>
          <t>Grupo focal de reconocimiento</t>
        </is>
      </c>
      <c r="D46" t="inlineStr">
        <is>
          <t>Warmi Wasi</t>
        </is>
      </c>
      <c r="E46" t="inlineStr">
        <is>
          <t>Actores locales</t>
        </is>
      </c>
      <c r="F46" t="inlineStr">
        <is>
          <t>Nacional</t>
        </is>
      </c>
      <c r="G46" t="inlineStr">
        <is>
          <t>IJM</t>
        </is>
      </c>
      <c r="H46" t="inlineStr">
        <is>
          <t>Sí</t>
        </is>
      </c>
      <c r="I46" s="2" t="str"/>
      <c r="J46" s="2" t="str"/>
      <c r="K46" s="2" t="str"/>
      <c r="L46" s="1" t="inlineStr">
        <is>
          <t>Aceptada</t>
        </is>
      </c>
      <c r="M46" s="2" t="inlineStr">
        <is>
          <t>20-May</t>
        </is>
      </c>
      <c r="N46" s="1" t="inlineStr">
        <is>
          <t>Sí</t>
        </is>
      </c>
      <c r="O46" s="1" t="inlineStr">
        <is>
          <t>Grupo focal 2</t>
        </is>
      </c>
      <c r="P46" s="1" t="str"/>
      <c r="Q46" s="1">
        <f>IF(H46="Sí",1,0)</f>
        <v/>
      </c>
      <c r="R46" s="1">
        <f>IF(L46="En coordinación",1,0)</f>
        <v/>
      </c>
      <c r="S46" t="n">
        <v>1</v>
      </c>
      <c r="T46">
        <f>IF(N46="Sí",1,0)</f>
        <v/>
      </c>
      <c r="U46">
        <f>IF(L46="Aceptada",1,0)</f>
        <v/>
      </c>
    </row>
    <row r="47">
      <c r="A47" s="21" t="inlineStr">
        <is>
          <t>46</t>
        </is>
      </c>
      <c r="B47" s="23" t="inlineStr">
        <is>
          <t>Patricia Nieto</t>
        </is>
      </c>
      <c r="C47" t="inlineStr">
        <is>
          <t>Grupo focal de reconocimiento</t>
        </is>
      </c>
      <c r="D47" t="inlineStr">
        <is>
          <t>ONG Buckner</t>
        </is>
      </c>
      <c r="E47" t="inlineStr">
        <is>
          <t>Actores locales</t>
        </is>
      </c>
      <c r="F47" t="inlineStr">
        <is>
          <t>Nacional</t>
        </is>
      </c>
      <c r="G47" t="inlineStr">
        <is>
          <t>IJM</t>
        </is>
      </c>
      <c r="H47" t="inlineStr">
        <is>
          <t>Sí</t>
        </is>
      </c>
      <c r="I47" s="2" t="inlineStr">
        <is>
          <t xml:space="preserve"> 8-May</t>
        </is>
      </c>
      <c r="J47" s="2" t="inlineStr">
        <is>
          <t>14-May</t>
        </is>
      </c>
      <c r="K47" s="2" t="str"/>
      <c r="L47" s="1" t="inlineStr">
        <is>
          <t>Aceptada</t>
        </is>
      </c>
      <c r="M47" s="2" t="inlineStr">
        <is>
          <t>20-May</t>
        </is>
      </c>
      <c r="N47" s="1" t="inlineStr">
        <is>
          <t>Sí</t>
        </is>
      </c>
      <c r="O47" s="1" t="inlineStr">
        <is>
          <t>Grupo focal 2</t>
        </is>
      </c>
      <c r="P47" s="1" t="str"/>
      <c r="Q47" s="1">
        <f>IF(H47="Sí",1,0)</f>
        <v/>
      </c>
      <c r="R47" s="1">
        <f>IF(L47="En coordinación",1,0)</f>
        <v/>
      </c>
      <c r="S47" t="n">
        <v>1</v>
      </c>
      <c r="T47">
        <f>IF(N47="Sí",1,0)</f>
        <v/>
      </c>
      <c r="U47">
        <f>IF(L47="Aceptada",1,0)</f>
        <v/>
      </c>
    </row>
    <row r="48">
      <c r="A48" s="21" t="inlineStr">
        <is>
          <t>47</t>
        </is>
      </c>
      <c r="B48" s="23" t="inlineStr">
        <is>
          <t>Liz Meléndez López</t>
        </is>
      </c>
      <c r="C48" t="inlineStr">
        <is>
          <t>Grupo focal de reconocimiento</t>
        </is>
      </c>
      <c r="D48" t="inlineStr">
        <is>
          <t>Centro de la Mujer Peruana Flora Tristán</t>
        </is>
      </c>
      <c r="E48" t="inlineStr">
        <is>
          <t>Acompañantes</t>
        </is>
      </c>
      <c r="F48" t="inlineStr">
        <is>
          <t>Distrito Judicial: Lima Norte</t>
        </is>
      </c>
      <c r="G48" t="inlineStr">
        <is>
          <t>IJM</t>
        </is>
      </c>
      <c r="H48" t="inlineStr">
        <is>
          <t>Sí</t>
        </is>
      </c>
      <c r="I48" s="2" t="inlineStr">
        <is>
          <t>15-May</t>
        </is>
      </c>
      <c r="J48" s="2" t="str"/>
      <c r="K48" s="2" t="str"/>
      <c r="L48" s="1" t="str"/>
      <c r="M48" s="2" t="str"/>
      <c r="N48" s="1" t="str"/>
      <c r="O48" s="1" t="inlineStr">
        <is>
          <t>Grupo focal 2</t>
        </is>
      </c>
      <c r="P48" s="1" t="str"/>
      <c r="Q48" s="1">
        <f>IF(H48="Sí",1,0)</f>
        <v/>
      </c>
      <c r="R48" s="1">
        <f>IF(L48="En coordinación",1,0)</f>
        <v/>
      </c>
      <c r="S48" t="n">
        <v>1</v>
      </c>
      <c r="T48">
        <f>IF(N48="Sí",1,0)</f>
        <v/>
      </c>
      <c r="U48">
        <f>IF(L48="Aceptada",1,0)</f>
        <v/>
      </c>
    </row>
    <row r="49">
      <c r="A49" s="21" t="inlineStr">
        <is>
          <t>48</t>
        </is>
      </c>
      <c r="B49" s="23" t="inlineStr">
        <is>
          <t>María Pía Molero</t>
        </is>
      </c>
      <c r="C49" t="inlineStr">
        <is>
          <t>Grupo focal de reconocimiento</t>
        </is>
      </c>
      <c r="D49" t="inlineStr">
        <is>
          <t>ONU Mujer</t>
        </is>
      </c>
      <c r="E49" t="inlineStr">
        <is>
          <t>Expertos en la temática</t>
        </is>
      </c>
      <c r="F49" t="inlineStr">
        <is>
          <t>Distrito Judicial: Huánuco</t>
        </is>
      </c>
      <c r="G49" t="inlineStr">
        <is>
          <t>IJM</t>
        </is>
      </c>
      <c r="H49" t="inlineStr">
        <is>
          <t>Sí</t>
        </is>
      </c>
      <c r="I49" s="2" t="inlineStr">
        <is>
          <t>15-May</t>
        </is>
      </c>
      <c r="J49" s="2" t="str"/>
      <c r="K49" s="2" t="str"/>
      <c r="L49" s="1" t="str"/>
      <c r="M49" s="2" t="str"/>
      <c r="N49" s="1" t="str"/>
      <c r="O49" s="1" t="inlineStr">
        <is>
          <t>Grupo focal 2</t>
        </is>
      </c>
      <c r="P49" s="1" t="str"/>
      <c r="Q49" s="1">
        <f>IF(H49="Sí",1,0)</f>
        <v/>
      </c>
      <c r="R49" s="1">
        <f>IF(L49="En coordinación",1,0)</f>
        <v/>
      </c>
      <c r="S49" t="n">
        <v>1</v>
      </c>
      <c r="T49">
        <f>IF(N49="Sí",1,0)</f>
        <v/>
      </c>
      <c r="U49">
        <f>IF(L49="Aceptada",1,0)</f>
        <v/>
      </c>
    </row>
    <row r="50">
      <c r="A50" s="21" t="inlineStr">
        <is>
          <t>49</t>
        </is>
      </c>
      <c r="B50" s="23" t="inlineStr">
        <is>
          <t>Susana Osorio</t>
        </is>
      </c>
      <c r="C50" t="inlineStr">
        <is>
          <t>Grupo focal de reconocimiento</t>
        </is>
      </c>
      <c r="D50" t="inlineStr">
        <is>
          <t xml:space="preserve">Save the children </t>
        </is>
      </c>
      <c r="E50" t="inlineStr">
        <is>
          <t>Expertos en la temática</t>
        </is>
      </c>
      <c r="F50" t="inlineStr">
        <is>
          <t>Nacional</t>
        </is>
      </c>
      <c r="G50" t="inlineStr">
        <is>
          <t>IJM</t>
        </is>
      </c>
      <c r="H50" t="inlineStr">
        <is>
          <t>Sí</t>
        </is>
      </c>
      <c r="I50" s="2" t="inlineStr">
        <is>
          <t>15-May</t>
        </is>
      </c>
      <c r="J50" s="2" t="str"/>
      <c r="K50" s="2" t="str"/>
      <c r="L50" s="1" t="str"/>
      <c r="M50" s="2" t="str"/>
      <c r="N50" s="1" t="str"/>
      <c r="O50" s="1" t="inlineStr">
        <is>
          <t>Grupo focal 2</t>
        </is>
      </c>
      <c r="P50" s="1" t="str"/>
      <c r="Q50" s="1">
        <f>IF(H50="Sí",1,0)</f>
        <v/>
      </c>
      <c r="R50" s="1">
        <f>IF(L50="En coordinación",1,0)</f>
        <v/>
      </c>
      <c r="S50" t="n">
        <v>1</v>
      </c>
      <c r="T50">
        <f>IF(N50="Sí",1,0)</f>
        <v/>
      </c>
      <c r="U50">
        <f>IF(L50="Aceptada",1,0)</f>
        <v/>
      </c>
    </row>
    <row r="51">
      <c r="A51" s="21" t="inlineStr">
        <is>
          <t>50</t>
        </is>
      </c>
      <c r="B51" s="23" t="inlineStr">
        <is>
          <t>Diana Rodriguez / Antonella Rojas</t>
        </is>
      </c>
      <c r="C51" t="inlineStr">
        <is>
          <t>Grupo focal de reconocimiento</t>
        </is>
      </c>
      <c r="D51" t="inlineStr">
        <is>
          <t xml:space="preserve">Save the children </t>
        </is>
      </c>
      <c r="E51" t="inlineStr">
        <is>
          <t>Expertos en la temática</t>
        </is>
      </c>
      <c r="F51" t="inlineStr">
        <is>
          <t>Nacional</t>
        </is>
      </c>
      <c r="H51" t="inlineStr">
        <is>
          <t>Sí</t>
        </is>
      </c>
      <c r="I51" s="2" t="inlineStr">
        <is>
          <t>15-May</t>
        </is>
      </c>
      <c r="J51" s="2" t="inlineStr">
        <is>
          <t>18-May</t>
        </is>
      </c>
      <c r="K51" s="2" t="str"/>
      <c r="L51" s="1" t="inlineStr">
        <is>
          <t>Aceptada</t>
        </is>
      </c>
      <c r="M51" s="2" t="inlineStr">
        <is>
          <t>20-May</t>
        </is>
      </c>
      <c r="N51" s="1" t="str"/>
      <c r="O51" s="1" t="inlineStr">
        <is>
          <t>Grupo focal 2</t>
        </is>
      </c>
      <c r="P51" s="1" t="str"/>
      <c r="Q51" s="1">
        <f>IF(H51="Sí",1,0)</f>
        <v/>
      </c>
      <c r="R51" s="1">
        <f>IF(L51="En coordinación",1,0)</f>
        <v/>
      </c>
      <c r="S51" t="n">
        <v>1</v>
      </c>
      <c r="T51">
        <f>IF(N51="Sí",1,0)</f>
        <v/>
      </c>
      <c r="U51">
        <f>IF(L51="Aceptada",1,0)</f>
        <v/>
      </c>
    </row>
    <row r="52">
      <c r="A52" s="21" t="inlineStr">
        <is>
          <t>51</t>
        </is>
      </c>
      <c r="B52" s="23" t="inlineStr">
        <is>
          <t>Gianina Marquez Olivera</t>
        </is>
      </c>
      <c r="C52" t="inlineStr">
        <is>
          <t>Grupo focal de reconocimiento</t>
        </is>
      </c>
      <c r="D52" t="inlineStr">
        <is>
          <t>Quinta Ola</t>
        </is>
      </c>
      <c r="E52" t="inlineStr">
        <is>
          <t>Acompañantes</t>
        </is>
      </c>
      <c r="F52" t="inlineStr">
        <is>
          <t>Nacional</t>
        </is>
      </c>
      <c r="G52" t="inlineStr">
        <is>
          <t>IJM</t>
        </is>
      </c>
      <c r="H52" t="inlineStr">
        <is>
          <t>Sí</t>
        </is>
      </c>
      <c r="I52" s="2" t="inlineStr">
        <is>
          <t>15-May</t>
        </is>
      </c>
      <c r="J52" s="2" t="str"/>
      <c r="K52" s="2" t="str"/>
      <c r="L52" s="1" t="inlineStr">
        <is>
          <t>Aceptada</t>
        </is>
      </c>
      <c r="M52" s="2" t="inlineStr">
        <is>
          <t>20-May</t>
        </is>
      </c>
      <c r="N52" s="1" t="str"/>
      <c r="O52" s="1" t="inlineStr">
        <is>
          <t>Grupo focal 2</t>
        </is>
      </c>
      <c r="P52" s="1" t="str"/>
      <c r="Q52" s="1">
        <f>IF(H52="Sí",1,0)</f>
        <v/>
      </c>
      <c r="R52" s="1">
        <f>IF(L52="En coordinación",1,0)</f>
        <v/>
      </c>
      <c r="S52" t="n">
        <v>1</v>
      </c>
      <c r="T52">
        <f>IF(N52="Sí",1,0)</f>
        <v/>
      </c>
      <c r="U52">
        <f>IF(L52="Aceptada",1,0)</f>
        <v/>
      </c>
    </row>
    <row r="53">
      <c r="A53" s="21" t="inlineStr">
        <is>
          <t>52</t>
        </is>
      </c>
      <c r="B53" s="23" t="inlineStr">
        <is>
          <t>Jimena Chavez</t>
        </is>
      </c>
      <c r="C53" t="inlineStr">
        <is>
          <t>Grupo focal de reconocimiento</t>
        </is>
      </c>
      <c r="D53" t="inlineStr">
        <is>
          <t>DVV International</t>
        </is>
      </c>
      <c r="E53" t="inlineStr">
        <is>
          <t>Actores locales</t>
        </is>
      </c>
      <c r="F53" t="inlineStr">
        <is>
          <t>Nacional</t>
        </is>
      </c>
      <c r="G53" t="inlineStr">
        <is>
          <t>IJM</t>
        </is>
      </c>
      <c r="I53" s="2" t="inlineStr">
        <is>
          <t>15-May</t>
        </is>
      </c>
      <c r="J53" s="2" t="str"/>
      <c r="K53" s="2" t="str"/>
      <c r="L53" s="1" t="str"/>
      <c r="M53" s="2" t="str"/>
      <c r="N53" s="1" t="str"/>
      <c r="O53" s="1" t="inlineStr">
        <is>
          <t>Grupo focal 2</t>
        </is>
      </c>
      <c r="P53" s="1" t="str"/>
      <c r="Q53" s="1">
        <f>IF(H53="Sí",1,0)</f>
        <v/>
      </c>
      <c r="R53" s="1">
        <f>IF(L53="En coordinación",1,0)</f>
        <v/>
      </c>
      <c r="S53" t="n">
        <v>1</v>
      </c>
      <c r="T53">
        <f>IF(N53="Sí",1,0)</f>
        <v/>
      </c>
      <c r="U53">
        <f>IF(L53="Aceptada",1,0)</f>
        <v/>
      </c>
    </row>
    <row r="54">
      <c r="A54" s="21" t="inlineStr">
        <is>
          <t>53</t>
        </is>
      </c>
      <c r="B54" s="23" t="inlineStr">
        <is>
          <t>Susana Gonzalez</t>
        </is>
      </c>
      <c r="C54" t="inlineStr">
        <is>
          <t>Grupo focal de reconocimiento</t>
        </is>
      </c>
      <c r="D54" t="inlineStr">
        <is>
          <t>Asociación de mujeres de Gamarra</t>
        </is>
      </c>
      <c r="E54" t="inlineStr">
        <is>
          <t>Acompañantes</t>
        </is>
      </c>
      <c r="F54" t="inlineStr">
        <is>
          <t>Distrito Judicial: Lima Este</t>
        </is>
      </c>
      <c r="G54" t="inlineStr">
        <is>
          <t>IJM</t>
        </is>
      </c>
      <c r="H54" t="inlineStr">
        <is>
          <t>Sí</t>
        </is>
      </c>
      <c r="I54" s="2" t="inlineStr">
        <is>
          <t>15-May</t>
        </is>
      </c>
      <c r="J54" s="2" t="str"/>
      <c r="K54" s="2" t="str"/>
      <c r="L54" s="1" t="str"/>
      <c r="M54" s="2" t="str"/>
      <c r="N54" s="1" t="str"/>
      <c r="O54" s="1" t="inlineStr">
        <is>
          <t>Grupo focal 2</t>
        </is>
      </c>
      <c r="P54" s="1" t="str"/>
      <c r="Q54" s="1">
        <f>IF(H54="Sí",1,0)</f>
        <v/>
      </c>
      <c r="R54" s="1">
        <f>IF(L54="En coordinación",1,0)</f>
        <v/>
      </c>
      <c r="S54" t="n">
        <v>1</v>
      </c>
      <c r="T54">
        <f>IF(N54="Sí",1,0)</f>
        <v/>
      </c>
      <c r="U54">
        <f>IF(L54="Aceptada",1,0)</f>
        <v/>
      </c>
    </row>
    <row r="55">
      <c r="A55" s="21" t="inlineStr">
        <is>
          <t>54</t>
        </is>
      </c>
      <c r="B55" s="23" t="inlineStr">
        <is>
          <t>Luisa Martinez</t>
        </is>
      </c>
      <c r="C55" t="inlineStr">
        <is>
          <t>Grupo focal de reconocimiento</t>
        </is>
      </c>
      <c r="D55" t="inlineStr">
        <is>
          <t>UNICEF</t>
        </is>
      </c>
      <c r="E55" t="inlineStr">
        <is>
          <t>Expertos en la temática</t>
        </is>
      </c>
      <c r="F55" t="inlineStr">
        <is>
          <t>Nacional</t>
        </is>
      </c>
      <c r="G55" t="inlineStr">
        <is>
          <t>IJM</t>
        </is>
      </c>
      <c r="H55" t="inlineStr">
        <is>
          <t>Sí</t>
        </is>
      </c>
      <c r="I55" s="2" t="inlineStr">
        <is>
          <t>15-May</t>
        </is>
      </c>
      <c r="J55" s="2" t="str"/>
      <c r="K55" s="2" t="str"/>
      <c r="L55" s="1" t="str"/>
      <c r="M55" s="2" t="str"/>
      <c r="N55" s="1" t="str"/>
      <c r="O55" s="1" t="inlineStr">
        <is>
          <t>Grupo focal 2</t>
        </is>
      </c>
      <c r="P55" s="1" t="str"/>
      <c r="Q55" s="1">
        <f>IF(H55="Sí",1,0)</f>
        <v/>
      </c>
      <c r="R55" s="1">
        <f>IF(L55="En coordinación",1,0)</f>
        <v/>
      </c>
      <c r="S55" t="n">
        <v>1</v>
      </c>
      <c r="T55">
        <f>IF(N55="Sí",1,0)</f>
        <v/>
      </c>
      <c r="U55">
        <f>IF(L55="Aceptada",1,0)</f>
        <v/>
      </c>
    </row>
    <row r="56">
      <c r="A56" s="21" t="inlineStr">
        <is>
          <t>55</t>
        </is>
      </c>
      <c r="B56" s="23" t="inlineStr">
        <is>
          <t>Angela Dominguez</t>
        </is>
      </c>
      <c r="C56" t="inlineStr">
        <is>
          <t>Grupo focal de reconocimiento</t>
        </is>
      </c>
      <c r="D56" t="inlineStr">
        <is>
          <t>CEM</t>
        </is>
      </c>
      <c r="E56" t="inlineStr">
        <is>
          <t>Acompañantes</t>
        </is>
      </c>
      <c r="F56" t="inlineStr">
        <is>
          <t>Distrito Judicial: La Libertad</t>
        </is>
      </c>
      <c r="G56" t="inlineStr">
        <is>
          <t>APOYO</t>
        </is>
      </c>
      <c r="H56" t="inlineStr">
        <is>
          <t>Sí</t>
        </is>
      </c>
      <c r="I56" s="2" t="inlineStr">
        <is>
          <t>11-May</t>
        </is>
      </c>
      <c r="J56" s="2" t="str"/>
      <c r="K56" s="2" t="str"/>
      <c r="L56" s="1" t="inlineStr">
        <is>
          <t>Aceptada</t>
        </is>
      </c>
      <c r="M56" s="2" t="inlineStr">
        <is>
          <t>11-May</t>
        </is>
      </c>
      <c r="N56" s="1" t="inlineStr">
        <is>
          <t>Sí</t>
        </is>
      </c>
      <c r="O56" s="1" t="inlineStr">
        <is>
          <t>Grupo focal 1</t>
        </is>
      </c>
      <c r="P56" s="1" t="str"/>
      <c r="Q56" s="1">
        <f>IF(H56="Sí",1,0)</f>
        <v/>
      </c>
      <c r="R56" s="1">
        <f>IF(L56="En coordinación",1,0)</f>
        <v/>
      </c>
      <c r="S56" t="n">
        <v>1</v>
      </c>
      <c r="T56">
        <f>IF(N56="Sí",1,0)</f>
        <v/>
      </c>
      <c r="U56">
        <f>IF(L56="Aceptada",1,0)</f>
        <v/>
      </c>
    </row>
    <row r="57">
      <c r="A57" s="21" t="inlineStr">
        <is>
          <t>56</t>
        </is>
      </c>
      <c r="B57" s="23" t="inlineStr">
        <is>
          <t>Beatriz Cordova</t>
        </is>
      </c>
      <c r="C57" t="inlineStr">
        <is>
          <t>Grupo focal de reconocimiento</t>
        </is>
      </c>
      <c r="D57" t="inlineStr">
        <is>
          <t>Quinta Ola</t>
        </is>
      </c>
      <c r="E57" t="inlineStr">
        <is>
          <t>Acompañantes</t>
        </is>
      </c>
      <c r="F57" t="inlineStr">
        <is>
          <t>Nacional</t>
        </is>
      </c>
      <c r="G57" t="inlineStr">
        <is>
          <t>APOYO</t>
        </is>
      </c>
      <c r="H57" t="inlineStr">
        <is>
          <t>Sí</t>
        </is>
      </c>
      <c r="I57" s="2" t="inlineStr">
        <is>
          <t>11-May</t>
        </is>
      </c>
      <c r="J57" s="2" t="str"/>
      <c r="K57" s="2" t="str"/>
      <c r="L57" s="1" t="inlineStr">
        <is>
          <t>Aceptada</t>
        </is>
      </c>
      <c r="M57" s="2" t="inlineStr">
        <is>
          <t>11-May</t>
        </is>
      </c>
      <c r="N57" s="1" t="inlineStr">
        <is>
          <t>Sí</t>
        </is>
      </c>
      <c r="O57" s="1" t="inlineStr">
        <is>
          <t>Grupo focal 1</t>
        </is>
      </c>
      <c r="P57" s="1" t="str"/>
      <c r="Q57" s="1">
        <f>IF(H57="Sí",1,0)</f>
        <v/>
      </c>
      <c r="R57" s="1">
        <f>IF(L57="En coordinación",1,0)</f>
        <v/>
      </c>
      <c r="S57" t="n">
        <v>1</v>
      </c>
      <c r="T57">
        <f>IF(N57="Sí",1,0)</f>
        <v/>
      </c>
      <c r="U57">
        <f>IF(L57="Aceptada",1,0)</f>
        <v/>
      </c>
    </row>
    <row r="58">
      <c r="A58" s="21" t="inlineStr">
        <is>
          <t>57</t>
        </is>
      </c>
      <c r="B58" s="23" t="inlineStr">
        <is>
          <t>Virginia Rose Losada</t>
        </is>
      </c>
      <c r="C58" t="inlineStr">
        <is>
          <t>Grupo focal de reconocimiento</t>
        </is>
      </c>
      <c r="D58" t="inlineStr">
        <is>
          <t>OIT</t>
        </is>
      </c>
      <c r="E58" t="inlineStr">
        <is>
          <t>Expertos en la temática</t>
        </is>
      </c>
      <c r="F58" t="inlineStr">
        <is>
          <t>Nacional</t>
        </is>
      </c>
      <c r="G58" t="inlineStr">
        <is>
          <t>APOYO</t>
        </is>
      </c>
      <c r="H58" t="inlineStr">
        <is>
          <t>Sí</t>
        </is>
      </c>
      <c r="I58" s="2" t="inlineStr">
        <is>
          <t>15-May</t>
        </is>
      </c>
      <c r="J58" s="2" t="str"/>
      <c r="K58" s="2" t="str"/>
      <c r="L58" s="1" t="str"/>
      <c r="M58" s="2" t="str"/>
      <c r="N58" s="1" t="str"/>
      <c r="O58" s="1" t="str"/>
      <c r="P58" s="1" t="str"/>
      <c r="Q58" s="1">
        <f>IF(H58="Sí",1,0)</f>
        <v/>
      </c>
      <c r="R58" s="1">
        <f>IF(L58="En coordinación",1,0)</f>
        <v/>
      </c>
      <c r="S58" t="n">
        <v>1</v>
      </c>
      <c r="T58">
        <f>IF(N58="Sí",1,0)</f>
        <v/>
      </c>
      <c r="U58">
        <f>IF(L58="Aceptada",1,0)</f>
        <v/>
      </c>
    </row>
    <row r="59">
      <c r="A59" s="21" t="inlineStr">
        <is>
          <t>58</t>
        </is>
      </c>
      <c r="B59" s="23" t="inlineStr">
        <is>
          <t>Corali Ormeño Michelena</t>
        </is>
      </c>
      <c r="C59" t="inlineStr">
        <is>
          <t>Grupo focal de reconocimiento</t>
        </is>
      </c>
      <c r="D59" t="inlineStr">
        <is>
          <t>CARE ONG</t>
        </is>
      </c>
      <c r="E59" t="inlineStr">
        <is>
          <t>Expertos en la temática</t>
        </is>
      </c>
      <c r="F59" t="inlineStr">
        <is>
          <t>Nacional</t>
        </is>
      </c>
      <c r="G59" t="inlineStr">
        <is>
          <t>APOYO</t>
        </is>
      </c>
      <c r="H59" t="inlineStr">
        <is>
          <t>Sí</t>
        </is>
      </c>
      <c r="I59" s="2" t="inlineStr">
        <is>
          <t>15-May</t>
        </is>
      </c>
      <c r="J59" s="2" t="str"/>
      <c r="K59" s="2" t="str"/>
      <c r="L59" s="1" t="str"/>
      <c r="M59" s="2" t="str"/>
      <c r="N59" s="1" t="str"/>
      <c r="O59" s="1" t="str"/>
      <c r="P59" s="1" t="str"/>
      <c r="Q59" s="1">
        <f>IF(H59="Sí",1,0)</f>
        <v/>
      </c>
      <c r="R59" s="1">
        <f>IF(L59="En coordinación",1,0)</f>
        <v/>
      </c>
      <c r="S59" t="n">
        <v>1</v>
      </c>
      <c r="T59">
        <f>IF(N59="Sí",1,0)</f>
        <v/>
      </c>
      <c r="U59">
        <f>IF(L59="Aceptada",1,0)</f>
        <v/>
      </c>
    </row>
    <row r="60">
      <c r="A60" s="21" t="inlineStr">
        <is>
          <t>59</t>
        </is>
      </c>
      <c r="B60" s="23" t="inlineStr">
        <is>
          <t>Giannina Castro Gamarra</t>
        </is>
      </c>
      <c r="C60" t="inlineStr">
        <is>
          <t>Grupo focal de reconocimiento</t>
        </is>
      </c>
      <c r="D60" t="inlineStr">
        <is>
          <t>AMEP</t>
        </is>
      </c>
      <c r="E60" t="inlineStr">
        <is>
          <t>Actores locales</t>
        </is>
      </c>
      <c r="F60" t="inlineStr">
        <is>
          <t>Distrito Judicial: Lima</t>
        </is>
      </c>
      <c r="G60" t="inlineStr">
        <is>
          <t>APOYO</t>
        </is>
      </c>
      <c r="H60" t="inlineStr">
        <is>
          <t>Sí</t>
        </is>
      </c>
      <c r="I60" s="2" t="inlineStr">
        <is>
          <t>15-May</t>
        </is>
      </c>
      <c r="J60" s="2" t="str"/>
      <c r="K60" s="2" t="str"/>
      <c r="L60" s="1" t="str"/>
      <c r="M60" s="2" t="str"/>
      <c r="N60" s="1" t="str"/>
      <c r="O60" s="1" t="str"/>
      <c r="P60" s="1" t="str"/>
      <c r="Q60" s="1">
        <f>IF(H60="Sí",1,0)</f>
        <v/>
      </c>
      <c r="R60" s="1">
        <f>IF(L60="En coordinación",1,0)</f>
        <v/>
      </c>
      <c r="S60" t="n">
        <v>1</v>
      </c>
      <c r="T60">
        <f>IF(N60="Sí",1,0)</f>
        <v/>
      </c>
      <c r="U60">
        <f>IF(L60="Aceptada",1,0)</f>
        <v/>
      </c>
    </row>
    <row r="61">
      <c r="A61" s="21" t="inlineStr">
        <is>
          <t>60</t>
        </is>
      </c>
      <c r="B61" s="23" t="inlineStr">
        <is>
          <t>Carmen Arróspide Poblete</t>
        </is>
      </c>
      <c r="C61" t="inlineStr">
        <is>
          <t>Grupo focal de reconocimiento</t>
        </is>
      </c>
      <c r="D61" t="inlineStr">
        <is>
          <t>RENAMEE</t>
        </is>
      </c>
      <c r="E61" t="inlineStr">
        <is>
          <t>Actores locales</t>
        </is>
      </c>
      <c r="F61" t="inlineStr">
        <is>
          <t>Distrito Judicial: Cusco</t>
        </is>
      </c>
      <c r="G61" t="inlineStr">
        <is>
          <t>APOYO</t>
        </is>
      </c>
      <c r="H61" t="inlineStr">
        <is>
          <t>Sí</t>
        </is>
      </c>
      <c r="I61" s="2" t="inlineStr">
        <is>
          <t>15-May</t>
        </is>
      </c>
      <c r="J61" s="2" t="str"/>
      <c r="K61" s="2" t="str"/>
      <c r="L61" s="1" t="str"/>
      <c r="M61" s="2" t="str"/>
      <c r="N61" s="1" t="str"/>
      <c r="O61" s="1" t="str"/>
      <c r="P61" s="1" t="str"/>
      <c r="Q61" s="1">
        <f>IF(H61="Sí",1,0)</f>
        <v/>
      </c>
      <c r="R61" s="1">
        <f>IF(L61="En coordinación",1,0)</f>
        <v/>
      </c>
      <c r="S61" t="n">
        <v>1</v>
      </c>
      <c r="T61">
        <f>IF(N61="Sí",1,0)</f>
        <v/>
      </c>
      <c r="U61">
        <f>IF(L61="Aceptada",1,0)</f>
        <v/>
      </c>
    </row>
    <row r="62">
      <c r="A62" s="21" t="inlineStr">
        <is>
          <t>61</t>
        </is>
      </c>
      <c r="B62" s="23" t="inlineStr">
        <is>
          <t>Carolina Vera Torres</t>
        </is>
      </c>
      <c r="C62" t="inlineStr">
        <is>
          <t>Grupo focal de reconocimiento</t>
        </is>
      </c>
      <c r="D62" t="inlineStr">
        <is>
          <t>Docente de la PUCP en temas de Género</t>
        </is>
      </c>
      <c r="E62" t="inlineStr">
        <is>
          <t>Actores locales</t>
        </is>
      </c>
      <c r="F62" t="inlineStr">
        <is>
          <t>Distrito Judicial: Lima</t>
        </is>
      </c>
      <c r="G62" t="inlineStr">
        <is>
          <t>APOYO</t>
        </is>
      </c>
      <c r="H62" t="inlineStr">
        <is>
          <t>Sí</t>
        </is>
      </c>
      <c r="I62" s="2" t="inlineStr">
        <is>
          <t>15-May</t>
        </is>
      </c>
      <c r="J62" s="2" t="str"/>
      <c r="K62" s="2" t="str"/>
      <c r="L62" s="1" t="str"/>
      <c r="M62" s="2" t="str"/>
      <c r="N62" s="1" t="str"/>
      <c r="O62" s="1" t="str"/>
      <c r="P62" s="1" t="str"/>
      <c r="Q62" s="1">
        <f>IF(H62="Sí",1,0)</f>
        <v/>
      </c>
      <c r="R62" s="1">
        <f>IF(L62="En coordinación",1,0)</f>
        <v/>
      </c>
      <c r="S62" t="n">
        <v>1</v>
      </c>
      <c r="T62">
        <f>IF(N62="Sí",1,0)</f>
        <v/>
      </c>
      <c r="U62">
        <f>IF(L62="Aceptada",1,0)</f>
        <v/>
      </c>
    </row>
    <row r="63">
      <c r="A63" s="21" t="inlineStr">
        <is>
          <t>62</t>
        </is>
      </c>
      <c r="B63" s="23" t="inlineStr">
        <is>
          <t>Elena Reyes</t>
        </is>
      </c>
      <c r="C63" t="inlineStr">
        <is>
          <t>Grupo focal de reconocimiento</t>
        </is>
      </c>
      <c r="D63" t="inlineStr">
        <is>
          <t>Especialista en Género</t>
        </is>
      </c>
      <c r="E63" t="inlineStr">
        <is>
          <t>Actores locales</t>
        </is>
      </c>
      <c r="F63" t="inlineStr">
        <is>
          <t>Distrito Judicial: Lima</t>
        </is>
      </c>
      <c r="G63" t="inlineStr">
        <is>
          <t>APOYO</t>
        </is>
      </c>
      <c r="H63" t="inlineStr">
        <is>
          <t>Sí</t>
        </is>
      </c>
      <c r="I63" s="2" t="inlineStr">
        <is>
          <t>15-May</t>
        </is>
      </c>
      <c r="J63" s="2" t="str"/>
      <c r="K63" s="2" t="str"/>
      <c r="L63" s="1" t="str"/>
      <c r="M63" s="2" t="str"/>
      <c r="N63" s="1" t="str"/>
      <c r="O63" s="1" t="str"/>
      <c r="P63" s="1" t="str"/>
      <c r="Q63" s="1">
        <f>IF(H63="Sí",1,0)</f>
        <v/>
      </c>
      <c r="R63" s="1">
        <f>IF(L63="En coordinación",1,0)</f>
        <v/>
      </c>
      <c r="S63" t="n">
        <v>1</v>
      </c>
      <c r="T63">
        <f>IF(N63="Sí",1,0)</f>
        <v/>
      </c>
      <c r="U63">
        <f>IF(L63="Aceptada",1,0)</f>
        <v/>
      </c>
    </row>
    <row r="64">
      <c r="A64" s="21" t="inlineStr">
        <is>
          <t>63</t>
        </is>
      </c>
      <c r="B64" s="23" t="inlineStr">
        <is>
          <t>Keyland Allca Chacaliaza</t>
        </is>
      </c>
      <c r="C64" t="inlineStr">
        <is>
          <t>Grupo focal de reconocimiento</t>
        </is>
      </c>
      <c r="D64" t="inlineStr">
        <is>
          <t>Lideranda ORG</t>
        </is>
      </c>
      <c r="E64" t="inlineStr">
        <is>
          <t>Acompañantes</t>
        </is>
      </c>
      <c r="F64" t="inlineStr">
        <is>
          <t>Distrito Judicial: Lima</t>
        </is>
      </c>
      <c r="G64" t="inlineStr">
        <is>
          <t>APOYO</t>
        </is>
      </c>
      <c r="H64" t="inlineStr">
        <is>
          <t>Sí</t>
        </is>
      </c>
      <c r="I64" s="2" t="inlineStr">
        <is>
          <t>15-May</t>
        </is>
      </c>
      <c r="J64" s="2" t="str"/>
      <c r="K64" s="2" t="str"/>
      <c r="L64" s="1" t="str"/>
      <c r="M64" s="2" t="str"/>
      <c r="N64" s="1" t="str"/>
      <c r="O64" s="1" t="str"/>
      <c r="P64" s="1" t="str"/>
      <c r="Q64" s="1">
        <f>IF(H64="Sí",1,0)</f>
        <v/>
      </c>
      <c r="R64" s="1">
        <f>IF(L64="En coordinación",1,0)</f>
        <v/>
      </c>
      <c r="S64" t="n">
        <v>1</v>
      </c>
      <c r="T64">
        <f>IF(N64="Sí",1,0)</f>
        <v/>
      </c>
      <c r="U64">
        <f>IF(L64="Aceptada",1,0)</f>
        <v/>
      </c>
    </row>
    <row r="65">
      <c r="A65" s="21" t="inlineStr">
        <is>
          <t>64</t>
        </is>
      </c>
      <c r="B65" s="23" t="inlineStr">
        <is>
          <t>Magaly Ávila</t>
        </is>
      </c>
      <c r="C65" t="inlineStr">
        <is>
          <t>Grupo focal de reconocimiento</t>
        </is>
      </c>
      <c r="D65" t="inlineStr">
        <is>
          <t>Proetica</t>
        </is>
      </c>
      <c r="E65" t="inlineStr">
        <is>
          <t>Actores locales</t>
        </is>
      </c>
      <c r="F65" t="inlineStr">
        <is>
          <t>Nacional</t>
        </is>
      </c>
      <c r="G65" t="inlineStr">
        <is>
          <t>APOYO</t>
        </is>
      </c>
      <c r="H65" t="inlineStr">
        <is>
          <t>Sí</t>
        </is>
      </c>
      <c r="I65" s="2" t="inlineStr">
        <is>
          <t>15-May</t>
        </is>
      </c>
      <c r="J65" s="2" t="str"/>
      <c r="K65" s="2" t="str"/>
      <c r="L65" s="1" t="str"/>
      <c r="M65" s="2" t="str"/>
      <c r="N65" s="1" t="str"/>
      <c r="O65" s="1" t="str"/>
      <c r="P65" s="1" t="str"/>
      <c r="Q65" s="1">
        <f>IF(H65="Sí",1,0)</f>
        <v/>
      </c>
      <c r="R65" s="1">
        <f>IF(L65="En coordinación",1,0)</f>
        <v/>
      </c>
      <c r="S65" t="n">
        <v>1</v>
      </c>
      <c r="T65">
        <f>IF(N65="Sí",1,0)</f>
        <v/>
      </c>
      <c r="U65">
        <f>IF(L65="Aceptada",1,0)</f>
        <v/>
      </c>
    </row>
    <row r="66">
      <c r="A66" s="21" t="inlineStr">
        <is>
          <t>65</t>
        </is>
      </c>
      <c r="B66" s="23" t="inlineStr">
        <is>
          <t>María Alejandra Saravia Pinazo</t>
        </is>
      </c>
      <c r="D66" t="inlineStr">
        <is>
          <t>Proetica</t>
        </is>
      </c>
      <c r="F66" t="inlineStr">
        <is>
          <t>Distrito Judicial: Lima</t>
        </is>
      </c>
      <c r="H66" t="inlineStr">
        <is>
          <t>Sí</t>
        </is>
      </c>
      <c r="I66" s="2" t="str"/>
      <c r="J66" s="2" t="str"/>
      <c r="K66" s="2" t="str"/>
      <c r="L66" s="1" t="inlineStr">
        <is>
          <t>Aceptada</t>
        </is>
      </c>
      <c r="M66" s="2" t="inlineStr">
        <is>
          <t>20-May</t>
        </is>
      </c>
      <c r="N66" s="1" t="inlineStr">
        <is>
          <t>Sí</t>
        </is>
      </c>
      <c r="O66" s="1" t="inlineStr">
        <is>
          <t>Grupo focal 2</t>
        </is>
      </c>
      <c r="P66" s="1" t="str"/>
      <c r="Q66" s="1">
        <f>IF(H66="Sí",1,0)</f>
        <v/>
      </c>
      <c r="R66" s="1">
        <f>IF(L66="En coordinación",1,0)</f>
        <v/>
      </c>
      <c r="S66" t="n">
        <v>1</v>
      </c>
      <c r="T66">
        <f>IF(N66="Sí",1,0)</f>
        <v/>
      </c>
      <c r="U66">
        <f>IF(L66="Aceptada",1,0)</f>
        <v/>
      </c>
    </row>
    <row r="67">
      <c r="A67" s="21" t="inlineStr">
        <is>
          <t>66</t>
        </is>
      </c>
      <c r="B67" s="23" t="inlineStr">
        <is>
          <t>Adhely Bellido Castro</t>
        </is>
      </c>
      <c r="C67" t="inlineStr">
        <is>
          <t>Grupo focal de reconocimiento</t>
        </is>
      </c>
      <c r="D67" t="inlineStr">
        <is>
          <t>RED NACIONAL DE JÓVENES PARLAMENTARIOS</t>
        </is>
      </c>
      <c r="E67" t="inlineStr">
        <is>
          <t>Acompañantes</t>
        </is>
      </c>
      <c r="F67" t="inlineStr">
        <is>
          <t>Nacional</t>
        </is>
      </c>
      <c r="G67" t="inlineStr">
        <is>
          <t>APOYO</t>
        </is>
      </c>
      <c r="H67" t="inlineStr">
        <is>
          <t>Sí</t>
        </is>
      </c>
      <c r="I67" s="2" t="inlineStr">
        <is>
          <t>15-May</t>
        </is>
      </c>
      <c r="J67" s="2" t="str"/>
      <c r="K67" s="2" t="str"/>
      <c r="L67" s="1" t="str"/>
      <c r="M67" s="2" t="str"/>
      <c r="N67" s="1" t="str"/>
      <c r="O67" s="1" t="str"/>
      <c r="P67" s="1" t="str"/>
      <c r="Q67" s="1">
        <f>IF(H67="Sí",1,0)</f>
        <v/>
      </c>
      <c r="R67" s="1">
        <f>IF(L67="En coordinación",1,0)</f>
        <v/>
      </c>
      <c r="T67">
        <f>IF(N67="Sí",1,0)</f>
        <v/>
      </c>
      <c r="U67">
        <f>IF(L67="Aceptada",1,0)</f>
        <v/>
      </c>
    </row>
    <row r="68">
      <c r="A68" s="21" t="inlineStr">
        <is>
          <t>67</t>
        </is>
      </c>
      <c r="B68" s="23" t="inlineStr">
        <is>
          <t>Lourdes Maritza Jesús Soplin Servan</t>
        </is>
      </c>
      <c r="C68" t="inlineStr">
        <is>
          <t>Grupo focal de reconocimiento</t>
        </is>
      </c>
      <c r="D68" t="inlineStr">
        <is>
          <t>Taller de Estudios Parlamentarios - TAEP</t>
        </is>
      </c>
      <c r="E68" t="inlineStr">
        <is>
          <t>Actores locales</t>
        </is>
      </c>
      <c r="F68" t="inlineStr">
        <is>
          <t>Nacional</t>
        </is>
      </c>
      <c r="G68" t="inlineStr">
        <is>
          <t>APOYO</t>
        </is>
      </c>
      <c r="H68" t="inlineStr">
        <is>
          <t>Sí</t>
        </is>
      </c>
      <c r="I68" s="2" t="inlineStr">
        <is>
          <t>15-May</t>
        </is>
      </c>
      <c r="J68" s="2" t="str"/>
      <c r="K68" s="2" t="str"/>
      <c r="L68" s="1" t="str"/>
      <c r="M68" s="2" t="str"/>
      <c r="N68" s="1" t="str"/>
      <c r="O68" s="1" t="str"/>
      <c r="P68" s="1" t="str"/>
      <c r="Q68" s="1">
        <f>IF(H68="Sí",1,0)</f>
        <v/>
      </c>
      <c r="R68" s="1">
        <f>IF(L68="En coordinación",1,0)</f>
        <v/>
      </c>
      <c r="T68">
        <f>IF(N68="Sí",1,0)</f>
        <v/>
      </c>
      <c r="U68">
        <f>IF(L68="Aceptada",1,0)</f>
        <v/>
      </c>
    </row>
    <row r="69">
      <c r="A69" s="21" t="inlineStr">
        <is>
          <t>68</t>
        </is>
      </c>
      <c r="B69" s="23" t="inlineStr">
        <is>
          <t>Carmen Espinoza</t>
        </is>
      </c>
      <c r="C69" t="inlineStr">
        <is>
          <t>Grupo focal de reconocimiento</t>
        </is>
      </c>
      <c r="D69" t="inlineStr">
        <is>
          <t>Manuela Ramos</t>
        </is>
      </c>
      <c r="E69" t="inlineStr">
        <is>
          <t>Actores locales</t>
        </is>
      </c>
      <c r="F69" t="inlineStr">
        <is>
          <t>Nacional</t>
        </is>
      </c>
      <c r="G69" t="inlineStr">
        <is>
          <t>APOYO</t>
        </is>
      </c>
      <c r="H69" t="inlineStr">
        <is>
          <t>Sí</t>
        </is>
      </c>
      <c r="I69" s="2" t="inlineStr">
        <is>
          <t>15-May</t>
        </is>
      </c>
      <c r="J69" s="2" t="str"/>
      <c r="K69" s="2" t="str"/>
      <c r="L69" s="1" t="str"/>
      <c r="M69" s="2" t="str"/>
      <c r="N69" s="1" t="str"/>
      <c r="O69" s="1" t="str"/>
      <c r="P69" s="1" t="str"/>
      <c r="Q69" s="1">
        <f>IF(H69="Sí",1,0)</f>
        <v/>
      </c>
      <c r="R69" s="1">
        <f>IF(L69="En coordinación",1,0)</f>
        <v/>
      </c>
      <c r="T69">
        <f>IF(N69="Sí",1,0)</f>
        <v/>
      </c>
      <c r="U69">
        <f>IF(L69="Aceptada",1,0)</f>
        <v/>
      </c>
    </row>
    <row r="70">
      <c r="A70" s="21" t="str"/>
      <c r="B70" s="23" t="str"/>
      <c r="I70" s="2" t="str"/>
      <c r="J70" s="2" t="str"/>
      <c r="K70" s="2" t="str"/>
      <c r="L70" s="1" t="str"/>
      <c r="M70" s="2" t="str"/>
      <c r="N70" s="1" t="str"/>
      <c r="O70" s="1" t="str"/>
      <c r="P70" s="1" t="str"/>
      <c r="Q70" s="1">
        <f>IF(H70="Sí",1,0)</f>
        <v/>
      </c>
      <c r="R70" s="1">
        <f>IF(L70="En coordinación",1,0)</f>
        <v/>
      </c>
      <c r="T70">
        <f>IF(N70="Sí",1,0)</f>
        <v/>
      </c>
      <c r="U70">
        <f>IF(L70="Aceptada",1,0)</f>
        <v/>
      </c>
    </row>
    <row r="71">
      <c r="A71" s="21" t="str"/>
      <c r="B71" s="23" t="str"/>
      <c r="I71" s="2" t="str"/>
      <c r="J71" s="2" t="str"/>
      <c r="K71" s="2" t="str"/>
      <c r="L71" s="1" t="str"/>
      <c r="M71" s="2" t="str"/>
      <c r="N71" s="1" t="str"/>
      <c r="O71" s="1" t="str"/>
      <c r="P71" s="1" t="str"/>
      <c r="Q71" s="1">
        <f>IF(H71="Sí",1,0)</f>
        <v/>
      </c>
      <c r="R71" s="1">
        <f>IF(L71="En coordinación",1,0)</f>
        <v/>
      </c>
      <c r="T71">
        <f>IF(N71="Sí",1,0)</f>
        <v/>
      </c>
      <c r="U71">
        <f>IF(L71="Aceptada",1,0)</f>
        <v/>
      </c>
    </row>
    <row r="72">
      <c r="A72" s="21" t="str"/>
      <c r="B72" s="23" t="str"/>
      <c r="I72" s="2" t="str"/>
      <c r="J72" s="2" t="str"/>
      <c r="K72" s="2" t="str"/>
      <c r="L72" s="1" t="str"/>
      <c r="M72" s="2" t="str"/>
      <c r="N72" s="1" t="str"/>
      <c r="O72" s="1" t="str"/>
      <c r="P72" s="1" t="str"/>
      <c r="Q72" s="1">
        <f>IF(H72="Sí",1,0)</f>
        <v/>
      </c>
      <c r="R72" s="1">
        <f>IF(L72="En coordinación",1,0)</f>
        <v/>
      </c>
      <c r="T72">
        <f>IF(N72="Sí",1,0)</f>
        <v/>
      </c>
      <c r="U72">
        <f>IF(L72="Aceptada",1,0)</f>
        <v/>
      </c>
    </row>
    <row r="73">
      <c r="A73" s="21" t="str"/>
      <c r="B73" s="23" t="str"/>
      <c r="I73" s="2" t="str"/>
      <c r="J73" s="2" t="str"/>
      <c r="K73" s="2" t="str"/>
      <c r="L73" s="1" t="str"/>
      <c r="M73" s="2" t="str"/>
      <c r="N73" s="1" t="str"/>
      <c r="O73" s="1" t="str"/>
      <c r="P73" s="1" t="str"/>
      <c r="Q73" s="1">
        <f>IF(H73="Sí",1,0)</f>
        <v/>
      </c>
      <c r="R73" s="1">
        <f>IF(L73="En coordinación",1,0)</f>
        <v/>
      </c>
      <c r="T73">
        <f>IF(N73="Sí",1,0)</f>
        <v/>
      </c>
      <c r="U73">
        <f>IF(L73="Aceptada",1,0)</f>
        <v/>
      </c>
    </row>
    <row r="74">
      <c r="A74" s="21" t="str"/>
      <c r="B74" s="23" t="str"/>
      <c r="I74" s="2" t="str"/>
      <c r="J74" s="2" t="str"/>
      <c r="K74" s="2" t="str"/>
      <c r="L74" s="1" t="str"/>
      <c r="M74" s="2" t="str"/>
      <c r="N74" s="1" t="str"/>
      <c r="O74" s="1" t="str"/>
      <c r="P74" s="1" t="str"/>
      <c r="Q74" s="1">
        <f>IF(H74="Sí",1,0)</f>
        <v/>
      </c>
      <c r="R74" s="1">
        <f>IF(L74="En coordinación",1,0)</f>
        <v/>
      </c>
      <c r="T74">
        <f>IF(N74="Sí",1,0)</f>
        <v/>
      </c>
      <c r="U74">
        <f>IF(L74="Aceptada",1,0)</f>
        <v/>
      </c>
    </row>
    <row r="75">
      <c r="A75" s="21" t="str"/>
      <c r="B75" s="23" t="str"/>
      <c r="I75" s="2" t="str"/>
      <c r="J75" s="2" t="str"/>
      <c r="K75" s="2" t="str"/>
      <c r="L75" s="1" t="str"/>
      <c r="M75" s="2" t="str"/>
      <c r="N75" s="1" t="str"/>
      <c r="O75" s="1" t="str"/>
      <c r="P75" s="1" t="str"/>
      <c r="Q75" s="1">
        <f>IF(H75="Sí",1,0)</f>
        <v/>
      </c>
      <c r="R75" s="1">
        <f>IF(L75="En coordinación",1,0)</f>
        <v/>
      </c>
      <c r="T75">
        <f>IF(N75="Sí",1,0)</f>
        <v/>
      </c>
      <c r="U75">
        <f>IF(L75="Aceptada",1,0)</f>
        <v/>
      </c>
    </row>
    <row r="76">
      <c r="A76" s="21" t="str"/>
      <c r="B76" s="23" t="str"/>
      <c r="I76" s="2" t="str"/>
      <c r="J76" s="2" t="str"/>
      <c r="K76" s="2" t="str"/>
      <c r="L76" s="1" t="str"/>
      <c r="M76" s="2" t="str"/>
      <c r="N76" s="1" t="str"/>
      <c r="O76" s="1" t="str"/>
      <c r="P76" s="1" t="str"/>
      <c r="Q76" s="1">
        <f>IF(H76="Sí",1,0)</f>
        <v/>
      </c>
      <c r="R76" s="1">
        <f>IF(L76="En coordinación",1,0)</f>
        <v/>
      </c>
      <c r="T76">
        <f>IF(N76="Sí",1,0)</f>
        <v/>
      </c>
      <c r="U76">
        <f>IF(L76="Aceptada",1,0)</f>
        <v/>
      </c>
    </row>
    <row r="77">
      <c r="A77" s="21" t="str"/>
      <c r="B77" s="23" t="str"/>
      <c r="I77" s="2" t="str"/>
      <c r="J77" s="2" t="str"/>
      <c r="K77" s="2" t="str"/>
      <c r="L77" s="1" t="str"/>
      <c r="M77" s="2" t="str"/>
      <c r="N77" s="1" t="str"/>
      <c r="O77" s="1" t="str"/>
      <c r="P77" s="1" t="str"/>
      <c r="Q77" s="1">
        <f>IF(H77="Sí",1,0)</f>
        <v/>
      </c>
      <c r="R77" s="1">
        <f>IF(L77="En coordinación",1,0)</f>
        <v/>
      </c>
      <c r="T77">
        <f>IF(N77="Sí",1,0)</f>
        <v/>
      </c>
      <c r="U77">
        <f>IF(L77="Aceptada",1,0)</f>
        <v/>
      </c>
    </row>
    <row r="78">
      <c r="A78" s="21" t="str"/>
      <c r="B78" s="23" t="str"/>
      <c r="I78" s="2" t="str"/>
      <c r="J78" s="2" t="str"/>
      <c r="K78" s="2" t="str"/>
      <c r="L78" s="1" t="str"/>
      <c r="M78" s="2" t="str"/>
      <c r="N78" s="1" t="str"/>
      <c r="O78" s="1" t="str"/>
      <c r="P78" s="1" t="str"/>
      <c r="Q78" s="1">
        <f>IF(H78="Sí",1,0)</f>
        <v/>
      </c>
      <c r="R78" s="1">
        <f>IF(L78="En coordinación",1,0)</f>
        <v/>
      </c>
      <c r="T78">
        <f>IF(N78="Sí",1,0)</f>
        <v/>
      </c>
      <c r="U78">
        <f>IF(L78="Aceptada",1,0)</f>
        <v/>
      </c>
    </row>
    <row r="79">
      <c r="A79" s="21" t="str"/>
      <c r="B79" s="23" t="str"/>
      <c r="I79" s="2" t="str"/>
      <c r="J79" s="2" t="str"/>
      <c r="K79" s="2" t="str"/>
      <c r="L79" s="1" t="str"/>
      <c r="M79" s="2" t="str"/>
      <c r="N79" s="1" t="str"/>
      <c r="O79" s="1" t="str"/>
      <c r="P79" s="1" t="str"/>
      <c r="Q79" s="1">
        <f>IF(H79="Sí",1,0)</f>
        <v/>
      </c>
      <c r="R79" s="1">
        <f>IF(L79="En coordinación",1,0)</f>
        <v/>
      </c>
      <c r="T79">
        <f>IF(N79="Sí",1,0)</f>
        <v/>
      </c>
      <c r="U79">
        <f>IF(L79="Aceptada",1,0)</f>
        <v/>
      </c>
    </row>
    <row r="80">
      <c r="A80" s="21" t="str"/>
      <c r="B80" s="23" t="str"/>
      <c r="I80" s="2" t="str"/>
      <c r="J80" s="2" t="str"/>
      <c r="K80" s="2" t="str"/>
      <c r="L80" s="1" t="str"/>
      <c r="M80" s="2" t="str"/>
      <c r="N80" s="1" t="str"/>
      <c r="O80" s="1" t="str"/>
      <c r="P80" s="1" t="str"/>
      <c r="Q80" s="1">
        <f>IF(H80="Sí",1,0)</f>
        <v/>
      </c>
      <c r="R80" s="1">
        <f>IF(L80="En coordinación",1,0)</f>
        <v/>
      </c>
      <c r="T80">
        <f>IF(N80="Sí",1,0)</f>
        <v/>
      </c>
      <c r="U80">
        <f>IF(L80="Aceptada",1,0)</f>
        <v/>
      </c>
    </row>
    <row r="81">
      <c r="A81" s="21" t="str"/>
      <c r="B81" s="23" t="str"/>
      <c r="I81" s="2" t="str"/>
      <c r="J81" s="2" t="str"/>
      <c r="K81" s="2" t="str"/>
      <c r="L81" s="1" t="str"/>
      <c r="M81" s="2" t="str"/>
      <c r="N81" s="1" t="str"/>
      <c r="O81" s="1" t="str"/>
      <c r="P81" s="1" t="str"/>
      <c r="Q81" s="1">
        <f>IF(H81="Sí",1,0)</f>
        <v/>
      </c>
      <c r="R81" s="1">
        <f>IF(L81="En coordinación",1,0)</f>
        <v/>
      </c>
      <c r="T81">
        <f>IF(N81="Sí",1,0)</f>
        <v/>
      </c>
      <c r="U81">
        <f>IF(L81="Aceptada",1,0)</f>
        <v/>
      </c>
    </row>
    <row r="82">
      <c r="A82" s="21" t="str"/>
      <c r="B82" s="23" t="str"/>
      <c r="I82" s="2" t="str"/>
      <c r="J82" s="2" t="str"/>
      <c r="K82" s="2" t="str"/>
      <c r="L82" s="1" t="str"/>
      <c r="M82" s="2" t="str"/>
      <c r="N82" s="1" t="str"/>
      <c r="O82" s="1" t="str"/>
      <c r="P82" s="1" t="str"/>
      <c r="Q82" s="1">
        <f>IF(H82="Sí",1,0)</f>
        <v/>
      </c>
      <c r="R82" s="1">
        <f>IF(L82="En coordinación",1,0)</f>
        <v/>
      </c>
      <c r="T82">
        <f>IF(N82="Sí",1,0)</f>
        <v/>
      </c>
      <c r="U82">
        <f>IF(L82="Aceptada",1,0)</f>
        <v/>
      </c>
    </row>
    <row r="83">
      <c r="A83" s="21" t="str"/>
      <c r="B83" s="23" t="str"/>
      <c r="I83" s="2" t="str"/>
      <c r="J83" s="2" t="str"/>
      <c r="K83" s="2" t="str"/>
      <c r="L83" s="1" t="str"/>
      <c r="M83" s="2" t="str"/>
      <c r="N83" s="1" t="str"/>
      <c r="O83" s="1" t="str"/>
      <c r="P83" s="1" t="str"/>
      <c r="Q83" s="1">
        <f>IF(H83="Sí",1,0)</f>
        <v/>
      </c>
      <c r="R83" s="1">
        <f>IF(L83="En coordinación",1,0)</f>
        <v/>
      </c>
      <c r="T83">
        <f>IF(N83="Sí",1,0)</f>
        <v/>
      </c>
      <c r="U83">
        <f>IF(L83="Aceptada",1,0)</f>
        <v/>
      </c>
    </row>
    <row r="84">
      <c r="A84" s="21" t="str"/>
      <c r="B84" s="23" t="str"/>
      <c r="I84" s="2" t="str"/>
      <c r="J84" s="2" t="str"/>
      <c r="K84" s="2" t="str"/>
      <c r="L84" s="1" t="str"/>
      <c r="M84" s="2" t="str"/>
      <c r="N84" s="1" t="str"/>
      <c r="O84" s="1" t="str"/>
      <c r="P84" s="1" t="str"/>
      <c r="Q84" s="1">
        <f>IF(H84="Sí",1,0)</f>
        <v/>
      </c>
      <c r="R84" s="1">
        <f>IF(L84="En coordinación",1,0)</f>
        <v/>
      </c>
      <c r="T84">
        <f>IF(N84="Sí",1,0)</f>
        <v/>
      </c>
      <c r="U84">
        <f>IF(L84="Aceptada",1,0)</f>
        <v/>
      </c>
    </row>
    <row r="85">
      <c r="A85" s="21" t="str"/>
      <c r="B85" s="23" t="str"/>
      <c r="I85" s="2" t="str"/>
      <c r="J85" s="2" t="str"/>
      <c r="K85" s="2" t="str"/>
      <c r="L85" s="1" t="str"/>
      <c r="M85" s="2" t="str"/>
      <c r="N85" s="1" t="str"/>
      <c r="O85" s="1" t="str"/>
      <c r="P85" s="1" t="str"/>
      <c r="Q85" s="1">
        <f>IF(H85="Sí",1,0)</f>
        <v/>
      </c>
      <c r="R85" s="1">
        <f>IF(L85="En coordinación",1,0)</f>
        <v/>
      </c>
      <c r="T85">
        <f>IF(N85="Sí",1,0)</f>
        <v/>
      </c>
      <c r="U85">
        <f>IF(L85="Aceptada",1,0)</f>
        <v/>
      </c>
    </row>
    <row r="86">
      <c r="A86" s="21" t="str"/>
      <c r="B86" s="23" t="str"/>
      <c r="I86" s="2" t="str"/>
      <c r="J86" s="2" t="str"/>
      <c r="K86" s="2" t="str"/>
      <c r="L86" s="1" t="str"/>
      <c r="M86" s="2" t="str"/>
      <c r="N86" s="1" t="str"/>
      <c r="O86" s="1" t="str"/>
      <c r="P86" s="1" t="str"/>
      <c r="Q86" s="1">
        <f>IF(H86="Sí",1,0)</f>
        <v/>
      </c>
      <c r="R86" s="1">
        <f>IF(L86="En coordinación",1,0)</f>
        <v/>
      </c>
      <c r="T86">
        <f>IF(N86="Sí",1,0)</f>
        <v/>
      </c>
      <c r="U86">
        <f>IF(L86="Aceptada",1,0)</f>
        <v/>
      </c>
    </row>
    <row r="87">
      <c r="A87" s="21" t="str"/>
      <c r="B87" s="23" t="str"/>
      <c r="I87" s="2" t="str"/>
      <c r="J87" s="2" t="str"/>
      <c r="K87" s="2" t="str"/>
      <c r="L87" s="1" t="str"/>
      <c r="M87" s="2" t="str"/>
      <c r="N87" s="1" t="str"/>
      <c r="O87" s="1" t="str"/>
      <c r="P87" s="1" t="str"/>
      <c r="Q87" s="1">
        <f>IF(H87="Sí",1,0)</f>
        <v/>
      </c>
      <c r="R87" s="1">
        <f>IF(L87="En coordinación",1,0)</f>
        <v/>
      </c>
      <c r="T87">
        <f>IF(N87="Sí",1,0)</f>
        <v/>
      </c>
      <c r="U87">
        <f>IF(L87="Aceptada",1,0)</f>
        <v/>
      </c>
    </row>
    <row r="88">
      <c r="A88" s="21" t="str"/>
      <c r="B88" s="23" t="str"/>
      <c r="I88" s="2" t="str"/>
      <c r="J88" s="2" t="str"/>
      <c r="K88" s="2" t="str"/>
      <c r="L88" s="1" t="str"/>
      <c r="M88" s="2" t="str"/>
      <c r="N88" s="1" t="str"/>
      <c r="O88" s="1" t="str"/>
      <c r="P88" s="1" t="str"/>
      <c r="Q88" s="1">
        <f>IF(H88="Sí",1,0)</f>
        <v/>
      </c>
      <c r="R88" s="1">
        <f>IF(L88="En coordinación",1,0)</f>
        <v/>
      </c>
      <c r="T88">
        <f>IF(N88="Sí",1,0)</f>
        <v/>
      </c>
      <c r="U88">
        <f>IF(L88="Aceptada",1,0)</f>
        <v/>
      </c>
    </row>
    <row r="89">
      <c r="A89" s="21" t="str"/>
      <c r="B89" s="23" t="str"/>
      <c r="I89" s="2" t="str"/>
      <c r="J89" s="2" t="str"/>
      <c r="K89" s="2" t="str"/>
      <c r="L89" s="1" t="str"/>
      <c r="M89" s="2" t="str"/>
      <c r="N89" s="1" t="str"/>
      <c r="O89" s="1" t="str"/>
      <c r="P89" s="1" t="str"/>
      <c r="Q89" s="1">
        <f>IF(H89="Sí",1,0)</f>
        <v/>
      </c>
      <c r="R89" s="1">
        <f>IF(L89="En coordinación",1,0)</f>
        <v/>
      </c>
      <c r="T89">
        <f>IF(N89="Sí",1,0)</f>
        <v/>
      </c>
      <c r="U89">
        <f>IF(L89="Aceptada",1,0)</f>
        <v/>
      </c>
    </row>
    <row r="90">
      <c r="A90" s="21" t="str"/>
      <c r="B90" s="23" t="str"/>
      <c r="I90" s="2" t="str"/>
      <c r="J90" s="2" t="str"/>
      <c r="K90" s="2" t="str"/>
      <c r="L90" s="1" t="str"/>
      <c r="M90" s="2" t="str"/>
      <c r="N90" s="1" t="str"/>
      <c r="O90" s="1" t="str"/>
      <c r="P90" s="1" t="str"/>
      <c r="Q90" s="1">
        <f>IF(H90="Sí",1,0)</f>
        <v/>
      </c>
      <c r="R90" s="1">
        <f>IF(L90="En coordinación",1,0)</f>
        <v/>
      </c>
      <c r="T90">
        <f>IF(N90="Sí",1,0)</f>
        <v/>
      </c>
      <c r="U90">
        <f>IF(L90="Aceptada",1,0)</f>
        <v/>
      </c>
    </row>
    <row r="91">
      <c r="A91" s="21" t="str"/>
      <c r="B91" s="23" t="str"/>
      <c r="I91" s="2" t="str"/>
      <c r="J91" s="2" t="str"/>
      <c r="K91" s="2" t="str"/>
      <c r="L91" s="1" t="str"/>
      <c r="M91" s="2" t="str"/>
      <c r="N91" s="1" t="str"/>
      <c r="O91" s="1" t="str"/>
      <c r="P91" s="1" t="str"/>
      <c r="Q91" s="1">
        <f>IF(H91="Sí",1,0)</f>
        <v/>
      </c>
      <c r="R91" s="1">
        <f>IF(L91="En coordinación",1,0)</f>
        <v/>
      </c>
      <c r="T91">
        <f>IF(N91="Sí",1,0)</f>
        <v/>
      </c>
      <c r="U91">
        <f>IF(L91="Aceptada",1,0)</f>
        <v/>
      </c>
    </row>
    <row r="92">
      <c r="A92" s="21" t="str"/>
      <c r="B92" s="23" t="str"/>
      <c r="I92" s="2" t="str"/>
      <c r="J92" s="2" t="str"/>
      <c r="K92" s="2" t="str"/>
      <c r="L92" s="1" t="str"/>
      <c r="M92" s="2" t="str"/>
      <c r="N92" s="1" t="str"/>
      <c r="O92" s="1" t="str"/>
      <c r="P92" s="1" t="str"/>
      <c r="Q92" s="1">
        <f>IF(H92="Sí",1,0)</f>
        <v/>
      </c>
      <c r="R92" s="1">
        <f>IF(L92="En coordinación",1,0)</f>
        <v/>
      </c>
      <c r="T92">
        <f>IF(N92="Sí",1,0)</f>
        <v/>
      </c>
      <c r="U92">
        <f>IF(L92="Aceptada",1,0)</f>
        <v/>
      </c>
    </row>
    <row r="93">
      <c r="A93" s="21" t="str"/>
      <c r="B93" s="23" t="str"/>
      <c r="I93" s="2" t="str"/>
      <c r="J93" s="2" t="str"/>
      <c r="K93" s="2" t="str"/>
      <c r="L93" s="1" t="str"/>
      <c r="M93" s="2" t="str"/>
      <c r="N93" s="1" t="str"/>
      <c r="O93" s="1" t="str"/>
      <c r="P93" s="1" t="str"/>
      <c r="Q93" s="1">
        <f>IF(H93="Sí",1,0)</f>
        <v/>
      </c>
      <c r="R93" s="1">
        <f>IF(L93="En coordinación",1,0)</f>
        <v/>
      </c>
      <c r="T93">
        <f>IF(N93="Sí",1,0)</f>
        <v/>
      </c>
      <c r="U93">
        <f>IF(L93="Aceptada",1,0)</f>
        <v/>
      </c>
    </row>
    <row r="94">
      <c r="A94" s="21" t="str"/>
      <c r="B94" s="23" t="str"/>
      <c r="I94" s="2" t="str"/>
      <c r="J94" s="2" t="str"/>
      <c r="K94" s="2" t="str"/>
      <c r="L94" s="1" t="str"/>
      <c r="M94" s="2" t="str"/>
      <c r="N94" s="1" t="str"/>
      <c r="O94" s="1" t="str"/>
      <c r="P94" s="1" t="str"/>
      <c r="Q94" s="1">
        <f>IF(H94="Sí",1,0)</f>
        <v/>
      </c>
      <c r="R94" s="1">
        <f>IF(L94="En coordinación",1,0)</f>
        <v/>
      </c>
      <c r="T94">
        <f>IF(N94="Sí",1,0)</f>
        <v/>
      </c>
      <c r="U94">
        <f>IF(L94="Aceptada",1,0)</f>
        <v/>
      </c>
    </row>
    <row r="95">
      <c r="A95" s="21" t="str"/>
      <c r="B95" s="23" t="str"/>
      <c r="I95" s="2" t="str"/>
      <c r="J95" s="2" t="str"/>
      <c r="K95" s="2" t="str"/>
      <c r="L95" s="1" t="str"/>
      <c r="M95" s="2" t="str"/>
      <c r="N95" s="1" t="str"/>
      <c r="O95" s="1" t="str"/>
      <c r="P95" s="1" t="str"/>
      <c r="Q95" s="1">
        <f>IF(H95="Sí",1,0)</f>
        <v/>
      </c>
      <c r="R95" s="1">
        <f>IF(L95="En coordinación",1,0)</f>
        <v/>
      </c>
      <c r="T95">
        <f>IF(N95="Sí",1,0)</f>
        <v/>
      </c>
      <c r="U95">
        <f>IF(L95="Aceptada",1,0)</f>
        <v/>
      </c>
    </row>
    <row r="96">
      <c r="A96" s="21" t="str"/>
      <c r="B96" s="23" t="str"/>
      <c r="I96" s="2" t="str"/>
      <c r="J96" s="2" t="str"/>
      <c r="K96" s="2" t="str"/>
      <c r="L96" s="1" t="str"/>
      <c r="M96" s="2" t="str"/>
      <c r="N96" s="1" t="str"/>
      <c r="O96" s="1" t="str"/>
      <c r="P96" s="1" t="str"/>
      <c r="Q96" s="1">
        <f>IF(H96="Sí",1,0)</f>
        <v/>
      </c>
      <c r="R96" s="1">
        <f>IF(L96="En coordinación",1,0)</f>
        <v/>
      </c>
      <c r="T96">
        <f>IF(N96="Sí",1,0)</f>
        <v/>
      </c>
      <c r="U96">
        <f>IF(L96="Aceptada",1,0)</f>
        <v/>
      </c>
    </row>
    <row r="97">
      <c r="A97" s="21" t="str"/>
      <c r="B97" s="23" t="str"/>
      <c r="I97" s="2" t="str"/>
      <c r="J97" s="2" t="str"/>
      <c r="K97" s="2" t="str"/>
      <c r="L97" s="1" t="str"/>
      <c r="M97" s="2" t="str"/>
      <c r="N97" s="1" t="str"/>
      <c r="O97" s="1" t="str"/>
      <c r="P97" s="1" t="str"/>
      <c r="Q97" s="1">
        <f>IF(H97="Sí",1,0)</f>
        <v/>
      </c>
      <c r="R97" s="1">
        <f>IF(L97="En coordinación",1,0)</f>
        <v/>
      </c>
      <c r="T97">
        <f>IF(N97="Sí",1,0)</f>
        <v/>
      </c>
      <c r="U97">
        <f>IF(L97="Aceptada",1,0)</f>
        <v/>
      </c>
    </row>
    <row r="98">
      <c r="A98" s="21" t="str"/>
      <c r="B98" s="23" t="str"/>
      <c r="I98" s="2" t="str"/>
      <c r="J98" s="2" t="str"/>
      <c r="K98" s="2" t="str"/>
      <c r="L98" s="1" t="str"/>
      <c r="M98" s="2" t="str"/>
      <c r="N98" s="1" t="str"/>
      <c r="O98" s="1" t="str"/>
      <c r="P98" s="1" t="str"/>
      <c r="Q98" s="1">
        <f>IF(H98="Sí",1,0)</f>
        <v/>
      </c>
      <c r="R98" s="1">
        <f>IF(L98="En coordinación",1,0)</f>
        <v/>
      </c>
      <c r="T98">
        <f>IF(N98="Sí",1,0)</f>
        <v/>
      </c>
      <c r="U98">
        <f>IF(L98="Aceptada",1,0)</f>
        <v/>
      </c>
    </row>
    <row r="99">
      <c r="A99" s="21" t="str"/>
      <c r="B99" s="23" t="str"/>
      <c r="I99" s="2" t="str"/>
      <c r="J99" s="2" t="str"/>
      <c r="K99" s="2" t="str"/>
      <c r="L99" s="1" t="str"/>
      <c r="M99" s="2" t="str"/>
      <c r="N99" s="1" t="str"/>
      <c r="O99" s="1" t="str"/>
      <c r="P99" s="1" t="str"/>
      <c r="Q99" s="1">
        <f>IF(H99="Sí",1,0)</f>
        <v/>
      </c>
      <c r="R99" s="1">
        <f>IF(L99="En coordinación",1,0)</f>
        <v/>
      </c>
      <c r="T99">
        <f>IF(N99="Sí",1,0)</f>
        <v/>
      </c>
      <c r="U99">
        <f>IF(L99="Aceptada",1,0)</f>
        <v/>
      </c>
    </row>
    <row r="100">
      <c r="A100" s="21" t="str"/>
      <c r="B100" s="23" t="str"/>
      <c r="I100" s="2" t="str"/>
      <c r="J100" s="2" t="str"/>
      <c r="K100" s="2" t="str"/>
      <c r="L100" s="1" t="str"/>
      <c r="M100" s="2" t="str"/>
      <c r="N100" s="1" t="str"/>
      <c r="O100" s="1" t="str"/>
      <c r="P100" s="1" t="str"/>
      <c r="Q100" s="1">
        <f>IF(H100="Sí",1,0)</f>
        <v/>
      </c>
      <c r="R100" s="1">
        <f>IF(L100="En coordinación",1,0)</f>
        <v/>
      </c>
      <c r="T100">
        <f>IF(N100="Sí",1,0)</f>
        <v/>
      </c>
      <c r="U100">
        <f>IF(L100="Aceptada",1,0)</f>
        <v/>
      </c>
    </row>
    <row r="101">
      <c r="A101" s="21" t="str"/>
      <c r="B101" s="23" t="str"/>
      <c r="I101" s="2" t="str"/>
      <c r="J101" s="2" t="str"/>
      <c r="K101" s="2" t="str"/>
      <c r="L101" s="1" t="str"/>
      <c r="M101" s="2" t="str"/>
      <c r="N101" s="1" t="str"/>
      <c r="O101" s="1" t="str"/>
      <c r="P101" s="1" t="str"/>
      <c r="Q101" s="1">
        <f>IF(H101="Sí",1,0)</f>
        <v/>
      </c>
      <c r="R101" s="1">
        <f>IF(L101="En coordinación",1,0)</f>
        <v/>
      </c>
      <c r="T101">
        <f>IF(N101="Sí",1,0)</f>
        <v/>
      </c>
      <c r="U101">
        <f>IF(L101="Aceptada",1,0)</f>
        <v/>
      </c>
    </row>
    <row r="102">
      <c r="A102" s="21" t="str"/>
      <c r="B102" s="23" t="str"/>
      <c r="I102" s="2" t="str"/>
      <c r="J102" s="2" t="str"/>
      <c r="K102" s="2" t="str"/>
      <c r="L102" s="1" t="str"/>
      <c r="M102" s="2" t="str"/>
      <c r="N102" s="1" t="str"/>
      <c r="O102" s="1" t="str"/>
      <c r="P102" s="1" t="str"/>
      <c r="Q102" s="1">
        <f>IF(H102="Sí",1,0)</f>
        <v/>
      </c>
      <c r="R102" s="1">
        <f>IF(L102="En coordinación",1,0)</f>
        <v/>
      </c>
      <c r="T102">
        <f>IF(N102="Sí",1,0)</f>
        <v/>
      </c>
      <c r="U102">
        <f>IF(L102="Aceptada",1,0)</f>
        <v/>
      </c>
    </row>
    <row r="103">
      <c r="A103" s="21" t="str"/>
      <c r="B103" s="23" t="str"/>
      <c r="I103" s="2" t="str"/>
      <c r="J103" s="2" t="str"/>
      <c r="K103" s="2" t="str"/>
      <c r="L103" s="1" t="str"/>
      <c r="M103" s="2" t="str"/>
      <c r="N103" s="1" t="str"/>
      <c r="O103" s="1" t="str"/>
      <c r="P103" s="1" t="str"/>
      <c r="Q103" s="1">
        <f>IF(H103="Sí",1,0)</f>
        <v/>
      </c>
      <c r="R103" s="1">
        <f>IF(L103="En coordinación",1,0)</f>
        <v/>
      </c>
      <c r="T103">
        <f>IF(N103="Sí",1,0)</f>
        <v/>
      </c>
      <c r="U103">
        <f>IF(L103="Aceptada",1,0)</f>
        <v/>
      </c>
    </row>
    <row r="104">
      <c r="A104" s="21" t="str"/>
      <c r="B104" s="23" t="str"/>
      <c r="I104" s="2" t="str"/>
      <c r="J104" s="2" t="str"/>
      <c r="K104" s="2" t="str"/>
      <c r="L104" s="1" t="str"/>
      <c r="M104" s="2" t="str"/>
      <c r="N104" s="1" t="str"/>
      <c r="O104" s="1" t="str"/>
      <c r="P104" s="1" t="str"/>
      <c r="Q104" s="1">
        <f>IF(H104="Sí",1,0)</f>
        <v/>
      </c>
      <c r="R104" s="1">
        <f>IF(L104="En coordinación",1,0)</f>
        <v/>
      </c>
      <c r="T104">
        <f>IF(N104="Sí",1,0)</f>
        <v/>
      </c>
      <c r="U104">
        <f>IF(L104="Aceptada",1,0)</f>
        <v/>
      </c>
    </row>
    <row r="105">
      <c r="A105" s="21" t="str"/>
      <c r="B105" s="23" t="str"/>
      <c r="I105" s="2" t="str"/>
      <c r="J105" s="2" t="str"/>
      <c r="K105" s="2" t="str"/>
      <c r="L105" s="1" t="str"/>
      <c r="M105" s="2" t="str"/>
      <c r="N105" s="1" t="str"/>
      <c r="O105" s="1" t="str"/>
      <c r="P105" s="1" t="str"/>
      <c r="Q105" s="1">
        <f>IF(H105="Sí",1,0)</f>
        <v/>
      </c>
      <c r="R105" s="1">
        <f>IF(L105="En coordinación",1,0)</f>
        <v/>
      </c>
      <c r="T105">
        <f>IF(N105="Sí",1,0)</f>
        <v/>
      </c>
      <c r="U105">
        <f>IF(L105="Aceptada",1,0)</f>
        <v/>
      </c>
    </row>
    <row r="106">
      <c r="A106" s="21" t="str"/>
      <c r="B106" s="23" t="str"/>
      <c r="I106" s="2" t="str"/>
      <c r="J106" s="2" t="str"/>
      <c r="K106" s="2" t="str"/>
      <c r="L106" s="1" t="str"/>
      <c r="M106" s="2" t="str"/>
      <c r="N106" s="1" t="str"/>
      <c r="O106" s="1" t="str"/>
      <c r="P106" s="1" t="str"/>
      <c r="Q106" s="1">
        <f>IF(H106="Sí",1,0)</f>
        <v/>
      </c>
      <c r="R106" s="1">
        <f>IF(L106="En coordinación",1,0)</f>
        <v/>
      </c>
      <c r="T106">
        <f>IF(N106="Sí",1,0)</f>
        <v/>
      </c>
      <c r="U106">
        <f>IF(L106="Aceptada",1,0)</f>
        <v/>
      </c>
    </row>
    <row r="107">
      <c r="A107" s="21" t="str"/>
      <c r="B107" s="23" t="str"/>
      <c r="I107" s="2" t="str"/>
      <c r="J107" s="2" t="str"/>
      <c r="K107" s="2" t="str"/>
      <c r="L107" s="1" t="str"/>
      <c r="M107" s="2" t="str"/>
      <c r="N107" s="1" t="str"/>
      <c r="O107" s="1" t="str"/>
      <c r="P107" s="1" t="str"/>
      <c r="Q107" s="1">
        <f>IF(H107="Sí",1,0)</f>
        <v/>
      </c>
      <c r="R107" s="1">
        <f>IF(L107="En coordinación",1,0)</f>
        <v/>
      </c>
      <c r="T107">
        <f>IF(N107="Sí",1,0)</f>
        <v/>
      </c>
      <c r="U107">
        <f>IF(L107="Aceptada",1,0)</f>
        <v/>
      </c>
    </row>
    <row r="108">
      <c r="A108" s="21" t="str"/>
      <c r="B108" s="23" t="str"/>
      <c r="I108" s="2" t="str"/>
      <c r="J108" s="2" t="str"/>
      <c r="K108" s="2" t="str"/>
      <c r="L108" s="1" t="str"/>
      <c r="M108" s="2" t="str"/>
      <c r="N108" s="1" t="str"/>
      <c r="O108" s="1" t="str"/>
      <c r="P108" s="1" t="str"/>
      <c r="Q108" s="1">
        <f>IF(H108="Sí",1,0)</f>
        <v/>
      </c>
      <c r="R108" s="1">
        <f>IF(L108="En coordinación",1,0)</f>
        <v/>
      </c>
      <c r="T108">
        <f>IF(N108="Sí",1,0)</f>
        <v/>
      </c>
      <c r="U108">
        <f>IF(L108="Aceptada",1,0)</f>
        <v/>
      </c>
    </row>
    <row r="109">
      <c r="A109" s="21" t="str"/>
      <c r="B109" s="23" t="str"/>
      <c r="I109" s="2" t="str"/>
      <c r="J109" s="2" t="str"/>
      <c r="K109" s="2" t="str"/>
      <c r="L109" s="1" t="str"/>
      <c r="M109" s="2" t="str"/>
      <c r="N109" s="1" t="str"/>
      <c r="O109" s="1" t="str"/>
      <c r="P109" s="1" t="str"/>
      <c r="Q109" s="1">
        <f>IF(H109="Sí",1,0)</f>
        <v/>
      </c>
      <c r="R109" s="1">
        <f>IF(L109="En coordinación",1,0)</f>
        <v/>
      </c>
      <c r="T109">
        <f>IF(N109="Sí",1,0)</f>
        <v/>
      </c>
      <c r="U109">
        <f>IF(L109="Aceptada",1,0)</f>
        <v/>
      </c>
    </row>
    <row r="110">
      <c r="A110" s="21" t="str"/>
      <c r="B110" s="23" t="str"/>
      <c r="I110" s="2" t="str"/>
      <c r="J110" s="2" t="str"/>
      <c r="K110" s="2" t="str"/>
      <c r="L110" s="1" t="str"/>
      <c r="M110" s="2" t="str"/>
      <c r="N110" s="1" t="str"/>
      <c r="O110" s="1" t="str"/>
      <c r="P110" s="1" t="str"/>
      <c r="Q110" s="1">
        <f>IF(H110="Sí",1,0)</f>
        <v/>
      </c>
      <c r="R110" s="1">
        <f>IF(L110="En coordinación",1,0)</f>
        <v/>
      </c>
      <c r="T110">
        <f>IF(N110="Sí",1,0)</f>
        <v/>
      </c>
      <c r="U110">
        <f>IF(L110="Aceptada",1,0)</f>
        <v/>
      </c>
    </row>
    <row r="111">
      <c r="A111" s="21" t="str"/>
      <c r="B111" s="23" t="str"/>
      <c r="I111" s="2" t="str"/>
      <c r="J111" s="2" t="str"/>
      <c r="K111" s="2" t="str"/>
      <c r="L111" s="1" t="str"/>
      <c r="M111" s="2" t="str"/>
      <c r="N111" s="1" t="str"/>
      <c r="O111" s="1" t="str"/>
      <c r="P111" s="1" t="str"/>
      <c r="Q111" s="1">
        <f>IF(H111="Sí",1,0)</f>
        <v/>
      </c>
      <c r="R111" s="1">
        <f>IF(L111="En coordinación",1,0)</f>
        <v/>
      </c>
      <c r="T111">
        <f>IF(N111="Sí",1,0)</f>
        <v/>
      </c>
      <c r="U111">
        <f>IF(L111="Aceptada",1,0)</f>
        <v/>
      </c>
    </row>
    <row r="112">
      <c r="A112" s="21" t="str"/>
      <c r="B112" s="23" t="str"/>
      <c r="I112" s="2" t="str"/>
      <c r="J112" s="2" t="str"/>
      <c r="K112" s="2" t="str"/>
      <c r="L112" s="1" t="str"/>
      <c r="M112" s="2" t="str"/>
      <c r="N112" s="1" t="str"/>
      <c r="O112" s="1" t="str"/>
      <c r="P112" s="1" t="str"/>
      <c r="Q112" s="1">
        <f>IF(H112="Sí",1,0)</f>
        <v/>
      </c>
      <c r="R112" s="1">
        <f>IF(L112="En coordinación",1,0)</f>
        <v/>
      </c>
      <c r="T112">
        <f>IF(N112="Sí",1,0)</f>
        <v/>
      </c>
      <c r="U112">
        <f>IF(L112="Aceptada",1,0)</f>
        <v/>
      </c>
    </row>
    <row r="113">
      <c r="A113" s="21" t="str"/>
      <c r="B113" s="23" t="str"/>
      <c r="I113" s="2" t="str"/>
      <c r="J113" s="2" t="str"/>
      <c r="K113" s="2" t="str"/>
      <c r="L113" s="1" t="str"/>
      <c r="M113" s="2" t="str"/>
      <c r="N113" s="1" t="str"/>
      <c r="O113" s="1" t="str"/>
      <c r="P113" s="1" t="str"/>
      <c r="Q113" s="1">
        <f>IF(H113="Sí",1,0)</f>
        <v/>
      </c>
      <c r="R113" s="1">
        <f>IF(L113="En coordinación",1,0)</f>
        <v/>
      </c>
      <c r="T113">
        <f>IF(N113="Sí",1,0)</f>
        <v/>
      </c>
      <c r="U113">
        <f>IF(L113="Aceptada",1,0)</f>
        <v/>
      </c>
    </row>
    <row r="114">
      <c r="A114" s="21" t="str"/>
      <c r="B114" s="23" t="str"/>
      <c r="I114" s="2" t="str"/>
      <c r="J114" s="2" t="str"/>
      <c r="K114" s="2" t="str"/>
      <c r="L114" s="1" t="str"/>
      <c r="M114" s="2" t="str"/>
      <c r="N114" s="1" t="str"/>
      <c r="O114" s="1" t="str"/>
      <c r="P114" s="1" t="str"/>
      <c r="Q114" s="1">
        <f>IF(H114="Sí",1,0)</f>
        <v/>
      </c>
      <c r="R114" s="1">
        <f>IF(L114="En coordinación",1,0)</f>
        <v/>
      </c>
      <c r="T114">
        <f>IF(N114="Sí",1,0)</f>
        <v/>
      </c>
      <c r="U114">
        <f>IF(L114="Aceptada",1,0)</f>
        <v/>
      </c>
    </row>
    <row r="115">
      <c r="A115" s="21" t="str"/>
      <c r="B115" s="23" t="str"/>
      <c r="I115" s="2" t="str"/>
      <c r="J115" s="2" t="str"/>
      <c r="K115" s="2" t="str"/>
      <c r="L115" s="1" t="str"/>
      <c r="M115" s="2" t="str"/>
      <c r="N115" s="1" t="str"/>
      <c r="O115" s="1" t="str"/>
      <c r="P115" s="1" t="str"/>
      <c r="Q115" s="1">
        <f>IF(H115="Sí",1,0)</f>
        <v/>
      </c>
      <c r="R115" s="1">
        <f>IF(L115="En coordinación",1,0)</f>
        <v/>
      </c>
      <c r="T115">
        <f>IF(N115="Sí",1,0)</f>
        <v/>
      </c>
      <c r="U115">
        <f>IF(L115="Aceptada",1,0)</f>
        <v/>
      </c>
    </row>
    <row r="116">
      <c r="A116" s="21" t="str"/>
      <c r="B116" s="23" t="str"/>
      <c r="I116" s="2" t="str"/>
      <c r="J116" s="2" t="str"/>
      <c r="K116" s="2" t="str"/>
      <c r="L116" s="1" t="str"/>
      <c r="M116" s="2" t="str"/>
      <c r="N116" s="1" t="str"/>
      <c r="O116" s="1" t="str"/>
      <c r="P116" s="1" t="str"/>
      <c r="Q116" s="1">
        <f>IF(H116="Sí",1,0)</f>
        <v/>
      </c>
      <c r="R116" s="1">
        <f>IF(L116="En coordinación",1,0)</f>
        <v/>
      </c>
      <c r="T116">
        <f>IF(N116="Sí",1,0)</f>
        <v/>
      </c>
      <c r="U116">
        <f>IF(L116="Aceptada",1,0)</f>
        <v/>
      </c>
    </row>
    <row r="117">
      <c r="A117" s="21" t="str"/>
      <c r="B117" s="23" t="str"/>
      <c r="I117" s="2" t="str"/>
      <c r="J117" s="2" t="str"/>
      <c r="K117" s="2" t="str"/>
      <c r="L117" s="1" t="str"/>
      <c r="M117" s="2" t="str"/>
      <c r="N117" s="1" t="str"/>
      <c r="O117" s="1" t="str"/>
      <c r="P117" s="1" t="str"/>
      <c r="Q117" s="1">
        <f>IF(H117="Sí",1,0)</f>
        <v/>
      </c>
      <c r="R117" s="1">
        <f>IF(L117="En coordinación",1,0)</f>
        <v/>
      </c>
      <c r="T117">
        <f>IF(N117="Sí",1,0)</f>
        <v/>
      </c>
      <c r="U117">
        <f>IF(L117="Aceptada",1,0)</f>
        <v/>
      </c>
    </row>
    <row r="118">
      <c r="A118" s="21" t="str"/>
      <c r="B118" s="23" t="str"/>
      <c r="I118" s="2" t="str"/>
      <c r="J118" s="2" t="str"/>
      <c r="K118" s="2" t="str"/>
      <c r="L118" s="1" t="str"/>
      <c r="M118" s="2" t="str"/>
      <c r="N118" s="1" t="str"/>
      <c r="O118" s="1" t="str"/>
      <c r="P118" s="1" t="str"/>
      <c r="Q118" s="1">
        <f>IF(H118="Sí",1,0)</f>
        <v/>
      </c>
      <c r="R118" s="1">
        <f>IF(L118="En coordinación",1,0)</f>
        <v/>
      </c>
      <c r="T118">
        <f>IF(N118="Sí",1,0)</f>
        <v/>
      </c>
      <c r="U118">
        <f>IF(L118="Aceptada",1,0)</f>
        <v/>
      </c>
    </row>
    <row r="119">
      <c r="A119" s="21" t="str"/>
      <c r="B119" s="23" t="str"/>
      <c r="I119" s="2" t="str"/>
      <c r="J119" s="2" t="str"/>
      <c r="K119" s="2" t="str"/>
      <c r="L119" s="1" t="str"/>
      <c r="M119" s="2" t="str"/>
      <c r="N119" s="1" t="str"/>
      <c r="O119" s="1" t="str"/>
      <c r="P119" s="1" t="str"/>
      <c r="Q119" s="1">
        <f>IF(H119="Sí",1,0)</f>
        <v/>
      </c>
      <c r="R119" s="1">
        <f>IF(L119="En coordinación",1,0)</f>
        <v/>
      </c>
      <c r="T119">
        <f>IF(N119="Sí",1,0)</f>
        <v/>
      </c>
      <c r="U119">
        <f>IF(L119="Aceptada",1,0)</f>
        <v/>
      </c>
    </row>
    <row r="120">
      <c r="A120" s="21" t="str"/>
      <c r="B120" s="23" t="str"/>
      <c r="I120" s="2" t="str"/>
      <c r="J120" s="2" t="str"/>
      <c r="K120" s="2" t="str"/>
      <c r="L120" s="1" t="str"/>
      <c r="M120" s="2" t="str"/>
      <c r="N120" s="1" t="str"/>
      <c r="O120" s="1" t="str"/>
      <c r="P120" s="1" t="str"/>
      <c r="Q120" s="1">
        <f>IF(H120="Sí",1,0)</f>
        <v/>
      </c>
      <c r="R120" s="1">
        <f>IF(L120="En coordinación",1,0)</f>
        <v/>
      </c>
      <c r="T120">
        <f>IF(N120="Sí",1,0)</f>
        <v/>
      </c>
      <c r="U120">
        <f>IF(L120="Aceptada",1,0)</f>
        <v/>
      </c>
    </row>
    <row r="121">
      <c r="A121" s="21" t="str"/>
      <c r="B121" s="23" t="str"/>
      <c r="I121" s="2" t="str"/>
      <c r="J121" s="2" t="str"/>
      <c r="K121" s="2" t="str"/>
      <c r="L121" s="1" t="str"/>
      <c r="M121" s="2" t="str"/>
      <c r="N121" s="1" t="str"/>
      <c r="O121" s="1" t="str"/>
      <c r="P121" s="1" t="str"/>
      <c r="Q121" s="1">
        <f>IF(H121="Sí",1,0)</f>
        <v/>
      </c>
      <c r="R121" s="1">
        <f>IF(L121="En coordinación",1,0)</f>
        <v/>
      </c>
      <c r="T121">
        <f>IF(N121="Sí",1,0)</f>
        <v/>
      </c>
      <c r="U121">
        <f>IF(L121="Aceptada",1,0)</f>
        <v/>
      </c>
    </row>
    <row r="122">
      <c r="A122" s="21" t="str"/>
      <c r="B122" s="23" t="str"/>
      <c r="I122" s="2" t="str"/>
      <c r="J122" s="2" t="str"/>
      <c r="K122" s="2" t="str"/>
      <c r="L122" s="1" t="str"/>
      <c r="M122" s="2" t="str"/>
      <c r="N122" s="1" t="str"/>
      <c r="O122" s="1" t="str"/>
      <c r="P122" s="1" t="str"/>
      <c r="Q122" s="1">
        <f>IF(H122="Sí",1,0)</f>
        <v/>
      </c>
      <c r="R122" s="1">
        <f>IF(L122="En coordinación",1,0)</f>
        <v/>
      </c>
      <c r="T122">
        <f>IF(N122="Sí",1,0)</f>
        <v/>
      </c>
      <c r="U122">
        <f>IF(L122="Aceptada",1,0)</f>
        <v/>
      </c>
    </row>
    <row r="123">
      <c r="A123" s="21" t="str"/>
      <c r="B123" s="23" t="str"/>
      <c r="I123" s="2" t="str"/>
      <c r="J123" s="2" t="str"/>
      <c r="K123" s="2" t="str"/>
      <c r="L123" s="1" t="str"/>
      <c r="M123" s="2" t="str"/>
      <c r="N123" s="1" t="str"/>
      <c r="O123" s="1" t="str"/>
      <c r="P123" s="1" t="str"/>
      <c r="Q123" s="1">
        <f>IF(H123="Sí",1,0)</f>
        <v/>
      </c>
      <c r="R123" s="1">
        <f>IF(L123="En coordinación",1,0)</f>
        <v/>
      </c>
      <c r="T123">
        <f>IF(N123="Sí",1,0)</f>
        <v/>
      </c>
      <c r="U123">
        <f>IF(L123="Aceptada",1,0)</f>
        <v/>
      </c>
    </row>
    <row r="124">
      <c r="A124" s="21" t="str"/>
      <c r="B124" s="23" t="str"/>
      <c r="I124" s="2" t="str"/>
      <c r="J124" s="2" t="str"/>
      <c r="K124" s="2" t="str"/>
      <c r="L124" s="1" t="str"/>
      <c r="M124" s="2" t="str"/>
      <c r="N124" s="1" t="str"/>
      <c r="O124" s="1" t="str"/>
      <c r="P124" s="1" t="str"/>
      <c r="Q124" s="1">
        <f>IF(H124="Sí",1,0)</f>
        <v/>
      </c>
      <c r="R124" s="1">
        <f>IF(L124="En coordinación",1,0)</f>
        <v/>
      </c>
      <c r="T124">
        <f>IF(N124="Sí",1,0)</f>
        <v/>
      </c>
      <c r="U124">
        <f>IF(L124="Aceptada",1,0)</f>
        <v/>
      </c>
    </row>
    <row r="125">
      <c r="A125" s="21" t="str"/>
      <c r="B125" s="23" t="str"/>
      <c r="I125" s="2" t="str"/>
      <c r="J125" s="2" t="str"/>
      <c r="K125" s="2" t="str"/>
      <c r="L125" s="1" t="str"/>
      <c r="M125" s="2" t="str"/>
      <c r="N125" s="1" t="str"/>
      <c r="O125" s="1" t="str"/>
      <c r="P125" s="1" t="str"/>
      <c r="Q125" s="1">
        <f>IF(H125="Sí",1,0)</f>
        <v/>
      </c>
      <c r="R125" s="1">
        <f>IF(L125="En coordinación",1,0)</f>
        <v/>
      </c>
      <c r="T125">
        <f>IF(N125="Sí",1,0)</f>
        <v/>
      </c>
      <c r="U125">
        <f>IF(L125="Aceptada",1,0)</f>
        <v/>
      </c>
    </row>
    <row r="126">
      <c r="A126" s="21" t="str"/>
      <c r="B126" s="23" t="str"/>
      <c r="I126" s="2" t="str"/>
      <c r="J126" s="2" t="str"/>
      <c r="K126" s="2" t="str"/>
      <c r="L126" s="1" t="str"/>
      <c r="M126" s="2" t="str"/>
      <c r="N126" s="1" t="str"/>
      <c r="O126" s="1" t="str"/>
      <c r="P126" s="1" t="str"/>
      <c r="Q126" s="1">
        <f>IF(H126="Sí",1,0)</f>
        <v/>
      </c>
      <c r="R126" s="1">
        <f>IF(L126="En coordinación",1,0)</f>
        <v/>
      </c>
      <c r="T126">
        <f>IF(N126="Sí",1,0)</f>
        <v/>
      </c>
      <c r="U126">
        <f>IF(L126="Aceptada",1,0)</f>
        <v/>
      </c>
    </row>
    <row r="127">
      <c r="A127" s="21" t="str"/>
      <c r="B127" s="23" t="str"/>
      <c r="I127" s="2" t="str"/>
      <c r="J127" s="2" t="str"/>
      <c r="K127" s="2" t="str"/>
      <c r="L127" s="1" t="str"/>
      <c r="M127" s="2" t="str"/>
      <c r="N127" s="1" t="str"/>
      <c r="O127" s="1" t="str"/>
      <c r="P127" s="1" t="str"/>
      <c r="Q127" s="1">
        <f>IF(H127="Sí",1,0)</f>
        <v/>
      </c>
      <c r="R127" s="1">
        <f>IF(L127="En coordinación",1,0)</f>
        <v/>
      </c>
      <c r="T127">
        <f>IF(N127="Sí",1,0)</f>
        <v/>
      </c>
      <c r="U127">
        <f>IF(L127="Aceptada",1,0)</f>
        <v/>
      </c>
    </row>
    <row r="128">
      <c r="A128" s="21" t="str"/>
      <c r="B128" s="23" t="str"/>
      <c r="I128" s="2" t="str"/>
      <c r="J128" s="2" t="str"/>
      <c r="K128" s="2" t="str"/>
      <c r="L128" s="1" t="str"/>
      <c r="M128" s="2" t="str"/>
      <c r="N128" s="1" t="str"/>
      <c r="O128" s="1" t="str"/>
      <c r="P128" s="1" t="str"/>
      <c r="Q128" s="1">
        <f>IF(H128="Sí",1,0)</f>
        <v/>
      </c>
      <c r="R128" s="1">
        <f>IF(L128="En coordinación",1,0)</f>
        <v/>
      </c>
      <c r="T128">
        <f>IF(N128="Sí",1,0)</f>
        <v/>
      </c>
      <c r="U128">
        <f>IF(L128="Aceptada",1,0)</f>
        <v/>
      </c>
    </row>
    <row r="129">
      <c r="A129" s="21" t="str"/>
      <c r="B129" s="23" t="str"/>
      <c r="I129" s="2" t="str"/>
      <c r="J129" s="2" t="str"/>
      <c r="K129" s="2" t="str"/>
      <c r="L129" s="1" t="str"/>
      <c r="M129" s="2" t="str"/>
      <c r="N129" s="1" t="str"/>
      <c r="O129" s="1" t="str"/>
      <c r="P129" s="1" t="str"/>
      <c r="Q129" s="1">
        <f>IF(H129="Sí",1,0)</f>
        <v/>
      </c>
      <c r="R129" s="1">
        <f>IF(L129="En coordinación",1,0)</f>
        <v/>
      </c>
      <c r="T129">
        <f>IF(N129="Sí",1,0)</f>
        <v/>
      </c>
      <c r="U129">
        <f>IF(L129="Aceptada",1,0)</f>
        <v/>
      </c>
    </row>
    <row r="130">
      <c r="A130" s="21" t="str"/>
      <c r="B130" s="23" t="str"/>
      <c r="I130" s="2" t="str"/>
      <c r="J130" s="2" t="str"/>
      <c r="K130" s="2" t="str"/>
      <c r="L130" s="1" t="str"/>
      <c r="M130" s="2" t="str"/>
      <c r="N130" s="1" t="str"/>
      <c r="O130" s="1" t="str"/>
      <c r="P130" s="1" t="str"/>
      <c r="Q130" s="1">
        <f>IF(H130="Sí",1,0)</f>
        <v/>
      </c>
      <c r="R130" s="1">
        <f>IF(L130="En coordinación",1,0)</f>
        <v/>
      </c>
      <c r="T130">
        <f>IF(N130="Sí",1,0)</f>
        <v/>
      </c>
      <c r="U130">
        <f>IF(L130="Aceptada",1,0)</f>
        <v/>
      </c>
    </row>
    <row r="131">
      <c r="A131" s="21" t="str"/>
      <c r="B131" s="23" t="str"/>
      <c r="I131" s="2" t="str"/>
      <c r="J131" s="2" t="str"/>
      <c r="K131" s="2" t="str"/>
      <c r="L131" s="1" t="str"/>
      <c r="M131" s="2" t="str"/>
      <c r="N131" s="1" t="str"/>
      <c r="O131" s="1" t="str"/>
      <c r="P131" s="1" t="str"/>
      <c r="Q131" s="1">
        <f>IF(H131="Sí",1,0)</f>
        <v/>
      </c>
      <c r="R131" s="1">
        <f>IF(L131="En coordinación",1,0)</f>
        <v/>
      </c>
      <c r="T131">
        <f>IF(N131="Sí",1,0)</f>
        <v/>
      </c>
      <c r="U131">
        <f>IF(L131="Aceptada",1,0)</f>
        <v/>
      </c>
    </row>
    <row r="132">
      <c r="A132" s="21" t="str"/>
      <c r="B132" s="23" t="str"/>
      <c r="I132" s="2" t="str"/>
      <c r="J132" s="2" t="str"/>
      <c r="K132" s="2" t="str"/>
      <c r="L132" s="1" t="str"/>
      <c r="M132" s="2" t="str"/>
      <c r="N132" s="1" t="str"/>
      <c r="O132" s="1" t="str"/>
      <c r="P132" s="1" t="str"/>
      <c r="Q132" s="1">
        <f>IF(H132="Sí",1,0)</f>
        <v/>
      </c>
      <c r="R132" s="1">
        <f>IF(L132="En coordinación",1,0)</f>
        <v/>
      </c>
      <c r="T132">
        <f>IF(N132="Sí",1,0)</f>
        <v/>
      </c>
      <c r="U132">
        <f>IF(L132="Aceptada",1,0)</f>
        <v/>
      </c>
    </row>
    <row r="133">
      <c r="A133" s="21" t="str"/>
      <c r="B133" s="23" t="str"/>
      <c r="I133" s="2" t="str"/>
      <c r="J133" s="2" t="str"/>
      <c r="K133" s="2" t="str"/>
      <c r="L133" s="1" t="str"/>
      <c r="M133" s="2" t="str"/>
      <c r="N133" s="1" t="str"/>
      <c r="O133" s="1" t="str"/>
      <c r="P133" s="1" t="str"/>
      <c r="Q133" s="1">
        <f>IF(H133="Sí",1,0)</f>
        <v/>
      </c>
      <c r="R133" s="1">
        <f>IF(L133="En coordinación",1,0)</f>
        <v/>
      </c>
      <c r="T133">
        <f>IF(N133="Sí",1,0)</f>
        <v/>
      </c>
      <c r="U133">
        <f>IF(L133="Aceptada",1,0)</f>
        <v/>
      </c>
    </row>
    <row r="134">
      <c r="A134" s="21" t="str"/>
      <c r="B134" s="23" t="str"/>
      <c r="I134" s="2" t="str"/>
      <c r="J134" s="2" t="str"/>
      <c r="K134" s="2" t="str"/>
      <c r="L134" s="1" t="str"/>
      <c r="M134" s="2" t="str"/>
      <c r="N134" s="1" t="str"/>
      <c r="O134" s="1" t="str"/>
      <c r="P134" s="1" t="str"/>
      <c r="Q134" s="1">
        <f>IF(H134="Sí",1,0)</f>
        <v/>
      </c>
      <c r="R134" s="1">
        <f>IF(L134="En coordinación",1,0)</f>
        <v/>
      </c>
      <c r="T134">
        <f>IF(N134="Sí",1,0)</f>
        <v/>
      </c>
      <c r="U134">
        <f>IF(L134="Aceptada",1,0)</f>
        <v/>
      </c>
    </row>
    <row r="135">
      <c r="A135" s="21" t="str"/>
      <c r="B135" s="23" t="str"/>
      <c r="I135" s="2" t="str"/>
      <c r="J135" s="2" t="str"/>
      <c r="K135" s="2" t="str"/>
      <c r="L135" s="1" t="str"/>
      <c r="M135" s="2" t="str"/>
      <c r="N135" s="1" t="str"/>
      <c r="O135" s="1" t="str"/>
      <c r="P135" s="1" t="str"/>
      <c r="Q135" s="1">
        <f>IF(H135="Sí",1,0)</f>
        <v/>
      </c>
      <c r="R135" s="1">
        <f>IF(L135="En coordinación",1,0)</f>
        <v/>
      </c>
      <c r="T135">
        <f>IF(N135="Sí",1,0)</f>
        <v/>
      </c>
      <c r="U135">
        <f>IF(L135="Aceptada",1,0)</f>
        <v/>
      </c>
    </row>
    <row r="136">
      <c r="A136" s="21" t="str"/>
      <c r="B136" s="23" t="str"/>
      <c r="I136" s="2" t="str"/>
      <c r="J136" s="2" t="str"/>
      <c r="K136" s="2" t="str"/>
      <c r="L136" s="1" t="str"/>
      <c r="M136" s="2" t="str"/>
      <c r="N136" s="1" t="str"/>
      <c r="O136" s="1" t="str"/>
      <c r="P136" s="1" t="str"/>
      <c r="Q136" s="1">
        <f>IF(H136="Sí",1,0)</f>
        <v/>
      </c>
      <c r="R136" s="1">
        <f>IF(L136="En coordinación",1,0)</f>
        <v/>
      </c>
      <c r="T136">
        <f>IF(N136="Sí",1,0)</f>
        <v/>
      </c>
      <c r="U136">
        <f>IF(L136="Aceptada",1,0)</f>
        <v/>
      </c>
    </row>
    <row r="137">
      <c r="A137" s="21" t="str"/>
      <c r="B137" s="23" t="str"/>
      <c r="I137" s="2" t="str"/>
      <c r="J137" s="2" t="str"/>
      <c r="K137" s="2" t="str"/>
      <c r="L137" s="1" t="str"/>
      <c r="M137" s="2" t="str"/>
      <c r="N137" s="1" t="str"/>
      <c r="O137" s="1" t="str"/>
      <c r="P137" s="1" t="str"/>
      <c r="Q137" s="1">
        <f>IF(H137="Sí",1,0)</f>
        <v/>
      </c>
      <c r="R137" s="1">
        <f>IF(L137="En coordinación",1,0)</f>
        <v/>
      </c>
      <c r="T137">
        <f>IF(N137="Sí",1,0)</f>
        <v/>
      </c>
      <c r="U137">
        <f>IF(L137="Aceptada",1,0)</f>
        <v/>
      </c>
    </row>
    <row r="138">
      <c r="A138" s="21" t="str"/>
      <c r="B138" s="23" t="str"/>
      <c r="I138" s="2" t="str"/>
      <c r="J138" s="2" t="str"/>
      <c r="K138" s="2" t="str"/>
      <c r="L138" s="1" t="str"/>
      <c r="M138" s="2" t="str"/>
      <c r="N138" s="1" t="str"/>
      <c r="O138" s="1" t="str"/>
      <c r="P138" s="1" t="str"/>
      <c r="Q138" s="1">
        <f>IF(H138="Sí",1,0)</f>
        <v/>
      </c>
      <c r="R138" s="1">
        <f>IF(L138="En coordinación",1,0)</f>
        <v/>
      </c>
      <c r="T138">
        <f>IF(N138="Sí",1,0)</f>
        <v/>
      </c>
      <c r="U138">
        <f>IF(L138="Aceptada",1,0)</f>
        <v/>
      </c>
    </row>
    <row r="139">
      <c r="A139" s="21" t="str"/>
      <c r="B139" s="23" t="str"/>
      <c r="I139" s="2" t="str"/>
      <c r="J139" s="2" t="str"/>
      <c r="K139" s="2" t="str"/>
      <c r="L139" s="1" t="str"/>
      <c r="M139" s="2" t="str"/>
      <c r="N139" s="1" t="str"/>
      <c r="O139" s="1" t="str"/>
      <c r="P139" s="1" t="str"/>
      <c r="Q139" s="1">
        <f>IF(H139="Sí",1,0)</f>
        <v/>
      </c>
      <c r="R139" s="1">
        <f>IF(L139="En coordinación",1,0)</f>
        <v/>
      </c>
      <c r="T139">
        <f>IF(N139="Sí",1,0)</f>
        <v/>
      </c>
      <c r="U139">
        <f>IF(L139="Aceptada",1,0)</f>
        <v/>
      </c>
    </row>
    <row r="140">
      <c r="A140" s="21" t="str"/>
      <c r="B140" s="23" t="str"/>
      <c r="I140" s="2" t="str"/>
      <c r="J140" s="2" t="str"/>
      <c r="K140" s="2" t="str"/>
      <c r="L140" s="1" t="str"/>
      <c r="M140" s="2" t="str"/>
      <c r="N140" s="1" t="str"/>
      <c r="O140" s="1" t="str"/>
      <c r="P140" s="1" t="str"/>
      <c r="Q140" s="1">
        <f>IF(H140="Sí",1,0)</f>
        <v/>
      </c>
      <c r="R140" s="1">
        <f>IF(L140="En coordinación",1,0)</f>
        <v/>
      </c>
      <c r="T140">
        <f>IF(N140="Sí",1,0)</f>
        <v/>
      </c>
      <c r="U140">
        <f>IF(L140="Aceptada",1,0)</f>
        <v/>
      </c>
    </row>
    <row r="141">
      <c r="A141" s="21" t="str"/>
      <c r="B141" s="23" t="str"/>
      <c r="I141" s="2" t="str"/>
      <c r="J141" s="2" t="str"/>
      <c r="K141" s="2" t="str"/>
      <c r="L141" s="1" t="str"/>
      <c r="M141" s="2" t="str"/>
      <c r="N141" s="1" t="str"/>
      <c r="O141" s="1" t="str"/>
      <c r="P141" s="1" t="str"/>
      <c r="Q141" s="1">
        <f>IF(H141="Sí",1,0)</f>
        <v/>
      </c>
      <c r="R141" s="1">
        <f>IF(L141="En coordinación",1,0)</f>
        <v/>
      </c>
      <c r="T141">
        <f>IF(N141="Sí",1,0)</f>
        <v/>
      </c>
      <c r="U141">
        <f>IF(L141="Aceptada",1,0)</f>
        <v/>
      </c>
    </row>
    <row r="142">
      <c r="A142" s="21" t="str"/>
      <c r="B142" s="23" t="str"/>
      <c r="I142" s="2" t="str"/>
      <c r="J142" s="2" t="str"/>
      <c r="K142" s="2" t="str"/>
      <c r="L142" s="1" t="str"/>
      <c r="M142" s="2" t="str"/>
      <c r="N142" s="1" t="str"/>
      <c r="O142" s="1" t="str"/>
      <c r="P142" s="1" t="str"/>
      <c r="Q142" s="1">
        <f>IF(H142="Sí",1,0)</f>
        <v/>
      </c>
      <c r="R142" s="1">
        <f>IF(L142="En coordinación",1,0)</f>
        <v/>
      </c>
      <c r="T142">
        <f>IF(N142="Sí",1,0)</f>
        <v/>
      </c>
      <c r="U142">
        <f>IF(L142="Aceptada",1,0)</f>
        <v/>
      </c>
    </row>
    <row r="143">
      <c r="A143" s="21" t="str"/>
      <c r="B143" s="23" t="str"/>
      <c r="I143" s="2" t="str"/>
      <c r="J143" s="2" t="str"/>
      <c r="K143" s="2" t="str"/>
      <c r="L143" s="1" t="str"/>
      <c r="M143" s="2" t="str"/>
      <c r="N143" s="1" t="str"/>
      <c r="O143" s="1" t="str"/>
      <c r="P143" s="1" t="str"/>
      <c r="Q143" s="1">
        <f>IF(H143="Sí",1,0)</f>
        <v/>
      </c>
      <c r="R143" s="1">
        <f>IF(L143="En coordinación",1,0)</f>
        <v/>
      </c>
      <c r="T143">
        <f>IF(N143="Sí",1,0)</f>
        <v/>
      </c>
      <c r="U143">
        <f>IF(L143="Aceptada",1,0)</f>
        <v/>
      </c>
    </row>
    <row r="144">
      <c r="A144" s="21" t="str"/>
      <c r="B144" s="23" t="str"/>
      <c r="I144" s="2" t="str"/>
      <c r="J144" s="2" t="str"/>
      <c r="K144" s="2" t="str"/>
      <c r="L144" s="1" t="str"/>
      <c r="M144" s="2" t="str"/>
      <c r="N144" s="1" t="str"/>
      <c r="O144" s="1" t="str"/>
      <c r="P144" s="1" t="str"/>
      <c r="Q144" s="1">
        <f>IF(H144="Sí",1,0)</f>
        <v/>
      </c>
      <c r="R144" s="1">
        <f>IF(L144="En coordinación",1,0)</f>
        <v/>
      </c>
      <c r="T144">
        <f>IF(N144="Sí",1,0)</f>
        <v/>
      </c>
      <c r="U144">
        <f>IF(L144="Aceptada",1,0)</f>
        <v/>
      </c>
    </row>
    <row r="145">
      <c r="A145" s="21" t="str"/>
      <c r="B145" s="23" t="str"/>
      <c r="I145" s="2" t="str"/>
      <c r="J145" s="2" t="str"/>
      <c r="K145" s="2" t="str"/>
      <c r="L145" s="1" t="str"/>
      <c r="M145" s="2" t="str"/>
      <c r="N145" s="1" t="str"/>
      <c r="O145" s="1" t="str"/>
      <c r="P145" s="1" t="str"/>
      <c r="Q145" s="1">
        <f>IF(H145="Sí",1,0)</f>
        <v/>
      </c>
      <c r="R145" s="1">
        <f>IF(L145="En coordinación",1,0)</f>
        <v/>
      </c>
      <c r="T145">
        <f>IF(N145="Sí",1,0)</f>
        <v/>
      </c>
      <c r="U145">
        <f>IF(L145="Aceptada",1,0)</f>
        <v/>
      </c>
    </row>
    <row r="146">
      <c r="A146" s="21" t="str"/>
      <c r="B146" s="23" t="str"/>
      <c r="I146" s="2" t="str"/>
      <c r="J146" s="2" t="str"/>
      <c r="K146" s="2" t="str"/>
      <c r="L146" s="1" t="str"/>
      <c r="M146" s="2" t="str"/>
      <c r="N146" s="1" t="str"/>
      <c r="O146" s="1" t="str"/>
      <c r="P146" s="1" t="str"/>
      <c r="Q146" s="1">
        <f>IF(H146="Sí",1,0)</f>
        <v/>
      </c>
      <c r="R146" s="1">
        <f>IF(L146="En coordinación",1,0)</f>
        <v/>
      </c>
      <c r="T146">
        <f>IF(N146="Sí",1,0)</f>
        <v/>
      </c>
      <c r="U146">
        <f>IF(L146="Aceptada",1,0)</f>
        <v/>
      </c>
    </row>
    <row r="147">
      <c r="A147" s="21" t="str"/>
      <c r="B147" s="23" t="str"/>
      <c r="I147" s="2" t="str"/>
      <c r="J147" s="2" t="str"/>
      <c r="K147" s="2" t="str"/>
      <c r="L147" s="1" t="str"/>
      <c r="M147" s="2" t="str"/>
      <c r="N147" s="1" t="str"/>
      <c r="O147" s="1" t="str"/>
      <c r="P147" s="1" t="str"/>
      <c r="Q147" s="1">
        <f>IF(H147="Sí",1,0)</f>
        <v/>
      </c>
      <c r="R147" s="1">
        <f>IF(L147="En coordinación",1,0)</f>
        <v/>
      </c>
      <c r="T147">
        <f>IF(N147="Sí",1,0)</f>
        <v/>
      </c>
      <c r="U147">
        <f>IF(L147="Aceptada",1,0)</f>
        <v/>
      </c>
    </row>
    <row r="148">
      <c r="A148" s="21" t="str"/>
      <c r="B148" s="23" t="str"/>
      <c r="I148" s="2" t="str"/>
      <c r="J148" s="2" t="str"/>
      <c r="K148" s="2" t="str"/>
      <c r="L148" s="1" t="str"/>
      <c r="M148" s="2" t="str"/>
      <c r="N148" s="1" t="str"/>
      <c r="O148" s="1" t="str"/>
      <c r="P148" s="1" t="str"/>
      <c r="Q148" s="1">
        <f>IF(H148="Sí",1,0)</f>
        <v/>
      </c>
      <c r="R148" s="1">
        <f>IF(L148="En coordinación",1,0)</f>
        <v/>
      </c>
      <c r="T148">
        <f>IF(N148="Sí",1,0)</f>
        <v/>
      </c>
      <c r="U148">
        <f>IF(L148="Aceptada",1,0)</f>
        <v/>
      </c>
    </row>
    <row r="149">
      <c r="A149" s="21" t="str"/>
      <c r="B149" s="23" t="str"/>
      <c r="I149" s="2" t="str"/>
      <c r="J149" s="2" t="str"/>
      <c r="K149" s="2" t="str"/>
      <c r="L149" s="1" t="str"/>
      <c r="M149" s="2" t="str"/>
      <c r="N149" s="1" t="str"/>
      <c r="O149" s="1" t="str"/>
      <c r="P149" s="1" t="str"/>
      <c r="Q149" s="1">
        <f>IF(H149="Sí",1,0)</f>
        <v/>
      </c>
      <c r="R149" s="1">
        <f>IF(L149="En coordinación",1,0)</f>
        <v/>
      </c>
      <c r="T149">
        <f>IF(N149="Sí",1,0)</f>
        <v/>
      </c>
      <c r="U149">
        <f>IF(L149="Aceptada",1,0)</f>
        <v/>
      </c>
    </row>
    <row r="150">
      <c r="A150" s="21" t="str"/>
      <c r="B150" s="23" t="str"/>
      <c r="I150" s="2" t="str"/>
      <c r="J150" s="2" t="str"/>
      <c r="K150" s="2" t="str"/>
      <c r="L150" s="1" t="str"/>
      <c r="M150" s="2" t="str"/>
      <c r="N150" s="1" t="str"/>
      <c r="O150" s="1" t="str"/>
      <c r="P150" s="1" t="str"/>
      <c r="Q150" s="1">
        <f>IF(H150="Sí",1,0)</f>
        <v/>
      </c>
      <c r="R150" s="1">
        <f>IF(L150="En coordinación",1,0)</f>
        <v/>
      </c>
      <c r="T150">
        <f>IF(N150="Sí",1,0)</f>
        <v/>
      </c>
      <c r="U150">
        <f>IF(L150="Aceptada",1,0)</f>
        <v/>
      </c>
    </row>
    <row r="151">
      <c r="A151" s="21" t="str"/>
      <c r="B151" s="23" t="str"/>
      <c r="I151" s="2" t="str"/>
      <c r="J151" s="2" t="str"/>
      <c r="K151" s="2" t="str"/>
      <c r="L151" s="1" t="str"/>
      <c r="M151" s="2" t="str"/>
      <c r="N151" s="1" t="str"/>
      <c r="O151" s="1" t="str"/>
      <c r="P151" s="1" t="str"/>
      <c r="Q151" s="1">
        <f>IF(H151="Sí",1,0)</f>
        <v/>
      </c>
      <c r="R151" s="1">
        <f>IF(L151="En coordinación",1,0)</f>
        <v/>
      </c>
      <c r="T151">
        <f>IF(N151="Sí",1,0)</f>
        <v/>
      </c>
      <c r="U151">
        <f>IF(L151="Aceptada",1,0)</f>
        <v/>
      </c>
    </row>
    <row r="152">
      <c r="A152" s="21" t="str"/>
      <c r="B152" s="23" t="str"/>
      <c r="I152" s="2" t="str"/>
      <c r="J152" s="2" t="str"/>
      <c r="K152" s="2" t="str"/>
      <c r="L152" s="1" t="str"/>
      <c r="M152" s="2" t="str"/>
      <c r="N152" s="1" t="str"/>
      <c r="O152" s="1" t="str"/>
      <c r="P152" s="1" t="str"/>
      <c r="Q152" s="1">
        <f>IF(H152="Sí",1,0)</f>
        <v/>
      </c>
      <c r="R152" s="1">
        <f>IF(L152="En coordinación",1,0)</f>
        <v/>
      </c>
      <c r="T152">
        <f>IF(N152="Sí",1,0)</f>
        <v/>
      </c>
      <c r="U152">
        <f>IF(L152="Aceptada",1,0)</f>
        <v/>
      </c>
    </row>
    <row r="153">
      <c r="A153" s="21" t="str"/>
      <c r="B153" s="23" t="str"/>
      <c r="I153" s="2" t="str"/>
      <c r="J153" s="2" t="str"/>
      <c r="K153" s="2" t="str"/>
      <c r="L153" s="1" t="str"/>
      <c r="M153" s="2" t="str"/>
      <c r="N153" s="1" t="str"/>
      <c r="O153" s="1" t="str"/>
      <c r="P153" s="1" t="str"/>
      <c r="Q153" s="1">
        <f>IF(H153="Sí",1,0)</f>
        <v/>
      </c>
      <c r="R153" s="1">
        <f>IF(L153="En coordinación",1,0)</f>
        <v/>
      </c>
      <c r="T153">
        <f>IF(N153="Sí",1,0)</f>
        <v/>
      </c>
      <c r="U153">
        <f>IF(L153="Aceptada",1,0)</f>
        <v/>
      </c>
    </row>
    <row r="154">
      <c r="A154" s="21" t="str"/>
      <c r="B154" s="23" t="str"/>
      <c r="I154" s="2" t="str"/>
      <c r="J154" s="2" t="str"/>
      <c r="K154" s="2" t="str"/>
      <c r="L154" s="1" t="str"/>
      <c r="M154" s="2" t="str"/>
      <c r="N154" s="1" t="str"/>
      <c r="O154" s="1" t="str"/>
      <c r="P154" s="1" t="str"/>
      <c r="Q154" s="1">
        <f>IF(H154="Sí",1,0)</f>
        <v/>
      </c>
      <c r="R154" s="1">
        <f>IF(L154="En coordinación",1,0)</f>
        <v/>
      </c>
      <c r="T154">
        <f>IF(N154="Sí",1,0)</f>
        <v/>
      </c>
      <c r="U154">
        <f>IF(L154="Aceptada",1,0)</f>
        <v/>
      </c>
    </row>
    <row r="155">
      <c r="A155" s="21" t="str"/>
      <c r="B155" s="23" t="str"/>
      <c r="I155" s="2" t="str"/>
      <c r="J155" s="2" t="str"/>
      <c r="K155" s="2" t="str"/>
      <c r="L155" s="1" t="str"/>
      <c r="M155" s="2" t="str"/>
      <c r="N155" s="1" t="str"/>
      <c r="O155" s="1" t="str"/>
      <c r="P155" s="1" t="str"/>
      <c r="Q155" s="1">
        <f>IF(H155="Sí",1,0)</f>
        <v/>
      </c>
      <c r="R155" s="1">
        <f>IF(L155="En coordinación",1,0)</f>
        <v/>
      </c>
      <c r="T155">
        <f>IF(N155="Sí",1,0)</f>
        <v/>
      </c>
      <c r="U155">
        <f>IF(L155="Aceptada",1,0)</f>
        <v/>
      </c>
    </row>
    <row r="156">
      <c r="A156" s="21" t="str"/>
      <c r="B156" s="23" t="str"/>
      <c r="I156" s="2" t="str"/>
      <c r="J156" s="2" t="str"/>
      <c r="K156" s="2" t="str"/>
      <c r="L156" s="1" t="str"/>
      <c r="M156" s="2" t="str"/>
      <c r="N156" s="1" t="str"/>
      <c r="O156" s="1" t="str"/>
      <c r="P156" s="1" t="str"/>
      <c r="Q156" s="1">
        <f>IF(H156="Sí",1,0)</f>
        <v/>
      </c>
      <c r="R156" s="1">
        <f>IF(L156="En coordinación",1,0)</f>
        <v/>
      </c>
      <c r="T156">
        <f>IF(N156="Sí",1,0)</f>
        <v/>
      </c>
      <c r="U156">
        <f>IF(L156="Aceptada",1,0)</f>
        <v/>
      </c>
    </row>
    <row r="157">
      <c r="A157" s="21" t="str"/>
      <c r="B157" s="23" t="str"/>
      <c r="I157" s="2" t="str"/>
      <c r="J157" s="2" t="str"/>
      <c r="K157" s="2" t="str"/>
      <c r="L157" s="1" t="str"/>
      <c r="M157" s="2" t="str"/>
      <c r="N157" s="1" t="str"/>
      <c r="O157" s="1" t="str"/>
      <c r="P157" s="1" t="str"/>
      <c r="Q157" s="1">
        <f>IF(H157="Sí",1,0)</f>
        <v/>
      </c>
      <c r="R157" s="1">
        <f>IF(L157="En coordinación",1,0)</f>
        <v/>
      </c>
      <c r="T157">
        <f>IF(N157="Sí",1,0)</f>
        <v/>
      </c>
      <c r="U157">
        <f>IF(L157="Aceptada",1,0)</f>
        <v/>
      </c>
    </row>
    <row r="158">
      <c r="A158" s="21" t="str"/>
      <c r="B158" s="23" t="str"/>
      <c r="I158" s="2" t="str"/>
      <c r="J158" s="2" t="str"/>
      <c r="K158" s="2" t="str"/>
      <c r="L158" s="1" t="str"/>
      <c r="M158" s="2" t="str"/>
      <c r="N158" s="1" t="str"/>
      <c r="O158" s="1" t="str"/>
      <c r="P158" s="1" t="str"/>
      <c r="Q158" s="1">
        <f>IF(H158="Sí",1,0)</f>
        <v/>
      </c>
      <c r="R158" s="1">
        <f>IF(L158="En coordinación",1,0)</f>
        <v/>
      </c>
      <c r="T158">
        <f>IF(N158="Sí",1,0)</f>
        <v/>
      </c>
      <c r="U158">
        <f>IF(L158="Aceptada",1,0)</f>
        <v/>
      </c>
    </row>
    <row r="159">
      <c r="A159" s="21" t="str"/>
      <c r="B159" s="23" t="str"/>
      <c r="I159" s="2" t="str"/>
      <c r="J159" s="2" t="str"/>
      <c r="K159" s="2" t="str"/>
      <c r="L159" s="1" t="str"/>
      <c r="M159" s="2" t="str"/>
      <c r="N159" s="1" t="str"/>
      <c r="O159" s="1" t="str"/>
      <c r="P159" s="1" t="str"/>
      <c r="Q159" s="1">
        <f>IF(H159="Sí",1,0)</f>
        <v/>
      </c>
      <c r="R159" s="1">
        <f>IF(L159="En coordinación",1,0)</f>
        <v/>
      </c>
      <c r="T159">
        <f>IF(N159="Sí",1,0)</f>
        <v/>
      </c>
      <c r="U159">
        <f>IF(L159="Aceptada",1,0)</f>
        <v/>
      </c>
    </row>
    <row r="160">
      <c r="A160" s="21" t="str"/>
      <c r="B160" s="23" t="str"/>
      <c r="I160" s="2" t="str"/>
      <c r="J160" s="2" t="str"/>
      <c r="K160" s="2" t="str"/>
      <c r="L160" s="1" t="str"/>
      <c r="M160" s="2" t="str"/>
      <c r="N160" s="1" t="str"/>
      <c r="O160" s="1" t="str"/>
      <c r="P160" s="1" t="str"/>
      <c r="Q160" s="1">
        <f>IF(H160="Sí",1,0)</f>
        <v/>
      </c>
      <c r="R160" s="1">
        <f>IF(L160="En coordinación",1,0)</f>
        <v/>
      </c>
      <c r="T160">
        <f>IF(N160="Sí",1,0)</f>
        <v/>
      </c>
      <c r="U160">
        <f>IF(L160="Aceptada",1,0)</f>
        <v/>
      </c>
    </row>
    <row r="161">
      <c r="A161" s="21" t="str"/>
      <c r="B161" s="23" t="str"/>
      <c r="I161" s="2" t="str"/>
      <c r="J161" s="2" t="str"/>
      <c r="K161" s="2" t="str"/>
      <c r="L161" s="1" t="str"/>
      <c r="M161" s="2" t="str"/>
      <c r="N161" s="1" t="str"/>
      <c r="O161" s="1" t="str"/>
      <c r="P161" s="1" t="str"/>
      <c r="Q161" s="1">
        <f>IF(H161="Sí",1,0)</f>
        <v/>
      </c>
      <c r="R161" s="1">
        <f>IF(L161="En coordinación",1,0)</f>
        <v/>
      </c>
      <c r="T161">
        <f>IF(N161="Sí",1,0)</f>
        <v/>
      </c>
      <c r="U161">
        <f>IF(L161="Aceptada",1,0)</f>
        <v/>
      </c>
    </row>
    <row r="162">
      <c r="A162" s="21" t="str"/>
      <c r="B162" s="23" t="str"/>
      <c r="I162" s="2" t="str"/>
      <c r="J162" s="2" t="str"/>
      <c r="K162" s="2" t="str"/>
      <c r="L162" s="1" t="str"/>
      <c r="M162" s="2" t="str"/>
      <c r="N162" s="1" t="str"/>
      <c r="O162" s="1" t="str"/>
      <c r="P162" s="1" t="str"/>
      <c r="Q162" s="1">
        <f>IF(H162="Sí",1,0)</f>
        <v/>
      </c>
      <c r="R162" s="1">
        <f>IF(L162="En coordinación",1,0)</f>
        <v/>
      </c>
      <c r="T162">
        <f>IF(N162="Sí",1,0)</f>
        <v/>
      </c>
      <c r="U162">
        <f>IF(L162="Aceptada",1,0)</f>
        <v/>
      </c>
    </row>
    <row r="163">
      <c r="A163" s="21" t="str"/>
      <c r="B163" s="23" t="str"/>
      <c r="I163" s="2" t="str"/>
      <c r="J163" s="2" t="str"/>
      <c r="K163" s="2" t="str"/>
      <c r="L163" s="1" t="str"/>
      <c r="M163" s="2" t="str"/>
      <c r="N163" s="1" t="str"/>
      <c r="O163" s="1" t="str"/>
      <c r="P163" s="1" t="str"/>
      <c r="Q163" s="1">
        <f>IF(H163="Sí",1,0)</f>
        <v/>
      </c>
      <c r="R163" s="1">
        <f>IF(L163="En coordinación",1,0)</f>
        <v/>
      </c>
      <c r="T163">
        <f>IF(N163="Sí",1,0)</f>
        <v/>
      </c>
      <c r="U163">
        <f>IF(L163="Aceptada",1,0)</f>
        <v/>
      </c>
    </row>
    <row r="164">
      <c r="A164" s="21" t="str"/>
      <c r="B164" s="23" t="str"/>
      <c r="I164" s="2" t="str"/>
      <c r="J164" s="2" t="str"/>
      <c r="K164" s="2" t="str"/>
      <c r="L164" s="1" t="str"/>
      <c r="M164" s="2" t="str"/>
      <c r="N164" s="1" t="str"/>
      <c r="O164" s="1" t="str"/>
      <c r="P164" s="1" t="str"/>
      <c r="Q164" s="1">
        <f>IF(H164="Sí",1,0)</f>
        <v/>
      </c>
      <c r="R164" s="1">
        <f>IF(L164="En coordinación",1,0)</f>
        <v/>
      </c>
      <c r="T164">
        <f>IF(N164="Sí",1,0)</f>
        <v/>
      </c>
      <c r="U164">
        <f>IF(L164="Aceptada",1,0)</f>
        <v/>
      </c>
    </row>
    <row r="165">
      <c r="A165" s="21" t="str"/>
      <c r="B165" s="23" t="str"/>
      <c r="I165" s="2" t="str"/>
      <c r="J165" s="2" t="str"/>
      <c r="K165" s="2" t="str"/>
      <c r="L165" s="1" t="str"/>
      <c r="M165" s="2" t="str"/>
      <c r="N165" s="1" t="str"/>
      <c r="O165" s="1" t="str"/>
      <c r="P165" s="1" t="str"/>
      <c r="Q165" s="1">
        <f>IF(H165="Sí",1,0)</f>
        <v/>
      </c>
      <c r="R165" s="1">
        <f>IF(L165="En coordinación",1,0)</f>
        <v/>
      </c>
      <c r="T165">
        <f>IF(N165="Sí",1,0)</f>
        <v/>
      </c>
      <c r="U165">
        <f>IF(L165="Aceptada",1,0)</f>
        <v/>
      </c>
    </row>
    <row r="166">
      <c r="A166" s="21" t="str"/>
      <c r="B166" s="23" t="str"/>
      <c r="I166" s="2" t="str"/>
      <c r="J166" s="2" t="str"/>
      <c r="K166" s="2" t="str"/>
      <c r="L166" s="1" t="str"/>
      <c r="M166" s="2" t="str"/>
      <c r="N166" s="1" t="str"/>
      <c r="O166" s="1" t="str"/>
      <c r="P166" s="1" t="str"/>
      <c r="Q166" s="1">
        <f>IF(H166="Sí",1,0)</f>
        <v/>
      </c>
      <c r="R166" s="1">
        <f>IF(L166="En coordinación",1,0)</f>
        <v/>
      </c>
      <c r="T166">
        <f>IF(N166="Sí",1,0)</f>
        <v/>
      </c>
      <c r="U166">
        <f>IF(L166="Aceptada",1,0)</f>
        <v/>
      </c>
    </row>
    <row r="167">
      <c r="A167" s="21" t="str"/>
      <c r="B167" s="23" t="str"/>
      <c r="I167" s="2" t="str"/>
      <c r="J167" s="2" t="str"/>
      <c r="K167" s="2" t="str"/>
      <c r="L167" s="1" t="str"/>
      <c r="M167" s="2" t="str"/>
      <c r="N167" s="1" t="str"/>
      <c r="O167" s="1" t="str"/>
      <c r="P167" s="1" t="str"/>
      <c r="Q167" s="1">
        <f>IF(H167="Sí",1,0)</f>
        <v/>
      </c>
      <c r="R167" s="1">
        <f>IF(L167="En coordinación",1,0)</f>
        <v/>
      </c>
      <c r="T167">
        <f>IF(N167="Sí",1,0)</f>
        <v/>
      </c>
      <c r="U167">
        <f>IF(L167="Aceptada",1,0)</f>
        <v/>
      </c>
    </row>
    <row r="168">
      <c r="A168" s="21" t="str"/>
      <c r="B168" s="23" t="str"/>
      <c r="I168" s="2" t="str"/>
      <c r="J168" s="2" t="str"/>
      <c r="K168" s="2" t="str"/>
      <c r="L168" s="1" t="str"/>
      <c r="M168" s="2" t="str"/>
      <c r="N168" s="1" t="str"/>
      <c r="O168" s="1" t="str"/>
      <c r="P168" s="1" t="str"/>
      <c r="Q168" s="1">
        <f>IF(H168="Sí",1,0)</f>
        <v/>
      </c>
      <c r="R168" s="1">
        <f>IF(L168="En coordinación",1,0)</f>
        <v/>
      </c>
      <c r="T168">
        <f>IF(N168="Sí",1,0)</f>
        <v/>
      </c>
      <c r="U168">
        <f>IF(L168="Aceptada",1,0)</f>
        <v/>
      </c>
    </row>
    <row r="169">
      <c r="A169" s="21" t="str"/>
      <c r="B169" s="23" t="str"/>
      <c r="I169" s="2" t="str"/>
      <c r="J169" s="2" t="str"/>
      <c r="K169" s="2" t="str"/>
      <c r="L169" s="1" t="str"/>
      <c r="M169" s="2" t="str"/>
      <c r="N169" s="1" t="str"/>
      <c r="O169" s="1" t="str"/>
      <c r="P169" s="1" t="str"/>
      <c r="Q169" s="1">
        <f>IF(H169="Sí",1,0)</f>
        <v/>
      </c>
      <c r="R169" s="1">
        <f>IF(L169="En coordinación",1,0)</f>
        <v/>
      </c>
      <c r="T169">
        <f>IF(N169="Sí",1,0)</f>
        <v/>
      </c>
      <c r="U169">
        <f>IF(L169="Aceptada",1,0)</f>
        <v/>
      </c>
    </row>
    <row r="170">
      <c r="A170" s="21" t="str"/>
      <c r="B170" s="23" t="str"/>
      <c r="I170" s="2" t="str"/>
      <c r="J170" s="2" t="str"/>
      <c r="K170" s="2" t="str"/>
      <c r="L170" s="1" t="str"/>
      <c r="M170" s="2" t="str"/>
      <c r="N170" s="1" t="str"/>
      <c r="O170" s="1" t="str"/>
      <c r="P170" s="1" t="str"/>
      <c r="Q170" s="1">
        <f>IF(H170="Sí",1,0)</f>
        <v/>
      </c>
      <c r="R170" s="1">
        <f>IF(L170="En coordinación",1,0)</f>
        <v/>
      </c>
      <c r="T170">
        <f>IF(N170="Sí",1,0)</f>
        <v/>
      </c>
      <c r="U170">
        <f>IF(L170="Aceptada",1,0)</f>
        <v/>
      </c>
    </row>
    <row r="171">
      <c r="A171" s="21" t="str"/>
      <c r="B171" s="23" t="str"/>
      <c r="I171" s="2" t="str"/>
      <c r="J171" s="2" t="str"/>
      <c r="K171" s="2" t="str"/>
      <c r="L171" s="1" t="str"/>
      <c r="M171" s="2" t="str"/>
      <c r="N171" s="1" t="str"/>
      <c r="O171" s="1" t="str"/>
      <c r="P171" s="1" t="str"/>
      <c r="Q171" s="1">
        <f>IF(H171="Sí",1,0)</f>
        <v/>
      </c>
      <c r="R171" s="1">
        <f>IF(L171="En coordinación",1,0)</f>
        <v/>
      </c>
      <c r="T171">
        <f>IF(N171="Sí",1,0)</f>
        <v/>
      </c>
      <c r="U171">
        <f>IF(L171="Aceptada",1,0)</f>
        <v/>
      </c>
    </row>
    <row r="172">
      <c r="A172" s="21" t="str"/>
      <c r="B172" s="23" t="str"/>
      <c r="I172" s="2" t="str"/>
      <c r="J172" s="2" t="str"/>
      <c r="K172" s="2" t="str"/>
      <c r="L172" s="1" t="str"/>
      <c r="M172" s="2" t="str"/>
      <c r="N172" s="1" t="str"/>
      <c r="O172" s="1" t="str"/>
      <c r="P172" s="1" t="str"/>
      <c r="Q172" s="1">
        <f>IF(H172="Sí",1,0)</f>
        <v/>
      </c>
      <c r="R172" s="1">
        <f>IF(L172="En coordinación",1,0)</f>
        <v/>
      </c>
      <c r="T172">
        <f>IF(N172="Sí",1,0)</f>
        <v/>
      </c>
      <c r="U172">
        <f>IF(L172="Aceptada",1,0)</f>
        <v/>
      </c>
    </row>
    <row r="173">
      <c r="A173" s="21" t="str"/>
      <c r="B173" s="23" t="str"/>
      <c r="I173" s="2" t="str"/>
      <c r="J173" s="2" t="str"/>
      <c r="K173" s="2" t="str"/>
      <c r="L173" s="1" t="str"/>
      <c r="M173" s="2" t="str"/>
      <c r="N173" s="1" t="str"/>
      <c r="O173" s="1" t="str"/>
      <c r="P173" s="1" t="str"/>
      <c r="Q173" s="1">
        <f>IF(H173="Sí",1,0)</f>
        <v/>
      </c>
      <c r="R173" s="1">
        <f>IF(L173="En coordinación",1,0)</f>
        <v/>
      </c>
      <c r="T173">
        <f>IF(N173="Sí",1,0)</f>
        <v/>
      </c>
      <c r="U173">
        <f>IF(L173="Aceptada",1,0)</f>
        <v/>
      </c>
    </row>
    <row r="174">
      <c r="A174" s="21" t="str"/>
      <c r="B174" s="23" t="str"/>
      <c r="I174" s="2" t="str"/>
      <c r="J174" s="2" t="str"/>
      <c r="K174" s="2" t="str"/>
      <c r="L174" s="1" t="str"/>
      <c r="M174" s="2" t="str"/>
      <c r="N174" s="1" t="str"/>
      <c r="O174" s="1" t="str"/>
      <c r="P174" s="1" t="str"/>
      <c r="Q174" s="1">
        <f>IF(H174="Sí",1,0)</f>
        <v/>
      </c>
      <c r="R174" s="1">
        <f>IF(L174="En coordinación",1,0)</f>
        <v/>
      </c>
      <c r="T174">
        <f>IF(N174="Sí",1,0)</f>
        <v/>
      </c>
      <c r="U174">
        <f>IF(L174="Aceptada",1,0)</f>
        <v/>
      </c>
    </row>
    <row r="175">
      <c r="A175" s="21" t="str"/>
      <c r="B175" s="23" t="str"/>
      <c r="I175" s="2" t="str"/>
      <c r="J175" s="2" t="str"/>
      <c r="K175" s="2" t="str"/>
      <c r="L175" s="1" t="str"/>
      <c r="M175" s="2" t="str"/>
      <c r="N175" s="1" t="str"/>
      <c r="O175" s="1" t="str"/>
      <c r="P175" s="1" t="str"/>
      <c r="Q175" s="1">
        <f>IF(H175="Sí",1,0)</f>
        <v/>
      </c>
      <c r="R175" s="1">
        <f>IF(L175="En coordinación",1,0)</f>
        <v/>
      </c>
      <c r="T175">
        <f>IF(N175="Sí",1,0)</f>
        <v/>
      </c>
      <c r="U175">
        <f>IF(L175="Aceptada",1,0)</f>
        <v/>
      </c>
    </row>
    <row r="176">
      <c r="A176" s="21" t="str"/>
      <c r="B176" s="23" t="str"/>
      <c r="I176" s="2" t="str"/>
      <c r="J176" s="2" t="str"/>
      <c r="K176" s="2" t="str"/>
      <c r="L176" s="1" t="str"/>
      <c r="M176" s="2" t="str"/>
      <c r="N176" s="1" t="str"/>
      <c r="O176" s="1" t="str"/>
      <c r="P176" s="1" t="str"/>
      <c r="Q176" s="1">
        <f>IF(H176="Sí",1,0)</f>
        <v/>
      </c>
      <c r="R176" s="1">
        <f>IF(L176="En coordinación",1,0)</f>
        <v/>
      </c>
      <c r="T176">
        <f>IF(N176="Sí",1,0)</f>
        <v/>
      </c>
      <c r="U176">
        <f>IF(L176="Aceptada",1,0)</f>
        <v/>
      </c>
    </row>
    <row r="177">
      <c r="A177" s="21" t="str"/>
      <c r="B177" s="23" t="str"/>
      <c r="I177" s="2" t="str"/>
      <c r="J177" s="2" t="str"/>
      <c r="K177" s="2" t="str"/>
      <c r="L177" s="1" t="str"/>
      <c r="M177" s="2" t="str"/>
      <c r="N177" s="1" t="str"/>
      <c r="O177" s="1" t="str"/>
      <c r="P177" s="1" t="str"/>
      <c r="Q177" s="1">
        <f>IF(H177="Sí",1,0)</f>
        <v/>
      </c>
      <c r="R177" s="1">
        <f>IF(L177="En coordinación",1,0)</f>
        <v/>
      </c>
      <c r="T177">
        <f>IF(N177="Sí",1,0)</f>
        <v/>
      </c>
      <c r="U177">
        <f>IF(L177="Aceptada",1,0)</f>
        <v/>
      </c>
    </row>
    <row r="178">
      <c r="A178" s="21" t="str"/>
      <c r="B178" s="23" t="str"/>
      <c r="I178" s="2" t="str"/>
      <c r="J178" s="2" t="str"/>
      <c r="K178" s="2" t="str"/>
      <c r="L178" s="1" t="str"/>
      <c r="M178" s="2" t="str"/>
      <c r="N178" s="1" t="str"/>
      <c r="O178" s="1" t="str"/>
      <c r="P178" s="1" t="str"/>
      <c r="Q178" s="1">
        <f>IF(H178="Sí",1,0)</f>
        <v/>
      </c>
      <c r="R178" s="1">
        <f>IF(L178="En coordinación",1,0)</f>
        <v/>
      </c>
      <c r="T178">
        <f>IF(N178="Sí",1,0)</f>
        <v/>
      </c>
      <c r="U178">
        <f>IF(L178="Aceptada",1,0)</f>
        <v/>
      </c>
    </row>
    <row r="179">
      <c r="A179" s="21" t="str"/>
      <c r="B179" s="23" t="str"/>
      <c r="I179" s="2" t="str"/>
      <c r="J179" s="2" t="str"/>
      <c r="K179" s="2" t="str"/>
      <c r="L179" s="1" t="str"/>
      <c r="M179" s="2" t="str"/>
      <c r="N179" s="1" t="str"/>
      <c r="O179" s="1" t="str"/>
      <c r="P179" s="1" t="str"/>
      <c r="Q179" s="1">
        <f>IF(H179="Sí",1,0)</f>
        <v/>
      </c>
      <c r="R179" s="1">
        <f>IF(L179="En coordinación",1,0)</f>
        <v/>
      </c>
      <c r="T179">
        <f>IF(N179="Sí",1,0)</f>
        <v/>
      </c>
      <c r="U179">
        <f>IF(L179="Aceptada",1,0)</f>
        <v/>
      </c>
    </row>
    <row r="180">
      <c r="A180" s="21" t="str"/>
      <c r="B180" s="23" t="str"/>
      <c r="I180" s="2" t="str"/>
      <c r="J180" s="2" t="str"/>
      <c r="K180" s="2" t="str"/>
      <c r="L180" s="1" t="str"/>
      <c r="M180" s="2" t="str"/>
      <c r="N180" s="1" t="str"/>
      <c r="O180" s="1" t="str"/>
      <c r="P180" s="1" t="str"/>
      <c r="Q180" s="1">
        <f>IF(H180="Sí",1,0)</f>
        <v/>
      </c>
      <c r="R180" s="1">
        <f>IF(L180="En coordinación",1,0)</f>
        <v/>
      </c>
      <c r="T180">
        <f>IF(N180="Sí",1,0)</f>
        <v/>
      </c>
      <c r="U180">
        <f>IF(L180="Aceptada",1,0)</f>
        <v/>
      </c>
    </row>
    <row r="181">
      <c r="A181" s="21" t="str"/>
      <c r="B181" s="23" t="str"/>
      <c r="I181" s="2" t="str"/>
      <c r="J181" s="2" t="str"/>
      <c r="K181" s="2" t="str"/>
      <c r="L181" s="1" t="str"/>
      <c r="M181" s="2" t="str"/>
      <c r="N181" s="1" t="str"/>
      <c r="O181" s="1" t="str"/>
      <c r="P181" s="1" t="str"/>
      <c r="Q181" s="1">
        <f>IF(H181="Sí",1,0)</f>
        <v/>
      </c>
      <c r="R181" s="1">
        <f>IF(L181="En coordinación",1,0)</f>
        <v/>
      </c>
      <c r="T181">
        <f>IF(N181="Sí",1,0)</f>
        <v/>
      </c>
      <c r="U181">
        <f>IF(L181="Aceptada",1,0)</f>
        <v/>
      </c>
    </row>
    <row r="182">
      <c r="A182" s="21" t="str"/>
      <c r="B182" s="23" t="str"/>
      <c r="I182" s="2" t="str"/>
      <c r="J182" s="2" t="str"/>
      <c r="K182" s="2" t="str"/>
      <c r="L182" s="1" t="str"/>
      <c r="M182" s="2" t="str"/>
      <c r="N182" s="1" t="str"/>
      <c r="O182" s="1" t="str"/>
      <c r="P182" s="1" t="str"/>
      <c r="Q182" s="1">
        <f>IF(H182="Sí",1,0)</f>
        <v/>
      </c>
      <c r="R182" s="1">
        <f>IF(L182="En coordinación",1,0)</f>
        <v/>
      </c>
      <c r="T182">
        <f>IF(N182="Sí",1,0)</f>
        <v/>
      </c>
      <c r="U182">
        <f>IF(L182="Aceptada",1,0)</f>
        <v/>
      </c>
    </row>
    <row r="183">
      <c r="A183" s="21" t="str"/>
      <c r="B183" s="23" t="str"/>
      <c r="I183" s="2" t="str"/>
      <c r="J183" s="2" t="str"/>
      <c r="K183" s="2" t="str"/>
      <c r="L183" s="1" t="str"/>
      <c r="M183" s="2" t="str"/>
      <c r="N183" s="1" t="str"/>
      <c r="O183" s="1" t="str"/>
      <c r="P183" s="1" t="str"/>
      <c r="Q183" s="1">
        <f>IF(H183="Sí",1,0)</f>
        <v/>
      </c>
      <c r="R183" s="1">
        <f>IF(L183="En coordinación",1,0)</f>
        <v/>
      </c>
      <c r="T183">
        <f>IF(N183="Sí",1,0)</f>
        <v/>
      </c>
      <c r="U183">
        <f>IF(L183="Aceptada",1,0)</f>
        <v/>
      </c>
    </row>
    <row r="184">
      <c r="A184" s="21" t="str"/>
      <c r="B184" s="23" t="str"/>
      <c r="I184" s="2" t="str"/>
      <c r="J184" s="2" t="str"/>
      <c r="K184" s="2" t="str"/>
      <c r="L184" s="1" t="str"/>
      <c r="M184" s="2" t="str"/>
      <c r="N184" s="1" t="str"/>
      <c r="O184" s="1" t="str"/>
      <c r="P184" s="1" t="str"/>
      <c r="Q184" s="1">
        <f>IF(H184="Sí",1,0)</f>
        <v/>
      </c>
      <c r="R184" s="1">
        <f>IF(L184="En coordinación",1,0)</f>
        <v/>
      </c>
      <c r="T184">
        <f>IF(N184="Sí",1,0)</f>
        <v/>
      </c>
      <c r="U184">
        <f>IF(L184="Aceptada",1,0)</f>
        <v/>
      </c>
    </row>
    <row r="185">
      <c r="A185" s="21" t="str"/>
      <c r="B185" s="23" t="str"/>
      <c r="I185" s="2" t="str"/>
      <c r="J185" s="2" t="str"/>
      <c r="K185" s="2" t="str"/>
      <c r="L185" s="1" t="str"/>
      <c r="M185" s="2" t="str"/>
      <c r="N185" s="1" t="str"/>
      <c r="O185" s="1" t="str"/>
      <c r="P185" s="1" t="str"/>
      <c r="Q185" s="1">
        <f>IF(H185="Sí",1,0)</f>
        <v/>
      </c>
      <c r="R185" s="1">
        <f>IF(L185="En coordinación",1,0)</f>
        <v/>
      </c>
      <c r="T185">
        <f>IF(N185="Sí",1,0)</f>
        <v/>
      </c>
      <c r="U185">
        <f>IF(L185="Aceptada",1,0)</f>
        <v/>
      </c>
    </row>
    <row r="186">
      <c r="A186" s="21" t="str"/>
      <c r="B186" s="23" t="str"/>
      <c r="I186" s="2" t="str"/>
      <c r="J186" s="2" t="str"/>
      <c r="K186" s="2" t="str"/>
      <c r="L186" s="1" t="str"/>
      <c r="M186" s="2" t="str"/>
      <c r="N186" s="1" t="str"/>
      <c r="O186" s="1" t="str"/>
      <c r="P186" s="1" t="str"/>
      <c r="Q186" s="1">
        <f>IF(H186="Sí",1,0)</f>
        <v/>
      </c>
      <c r="R186" s="1">
        <f>IF(L186="En coordinación",1,0)</f>
        <v/>
      </c>
      <c r="T186">
        <f>IF(N186="Sí",1,0)</f>
        <v/>
      </c>
      <c r="U186">
        <f>IF(L186="Aceptada",1,0)</f>
        <v/>
      </c>
    </row>
    <row r="187">
      <c r="A187" s="21" t="str"/>
      <c r="B187" s="23" t="str"/>
      <c r="I187" s="2" t="str"/>
      <c r="J187" s="2" t="str"/>
      <c r="K187" s="2" t="str"/>
      <c r="L187" s="1" t="str"/>
      <c r="M187" s="2" t="str"/>
      <c r="N187" s="1" t="str"/>
      <c r="O187" s="1" t="str"/>
      <c r="P187" s="1" t="str"/>
      <c r="Q187" s="1">
        <f>IF(H187="Sí",1,0)</f>
        <v/>
      </c>
      <c r="R187" s="1">
        <f>IF(L187="En coordinación",1,0)</f>
        <v/>
      </c>
      <c r="T187">
        <f>IF(N187="Sí",1,0)</f>
        <v/>
      </c>
      <c r="U187">
        <f>IF(L187="Aceptada",1,0)</f>
        <v/>
      </c>
    </row>
    <row r="188">
      <c r="A188" s="21" t="str"/>
      <c r="B188" s="23" t="str"/>
      <c r="I188" s="2" t="str"/>
      <c r="J188" s="2" t="str"/>
      <c r="K188" s="2" t="str"/>
      <c r="L188" s="1" t="str"/>
      <c r="M188" s="2" t="str"/>
      <c r="N188" s="1" t="str"/>
      <c r="O188" s="1" t="str"/>
      <c r="P188" s="1" t="str"/>
      <c r="Q188" s="1">
        <f>IF(H188="Sí",1,0)</f>
        <v/>
      </c>
      <c r="R188" s="1">
        <f>IF(L188="En coordinación",1,0)</f>
        <v/>
      </c>
      <c r="T188">
        <f>IF(N188="Sí",1,0)</f>
        <v/>
      </c>
      <c r="U188">
        <f>IF(L188="Aceptada",1,0)</f>
        <v/>
      </c>
    </row>
    <row r="189">
      <c r="A189" s="21" t="str"/>
      <c r="B189" s="23" t="str"/>
      <c r="I189" s="2" t="str"/>
      <c r="J189" s="2" t="str"/>
      <c r="K189" s="2" t="str"/>
      <c r="L189" s="1" t="str"/>
      <c r="M189" s="2" t="str"/>
      <c r="N189" s="1" t="str"/>
      <c r="O189" s="1" t="str"/>
      <c r="P189" s="1" t="str"/>
      <c r="Q189" s="1">
        <f>IF(H189="Sí",1,0)</f>
        <v/>
      </c>
      <c r="R189" s="1">
        <f>IF(L189="En coordinación",1,0)</f>
        <v/>
      </c>
      <c r="T189">
        <f>IF(N189="Sí",1,0)</f>
        <v/>
      </c>
      <c r="U189">
        <f>IF(L189="Aceptada",1,0)</f>
        <v/>
      </c>
    </row>
    <row r="190">
      <c r="A190" s="21" t="str"/>
      <c r="B190" s="23" t="str"/>
      <c r="I190" s="2" t="str"/>
      <c r="J190" s="2" t="str"/>
      <c r="K190" s="2" t="str"/>
      <c r="L190" s="1" t="str"/>
      <c r="M190" s="2" t="str"/>
      <c r="N190" s="1" t="str"/>
      <c r="O190" s="1" t="str"/>
      <c r="P190" s="1" t="str"/>
      <c r="Q190" s="1">
        <f>IF(H190="Sí",1,0)</f>
        <v/>
      </c>
      <c r="R190" s="1">
        <f>IF(L190="En coordinación",1,0)</f>
        <v/>
      </c>
      <c r="T190">
        <f>IF(N190="Sí",1,0)</f>
        <v/>
      </c>
      <c r="U190">
        <f>IF(L190="Aceptada",1,0)</f>
        <v/>
      </c>
    </row>
    <row r="191">
      <c r="A191" s="21" t="str"/>
      <c r="B191" s="23" t="str"/>
      <c r="I191" s="2" t="str"/>
      <c r="J191" s="2" t="str"/>
      <c r="K191" s="2" t="str"/>
      <c r="L191" s="1" t="str"/>
      <c r="M191" s="2" t="str"/>
      <c r="N191" s="1" t="str"/>
      <c r="O191" s="1" t="str"/>
      <c r="P191" s="1" t="str"/>
      <c r="Q191" s="1">
        <f>IF(H191="Sí",1,0)</f>
        <v/>
      </c>
      <c r="R191" s="1">
        <f>IF(L191="En coordinación",1,0)</f>
        <v/>
      </c>
      <c r="T191">
        <f>IF(N191="Sí",1,0)</f>
        <v/>
      </c>
      <c r="U191">
        <f>IF(L191="Aceptada",1,0)</f>
        <v/>
      </c>
    </row>
    <row r="192">
      <c r="A192" s="21" t="str"/>
      <c r="B192" s="23" t="str"/>
      <c r="I192" s="2" t="str"/>
      <c r="J192" s="2" t="str"/>
      <c r="K192" s="2" t="str"/>
      <c r="L192" s="1" t="str"/>
      <c r="M192" s="2" t="str"/>
      <c r="N192" s="1" t="str"/>
      <c r="O192" s="1" t="str"/>
      <c r="P192" s="1" t="str"/>
      <c r="Q192" s="1">
        <f>IF(H192="Sí",1,0)</f>
        <v/>
      </c>
      <c r="R192" s="1">
        <f>IF(L192="En coordinación",1,0)</f>
        <v/>
      </c>
      <c r="T192">
        <f>IF(N192="Sí",1,0)</f>
        <v/>
      </c>
      <c r="U192">
        <f>IF(L192="Aceptada",1,0)</f>
        <v/>
      </c>
    </row>
    <row r="193">
      <c r="A193" s="21" t="str"/>
      <c r="B193" s="23" t="str"/>
      <c r="I193" s="2" t="str"/>
      <c r="J193" s="2" t="str"/>
      <c r="K193" s="2" t="str"/>
      <c r="L193" s="1" t="str"/>
      <c r="M193" s="2" t="str"/>
      <c r="N193" s="1" t="str"/>
      <c r="O193" s="1" t="str"/>
      <c r="P193" s="1" t="str"/>
      <c r="Q193" s="1">
        <f>IF(H193="Sí",1,0)</f>
        <v/>
      </c>
      <c r="R193" s="1">
        <f>IF(L193="En coordinación",1,0)</f>
        <v/>
      </c>
      <c r="T193">
        <f>IF(N193="Sí",1,0)</f>
        <v/>
      </c>
      <c r="U193">
        <f>IF(L193="Aceptada",1,0)</f>
        <v/>
      </c>
    </row>
    <row r="194">
      <c r="A194" s="21" t="str"/>
      <c r="B194" s="23" t="str"/>
      <c r="I194" s="2" t="str"/>
      <c r="J194" s="2" t="str"/>
      <c r="K194" s="2" t="str"/>
      <c r="L194" s="1" t="str"/>
      <c r="M194" s="2" t="str"/>
      <c r="N194" s="1" t="str"/>
      <c r="O194" s="1" t="str"/>
      <c r="P194" s="1" t="str"/>
      <c r="Q194" s="1">
        <f>IF(H194="Sí",1,0)</f>
        <v/>
      </c>
      <c r="R194" s="1">
        <f>IF(L194="En coordinación",1,0)</f>
        <v/>
      </c>
      <c r="T194">
        <f>IF(N194="Sí",1,0)</f>
        <v/>
      </c>
      <c r="U194">
        <f>IF(L194="Aceptada",1,0)</f>
        <v/>
      </c>
    </row>
    <row r="195">
      <c r="A195" s="21" t="str"/>
      <c r="B195" s="23" t="str"/>
      <c r="I195" s="2" t="str"/>
      <c r="J195" s="2" t="str"/>
      <c r="K195" s="2" t="str"/>
      <c r="L195" s="1" t="str"/>
      <c r="M195" s="2" t="str"/>
      <c r="N195" s="1" t="str"/>
      <c r="O195" s="1" t="str"/>
      <c r="P195" s="1" t="str"/>
      <c r="Q195" s="1">
        <f>IF(H195="Sí",1,0)</f>
        <v/>
      </c>
      <c r="R195" s="1">
        <f>IF(L195="En coordinación",1,0)</f>
        <v/>
      </c>
      <c r="T195">
        <f>IF(N195="Sí",1,0)</f>
        <v/>
      </c>
      <c r="U195">
        <f>IF(L195="Aceptada",1,0)</f>
        <v/>
      </c>
    </row>
    <row r="196">
      <c r="A196" s="21" t="str"/>
      <c r="B196" s="23" t="str"/>
      <c r="I196" s="2" t="str"/>
      <c r="J196" s="2" t="str"/>
      <c r="K196" s="2" t="str"/>
      <c r="L196" s="1" t="str"/>
      <c r="M196" s="2" t="str"/>
      <c r="N196" s="1" t="str"/>
      <c r="O196" s="1" t="str"/>
      <c r="P196" s="1" t="str"/>
      <c r="Q196" s="1">
        <f>IF(H196="Sí",1,0)</f>
        <v/>
      </c>
      <c r="R196" s="1">
        <f>IF(L196="En coordinación",1,0)</f>
        <v/>
      </c>
      <c r="T196">
        <f>IF(N196="Sí",1,0)</f>
        <v/>
      </c>
      <c r="U196">
        <f>IF(L196="Aceptada",1,0)</f>
        <v/>
      </c>
    </row>
    <row r="197">
      <c r="A197" s="21" t="str"/>
      <c r="B197" s="23" t="str"/>
      <c r="I197" s="2" t="str"/>
      <c r="J197" s="2" t="str"/>
      <c r="K197" s="2" t="str"/>
      <c r="L197" s="1" t="str"/>
      <c r="M197" s="2" t="str"/>
      <c r="N197" s="1" t="str"/>
      <c r="O197" s="1" t="str"/>
      <c r="P197" s="1" t="str"/>
      <c r="Q197" s="1">
        <f>IF(H197="Sí",1,0)</f>
        <v/>
      </c>
      <c r="R197" s="1">
        <f>IF(L197="En coordinación",1,0)</f>
        <v/>
      </c>
      <c r="T197">
        <f>IF(N197="Sí",1,0)</f>
        <v/>
      </c>
      <c r="U197">
        <f>IF(L197="Aceptada",1,0)</f>
        <v/>
      </c>
    </row>
    <row r="198">
      <c r="A198" s="21" t="str"/>
      <c r="B198" s="23" t="str"/>
      <c r="I198" s="2" t="str"/>
      <c r="J198" s="2" t="str"/>
      <c r="K198" s="2" t="str"/>
      <c r="L198" s="1" t="str"/>
      <c r="M198" s="2" t="str"/>
      <c r="N198" s="1" t="str"/>
      <c r="O198" s="1" t="str"/>
      <c r="P198" s="1" t="str"/>
      <c r="Q198" s="1">
        <f>IF(H198="Sí",1,0)</f>
        <v/>
      </c>
      <c r="R198" s="1">
        <f>IF(L198="En coordinación",1,0)</f>
        <v/>
      </c>
      <c r="T198">
        <f>IF(N198="Sí",1,0)</f>
        <v/>
      </c>
      <c r="U198">
        <f>IF(L198="Aceptada",1,0)</f>
        <v/>
      </c>
    </row>
    <row r="199">
      <c r="A199" s="21" t="str"/>
      <c r="B199" s="23" t="str"/>
      <c r="I199" s="2" t="str"/>
      <c r="J199" s="2" t="str"/>
      <c r="K199" s="2" t="str"/>
      <c r="L199" s="1" t="str"/>
      <c r="M199" s="2" t="str"/>
      <c r="N199" s="1" t="str"/>
      <c r="O199" s="1" t="str"/>
      <c r="P199" s="1" t="str"/>
      <c r="Q199" s="1">
        <f>IF(H199="Sí",1,0)</f>
        <v/>
      </c>
      <c r="R199" s="1">
        <f>IF(L199="En coordinación",1,0)</f>
        <v/>
      </c>
      <c r="T199">
        <f>IF(N199="Sí",1,0)</f>
        <v/>
      </c>
      <c r="U199">
        <f>IF(L199="Aceptada",1,0)</f>
        <v/>
      </c>
    </row>
    <row r="200">
      <c r="A200" s="21" t="str"/>
      <c r="B200" s="23" t="str"/>
      <c r="I200" s="2" t="str"/>
      <c r="J200" s="2" t="str"/>
      <c r="K200" s="2" t="str"/>
      <c r="L200" s="1" t="str"/>
      <c r="M200" s="2" t="str"/>
      <c r="N200" s="1" t="str"/>
      <c r="O200" s="1" t="str"/>
      <c r="P200" s="1" t="str"/>
      <c r="Q200" s="1">
        <f>IF(H200="Sí",1,0)</f>
        <v/>
      </c>
      <c r="R200" s="1">
        <f>IF(L200="En coordinación",1,0)</f>
        <v/>
      </c>
      <c r="T200">
        <f>IF(N200="Sí",1,0)</f>
        <v/>
      </c>
      <c r="U200">
        <f>IF(L200="Aceptada",1,0)</f>
        <v/>
      </c>
    </row>
    <row r="201">
      <c r="A201" s="21" t="str"/>
      <c r="B201" s="23" t="str"/>
      <c r="I201" s="2" t="str"/>
      <c r="J201" s="2" t="str"/>
      <c r="K201" s="2" t="str"/>
      <c r="L201" s="1" t="str"/>
      <c r="M201" s="2" t="str"/>
      <c r="N201" s="1" t="str"/>
      <c r="O201" s="1" t="str"/>
      <c r="P201" s="1" t="str"/>
      <c r="Q201" s="1">
        <f>IF(H201="Sí",1,0)</f>
        <v/>
      </c>
      <c r="R201" s="1">
        <f>IF(L201="En coordinación",1,0)</f>
        <v/>
      </c>
      <c r="T201">
        <f>IF(N201="Sí",1,0)</f>
        <v/>
      </c>
      <c r="U201">
        <f>IF(L201="Aceptada",1,0)</f>
        <v/>
      </c>
    </row>
    <row r="202">
      <c r="A202" s="21" t="str"/>
      <c r="B202" s="23" t="str"/>
      <c r="I202" s="2" t="str"/>
      <c r="J202" s="2" t="str"/>
      <c r="K202" s="2" t="str"/>
      <c r="L202" s="1" t="str"/>
      <c r="M202" s="2" t="str"/>
      <c r="N202" s="1" t="str"/>
      <c r="O202" s="1" t="str"/>
      <c r="P202" s="1" t="str"/>
      <c r="Q202" s="1">
        <f>IF(H202="Sí",1,0)</f>
        <v/>
      </c>
      <c r="R202" s="1">
        <f>IF(L202="En coordinación",1,0)</f>
        <v/>
      </c>
      <c r="T202">
        <f>IF(N202="Sí",1,0)</f>
        <v/>
      </c>
      <c r="U202">
        <f>IF(L202="Aceptada",1,0)</f>
        <v/>
      </c>
    </row>
    <row r="203">
      <c r="A203" s="21" t="str"/>
      <c r="B203" s="23" t="str"/>
      <c r="I203" s="2" t="str"/>
      <c r="J203" s="2" t="str"/>
      <c r="K203" s="2" t="str"/>
      <c r="L203" s="1" t="str"/>
      <c r="M203" s="2" t="str"/>
      <c r="N203" s="1" t="str"/>
      <c r="O203" s="1" t="str"/>
      <c r="P203" s="1" t="str"/>
      <c r="Q203" s="1">
        <f>IF(H203="Sí",1,0)</f>
        <v/>
      </c>
      <c r="R203" s="1">
        <f>IF(L203="En coordinación",1,0)</f>
        <v/>
      </c>
      <c r="T203">
        <f>IF(N203="Sí",1,0)</f>
        <v/>
      </c>
      <c r="U203">
        <f>IF(L203="Aceptada",1,0)</f>
        <v/>
      </c>
    </row>
    <row r="204">
      <c r="A204" s="21" t="str"/>
      <c r="B204" s="23" t="str"/>
      <c r="I204" s="2" t="str"/>
      <c r="J204" s="2" t="str"/>
      <c r="K204" s="2" t="str"/>
      <c r="L204" s="1" t="str"/>
      <c r="M204" s="2" t="str"/>
      <c r="N204" s="1" t="str"/>
      <c r="O204" s="1" t="str"/>
      <c r="P204" s="1" t="str"/>
      <c r="Q204" s="1">
        <f>IF(H204="Sí",1,0)</f>
        <v/>
      </c>
      <c r="R204" s="1">
        <f>IF(L204="En coordinación",1,0)</f>
        <v/>
      </c>
      <c r="T204">
        <f>IF(N204="Sí",1,0)</f>
        <v/>
      </c>
      <c r="U204">
        <f>IF(L204="Aceptada",1,0)</f>
        <v/>
      </c>
    </row>
    <row r="205">
      <c r="A205" s="21" t="str"/>
      <c r="B205" s="23" t="str"/>
      <c r="I205" s="2" t="str"/>
      <c r="J205" s="2" t="str"/>
      <c r="K205" s="2" t="str"/>
      <c r="L205" s="1" t="str"/>
      <c r="M205" s="2" t="str"/>
      <c r="N205" s="1" t="str"/>
      <c r="O205" s="1" t="str"/>
      <c r="P205" s="1" t="str"/>
      <c r="Q205" s="1">
        <f>IF(H205="Sí",1,0)</f>
        <v/>
      </c>
      <c r="R205" s="1">
        <f>IF(L205="En coordinación",1,0)</f>
        <v/>
      </c>
      <c r="T205">
        <f>IF(N205="Sí",1,0)</f>
        <v/>
      </c>
      <c r="U205">
        <f>IF(L205="Aceptada",1,0)</f>
        <v/>
      </c>
    </row>
    <row r="206">
      <c r="A206" s="21" t="str"/>
      <c r="B206" s="23" t="str"/>
      <c r="I206" s="2" t="str"/>
      <c r="J206" s="2" t="str"/>
      <c r="K206" s="2" t="str"/>
      <c r="L206" s="1" t="str"/>
      <c r="M206" s="2" t="str"/>
      <c r="N206" s="1" t="str"/>
      <c r="O206" s="1" t="str"/>
      <c r="P206" s="1" t="str"/>
      <c r="Q206" s="1">
        <f>IF(H206="Sí",1,0)</f>
        <v/>
      </c>
      <c r="R206" s="1">
        <f>IF(L206="En coordinación",1,0)</f>
        <v/>
      </c>
      <c r="T206">
        <f>IF(N206="Sí",1,0)</f>
        <v/>
      </c>
      <c r="U206">
        <f>IF(L206="Aceptada",1,0)</f>
        <v/>
      </c>
    </row>
    <row r="207">
      <c r="A207" s="21" t="str"/>
      <c r="B207" s="23" t="str"/>
      <c r="I207" s="2" t="str"/>
      <c r="J207" s="2" t="str"/>
      <c r="K207" s="2" t="str"/>
      <c r="L207" s="1" t="str"/>
      <c r="M207" s="2" t="str"/>
      <c r="N207" s="1" t="str"/>
      <c r="O207" s="1" t="str"/>
      <c r="P207" s="1" t="str"/>
      <c r="Q207" s="1">
        <f>IF(H207="Sí",1,0)</f>
        <v/>
      </c>
      <c r="R207" s="1">
        <f>IF(L207="En coordinación",1,0)</f>
        <v/>
      </c>
      <c r="T207">
        <f>IF(N207="Sí",1,0)</f>
        <v/>
      </c>
      <c r="U207">
        <f>IF(L207="Aceptada",1,0)</f>
        <v/>
      </c>
    </row>
    <row r="208">
      <c r="A208" s="21" t="str"/>
      <c r="B208" s="23" t="str"/>
      <c r="I208" s="2" t="str"/>
      <c r="J208" s="2" t="str"/>
      <c r="K208" s="2" t="str"/>
      <c r="L208" s="1" t="str"/>
      <c r="M208" s="2" t="str"/>
      <c r="N208" s="1" t="str"/>
      <c r="O208" s="1" t="str"/>
      <c r="P208" s="1" t="str"/>
      <c r="Q208" s="1">
        <f>IF(H208="Sí",1,0)</f>
        <v/>
      </c>
      <c r="R208" s="1">
        <f>IF(L208="En coordinación",1,0)</f>
        <v/>
      </c>
      <c r="T208">
        <f>IF(N208="Sí",1,0)</f>
        <v/>
      </c>
      <c r="U208">
        <f>IF(L208="Aceptada",1,0)</f>
        <v/>
      </c>
    </row>
    <row r="209">
      <c r="A209" s="21" t="str"/>
      <c r="B209" s="23" t="str"/>
      <c r="I209" s="2" t="str"/>
      <c r="J209" s="2" t="str"/>
      <c r="K209" s="2" t="str"/>
      <c r="L209" s="1" t="str"/>
      <c r="M209" s="2" t="str"/>
      <c r="N209" s="1" t="str"/>
      <c r="O209" s="1" t="str"/>
      <c r="P209" s="1" t="str"/>
      <c r="Q209" s="1">
        <f>IF(H209="Sí",1,0)</f>
        <v/>
      </c>
      <c r="R209" s="1">
        <f>IF(L209="En coordinación",1,0)</f>
        <v/>
      </c>
      <c r="T209">
        <f>IF(N209="Sí",1,0)</f>
        <v/>
      </c>
      <c r="U209">
        <f>IF(L209="Aceptada",1,0)</f>
        <v/>
      </c>
    </row>
    <row r="210">
      <c r="A210" s="21" t="str"/>
      <c r="B210" s="23" t="str"/>
      <c r="I210" s="2" t="str"/>
      <c r="J210" s="2" t="str"/>
      <c r="K210" s="2" t="str"/>
      <c r="L210" s="1" t="str"/>
      <c r="M210" s="2" t="str"/>
      <c r="N210" s="1" t="str"/>
      <c r="O210" s="1" t="str"/>
      <c r="P210" s="1" t="str"/>
      <c r="Q210" s="1">
        <f>IF(H210="Sí",1,0)</f>
        <v/>
      </c>
      <c r="R210" s="1">
        <f>IF(L210="En coordinación",1,0)</f>
        <v/>
      </c>
      <c r="T210">
        <f>IF(N210="Sí",1,0)</f>
        <v/>
      </c>
      <c r="U210">
        <f>IF(L210="Aceptada",1,0)</f>
        <v/>
      </c>
    </row>
    <row r="211">
      <c r="A211" s="21" t="str"/>
      <c r="B211" s="23" t="str"/>
      <c r="I211" s="2" t="str"/>
      <c r="J211" s="2" t="str"/>
      <c r="K211" s="2" t="str"/>
      <c r="L211" s="1" t="str"/>
      <c r="M211" s="2" t="str"/>
      <c r="N211" s="1" t="str"/>
      <c r="O211" s="1" t="str"/>
      <c r="P211" s="1" t="str"/>
      <c r="Q211" s="1">
        <f>IF(H211="Sí",1,0)</f>
        <v/>
      </c>
      <c r="R211" s="1">
        <f>IF(L211="En coordinación",1,0)</f>
        <v/>
      </c>
      <c r="T211">
        <f>IF(N211="Sí",1,0)</f>
        <v/>
      </c>
      <c r="U211">
        <f>IF(L211="Aceptada",1,0)</f>
        <v/>
      </c>
    </row>
    <row r="212">
      <c r="A212" s="21" t="str"/>
      <c r="B212" s="23" t="str"/>
      <c r="I212" s="2" t="str"/>
      <c r="J212" s="2" t="str"/>
      <c r="K212" s="2" t="str"/>
      <c r="L212" s="1" t="str"/>
      <c r="M212" s="2" t="str"/>
      <c r="N212" s="1" t="str"/>
      <c r="O212" s="1" t="str"/>
      <c r="P212" s="1" t="str"/>
      <c r="Q212" s="1">
        <f>IF(H212="Sí",1,0)</f>
        <v/>
      </c>
      <c r="R212" s="1">
        <f>IF(L212="En coordinación",1,0)</f>
        <v/>
      </c>
      <c r="T212">
        <f>IF(N212="Sí",1,0)</f>
        <v/>
      </c>
      <c r="U212">
        <f>IF(L212="Aceptada",1,0)</f>
        <v/>
      </c>
    </row>
    <row r="213">
      <c r="A213" s="21" t="str"/>
      <c r="B213" s="23" t="str"/>
      <c r="I213" s="2" t="str"/>
      <c r="J213" s="2" t="str"/>
      <c r="K213" s="2" t="str"/>
      <c r="L213" s="1" t="str"/>
      <c r="M213" s="2" t="str"/>
      <c r="N213" s="1" t="str"/>
      <c r="O213" s="1" t="str"/>
      <c r="P213" s="1" t="str"/>
      <c r="Q213" s="1">
        <f>IF(H213="Sí",1,0)</f>
        <v/>
      </c>
      <c r="R213" s="1">
        <f>IF(L213="En coordinación",1,0)</f>
        <v/>
      </c>
      <c r="T213">
        <f>IF(N213="Sí",1,0)</f>
        <v/>
      </c>
      <c r="U213">
        <f>IF(L213="Aceptada",1,0)</f>
        <v/>
      </c>
    </row>
    <row r="214">
      <c r="A214" s="21" t="str"/>
      <c r="B214" s="23" t="str"/>
      <c r="I214" s="2" t="str"/>
      <c r="J214" s="2" t="str"/>
      <c r="K214" s="2" t="str"/>
      <c r="L214" s="1" t="str"/>
      <c r="M214" s="2" t="str"/>
      <c r="N214" s="1" t="str"/>
      <c r="O214" s="1" t="str"/>
      <c r="P214" s="1" t="str"/>
      <c r="Q214" s="1">
        <f>IF(H214="Sí",1,0)</f>
        <v/>
      </c>
      <c r="R214" s="1">
        <f>IF(L214="En coordinación",1,0)</f>
        <v/>
      </c>
      <c r="T214">
        <f>IF(N214="Sí",1,0)</f>
        <v/>
      </c>
      <c r="U214">
        <f>IF(L214="Aceptada",1,0)</f>
        <v/>
      </c>
    </row>
    <row r="215">
      <c r="A215" s="21" t="str"/>
      <c r="B215" s="23" t="str"/>
      <c r="I215" s="2" t="str"/>
      <c r="J215" s="2" t="str"/>
      <c r="K215" s="2" t="str"/>
      <c r="L215" s="1" t="str"/>
      <c r="M215" s="2" t="str"/>
      <c r="N215" s="1" t="str"/>
      <c r="O215" s="1" t="str"/>
      <c r="P215" s="1" t="str"/>
      <c r="Q215" s="1">
        <f>IF(H215="Sí",1,0)</f>
        <v/>
      </c>
      <c r="R215" s="1">
        <f>IF(L215="En coordinación",1,0)</f>
        <v/>
      </c>
      <c r="T215">
        <f>IF(N215="Sí",1,0)</f>
        <v/>
      </c>
      <c r="U215">
        <f>IF(L215="Aceptada",1,0)</f>
        <v/>
      </c>
    </row>
    <row r="216">
      <c r="A216" s="21" t="str"/>
      <c r="B216" s="23" t="str"/>
      <c r="I216" s="2" t="str"/>
      <c r="J216" s="2" t="str"/>
      <c r="K216" s="2" t="str"/>
      <c r="L216" s="1" t="str"/>
      <c r="M216" s="2" t="str"/>
      <c r="N216" s="1" t="str"/>
      <c r="O216" s="1" t="str"/>
      <c r="P216" s="1" t="str"/>
      <c r="Q216" s="1">
        <f>IF(H216="Sí",1,0)</f>
        <v/>
      </c>
      <c r="R216" s="1">
        <f>IF(L216="En coordinación",1,0)</f>
        <v/>
      </c>
      <c r="T216">
        <f>IF(N216="Sí",1,0)</f>
        <v/>
      </c>
      <c r="U216">
        <f>IF(L216="Aceptada",1,0)</f>
        <v/>
      </c>
    </row>
    <row r="217">
      <c r="A217" s="21" t="str"/>
      <c r="B217" s="23" t="str"/>
      <c r="I217" s="2" t="str"/>
      <c r="J217" s="2" t="str"/>
      <c r="K217" s="2" t="str"/>
      <c r="L217" s="1" t="str"/>
      <c r="M217" s="2" t="str"/>
      <c r="N217" s="1" t="str"/>
      <c r="O217" s="1" t="str"/>
      <c r="P217" s="1" t="str"/>
      <c r="Q217" s="1">
        <f>IF(H217="Sí",1,0)</f>
        <v/>
      </c>
      <c r="R217" s="1">
        <f>IF(L217="En coordinación",1,0)</f>
        <v/>
      </c>
      <c r="T217">
        <f>IF(N217="Sí",1,0)</f>
        <v/>
      </c>
      <c r="U217">
        <f>IF(L217="Aceptada",1,0)</f>
        <v/>
      </c>
    </row>
    <row r="218">
      <c r="A218" s="21" t="str"/>
      <c r="B218" s="23" t="str"/>
      <c r="I218" s="2" t="str"/>
      <c r="J218" s="2" t="str"/>
      <c r="K218" s="2" t="str"/>
      <c r="L218" s="1" t="str"/>
      <c r="M218" s="2" t="str"/>
      <c r="N218" s="1" t="str"/>
      <c r="O218" s="1" t="str"/>
      <c r="P218" s="1" t="str"/>
      <c r="Q218" s="1">
        <f>IF(H218="Sí",1,0)</f>
        <v/>
      </c>
      <c r="R218" s="1">
        <f>IF(L218="En coordinación",1,0)</f>
        <v/>
      </c>
      <c r="T218">
        <f>IF(N218="Sí",1,0)</f>
        <v/>
      </c>
      <c r="U218">
        <f>IF(L218="Aceptada",1,0)</f>
        <v/>
      </c>
    </row>
    <row r="219">
      <c r="A219" s="21" t="str"/>
      <c r="B219" s="23" t="str"/>
      <c r="I219" s="2" t="str"/>
      <c r="J219" s="2" t="str"/>
      <c r="K219" s="2" t="str"/>
      <c r="L219" s="1" t="str"/>
      <c r="M219" s="2" t="str"/>
      <c r="N219" s="1" t="str"/>
      <c r="O219" s="1" t="str"/>
      <c r="P219" s="1" t="str"/>
      <c r="Q219" s="1">
        <f>IF(H219="Sí",1,0)</f>
        <v/>
      </c>
      <c r="R219" s="1">
        <f>IF(L219="En coordinación",1,0)</f>
        <v/>
      </c>
      <c r="T219">
        <f>IF(N219="Sí",1,0)</f>
        <v/>
      </c>
      <c r="U219">
        <f>IF(L219="Aceptada",1,0)</f>
        <v/>
      </c>
    </row>
    <row r="220">
      <c r="A220" s="21" t="str"/>
      <c r="B220" s="23" t="str"/>
      <c r="I220" s="2" t="str"/>
      <c r="J220" s="2" t="str"/>
      <c r="K220" s="2" t="str"/>
      <c r="L220" s="1" t="str"/>
      <c r="M220" s="2" t="str"/>
      <c r="N220" s="1" t="str"/>
      <c r="O220" s="1" t="str"/>
      <c r="P220" s="1" t="str"/>
      <c r="Q220" s="1">
        <f>IF(H220="Sí",1,0)</f>
        <v/>
      </c>
      <c r="R220" s="1">
        <f>IF(L220="En coordinación",1,0)</f>
        <v/>
      </c>
      <c r="T220">
        <f>IF(N220="Sí",1,0)</f>
        <v/>
      </c>
      <c r="U220">
        <f>IF(L220="Aceptada",1,0)</f>
        <v/>
      </c>
    </row>
    <row r="221">
      <c r="A221" s="21" t="str"/>
      <c r="B221" s="23" t="str"/>
      <c r="I221" s="2" t="str"/>
      <c r="J221" s="2" t="str"/>
      <c r="K221" s="2" t="str"/>
      <c r="L221" s="1" t="str"/>
      <c r="M221" s="2" t="str"/>
      <c r="N221" s="1" t="str"/>
      <c r="O221" s="1" t="str"/>
      <c r="P221" s="1" t="str"/>
      <c r="Q221" s="1">
        <f>IF(H221="Sí",1,0)</f>
        <v/>
      </c>
      <c r="R221" s="1">
        <f>IF(L221="En coordinación",1,0)</f>
        <v/>
      </c>
      <c r="T221">
        <f>IF(N221="Sí",1,0)</f>
        <v/>
      </c>
      <c r="U221">
        <f>IF(L221="Aceptada",1,0)</f>
        <v/>
      </c>
    </row>
    <row r="222">
      <c r="A222" s="21" t="str"/>
      <c r="B222" s="23" t="str"/>
      <c r="I222" s="2" t="str"/>
      <c r="J222" s="2" t="str"/>
      <c r="K222" s="2" t="str"/>
      <c r="L222" s="1" t="str"/>
      <c r="M222" s="2" t="str"/>
      <c r="N222" s="1" t="str"/>
      <c r="O222" s="1" t="str"/>
      <c r="P222" s="1" t="str"/>
      <c r="Q222" s="1">
        <f>IF(H222="Sí",1,0)</f>
        <v/>
      </c>
      <c r="R222" s="1">
        <f>IF(L222="En coordinación",1,0)</f>
        <v/>
      </c>
      <c r="T222">
        <f>IF(N222="Sí",1,0)</f>
        <v/>
      </c>
      <c r="U222">
        <f>IF(L222="Aceptada",1,0)</f>
        <v/>
      </c>
    </row>
    <row r="223">
      <c r="A223" s="21" t="str"/>
      <c r="B223" s="23" t="str"/>
      <c r="I223" s="2" t="str"/>
      <c r="J223" s="2" t="str"/>
      <c r="K223" s="2" t="str"/>
      <c r="L223" s="1" t="str"/>
      <c r="M223" s="2" t="str"/>
      <c r="N223" s="1" t="str"/>
      <c r="O223" s="1" t="str"/>
      <c r="P223" s="1" t="str"/>
      <c r="Q223" s="1">
        <f>IF(H223="Sí",1,0)</f>
        <v/>
      </c>
      <c r="R223" s="1">
        <f>IF(L223="En coordinación",1,0)</f>
        <v/>
      </c>
      <c r="T223">
        <f>IF(N223="Sí",1,0)</f>
        <v/>
      </c>
      <c r="U223">
        <f>IF(L223="Aceptada",1,0)</f>
        <v/>
      </c>
    </row>
    <row r="224">
      <c r="A224" s="21" t="str"/>
      <c r="B224" s="23" t="str"/>
      <c r="I224" s="2" t="str"/>
      <c r="J224" s="2" t="str"/>
      <c r="K224" s="2" t="str"/>
      <c r="L224" s="1" t="str"/>
      <c r="M224" s="2" t="str"/>
      <c r="N224" s="1" t="str"/>
      <c r="O224" s="1" t="str"/>
      <c r="P224" s="1" t="str"/>
      <c r="Q224" s="1">
        <f>IF(H224="Sí",1,0)</f>
        <v/>
      </c>
      <c r="R224" s="1">
        <f>IF(L224="En coordinación",1,0)</f>
        <v/>
      </c>
      <c r="T224">
        <f>IF(N224="Sí",1,0)</f>
        <v/>
      </c>
      <c r="U224">
        <f>IF(L224="Aceptada",1,0)</f>
        <v/>
      </c>
    </row>
    <row r="225">
      <c r="A225" s="21" t="str"/>
      <c r="B225" s="23" t="str"/>
      <c r="I225" s="2" t="str"/>
      <c r="J225" s="2" t="str"/>
      <c r="K225" s="2" t="str"/>
      <c r="L225" s="1" t="str"/>
      <c r="M225" s="2" t="str"/>
      <c r="N225" s="1" t="str"/>
      <c r="O225" s="1" t="str"/>
      <c r="P225" s="1" t="str"/>
      <c r="Q225" s="1">
        <f>IF(H225="Sí",1,0)</f>
        <v/>
      </c>
      <c r="R225" s="1">
        <f>IF(L225="En coordinación",1,0)</f>
        <v/>
      </c>
      <c r="T225">
        <f>IF(N225="Sí",1,0)</f>
        <v/>
      </c>
      <c r="U225">
        <f>IF(L225="Aceptada",1,0)</f>
        <v/>
      </c>
    </row>
    <row r="226">
      <c r="A226" s="21" t="str"/>
      <c r="B226" s="23" t="str"/>
      <c r="I226" s="2" t="str"/>
      <c r="J226" s="2" t="str"/>
      <c r="K226" s="2" t="str"/>
      <c r="L226" s="1" t="str"/>
      <c r="M226" s="2" t="str"/>
      <c r="N226" s="1" t="str"/>
      <c r="O226" s="1" t="str"/>
      <c r="P226" s="1" t="str"/>
      <c r="Q226" s="1">
        <f>IF(H226="Sí",1,0)</f>
        <v/>
      </c>
      <c r="R226" s="1">
        <f>IF(L226="En coordinación",1,0)</f>
        <v/>
      </c>
      <c r="T226">
        <f>IF(N226="Sí",1,0)</f>
        <v/>
      </c>
      <c r="U226">
        <f>IF(L226="Aceptada",1,0)</f>
        <v/>
      </c>
    </row>
    <row r="227">
      <c r="A227" s="21" t="str"/>
      <c r="B227" s="23" t="str"/>
      <c r="I227" s="2" t="str"/>
      <c r="J227" s="2" t="str"/>
      <c r="K227" s="2" t="str"/>
      <c r="L227" s="1" t="str"/>
      <c r="M227" s="2" t="str"/>
      <c r="N227" s="1" t="str"/>
      <c r="O227" s="1" t="str"/>
      <c r="P227" s="1" t="str"/>
      <c r="Q227" s="1">
        <f>IF(H227="Sí",1,0)</f>
        <v/>
      </c>
      <c r="R227" s="1">
        <f>IF(L227="En coordinación",1,0)</f>
        <v/>
      </c>
      <c r="T227">
        <f>IF(N227="Sí",1,0)</f>
        <v/>
      </c>
      <c r="U227">
        <f>IF(L227="Aceptada",1,0)</f>
        <v/>
      </c>
    </row>
    <row r="228">
      <c r="A228" s="21" t="str"/>
      <c r="B228" s="23" t="str"/>
      <c r="I228" s="2" t="str"/>
      <c r="J228" s="2" t="str"/>
      <c r="K228" s="2" t="str"/>
      <c r="L228" s="1" t="str"/>
      <c r="M228" s="2" t="str"/>
      <c r="N228" s="1" t="str"/>
      <c r="O228" s="1" t="str"/>
      <c r="P228" s="1" t="str"/>
      <c r="Q228" s="1">
        <f>IF(H228="Sí",1,0)</f>
        <v/>
      </c>
      <c r="R228" s="1">
        <f>IF(L228="En coordinación",1,0)</f>
        <v/>
      </c>
      <c r="T228">
        <f>IF(N228="Sí",1,0)</f>
        <v/>
      </c>
      <c r="U228">
        <f>IF(L228="Aceptada",1,0)</f>
        <v/>
      </c>
    </row>
    <row r="229">
      <c r="A229" s="21" t="str"/>
      <c r="B229" s="23" t="str"/>
      <c r="I229" s="2" t="str"/>
      <c r="J229" s="2" t="str"/>
      <c r="K229" s="2" t="str"/>
      <c r="L229" s="1" t="str"/>
      <c r="M229" s="2" t="str"/>
      <c r="N229" s="1" t="str"/>
      <c r="O229" s="1" t="str"/>
      <c r="P229" s="1" t="str"/>
      <c r="Q229" s="1">
        <f>IF(H229="Sí",1,0)</f>
        <v/>
      </c>
      <c r="R229" s="1">
        <f>IF(L229="En coordinación",1,0)</f>
        <v/>
      </c>
      <c r="T229">
        <f>IF(N229="Sí",1,0)</f>
        <v/>
      </c>
      <c r="U229">
        <f>IF(L229="Aceptada",1,0)</f>
        <v/>
      </c>
    </row>
    <row r="230">
      <c r="A230" s="21" t="str"/>
      <c r="B230" s="23" t="str"/>
      <c r="I230" s="2" t="str"/>
      <c r="J230" s="2" t="str"/>
      <c r="K230" s="2" t="str"/>
      <c r="L230" s="1" t="str"/>
      <c r="M230" s="2" t="str"/>
      <c r="N230" s="1" t="str"/>
      <c r="O230" s="1" t="str"/>
      <c r="P230" s="1" t="str"/>
      <c r="Q230" s="1">
        <f>IF(H230="Sí",1,0)</f>
        <v/>
      </c>
      <c r="R230" s="1">
        <f>IF(L230="En coordinación",1,0)</f>
        <v/>
      </c>
      <c r="T230">
        <f>IF(N230="Sí",1,0)</f>
        <v/>
      </c>
      <c r="U230">
        <f>IF(L230="Aceptada",1,0)</f>
        <v/>
      </c>
    </row>
    <row r="231">
      <c r="A231" s="21" t="str"/>
      <c r="B231" s="23" t="str"/>
      <c r="I231" s="2" t="str"/>
      <c r="J231" s="2" t="str"/>
      <c r="K231" s="2" t="str"/>
      <c r="L231" s="1" t="str"/>
      <c r="M231" s="2" t="str"/>
      <c r="N231" s="1" t="str"/>
      <c r="O231" s="1" t="str"/>
      <c r="P231" s="1" t="str"/>
      <c r="Q231" s="1">
        <f>IF(H231="Sí",1,0)</f>
        <v/>
      </c>
      <c r="R231" s="1">
        <f>IF(L231="En coordinación",1,0)</f>
        <v/>
      </c>
      <c r="T231">
        <f>IF(N231="Sí",1,0)</f>
        <v/>
      </c>
      <c r="U231">
        <f>IF(L231="Aceptada",1,0)</f>
        <v/>
      </c>
    </row>
    <row r="232">
      <c r="A232" s="21" t="str"/>
      <c r="B232" s="23" t="str"/>
      <c r="I232" s="2" t="str"/>
      <c r="J232" s="2" t="str"/>
      <c r="K232" s="2" t="str"/>
      <c r="L232" s="1" t="str"/>
      <c r="M232" s="2" t="str"/>
      <c r="N232" s="1" t="str"/>
      <c r="O232" s="1" t="str"/>
      <c r="P232" s="1" t="str"/>
      <c r="Q232" s="1">
        <f>IF(H232="Sí",1,0)</f>
        <v/>
      </c>
      <c r="R232" s="1">
        <f>IF(L232="En coordinación",1,0)</f>
        <v/>
      </c>
      <c r="T232">
        <f>IF(N232="Sí",1,0)</f>
        <v/>
      </c>
      <c r="U232">
        <f>IF(L232="Aceptada",1,0)</f>
        <v/>
      </c>
    </row>
    <row r="233">
      <c r="A233" s="21" t="str"/>
      <c r="B233" s="23" t="str"/>
      <c r="I233" s="2" t="str"/>
      <c r="J233" s="2" t="str"/>
      <c r="K233" s="2" t="str"/>
      <c r="L233" s="1" t="str"/>
      <c r="M233" s="2" t="str"/>
      <c r="N233" s="1" t="str"/>
      <c r="O233" s="1" t="str"/>
      <c r="P233" s="1" t="str"/>
      <c r="Q233" s="1">
        <f>IF(H233="Sí",1,0)</f>
        <v/>
      </c>
      <c r="R233" s="1">
        <f>IF(L233="En coordinación",1,0)</f>
        <v/>
      </c>
      <c r="T233">
        <f>IF(N233="Sí",1,0)</f>
        <v/>
      </c>
      <c r="U233">
        <f>IF(L233="Aceptada",1,0)</f>
        <v/>
      </c>
    </row>
    <row r="234">
      <c r="A234" s="21" t="str"/>
      <c r="B234" s="23" t="str"/>
      <c r="I234" s="2" t="str"/>
      <c r="J234" s="2" t="str"/>
      <c r="K234" s="2" t="str"/>
      <c r="L234" s="1" t="str"/>
      <c r="M234" s="2" t="str"/>
      <c r="N234" s="1" t="str"/>
      <c r="O234" s="1" t="str"/>
      <c r="P234" s="1" t="str"/>
      <c r="Q234" s="1">
        <f>IF(H234="Sí",1,0)</f>
        <v/>
      </c>
      <c r="R234" s="1">
        <f>IF(L234="En coordinación",1,0)</f>
        <v/>
      </c>
      <c r="T234">
        <f>IF(N234="Sí",1,0)</f>
        <v/>
      </c>
      <c r="U234">
        <f>IF(L234="Aceptada",1,0)</f>
        <v/>
      </c>
    </row>
    <row r="235">
      <c r="A235" s="21" t="str"/>
      <c r="B235" s="23" t="str"/>
      <c r="I235" s="2" t="str"/>
      <c r="J235" s="2" t="str"/>
      <c r="K235" s="2" t="str"/>
      <c r="L235" s="1" t="str"/>
      <c r="M235" s="2" t="str"/>
      <c r="N235" s="1" t="str"/>
      <c r="O235" s="1" t="str"/>
      <c r="P235" s="1" t="str"/>
      <c r="Q235" s="1">
        <f>IF(H235="Sí",1,0)</f>
        <v/>
      </c>
      <c r="R235" s="1">
        <f>IF(L235="En coordinación",1,0)</f>
        <v/>
      </c>
      <c r="T235">
        <f>IF(N235="Sí",1,0)</f>
        <v/>
      </c>
      <c r="U235">
        <f>IF(L235="Aceptada",1,0)</f>
        <v/>
      </c>
    </row>
    <row r="236">
      <c r="A236" s="21" t="str"/>
      <c r="B236" s="23" t="str"/>
      <c r="I236" s="2" t="str"/>
      <c r="J236" s="2" t="str"/>
      <c r="K236" s="2" t="str"/>
      <c r="L236" s="1" t="str"/>
      <c r="M236" s="2" t="str"/>
      <c r="N236" s="1" t="str"/>
      <c r="O236" s="1" t="str"/>
      <c r="P236" s="1" t="str"/>
      <c r="Q236" s="1">
        <f>IF(H236="Sí",1,0)</f>
        <v/>
      </c>
      <c r="R236" s="1">
        <f>IF(L236="En coordinación",1,0)</f>
        <v/>
      </c>
      <c r="T236">
        <f>IF(N236="Sí",1,0)</f>
        <v/>
      </c>
      <c r="U236">
        <f>IF(L236="Aceptada",1,0)</f>
        <v/>
      </c>
    </row>
    <row r="237">
      <c r="A237" s="21" t="str"/>
      <c r="B237" s="23" t="str"/>
      <c r="I237" s="2" t="str"/>
      <c r="J237" s="2" t="str"/>
      <c r="K237" s="2" t="str"/>
      <c r="L237" s="1" t="str"/>
      <c r="M237" s="2" t="str"/>
      <c r="N237" s="1" t="str"/>
      <c r="O237" s="1" t="str"/>
      <c r="P237" s="1" t="str"/>
      <c r="Q237" s="1">
        <f>IF(H237="Sí",1,0)</f>
        <v/>
      </c>
      <c r="R237" s="1">
        <f>IF(L237="En coordinación",1,0)</f>
        <v/>
      </c>
      <c r="T237">
        <f>IF(N237="Sí",1,0)</f>
        <v/>
      </c>
      <c r="U237">
        <f>IF(L237="Aceptada",1,0)</f>
        <v/>
      </c>
    </row>
    <row r="238">
      <c r="A238" s="21" t="str"/>
      <c r="B238" s="23" t="str"/>
      <c r="I238" s="2" t="str"/>
      <c r="J238" s="2" t="str"/>
      <c r="K238" s="2" t="str"/>
      <c r="L238" s="1" t="str"/>
      <c r="M238" s="2" t="str"/>
      <c r="N238" s="1" t="str"/>
      <c r="O238" s="1" t="str"/>
      <c r="P238" s="1" t="str"/>
      <c r="Q238" s="1">
        <f>IF(H238="Sí",1,0)</f>
        <v/>
      </c>
      <c r="R238" s="1">
        <f>IF(L238="En coordinación",1,0)</f>
        <v/>
      </c>
      <c r="T238">
        <f>IF(N238="Sí",1,0)</f>
        <v/>
      </c>
      <c r="U238">
        <f>IF(L238="Aceptada",1,0)</f>
        <v/>
      </c>
    </row>
    <row r="239">
      <c r="A239" s="21" t="str"/>
      <c r="B239" s="23" t="str"/>
      <c r="I239" s="2" t="str"/>
      <c r="J239" s="2" t="str"/>
      <c r="K239" s="2" t="str"/>
      <c r="L239" s="1" t="str"/>
      <c r="M239" s="2" t="str"/>
      <c r="N239" s="1" t="str"/>
      <c r="O239" s="1" t="str"/>
      <c r="P239" s="1" t="str"/>
      <c r="Q239" s="1">
        <f>IF(H239="Sí",1,0)</f>
        <v/>
      </c>
      <c r="R239" s="1">
        <f>IF(L239="En coordinación",1,0)</f>
        <v/>
      </c>
      <c r="T239">
        <f>IF(N239="Sí",1,0)</f>
        <v/>
      </c>
      <c r="U239">
        <f>IF(L239="Aceptada",1,0)</f>
        <v/>
      </c>
    </row>
    <row r="240">
      <c r="A240" s="21" t="str"/>
      <c r="B240" s="23" t="str"/>
      <c r="I240" s="2" t="str"/>
      <c r="J240" s="2" t="str"/>
      <c r="K240" s="2" t="str"/>
      <c r="L240" s="1" t="str"/>
      <c r="M240" s="2" t="str"/>
      <c r="N240" s="1" t="str"/>
      <c r="O240" s="1" t="str"/>
      <c r="P240" s="1" t="str"/>
      <c r="Q240" s="1">
        <f>IF(H240="Sí",1,0)</f>
        <v/>
      </c>
      <c r="R240" s="1">
        <f>IF(L240="En coordinación",1,0)</f>
        <v/>
      </c>
      <c r="T240">
        <f>IF(N240="Sí",1,0)</f>
        <v/>
      </c>
      <c r="U240">
        <f>IF(L240="Aceptada",1,0)</f>
        <v/>
      </c>
    </row>
    <row r="241">
      <c r="A241" s="21" t="str"/>
      <c r="B241" s="23" t="str"/>
      <c r="I241" s="2" t="str"/>
      <c r="J241" s="2" t="str"/>
      <c r="K241" s="2" t="str"/>
      <c r="L241" s="1" t="str"/>
      <c r="M241" s="2" t="str"/>
      <c r="N241" s="1" t="str"/>
      <c r="O241" s="1" t="str"/>
      <c r="P241" s="1" t="str"/>
      <c r="Q241" s="1">
        <f>IF(H241="Sí",1,0)</f>
        <v/>
      </c>
      <c r="R241" s="1">
        <f>IF(L241="En coordinación",1,0)</f>
        <v/>
      </c>
      <c r="T241">
        <f>IF(N241="Sí",1,0)</f>
        <v/>
      </c>
      <c r="U241">
        <f>IF(L241="Aceptada",1,0)</f>
        <v/>
      </c>
    </row>
    <row r="242">
      <c r="A242" s="21" t="str"/>
      <c r="B242" s="23" t="str"/>
      <c r="I242" s="2" t="str"/>
      <c r="J242" s="2" t="str"/>
      <c r="K242" s="2" t="str"/>
      <c r="L242" s="1" t="str"/>
      <c r="M242" s="2" t="str"/>
      <c r="N242" s="1" t="str"/>
      <c r="O242" s="1" t="str"/>
      <c r="P242" s="1" t="str"/>
      <c r="Q242" s="1">
        <f>IF(H242="Sí",1,0)</f>
        <v/>
      </c>
      <c r="R242" s="1">
        <f>IF(L242="En coordinación",1,0)</f>
        <v/>
      </c>
      <c r="T242">
        <f>IF(N242="Sí",1,0)</f>
        <v/>
      </c>
      <c r="U242">
        <f>IF(L242="Aceptada",1,0)</f>
        <v/>
      </c>
    </row>
    <row r="243">
      <c r="A243" s="21" t="str"/>
      <c r="B243" s="23" t="str"/>
      <c r="I243" s="2" t="str"/>
      <c r="J243" s="2" t="str"/>
      <c r="K243" s="2" t="str"/>
      <c r="L243" s="1" t="str"/>
      <c r="M243" s="2" t="str"/>
      <c r="N243" s="1" t="str"/>
      <c r="O243" s="1" t="str"/>
      <c r="P243" s="1" t="str"/>
      <c r="Q243" s="1">
        <f>IF(H243="Sí",1,0)</f>
        <v/>
      </c>
      <c r="R243" s="1">
        <f>IF(L243="En coordinación",1,0)</f>
        <v/>
      </c>
      <c r="T243">
        <f>IF(N243="Sí",1,0)</f>
        <v/>
      </c>
      <c r="U243">
        <f>IF(L243="Aceptada",1,0)</f>
        <v/>
      </c>
    </row>
    <row r="244">
      <c r="A244" s="21" t="str"/>
      <c r="B244" s="23" t="str"/>
      <c r="I244" s="2" t="str"/>
      <c r="J244" s="2" t="str"/>
      <c r="K244" s="2" t="str"/>
      <c r="L244" s="1" t="str"/>
      <c r="M244" s="2" t="str"/>
      <c r="N244" s="1" t="str"/>
      <c r="O244" s="1" t="str"/>
      <c r="P244" s="1" t="str"/>
      <c r="Q244" s="1">
        <f>IF(H244="Sí",1,0)</f>
        <v/>
      </c>
      <c r="R244" s="1">
        <f>IF(L244="En coordinación",1,0)</f>
        <v/>
      </c>
      <c r="T244">
        <f>IF(N244="Sí",1,0)</f>
        <v/>
      </c>
      <c r="U244">
        <f>IF(L244="Aceptada",1,0)</f>
        <v/>
      </c>
    </row>
    <row r="245">
      <c r="A245" s="21" t="str"/>
      <c r="B245" s="23" t="str"/>
      <c r="I245" s="2" t="str"/>
      <c r="J245" s="2" t="str"/>
      <c r="K245" s="2" t="str"/>
      <c r="L245" s="1" t="str"/>
      <c r="M245" s="2" t="str"/>
      <c r="N245" s="1" t="str"/>
      <c r="O245" s="1" t="str"/>
      <c r="P245" s="1" t="str"/>
      <c r="Q245" s="1">
        <f>IF(H245="Sí",1,0)</f>
        <v/>
      </c>
      <c r="R245" s="1">
        <f>IF(L245="En coordinación",1,0)</f>
        <v/>
      </c>
      <c r="T245">
        <f>IF(N245="Sí",1,0)</f>
        <v/>
      </c>
      <c r="U245">
        <f>IF(L245="Aceptada",1,0)</f>
        <v/>
      </c>
    </row>
    <row r="246">
      <c r="A246" s="21" t="str"/>
      <c r="B246" s="23" t="str"/>
      <c r="I246" s="2" t="str"/>
      <c r="J246" s="2" t="str"/>
      <c r="K246" s="2" t="str"/>
      <c r="L246" s="1" t="str"/>
      <c r="M246" s="2" t="str"/>
      <c r="N246" s="1" t="str"/>
      <c r="O246" s="1" t="str"/>
      <c r="P246" s="1" t="str"/>
      <c r="Q246" s="1">
        <f>IF(H246="Sí",1,0)</f>
        <v/>
      </c>
      <c r="R246" s="1">
        <f>IF(L246="En coordinación",1,0)</f>
        <v/>
      </c>
      <c r="T246">
        <f>IF(N246="Sí",1,0)</f>
        <v/>
      </c>
      <c r="U246">
        <f>IF(L246="Aceptada",1,0)</f>
        <v/>
      </c>
    </row>
    <row r="247">
      <c r="A247" s="21" t="str"/>
      <c r="B247" s="23" t="str"/>
      <c r="I247" s="2" t="str"/>
      <c r="J247" s="2" t="str"/>
      <c r="K247" s="2" t="str"/>
      <c r="L247" s="1" t="str"/>
      <c r="M247" s="2" t="str"/>
      <c r="N247" s="1" t="str"/>
      <c r="O247" s="1" t="str"/>
      <c r="P247" s="1" t="str"/>
      <c r="Q247" s="1">
        <f>IF(H247="Sí",1,0)</f>
        <v/>
      </c>
      <c r="R247" s="1">
        <f>IF(L247="En coordinación",1,0)</f>
        <v/>
      </c>
      <c r="T247">
        <f>IF(N247="Sí",1,0)</f>
        <v/>
      </c>
      <c r="U247">
        <f>IF(L247="Aceptada",1,0)</f>
        <v/>
      </c>
    </row>
    <row r="248">
      <c r="A248" s="21" t="str"/>
      <c r="B248" s="23" t="str"/>
      <c r="I248" s="2" t="str"/>
      <c r="J248" s="2" t="str"/>
      <c r="K248" s="2" t="str"/>
      <c r="L248" s="1" t="str"/>
      <c r="M248" s="2" t="str"/>
      <c r="N248" s="1" t="str"/>
      <c r="O248" s="1" t="str"/>
      <c r="P248" s="1" t="str"/>
      <c r="Q248" s="1">
        <f>IF(H248="Sí",1,0)</f>
        <v/>
      </c>
      <c r="R248" s="1">
        <f>IF(L248="En coordinación",1,0)</f>
        <v/>
      </c>
      <c r="T248">
        <f>IF(N248="Sí",1,0)</f>
        <v/>
      </c>
      <c r="U248">
        <f>IF(L248="Aceptada",1,0)</f>
        <v/>
      </c>
    </row>
    <row r="249">
      <c r="A249" s="21" t="str"/>
      <c r="B249" s="23" t="str"/>
      <c r="I249" s="2" t="str"/>
      <c r="J249" s="2" t="str"/>
      <c r="K249" s="2" t="str"/>
      <c r="L249" s="1" t="str"/>
      <c r="M249" s="2" t="str"/>
      <c r="N249" s="1" t="str"/>
      <c r="O249" s="1" t="str"/>
      <c r="P249" s="1" t="str"/>
      <c r="Q249" s="1">
        <f>IF(H249="Sí",1,0)</f>
        <v/>
      </c>
      <c r="R249" s="1">
        <f>IF(L249="En coordinación",1,0)</f>
        <v/>
      </c>
      <c r="T249">
        <f>IF(N249="Sí",1,0)</f>
        <v/>
      </c>
      <c r="U249">
        <f>IF(L249="Aceptada",1,0)</f>
        <v/>
      </c>
    </row>
    <row r="250">
      <c r="A250" s="21" t="str"/>
      <c r="B250" s="23" t="str"/>
      <c r="I250" s="2" t="str"/>
      <c r="J250" s="2" t="str"/>
      <c r="K250" s="2" t="str"/>
      <c r="L250" s="1" t="str"/>
      <c r="M250" s="2" t="str"/>
      <c r="N250" s="1" t="str"/>
      <c r="O250" s="1" t="str"/>
      <c r="P250" s="1" t="str"/>
      <c r="Q250" s="1">
        <f>IF(H250="Sí",1,0)</f>
        <v/>
      </c>
      <c r="R250" s="1">
        <f>IF(L250="En coordinación",1,0)</f>
        <v/>
      </c>
      <c r="T250">
        <f>IF(N250="Sí",1,0)</f>
        <v/>
      </c>
      <c r="U250">
        <f>IF(L250="Aceptada",1,0)</f>
        <v/>
      </c>
    </row>
    <row r="251">
      <c r="A251" s="21" t="str"/>
      <c r="B251" s="23" t="str"/>
      <c r="I251" s="2" t="str"/>
      <c r="J251" s="2" t="str"/>
      <c r="K251" s="2" t="str"/>
      <c r="L251" s="1" t="str"/>
      <c r="M251" s="2" t="str"/>
      <c r="N251" s="1" t="str"/>
      <c r="O251" s="1" t="str"/>
      <c r="P251" s="1" t="str"/>
      <c r="Q251" s="1">
        <f>IF(H251="Sí",1,0)</f>
        <v/>
      </c>
      <c r="R251" s="1">
        <f>IF(L251="En coordinación",1,0)</f>
        <v/>
      </c>
      <c r="T251">
        <f>IF(N251="Sí",1,0)</f>
        <v/>
      </c>
      <c r="U251">
        <f>IF(L251="Aceptada",1,0)</f>
        <v/>
      </c>
    </row>
    <row r="252">
      <c r="A252" s="21" t="str"/>
      <c r="B252" s="23" t="str"/>
      <c r="I252" s="2" t="str"/>
      <c r="J252" s="2" t="str"/>
      <c r="K252" s="2" t="str"/>
      <c r="L252" s="1" t="str"/>
      <c r="M252" s="2" t="str"/>
      <c r="N252" s="1" t="str"/>
      <c r="O252" s="1" t="str"/>
      <c r="P252" s="1" t="str"/>
      <c r="Q252" s="1">
        <f>IF(H252="Sí",1,0)</f>
        <v/>
      </c>
      <c r="R252" s="1">
        <f>IF(L252="En coordinación",1,0)</f>
        <v/>
      </c>
      <c r="T252">
        <f>IF(N252="Sí",1,0)</f>
        <v/>
      </c>
      <c r="U252">
        <f>IF(L252="Aceptada",1,0)</f>
        <v/>
      </c>
    </row>
    <row r="253">
      <c r="A253" s="21" t="str"/>
      <c r="B253" s="23" t="str"/>
      <c r="I253" s="2" t="str"/>
      <c r="J253" s="2" t="str"/>
      <c r="K253" s="2" t="str"/>
      <c r="L253" s="1" t="str"/>
      <c r="M253" s="2" t="str"/>
      <c r="N253" s="1" t="str"/>
      <c r="O253" s="1" t="str"/>
      <c r="P253" s="1" t="str"/>
      <c r="Q253" s="1">
        <f>IF(H253="Sí",1,0)</f>
        <v/>
      </c>
      <c r="R253" s="1">
        <f>IF(L253="En coordinación",1,0)</f>
        <v/>
      </c>
      <c r="T253">
        <f>IF(N253="Sí",1,0)</f>
        <v/>
      </c>
      <c r="U253">
        <f>IF(L253="Aceptada",1,0)</f>
        <v/>
      </c>
    </row>
    <row r="254">
      <c r="A254" s="21" t="str"/>
      <c r="B254" s="23" t="str"/>
      <c r="I254" s="2" t="str"/>
      <c r="J254" s="2" t="str"/>
      <c r="K254" s="2" t="str"/>
      <c r="L254" s="1" t="str"/>
      <c r="M254" s="2" t="str"/>
      <c r="N254" s="1" t="str"/>
      <c r="O254" s="1" t="str"/>
      <c r="P254" s="1" t="str"/>
      <c r="Q254" s="1">
        <f>IF(H254="Sí",1,0)</f>
        <v/>
      </c>
      <c r="R254" s="1">
        <f>IF(L254="En coordinación",1,0)</f>
        <v/>
      </c>
      <c r="T254">
        <f>IF(N254="Sí",1,0)</f>
        <v/>
      </c>
      <c r="U254">
        <f>IF(L254="Aceptada",1,0)</f>
        <v/>
      </c>
    </row>
    <row r="255">
      <c r="A255" s="21" t="str"/>
      <c r="B255" s="23" t="str"/>
      <c r="I255" s="2" t="str"/>
      <c r="J255" s="2" t="str"/>
      <c r="K255" s="2" t="str"/>
      <c r="L255" s="1" t="str"/>
      <c r="M255" s="2" t="str"/>
      <c r="N255" s="1" t="str"/>
      <c r="O255" s="1" t="str"/>
      <c r="P255" s="1" t="str"/>
      <c r="Q255" s="1">
        <f>IF(H255="Sí",1,0)</f>
        <v/>
      </c>
      <c r="R255" s="1">
        <f>IF(L255="En coordinación",1,0)</f>
        <v/>
      </c>
      <c r="T255">
        <f>IF(N255="Sí",1,0)</f>
        <v/>
      </c>
      <c r="U255">
        <f>IF(L255="Aceptada",1,0)</f>
        <v/>
      </c>
    </row>
    <row r="256">
      <c r="A256" s="21" t="str"/>
      <c r="B256" s="23" t="str"/>
      <c r="I256" s="2" t="str"/>
      <c r="J256" s="2" t="str"/>
      <c r="K256" s="2" t="str"/>
      <c r="L256" s="1" t="str"/>
      <c r="M256" s="2" t="str"/>
      <c r="N256" s="1" t="str"/>
      <c r="O256" s="1" t="str"/>
      <c r="P256" s="1" t="str"/>
      <c r="Q256" s="1">
        <f>IF(H256="Sí",1,0)</f>
        <v/>
      </c>
      <c r="R256" s="1">
        <f>IF(L256="En coordinación",1,0)</f>
        <v/>
      </c>
      <c r="T256">
        <f>IF(N256="Sí",1,0)</f>
        <v/>
      </c>
      <c r="U256">
        <f>IF(L256="Aceptada",1,0)</f>
        <v/>
      </c>
    </row>
    <row r="257">
      <c r="A257" s="21" t="str"/>
      <c r="B257" s="23" t="str"/>
      <c r="I257" s="2" t="str"/>
      <c r="J257" s="2" t="str"/>
      <c r="K257" s="2" t="str"/>
      <c r="L257" s="1" t="str"/>
      <c r="M257" s="2" t="str"/>
      <c r="N257" s="1" t="str"/>
      <c r="O257" s="1" t="str"/>
      <c r="P257" s="1" t="str"/>
      <c r="Q257" s="1">
        <f>IF(H257="Sí",1,0)</f>
        <v/>
      </c>
      <c r="R257" s="1">
        <f>IF(L257="En coordinación",1,0)</f>
        <v/>
      </c>
      <c r="T257">
        <f>IF(N257="Sí",1,0)</f>
        <v/>
      </c>
      <c r="U257">
        <f>IF(L257="Aceptada",1,0)</f>
        <v/>
      </c>
    </row>
    <row r="258">
      <c r="A258" s="21" t="str"/>
      <c r="B258" s="23" t="str"/>
      <c r="I258" s="2" t="str"/>
      <c r="J258" s="2" t="str"/>
      <c r="K258" s="2" t="str"/>
      <c r="L258" s="1" t="str"/>
      <c r="M258" s="2" t="str"/>
      <c r="N258" s="1" t="str"/>
      <c r="O258" s="1" t="str"/>
      <c r="P258" s="1" t="str"/>
      <c r="Q258" s="1">
        <f>IF(H258="Sí",1,0)</f>
        <v/>
      </c>
      <c r="R258" s="1">
        <f>IF(L258="En coordinación",1,0)</f>
        <v/>
      </c>
      <c r="T258">
        <f>IF(N258="Sí",1,0)</f>
        <v/>
      </c>
      <c r="U258">
        <f>IF(L258="Aceptada",1,0)</f>
        <v/>
      </c>
    </row>
    <row r="259">
      <c r="A259" s="21" t="str"/>
      <c r="B259" s="23" t="str"/>
      <c r="I259" s="2" t="str"/>
      <c r="J259" s="2" t="str"/>
      <c r="K259" s="2" t="str"/>
      <c r="L259" s="1" t="str"/>
      <c r="M259" s="2" t="str"/>
      <c r="N259" s="1" t="str"/>
      <c r="O259" s="1" t="str"/>
      <c r="P259" s="1" t="str"/>
      <c r="Q259" s="1">
        <f>IF(H259="Sí",1,0)</f>
        <v/>
      </c>
      <c r="R259" s="1">
        <f>IF(L259="En coordinación",1,0)</f>
        <v/>
      </c>
      <c r="T259">
        <f>IF(N259="Sí",1,0)</f>
        <v/>
      </c>
      <c r="U259">
        <f>IF(L259="Aceptada",1,0)</f>
        <v/>
      </c>
    </row>
    <row r="260">
      <c r="A260" s="21" t="str"/>
      <c r="B260" s="23" t="str"/>
      <c r="I260" s="2" t="str"/>
      <c r="J260" s="2" t="str"/>
      <c r="K260" s="2" t="str"/>
      <c r="L260" s="1" t="str"/>
      <c r="M260" s="2" t="str"/>
      <c r="N260" s="1" t="str"/>
      <c r="O260" s="1" t="str"/>
      <c r="P260" s="1" t="str"/>
      <c r="Q260" s="1">
        <f>IF(H260="Sí",1,0)</f>
        <v/>
      </c>
      <c r="R260" s="1">
        <f>IF(L260="En coordinación",1,0)</f>
        <v/>
      </c>
      <c r="T260">
        <f>IF(N260="Sí",1,0)</f>
        <v/>
      </c>
      <c r="U260">
        <f>IF(L260="Aceptada",1,0)</f>
        <v/>
      </c>
    </row>
    <row r="261">
      <c r="A261" s="21" t="str"/>
      <c r="B261" s="23" t="str"/>
      <c r="I261" s="2" t="str"/>
      <c r="J261" s="2" t="str"/>
      <c r="K261" s="2" t="str"/>
      <c r="L261" s="1" t="str"/>
      <c r="M261" s="2" t="str"/>
      <c r="N261" s="1" t="str"/>
      <c r="O261" s="1" t="str"/>
      <c r="P261" s="1" t="str"/>
      <c r="Q261" s="1">
        <f>IF(H261="Sí",1,0)</f>
        <v/>
      </c>
      <c r="R261" s="1">
        <f>IF(L261="En coordinación",1,0)</f>
        <v/>
      </c>
      <c r="T261">
        <f>IF(N261="Sí",1,0)</f>
        <v/>
      </c>
      <c r="U261">
        <f>IF(L261="Aceptada",1,0)</f>
        <v/>
      </c>
    </row>
    <row r="262">
      <c r="A262" s="21" t="str"/>
      <c r="B262" s="23" t="str"/>
      <c r="I262" s="2" t="str"/>
      <c r="J262" s="2" t="str"/>
      <c r="K262" s="2" t="str"/>
      <c r="L262" s="1" t="str"/>
      <c r="M262" s="2" t="str"/>
      <c r="N262" s="1" t="str"/>
      <c r="O262" s="1" t="str"/>
      <c r="P262" s="1" t="str"/>
      <c r="Q262" s="1">
        <f>IF(H262="Sí",1,0)</f>
        <v/>
      </c>
      <c r="R262" s="1">
        <f>IF(L262="En coordinación",1,0)</f>
        <v/>
      </c>
      <c r="T262">
        <f>IF(N262="Sí",1,0)</f>
        <v/>
      </c>
      <c r="U262">
        <f>IF(L262="Aceptada",1,0)</f>
        <v/>
      </c>
    </row>
    <row r="263">
      <c r="A263" s="21" t="str"/>
      <c r="B263" s="23" t="str"/>
      <c r="I263" s="2" t="str"/>
      <c r="J263" s="2" t="str"/>
      <c r="K263" s="2" t="str"/>
      <c r="L263" s="1" t="str"/>
      <c r="M263" s="2" t="str"/>
      <c r="N263" s="1" t="str"/>
      <c r="O263" s="1" t="str"/>
      <c r="P263" s="1" t="str"/>
      <c r="Q263" s="1">
        <f>IF(H263="Sí",1,0)</f>
        <v/>
      </c>
      <c r="R263" s="1">
        <f>IF(L263="En coordinación",1,0)</f>
        <v/>
      </c>
      <c r="T263">
        <f>IF(N263="Sí",1,0)</f>
        <v/>
      </c>
      <c r="U263">
        <f>IF(L263="Aceptada",1,0)</f>
        <v/>
      </c>
    </row>
    <row r="264">
      <c r="A264" s="21" t="str"/>
      <c r="B264" s="23" t="str"/>
      <c r="I264" s="2" t="str"/>
      <c r="J264" s="2" t="str"/>
      <c r="K264" s="2" t="str"/>
      <c r="L264" s="1" t="str"/>
      <c r="M264" s="2" t="str"/>
      <c r="N264" s="1" t="str"/>
      <c r="O264" s="1" t="str"/>
      <c r="P264" s="1" t="str"/>
      <c r="Q264" s="1">
        <f>IF(H264="Sí",1,0)</f>
        <v/>
      </c>
      <c r="R264" s="1">
        <f>IF(L264="En coordinación",1,0)</f>
        <v/>
      </c>
      <c r="T264">
        <f>IF(N264="Sí",1,0)</f>
        <v/>
      </c>
      <c r="U264">
        <f>IF(L264="Aceptada",1,0)</f>
        <v/>
      </c>
    </row>
    <row r="265">
      <c r="A265" s="21" t="str"/>
      <c r="B265" s="23" t="str"/>
      <c r="I265" s="2" t="str"/>
      <c r="J265" s="2" t="str"/>
      <c r="K265" s="2" t="str"/>
      <c r="L265" s="1" t="str"/>
      <c r="M265" s="2" t="str"/>
      <c r="N265" s="1" t="str"/>
      <c r="O265" s="1" t="str"/>
      <c r="P265" s="1" t="str"/>
      <c r="Q265" s="1">
        <f>IF(H265="Sí",1,0)</f>
        <v/>
      </c>
      <c r="R265" s="1">
        <f>IF(L265="En coordinación",1,0)</f>
        <v/>
      </c>
      <c r="T265">
        <f>IF(N265="Sí",1,0)</f>
        <v/>
      </c>
      <c r="U265">
        <f>IF(L265="Aceptada",1,0)</f>
        <v/>
      </c>
    </row>
    <row r="266">
      <c r="A266" s="21" t="str"/>
      <c r="B266" s="23" t="str"/>
      <c r="I266" s="2" t="str"/>
      <c r="J266" s="2" t="str"/>
      <c r="K266" s="2" t="str"/>
      <c r="L266" s="1" t="str"/>
      <c r="M266" s="2" t="str"/>
      <c r="N266" s="1" t="str"/>
      <c r="O266" s="1" t="str"/>
      <c r="P266" s="1" t="str"/>
      <c r="Q266" s="1">
        <f>IF(H266="Sí",1,0)</f>
        <v/>
      </c>
      <c r="R266" s="1">
        <f>IF(L266="En coordinación",1,0)</f>
        <v/>
      </c>
      <c r="T266">
        <f>IF(N266="Sí",1,0)</f>
        <v/>
      </c>
      <c r="U266">
        <f>IF(L266="Aceptada",1,0)</f>
        <v/>
      </c>
    </row>
    <row r="267">
      <c r="A267" s="21" t="str"/>
      <c r="B267" s="23" t="str"/>
      <c r="I267" s="2" t="str"/>
      <c r="J267" s="2" t="str"/>
      <c r="K267" s="2" t="str"/>
      <c r="L267" s="1" t="str"/>
      <c r="M267" s="2" t="str"/>
      <c r="N267" s="1" t="str"/>
      <c r="O267" s="1" t="str"/>
      <c r="P267" s="1" t="str"/>
      <c r="Q267" s="1">
        <f>IF(H267="Sí",1,0)</f>
        <v/>
      </c>
      <c r="R267" s="1">
        <f>IF(L267="En coordinación",1,0)</f>
        <v/>
      </c>
      <c r="T267">
        <f>IF(N267="Sí",1,0)</f>
        <v/>
      </c>
      <c r="U267">
        <f>IF(L267="Aceptada",1,0)</f>
        <v/>
      </c>
    </row>
    <row r="268">
      <c r="A268" s="21" t="str"/>
      <c r="B268" s="23" t="str"/>
      <c r="I268" s="2" t="str"/>
      <c r="J268" s="2" t="str"/>
      <c r="K268" s="2" t="str"/>
      <c r="L268" s="1" t="str"/>
      <c r="M268" s="2" t="str"/>
      <c r="N268" s="1" t="str"/>
      <c r="O268" s="1" t="str"/>
      <c r="P268" s="1" t="str"/>
      <c r="Q268" s="1">
        <f>IF(H268="Sí",1,0)</f>
        <v/>
      </c>
      <c r="R268" s="1">
        <f>IF(L268="En coordinación",1,0)</f>
        <v/>
      </c>
      <c r="T268">
        <f>IF(N268="Sí",1,0)</f>
        <v/>
      </c>
      <c r="U268">
        <f>IF(L268="Aceptada",1,0)</f>
        <v/>
      </c>
    </row>
    <row r="269">
      <c r="A269" s="21" t="str"/>
      <c r="B269" s="23" t="str"/>
      <c r="I269" s="2" t="str"/>
      <c r="J269" s="2" t="str"/>
      <c r="K269" s="2" t="str"/>
      <c r="L269" s="1" t="str"/>
      <c r="M269" s="2" t="str"/>
      <c r="N269" s="1" t="str"/>
      <c r="O269" s="1" t="str"/>
      <c r="P269" s="1" t="str"/>
      <c r="Q269" s="1">
        <f>IF(H269="Sí",1,0)</f>
        <v/>
      </c>
      <c r="R269" s="1">
        <f>IF(L269="En coordinación",1,0)</f>
        <v/>
      </c>
      <c r="T269">
        <f>IF(N269="Sí",1,0)</f>
        <v/>
      </c>
      <c r="U269">
        <f>IF(L269="Aceptada",1,0)</f>
        <v/>
      </c>
    </row>
    <row r="270">
      <c r="A270" s="21" t="str"/>
      <c r="B270" s="23" t="str"/>
      <c r="I270" s="2" t="str"/>
      <c r="J270" s="2" t="str"/>
      <c r="K270" s="2" t="str"/>
      <c r="L270" s="1" t="str"/>
      <c r="M270" s="2" t="str"/>
      <c r="N270" s="1" t="str"/>
      <c r="O270" s="1" t="str"/>
      <c r="P270" s="1" t="str"/>
      <c r="Q270" s="1">
        <f>IF(H270="Sí",1,0)</f>
        <v/>
      </c>
      <c r="R270" s="1">
        <f>IF(L270="En coordinación",1,0)</f>
        <v/>
      </c>
      <c r="T270">
        <f>IF(N270="Sí",1,0)</f>
        <v/>
      </c>
      <c r="U270">
        <f>IF(L270="Aceptada",1,0)</f>
        <v/>
      </c>
    </row>
    <row r="271">
      <c r="A271" s="21" t="str"/>
      <c r="B271" s="23" t="str"/>
      <c r="I271" s="2" t="str"/>
      <c r="J271" s="2" t="str"/>
      <c r="K271" s="2" t="str"/>
      <c r="L271" s="1" t="str"/>
      <c r="M271" s="2" t="str"/>
      <c r="N271" s="1" t="str"/>
      <c r="O271" s="1" t="str"/>
      <c r="P271" s="1" t="str"/>
      <c r="Q271" s="1">
        <f>IF(H271="Sí",1,0)</f>
        <v/>
      </c>
      <c r="R271" s="1">
        <f>IF(L271="En coordinación",1,0)</f>
        <v/>
      </c>
      <c r="T271">
        <f>IF(N271="Sí",1,0)</f>
        <v/>
      </c>
      <c r="U271">
        <f>IF(L271="Aceptada",1,0)</f>
        <v/>
      </c>
    </row>
    <row r="272">
      <c r="A272" s="21" t="str"/>
      <c r="B272" s="23" t="str"/>
      <c r="I272" s="2" t="str"/>
      <c r="J272" s="2" t="str"/>
      <c r="K272" s="2" t="str"/>
      <c r="L272" s="1" t="str"/>
      <c r="M272" s="2" t="str"/>
      <c r="N272" s="1" t="str"/>
      <c r="O272" s="1" t="str"/>
      <c r="P272" s="1" t="str"/>
      <c r="Q272" s="1">
        <f>IF(H272="Sí",1,0)</f>
        <v/>
      </c>
      <c r="R272" s="1">
        <f>IF(L272="En coordinación",1,0)</f>
        <v/>
      </c>
      <c r="T272">
        <f>IF(N272="Sí",1,0)</f>
        <v/>
      </c>
      <c r="U272">
        <f>IF(L272="Aceptada",1,0)</f>
        <v/>
      </c>
    </row>
    <row r="273">
      <c r="A273" s="21" t="str"/>
      <c r="B273" s="23" t="str"/>
      <c r="I273" s="2" t="str"/>
      <c r="J273" s="2" t="str"/>
      <c r="K273" s="2" t="str"/>
      <c r="L273" s="1" t="str"/>
      <c r="M273" s="2" t="str"/>
      <c r="N273" s="1" t="str"/>
      <c r="O273" s="1" t="str"/>
      <c r="P273" s="1" t="str"/>
      <c r="Q273" s="1">
        <f>IF(H273="Sí",1,0)</f>
        <v/>
      </c>
      <c r="R273" s="1">
        <f>IF(L273="En coordinación",1,0)</f>
        <v/>
      </c>
      <c r="T273">
        <f>IF(N273="Sí",1,0)</f>
        <v/>
      </c>
      <c r="U273">
        <f>IF(L273="Aceptada",1,0)</f>
        <v/>
      </c>
    </row>
    <row r="274">
      <c r="A274" s="21" t="str"/>
      <c r="B274" s="23" t="str"/>
      <c r="I274" s="2" t="str"/>
      <c r="J274" s="2" t="str"/>
      <c r="K274" s="2" t="str"/>
      <c r="L274" s="1" t="str"/>
      <c r="M274" s="2" t="str"/>
      <c r="N274" s="1" t="str"/>
      <c r="O274" s="1" t="str"/>
      <c r="P274" s="1" t="str"/>
      <c r="Q274" s="1">
        <f>IF(H274="Sí",1,0)</f>
        <v/>
      </c>
      <c r="R274" s="1">
        <f>IF(L274="En coordinación",1,0)</f>
        <v/>
      </c>
      <c r="T274">
        <f>IF(N274="Sí",1,0)</f>
        <v/>
      </c>
      <c r="U274">
        <f>IF(L274="Aceptada",1,0)</f>
        <v/>
      </c>
    </row>
    <row r="275">
      <c r="A275" s="21" t="str"/>
      <c r="B275" s="23" t="str"/>
      <c r="I275" s="2" t="str"/>
      <c r="J275" s="2" t="str"/>
      <c r="K275" s="2" t="str"/>
      <c r="L275" s="1" t="str"/>
      <c r="M275" s="2" t="str"/>
      <c r="N275" s="1" t="str"/>
      <c r="O275" s="1" t="str"/>
      <c r="P275" s="1" t="str"/>
      <c r="Q275" s="1">
        <f>IF(H275="Sí",1,0)</f>
        <v/>
      </c>
      <c r="R275" s="1">
        <f>IF(L275="En coordinación",1,0)</f>
        <v/>
      </c>
      <c r="T275">
        <f>IF(N275="Sí",1,0)</f>
        <v/>
      </c>
      <c r="U275">
        <f>IF(L275="Aceptada",1,0)</f>
        <v/>
      </c>
    </row>
    <row r="276">
      <c r="A276" s="21" t="str"/>
      <c r="B276" s="23" t="str"/>
      <c r="I276" s="2" t="str"/>
      <c r="J276" s="2" t="str"/>
      <c r="K276" s="2" t="str"/>
      <c r="L276" s="1" t="str"/>
      <c r="M276" s="2" t="str"/>
      <c r="N276" s="1" t="str"/>
      <c r="O276" s="1" t="str"/>
      <c r="P276" s="1" t="str"/>
      <c r="Q276" s="1">
        <f>IF(H276="Sí",1,0)</f>
        <v/>
      </c>
      <c r="R276" s="1">
        <f>IF(L276="En coordinación",1,0)</f>
        <v/>
      </c>
      <c r="T276">
        <f>IF(N276="Sí",1,0)</f>
        <v/>
      </c>
      <c r="U276">
        <f>IF(L276="Aceptada",1,0)</f>
        <v/>
      </c>
    </row>
    <row r="277">
      <c r="A277" s="21" t="str"/>
      <c r="B277" s="23" t="str"/>
      <c r="I277" s="2" t="str"/>
      <c r="J277" s="2" t="str"/>
      <c r="K277" s="2" t="str"/>
      <c r="L277" s="1" t="str"/>
      <c r="M277" s="2" t="str"/>
      <c r="N277" s="1" t="str"/>
      <c r="O277" s="1" t="str"/>
      <c r="P277" s="1" t="str"/>
      <c r="Q277" s="1">
        <f>IF(H277="Sí",1,0)</f>
        <v/>
      </c>
      <c r="R277" s="1">
        <f>IF(L277="En coordinación",1,0)</f>
        <v/>
      </c>
      <c r="T277">
        <f>IF(N277="Sí",1,0)</f>
        <v/>
      </c>
      <c r="U277">
        <f>IF(L277="Aceptada",1,0)</f>
        <v/>
      </c>
    </row>
    <row r="278">
      <c r="A278" s="21" t="str"/>
      <c r="B278" s="23" t="str"/>
      <c r="I278" s="2" t="str"/>
      <c r="J278" s="2" t="str"/>
      <c r="K278" s="2" t="str"/>
      <c r="L278" s="1" t="str"/>
      <c r="M278" s="2" t="str"/>
      <c r="N278" s="1" t="str"/>
      <c r="O278" s="1" t="str"/>
      <c r="P278" s="1" t="str"/>
      <c r="Q278" s="1">
        <f>IF(H278="Sí",1,0)</f>
        <v/>
      </c>
      <c r="R278" s="1">
        <f>IF(L278="En coordinación",1,0)</f>
        <v/>
      </c>
      <c r="T278">
        <f>IF(N278="Sí",1,0)</f>
        <v/>
      </c>
      <c r="U278">
        <f>IF(L278="Aceptada",1,0)</f>
        <v/>
      </c>
    </row>
    <row r="279">
      <c r="A279" s="21" t="str"/>
      <c r="B279" s="23" t="str"/>
      <c r="I279" s="2" t="str"/>
      <c r="J279" s="2" t="str"/>
      <c r="K279" s="2" t="str"/>
      <c r="L279" s="1" t="str"/>
      <c r="M279" s="2" t="str"/>
      <c r="N279" s="1" t="str"/>
      <c r="O279" s="1" t="str"/>
      <c r="P279" s="1" t="str"/>
      <c r="Q279" s="1">
        <f>IF(H279="Sí",1,0)</f>
        <v/>
      </c>
      <c r="R279" s="1">
        <f>IF(L279="En coordinación",1,0)</f>
        <v/>
      </c>
      <c r="T279">
        <f>IF(N279="Sí",1,0)</f>
        <v/>
      </c>
      <c r="U279">
        <f>IF(L279="Aceptada",1,0)</f>
        <v/>
      </c>
    </row>
    <row r="280">
      <c r="A280" s="21" t="str"/>
      <c r="B280" s="23" t="str"/>
      <c r="I280" s="2" t="str"/>
      <c r="J280" s="2" t="str"/>
      <c r="K280" s="2" t="str"/>
      <c r="L280" s="1" t="str"/>
      <c r="M280" s="2" t="str"/>
      <c r="N280" s="1" t="str"/>
      <c r="O280" s="1" t="str"/>
      <c r="P280" s="1" t="str"/>
      <c r="Q280" s="1">
        <f>IF(H280="Sí",1,0)</f>
        <v/>
      </c>
      <c r="R280" s="1">
        <f>IF(L280="En coordinación",1,0)</f>
        <v/>
      </c>
      <c r="T280">
        <f>IF(N280="Sí",1,0)</f>
        <v/>
      </c>
      <c r="U280">
        <f>IF(L280="Aceptada",1,0)</f>
        <v/>
      </c>
    </row>
    <row r="281">
      <c r="A281" s="21" t="str"/>
      <c r="B281" s="23" t="str"/>
      <c r="I281" s="2" t="str"/>
      <c r="J281" s="2" t="str"/>
      <c r="K281" s="2" t="str"/>
      <c r="L281" s="1" t="str"/>
      <c r="M281" s="2" t="str"/>
      <c r="N281" s="1" t="str"/>
      <c r="O281" s="1" t="str"/>
      <c r="P281" s="1" t="str"/>
      <c r="Q281" s="1">
        <f>IF(H281="Sí",1,0)</f>
        <v/>
      </c>
      <c r="R281" s="1">
        <f>IF(L281="En coordinación",1,0)</f>
        <v/>
      </c>
      <c r="T281">
        <f>IF(N281="Sí",1,0)</f>
        <v/>
      </c>
      <c r="U281">
        <f>IF(L281="Aceptada",1,0)</f>
        <v/>
      </c>
    </row>
    <row r="282">
      <c r="A282" s="21" t="str"/>
      <c r="B282" s="23" t="str"/>
      <c r="I282" s="2" t="str"/>
      <c r="J282" s="2" t="str"/>
      <c r="K282" s="2" t="str"/>
      <c r="L282" s="1" t="str"/>
      <c r="M282" s="2" t="str"/>
      <c r="N282" s="1" t="str"/>
      <c r="O282" s="1" t="str"/>
      <c r="P282" s="1" t="str"/>
      <c r="Q282" s="1">
        <f>IF(H282="Sí",1,0)</f>
        <v/>
      </c>
      <c r="R282" s="1">
        <f>IF(L282="En coordinación",1,0)</f>
        <v/>
      </c>
      <c r="T282">
        <f>IF(N282="Sí",1,0)</f>
        <v/>
      </c>
      <c r="U282">
        <f>IF(L282="Aceptada",1,0)</f>
        <v/>
      </c>
    </row>
    <row r="283">
      <c r="A283" s="21" t="str"/>
      <c r="B283" s="23" t="str"/>
      <c r="I283" s="2" t="str"/>
      <c r="J283" s="2" t="str"/>
      <c r="K283" s="2" t="str"/>
      <c r="L283" s="1" t="str"/>
      <c r="M283" s="2" t="str"/>
      <c r="N283" s="1" t="str"/>
      <c r="O283" s="1" t="str"/>
      <c r="P283" s="1" t="str"/>
      <c r="Q283" s="1">
        <f>IF(H283="Sí",1,0)</f>
        <v/>
      </c>
      <c r="R283" s="1">
        <f>IF(L283="En coordinación",1,0)</f>
        <v/>
      </c>
      <c r="T283">
        <f>IF(N283="Sí",1,0)</f>
        <v/>
      </c>
      <c r="U283">
        <f>IF(L283="Aceptada",1,0)</f>
        <v/>
      </c>
    </row>
    <row r="284">
      <c r="A284" s="21" t="str"/>
      <c r="B284" s="23" t="str"/>
      <c r="I284" s="2" t="str"/>
      <c r="J284" s="2" t="str"/>
      <c r="K284" s="2" t="str"/>
      <c r="L284" s="1" t="str"/>
      <c r="M284" s="2" t="str"/>
      <c r="N284" s="1" t="str"/>
      <c r="O284" s="1" t="str"/>
      <c r="P284" s="1" t="str"/>
      <c r="Q284" s="1">
        <f>IF(H284="Sí",1,0)</f>
        <v/>
      </c>
      <c r="R284" s="1">
        <f>IF(L284="En coordinación",1,0)</f>
        <v/>
      </c>
      <c r="T284">
        <f>IF(N284="Sí",1,0)</f>
        <v/>
      </c>
      <c r="U284">
        <f>IF(L284="Aceptada",1,0)</f>
        <v/>
      </c>
    </row>
    <row r="285">
      <c r="A285" s="21" t="str"/>
      <c r="B285" s="23" t="str"/>
      <c r="I285" s="2" t="str"/>
      <c r="J285" s="2" t="str"/>
      <c r="K285" s="2" t="str"/>
      <c r="L285" s="1" t="str"/>
      <c r="M285" s="2" t="str"/>
      <c r="N285" s="1" t="str"/>
      <c r="O285" s="1" t="str"/>
      <c r="P285" s="1" t="str"/>
      <c r="Q285" s="1">
        <f>IF(H285="Sí",1,0)</f>
        <v/>
      </c>
      <c r="R285" s="1">
        <f>IF(L285="En coordinación",1,0)</f>
        <v/>
      </c>
      <c r="T285">
        <f>IF(N285="Sí",1,0)</f>
        <v/>
      </c>
      <c r="U285">
        <f>IF(L285="Aceptada",1,0)</f>
        <v/>
      </c>
    </row>
    <row r="286">
      <c r="A286" s="21" t="str"/>
      <c r="B286" s="23" t="str"/>
      <c r="I286" s="2" t="str"/>
      <c r="J286" s="2" t="str"/>
      <c r="K286" s="2" t="str"/>
      <c r="L286" s="1" t="str"/>
      <c r="M286" s="2" t="str"/>
      <c r="N286" s="1" t="str"/>
      <c r="O286" s="1" t="str"/>
      <c r="P286" s="1" t="str"/>
      <c r="Q286" s="1">
        <f>IF(H286="Sí",1,0)</f>
        <v/>
      </c>
      <c r="R286" s="1">
        <f>IF(L286="En coordinación",1,0)</f>
        <v/>
      </c>
      <c r="T286">
        <f>IF(N286="Sí",1,0)</f>
        <v/>
      </c>
      <c r="U286">
        <f>IF(L286="Aceptada",1,0)</f>
        <v/>
      </c>
    </row>
    <row r="287">
      <c r="A287" s="21" t="str"/>
      <c r="B287" s="23" t="str"/>
      <c r="I287" s="2" t="str"/>
      <c r="J287" s="2" t="str"/>
      <c r="K287" s="2" t="str"/>
      <c r="L287" s="1" t="str"/>
      <c r="M287" s="2" t="str"/>
      <c r="N287" s="1" t="str"/>
      <c r="O287" s="1" t="str"/>
      <c r="P287" s="1" t="str"/>
      <c r="Q287" s="1">
        <f>IF(H287="Sí",1,0)</f>
        <v/>
      </c>
      <c r="R287" s="1">
        <f>IF(L287="En coordinación",1,0)</f>
        <v/>
      </c>
      <c r="T287">
        <f>IF(N287="Sí",1,0)</f>
        <v/>
      </c>
      <c r="U287">
        <f>IF(L287="Aceptada",1,0)</f>
        <v/>
      </c>
    </row>
    <row r="288">
      <c r="A288" s="21" t="str"/>
      <c r="B288" s="23" t="str"/>
      <c r="I288" s="2" t="str"/>
      <c r="J288" s="2" t="str"/>
      <c r="K288" s="2" t="str"/>
      <c r="L288" s="1" t="str"/>
      <c r="M288" s="2" t="str"/>
      <c r="N288" s="1" t="str"/>
      <c r="O288" s="1" t="str"/>
      <c r="P288" s="1" t="str"/>
      <c r="Q288" s="1">
        <f>IF(H288="Sí",1,0)</f>
        <v/>
      </c>
      <c r="R288" s="1">
        <f>IF(L288="En coordinación",1,0)</f>
        <v/>
      </c>
      <c r="T288">
        <f>IF(N288="Sí",1,0)</f>
        <v/>
      </c>
      <c r="U288">
        <f>IF(L288="Aceptada",1,0)</f>
        <v/>
      </c>
    </row>
    <row r="289">
      <c r="A289" s="21" t="str"/>
      <c r="B289" s="23" t="str"/>
      <c r="I289" s="2" t="str"/>
      <c r="J289" s="2" t="str"/>
      <c r="K289" s="2" t="str"/>
      <c r="L289" s="1" t="str"/>
      <c r="M289" s="2" t="str"/>
      <c r="N289" s="1" t="str"/>
      <c r="O289" s="1" t="str"/>
      <c r="P289" s="1" t="str"/>
      <c r="Q289" s="1">
        <f>IF(H289="Sí",1,0)</f>
        <v/>
      </c>
      <c r="R289" s="1">
        <f>IF(L289="En coordinación",1,0)</f>
        <v/>
      </c>
      <c r="T289">
        <f>IF(N289="Sí",1,0)</f>
        <v/>
      </c>
      <c r="U289">
        <f>IF(L289="Aceptada",1,0)</f>
        <v/>
      </c>
    </row>
    <row r="290">
      <c r="A290" s="21" t="str"/>
      <c r="B290" s="23" t="str"/>
      <c r="I290" s="2" t="str"/>
      <c r="J290" s="2" t="str"/>
      <c r="K290" s="2" t="str"/>
      <c r="L290" s="1" t="str"/>
      <c r="M290" s="2" t="str"/>
      <c r="N290" s="1" t="str"/>
      <c r="O290" s="1" t="str"/>
      <c r="P290" s="1" t="str"/>
      <c r="Q290" s="1">
        <f>IF(H290="Sí",1,0)</f>
        <v/>
      </c>
      <c r="R290" s="1">
        <f>IF(L290="En coordinación",1,0)</f>
        <v/>
      </c>
      <c r="T290">
        <f>IF(N290="Sí",1,0)</f>
        <v/>
      </c>
      <c r="U290">
        <f>IF(L290="Aceptada",1,0)</f>
        <v/>
      </c>
    </row>
    <row r="291">
      <c r="A291" s="21" t="str"/>
      <c r="B291" s="23" t="str"/>
      <c r="I291" s="2" t="str"/>
      <c r="J291" s="2" t="str"/>
      <c r="K291" s="2" t="str"/>
      <c r="L291" s="1" t="str"/>
      <c r="M291" s="2" t="str"/>
      <c r="N291" s="1" t="str"/>
      <c r="O291" s="1" t="str"/>
      <c r="P291" s="1" t="str"/>
      <c r="Q291" s="1">
        <f>IF(H291="Sí",1,0)</f>
        <v/>
      </c>
      <c r="R291" s="1">
        <f>IF(L291="En coordinación",1,0)</f>
        <v/>
      </c>
      <c r="T291">
        <f>IF(N291="Sí",1,0)</f>
        <v/>
      </c>
      <c r="U291">
        <f>IF(L291="Aceptada",1,0)</f>
        <v/>
      </c>
    </row>
    <row r="292">
      <c r="A292" s="21" t="str"/>
      <c r="B292" s="23" t="str"/>
      <c r="I292" s="2" t="str"/>
      <c r="J292" s="2" t="str"/>
      <c r="K292" s="2" t="str"/>
      <c r="L292" s="1" t="str"/>
      <c r="M292" s="2" t="str"/>
      <c r="N292" s="1" t="str"/>
      <c r="O292" s="1" t="str"/>
      <c r="P292" s="1" t="str"/>
      <c r="Q292" s="1">
        <f>IF(H292="Sí",1,0)</f>
        <v/>
      </c>
      <c r="R292" s="1">
        <f>IF(L292="En coordinación",1,0)</f>
        <v/>
      </c>
      <c r="T292">
        <f>IF(N292="Sí",1,0)</f>
        <v/>
      </c>
      <c r="U292">
        <f>IF(L292="Aceptada",1,0)</f>
        <v/>
      </c>
    </row>
    <row r="293">
      <c r="A293" s="21" t="str"/>
      <c r="B293" s="23" t="str"/>
      <c r="I293" s="2" t="str"/>
      <c r="J293" s="2" t="str"/>
      <c r="K293" s="2" t="str"/>
      <c r="L293" s="1" t="str"/>
      <c r="M293" s="2" t="str"/>
      <c r="N293" s="1" t="str"/>
      <c r="O293" s="1" t="str"/>
      <c r="P293" s="1" t="str"/>
      <c r="Q293" s="1">
        <f>IF(H293="Sí",1,0)</f>
        <v/>
      </c>
      <c r="R293" s="1">
        <f>IF(L293="En coordinación",1,0)</f>
        <v/>
      </c>
      <c r="T293">
        <f>IF(N293="Sí",1,0)</f>
        <v/>
      </c>
      <c r="U293">
        <f>IF(L293="Aceptada",1,0)</f>
        <v/>
      </c>
    </row>
    <row r="294">
      <c r="A294" s="21" t="str"/>
      <c r="B294" s="23" t="str"/>
      <c r="I294" s="2" t="str"/>
      <c r="J294" s="2" t="str"/>
      <c r="K294" s="2" t="str"/>
      <c r="L294" s="1" t="str"/>
      <c r="M294" s="2" t="str"/>
      <c r="N294" s="1" t="str"/>
      <c r="O294" s="1" t="str"/>
      <c r="P294" s="1" t="str"/>
      <c r="Q294" s="1">
        <f>IF(H294="Sí",1,0)</f>
        <v/>
      </c>
      <c r="R294" s="1">
        <f>IF(L294="En coordinación",1,0)</f>
        <v/>
      </c>
      <c r="T294">
        <f>IF(N294="Sí",1,0)</f>
        <v/>
      </c>
      <c r="U294">
        <f>IF(L294="Aceptada",1,0)</f>
        <v/>
      </c>
    </row>
    <row r="295">
      <c r="A295" s="21" t="str"/>
      <c r="B295" s="23" t="str"/>
      <c r="I295" s="2" t="str"/>
      <c r="J295" s="2" t="str"/>
      <c r="K295" s="2" t="str"/>
      <c r="L295" s="1" t="str"/>
      <c r="M295" s="2" t="str"/>
      <c r="N295" s="1" t="str"/>
      <c r="O295" s="1" t="str"/>
      <c r="P295" s="1" t="str"/>
      <c r="Q295" s="1">
        <f>IF(H295="Sí",1,0)</f>
        <v/>
      </c>
      <c r="R295" s="1">
        <f>IF(L295="En coordinación",1,0)</f>
        <v/>
      </c>
      <c r="T295">
        <f>IF(N295="Sí",1,0)</f>
        <v/>
      </c>
      <c r="U295">
        <f>IF(L295="Aceptada",1,0)</f>
        <v/>
      </c>
    </row>
    <row r="296">
      <c r="A296" s="21" t="str"/>
      <c r="B296" s="23" t="str"/>
      <c r="I296" s="2" t="str"/>
      <c r="J296" s="2" t="str"/>
      <c r="K296" s="2" t="str"/>
      <c r="L296" s="1" t="str"/>
      <c r="M296" s="2" t="str"/>
      <c r="N296" s="1" t="str"/>
      <c r="O296" s="1" t="str"/>
      <c r="P296" s="1" t="str"/>
      <c r="Q296" s="1">
        <f>IF(H296="Sí",1,0)</f>
        <v/>
      </c>
      <c r="R296" s="1">
        <f>IF(L296="En coordinación",1,0)</f>
        <v/>
      </c>
      <c r="T296">
        <f>IF(N296="Sí",1,0)</f>
        <v/>
      </c>
      <c r="U296">
        <f>IF(L296="Aceptada",1,0)</f>
        <v/>
      </c>
    </row>
    <row r="297">
      <c r="A297" s="21" t="str"/>
      <c r="B297" s="23" t="str"/>
      <c r="I297" s="2" t="str"/>
      <c r="J297" s="2" t="str"/>
      <c r="K297" s="2" t="str"/>
      <c r="L297" s="1" t="str"/>
      <c r="M297" s="2" t="str"/>
      <c r="N297" s="1" t="str"/>
      <c r="O297" s="1" t="str"/>
      <c r="P297" s="1" t="str"/>
      <c r="Q297" s="1">
        <f>IF(H297="Sí",1,0)</f>
        <v/>
      </c>
      <c r="R297" s="1">
        <f>IF(L297="En coordinación",1,0)</f>
        <v/>
      </c>
      <c r="T297">
        <f>IF(N297="Sí",1,0)</f>
        <v/>
      </c>
      <c r="U297">
        <f>IF(L297="Aceptada",1,0)</f>
        <v/>
      </c>
    </row>
    <row r="298">
      <c r="A298" s="21" t="str"/>
      <c r="B298" s="23" t="str"/>
      <c r="I298" s="2" t="str"/>
      <c r="J298" s="2" t="str"/>
      <c r="K298" s="2" t="str"/>
      <c r="L298" s="1" t="str"/>
      <c r="M298" s="2" t="str"/>
      <c r="N298" s="1" t="str"/>
      <c r="O298" s="1" t="str"/>
      <c r="P298" s="1" t="str"/>
      <c r="Q298" s="1">
        <f>IF(H298="Sí",1,0)</f>
        <v/>
      </c>
      <c r="R298" s="1">
        <f>IF(L298="En coordinación",1,0)</f>
        <v/>
      </c>
      <c r="T298">
        <f>IF(N298="Sí",1,0)</f>
        <v/>
      </c>
      <c r="U298">
        <f>IF(L298="Aceptada",1,0)</f>
        <v/>
      </c>
    </row>
    <row r="299">
      <c r="A299" s="21" t="str"/>
      <c r="B299" s="23" t="str"/>
      <c r="I299" s="2" t="str"/>
      <c r="J299" s="2" t="str"/>
      <c r="K299" s="2" t="str"/>
      <c r="L299" s="1" t="str"/>
      <c r="M299" s="2" t="str"/>
      <c r="N299" s="1" t="str"/>
      <c r="O299" s="1" t="str"/>
      <c r="P299" s="1" t="str"/>
      <c r="Q299" s="1">
        <f>IF(H299="Sí",1,0)</f>
        <v/>
      </c>
      <c r="R299" s="1">
        <f>IF(L299="En coordinación",1,0)</f>
        <v/>
      </c>
      <c r="T299">
        <f>IF(N299="Sí",1,0)</f>
        <v/>
      </c>
      <c r="U299">
        <f>IF(L299="Aceptada",1,0)</f>
        <v/>
      </c>
    </row>
    <row r="300">
      <c r="A300" s="21" t="str"/>
      <c r="B300" s="23" t="str"/>
      <c r="I300" s="2" t="str"/>
      <c r="J300" s="2" t="str"/>
      <c r="K300" s="2" t="str"/>
      <c r="L300" s="1" t="str"/>
      <c r="M300" s="2" t="str"/>
      <c r="N300" s="1" t="str"/>
      <c r="O300" s="1" t="str"/>
      <c r="P300" s="1" t="str"/>
      <c r="Q300" s="1">
        <f>IF(H300="Sí",1,0)</f>
        <v/>
      </c>
      <c r="R300" s="1">
        <f>IF(L300="En coordinación",1,0)</f>
        <v/>
      </c>
      <c r="T300">
        <f>IF(N300="Sí",1,0)</f>
        <v/>
      </c>
      <c r="U300">
        <f>IF(L300="Aceptada",1,0)</f>
        <v/>
      </c>
    </row>
    <row r="301">
      <c r="A301" s="21" t="str"/>
      <c r="B301" s="23" t="str"/>
      <c r="I301" s="2" t="str"/>
      <c r="J301" s="2" t="str"/>
      <c r="K301" s="2" t="str"/>
      <c r="L301" s="1" t="str"/>
      <c r="M301" s="2" t="str"/>
      <c r="N301" s="1" t="str"/>
      <c r="O301" s="1" t="str"/>
      <c r="P301" s="1" t="str"/>
      <c r="Q301" s="1">
        <f>IF(H301="Sí",1,0)</f>
        <v/>
      </c>
      <c r="R301" s="1">
        <f>IF(L301="En coordinación",1,0)</f>
        <v/>
      </c>
      <c r="T301">
        <f>IF(N301="Sí",1,0)</f>
        <v/>
      </c>
      <c r="U301">
        <f>IF(L301="Aceptada",1,0)</f>
        <v/>
      </c>
    </row>
    <row r="302">
      <c r="A302" s="21" t="str"/>
      <c r="B302" s="23" t="str"/>
      <c r="I302" s="2" t="str"/>
      <c r="J302" s="2" t="str"/>
      <c r="K302" s="2" t="str"/>
      <c r="L302" s="1" t="str"/>
      <c r="M302" s="2" t="str"/>
      <c r="N302" s="1" t="str"/>
      <c r="O302" s="1" t="str"/>
      <c r="P302" s="1" t="str"/>
      <c r="Q302" s="1">
        <f>IF(H302="Sí",1,0)</f>
        <v/>
      </c>
      <c r="R302" s="1">
        <f>IF(L302="En coordinación",1,0)</f>
        <v/>
      </c>
      <c r="T302">
        <f>IF(N302="Sí",1,0)</f>
        <v/>
      </c>
      <c r="U302">
        <f>IF(L302="Aceptada",1,0)</f>
        <v/>
      </c>
    </row>
    <row r="303">
      <c r="A303" s="21" t="str"/>
      <c r="B303" s="23" t="str"/>
      <c r="I303" s="2" t="str"/>
      <c r="J303" s="2" t="str"/>
      <c r="K303" s="2" t="str"/>
      <c r="L303" s="1" t="str"/>
      <c r="M303" s="2" t="str"/>
      <c r="N303" s="1" t="str"/>
      <c r="O303" s="1" t="str"/>
      <c r="P303" s="1" t="str"/>
      <c r="Q303" s="1">
        <f>IF(H303="Sí",1,0)</f>
        <v/>
      </c>
      <c r="R303" s="1">
        <f>IF(L303="En coordinación",1,0)</f>
        <v/>
      </c>
      <c r="T303">
        <f>IF(N303="Sí",1,0)</f>
        <v/>
      </c>
      <c r="U303">
        <f>IF(L303="Aceptada",1,0)</f>
        <v/>
      </c>
    </row>
    <row r="304">
      <c r="A304" s="21" t="str"/>
      <c r="B304" s="23" t="str"/>
      <c r="I304" s="2" t="str"/>
      <c r="J304" s="2" t="str"/>
      <c r="K304" s="2" t="str"/>
      <c r="L304" s="1" t="str"/>
      <c r="M304" s="2" t="str"/>
      <c r="N304" s="1" t="str"/>
      <c r="O304" s="1" t="str"/>
      <c r="P304" s="1" t="str"/>
      <c r="Q304" s="1">
        <f>IF(H304="Sí",1,0)</f>
        <v/>
      </c>
      <c r="R304" s="1">
        <f>IF(L304="En coordinación",1,0)</f>
        <v/>
      </c>
      <c r="T304">
        <f>IF(N304="Sí",1,0)</f>
        <v/>
      </c>
      <c r="U304">
        <f>IF(L304="Aceptada",1,0)</f>
        <v/>
      </c>
    </row>
    <row r="305">
      <c r="A305" s="21" t="str"/>
      <c r="B305" s="23" t="str"/>
      <c r="I305" s="2" t="str"/>
      <c r="J305" s="2" t="str"/>
      <c r="K305" s="2" t="str"/>
      <c r="L305" s="1" t="str"/>
      <c r="M305" s="2" t="str"/>
      <c r="N305" s="1" t="str"/>
      <c r="O305" s="1" t="str"/>
      <c r="P305" s="1" t="str"/>
      <c r="Q305" s="1">
        <f>IF(H305="Sí",1,0)</f>
        <v/>
      </c>
      <c r="R305" s="1">
        <f>IF(L305="En coordinación",1,0)</f>
        <v/>
      </c>
      <c r="T305">
        <f>IF(N305="Sí",1,0)</f>
        <v/>
      </c>
      <c r="U305">
        <f>IF(L305="Aceptada",1,0)</f>
        <v/>
      </c>
    </row>
    <row r="306">
      <c r="A306" s="21" t="str"/>
      <c r="B306" s="23" t="str"/>
      <c r="I306" s="2" t="str"/>
      <c r="J306" s="2" t="str"/>
      <c r="K306" s="2" t="str"/>
      <c r="L306" s="1" t="str"/>
      <c r="M306" s="2" t="str"/>
      <c r="N306" s="1" t="str"/>
      <c r="O306" s="1" t="str"/>
      <c r="P306" s="1" t="str"/>
      <c r="Q306" s="1">
        <f>IF(H306="Sí",1,0)</f>
        <v/>
      </c>
      <c r="R306" s="1">
        <f>IF(L306="En coordinación",1,0)</f>
        <v/>
      </c>
      <c r="T306">
        <f>IF(N306="Sí",1,0)</f>
        <v/>
      </c>
      <c r="U306">
        <f>IF(L306="Aceptada",1,0)</f>
        <v/>
      </c>
    </row>
    <row r="307">
      <c r="A307" s="21" t="str"/>
      <c r="B307" s="23" t="str"/>
      <c r="I307" s="2" t="str"/>
      <c r="J307" s="2" t="str"/>
      <c r="K307" s="2" t="str"/>
      <c r="L307" s="1" t="str"/>
      <c r="M307" s="2" t="str"/>
      <c r="N307" s="1" t="str"/>
      <c r="O307" s="1" t="str"/>
      <c r="P307" s="1" t="str"/>
      <c r="Q307" s="1">
        <f>IF(H307="Sí",1,0)</f>
        <v/>
      </c>
      <c r="R307" s="1">
        <f>IF(L307="En coordinación",1,0)</f>
        <v/>
      </c>
      <c r="T307">
        <f>IF(N307="Sí",1,0)</f>
        <v/>
      </c>
      <c r="U307">
        <f>IF(L307="Aceptada",1,0)</f>
        <v/>
      </c>
    </row>
    <row r="308">
      <c r="A308" s="21" t="str"/>
      <c r="B308" s="23" t="str"/>
      <c r="I308" s="2" t="str"/>
      <c r="J308" s="2" t="str"/>
      <c r="K308" s="2" t="str"/>
      <c r="L308" s="1" t="str"/>
      <c r="M308" s="2" t="str"/>
      <c r="N308" s="1" t="str"/>
      <c r="O308" s="1" t="str"/>
      <c r="P308" s="1" t="str"/>
      <c r="Q308" s="1">
        <f>IF(H308="Sí",1,0)</f>
        <v/>
      </c>
      <c r="R308" s="1">
        <f>IF(L308="En coordinación",1,0)</f>
        <v/>
      </c>
      <c r="T308">
        <f>IF(N308="Sí",1,0)</f>
        <v/>
      </c>
      <c r="U308">
        <f>IF(L308="Aceptada",1,0)</f>
        <v/>
      </c>
    </row>
    <row r="309">
      <c r="A309" s="21" t="str"/>
      <c r="B309" s="23" t="str"/>
      <c r="I309" s="2" t="str"/>
      <c r="J309" s="2" t="str"/>
      <c r="K309" s="2" t="str"/>
      <c r="L309" s="1" t="str"/>
      <c r="M309" s="2" t="str"/>
      <c r="N309" s="1" t="str"/>
      <c r="O309" s="1" t="str"/>
      <c r="P309" s="1" t="str"/>
      <c r="Q309" s="1">
        <f>IF(H309="Sí",1,0)</f>
        <v/>
      </c>
      <c r="R309" s="1">
        <f>IF(L309="En coordinación",1,0)</f>
        <v/>
      </c>
      <c r="T309">
        <f>IF(N309="Sí",1,0)</f>
        <v/>
      </c>
      <c r="U309">
        <f>IF(L309="Aceptada",1,0)</f>
        <v/>
      </c>
    </row>
    <row r="310">
      <c r="A310" s="21" t="str"/>
      <c r="B310" s="23" t="str"/>
      <c r="I310" s="2" t="str"/>
      <c r="J310" s="2" t="str"/>
      <c r="K310" s="2" t="str"/>
      <c r="L310" s="1" t="str"/>
      <c r="M310" s="2" t="str"/>
      <c r="N310" s="1" t="str"/>
      <c r="O310" s="1" t="str"/>
      <c r="P310" s="1" t="str"/>
      <c r="Q310" s="1">
        <f>IF(H310="Sí",1,0)</f>
        <v/>
      </c>
      <c r="R310" s="1">
        <f>IF(L310="En coordinación",1,0)</f>
        <v/>
      </c>
      <c r="T310">
        <f>IF(N310="Sí",1,0)</f>
        <v/>
      </c>
      <c r="U310">
        <f>IF(L310="Aceptada",1,0)</f>
        <v/>
      </c>
    </row>
    <row r="311">
      <c r="A311" s="21" t="str"/>
      <c r="B311" s="23" t="str"/>
      <c r="I311" s="2" t="str"/>
      <c r="J311" s="2" t="str"/>
      <c r="K311" s="2" t="str"/>
      <c r="L311" s="1" t="str"/>
      <c r="M311" s="2" t="str"/>
      <c r="N311" s="1" t="str"/>
      <c r="O311" s="1" t="str"/>
      <c r="P311" s="1" t="str"/>
      <c r="Q311" s="1">
        <f>IF(H311="Sí",1,0)</f>
        <v/>
      </c>
      <c r="R311" s="1">
        <f>IF(L311="En coordinación",1,0)</f>
        <v/>
      </c>
      <c r="T311">
        <f>IF(N311="Sí",1,0)</f>
        <v/>
      </c>
      <c r="U311">
        <f>IF(L311="Aceptada",1,0)</f>
        <v/>
      </c>
    </row>
    <row r="312">
      <c r="A312" s="21" t="str"/>
      <c r="B312" s="23" t="str"/>
      <c r="I312" s="2" t="str"/>
      <c r="J312" s="2" t="str"/>
      <c r="K312" s="2" t="str"/>
      <c r="L312" s="1" t="str"/>
      <c r="M312" s="2" t="str"/>
      <c r="N312" s="1" t="str"/>
      <c r="O312" s="1" t="str"/>
      <c r="P312" s="1" t="str"/>
      <c r="Q312" s="1">
        <f>IF(H312="Sí",1,0)</f>
        <v/>
      </c>
      <c r="R312" s="1">
        <f>IF(L312="En coordinación",1,0)</f>
        <v/>
      </c>
      <c r="T312">
        <f>IF(N312="Sí",1,0)</f>
        <v/>
      </c>
      <c r="U312">
        <f>IF(L312="Aceptada",1,0)</f>
        <v/>
      </c>
    </row>
    <row r="313">
      <c r="A313" s="21" t="str"/>
      <c r="B313" s="23" t="str"/>
      <c r="I313" s="2" t="str"/>
      <c r="J313" s="2" t="str"/>
      <c r="K313" s="2" t="str"/>
      <c r="L313" s="1" t="str"/>
      <c r="M313" s="2" t="str"/>
      <c r="N313" s="1" t="str"/>
      <c r="O313" s="1" t="str"/>
      <c r="P313" s="1" t="str"/>
      <c r="Q313" s="1">
        <f>IF(H313="Sí",1,0)</f>
        <v/>
      </c>
      <c r="R313" s="1">
        <f>IF(L313="En coordinación",1,0)</f>
        <v/>
      </c>
      <c r="T313">
        <f>IF(N313="Sí",1,0)</f>
        <v/>
      </c>
      <c r="U313">
        <f>IF(L313="Aceptada",1,0)</f>
        <v/>
      </c>
    </row>
    <row r="314">
      <c r="A314" s="21" t="str"/>
      <c r="B314" s="23" t="str"/>
      <c r="I314" s="2" t="str"/>
      <c r="J314" s="2" t="str"/>
      <c r="K314" s="2" t="str"/>
      <c r="L314" s="1" t="str"/>
      <c r="M314" s="2" t="str"/>
      <c r="N314" s="1" t="str"/>
      <c r="O314" s="1" t="str"/>
      <c r="P314" s="1" t="str"/>
      <c r="Q314" s="1">
        <f>IF(H314="Sí",1,0)</f>
        <v/>
      </c>
      <c r="R314" s="1">
        <f>IF(L314="En coordinación",1,0)</f>
        <v/>
      </c>
      <c r="T314">
        <f>IF(N314="Sí",1,0)</f>
        <v/>
      </c>
      <c r="U314">
        <f>IF(L314="Aceptada",1,0)</f>
        <v/>
      </c>
    </row>
    <row r="315">
      <c r="A315" s="21" t="str"/>
      <c r="B315" s="23" t="str"/>
      <c r="I315" s="2" t="str"/>
      <c r="J315" s="2" t="str"/>
      <c r="K315" s="2" t="str"/>
      <c r="L315" s="1" t="str"/>
      <c r="M315" s="2" t="str"/>
      <c r="N315" s="1" t="str"/>
      <c r="O315" s="1" t="str"/>
      <c r="P315" s="1" t="str"/>
      <c r="Q315" s="1">
        <f>IF(H315="Sí",1,0)</f>
        <v/>
      </c>
      <c r="R315" s="1">
        <f>IF(L315="En coordinación",1,0)</f>
        <v/>
      </c>
      <c r="T315">
        <f>IF(N315="Sí",1,0)</f>
        <v/>
      </c>
      <c r="U315">
        <f>IF(L315="Aceptada",1,0)</f>
        <v/>
      </c>
    </row>
    <row r="316">
      <c r="A316" s="21" t="str"/>
      <c r="B316" s="23" t="str"/>
      <c r="I316" s="2" t="str"/>
      <c r="J316" s="2" t="str"/>
      <c r="K316" s="2" t="str"/>
      <c r="L316" s="1" t="str"/>
      <c r="M316" s="2" t="str"/>
      <c r="N316" s="1" t="str"/>
      <c r="O316" s="1" t="str"/>
      <c r="P316" s="1" t="str"/>
      <c r="Q316" s="1">
        <f>IF(H316="Sí",1,0)</f>
        <v/>
      </c>
      <c r="R316" s="1">
        <f>IF(L316="En coordinación",1,0)</f>
        <v/>
      </c>
      <c r="T316">
        <f>IF(N316="Sí",1,0)</f>
        <v/>
      </c>
      <c r="U316">
        <f>IF(L316="Aceptada",1,0)</f>
        <v/>
      </c>
    </row>
    <row r="317">
      <c r="A317" s="21" t="str"/>
      <c r="B317" s="23" t="str"/>
      <c r="I317" s="2" t="str"/>
      <c r="J317" s="2" t="str"/>
      <c r="K317" s="2" t="str"/>
      <c r="L317" s="1" t="str"/>
      <c r="M317" s="2" t="str"/>
      <c r="N317" s="1" t="str"/>
      <c r="O317" s="1" t="str"/>
      <c r="P317" s="1" t="str"/>
      <c r="Q317" s="1">
        <f>IF(H317="Sí",1,0)</f>
        <v/>
      </c>
      <c r="R317" s="1">
        <f>IF(L317="En coordinación",1,0)</f>
        <v/>
      </c>
      <c r="T317">
        <f>IF(N317="Sí",1,0)</f>
        <v/>
      </c>
      <c r="U317">
        <f>IF(L317="Aceptada",1,0)</f>
        <v/>
      </c>
    </row>
    <row r="318">
      <c r="A318" s="21" t="str"/>
      <c r="B318" s="23" t="str"/>
      <c r="I318" s="2" t="str"/>
      <c r="J318" s="2" t="str"/>
      <c r="K318" s="2" t="str"/>
      <c r="L318" s="1" t="str"/>
      <c r="M318" s="2" t="str"/>
      <c r="N318" s="1" t="str"/>
      <c r="O318" s="1" t="str"/>
      <c r="P318" s="1" t="str"/>
      <c r="Q318" s="1">
        <f>IF(H318="Sí",1,0)</f>
        <v/>
      </c>
      <c r="R318" s="1">
        <f>IF(L318="En coordinación",1,0)</f>
        <v/>
      </c>
      <c r="T318">
        <f>IF(N318="Sí",1,0)</f>
        <v/>
      </c>
      <c r="U318">
        <f>IF(L318="Aceptada",1,0)</f>
        <v/>
      </c>
    </row>
    <row r="319">
      <c r="A319" s="21" t="str"/>
      <c r="B319" s="23" t="str"/>
      <c r="I319" s="2" t="str"/>
      <c r="J319" s="2" t="str"/>
      <c r="K319" s="2" t="str"/>
      <c r="L319" s="1" t="str"/>
      <c r="M319" s="2" t="str"/>
      <c r="N319" s="1" t="str"/>
      <c r="O319" s="1" t="str"/>
      <c r="P319" s="1" t="str"/>
      <c r="Q319" s="1">
        <f>IF(H319="Sí",1,0)</f>
        <v/>
      </c>
      <c r="R319" s="1">
        <f>IF(L319="En coordinación",1,0)</f>
        <v/>
      </c>
      <c r="T319">
        <f>IF(N319="Sí",1,0)</f>
        <v/>
      </c>
      <c r="U319">
        <f>IF(L319="Aceptada",1,0)</f>
        <v/>
      </c>
    </row>
    <row r="320">
      <c r="A320" s="21" t="str"/>
      <c r="B320" s="23" t="str"/>
      <c r="I320" s="2" t="str"/>
      <c r="J320" s="2" t="str"/>
      <c r="K320" s="2" t="str"/>
      <c r="L320" s="1" t="str"/>
      <c r="M320" s="2" t="str"/>
      <c r="N320" s="1" t="str"/>
      <c r="O320" s="1" t="str"/>
      <c r="P320" s="1" t="str"/>
      <c r="Q320" s="1">
        <f>IF(H320="Sí",1,0)</f>
        <v/>
      </c>
      <c r="R320" s="1">
        <f>IF(L320="En coordinación",1,0)</f>
        <v/>
      </c>
      <c r="T320">
        <f>IF(N320="Sí",1,0)</f>
        <v/>
      </c>
      <c r="U320">
        <f>IF(L320="Aceptada",1,0)</f>
        <v/>
      </c>
    </row>
    <row r="321">
      <c r="A321" s="21" t="str"/>
      <c r="B321" s="23" t="str"/>
      <c r="I321" s="2" t="str"/>
      <c r="J321" s="2" t="str"/>
      <c r="K321" s="2" t="str"/>
      <c r="L321" s="1" t="str"/>
      <c r="M321" s="2" t="str"/>
      <c r="N321" s="1" t="str"/>
      <c r="O321" s="1" t="str"/>
      <c r="P321" s="1" t="str"/>
      <c r="Q321" s="1">
        <f>IF(H321="Sí",1,0)</f>
        <v/>
      </c>
      <c r="R321" s="1">
        <f>IF(L321="En coordinación",1,0)</f>
        <v/>
      </c>
      <c r="T321">
        <f>IF(N321="Sí",1,0)</f>
        <v/>
      </c>
      <c r="U321">
        <f>IF(L321="Aceptada",1,0)</f>
        <v/>
      </c>
    </row>
    <row r="322">
      <c r="A322" s="21" t="str"/>
      <c r="B322" s="23" t="str"/>
      <c r="I322" s="2" t="str"/>
      <c r="J322" s="2" t="str"/>
      <c r="K322" s="2" t="str"/>
      <c r="L322" s="1" t="str"/>
      <c r="M322" s="2" t="str"/>
      <c r="N322" s="1" t="str"/>
      <c r="O322" s="1" t="str"/>
      <c r="P322" s="1" t="str"/>
      <c r="Q322" s="1">
        <f>IF(H322="Sí",1,0)</f>
        <v/>
      </c>
      <c r="R322" s="1">
        <f>IF(L322="En coordinación",1,0)</f>
        <v/>
      </c>
      <c r="T322">
        <f>IF(N322="Sí",1,0)</f>
        <v/>
      </c>
      <c r="U322">
        <f>IF(L322="Aceptada",1,0)</f>
        <v/>
      </c>
    </row>
    <row r="323">
      <c r="A323" s="21" t="str"/>
      <c r="B323" s="23" t="str"/>
      <c r="I323" s="2" t="str"/>
      <c r="J323" s="2" t="str"/>
      <c r="K323" s="2" t="str"/>
      <c r="L323" s="1" t="str"/>
      <c r="M323" s="2" t="str"/>
      <c r="N323" s="1" t="str"/>
      <c r="O323" s="1" t="str"/>
      <c r="P323" s="1" t="str"/>
      <c r="Q323" s="1">
        <f>IF(H323="Sí",1,0)</f>
        <v/>
      </c>
      <c r="R323" s="1">
        <f>IF(L323="En coordinación",1,0)</f>
        <v/>
      </c>
      <c r="T323">
        <f>IF(N323="Sí",1,0)</f>
        <v/>
      </c>
      <c r="U323">
        <f>IF(L323="Aceptada",1,0)</f>
        <v/>
      </c>
    </row>
    <row r="324">
      <c r="A324" s="21" t="str"/>
      <c r="B324" s="23" t="str"/>
      <c r="I324" s="2" t="str"/>
      <c r="J324" s="2" t="str"/>
      <c r="K324" s="2" t="str"/>
      <c r="L324" s="1" t="str"/>
      <c r="M324" s="2" t="str"/>
      <c r="N324" s="1" t="str"/>
      <c r="O324" s="1" t="str"/>
      <c r="P324" s="1" t="str"/>
      <c r="Q324" s="1">
        <f>IF(H324="Sí",1,0)</f>
        <v/>
      </c>
      <c r="R324" s="1">
        <f>IF(L324="En coordinación",1,0)</f>
        <v/>
      </c>
      <c r="T324">
        <f>IF(N324="Sí",1,0)</f>
        <v/>
      </c>
      <c r="U324">
        <f>IF(L324="Aceptada",1,0)</f>
        <v/>
      </c>
    </row>
    <row r="325">
      <c r="A325" s="21" t="str"/>
      <c r="B325" s="23" t="str"/>
      <c r="I325" s="2" t="str"/>
      <c r="J325" s="2" t="str"/>
      <c r="K325" s="2" t="str"/>
      <c r="L325" s="1" t="str"/>
      <c r="M325" s="2" t="str"/>
      <c r="N325" s="1" t="str"/>
      <c r="O325" s="1" t="str"/>
      <c r="P325" s="1" t="str"/>
      <c r="Q325" s="1">
        <f>IF(H325="Sí",1,0)</f>
        <v/>
      </c>
      <c r="R325" s="1">
        <f>IF(L325="En coordinación",1,0)</f>
        <v/>
      </c>
      <c r="T325">
        <f>IF(N325="Sí",1,0)</f>
        <v/>
      </c>
      <c r="U325">
        <f>IF(L325="Aceptada",1,0)</f>
        <v/>
      </c>
    </row>
    <row r="326">
      <c r="A326" s="21" t="str"/>
      <c r="B326" s="23" t="str"/>
      <c r="I326" s="2" t="str"/>
      <c r="J326" s="2" t="str"/>
      <c r="K326" s="2" t="str"/>
      <c r="L326" s="1" t="str"/>
      <c r="M326" s="2" t="str"/>
      <c r="N326" s="1" t="str"/>
      <c r="O326" s="1" t="str"/>
      <c r="P326" s="1" t="str"/>
      <c r="Q326" s="1">
        <f>IF(H326="Sí",1,0)</f>
        <v/>
      </c>
      <c r="R326" s="1">
        <f>IF(L326="En coordinación",1,0)</f>
        <v/>
      </c>
      <c r="T326">
        <f>IF(N326="Sí",1,0)</f>
        <v/>
      </c>
      <c r="U326">
        <f>IF(L326="Aceptada",1,0)</f>
        <v/>
      </c>
    </row>
    <row r="327">
      <c r="A327" s="21" t="str"/>
      <c r="B327" s="23" t="str"/>
      <c r="I327" s="2" t="str"/>
      <c r="J327" s="2" t="str"/>
      <c r="K327" s="2" t="str"/>
      <c r="L327" s="1" t="str"/>
      <c r="M327" s="2" t="str"/>
      <c r="N327" s="1" t="str"/>
      <c r="O327" s="1" t="str"/>
      <c r="P327" s="1" t="str"/>
      <c r="Q327" s="1">
        <f>IF(H327="Sí",1,0)</f>
        <v/>
      </c>
      <c r="R327" s="1">
        <f>IF(L327="En coordinación",1,0)</f>
        <v/>
      </c>
      <c r="T327">
        <f>IF(N327="Sí",1,0)</f>
        <v/>
      </c>
      <c r="U327">
        <f>IF(L327="Aceptada",1,0)</f>
        <v/>
      </c>
    </row>
    <row r="328">
      <c r="A328" s="21" t="str"/>
      <c r="B328" s="23" t="str"/>
      <c r="I328" s="2" t="str"/>
      <c r="J328" s="2" t="str"/>
      <c r="K328" s="2" t="str"/>
      <c r="L328" s="1" t="str"/>
      <c r="M328" s="2" t="str"/>
      <c r="N328" s="1" t="str"/>
      <c r="O328" s="1" t="str"/>
      <c r="P328" s="1" t="str"/>
      <c r="Q328" s="1">
        <f>IF(H328="Sí",1,0)</f>
        <v/>
      </c>
      <c r="R328" s="1">
        <f>IF(L328="En coordinación",1,0)</f>
        <v/>
      </c>
      <c r="T328">
        <f>IF(N328="Sí",1,0)</f>
        <v/>
      </c>
      <c r="U328">
        <f>IF(L328="Aceptada",1,0)</f>
        <v/>
      </c>
    </row>
    <row r="329">
      <c r="A329" s="21" t="str"/>
      <c r="B329" s="23" t="str"/>
      <c r="I329" s="2" t="str"/>
      <c r="J329" s="2" t="str"/>
      <c r="K329" s="2" t="str"/>
      <c r="L329" s="1" t="str"/>
      <c r="M329" s="2" t="str"/>
      <c r="N329" s="1" t="str"/>
      <c r="O329" s="1" t="str"/>
      <c r="P329" s="1" t="str"/>
      <c r="Q329" s="1">
        <f>IF(H329="Sí",1,0)</f>
        <v/>
      </c>
      <c r="R329" s="1">
        <f>IF(L329="En coordinación",1,0)</f>
        <v/>
      </c>
      <c r="T329">
        <f>IF(N329="Sí",1,0)</f>
        <v/>
      </c>
      <c r="U329">
        <f>IF(L329="Aceptada",1,0)</f>
        <v/>
      </c>
    </row>
    <row r="330">
      <c r="A330" s="21" t="str"/>
      <c r="B330" s="23" t="str"/>
      <c r="I330" s="2" t="str"/>
      <c r="J330" s="2" t="str"/>
      <c r="K330" s="2" t="str"/>
      <c r="L330" s="1" t="str"/>
      <c r="M330" s="2" t="str"/>
      <c r="N330" s="1" t="str"/>
      <c r="O330" s="1" t="str"/>
      <c r="P330" s="1" t="str"/>
      <c r="Q330" s="1">
        <f>IF(H330="Sí",1,0)</f>
        <v/>
      </c>
      <c r="R330" s="1">
        <f>IF(L330="En coordinación",1,0)</f>
        <v/>
      </c>
      <c r="T330">
        <f>IF(N330="Sí",1,0)</f>
        <v/>
      </c>
      <c r="U330">
        <f>IF(L330="Aceptada",1,0)</f>
        <v/>
      </c>
    </row>
    <row r="331">
      <c r="A331" s="21" t="str"/>
      <c r="B331" s="23" t="str"/>
      <c r="I331" s="2" t="str"/>
      <c r="J331" s="2" t="str"/>
      <c r="K331" s="2" t="str"/>
      <c r="L331" s="1" t="str"/>
      <c r="M331" s="2" t="str"/>
      <c r="N331" s="1" t="str"/>
      <c r="O331" s="1" t="str"/>
      <c r="P331" s="1" t="str"/>
      <c r="Q331" s="1">
        <f>IF(H331="Sí",1,0)</f>
        <v/>
      </c>
      <c r="R331" s="1">
        <f>IF(L331="En coordinación",1,0)</f>
        <v/>
      </c>
      <c r="T331">
        <f>IF(N331="Sí",1,0)</f>
        <v/>
      </c>
      <c r="U331">
        <f>IF(L331="Aceptada",1,0)</f>
        <v/>
      </c>
    </row>
    <row r="332">
      <c r="A332" s="21" t="str"/>
      <c r="B332" s="23" t="str"/>
      <c r="I332" s="2" t="str"/>
      <c r="J332" s="2" t="str"/>
      <c r="K332" s="2" t="str"/>
      <c r="L332" s="1" t="str"/>
      <c r="M332" s="2" t="str"/>
      <c r="N332" s="1" t="str"/>
      <c r="O332" s="1" t="str"/>
      <c r="P332" s="1" t="str"/>
      <c r="Q332" s="1">
        <f>IF(H332="Sí",1,0)</f>
        <v/>
      </c>
      <c r="R332" s="1">
        <f>IF(L332="En coordinación",1,0)</f>
        <v/>
      </c>
      <c r="T332">
        <f>IF(N332="Sí",1,0)</f>
        <v/>
      </c>
      <c r="U332">
        <f>IF(L332="Aceptada",1,0)</f>
        <v/>
      </c>
    </row>
    <row r="333">
      <c r="A333" s="21" t="str"/>
      <c r="B333" s="23" t="str"/>
      <c r="I333" s="2" t="str"/>
      <c r="J333" s="2" t="str"/>
      <c r="K333" s="2" t="str"/>
      <c r="L333" s="1" t="str"/>
      <c r="M333" s="2" t="str"/>
      <c r="N333" s="1" t="str"/>
      <c r="O333" s="1" t="str"/>
      <c r="P333" s="1" t="str"/>
      <c r="Q333" s="1">
        <f>IF(H333="Sí",1,0)</f>
        <v/>
      </c>
      <c r="R333" s="1">
        <f>IF(L333="En coordinación",1,0)</f>
        <v/>
      </c>
      <c r="T333">
        <f>IF(N333="Sí",1,0)</f>
        <v/>
      </c>
      <c r="U333">
        <f>IF(L333="Aceptada",1,0)</f>
        <v/>
      </c>
    </row>
    <row r="334">
      <c r="A334" s="21" t="str"/>
      <c r="B334" s="23" t="str"/>
      <c r="I334" s="2" t="str"/>
      <c r="J334" s="2" t="str"/>
      <c r="K334" s="2" t="str"/>
      <c r="L334" s="1" t="str"/>
      <c r="M334" s="2" t="str"/>
      <c r="N334" s="1" t="str"/>
      <c r="O334" s="1" t="str"/>
      <c r="P334" s="1" t="str"/>
      <c r="Q334" s="1">
        <f>IF(H334="Sí",1,0)</f>
        <v/>
      </c>
      <c r="R334" s="1">
        <f>IF(L334="En coordinación",1,0)</f>
        <v/>
      </c>
      <c r="T334">
        <f>IF(N334="Sí",1,0)</f>
        <v/>
      </c>
      <c r="U334">
        <f>IF(L334="Aceptada",1,0)</f>
        <v/>
      </c>
    </row>
    <row r="335">
      <c r="A335" s="21" t="str"/>
      <c r="B335" s="23" t="str"/>
      <c r="I335" s="2" t="str"/>
      <c r="J335" s="2" t="str"/>
      <c r="K335" s="2" t="str"/>
      <c r="L335" s="1" t="str"/>
      <c r="M335" s="2" t="str"/>
      <c r="N335" s="1" t="str"/>
      <c r="O335" s="1" t="str"/>
      <c r="P335" s="1" t="str"/>
      <c r="Q335" s="1">
        <f>IF(H335="Sí",1,0)</f>
        <v/>
      </c>
      <c r="R335" s="1">
        <f>IF(L335="En coordinación",1,0)</f>
        <v/>
      </c>
      <c r="T335">
        <f>IF(N335="Sí",1,0)</f>
        <v/>
      </c>
      <c r="U335">
        <f>IF(L335="Aceptada",1,0)</f>
        <v/>
      </c>
    </row>
    <row r="336">
      <c r="A336" s="21" t="str"/>
      <c r="B336" s="23" t="str"/>
      <c r="I336" s="2" t="str"/>
      <c r="J336" s="2" t="str"/>
      <c r="K336" s="2" t="str"/>
      <c r="L336" s="1" t="str"/>
      <c r="M336" s="2" t="str"/>
      <c r="N336" s="1" t="str"/>
      <c r="O336" s="1" t="str"/>
      <c r="P336" s="1" t="str"/>
      <c r="Q336" s="1">
        <f>IF(H336="Sí",1,0)</f>
        <v/>
      </c>
      <c r="R336" s="1">
        <f>IF(L336="En coordinación",1,0)</f>
        <v/>
      </c>
      <c r="T336">
        <f>IF(N336="Sí",1,0)</f>
        <v/>
      </c>
      <c r="U336">
        <f>IF(L336="Aceptada",1,0)</f>
        <v/>
      </c>
    </row>
    <row r="337">
      <c r="A337" s="21" t="str"/>
      <c r="B337" s="23" t="str"/>
      <c r="I337" s="2" t="str"/>
      <c r="J337" s="2" t="str"/>
      <c r="K337" s="2" t="str"/>
      <c r="L337" s="1" t="str"/>
      <c r="M337" s="2" t="str"/>
      <c r="N337" s="1" t="str"/>
      <c r="O337" s="1" t="str"/>
      <c r="P337" s="1" t="str"/>
      <c r="Q337" s="1">
        <f>IF(H337="Sí",1,0)</f>
        <v/>
      </c>
      <c r="R337" s="1">
        <f>IF(L337="En coordinación",1,0)</f>
        <v/>
      </c>
      <c r="T337">
        <f>IF(N337="Sí",1,0)</f>
        <v/>
      </c>
      <c r="U337">
        <f>IF(L337="Aceptada",1,0)</f>
        <v/>
      </c>
    </row>
    <row r="338">
      <c r="A338" s="21" t="str"/>
      <c r="B338" s="23" t="str"/>
      <c r="I338" s="2" t="str"/>
      <c r="J338" s="2" t="str"/>
      <c r="K338" s="2" t="str"/>
      <c r="L338" s="1" t="str"/>
      <c r="M338" s="2" t="str"/>
      <c r="N338" s="1" t="str"/>
      <c r="O338" s="1" t="str"/>
      <c r="P338" s="1" t="str"/>
      <c r="Q338" s="1">
        <f>IF(H338="Sí",1,0)</f>
        <v/>
      </c>
      <c r="R338" s="1">
        <f>IF(L338="En coordinación",1,0)</f>
        <v/>
      </c>
      <c r="T338">
        <f>IF(N338="Sí",1,0)</f>
        <v/>
      </c>
      <c r="U338">
        <f>IF(L338="Aceptada",1,0)</f>
        <v/>
      </c>
    </row>
    <row r="339">
      <c r="A339" s="21" t="str"/>
      <c r="B339" s="23" t="str"/>
      <c r="I339" s="2" t="str"/>
      <c r="J339" s="2" t="str"/>
      <c r="K339" s="2" t="str"/>
      <c r="L339" s="1" t="str"/>
      <c r="M339" s="2" t="str"/>
      <c r="N339" s="1" t="str"/>
      <c r="O339" s="1" t="str"/>
      <c r="P339" s="1" t="str"/>
      <c r="Q339" s="1">
        <f>IF(H339="Sí",1,0)</f>
        <v/>
      </c>
      <c r="R339" s="1">
        <f>IF(L339="En coordinación",1,0)</f>
        <v/>
      </c>
      <c r="T339">
        <f>IF(N339="Sí",1,0)</f>
        <v/>
      </c>
      <c r="U339">
        <f>IF(L339="Aceptada",1,0)</f>
        <v/>
      </c>
    </row>
    <row r="340">
      <c r="A340" s="21" t="str"/>
      <c r="B340" s="23" t="str"/>
      <c r="I340" s="2" t="str"/>
      <c r="J340" s="2" t="str"/>
      <c r="K340" s="2" t="str"/>
      <c r="L340" s="1" t="str"/>
      <c r="M340" s="2" t="str"/>
      <c r="N340" s="1" t="str"/>
      <c r="O340" s="1" t="str"/>
      <c r="P340" s="1" t="str"/>
      <c r="Q340" s="1">
        <f>IF(H340="Sí",1,0)</f>
        <v/>
      </c>
      <c r="R340" s="1">
        <f>IF(L340="En coordinación",1,0)</f>
        <v/>
      </c>
      <c r="T340">
        <f>IF(N340="Sí",1,0)</f>
        <v/>
      </c>
      <c r="U340">
        <f>IF(L340="Aceptada",1,0)</f>
        <v/>
      </c>
    </row>
    <row r="341">
      <c r="A341" s="21" t="str"/>
      <c r="B341" s="23" t="str"/>
      <c r="I341" s="2" t="str"/>
      <c r="J341" s="2" t="str"/>
      <c r="K341" s="2" t="str"/>
      <c r="L341" s="1" t="str"/>
      <c r="M341" s="2" t="str"/>
      <c r="N341" s="1" t="str"/>
      <c r="O341" s="1" t="str"/>
      <c r="P341" s="1" t="str"/>
      <c r="Q341" s="1">
        <f>IF(H341="Sí",1,0)</f>
        <v/>
      </c>
      <c r="R341" s="1">
        <f>IF(L341="En coordinación",1,0)</f>
        <v/>
      </c>
      <c r="T341">
        <f>IF(N341="Sí",1,0)</f>
        <v/>
      </c>
      <c r="U341">
        <f>IF(L341="Aceptada",1,0)</f>
        <v/>
      </c>
    </row>
    <row r="342">
      <c r="A342" s="21" t="str"/>
      <c r="B342" s="23" t="str"/>
      <c r="I342" s="2" t="str"/>
      <c r="J342" s="2" t="str"/>
      <c r="K342" s="2" t="str"/>
      <c r="L342" s="1" t="str"/>
      <c r="M342" s="2" t="str"/>
      <c r="N342" s="1" t="str"/>
      <c r="O342" s="1" t="str"/>
      <c r="P342" s="1" t="str"/>
      <c r="Q342" s="1">
        <f>IF(H342="Sí",1,0)</f>
        <v/>
      </c>
      <c r="R342" s="1">
        <f>IF(L342="En coordinación",1,0)</f>
        <v/>
      </c>
      <c r="T342">
        <f>IF(N342="Sí",1,0)</f>
        <v/>
      </c>
      <c r="U342">
        <f>IF(L342="Aceptada",1,0)</f>
        <v/>
      </c>
    </row>
    <row r="343">
      <c r="A343" s="21" t="str"/>
      <c r="B343" s="23" t="str"/>
      <c r="I343" s="2" t="str"/>
      <c r="J343" s="2" t="str"/>
      <c r="K343" s="2" t="str"/>
      <c r="L343" s="1" t="str"/>
      <c r="M343" s="2" t="str"/>
      <c r="N343" s="1" t="str"/>
      <c r="O343" s="1" t="str"/>
      <c r="P343" s="1" t="str"/>
      <c r="Q343" s="1">
        <f>IF(H343="Sí",1,0)</f>
        <v/>
      </c>
      <c r="R343" s="1">
        <f>IF(L343="En coordinación",1,0)</f>
        <v/>
      </c>
      <c r="T343">
        <f>IF(N343="Sí",1,0)</f>
        <v/>
      </c>
      <c r="U343">
        <f>IF(L343="Aceptada",1,0)</f>
        <v/>
      </c>
    </row>
    <row r="344">
      <c r="A344" s="21" t="str"/>
      <c r="B344" s="23" t="str"/>
      <c r="I344" s="2" t="str"/>
      <c r="J344" s="2" t="str"/>
      <c r="K344" s="2" t="str"/>
      <c r="L344" s="1" t="str"/>
      <c r="M344" s="2" t="str"/>
      <c r="N344" s="1" t="str"/>
      <c r="O344" s="1" t="str"/>
      <c r="P344" s="1" t="str"/>
      <c r="Q344" s="1">
        <f>IF(H344="Sí",1,0)</f>
        <v/>
      </c>
      <c r="R344" s="1">
        <f>IF(L344="En coordinación",1,0)</f>
        <v/>
      </c>
      <c r="T344">
        <f>IF(N344="Sí",1,0)</f>
        <v/>
      </c>
      <c r="U344">
        <f>IF(L344="Aceptada",1,0)</f>
        <v/>
      </c>
    </row>
    <row r="345">
      <c r="A345" s="21" t="str"/>
      <c r="B345" s="23" t="str"/>
      <c r="I345" s="2" t="str"/>
      <c r="J345" s="2" t="str"/>
      <c r="K345" s="2" t="str"/>
      <c r="L345" s="1" t="str"/>
      <c r="M345" s="2" t="str"/>
      <c r="N345" s="1" t="str"/>
      <c r="O345" s="1" t="str"/>
      <c r="P345" s="1" t="str"/>
      <c r="Q345" s="1">
        <f>IF(H345="Sí",1,0)</f>
        <v/>
      </c>
      <c r="R345" s="1">
        <f>IF(L345="En coordinación",1,0)</f>
        <v/>
      </c>
      <c r="T345">
        <f>IF(N345="Sí",1,0)</f>
        <v/>
      </c>
      <c r="U345">
        <f>IF(L345="Aceptada",1,0)</f>
        <v/>
      </c>
    </row>
    <row r="346">
      <c r="A346" s="21" t="str"/>
      <c r="B346" s="23" t="str"/>
      <c r="I346" s="2" t="str"/>
      <c r="J346" s="2" t="str"/>
      <c r="K346" s="2" t="str"/>
      <c r="L346" s="1" t="str"/>
      <c r="M346" s="2" t="str"/>
      <c r="N346" s="1" t="str"/>
      <c r="O346" s="1" t="str"/>
      <c r="P346" s="1" t="str"/>
      <c r="Q346" s="1">
        <f>IF(H346="Sí",1,0)</f>
        <v/>
      </c>
      <c r="R346" s="1">
        <f>IF(L346="En coordinación",1,0)</f>
        <v/>
      </c>
      <c r="T346">
        <f>IF(N346="Sí",1,0)</f>
        <v/>
      </c>
      <c r="U346">
        <f>IF(L346="Aceptada",1,0)</f>
        <v/>
      </c>
    </row>
    <row r="347">
      <c r="A347" s="21" t="str"/>
      <c r="B347" s="23" t="str"/>
      <c r="I347" s="2" t="str"/>
      <c r="J347" s="2" t="str"/>
      <c r="K347" s="2" t="str"/>
      <c r="L347" s="1" t="str"/>
      <c r="M347" s="2" t="str"/>
      <c r="N347" s="1" t="str"/>
      <c r="O347" s="1" t="str"/>
      <c r="P347" s="1" t="str"/>
      <c r="Q347" s="1">
        <f>IF(H347="Sí",1,0)</f>
        <v/>
      </c>
      <c r="R347" s="1">
        <f>IF(L347="En coordinación",1,0)</f>
        <v/>
      </c>
      <c r="T347">
        <f>IF(N347="Sí",1,0)</f>
        <v/>
      </c>
      <c r="U347">
        <f>IF(L347="Aceptada",1,0)</f>
        <v/>
      </c>
    </row>
    <row r="348">
      <c r="A348" s="21" t="str"/>
      <c r="B348" s="23" t="str"/>
      <c r="I348" s="2" t="str"/>
      <c r="J348" s="2" t="str"/>
      <c r="K348" s="2" t="str"/>
      <c r="L348" s="1" t="str"/>
      <c r="M348" s="2" t="str"/>
      <c r="N348" s="1" t="str"/>
      <c r="O348" s="1" t="str"/>
      <c r="P348" s="1" t="str"/>
      <c r="Q348" s="1">
        <f>IF(H348="Sí",1,0)</f>
        <v/>
      </c>
      <c r="R348" s="1">
        <f>IF(L348="En coordinación",1,0)</f>
        <v/>
      </c>
      <c r="T348">
        <f>IF(N348="Sí",1,0)</f>
        <v/>
      </c>
      <c r="U348">
        <f>IF(L348="Aceptada",1,0)</f>
        <v/>
      </c>
    </row>
    <row r="349">
      <c r="A349" s="21" t="str"/>
      <c r="B349" s="23" t="str"/>
      <c r="I349" s="2" t="str"/>
      <c r="J349" s="2" t="str"/>
      <c r="K349" s="2" t="str"/>
      <c r="L349" s="1" t="str"/>
      <c r="M349" s="2" t="str"/>
      <c r="N349" s="1" t="str"/>
      <c r="O349" s="1" t="str"/>
      <c r="P349" s="1" t="str"/>
      <c r="Q349" s="1">
        <f>IF(H349="Sí",1,0)</f>
        <v/>
      </c>
      <c r="R349" s="1">
        <f>IF(L349="En coordinación",1,0)</f>
        <v/>
      </c>
      <c r="T349">
        <f>IF(N349="Sí",1,0)</f>
        <v/>
      </c>
      <c r="U349">
        <f>IF(L349="Aceptada",1,0)</f>
        <v/>
      </c>
    </row>
    <row r="350">
      <c r="A350" s="21" t="str"/>
      <c r="B350" s="23" t="str"/>
      <c r="I350" s="2" t="str"/>
      <c r="J350" s="2" t="str"/>
      <c r="K350" s="2" t="str"/>
      <c r="L350" s="1" t="str"/>
      <c r="M350" s="2" t="str"/>
      <c r="N350" s="1" t="str"/>
      <c r="O350" s="1" t="str"/>
      <c r="P350" s="1" t="str"/>
      <c r="Q350" s="1">
        <f>IF(H350="Sí",1,0)</f>
        <v/>
      </c>
      <c r="R350" s="1">
        <f>IF(L350="En coordinación",1,0)</f>
        <v/>
      </c>
      <c r="T350">
        <f>IF(N350="Sí",1,0)</f>
        <v/>
      </c>
      <c r="U350">
        <f>IF(L350="Aceptada",1,0)</f>
        <v/>
      </c>
    </row>
    <row r="351">
      <c r="A351" s="21" t="str"/>
      <c r="B351" s="23" t="str"/>
      <c r="I351" s="2" t="str"/>
      <c r="J351" s="2" t="str"/>
      <c r="K351" s="2" t="str"/>
      <c r="L351" s="1" t="str"/>
      <c r="M351" s="2" t="str"/>
      <c r="N351" s="1" t="str"/>
      <c r="O351" s="1" t="str"/>
      <c r="P351" s="1" t="str"/>
      <c r="Q351" s="1">
        <f>IF(H351="Sí",1,0)</f>
        <v/>
      </c>
      <c r="R351" s="1">
        <f>IF(L351="En coordinación",1,0)</f>
        <v/>
      </c>
      <c r="T351">
        <f>IF(N351="Sí",1,0)</f>
        <v/>
      </c>
      <c r="U351">
        <f>IF(L351="Aceptada",1,0)</f>
        <v/>
      </c>
    </row>
    <row r="352">
      <c r="A352" s="21" t="str"/>
      <c r="B352" s="23" t="str"/>
      <c r="I352" s="2" t="str"/>
      <c r="J352" s="2" t="str"/>
      <c r="K352" s="2" t="str"/>
      <c r="L352" s="1" t="str"/>
      <c r="M352" s="2" t="str"/>
      <c r="N352" s="1" t="str"/>
      <c r="O352" s="1" t="str"/>
      <c r="P352" s="1" t="str"/>
      <c r="Q352" s="1">
        <f>IF(H352="Sí",1,0)</f>
        <v/>
      </c>
      <c r="R352" s="1">
        <f>IF(L352="En coordinación",1,0)</f>
        <v/>
      </c>
      <c r="T352">
        <f>IF(N352="Sí",1,0)</f>
        <v/>
      </c>
      <c r="U352">
        <f>IF(L352="Aceptada",1,0)</f>
        <v/>
      </c>
    </row>
    <row r="353">
      <c r="A353" s="21" t="str"/>
      <c r="B353" s="23" t="str"/>
      <c r="I353" s="2" t="str"/>
      <c r="J353" s="2" t="str"/>
      <c r="K353" s="2" t="str"/>
      <c r="L353" s="1" t="str"/>
      <c r="M353" s="2" t="str"/>
      <c r="N353" s="1" t="str"/>
      <c r="O353" s="1" t="str"/>
      <c r="P353" s="1" t="str"/>
      <c r="Q353" s="1">
        <f>IF(H353="Sí",1,0)</f>
        <v/>
      </c>
      <c r="R353" s="1">
        <f>IF(L353="En coordinación",1,0)</f>
        <v/>
      </c>
      <c r="T353">
        <f>IF(N353="Sí",1,0)</f>
        <v/>
      </c>
      <c r="U353">
        <f>IF(L353="Aceptada",1,0)</f>
        <v/>
      </c>
    </row>
    <row r="354">
      <c r="A354" s="21" t="str"/>
      <c r="B354" s="23" t="str"/>
      <c r="I354" s="2" t="str"/>
      <c r="J354" s="2" t="str"/>
      <c r="K354" s="2" t="str"/>
      <c r="L354" s="1" t="str"/>
      <c r="M354" s="2" t="str"/>
      <c r="N354" s="1" t="str"/>
      <c r="O354" s="1" t="str"/>
      <c r="P354" s="1" t="str"/>
      <c r="Q354" s="1">
        <f>IF(H354="Sí",1,0)</f>
        <v/>
      </c>
      <c r="R354" s="1">
        <f>IF(L354="En coordinación",1,0)</f>
        <v/>
      </c>
      <c r="T354">
        <f>IF(N354="Sí",1,0)</f>
        <v/>
      </c>
      <c r="U354">
        <f>IF(L354="Aceptada",1,0)</f>
        <v/>
      </c>
    </row>
    <row r="355">
      <c r="A355" s="21" t="str"/>
      <c r="B355" s="23" t="str"/>
      <c r="I355" s="2" t="str"/>
      <c r="J355" s="2" t="str"/>
      <c r="K355" s="2" t="str"/>
      <c r="L355" s="1" t="str"/>
      <c r="M355" s="2" t="str"/>
      <c r="N355" s="1" t="str"/>
      <c r="O355" s="1" t="str"/>
      <c r="P355" s="1" t="str"/>
      <c r="Q355" s="1">
        <f>IF(H355="Sí",1,0)</f>
        <v/>
      </c>
      <c r="R355" s="1">
        <f>IF(L355="En coordinación",1,0)</f>
        <v/>
      </c>
      <c r="T355">
        <f>IF(N355="Sí",1,0)</f>
        <v/>
      </c>
      <c r="U355">
        <f>IF(L355="Aceptada",1,0)</f>
        <v/>
      </c>
    </row>
    <row r="356">
      <c r="A356" s="21" t="str"/>
      <c r="B356" s="23" t="str"/>
      <c r="I356" s="2" t="str"/>
      <c r="J356" s="2" t="str"/>
      <c r="K356" s="2" t="str"/>
      <c r="L356" s="1" t="str"/>
      <c r="M356" s="2" t="str"/>
      <c r="N356" s="1" t="str"/>
      <c r="O356" s="1" t="str"/>
      <c r="P356" s="1" t="str"/>
      <c r="Q356" s="1">
        <f>IF(H356="Sí",1,0)</f>
        <v/>
      </c>
      <c r="R356" s="1">
        <f>IF(L356="En coordinación",1,0)</f>
        <v/>
      </c>
      <c r="T356">
        <f>IF(N356="Sí",1,0)</f>
        <v/>
      </c>
      <c r="U356">
        <f>IF(L356="Aceptada",1,0)</f>
        <v/>
      </c>
    </row>
    <row r="357">
      <c r="A357" s="21" t="str"/>
      <c r="B357" s="23" t="str"/>
      <c r="I357" s="2" t="str"/>
      <c r="J357" s="2" t="str"/>
      <c r="K357" s="2" t="str"/>
      <c r="L357" s="1" t="str"/>
      <c r="M357" s="2" t="str"/>
      <c r="N357" s="1" t="str"/>
      <c r="O357" s="1" t="str"/>
      <c r="P357" s="1" t="str"/>
      <c r="Q357" s="1">
        <f>IF(H357="Sí",1,0)</f>
        <v/>
      </c>
      <c r="R357" s="1">
        <f>IF(L357="En coordinación",1,0)</f>
        <v/>
      </c>
      <c r="T357">
        <f>IF(N357="Sí",1,0)</f>
        <v/>
      </c>
      <c r="U357">
        <f>IF(L357="Aceptada",1,0)</f>
        <v/>
      </c>
    </row>
    <row r="358">
      <c r="A358" s="21" t="str"/>
      <c r="B358" s="23" t="str"/>
      <c r="I358" s="2" t="str"/>
      <c r="J358" s="2" t="str"/>
      <c r="K358" s="2" t="str"/>
      <c r="L358" s="1" t="str"/>
      <c r="M358" s="2" t="str"/>
      <c r="N358" s="1" t="str"/>
      <c r="O358" s="1" t="str"/>
      <c r="P358" s="1" t="str"/>
      <c r="Q358" s="1">
        <f>IF(H358="Sí",1,0)</f>
        <v/>
      </c>
      <c r="R358" s="1">
        <f>IF(L358="En coordinación",1,0)</f>
        <v/>
      </c>
      <c r="T358">
        <f>IF(N358="Sí",1,0)</f>
        <v/>
      </c>
      <c r="U358">
        <f>IF(L358="Aceptada",1,0)</f>
        <v/>
      </c>
    </row>
    <row r="359">
      <c r="A359" s="21" t="str"/>
      <c r="B359" s="23" t="str"/>
      <c r="I359" s="2" t="str"/>
      <c r="J359" s="2" t="str"/>
      <c r="K359" s="2" t="str"/>
      <c r="L359" s="1" t="str"/>
      <c r="M359" s="2" t="str"/>
      <c r="N359" s="1" t="str"/>
      <c r="O359" s="1" t="str"/>
      <c r="P359" s="1" t="str"/>
      <c r="Q359" s="1">
        <f>IF(H359="Sí",1,0)</f>
        <v/>
      </c>
      <c r="R359" s="1">
        <f>IF(L359="En coordinación",1,0)</f>
        <v/>
      </c>
      <c r="T359">
        <f>IF(N359="Sí",1,0)</f>
        <v/>
      </c>
      <c r="U359">
        <f>IF(L359="Aceptada",1,0)</f>
        <v/>
      </c>
    </row>
    <row r="360">
      <c r="A360" s="21" t="str"/>
      <c r="B360" s="23" t="str"/>
      <c r="I360" s="2" t="str"/>
      <c r="J360" s="2" t="str"/>
      <c r="K360" s="2" t="str"/>
      <c r="L360" s="1" t="str"/>
      <c r="M360" s="2" t="str"/>
      <c r="N360" s="1" t="str"/>
      <c r="O360" s="1" t="str"/>
      <c r="P360" s="1" t="str"/>
      <c r="Q360" s="1">
        <f>IF(H360="Sí",1,0)</f>
        <v/>
      </c>
      <c r="R360" s="1">
        <f>IF(L360="En coordinación",1,0)</f>
        <v/>
      </c>
      <c r="T360">
        <f>IF(N360="Sí",1,0)</f>
        <v/>
      </c>
      <c r="U360">
        <f>IF(L360="Aceptada",1,0)</f>
        <v/>
      </c>
    </row>
    <row r="361">
      <c r="A361" s="21" t="str"/>
      <c r="B361" s="23" t="str"/>
      <c r="I361" s="2" t="str"/>
      <c r="J361" s="2" t="str"/>
      <c r="K361" s="2" t="str"/>
      <c r="L361" s="1" t="str"/>
      <c r="M361" s="2" t="str"/>
      <c r="N361" s="1" t="str"/>
      <c r="O361" s="1" t="str"/>
      <c r="P361" s="1" t="str"/>
      <c r="Q361" s="1">
        <f>IF(H361="Sí",1,0)</f>
        <v/>
      </c>
      <c r="R361" s="1">
        <f>IF(L361="En coordinación",1,0)</f>
        <v/>
      </c>
      <c r="T361">
        <f>IF(N361="Sí",1,0)</f>
        <v/>
      </c>
      <c r="U361">
        <f>IF(L361="Aceptada",1,0)</f>
        <v/>
      </c>
    </row>
    <row r="362">
      <c r="A362" s="21" t="str"/>
      <c r="B362" s="23" t="str"/>
      <c r="I362" s="2" t="str"/>
      <c r="J362" s="2" t="str"/>
      <c r="K362" s="2" t="str"/>
      <c r="L362" s="1" t="str"/>
      <c r="M362" s="2" t="str"/>
      <c r="N362" s="1" t="str"/>
      <c r="O362" s="1" t="str"/>
      <c r="P362" s="1" t="str"/>
      <c r="Q362" s="1">
        <f>IF(H362="Sí",1,0)</f>
        <v/>
      </c>
      <c r="R362" s="1">
        <f>IF(L362="En coordinación",1,0)</f>
        <v/>
      </c>
      <c r="T362">
        <f>IF(N362="Sí",1,0)</f>
        <v/>
      </c>
      <c r="U362">
        <f>IF(L362="Aceptada",1,0)</f>
        <v/>
      </c>
    </row>
    <row r="363">
      <c r="A363" s="21" t="str"/>
      <c r="B363" s="23" t="str"/>
      <c r="I363" s="2" t="str"/>
      <c r="J363" s="2" t="str"/>
      <c r="K363" s="2" t="str"/>
      <c r="L363" s="1" t="str"/>
      <c r="M363" s="2" t="str"/>
      <c r="N363" s="1" t="str"/>
      <c r="O363" s="1" t="str"/>
      <c r="P363" s="1" t="str"/>
      <c r="Q363" s="1">
        <f>IF(H363="Sí",1,0)</f>
        <v/>
      </c>
      <c r="R363" s="1">
        <f>IF(L363="En coordinación",1,0)</f>
        <v/>
      </c>
      <c r="T363">
        <f>IF(N363="Sí",1,0)</f>
        <v/>
      </c>
      <c r="U363">
        <f>IF(L363="Aceptada",1,0)</f>
        <v/>
      </c>
    </row>
    <row r="364">
      <c r="A364" s="21" t="str"/>
      <c r="B364" s="23" t="str"/>
      <c r="I364" s="2" t="str"/>
      <c r="J364" s="2" t="str"/>
      <c r="K364" s="2" t="str"/>
      <c r="L364" s="1" t="str"/>
      <c r="M364" s="2" t="str"/>
      <c r="N364" s="1" t="str"/>
      <c r="O364" s="1" t="str"/>
      <c r="P364" s="1" t="str"/>
      <c r="Q364" s="1">
        <f>IF(H364="Sí",1,0)</f>
        <v/>
      </c>
      <c r="R364" s="1">
        <f>IF(L364="En coordinación",1,0)</f>
        <v/>
      </c>
      <c r="T364">
        <f>IF(N364="Sí",1,0)</f>
        <v/>
      </c>
      <c r="U364">
        <f>IF(L364="Aceptada",1,0)</f>
        <v/>
      </c>
    </row>
    <row r="365">
      <c r="A365" s="21" t="str"/>
      <c r="B365" s="23" t="str"/>
      <c r="I365" s="2" t="str"/>
      <c r="J365" s="2" t="str"/>
      <c r="K365" s="2" t="str"/>
      <c r="L365" s="1" t="str"/>
      <c r="M365" s="2" t="str"/>
      <c r="N365" s="1" t="str"/>
      <c r="O365" s="1" t="str"/>
      <c r="P365" s="1" t="str"/>
      <c r="Q365" s="1">
        <f>IF(H365="Sí",1,0)</f>
        <v/>
      </c>
      <c r="R365" s="1">
        <f>IF(L365="En coordinación",1,0)</f>
        <v/>
      </c>
      <c r="T365">
        <f>IF(N365="Sí",1,0)</f>
        <v/>
      </c>
      <c r="U365">
        <f>IF(L365="Aceptada",1,0)</f>
        <v/>
      </c>
    </row>
    <row r="366">
      <c r="A366" s="21" t="str"/>
      <c r="B366" s="23" t="str"/>
      <c r="I366" s="2" t="str"/>
      <c r="J366" s="2" t="str"/>
      <c r="K366" s="2" t="str"/>
      <c r="L366" s="1" t="str"/>
      <c r="M366" s="2" t="str"/>
      <c r="N366" s="1" t="str"/>
      <c r="O366" s="1" t="str"/>
      <c r="P366" s="1" t="str"/>
      <c r="Q366" s="1">
        <f>IF(H366="Sí",1,0)</f>
        <v/>
      </c>
      <c r="R366" s="1">
        <f>IF(L366="En coordinación",1,0)</f>
        <v/>
      </c>
      <c r="T366">
        <f>IF(N366="Sí",1,0)</f>
        <v/>
      </c>
      <c r="U366">
        <f>IF(L366="Aceptada",1,0)</f>
        <v/>
      </c>
    </row>
    <row r="367">
      <c r="A367" s="21" t="str"/>
      <c r="B367" s="23" t="str"/>
      <c r="I367" s="2" t="str"/>
      <c r="J367" s="2" t="str"/>
      <c r="K367" s="2" t="str"/>
      <c r="L367" s="1" t="str"/>
      <c r="M367" s="2" t="str"/>
      <c r="N367" s="1" t="str"/>
      <c r="O367" s="1" t="str"/>
      <c r="P367" s="1" t="str"/>
      <c r="Q367" s="1">
        <f>IF(H367="Sí",1,0)</f>
        <v/>
      </c>
      <c r="R367" s="1">
        <f>IF(L367="En coordinación",1,0)</f>
        <v/>
      </c>
      <c r="T367">
        <f>IF(N367="Sí",1,0)</f>
        <v/>
      </c>
      <c r="U367">
        <f>IF(L367="Aceptada",1,0)</f>
        <v/>
      </c>
    </row>
    <row r="368">
      <c r="A368" s="21" t="str"/>
      <c r="B368" s="23" t="str"/>
      <c r="I368" s="2" t="str"/>
      <c r="J368" s="2" t="str"/>
      <c r="K368" s="2" t="str"/>
      <c r="L368" s="1" t="str"/>
      <c r="M368" s="2" t="str"/>
      <c r="N368" s="1" t="str"/>
      <c r="O368" s="1" t="str"/>
      <c r="P368" s="1" t="str"/>
      <c r="Q368" s="1">
        <f>IF(H368="Sí",1,0)</f>
        <v/>
      </c>
      <c r="R368" s="1">
        <f>IF(L368="En coordinación",1,0)</f>
        <v/>
      </c>
      <c r="T368">
        <f>IF(N368="Sí",1,0)</f>
        <v/>
      </c>
      <c r="U368">
        <f>IF(L368="Aceptada",1,0)</f>
        <v/>
      </c>
    </row>
    <row r="369">
      <c r="A369" s="21" t="str"/>
      <c r="B369" s="23" t="str"/>
      <c r="I369" s="2" t="str"/>
      <c r="J369" s="2" t="str"/>
      <c r="K369" s="2" t="str"/>
      <c r="L369" s="1" t="str"/>
      <c r="M369" s="2" t="str"/>
      <c r="N369" s="1" t="str"/>
      <c r="O369" s="1" t="str"/>
      <c r="P369" s="1" t="str"/>
      <c r="Q369" s="1">
        <f>IF(H369="Sí",1,0)</f>
        <v/>
      </c>
      <c r="R369" s="1">
        <f>IF(L369="En coordinación",1,0)</f>
        <v/>
      </c>
      <c r="T369">
        <f>IF(N369="Sí",1,0)</f>
        <v/>
      </c>
      <c r="U369">
        <f>IF(L369="Aceptada",1,0)</f>
        <v/>
      </c>
    </row>
    <row r="370">
      <c r="A370" s="21" t="str"/>
      <c r="B370" s="23" t="str"/>
      <c r="I370" s="2" t="str"/>
      <c r="J370" s="2" t="str"/>
      <c r="K370" s="2" t="str"/>
      <c r="L370" s="1" t="str"/>
      <c r="M370" s="2" t="str"/>
      <c r="N370" s="1" t="str"/>
      <c r="O370" s="1" t="str"/>
      <c r="P370" s="1" t="str"/>
      <c r="Q370" s="1">
        <f>IF(H370="Sí",1,0)</f>
        <v/>
      </c>
      <c r="R370" s="1">
        <f>IF(L370="En coordinación",1,0)</f>
        <v/>
      </c>
      <c r="T370">
        <f>IF(N370="Sí",1,0)</f>
        <v/>
      </c>
      <c r="U370">
        <f>IF(L370="Aceptada",1,0)</f>
        <v/>
      </c>
    </row>
    <row r="371">
      <c r="A371" s="21" t="str"/>
      <c r="B371" s="23" t="str"/>
      <c r="I371" s="2" t="str"/>
      <c r="J371" s="2" t="str"/>
      <c r="K371" s="2" t="str"/>
      <c r="L371" s="1" t="str"/>
      <c r="M371" s="2" t="str"/>
      <c r="N371" s="1" t="str"/>
      <c r="O371" s="1" t="str"/>
      <c r="P371" s="1" t="str"/>
      <c r="Q371" s="1">
        <f>IF(H371="Sí",1,0)</f>
        <v/>
      </c>
      <c r="R371" s="1">
        <f>IF(L371="En coordinación",1,0)</f>
        <v/>
      </c>
      <c r="T371">
        <f>IF(N371="Sí",1,0)</f>
        <v/>
      </c>
      <c r="U371">
        <f>IF(L371="Aceptada",1,0)</f>
        <v/>
      </c>
    </row>
    <row r="372">
      <c r="A372" s="21" t="str"/>
      <c r="B372" s="23" t="str"/>
      <c r="I372" s="2" t="str"/>
      <c r="J372" s="2" t="str"/>
      <c r="K372" s="2" t="str"/>
      <c r="L372" s="1" t="str"/>
      <c r="M372" s="2" t="str"/>
      <c r="N372" s="1" t="str"/>
      <c r="O372" s="1" t="str"/>
      <c r="P372" s="1" t="str"/>
      <c r="Q372" s="1">
        <f>IF(H372="Sí",1,0)</f>
        <v/>
      </c>
      <c r="R372" s="1">
        <f>IF(L372="En coordinación",1,0)</f>
        <v/>
      </c>
      <c r="T372">
        <f>IF(N372="Sí",1,0)</f>
        <v/>
      </c>
      <c r="U372">
        <f>IF(L372="Aceptada",1,0)</f>
        <v/>
      </c>
    </row>
    <row r="373">
      <c r="A373" s="21" t="str"/>
      <c r="B373" s="23" t="str"/>
      <c r="I373" s="2" t="str"/>
      <c r="J373" s="2" t="str"/>
      <c r="K373" s="2" t="str"/>
      <c r="L373" s="1" t="str"/>
      <c r="M373" s="2" t="str"/>
      <c r="N373" s="1" t="str"/>
      <c r="O373" s="1" t="str"/>
      <c r="P373" s="1" t="str"/>
      <c r="Q373" s="1">
        <f>IF(H373="Sí",1,0)</f>
        <v/>
      </c>
      <c r="R373" s="1">
        <f>IF(L373="En coordinación",1,0)</f>
        <v/>
      </c>
      <c r="T373">
        <f>IF(N373="Sí",1,0)</f>
        <v/>
      </c>
      <c r="U373">
        <f>IF(L373="Aceptada",1,0)</f>
        <v/>
      </c>
    </row>
    <row r="374">
      <c r="A374" s="21" t="str"/>
      <c r="B374" s="23" t="str"/>
      <c r="I374" s="2" t="str"/>
      <c r="J374" s="2" t="str"/>
      <c r="K374" s="2" t="str"/>
      <c r="L374" s="1" t="str"/>
      <c r="M374" s="2" t="str"/>
      <c r="N374" s="1" t="str"/>
      <c r="O374" s="1" t="str"/>
      <c r="P374" s="1" t="str"/>
      <c r="Q374" s="1">
        <f>IF(H374="Sí",1,0)</f>
        <v/>
      </c>
      <c r="R374" s="1">
        <f>IF(L374="En coordinación",1,0)</f>
        <v/>
      </c>
      <c r="T374">
        <f>IF(N374="Sí",1,0)</f>
        <v/>
      </c>
      <c r="U374">
        <f>IF(L374="Aceptada",1,0)</f>
        <v/>
      </c>
    </row>
    <row r="375">
      <c r="A375" s="21" t="str"/>
      <c r="B375" s="23" t="str"/>
      <c r="I375" s="2" t="str"/>
      <c r="J375" s="2" t="str"/>
      <c r="K375" s="2" t="str"/>
      <c r="L375" s="1" t="str"/>
      <c r="M375" s="2" t="str"/>
      <c r="N375" s="1" t="str"/>
      <c r="O375" s="1" t="str"/>
      <c r="P375" s="1" t="str"/>
      <c r="Q375" s="1">
        <f>IF(H375="Sí",1,0)</f>
        <v/>
      </c>
      <c r="R375" s="1">
        <f>IF(L375="En coordinación",1,0)</f>
        <v/>
      </c>
      <c r="T375">
        <f>IF(N375="Sí",1,0)</f>
        <v/>
      </c>
      <c r="U375">
        <f>IF(L375="Aceptada",1,0)</f>
        <v/>
      </c>
    </row>
    <row r="376">
      <c r="A376" s="21" t="str"/>
      <c r="B376" s="23" t="str"/>
      <c r="I376" s="2" t="str"/>
      <c r="J376" s="2" t="str"/>
      <c r="K376" s="2" t="str"/>
      <c r="L376" s="1" t="str"/>
      <c r="M376" s="2" t="str"/>
      <c r="N376" s="1" t="str"/>
      <c r="O376" s="1" t="str"/>
      <c r="P376" s="1" t="str"/>
      <c r="Q376" s="1">
        <f>IF(H376="Sí",1,0)</f>
        <v/>
      </c>
      <c r="R376" s="1">
        <f>IF(L376="En coordinación",1,0)</f>
        <v/>
      </c>
      <c r="T376">
        <f>IF(N376="Sí",1,0)</f>
        <v/>
      </c>
      <c r="U376">
        <f>IF(L376="Aceptada",1,0)</f>
        <v/>
      </c>
    </row>
    <row r="377">
      <c r="A377" s="21" t="str"/>
      <c r="B377" s="23" t="str"/>
      <c r="I377" s="2" t="str"/>
      <c r="J377" s="2" t="str"/>
      <c r="K377" s="2" t="str"/>
      <c r="L377" s="1" t="str"/>
      <c r="M377" s="2" t="str"/>
      <c r="N377" s="1" t="str"/>
      <c r="O377" s="1" t="str"/>
      <c r="P377" s="1" t="str"/>
      <c r="Q377" s="1">
        <f>IF(H377="Sí",1,0)</f>
        <v/>
      </c>
      <c r="R377" s="1">
        <f>IF(L377="En coordinación",1,0)</f>
        <v/>
      </c>
      <c r="T377">
        <f>IF(N377="Sí",1,0)</f>
        <v/>
      </c>
      <c r="U377">
        <f>IF(L377="Aceptada",1,0)</f>
        <v/>
      </c>
    </row>
    <row r="378">
      <c r="A378" s="21" t="str"/>
      <c r="B378" s="23" t="str"/>
      <c r="I378" s="2" t="str"/>
      <c r="J378" s="2" t="str"/>
      <c r="K378" s="2" t="str"/>
      <c r="L378" s="1" t="str"/>
      <c r="M378" s="2" t="str"/>
      <c r="N378" s="1" t="str"/>
      <c r="O378" s="1" t="str"/>
      <c r="P378" s="1" t="str"/>
      <c r="Q378" s="1">
        <f>IF(H378="Sí",1,0)</f>
        <v/>
      </c>
      <c r="R378" s="1">
        <f>IF(L378="En coordinación",1,0)</f>
        <v/>
      </c>
      <c r="T378">
        <f>IF(N378="Sí",1,0)</f>
        <v/>
      </c>
      <c r="U378">
        <f>IF(L378="Aceptada",1,0)</f>
        <v/>
      </c>
    </row>
    <row r="379">
      <c r="A379" s="21" t="str"/>
      <c r="B379" s="23" t="str"/>
      <c r="I379" s="2" t="str"/>
      <c r="J379" s="2" t="str"/>
      <c r="K379" s="2" t="str"/>
      <c r="L379" s="1" t="str"/>
      <c r="M379" s="2" t="str"/>
      <c r="N379" s="1" t="str"/>
      <c r="O379" s="1" t="str"/>
      <c r="P379" s="1" t="str"/>
      <c r="Q379" s="1">
        <f>IF(H379="Sí",1,0)</f>
        <v/>
      </c>
      <c r="R379" s="1">
        <f>IF(L379="En coordinación",1,0)</f>
        <v/>
      </c>
      <c r="T379">
        <f>IF(N379="Sí",1,0)</f>
        <v/>
      </c>
      <c r="U379">
        <f>IF(L379="Aceptada",1,0)</f>
        <v/>
      </c>
    </row>
    <row r="380">
      <c r="A380" s="21" t="str"/>
      <c r="B380" s="23" t="str"/>
      <c r="I380" s="2" t="str"/>
      <c r="J380" s="2" t="str"/>
      <c r="K380" s="2" t="str"/>
      <c r="L380" s="1" t="str"/>
      <c r="M380" s="2" t="str"/>
      <c r="N380" s="1" t="str"/>
      <c r="O380" s="1" t="str"/>
      <c r="P380" s="1" t="str"/>
      <c r="Q380" s="1">
        <f>IF(H380="Sí",1,0)</f>
        <v/>
      </c>
      <c r="R380" s="1">
        <f>IF(L380="En coordinación",1,0)</f>
        <v/>
      </c>
      <c r="T380">
        <f>IF(N380="Sí",1,0)</f>
        <v/>
      </c>
      <c r="U380">
        <f>IF(L380="Aceptada",1,0)</f>
        <v/>
      </c>
    </row>
    <row r="381">
      <c r="A381" s="21" t="str"/>
      <c r="B381" s="23" t="str"/>
      <c r="I381" s="2" t="str"/>
      <c r="J381" s="2" t="str"/>
      <c r="K381" s="2" t="str"/>
      <c r="L381" s="1" t="str"/>
      <c r="M381" s="2" t="str"/>
      <c r="N381" s="1" t="str"/>
      <c r="O381" s="1" t="str"/>
      <c r="P381" s="1" t="str"/>
      <c r="Q381" s="1">
        <f>IF(H381="Sí",1,0)</f>
        <v/>
      </c>
      <c r="R381" s="1">
        <f>IF(L381="En coordinación",1,0)</f>
        <v/>
      </c>
      <c r="T381">
        <f>IF(N381="Sí",1,0)</f>
        <v/>
      </c>
      <c r="U381">
        <f>IF(L381="Aceptada",1,0)</f>
        <v/>
      </c>
    </row>
    <row r="382">
      <c r="A382" s="21" t="str"/>
      <c r="B382" s="23" t="str"/>
      <c r="I382" s="2" t="str"/>
      <c r="J382" s="2" t="str"/>
      <c r="K382" s="2" t="str"/>
      <c r="L382" s="1" t="str"/>
      <c r="M382" s="2" t="str"/>
      <c r="N382" s="1" t="str"/>
      <c r="O382" s="1" t="str"/>
      <c r="P382" s="1" t="str"/>
      <c r="Q382" s="1">
        <f>IF(H382="Sí",1,0)</f>
        <v/>
      </c>
      <c r="R382" s="1">
        <f>IF(L382="En coordinación",1,0)</f>
        <v/>
      </c>
      <c r="T382">
        <f>IF(N382="Sí",1,0)</f>
        <v/>
      </c>
      <c r="U382">
        <f>IF(L382="Aceptada",1,0)</f>
        <v/>
      </c>
    </row>
    <row r="383">
      <c r="A383" s="21" t="str"/>
      <c r="B383" s="23" t="str"/>
      <c r="I383" s="2" t="str"/>
      <c r="J383" s="2" t="str"/>
      <c r="K383" s="2" t="str"/>
      <c r="L383" s="1" t="str"/>
      <c r="M383" s="2" t="str"/>
      <c r="N383" s="1" t="str"/>
      <c r="O383" s="1" t="str"/>
      <c r="P383" s="1" t="str"/>
      <c r="Q383" s="1">
        <f>IF(H383="Sí",1,0)</f>
        <v/>
      </c>
      <c r="R383" s="1">
        <f>IF(L383="En coordinación",1,0)</f>
        <v/>
      </c>
      <c r="T383">
        <f>IF(N383="Sí",1,0)</f>
        <v/>
      </c>
      <c r="U383">
        <f>IF(L383="Aceptada",1,0)</f>
        <v/>
      </c>
    </row>
    <row r="384">
      <c r="A384" s="21" t="str"/>
      <c r="B384" s="23" t="str"/>
      <c r="I384" s="2" t="str"/>
      <c r="J384" s="2" t="str"/>
      <c r="K384" s="2" t="str"/>
      <c r="L384" s="1" t="str"/>
      <c r="M384" s="2" t="str"/>
      <c r="N384" s="1" t="str"/>
      <c r="O384" s="1" t="str"/>
      <c r="P384" s="1" t="str"/>
      <c r="Q384" s="1">
        <f>IF(H384="Sí",1,0)</f>
        <v/>
      </c>
      <c r="R384" s="1">
        <f>IF(L384="En coordinación",1,0)</f>
        <v/>
      </c>
      <c r="T384">
        <f>IF(N384="Sí",1,0)</f>
        <v/>
      </c>
      <c r="U384">
        <f>IF(L384="Aceptada",1,0)</f>
        <v/>
      </c>
    </row>
    <row r="385">
      <c r="A385" s="21" t="str"/>
      <c r="B385" s="23" t="str"/>
      <c r="I385" s="2" t="str"/>
      <c r="J385" s="2" t="str"/>
      <c r="K385" s="2" t="str"/>
      <c r="L385" s="1" t="str"/>
      <c r="M385" s="2" t="str"/>
      <c r="N385" s="1" t="str"/>
      <c r="O385" s="1" t="str"/>
      <c r="P385" s="1" t="str"/>
      <c r="Q385" s="1">
        <f>IF(H385="Sí",1,0)</f>
        <v/>
      </c>
      <c r="R385" s="1">
        <f>IF(L385="En coordinación",1,0)</f>
        <v/>
      </c>
      <c r="T385">
        <f>IF(N385="Sí",1,0)</f>
        <v/>
      </c>
      <c r="U385">
        <f>IF(L385="Aceptada",1,0)</f>
        <v/>
      </c>
    </row>
    <row r="386">
      <c r="A386" s="21" t="str"/>
      <c r="B386" s="23" t="str"/>
      <c r="I386" s="2" t="str"/>
      <c r="J386" s="2" t="str"/>
      <c r="K386" s="2" t="str"/>
      <c r="L386" s="1" t="str"/>
      <c r="M386" s="2" t="str"/>
      <c r="N386" s="1" t="str"/>
      <c r="O386" s="1" t="str"/>
      <c r="P386" s="1" t="str"/>
      <c r="Q386" s="1">
        <f>IF(H386="Sí",1,0)</f>
        <v/>
      </c>
      <c r="R386" s="1">
        <f>IF(L386="En coordinación",1,0)</f>
        <v/>
      </c>
      <c r="T386">
        <f>IF(N386="Sí",1,0)</f>
        <v/>
      </c>
      <c r="U386">
        <f>IF(L386="Aceptada",1,0)</f>
        <v/>
      </c>
    </row>
    <row r="387">
      <c r="A387" s="21" t="str"/>
      <c r="B387" s="23" t="str"/>
      <c r="I387" s="2" t="str"/>
      <c r="J387" s="2" t="str"/>
      <c r="K387" s="2" t="str"/>
      <c r="L387" s="1" t="str"/>
      <c r="M387" s="2" t="str"/>
      <c r="N387" s="1" t="str"/>
      <c r="O387" s="1" t="str"/>
      <c r="P387" s="1" t="str"/>
      <c r="Q387" s="1">
        <f>IF(H387="Sí",1,0)</f>
        <v/>
      </c>
      <c r="R387" s="1">
        <f>IF(L387="En coordinación",1,0)</f>
        <v/>
      </c>
      <c r="T387">
        <f>IF(N387="Sí",1,0)</f>
        <v/>
      </c>
      <c r="U387">
        <f>IF(L387="Aceptada",1,0)</f>
        <v/>
      </c>
    </row>
    <row r="388">
      <c r="A388" s="21" t="str"/>
      <c r="B388" s="23" t="str"/>
      <c r="I388" s="2" t="str"/>
      <c r="J388" s="2" t="str"/>
      <c r="K388" s="2" t="str"/>
      <c r="L388" s="1" t="str"/>
      <c r="M388" s="2" t="str"/>
      <c r="N388" s="1" t="str"/>
      <c r="O388" s="1" t="str"/>
      <c r="P388" s="1" t="str"/>
      <c r="Q388" s="1">
        <f>IF(H388="Sí",1,0)</f>
        <v/>
      </c>
      <c r="R388" s="1">
        <f>IF(L388="En coordinación",1,0)</f>
        <v/>
      </c>
      <c r="T388">
        <f>IF(N388="Sí",1,0)</f>
        <v/>
      </c>
      <c r="U388">
        <f>IF(L388="Aceptada",1,0)</f>
        <v/>
      </c>
    </row>
    <row r="389">
      <c r="A389" s="21" t="str"/>
      <c r="B389" s="23" t="str"/>
      <c r="I389" s="2" t="str"/>
      <c r="J389" s="2" t="str"/>
      <c r="K389" s="2" t="str"/>
      <c r="L389" s="1" t="str"/>
      <c r="M389" s="2" t="str"/>
      <c r="N389" s="1" t="str"/>
      <c r="O389" s="1" t="str"/>
      <c r="P389" s="1" t="str"/>
      <c r="Q389" s="1">
        <f>IF(H389="Sí",1,0)</f>
        <v/>
      </c>
      <c r="R389" s="1">
        <f>IF(L389="En coordinación",1,0)</f>
        <v/>
      </c>
      <c r="T389">
        <f>IF(N389="Sí",1,0)</f>
        <v/>
      </c>
      <c r="U389">
        <f>IF(L389="Aceptada",1,0)</f>
        <v/>
      </c>
    </row>
    <row r="390">
      <c r="A390" s="21" t="str"/>
      <c r="B390" s="23" t="str"/>
      <c r="I390" s="2" t="str"/>
      <c r="J390" s="2" t="str"/>
      <c r="K390" s="2" t="str"/>
      <c r="L390" s="1" t="str"/>
      <c r="M390" s="2" t="str"/>
      <c r="N390" s="1" t="str"/>
      <c r="O390" s="1" t="str"/>
      <c r="P390" s="1" t="str"/>
      <c r="Q390" s="1">
        <f>IF(H390="Sí",1,0)</f>
        <v/>
      </c>
      <c r="R390" s="1">
        <f>IF(L390="En coordinación",1,0)</f>
        <v/>
      </c>
      <c r="T390">
        <f>IF(N390="Sí",1,0)</f>
        <v/>
      </c>
      <c r="U390">
        <f>IF(L390="Aceptada",1,0)</f>
        <v/>
      </c>
    </row>
    <row r="391">
      <c r="A391" s="21" t="str"/>
      <c r="B391" s="23" t="str"/>
      <c r="I391" s="2" t="str"/>
      <c r="J391" s="2" t="str"/>
      <c r="K391" s="2" t="str"/>
      <c r="L391" s="1" t="str"/>
      <c r="M391" s="2" t="str"/>
      <c r="N391" s="1" t="str"/>
      <c r="O391" s="1" t="str"/>
      <c r="P391" s="1" t="str"/>
      <c r="Q391" s="1">
        <f>IF(H391="Sí",1,0)</f>
        <v/>
      </c>
      <c r="R391" s="1">
        <f>IF(L391="En coordinación",1,0)</f>
        <v/>
      </c>
      <c r="T391">
        <f>IF(N391="Sí",1,0)</f>
        <v/>
      </c>
      <c r="U391">
        <f>IF(L391="Aceptada",1,0)</f>
        <v/>
      </c>
    </row>
    <row r="392">
      <c r="A392" s="21" t="str"/>
      <c r="B392" s="23" t="str"/>
      <c r="I392" s="2" t="str"/>
      <c r="J392" s="2" t="str"/>
      <c r="K392" s="2" t="str"/>
      <c r="L392" s="1" t="str"/>
      <c r="M392" s="2" t="str"/>
      <c r="N392" s="1" t="str"/>
      <c r="O392" s="1" t="str"/>
      <c r="P392" s="1" t="str"/>
      <c r="Q392" s="1">
        <f>IF(H392="Sí",1,0)</f>
        <v/>
      </c>
      <c r="R392" s="1">
        <f>IF(L392="En coordinación",1,0)</f>
        <v/>
      </c>
      <c r="T392">
        <f>IF(N392="Sí",1,0)</f>
        <v/>
      </c>
      <c r="U392">
        <f>IF(L392="Aceptada",1,0)</f>
        <v/>
      </c>
    </row>
    <row r="393">
      <c r="A393" s="21" t="str"/>
      <c r="B393" s="23" t="str"/>
      <c r="I393" s="2" t="str"/>
      <c r="J393" s="2" t="str"/>
      <c r="K393" s="2" t="str"/>
      <c r="L393" s="1" t="str"/>
      <c r="M393" s="2" t="str"/>
      <c r="N393" s="1" t="str"/>
      <c r="O393" s="1" t="str"/>
      <c r="P393" s="1" t="str"/>
      <c r="Q393" s="1">
        <f>IF(H393="Sí",1,0)</f>
        <v/>
      </c>
      <c r="R393" s="1">
        <f>IF(L393="En coordinación",1,0)</f>
        <v/>
      </c>
      <c r="T393">
        <f>IF(N393="Sí",1,0)</f>
        <v/>
      </c>
      <c r="U393">
        <f>IF(L393="Aceptada",1,0)</f>
        <v/>
      </c>
    </row>
    <row r="394">
      <c r="A394" s="21" t="str"/>
      <c r="B394" s="23" t="str"/>
      <c r="I394" s="2" t="str"/>
      <c r="J394" s="2" t="str"/>
      <c r="K394" s="2" t="str"/>
      <c r="L394" s="1" t="str"/>
      <c r="M394" s="2" t="str"/>
      <c r="N394" s="1" t="str"/>
      <c r="O394" s="1" t="str"/>
      <c r="P394" s="1" t="str"/>
      <c r="Q394" s="1">
        <f>IF(H394="Sí",1,0)</f>
        <v/>
      </c>
      <c r="R394" s="1">
        <f>IF(L394="En coordinación",1,0)</f>
        <v/>
      </c>
      <c r="T394">
        <f>IF(N394="Sí",1,0)</f>
        <v/>
      </c>
      <c r="U394">
        <f>IF(L394="Aceptada",1,0)</f>
        <v/>
      </c>
    </row>
    <row r="395">
      <c r="A395" s="21" t="str"/>
      <c r="B395" s="23" t="str"/>
      <c r="I395" s="2" t="str"/>
      <c r="J395" s="2" t="str"/>
      <c r="K395" s="2" t="str"/>
      <c r="L395" s="1" t="str"/>
      <c r="M395" s="2" t="str"/>
      <c r="N395" s="1" t="str"/>
      <c r="O395" s="1" t="str"/>
      <c r="P395" s="1" t="str"/>
      <c r="Q395" s="1">
        <f>IF(H395="Sí",1,0)</f>
        <v/>
      </c>
      <c r="R395" s="1">
        <f>IF(L395="En coordinación",1,0)</f>
        <v/>
      </c>
      <c r="T395">
        <f>IF(N395="Sí",1,0)</f>
        <v/>
      </c>
      <c r="U395">
        <f>IF(L395="Aceptada",1,0)</f>
        <v/>
      </c>
    </row>
    <row r="396">
      <c r="A396" s="21" t="str"/>
      <c r="B396" s="23" t="str"/>
      <c r="I396" s="2" t="str"/>
      <c r="J396" s="2" t="str"/>
      <c r="K396" s="2" t="str"/>
      <c r="L396" s="1" t="str"/>
      <c r="M396" s="2" t="str"/>
      <c r="N396" s="1" t="str"/>
      <c r="O396" s="1" t="str"/>
      <c r="P396" s="1" t="str"/>
      <c r="Q396" s="1">
        <f>IF(H396="Sí",1,0)</f>
        <v/>
      </c>
      <c r="R396" s="1">
        <f>IF(L396="En coordinación",1,0)</f>
        <v/>
      </c>
      <c r="T396">
        <f>IF(N396="Sí",1,0)</f>
        <v/>
      </c>
      <c r="U396">
        <f>IF(L396="Aceptada",1,0)</f>
        <v/>
      </c>
    </row>
    <row r="397">
      <c r="A397" s="21" t="str"/>
      <c r="B397" s="23" t="str"/>
      <c r="I397" s="2" t="str"/>
      <c r="J397" s="2" t="str"/>
      <c r="K397" s="2" t="str"/>
      <c r="L397" s="1" t="str"/>
      <c r="M397" s="2" t="str"/>
      <c r="N397" s="1" t="str"/>
      <c r="O397" s="1" t="str"/>
      <c r="P397" s="1" t="str"/>
      <c r="Q397" s="1">
        <f>IF(H397="Sí",1,0)</f>
        <v/>
      </c>
      <c r="R397" s="1">
        <f>IF(L397="En coordinación",1,0)</f>
        <v/>
      </c>
      <c r="T397">
        <f>IF(N397="Sí",1,0)</f>
        <v/>
      </c>
      <c r="U397">
        <f>IF(L397="Aceptada",1,0)</f>
        <v/>
      </c>
    </row>
    <row r="398">
      <c r="A398" s="21" t="str"/>
      <c r="B398" s="23" t="str"/>
      <c r="I398" s="2" t="str"/>
      <c r="J398" s="2" t="str"/>
      <c r="K398" s="2" t="str"/>
      <c r="L398" s="1" t="str"/>
      <c r="M398" s="2" t="str"/>
      <c r="N398" s="1" t="str"/>
      <c r="O398" s="1" t="str"/>
      <c r="P398" s="1" t="str"/>
      <c r="Q398" s="1">
        <f>IF(H398="Sí",1,0)</f>
        <v/>
      </c>
      <c r="R398" s="1">
        <f>IF(L398="En coordinación",1,0)</f>
        <v/>
      </c>
      <c r="T398">
        <f>IF(N398="Sí",1,0)</f>
        <v/>
      </c>
      <c r="U398">
        <f>IF(L398="Aceptada",1,0)</f>
        <v/>
      </c>
    </row>
    <row r="399">
      <c r="A399" s="21" t="str"/>
      <c r="B399" s="23" t="str"/>
      <c r="I399" s="2" t="str"/>
      <c r="J399" s="2" t="str"/>
      <c r="K399" s="2" t="str"/>
      <c r="L399" s="1" t="str"/>
      <c r="M399" s="2" t="str"/>
      <c r="N399" s="1" t="str"/>
      <c r="O399" s="1" t="str"/>
      <c r="P399" s="1" t="str"/>
      <c r="Q399" s="1">
        <f>IF(H399="Sí",1,0)</f>
        <v/>
      </c>
      <c r="R399" s="1">
        <f>IF(L399="En coordinación",1,0)</f>
        <v/>
      </c>
      <c r="T399">
        <f>IF(N399="Sí",1,0)</f>
        <v/>
      </c>
      <c r="U399">
        <f>IF(L399="Aceptada",1,0)</f>
        <v/>
      </c>
    </row>
    <row r="400">
      <c r="A400" s="21" t="str"/>
      <c r="B400" s="23" t="str"/>
      <c r="I400" s="2" t="str"/>
      <c r="J400" s="2" t="str"/>
      <c r="K400" s="2" t="str"/>
      <c r="L400" s="1" t="str"/>
      <c r="M400" s="2" t="str"/>
      <c r="N400" s="1" t="str"/>
      <c r="O400" s="1" t="str"/>
      <c r="P400" s="1" t="str"/>
      <c r="Q400" s="1">
        <f>IF(H400="Sí",1,0)</f>
        <v/>
      </c>
      <c r="R400" s="1">
        <f>IF(L400="En coordinación",1,0)</f>
        <v/>
      </c>
      <c r="T400">
        <f>IF(N400="Sí",1,0)</f>
        <v/>
      </c>
      <c r="U400">
        <f>IF(L400="Aceptada",1,0)</f>
        <v/>
      </c>
    </row>
    <row r="401">
      <c r="A401" s="21" t="str"/>
      <c r="B401" s="23" t="str"/>
      <c r="I401" s="2" t="str"/>
      <c r="J401" s="2" t="str"/>
      <c r="K401" s="2" t="str"/>
      <c r="L401" s="1" t="str"/>
      <c r="M401" s="2" t="str"/>
      <c r="N401" s="1" t="str"/>
      <c r="O401" s="1" t="str"/>
      <c r="P401" s="1" t="str"/>
      <c r="Q401" s="1">
        <f>IF(H401="Sí",1,0)</f>
        <v/>
      </c>
      <c r="R401" s="1">
        <f>IF(L401="En coordinación",1,0)</f>
        <v/>
      </c>
      <c r="T401">
        <f>IF(N401="Sí",1,0)</f>
        <v/>
      </c>
      <c r="U401">
        <f>IF(L401="Aceptada",1,0)</f>
        <v/>
      </c>
    </row>
    <row r="402">
      <c r="A402" s="21" t="str"/>
      <c r="B402" s="23" t="str"/>
      <c r="I402" s="2" t="str"/>
      <c r="J402" s="2" t="str"/>
      <c r="K402" s="2" t="str"/>
      <c r="L402" s="1" t="str"/>
      <c r="M402" s="2" t="str"/>
      <c r="N402" s="1" t="str"/>
      <c r="O402" s="1" t="str"/>
      <c r="P402" s="1" t="str"/>
      <c r="Q402" s="1">
        <f>IF(H402="Sí",1,0)</f>
        <v/>
      </c>
      <c r="R402" s="1">
        <f>IF(L402="En coordinación",1,0)</f>
        <v/>
      </c>
      <c r="T402">
        <f>IF(N402="Sí",1,0)</f>
        <v/>
      </c>
      <c r="U402">
        <f>IF(L402="Aceptada",1,0)</f>
        <v/>
      </c>
    </row>
    <row r="403">
      <c r="A403" s="21" t="str"/>
      <c r="B403" s="23" t="str"/>
      <c r="I403" s="2" t="str"/>
      <c r="J403" s="2" t="str"/>
      <c r="K403" s="2" t="str"/>
      <c r="L403" s="1" t="str"/>
      <c r="M403" s="2" t="str"/>
      <c r="N403" s="1" t="str"/>
      <c r="O403" s="1" t="str"/>
      <c r="P403" s="1" t="str"/>
      <c r="Q403" s="1">
        <f>IF(H403="Sí",1,0)</f>
        <v/>
      </c>
      <c r="R403" s="1">
        <f>IF(L403="En coordinación",1,0)</f>
        <v/>
      </c>
      <c r="T403">
        <f>IF(N403="Sí",1,0)</f>
        <v/>
      </c>
      <c r="U403">
        <f>IF(L403="Aceptada",1,0)</f>
        <v/>
      </c>
    </row>
    <row r="404">
      <c r="A404" s="21" t="str"/>
      <c r="B404" s="23" t="str"/>
      <c r="I404" s="2" t="str"/>
      <c r="J404" s="2" t="str"/>
      <c r="K404" s="2" t="str"/>
      <c r="L404" s="1" t="str"/>
      <c r="M404" s="2" t="str"/>
      <c r="N404" s="1" t="str"/>
      <c r="O404" s="1" t="str"/>
      <c r="P404" s="1" t="str"/>
      <c r="Q404" s="1">
        <f>IF(H404="Sí",1,0)</f>
        <v/>
      </c>
      <c r="R404" s="1">
        <f>IF(L404="En coordinación",1,0)</f>
        <v/>
      </c>
      <c r="T404">
        <f>IF(N404="Sí",1,0)</f>
        <v/>
      </c>
      <c r="U404">
        <f>IF(L404="Aceptada",1,0)</f>
        <v/>
      </c>
    </row>
    <row r="405">
      <c r="A405" s="21" t="str"/>
      <c r="B405" s="23" t="str"/>
      <c r="I405" s="2" t="str"/>
      <c r="J405" s="2" t="str"/>
      <c r="K405" s="2" t="str"/>
      <c r="L405" s="1" t="str"/>
      <c r="M405" s="2" t="str"/>
      <c r="N405" s="1" t="str"/>
      <c r="O405" s="1" t="str"/>
      <c r="P405" s="1" t="str"/>
      <c r="Q405" s="1">
        <f>IF(H405="Sí",1,0)</f>
        <v/>
      </c>
      <c r="R405" s="1">
        <f>IF(L405="En coordinación",1,0)</f>
        <v/>
      </c>
      <c r="T405">
        <f>IF(N405="Sí",1,0)</f>
        <v/>
      </c>
      <c r="U405">
        <f>IF(L405="Aceptada",1,0)</f>
        <v/>
      </c>
    </row>
    <row r="406">
      <c r="A406" s="21" t="str"/>
      <c r="B406" s="23" t="str"/>
      <c r="I406" s="2" t="str"/>
      <c r="J406" s="2" t="str"/>
      <c r="K406" s="2" t="str"/>
      <c r="L406" s="1" t="str"/>
      <c r="M406" s="2" t="str"/>
      <c r="N406" s="1" t="str"/>
      <c r="O406" s="1" t="str"/>
      <c r="P406" s="1" t="str"/>
      <c r="Q406" s="1">
        <f>IF(H406="Sí",1,0)</f>
        <v/>
      </c>
      <c r="R406" s="1">
        <f>IF(L406="En coordinación",1,0)</f>
        <v/>
      </c>
      <c r="T406">
        <f>IF(N406="Sí",1,0)</f>
        <v/>
      </c>
      <c r="U406">
        <f>IF(L406="Aceptada",1,0)</f>
        <v/>
      </c>
    </row>
    <row r="407">
      <c r="A407" s="21" t="str"/>
      <c r="B407" s="23" t="str"/>
      <c r="I407" s="2" t="str"/>
      <c r="J407" s="2" t="str"/>
      <c r="K407" s="2" t="str"/>
      <c r="L407" s="1" t="str"/>
      <c r="M407" s="2" t="str"/>
      <c r="N407" s="1" t="str"/>
      <c r="O407" s="1" t="str"/>
      <c r="P407" s="1" t="str"/>
      <c r="Q407" s="1">
        <f>IF(H407="Sí",1,0)</f>
        <v/>
      </c>
      <c r="R407" s="1">
        <f>IF(L407="En coordinación",1,0)</f>
        <v/>
      </c>
      <c r="T407">
        <f>IF(N407="Sí",1,0)</f>
        <v/>
      </c>
      <c r="U407">
        <f>IF(L407="Aceptada",1,0)</f>
        <v/>
      </c>
    </row>
    <row r="408">
      <c r="A408" s="21" t="str"/>
      <c r="B408" s="23" t="str"/>
      <c r="I408" s="2" t="str"/>
      <c r="J408" s="2" t="str"/>
      <c r="K408" s="2" t="str"/>
      <c r="L408" s="1" t="str"/>
      <c r="M408" s="2" t="str"/>
      <c r="N408" s="1" t="str"/>
      <c r="O408" s="1" t="str"/>
      <c r="P408" s="1" t="str"/>
      <c r="Q408" s="1">
        <f>IF(H408="Sí",1,0)</f>
        <v/>
      </c>
      <c r="R408" s="1">
        <f>IF(L408="En coordinación",1,0)</f>
        <v/>
      </c>
      <c r="T408">
        <f>IF(N408="Sí",1,0)</f>
        <v/>
      </c>
      <c r="U408">
        <f>IF(L408="Aceptada",1,0)</f>
        <v/>
      </c>
    </row>
    <row r="409">
      <c r="A409" s="21" t="str"/>
      <c r="B409" s="23" t="str"/>
      <c r="I409" s="2" t="str"/>
      <c r="J409" s="2" t="str"/>
      <c r="K409" s="2" t="str"/>
      <c r="L409" s="1" t="str"/>
      <c r="M409" s="2" t="str"/>
      <c r="N409" s="1" t="str"/>
      <c r="O409" s="1" t="str"/>
      <c r="P409" s="1" t="str"/>
      <c r="Q409" s="1">
        <f>IF(H409="Sí",1,0)</f>
        <v/>
      </c>
      <c r="R409" s="1">
        <f>IF(L409="En coordinación",1,0)</f>
        <v/>
      </c>
      <c r="T409">
        <f>IF(N409="Sí",1,0)</f>
        <v/>
      </c>
      <c r="U409">
        <f>IF(L409="Aceptada",1,0)</f>
        <v/>
      </c>
    </row>
    <row r="410">
      <c r="A410" s="21" t="str"/>
      <c r="B410" s="23" t="str"/>
      <c r="I410" s="2" t="str"/>
      <c r="J410" s="2" t="str"/>
      <c r="K410" s="2" t="str"/>
      <c r="L410" s="1" t="str"/>
      <c r="M410" s="2" t="str"/>
      <c r="N410" s="1" t="str"/>
      <c r="O410" s="1" t="str"/>
      <c r="P410" s="1" t="str"/>
      <c r="Q410" s="1">
        <f>IF(H410="Sí",1,0)</f>
        <v/>
      </c>
      <c r="R410" s="1">
        <f>IF(L410="En coordinación",1,0)</f>
        <v/>
      </c>
      <c r="T410">
        <f>IF(N410="Sí",1,0)</f>
        <v/>
      </c>
      <c r="U410">
        <f>IF(L410="Aceptada",1,0)</f>
        <v/>
      </c>
    </row>
    <row r="411">
      <c r="A411" s="21" t="str"/>
      <c r="B411" s="23" t="str"/>
      <c r="I411" s="2" t="str"/>
      <c r="J411" s="2" t="str"/>
      <c r="K411" s="2" t="str"/>
      <c r="L411" s="1" t="str"/>
      <c r="M411" s="2" t="str"/>
      <c r="N411" s="1" t="str"/>
      <c r="O411" s="1" t="str"/>
      <c r="P411" s="1" t="str"/>
      <c r="Q411" s="1">
        <f>IF(H411="Sí",1,0)</f>
        <v/>
      </c>
      <c r="R411" s="1">
        <f>IF(L411="En coordinación",1,0)</f>
        <v/>
      </c>
      <c r="T411">
        <f>IF(N411="Sí",1,0)</f>
        <v/>
      </c>
      <c r="U411">
        <f>IF(L411="Aceptada",1,0)</f>
        <v/>
      </c>
    </row>
    <row r="412">
      <c r="A412" s="21" t="str"/>
      <c r="B412" s="23" t="str"/>
      <c r="I412" s="2" t="str"/>
      <c r="J412" s="2" t="str"/>
      <c r="K412" s="2" t="str"/>
      <c r="L412" s="1" t="str"/>
      <c r="M412" s="2" t="str"/>
      <c r="N412" s="1" t="str"/>
      <c r="O412" s="1" t="str"/>
      <c r="P412" s="1" t="str"/>
      <c r="Q412" s="1">
        <f>IF(H412="Sí",1,0)</f>
        <v/>
      </c>
      <c r="R412" s="1">
        <f>IF(L412="En coordinación",1,0)</f>
        <v/>
      </c>
      <c r="T412">
        <f>IF(N412="Sí",1,0)</f>
        <v/>
      </c>
      <c r="U412">
        <f>IF(L412="Aceptada",1,0)</f>
        <v/>
      </c>
    </row>
    <row r="413">
      <c r="A413" s="21" t="str"/>
      <c r="B413" s="23" t="str"/>
      <c r="I413" s="2" t="str"/>
      <c r="J413" s="2" t="str"/>
      <c r="K413" s="2" t="str"/>
      <c r="L413" s="1" t="str"/>
      <c r="M413" s="2" t="str"/>
      <c r="N413" s="1" t="str"/>
      <c r="O413" s="1" t="str"/>
      <c r="P413" s="1" t="str"/>
      <c r="Q413" s="1">
        <f>IF(H413="Sí",1,0)</f>
        <v/>
      </c>
      <c r="R413" s="1">
        <f>IF(L413="En coordinación",1,0)</f>
        <v/>
      </c>
      <c r="T413">
        <f>IF(N413="Sí",1,0)</f>
        <v/>
      </c>
      <c r="U413">
        <f>IF(L413="Aceptada",1,0)</f>
        <v/>
      </c>
    </row>
    <row r="414">
      <c r="A414" s="21" t="str"/>
      <c r="B414" s="23" t="str"/>
      <c r="I414" s="2" t="str"/>
      <c r="J414" s="2" t="str"/>
      <c r="K414" s="2" t="str"/>
      <c r="L414" s="1" t="str"/>
      <c r="M414" s="2" t="str"/>
      <c r="N414" s="1" t="str"/>
      <c r="O414" s="1" t="str"/>
      <c r="P414" s="1" t="str"/>
      <c r="Q414" s="1">
        <f>IF(H414="Sí",1,0)</f>
        <v/>
      </c>
      <c r="R414" s="1">
        <f>IF(L414="En coordinación",1,0)</f>
        <v/>
      </c>
      <c r="T414">
        <f>IF(N414="Sí",1,0)</f>
        <v/>
      </c>
      <c r="U414">
        <f>IF(L414="Aceptada",1,0)</f>
        <v/>
      </c>
    </row>
    <row r="415">
      <c r="A415" s="21" t="str"/>
      <c r="B415" s="23" t="str"/>
      <c r="I415" s="2" t="str"/>
      <c r="J415" s="2" t="str"/>
      <c r="K415" s="2" t="str"/>
      <c r="L415" s="1" t="str"/>
      <c r="M415" s="2" t="str"/>
      <c r="N415" s="1" t="str"/>
      <c r="O415" s="1" t="str"/>
      <c r="P415" s="1" t="str"/>
      <c r="Q415" s="1">
        <f>IF(H415="Sí",1,0)</f>
        <v/>
      </c>
      <c r="R415" s="1">
        <f>IF(L415="En coordinación",1,0)</f>
        <v/>
      </c>
      <c r="T415">
        <f>IF(N415="Sí",1,0)</f>
        <v/>
      </c>
      <c r="U415">
        <f>IF(L415="Aceptada",1,0)</f>
        <v/>
      </c>
    </row>
    <row r="416">
      <c r="A416" s="21" t="str"/>
      <c r="B416" s="23" t="str"/>
      <c r="I416" s="2" t="str"/>
      <c r="J416" s="2" t="str"/>
      <c r="K416" s="2" t="str"/>
      <c r="L416" s="1" t="str"/>
      <c r="M416" s="2" t="str"/>
      <c r="N416" s="1" t="str"/>
      <c r="O416" s="1" t="str"/>
      <c r="P416" s="1" t="str"/>
      <c r="Q416" s="1">
        <f>IF(H416="Sí",1,0)</f>
        <v/>
      </c>
      <c r="R416" s="1">
        <f>IF(L416="En coordinación",1,0)</f>
        <v/>
      </c>
      <c r="T416">
        <f>IF(N416="Sí",1,0)</f>
        <v/>
      </c>
      <c r="U416">
        <f>IF(L416="Aceptada",1,0)</f>
        <v/>
      </c>
    </row>
    <row r="417">
      <c r="A417" s="21" t="str"/>
      <c r="B417" s="23" t="str"/>
      <c r="I417" s="2" t="str"/>
      <c r="J417" s="2" t="str"/>
      <c r="K417" s="2" t="str"/>
      <c r="L417" s="1" t="str"/>
      <c r="M417" s="2" t="str"/>
      <c r="N417" s="1" t="str"/>
      <c r="O417" s="1" t="str"/>
      <c r="P417" s="1" t="str"/>
      <c r="Q417" s="1">
        <f>IF(H417="Sí",1,0)</f>
        <v/>
      </c>
      <c r="R417" s="1">
        <f>IF(L417="En coordinación",1,0)</f>
        <v/>
      </c>
      <c r="T417">
        <f>IF(N417="Sí",1,0)</f>
        <v/>
      </c>
      <c r="U417">
        <f>IF(L417="Aceptada",1,0)</f>
        <v/>
      </c>
    </row>
    <row r="418">
      <c r="A418" s="21" t="str"/>
      <c r="B418" s="23" t="str"/>
      <c r="I418" s="2" t="str"/>
      <c r="J418" s="2" t="str"/>
      <c r="K418" s="2" t="str"/>
      <c r="L418" s="1" t="str"/>
      <c r="M418" s="2" t="str"/>
      <c r="N418" s="1" t="str"/>
      <c r="O418" s="1" t="str"/>
      <c r="P418" s="1" t="str"/>
      <c r="Q418" s="1">
        <f>IF(H418="Sí",1,0)</f>
        <v/>
      </c>
      <c r="R418" s="1">
        <f>IF(L418="En coordinación",1,0)</f>
        <v/>
      </c>
      <c r="T418">
        <f>IF(N418="Sí",1,0)</f>
        <v/>
      </c>
      <c r="U418">
        <f>IF(L418="Aceptada",1,0)</f>
        <v/>
      </c>
    </row>
    <row r="419">
      <c r="A419" s="21" t="str"/>
      <c r="B419" s="23" t="str"/>
      <c r="I419" s="2" t="str"/>
      <c r="J419" s="2" t="str"/>
      <c r="K419" s="2" t="str"/>
      <c r="L419" s="1" t="str"/>
      <c r="M419" s="2" t="str"/>
      <c r="N419" s="1" t="str"/>
      <c r="O419" s="1" t="str"/>
      <c r="P419" s="1" t="str"/>
      <c r="Q419" s="1">
        <f>IF(H419="Sí",1,0)</f>
        <v/>
      </c>
      <c r="R419" s="1">
        <f>IF(L419="En coordinación",1,0)</f>
        <v/>
      </c>
      <c r="T419">
        <f>IF(N419="Sí",1,0)</f>
        <v/>
      </c>
      <c r="U419">
        <f>IF(L419="Aceptada",1,0)</f>
        <v/>
      </c>
    </row>
    <row r="420">
      <c r="A420" s="21" t="str"/>
      <c r="B420" s="23" t="str"/>
      <c r="I420" s="2" t="str"/>
      <c r="J420" s="2" t="str"/>
      <c r="K420" s="2" t="str"/>
      <c r="L420" s="1" t="str"/>
      <c r="M420" s="2" t="str"/>
      <c r="N420" s="1" t="str"/>
      <c r="O420" s="1" t="str"/>
      <c r="P420" s="1" t="str"/>
      <c r="Q420" s="1">
        <f>IF(H420="Sí",1,0)</f>
        <v/>
      </c>
      <c r="R420" s="1">
        <f>IF(L420="En coordinación",1,0)</f>
        <v/>
      </c>
      <c r="T420">
        <f>IF(N420="Sí",1,0)</f>
        <v/>
      </c>
      <c r="U420">
        <f>IF(L420="Aceptada",1,0)</f>
        <v/>
      </c>
    </row>
    <row r="421">
      <c r="A421" s="21" t="str"/>
      <c r="B421" s="23" t="str"/>
      <c r="I421" s="2" t="str"/>
      <c r="J421" s="2" t="str"/>
      <c r="K421" s="2" t="str"/>
      <c r="L421" s="1" t="str"/>
      <c r="M421" s="2" t="str"/>
      <c r="N421" s="1" t="str"/>
      <c r="O421" s="1" t="str"/>
      <c r="P421" s="1" t="str"/>
      <c r="Q421" s="1">
        <f>IF(H421="Sí",1,0)</f>
        <v/>
      </c>
      <c r="R421" s="1">
        <f>IF(L421="En coordinación",1,0)</f>
        <v/>
      </c>
      <c r="T421">
        <f>IF(N421="Sí",1,0)</f>
        <v/>
      </c>
      <c r="U421">
        <f>IF(L421="Aceptada",1,0)</f>
        <v/>
      </c>
    </row>
    <row r="422">
      <c r="A422" s="21" t="str"/>
      <c r="B422" s="23" t="str"/>
      <c r="I422" s="2" t="str"/>
      <c r="J422" s="2" t="str"/>
      <c r="K422" s="2" t="str"/>
      <c r="L422" s="1" t="str"/>
      <c r="M422" s="2" t="str"/>
      <c r="N422" s="1" t="str"/>
      <c r="O422" s="1" t="str"/>
      <c r="P422" s="1" t="str"/>
      <c r="Q422" s="1">
        <f>IF(H422="Sí",1,0)</f>
        <v/>
      </c>
      <c r="R422" s="1">
        <f>IF(L422="En coordinación",1,0)</f>
        <v/>
      </c>
      <c r="T422">
        <f>IF(N422="Sí",1,0)</f>
        <v/>
      </c>
      <c r="U422">
        <f>IF(L422="Aceptada",1,0)</f>
        <v/>
      </c>
    </row>
    <row r="423">
      <c r="A423" s="21" t="str"/>
      <c r="B423" s="23" t="str"/>
      <c r="I423" s="2" t="str"/>
      <c r="J423" s="2" t="str"/>
      <c r="K423" s="2" t="str"/>
      <c r="L423" s="1" t="str"/>
      <c r="M423" s="2" t="str"/>
      <c r="N423" s="1" t="str"/>
      <c r="O423" s="1" t="str"/>
      <c r="P423" s="1" t="str"/>
      <c r="Q423" s="1">
        <f>IF(H423="Sí",1,0)</f>
        <v/>
      </c>
      <c r="R423" s="1">
        <f>IF(L423="En coordinación",1,0)</f>
        <v/>
      </c>
      <c r="T423">
        <f>IF(N423="Sí",1,0)</f>
        <v/>
      </c>
      <c r="U423">
        <f>IF(L423="Aceptada",1,0)</f>
        <v/>
      </c>
    </row>
    <row r="424">
      <c r="A424" s="21" t="str"/>
      <c r="B424" s="23" t="str"/>
      <c r="I424" s="2" t="str"/>
      <c r="J424" s="2" t="str"/>
      <c r="K424" s="2" t="str"/>
      <c r="L424" s="1" t="str"/>
      <c r="M424" s="2" t="str"/>
      <c r="N424" s="1" t="str"/>
      <c r="O424" s="1" t="str"/>
      <c r="P424" s="1" t="str"/>
      <c r="Q424" s="1">
        <f>IF(H424="Sí",1,0)</f>
        <v/>
      </c>
      <c r="R424" s="1">
        <f>IF(L424="En coordinación",1,0)</f>
        <v/>
      </c>
      <c r="T424">
        <f>IF(N424="Sí",1,0)</f>
        <v/>
      </c>
      <c r="U424">
        <f>IF(L424="Aceptada",1,0)</f>
        <v/>
      </c>
    </row>
    <row r="425">
      <c r="A425" s="21" t="str"/>
      <c r="B425" s="23" t="str"/>
      <c r="I425" s="2" t="str"/>
      <c r="J425" s="2" t="str"/>
      <c r="K425" s="2" t="str"/>
      <c r="L425" s="1" t="str"/>
      <c r="M425" s="2" t="str"/>
      <c r="N425" s="1" t="str"/>
      <c r="O425" s="1" t="str"/>
      <c r="P425" s="1" t="str"/>
      <c r="Q425" s="1">
        <f>IF(H425="Sí",1,0)</f>
        <v/>
      </c>
      <c r="R425" s="1">
        <f>IF(L425="En coordinación",1,0)</f>
        <v/>
      </c>
      <c r="T425">
        <f>IF(N425="Sí",1,0)</f>
        <v/>
      </c>
      <c r="U425">
        <f>IF(L425="Aceptada",1,0)</f>
        <v/>
      </c>
    </row>
    <row r="426">
      <c r="A426" s="21" t="str"/>
      <c r="B426" s="23" t="str"/>
      <c r="I426" s="2" t="str"/>
      <c r="J426" s="2" t="str"/>
      <c r="K426" s="2" t="str"/>
      <c r="L426" s="1" t="str"/>
      <c r="M426" s="2" t="str"/>
      <c r="N426" s="1" t="str"/>
      <c r="O426" s="1" t="str"/>
      <c r="P426" s="1" t="str"/>
      <c r="Q426" s="1">
        <f>IF(H426="Sí",1,0)</f>
        <v/>
      </c>
      <c r="R426" s="1">
        <f>IF(L426="En coordinación",1,0)</f>
        <v/>
      </c>
      <c r="T426">
        <f>IF(N426="Sí",1,0)</f>
        <v/>
      </c>
      <c r="U426">
        <f>IF(L426="Aceptada",1,0)</f>
        <v/>
      </c>
    </row>
    <row r="427">
      <c r="A427" s="21" t="str"/>
      <c r="B427" s="23" t="str"/>
      <c r="I427" s="2" t="str"/>
      <c r="J427" s="2" t="str"/>
      <c r="K427" s="2" t="str"/>
      <c r="L427" s="1" t="str"/>
      <c r="M427" s="2" t="str"/>
      <c r="N427" s="1" t="str"/>
      <c r="O427" s="1" t="str"/>
      <c r="P427" s="1" t="str"/>
      <c r="Q427" s="1">
        <f>IF(H427="Sí",1,0)</f>
        <v/>
      </c>
      <c r="R427" s="1">
        <f>IF(L427="En coordinación",1,0)</f>
        <v/>
      </c>
      <c r="T427">
        <f>IF(N427="Sí",1,0)</f>
        <v/>
      </c>
      <c r="U427">
        <f>IF(L427="Aceptada",1,0)</f>
        <v/>
      </c>
    </row>
    <row r="428">
      <c r="A428" s="21" t="str"/>
      <c r="B428" s="23" t="str"/>
      <c r="I428" s="2" t="str"/>
      <c r="J428" s="2" t="str"/>
      <c r="K428" s="2" t="str"/>
      <c r="L428" s="1" t="str"/>
      <c r="M428" s="2" t="str"/>
      <c r="N428" s="1" t="str"/>
      <c r="O428" s="1" t="str"/>
      <c r="P428" s="1" t="str"/>
      <c r="Q428" s="1">
        <f>IF(H428="Sí",1,0)</f>
        <v/>
      </c>
      <c r="R428" s="1">
        <f>IF(L428="En coordinación",1,0)</f>
        <v/>
      </c>
      <c r="T428">
        <f>IF(N428="Sí",1,0)</f>
        <v/>
      </c>
      <c r="U428">
        <f>IF(L428="Aceptada",1,0)</f>
        <v/>
      </c>
    </row>
    <row r="429">
      <c r="A429" s="21" t="str"/>
      <c r="B429" s="23" t="str"/>
      <c r="I429" s="2" t="str"/>
      <c r="J429" s="2" t="str"/>
      <c r="K429" s="2" t="str"/>
      <c r="L429" s="1" t="str"/>
      <c r="M429" s="2" t="str"/>
      <c r="N429" s="1" t="str"/>
      <c r="O429" s="1" t="str"/>
      <c r="P429" s="1" t="str"/>
      <c r="Q429" s="1">
        <f>IF(H429="Sí",1,0)</f>
        <v/>
      </c>
      <c r="R429" s="1">
        <f>IF(L429="En coordinación",1,0)</f>
        <v/>
      </c>
      <c r="T429">
        <f>IF(N429="Sí",1,0)</f>
        <v/>
      </c>
      <c r="U429">
        <f>IF(L429="Aceptada",1,0)</f>
        <v/>
      </c>
    </row>
    <row r="430">
      <c r="A430" s="21" t="str"/>
      <c r="B430" s="23" t="str"/>
      <c r="I430" s="2" t="str"/>
      <c r="J430" s="2" t="str"/>
      <c r="K430" s="2" t="str"/>
      <c r="L430" s="1" t="str"/>
      <c r="M430" s="2" t="str"/>
      <c r="N430" s="1" t="str"/>
      <c r="O430" s="1" t="str"/>
      <c r="P430" s="1" t="str"/>
      <c r="Q430" s="1">
        <f>IF(H430="Sí",1,0)</f>
        <v/>
      </c>
      <c r="R430" s="1">
        <f>IF(L430="En coordinación",1,0)</f>
        <v/>
      </c>
      <c r="T430">
        <f>IF(N430="Sí",1,0)</f>
        <v/>
      </c>
      <c r="U430">
        <f>IF(L430="Aceptada",1,0)</f>
        <v/>
      </c>
    </row>
    <row r="431">
      <c r="A431" s="21" t="str"/>
      <c r="B431" s="23" t="str"/>
      <c r="I431" s="2" t="str"/>
      <c r="J431" s="2" t="str"/>
      <c r="K431" s="2" t="str"/>
      <c r="L431" s="1" t="str"/>
      <c r="M431" s="2" t="str"/>
      <c r="N431" s="1" t="str"/>
      <c r="O431" s="1" t="str"/>
      <c r="P431" s="1" t="str"/>
      <c r="Q431" s="1">
        <f>IF(H431="Sí",1,0)</f>
        <v/>
      </c>
      <c r="R431" s="1">
        <f>IF(L431="En coordinación",1,0)</f>
        <v/>
      </c>
      <c r="T431">
        <f>IF(N431="Sí",1,0)</f>
        <v/>
      </c>
      <c r="U431">
        <f>IF(L431="Aceptada",1,0)</f>
        <v/>
      </c>
    </row>
    <row r="432">
      <c r="A432" s="21" t="str"/>
      <c r="B432" s="23" t="str"/>
      <c r="I432" s="2" t="str"/>
      <c r="J432" s="2" t="str"/>
      <c r="K432" s="2" t="str"/>
      <c r="L432" s="1" t="str"/>
      <c r="M432" s="2" t="str"/>
      <c r="N432" s="1" t="str"/>
      <c r="O432" s="1" t="str"/>
      <c r="P432" s="1" t="str"/>
      <c r="Q432" s="1">
        <f>IF(H432="Sí",1,0)</f>
        <v/>
      </c>
      <c r="R432" s="1">
        <f>IF(L432="En coordinación",1,0)</f>
        <v/>
      </c>
      <c r="T432">
        <f>IF(N432="Sí",1,0)</f>
        <v/>
      </c>
      <c r="U432">
        <f>IF(L432="Aceptada",1,0)</f>
        <v/>
      </c>
    </row>
    <row r="433">
      <c r="A433" s="21" t="str"/>
      <c r="B433" s="23" t="str"/>
      <c r="I433" s="2" t="str"/>
      <c r="J433" s="2" t="str"/>
      <c r="K433" s="2" t="str"/>
      <c r="L433" s="1" t="str"/>
      <c r="M433" s="2" t="str"/>
      <c r="N433" s="1" t="str"/>
      <c r="O433" s="1" t="str"/>
      <c r="P433" s="1" t="str"/>
      <c r="Q433" s="1">
        <f>IF(H433="Sí",1,0)</f>
        <v/>
      </c>
      <c r="R433" s="1">
        <f>IF(L433="En coordinación",1,0)</f>
        <v/>
      </c>
      <c r="T433">
        <f>IF(N433="Sí",1,0)</f>
        <v/>
      </c>
      <c r="U433">
        <f>IF(L433="Aceptada",1,0)</f>
        <v/>
      </c>
    </row>
    <row r="434">
      <c r="A434" s="21" t="str"/>
      <c r="B434" s="23" t="str"/>
      <c r="I434" s="2" t="str"/>
      <c r="J434" s="2" t="str"/>
      <c r="K434" s="2" t="str"/>
      <c r="L434" s="1" t="str"/>
      <c r="M434" s="2" t="str"/>
      <c r="N434" s="1" t="str"/>
      <c r="O434" s="1" t="str"/>
      <c r="P434" s="1" t="str"/>
      <c r="Q434" s="1">
        <f>IF(H434="Sí",1,0)</f>
        <v/>
      </c>
      <c r="R434" s="1">
        <f>IF(L434="En coordinación",1,0)</f>
        <v/>
      </c>
      <c r="T434">
        <f>IF(N434="Sí",1,0)</f>
        <v/>
      </c>
      <c r="U434">
        <f>IF(L434="Aceptada",1,0)</f>
        <v/>
      </c>
    </row>
    <row r="435">
      <c r="A435" s="21" t="str"/>
      <c r="B435" s="23" t="str"/>
      <c r="I435" s="2" t="str"/>
      <c r="J435" s="2" t="str"/>
      <c r="K435" s="2" t="str"/>
      <c r="L435" s="1" t="str"/>
      <c r="M435" s="2" t="str"/>
      <c r="N435" s="1" t="str"/>
      <c r="O435" s="1" t="str"/>
      <c r="P435" s="1" t="str"/>
      <c r="Q435" s="1">
        <f>IF(H435="Sí",1,0)</f>
        <v/>
      </c>
      <c r="R435" s="1">
        <f>IF(L435="En coordinación",1,0)</f>
        <v/>
      </c>
      <c r="T435">
        <f>IF(N435="Sí",1,0)</f>
        <v/>
      </c>
      <c r="U435">
        <f>IF(L435="Aceptada",1,0)</f>
        <v/>
      </c>
    </row>
    <row r="436">
      <c r="A436" s="21" t="str"/>
      <c r="B436" s="23" t="str"/>
      <c r="I436" s="2" t="str"/>
      <c r="J436" s="2" t="str"/>
      <c r="K436" s="2" t="str"/>
      <c r="L436" s="1" t="str"/>
      <c r="M436" s="2" t="str"/>
      <c r="N436" s="1" t="str"/>
      <c r="O436" s="1" t="str"/>
      <c r="P436" s="1" t="str"/>
      <c r="Q436" s="1">
        <f>IF(H436="Sí",1,0)</f>
        <v/>
      </c>
      <c r="R436" s="1">
        <f>IF(L436="En coordinación",1,0)</f>
        <v/>
      </c>
      <c r="T436">
        <f>IF(N436="Sí",1,0)</f>
        <v/>
      </c>
      <c r="U436">
        <f>IF(L436="Aceptada",1,0)</f>
        <v/>
      </c>
    </row>
    <row r="437">
      <c r="A437" s="21" t="str"/>
      <c r="B437" s="23" t="str"/>
      <c r="I437" s="2" t="str"/>
      <c r="J437" s="2" t="str"/>
      <c r="K437" s="2" t="str"/>
      <c r="L437" s="1" t="str"/>
      <c r="M437" s="2" t="str"/>
      <c r="N437" s="1" t="str"/>
      <c r="O437" s="1" t="str"/>
      <c r="P437" s="1" t="str"/>
      <c r="Q437" s="1">
        <f>IF(H437="Sí",1,0)</f>
        <v/>
      </c>
      <c r="R437" s="1">
        <f>IF(L437="En coordinación",1,0)</f>
        <v/>
      </c>
      <c r="T437">
        <f>IF(N437="Sí",1,0)</f>
        <v/>
      </c>
      <c r="U437">
        <f>IF(L437="Aceptada",1,0)</f>
        <v/>
      </c>
    </row>
    <row r="438">
      <c r="A438" s="21" t="str"/>
      <c r="B438" s="23" t="str"/>
      <c r="I438" s="2" t="str"/>
      <c r="J438" s="2" t="str"/>
      <c r="K438" s="2" t="str"/>
      <c r="L438" s="1" t="str"/>
      <c r="M438" s="2" t="str"/>
      <c r="N438" s="1" t="str"/>
      <c r="O438" s="1" t="str"/>
      <c r="P438" s="1" t="str"/>
      <c r="Q438" s="1">
        <f>IF(H438="Sí",1,0)</f>
        <v/>
      </c>
      <c r="R438" s="1">
        <f>IF(L438="En coordinación",1,0)</f>
        <v/>
      </c>
      <c r="T438">
        <f>IF(N438="Sí",1,0)</f>
        <v/>
      </c>
      <c r="U438">
        <f>IF(L438="Aceptada",1,0)</f>
        <v/>
      </c>
    </row>
    <row r="439">
      <c r="A439" s="21" t="str"/>
      <c r="B439" s="23" t="str"/>
      <c r="I439" s="2" t="str"/>
      <c r="J439" s="2" t="str"/>
      <c r="K439" s="2" t="str"/>
      <c r="L439" s="1" t="str"/>
      <c r="M439" s="2" t="str"/>
      <c r="N439" s="1" t="str"/>
      <c r="O439" s="1" t="str"/>
      <c r="P439" s="1" t="str"/>
      <c r="Q439" s="1">
        <f>IF(H439="Sí",1,0)</f>
        <v/>
      </c>
      <c r="R439" s="1">
        <f>IF(L439="En coordinación",1,0)</f>
        <v/>
      </c>
      <c r="T439">
        <f>IF(N439="Sí",1,0)</f>
        <v/>
      </c>
      <c r="U439">
        <f>IF(L439="Aceptada",1,0)</f>
        <v/>
      </c>
    </row>
    <row r="440">
      <c r="A440" s="21" t="str"/>
      <c r="B440" s="23" t="str"/>
      <c r="I440" s="2" t="str"/>
      <c r="J440" s="2" t="str"/>
      <c r="K440" s="2" t="str"/>
      <c r="L440" s="1" t="str"/>
      <c r="M440" s="2" t="str"/>
      <c r="N440" s="1" t="str"/>
      <c r="O440" s="1" t="str"/>
      <c r="P440" s="1" t="str"/>
      <c r="Q440" s="1">
        <f>IF(H440="Sí",1,0)</f>
        <v/>
      </c>
      <c r="R440" s="1">
        <f>IF(L440="En coordinación",1,0)</f>
        <v/>
      </c>
      <c r="T440">
        <f>IF(N440="Sí",1,0)</f>
        <v/>
      </c>
      <c r="U440">
        <f>IF(L440="Aceptada",1,0)</f>
        <v/>
      </c>
    </row>
    <row r="441">
      <c r="A441" s="21" t="str"/>
      <c r="B441" s="23" t="str"/>
      <c r="I441" s="2" t="str"/>
      <c r="J441" s="2" t="str"/>
      <c r="K441" s="2" t="str"/>
      <c r="L441" s="1" t="str"/>
      <c r="M441" s="2" t="str"/>
      <c r="N441" s="1" t="str"/>
      <c r="O441" s="1" t="str"/>
      <c r="P441" s="1" t="str"/>
      <c r="Q441" s="1">
        <f>IF(H441="Sí",1,0)</f>
        <v/>
      </c>
      <c r="R441" s="1">
        <f>IF(L441="En coordinación",1,0)</f>
        <v/>
      </c>
      <c r="T441">
        <f>IF(N441="Sí",1,0)</f>
        <v/>
      </c>
      <c r="U441">
        <f>IF(L441="Aceptada",1,0)</f>
        <v/>
      </c>
    </row>
    <row r="442">
      <c r="A442" s="21" t="str"/>
      <c r="B442" s="23" t="str"/>
      <c r="I442" s="2" t="str"/>
      <c r="J442" s="2" t="str"/>
      <c r="K442" s="2" t="str"/>
      <c r="L442" s="1" t="str"/>
      <c r="M442" s="2" t="str"/>
      <c r="N442" s="1" t="str"/>
      <c r="O442" s="1" t="str"/>
      <c r="P442" s="1" t="str"/>
      <c r="Q442" s="1">
        <f>IF(H442="Sí",1,0)</f>
        <v/>
      </c>
      <c r="R442" s="1">
        <f>IF(L442="En coordinación",1,0)</f>
        <v/>
      </c>
      <c r="T442">
        <f>IF(N442="Sí",1,0)</f>
        <v/>
      </c>
      <c r="U442">
        <f>IF(L442="Aceptada",1,0)</f>
        <v/>
      </c>
    </row>
    <row r="443">
      <c r="A443" s="21" t="str"/>
      <c r="B443" s="23" t="str"/>
      <c r="I443" s="2" t="str"/>
      <c r="J443" s="2" t="str"/>
      <c r="K443" s="2" t="str"/>
      <c r="L443" s="1" t="str"/>
      <c r="M443" s="2" t="str"/>
      <c r="N443" s="1" t="str"/>
      <c r="O443" s="1" t="str"/>
      <c r="P443" s="1" t="str"/>
      <c r="Q443" s="1">
        <f>IF(H443="Sí",1,0)</f>
        <v/>
      </c>
      <c r="R443" s="1">
        <f>IF(L443="En coordinación",1,0)</f>
        <v/>
      </c>
      <c r="T443">
        <f>IF(N443="Sí",1,0)</f>
        <v/>
      </c>
      <c r="U443">
        <f>IF(L443="Aceptada",1,0)</f>
        <v/>
      </c>
    </row>
    <row r="444">
      <c r="A444" s="21" t="str"/>
      <c r="B444" s="23" t="str"/>
      <c r="I444" s="2" t="str"/>
      <c r="J444" s="2" t="str"/>
      <c r="K444" s="2" t="str"/>
      <c r="L444" s="1" t="str"/>
      <c r="M444" s="2" t="str"/>
      <c r="N444" s="1" t="str"/>
      <c r="O444" s="1" t="str"/>
      <c r="P444" s="1" t="str"/>
      <c r="Q444" s="1">
        <f>IF(H444="Sí",1,0)</f>
        <v/>
      </c>
      <c r="R444" s="1">
        <f>IF(L444="En coordinación",1,0)</f>
        <v/>
      </c>
      <c r="T444">
        <f>IF(N444="Sí",1,0)</f>
        <v/>
      </c>
      <c r="U444">
        <f>IF(L444="Aceptada",1,0)</f>
        <v/>
      </c>
    </row>
    <row r="445">
      <c r="A445" s="21" t="str"/>
      <c r="B445" s="23" t="str"/>
      <c r="I445" s="2" t="str"/>
      <c r="J445" s="2" t="str"/>
      <c r="K445" s="2" t="str"/>
      <c r="L445" s="1" t="str"/>
      <c r="M445" s="2" t="str"/>
      <c r="N445" s="1" t="str"/>
      <c r="O445" s="1" t="str"/>
      <c r="P445" s="1" t="str"/>
      <c r="Q445" s="1">
        <f>IF(H445="Sí",1,0)</f>
        <v/>
      </c>
      <c r="R445" s="1">
        <f>IF(L445="En coordinación",1,0)</f>
        <v/>
      </c>
      <c r="T445">
        <f>IF(N445="Sí",1,0)</f>
        <v/>
      </c>
      <c r="U445">
        <f>IF(L445="Aceptada",1,0)</f>
        <v/>
      </c>
    </row>
    <row r="446">
      <c r="A446" s="21" t="str"/>
      <c r="B446" s="23" t="str"/>
      <c r="I446" s="2" t="str"/>
      <c r="J446" s="2" t="str"/>
      <c r="K446" s="2" t="str"/>
      <c r="L446" s="1" t="str"/>
      <c r="M446" s="2" t="str"/>
      <c r="N446" s="1" t="str"/>
      <c r="O446" s="1" t="str"/>
      <c r="P446" s="1" t="str"/>
      <c r="Q446" s="1">
        <f>IF(H446="Sí",1,0)</f>
        <v/>
      </c>
      <c r="R446" s="1">
        <f>IF(L446="En coordinación",1,0)</f>
        <v/>
      </c>
      <c r="T446">
        <f>IF(N446="Sí",1,0)</f>
        <v/>
      </c>
      <c r="U446">
        <f>IF(L446="Aceptada",1,0)</f>
        <v/>
      </c>
    </row>
    <row r="447">
      <c r="A447" s="21" t="str"/>
      <c r="B447" s="23" t="str"/>
      <c r="I447" s="2" t="str"/>
      <c r="J447" s="2" t="str"/>
      <c r="K447" s="2" t="str"/>
      <c r="L447" s="1" t="str"/>
      <c r="M447" s="2" t="str"/>
      <c r="N447" s="1" t="str"/>
      <c r="O447" s="1" t="str"/>
      <c r="P447" s="1" t="str"/>
      <c r="Q447" s="1">
        <f>IF(H447="Sí",1,0)</f>
        <v/>
      </c>
      <c r="R447" s="1">
        <f>IF(L447="En coordinación",1,0)</f>
        <v/>
      </c>
      <c r="T447">
        <f>IF(N447="Sí",1,0)</f>
        <v/>
      </c>
      <c r="U447">
        <f>IF(L447="Aceptada",1,0)</f>
        <v/>
      </c>
    </row>
    <row r="448">
      <c r="A448" s="21" t="str"/>
      <c r="B448" s="23" t="str"/>
      <c r="I448" s="2" t="str"/>
      <c r="J448" s="2" t="str"/>
      <c r="K448" s="2" t="str"/>
      <c r="L448" s="1" t="str"/>
      <c r="M448" s="2" t="str"/>
      <c r="N448" s="1" t="str"/>
      <c r="O448" s="1" t="str"/>
      <c r="P448" s="1" t="str"/>
      <c r="Q448" s="1">
        <f>IF(H448="Sí",1,0)</f>
        <v/>
      </c>
      <c r="R448" s="1">
        <f>IF(L448="En coordinación",1,0)</f>
        <v/>
      </c>
      <c r="T448">
        <f>IF(N448="Sí",1,0)</f>
        <v/>
      </c>
      <c r="U448">
        <f>IF(L448="Aceptada",1,0)</f>
        <v/>
      </c>
    </row>
    <row r="449">
      <c r="A449" s="21" t="str"/>
      <c r="B449" s="23" t="str"/>
      <c r="I449" s="2" t="str"/>
      <c r="J449" s="2" t="str"/>
      <c r="K449" s="2" t="str"/>
      <c r="L449" s="1" t="str"/>
      <c r="M449" s="2" t="str"/>
      <c r="N449" s="1" t="str"/>
      <c r="O449" s="1" t="str"/>
      <c r="P449" s="1" t="str"/>
      <c r="Q449" s="1">
        <f>IF(H449="Sí",1,0)</f>
        <v/>
      </c>
      <c r="R449" s="1">
        <f>IF(L449="En coordinación",1,0)</f>
        <v/>
      </c>
      <c r="T449">
        <f>IF(N449="Sí",1,0)</f>
        <v/>
      </c>
      <c r="U449">
        <f>IF(L449="Aceptada",1,0)</f>
        <v/>
      </c>
    </row>
    <row r="450">
      <c r="A450" s="21" t="str"/>
      <c r="B450" s="23" t="str"/>
      <c r="I450" s="2" t="str"/>
      <c r="J450" s="2" t="str"/>
      <c r="K450" s="2" t="str"/>
      <c r="L450" s="1" t="str"/>
      <c r="M450" s="2" t="str"/>
      <c r="N450" s="1" t="str"/>
      <c r="O450" s="1" t="str"/>
      <c r="P450" s="1" t="str"/>
      <c r="Q450" s="1">
        <f>IF(H450="Sí",1,0)</f>
        <v/>
      </c>
      <c r="R450" s="1">
        <f>IF(L450="En coordinación",1,0)</f>
        <v/>
      </c>
      <c r="T450">
        <f>IF(N450="Sí",1,0)</f>
        <v/>
      </c>
      <c r="U450">
        <f>IF(L450="Aceptada",1,0)</f>
        <v/>
      </c>
    </row>
    <row r="451">
      <c r="A451" s="21" t="str"/>
      <c r="B451" s="23" t="str"/>
      <c r="I451" s="2" t="str"/>
      <c r="J451" s="2" t="str"/>
      <c r="K451" s="2" t="str"/>
      <c r="L451" s="1" t="str"/>
      <c r="M451" s="2" t="str"/>
      <c r="N451" s="1" t="str"/>
      <c r="O451" s="1" t="str"/>
      <c r="P451" s="1" t="str"/>
      <c r="Q451" s="1">
        <f>IF(H451="Sí",1,0)</f>
        <v/>
      </c>
      <c r="R451" s="1">
        <f>IF(L451="En coordinación",1,0)</f>
        <v/>
      </c>
      <c r="T451">
        <f>IF(N451="Sí",1,0)</f>
        <v/>
      </c>
      <c r="U451">
        <f>IF(L451="Aceptada",1,0)</f>
        <v/>
      </c>
    </row>
    <row r="452">
      <c r="A452" s="21" t="str"/>
      <c r="B452" s="23" t="str"/>
      <c r="I452" s="2" t="str"/>
      <c r="J452" s="2" t="str"/>
      <c r="K452" s="2" t="str"/>
      <c r="L452" s="1" t="str"/>
      <c r="M452" s="2" t="str"/>
      <c r="N452" s="1" t="str"/>
      <c r="O452" s="1" t="str"/>
      <c r="P452" s="1" t="str"/>
      <c r="Q452" s="1">
        <f>IF(H452="Sí",1,0)</f>
        <v/>
      </c>
      <c r="R452" s="1">
        <f>IF(L452="En coordinación",1,0)</f>
        <v/>
      </c>
      <c r="T452">
        <f>IF(N452="Sí",1,0)</f>
        <v/>
      </c>
      <c r="U452">
        <f>IF(L452="Aceptada",1,0)</f>
        <v/>
      </c>
    </row>
    <row r="453">
      <c r="A453" s="21" t="str"/>
      <c r="B453" s="23" t="str"/>
      <c r="I453" s="2" t="str"/>
      <c r="J453" s="2" t="str"/>
      <c r="K453" s="2" t="str"/>
      <c r="L453" s="1" t="str"/>
      <c r="M453" s="2" t="str"/>
      <c r="N453" s="1" t="str"/>
      <c r="O453" s="1" t="str"/>
      <c r="P453" s="1" t="str"/>
      <c r="Q453" s="1">
        <f>IF(H453="Sí",1,0)</f>
        <v/>
      </c>
      <c r="R453" s="1">
        <f>IF(L453="En coordinación",1,0)</f>
        <v/>
      </c>
      <c r="T453">
        <f>IF(N453="Sí",1,0)</f>
        <v/>
      </c>
      <c r="U453">
        <f>IF(L453="Aceptada",1,0)</f>
        <v/>
      </c>
    </row>
    <row r="454">
      <c r="A454" s="21" t="str"/>
      <c r="B454" s="23" t="str"/>
      <c r="I454" s="2" t="str"/>
      <c r="J454" s="2" t="str"/>
      <c r="K454" s="2" t="str"/>
      <c r="L454" s="1" t="str"/>
      <c r="M454" s="2" t="str"/>
      <c r="N454" s="1" t="str"/>
      <c r="O454" s="1" t="str"/>
      <c r="P454" s="1" t="str"/>
      <c r="Q454" s="1">
        <f>IF(H454="Sí",1,0)</f>
        <v/>
      </c>
      <c r="R454" s="1">
        <f>IF(L454="En coordinación",1,0)</f>
        <v/>
      </c>
      <c r="T454">
        <f>IF(N454="Sí",1,0)</f>
        <v/>
      </c>
      <c r="U454">
        <f>IF(L454="Aceptada",1,0)</f>
        <v/>
      </c>
    </row>
    <row r="455">
      <c r="A455" s="21" t="str"/>
      <c r="B455" s="23" t="str"/>
      <c r="I455" s="2" t="str"/>
      <c r="J455" s="2" t="str"/>
      <c r="K455" s="2" t="str"/>
      <c r="L455" s="1" t="str"/>
      <c r="M455" s="2" t="str"/>
      <c r="N455" s="1" t="str"/>
      <c r="O455" s="1" t="str"/>
      <c r="P455" s="1" t="str"/>
      <c r="Q455" s="1">
        <f>IF(H455="Sí",1,0)</f>
        <v/>
      </c>
      <c r="R455" s="1">
        <f>IF(L455="En coordinación",1,0)</f>
        <v/>
      </c>
      <c r="T455">
        <f>IF(N455="Sí",1,0)</f>
        <v/>
      </c>
      <c r="U455">
        <f>IF(L455="Aceptada",1,0)</f>
        <v/>
      </c>
    </row>
    <row r="456">
      <c r="A456" s="21" t="str"/>
      <c r="B456" s="23" t="str"/>
      <c r="I456" s="2" t="str"/>
      <c r="J456" s="2" t="str"/>
      <c r="K456" s="2" t="str"/>
      <c r="L456" s="1" t="str"/>
      <c r="M456" s="2" t="str"/>
      <c r="N456" s="1" t="str"/>
      <c r="O456" s="1" t="str"/>
      <c r="P456" s="1" t="str"/>
      <c r="Q456" s="1">
        <f>IF(H456="Sí",1,0)</f>
        <v/>
      </c>
      <c r="R456" s="1">
        <f>IF(L456="En coordinación",1,0)</f>
        <v/>
      </c>
      <c r="T456">
        <f>IF(N456="Sí",1,0)</f>
        <v/>
      </c>
      <c r="U456">
        <f>IF(L456="Aceptada",1,0)</f>
        <v/>
      </c>
    </row>
    <row r="457">
      <c r="A457" s="21" t="str"/>
      <c r="B457" s="23" t="str"/>
      <c r="I457" s="2" t="str"/>
      <c r="J457" s="2" t="str"/>
      <c r="K457" s="2" t="str"/>
      <c r="L457" s="1" t="str"/>
      <c r="M457" s="2" t="str"/>
      <c r="N457" s="1" t="str"/>
      <c r="O457" s="1" t="str"/>
      <c r="P457" s="1" t="str"/>
      <c r="Q457" s="1">
        <f>IF(H457="Sí",1,0)</f>
        <v/>
      </c>
      <c r="R457" s="1">
        <f>IF(L457="En coordinación",1,0)</f>
        <v/>
      </c>
      <c r="T457">
        <f>IF(N457="Sí",1,0)</f>
        <v/>
      </c>
      <c r="U457">
        <f>IF(L457="Aceptada",1,0)</f>
        <v/>
      </c>
    </row>
    <row r="458">
      <c r="A458" s="21" t="str"/>
      <c r="B458" s="23" t="str"/>
      <c r="I458" s="2" t="str"/>
      <c r="J458" s="2" t="str"/>
      <c r="K458" s="2" t="str"/>
      <c r="L458" s="1" t="str"/>
      <c r="M458" s="2" t="str"/>
      <c r="N458" s="1" t="str"/>
      <c r="O458" s="1" t="str"/>
      <c r="P458" s="1" t="str"/>
      <c r="Q458" s="1">
        <f>IF(H458="Sí",1,0)</f>
        <v/>
      </c>
      <c r="R458" s="1">
        <f>IF(L458="En coordinación",1,0)</f>
        <v/>
      </c>
      <c r="T458">
        <f>IF(N458="Sí",1,0)</f>
        <v/>
      </c>
      <c r="U458">
        <f>IF(L458="Aceptada",1,0)</f>
        <v/>
      </c>
    </row>
    <row r="459">
      <c r="A459" s="21" t="str"/>
      <c r="B459" s="23" t="str"/>
      <c r="I459" s="2" t="str"/>
      <c r="J459" s="2" t="str"/>
      <c r="K459" s="2" t="str"/>
      <c r="L459" s="1" t="str"/>
      <c r="M459" s="2" t="str"/>
      <c r="N459" s="1" t="str"/>
      <c r="O459" s="1" t="str"/>
      <c r="P459" s="1" t="str"/>
      <c r="Q459" s="1">
        <f>IF(H459="Sí",1,0)</f>
        <v/>
      </c>
      <c r="R459" s="1">
        <f>IF(L459="En coordinación",1,0)</f>
        <v/>
      </c>
      <c r="T459">
        <f>IF(N459="Sí",1,0)</f>
        <v/>
      </c>
      <c r="U459">
        <f>IF(L459="Aceptada",1,0)</f>
        <v/>
      </c>
    </row>
    <row r="460">
      <c r="A460" s="21" t="str"/>
      <c r="B460" s="23" t="str"/>
      <c r="I460" s="2" t="str"/>
      <c r="J460" s="2" t="str"/>
      <c r="K460" s="2" t="str"/>
      <c r="L460" s="1" t="str"/>
      <c r="M460" s="2" t="str"/>
      <c r="N460" s="1" t="str"/>
      <c r="O460" s="1" t="str"/>
      <c r="P460" s="1" t="str"/>
      <c r="Q460" s="1">
        <f>IF(H460="Sí",1,0)</f>
        <v/>
      </c>
      <c r="R460" s="1">
        <f>IF(L460="En coordinación",1,0)</f>
        <v/>
      </c>
      <c r="T460">
        <f>IF(N460="Sí",1,0)</f>
        <v/>
      </c>
      <c r="U460">
        <f>IF(L460="Aceptada",1,0)</f>
        <v/>
      </c>
    </row>
    <row r="461">
      <c r="A461" s="21" t="str"/>
      <c r="B461" s="23" t="str"/>
      <c r="I461" s="2" t="str"/>
      <c r="J461" s="2" t="str"/>
      <c r="K461" s="2" t="str"/>
      <c r="L461" s="1" t="str"/>
      <c r="M461" s="2" t="str"/>
      <c r="N461" s="1" t="str"/>
      <c r="O461" s="1" t="str"/>
      <c r="P461" s="1" t="str"/>
      <c r="Q461" s="1">
        <f>IF(H461="Sí",1,0)</f>
        <v/>
      </c>
      <c r="R461" s="1">
        <f>IF(L461="En coordinación",1,0)</f>
        <v/>
      </c>
      <c r="T461">
        <f>IF(N461="Sí",1,0)</f>
        <v/>
      </c>
      <c r="U461">
        <f>IF(L461="Aceptada",1,0)</f>
        <v/>
      </c>
    </row>
    <row r="462">
      <c r="A462" s="21" t="str"/>
      <c r="B462" s="23" t="str"/>
      <c r="I462" s="2" t="str"/>
      <c r="J462" s="2" t="str"/>
      <c r="K462" s="2" t="str"/>
      <c r="L462" s="1" t="str"/>
      <c r="M462" s="2" t="str"/>
      <c r="N462" s="1" t="str"/>
      <c r="O462" s="1" t="str"/>
      <c r="P462" s="1" t="str"/>
      <c r="Q462" s="1">
        <f>IF(H462="Sí",1,0)</f>
        <v/>
      </c>
      <c r="R462" s="1">
        <f>IF(L462="En coordinación",1,0)</f>
        <v/>
      </c>
      <c r="T462">
        <f>IF(N462="Sí",1,0)</f>
        <v/>
      </c>
      <c r="U462">
        <f>IF(L462="Aceptada",1,0)</f>
        <v/>
      </c>
    </row>
    <row r="463">
      <c r="A463" s="21" t="str"/>
      <c r="B463" s="23" t="str"/>
      <c r="I463" s="2" t="str"/>
      <c r="J463" s="2" t="str"/>
      <c r="K463" s="2" t="str"/>
      <c r="L463" s="1" t="str"/>
      <c r="M463" s="2" t="str"/>
      <c r="N463" s="1" t="str"/>
      <c r="O463" s="1" t="str"/>
      <c r="P463" s="1" t="str"/>
      <c r="Q463" s="1">
        <f>IF(H463="Sí",1,0)</f>
        <v/>
      </c>
      <c r="R463" s="1">
        <f>IF(L463="En coordinación",1,0)</f>
        <v/>
      </c>
      <c r="T463">
        <f>IF(N463="Sí",1,0)</f>
        <v/>
      </c>
      <c r="U463">
        <f>IF(L463="Aceptada",1,0)</f>
        <v/>
      </c>
    </row>
    <row r="464">
      <c r="A464" s="21" t="str"/>
      <c r="B464" s="23" t="str"/>
      <c r="I464" s="2" t="str"/>
      <c r="J464" s="2" t="str"/>
      <c r="K464" s="2" t="str"/>
      <c r="L464" s="1" t="str"/>
      <c r="M464" s="2" t="str"/>
      <c r="N464" s="1" t="str"/>
      <c r="O464" s="1" t="str"/>
      <c r="P464" s="1" t="str"/>
      <c r="Q464" s="1">
        <f>IF(H464="Sí",1,0)</f>
        <v/>
      </c>
      <c r="R464" s="1">
        <f>IF(L464="En coordinación",1,0)</f>
        <v/>
      </c>
      <c r="T464">
        <f>IF(N464="Sí",1,0)</f>
        <v/>
      </c>
      <c r="U464">
        <f>IF(L464="Aceptada",1,0)</f>
        <v/>
      </c>
    </row>
    <row r="465">
      <c r="A465" s="21" t="str"/>
      <c r="B465" s="23" t="str"/>
      <c r="I465" s="2" t="str"/>
      <c r="J465" s="2" t="str"/>
      <c r="K465" s="2" t="str"/>
      <c r="L465" s="1" t="str"/>
      <c r="M465" s="2" t="str"/>
      <c r="N465" s="1" t="str"/>
      <c r="O465" s="1" t="str"/>
      <c r="P465" s="1" t="str"/>
      <c r="Q465" s="1">
        <f>IF(H465="Sí",1,0)</f>
        <v/>
      </c>
      <c r="R465" s="1">
        <f>IF(L465="En coordinación",1,0)</f>
        <v/>
      </c>
      <c r="T465">
        <f>IF(N465="Sí",1,0)</f>
        <v/>
      </c>
      <c r="U465">
        <f>IF(L465="Aceptada",1,0)</f>
        <v/>
      </c>
    </row>
    <row r="466">
      <c r="A466" s="21" t="str"/>
      <c r="B466" s="23" t="str"/>
      <c r="I466" s="2" t="str"/>
      <c r="J466" s="2" t="str"/>
      <c r="K466" s="2" t="str"/>
      <c r="L466" s="1" t="str"/>
      <c r="M466" s="2" t="str"/>
      <c r="N466" s="1" t="str"/>
      <c r="O466" s="1" t="str"/>
      <c r="P466" s="1" t="str"/>
      <c r="Q466" s="1">
        <f>IF(H466="Sí",1,0)</f>
        <v/>
      </c>
      <c r="R466" s="1">
        <f>IF(L466="En coordinación",1,0)</f>
        <v/>
      </c>
      <c r="T466">
        <f>IF(N466="Sí",1,0)</f>
        <v/>
      </c>
      <c r="U466">
        <f>IF(L466="Aceptada",1,0)</f>
        <v/>
      </c>
    </row>
    <row r="467">
      <c r="A467" s="21" t="str"/>
      <c r="B467" s="23" t="str"/>
      <c r="I467" s="2" t="str"/>
      <c r="J467" s="2" t="str"/>
      <c r="K467" s="2" t="str"/>
      <c r="L467" s="1" t="str"/>
      <c r="M467" s="2" t="str"/>
      <c r="N467" s="1" t="str"/>
      <c r="O467" s="1" t="str"/>
      <c r="P467" s="1" t="str"/>
      <c r="Q467" s="1">
        <f>IF(H467="Sí",1,0)</f>
        <v/>
      </c>
      <c r="R467" s="1">
        <f>IF(L467="En coordinación",1,0)</f>
        <v/>
      </c>
      <c r="T467">
        <f>IF(N467="Sí",1,0)</f>
        <v/>
      </c>
      <c r="U467">
        <f>IF(L467="Aceptada",1,0)</f>
        <v/>
      </c>
    </row>
    <row r="468">
      <c r="A468" s="21" t="str"/>
      <c r="B468" s="23" t="str"/>
      <c r="I468" s="2" t="str"/>
      <c r="J468" s="2" t="str"/>
      <c r="K468" s="2" t="str"/>
      <c r="L468" s="1" t="str"/>
      <c r="M468" s="2" t="str"/>
      <c r="N468" s="1" t="str"/>
      <c r="O468" s="1" t="str"/>
      <c r="P468" s="1" t="str"/>
      <c r="Q468" s="1">
        <f>IF(H468="Sí",1,0)</f>
        <v/>
      </c>
      <c r="R468" s="1">
        <f>IF(L468="En coordinación",1,0)</f>
        <v/>
      </c>
      <c r="T468">
        <f>IF(N468="Sí",1,0)</f>
        <v/>
      </c>
      <c r="U468">
        <f>IF(L468="Aceptada",1,0)</f>
        <v/>
      </c>
    </row>
    <row r="469">
      <c r="A469" s="21" t="str"/>
      <c r="B469" s="23" t="str"/>
      <c r="I469" s="2" t="str"/>
      <c r="J469" s="2" t="str"/>
      <c r="K469" s="2" t="str"/>
      <c r="L469" s="1" t="str"/>
      <c r="M469" s="2" t="str"/>
      <c r="N469" s="1" t="str"/>
      <c r="O469" s="1" t="str"/>
      <c r="P469" s="1" t="str"/>
      <c r="Q469" s="1">
        <f>IF(H469="Sí",1,0)</f>
        <v/>
      </c>
      <c r="R469" s="1">
        <f>IF(L469="En coordinación",1,0)</f>
        <v/>
      </c>
      <c r="T469">
        <f>IF(N469="Sí",1,0)</f>
        <v/>
      </c>
      <c r="U469">
        <f>IF(L469="Aceptada",1,0)</f>
        <v/>
      </c>
    </row>
    <row r="470">
      <c r="A470" s="21" t="str"/>
      <c r="B470" s="23" t="str"/>
      <c r="I470" s="2" t="str"/>
      <c r="J470" s="2" t="str"/>
      <c r="K470" s="2" t="str"/>
      <c r="L470" s="1" t="str"/>
      <c r="M470" s="2" t="str"/>
      <c r="N470" s="1" t="str"/>
      <c r="O470" s="1" t="str"/>
      <c r="P470" s="1" t="str"/>
      <c r="Q470" s="1">
        <f>IF(H470="Sí",1,0)</f>
        <v/>
      </c>
      <c r="R470" s="1">
        <f>IF(L470="En coordinación",1,0)</f>
        <v/>
      </c>
      <c r="T470">
        <f>IF(N470="Sí",1,0)</f>
        <v/>
      </c>
      <c r="U470">
        <f>IF(L470="Aceptada",1,0)</f>
        <v/>
      </c>
    </row>
    <row r="471">
      <c r="A471" s="21" t="str"/>
      <c r="B471" s="23" t="str"/>
      <c r="I471" s="2" t="str"/>
      <c r="J471" s="2" t="str"/>
      <c r="K471" s="2" t="str"/>
      <c r="L471" s="1" t="str"/>
      <c r="M471" s="2" t="str"/>
      <c r="N471" s="1" t="str"/>
      <c r="O471" s="1" t="str"/>
      <c r="P471" s="1" t="str"/>
      <c r="Q471" s="1">
        <f>IF(H471="Sí",1,0)</f>
        <v/>
      </c>
      <c r="R471" s="1">
        <f>IF(L471="En coordinación",1,0)</f>
        <v/>
      </c>
      <c r="T471">
        <f>IF(N471="Sí",1,0)</f>
        <v/>
      </c>
      <c r="U471">
        <f>IF(L471="Aceptada",1,0)</f>
        <v/>
      </c>
    </row>
    <row r="472">
      <c r="A472" s="21" t="str"/>
      <c r="B472" s="23" t="str"/>
      <c r="I472" s="2" t="str"/>
      <c r="J472" s="2" t="str"/>
      <c r="K472" s="2" t="str"/>
      <c r="L472" s="1" t="str"/>
      <c r="M472" s="2" t="str"/>
      <c r="N472" s="1" t="str"/>
      <c r="O472" s="1" t="str"/>
      <c r="P472" s="1" t="str"/>
      <c r="Q472" s="1">
        <f>IF(H472="Sí",1,0)</f>
        <v/>
      </c>
      <c r="R472" s="1">
        <f>IF(L472="En coordinación",1,0)</f>
        <v/>
      </c>
      <c r="T472">
        <f>IF(N472="Sí",1,0)</f>
        <v/>
      </c>
      <c r="U472">
        <f>IF(L472="Aceptada",1,0)</f>
        <v/>
      </c>
    </row>
    <row r="473">
      <c r="A473" s="21" t="str"/>
      <c r="B473" s="23" t="str"/>
      <c r="I473" s="2" t="str"/>
      <c r="J473" s="2" t="str"/>
      <c r="K473" s="2" t="str"/>
      <c r="L473" s="1" t="str"/>
      <c r="M473" s="2" t="str"/>
      <c r="N473" s="1" t="str"/>
      <c r="O473" s="1" t="str"/>
      <c r="P473" s="1" t="str"/>
      <c r="Q473" s="1">
        <f>IF(H473="Sí",1,0)</f>
        <v/>
      </c>
      <c r="R473" s="1">
        <f>IF(L473="En coordinación",1,0)</f>
        <v/>
      </c>
      <c r="T473">
        <f>IF(N473="Sí",1,0)</f>
        <v/>
      </c>
      <c r="U473">
        <f>IF(L473="Aceptada",1,0)</f>
        <v/>
      </c>
    </row>
    <row r="474">
      <c r="A474" s="21" t="str"/>
      <c r="B474" s="23" t="str"/>
      <c r="I474" s="2" t="str"/>
      <c r="J474" s="2" t="str"/>
      <c r="K474" s="2" t="str"/>
      <c r="L474" s="1" t="str"/>
      <c r="M474" s="2" t="str"/>
      <c r="N474" s="1" t="str"/>
      <c r="O474" s="1" t="str"/>
      <c r="P474" s="1" t="str"/>
      <c r="Q474" s="1">
        <f>IF(H474="Sí",1,0)</f>
        <v/>
      </c>
      <c r="R474" s="1">
        <f>IF(L474="En coordinación",1,0)</f>
        <v/>
      </c>
      <c r="T474">
        <f>IF(N474="Sí",1,0)</f>
        <v/>
      </c>
      <c r="U474">
        <f>IF(L474="Aceptada",1,0)</f>
        <v/>
      </c>
    </row>
    <row r="475">
      <c r="A475" s="21" t="str"/>
      <c r="B475" s="23" t="str"/>
      <c r="I475" s="2" t="str"/>
      <c r="J475" s="2" t="str"/>
      <c r="K475" s="2" t="str"/>
      <c r="L475" s="1" t="str"/>
      <c r="M475" s="2" t="str"/>
      <c r="N475" s="1" t="str"/>
      <c r="O475" s="1" t="str"/>
      <c r="P475" s="1" t="str"/>
      <c r="Q475" s="1">
        <f>IF(H475="Sí",1,0)</f>
        <v/>
      </c>
      <c r="R475" s="1">
        <f>IF(L475="En coordinación",1,0)</f>
        <v/>
      </c>
      <c r="T475">
        <f>IF(N475="Sí",1,0)</f>
        <v/>
      </c>
      <c r="U475">
        <f>IF(L475="Aceptada",1,0)</f>
        <v/>
      </c>
    </row>
    <row r="476">
      <c r="A476" s="21" t="str"/>
      <c r="B476" s="23" t="str"/>
      <c r="I476" s="2" t="str"/>
      <c r="J476" s="2" t="str"/>
      <c r="K476" s="2" t="str"/>
      <c r="L476" s="1" t="str"/>
      <c r="M476" s="2" t="str"/>
      <c r="N476" s="1" t="str"/>
      <c r="O476" s="1" t="str"/>
      <c r="P476" s="1" t="str"/>
      <c r="Q476" s="1">
        <f>IF(H476="Sí",1,0)</f>
        <v/>
      </c>
      <c r="R476" s="1">
        <f>IF(L476="En coordinación",1,0)</f>
        <v/>
      </c>
      <c r="T476">
        <f>IF(N476="Sí",1,0)</f>
        <v/>
      </c>
      <c r="U476">
        <f>IF(L476="Aceptada",1,0)</f>
        <v/>
      </c>
    </row>
    <row r="477">
      <c r="A477" s="21" t="str"/>
      <c r="B477" s="23" t="str"/>
      <c r="I477" s="2" t="str"/>
      <c r="J477" s="2" t="str"/>
      <c r="K477" s="2" t="str"/>
      <c r="L477" s="1" t="str"/>
      <c r="M477" s="2" t="str"/>
      <c r="N477" s="1" t="str"/>
      <c r="O477" s="1" t="str"/>
      <c r="P477" s="1" t="str"/>
      <c r="Q477" s="1">
        <f>IF(H477="Sí",1,0)</f>
        <v/>
      </c>
      <c r="R477" s="1">
        <f>IF(L477="En coordinación",1,0)</f>
        <v/>
      </c>
      <c r="T477">
        <f>IF(N477="Sí",1,0)</f>
        <v/>
      </c>
      <c r="U477">
        <f>IF(L477="Aceptada",1,0)</f>
        <v/>
      </c>
    </row>
    <row r="478">
      <c r="A478" s="21" t="str"/>
      <c r="B478" s="23" t="str"/>
      <c r="I478" s="2" t="str"/>
      <c r="J478" s="2" t="str"/>
      <c r="K478" s="2" t="str"/>
      <c r="L478" s="1" t="str"/>
      <c r="M478" s="2" t="str"/>
      <c r="N478" s="1" t="str"/>
      <c r="O478" s="1" t="str"/>
      <c r="P478" s="1" t="str"/>
      <c r="Q478" s="1">
        <f>IF(H478="Sí",1,0)</f>
        <v/>
      </c>
      <c r="R478" s="1">
        <f>IF(L478="En coordinación",1,0)</f>
        <v/>
      </c>
      <c r="T478">
        <f>IF(N478="Sí",1,0)</f>
        <v/>
      </c>
      <c r="U478">
        <f>IF(L478="Aceptada",1,0)</f>
        <v/>
      </c>
    </row>
    <row r="479">
      <c r="A479" s="21" t="str"/>
      <c r="B479" s="23" t="str"/>
      <c r="I479" s="2" t="str"/>
      <c r="J479" s="2" t="str"/>
      <c r="K479" s="2" t="str"/>
      <c r="L479" s="1" t="str"/>
      <c r="M479" s="2" t="str"/>
      <c r="N479" s="1" t="str"/>
      <c r="O479" s="1" t="str"/>
      <c r="P479" s="1" t="str"/>
      <c r="Q479" s="1">
        <f>IF(H479="Sí",1,0)</f>
        <v/>
      </c>
      <c r="R479" s="1">
        <f>IF(L479="En coordinación",1,0)</f>
        <v/>
      </c>
      <c r="T479">
        <f>IF(N479="Sí",1,0)</f>
        <v/>
      </c>
      <c r="U479">
        <f>IF(L479="Aceptada",1,0)</f>
        <v/>
      </c>
    </row>
    <row r="480">
      <c r="A480" s="21" t="str"/>
      <c r="B480" s="23" t="str"/>
      <c r="I480" s="2" t="str"/>
      <c r="J480" s="2" t="str"/>
      <c r="K480" s="2" t="str"/>
      <c r="L480" s="1" t="str"/>
      <c r="M480" s="2" t="str"/>
      <c r="N480" s="1" t="str"/>
      <c r="O480" s="1" t="str"/>
      <c r="P480" s="1" t="str"/>
      <c r="Q480" s="1">
        <f>IF(H480="Sí",1,0)</f>
        <v/>
      </c>
      <c r="R480" s="1">
        <f>IF(L480="En coordinación",1,0)</f>
        <v/>
      </c>
      <c r="T480">
        <f>IF(N480="Sí",1,0)</f>
        <v/>
      </c>
      <c r="U480">
        <f>IF(L480="Aceptada",1,0)</f>
        <v/>
      </c>
    </row>
    <row r="481">
      <c r="A481" s="21" t="str"/>
      <c r="B481" s="23" t="str"/>
      <c r="I481" s="2" t="str"/>
      <c r="J481" s="2" t="str"/>
      <c r="K481" s="2" t="str"/>
      <c r="L481" s="1" t="str"/>
      <c r="M481" s="2" t="str"/>
      <c r="N481" s="1" t="str"/>
      <c r="O481" s="1" t="str"/>
      <c r="P481" s="1" t="str"/>
      <c r="Q481" s="1">
        <f>IF(H481="Sí",1,0)</f>
        <v/>
      </c>
      <c r="R481" s="1">
        <f>IF(L481="En coordinación",1,0)</f>
        <v/>
      </c>
      <c r="T481">
        <f>IF(N481="Sí",1,0)</f>
        <v/>
      </c>
      <c r="U481">
        <f>IF(L481="Aceptada",1,0)</f>
        <v/>
      </c>
    </row>
    <row r="482">
      <c r="A482" s="21" t="str"/>
      <c r="B482" s="23" t="str"/>
      <c r="I482" s="2" t="str"/>
      <c r="J482" s="2" t="str"/>
      <c r="K482" s="2" t="str"/>
      <c r="L482" s="1" t="str"/>
      <c r="M482" s="2" t="str"/>
      <c r="N482" s="1" t="str"/>
      <c r="O482" s="1" t="str"/>
      <c r="P482" s="1" t="str"/>
      <c r="Q482" s="1">
        <f>IF(H482="Sí",1,0)</f>
        <v/>
      </c>
      <c r="R482" s="1">
        <f>IF(L482="En coordinación",1,0)</f>
        <v/>
      </c>
      <c r="T482">
        <f>IF(N482="Sí",1,0)</f>
        <v/>
      </c>
      <c r="U482">
        <f>IF(L482="Aceptada",1,0)</f>
        <v/>
      </c>
    </row>
    <row r="483">
      <c r="A483" s="21" t="str"/>
      <c r="B483" s="23" t="str"/>
      <c r="I483" s="2" t="str"/>
      <c r="J483" s="2" t="str"/>
      <c r="K483" s="2" t="str"/>
      <c r="L483" s="1" t="str"/>
      <c r="M483" s="2" t="str"/>
      <c r="N483" s="1" t="str"/>
      <c r="O483" s="1" t="str"/>
      <c r="P483" s="1" t="str"/>
      <c r="Q483" s="1">
        <f>IF(H483="Sí",1,0)</f>
        <v/>
      </c>
      <c r="R483" s="1">
        <f>IF(L483="En coordinación",1,0)</f>
        <v/>
      </c>
      <c r="T483">
        <f>IF(N483="Sí",1,0)</f>
        <v/>
      </c>
      <c r="U483">
        <f>IF(L483="Aceptada",1,0)</f>
        <v/>
      </c>
    </row>
    <row r="484">
      <c r="A484" s="21" t="str"/>
      <c r="B484" s="23" t="str"/>
      <c r="I484" s="2" t="str"/>
      <c r="J484" s="2" t="str"/>
      <c r="K484" s="2" t="str"/>
      <c r="L484" s="1" t="str"/>
      <c r="M484" s="2" t="str"/>
      <c r="N484" s="1" t="str"/>
      <c r="O484" s="1" t="str"/>
      <c r="P484" s="1" t="str"/>
      <c r="Q484" s="1">
        <f>IF(H484="Sí",1,0)</f>
        <v/>
      </c>
      <c r="R484" s="1">
        <f>IF(L484="En coordinación",1,0)</f>
        <v/>
      </c>
      <c r="T484">
        <f>IF(N484="Sí",1,0)</f>
        <v/>
      </c>
      <c r="U484">
        <f>IF(L484="Aceptada",1,0)</f>
        <v/>
      </c>
    </row>
    <row r="485">
      <c r="A485" s="21" t="str"/>
      <c r="B485" s="23" t="str"/>
      <c r="I485" s="2" t="str"/>
      <c r="J485" s="2" t="str"/>
      <c r="K485" s="2" t="str"/>
      <c r="L485" s="1" t="str"/>
      <c r="M485" s="2" t="str"/>
      <c r="N485" s="1" t="str"/>
      <c r="O485" s="1" t="str"/>
      <c r="P485" s="1" t="str"/>
      <c r="Q485" s="1">
        <f>IF(H485="Sí",1,0)</f>
        <v/>
      </c>
      <c r="R485" s="1">
        <f>IF(L485="En coordinación",1,0)</f>
        <v/>
      </c>
      <c r="T485">
        <f>IF(N485="Sí",1,0)</f>
        <v/>
      </c>
      <c r="U485">
        <f>IF(L485="Aceptada",1,0)</f>
        <v/>
      </c>
    </row>
    <row r="486">
      <c r="A486" s="21" t="str"/>
      <c r="B486" s="23" t="str"/>
      <c r="I486" s="2" t="str"/>
      <c r="J486" s="2" t="str"/>
      <c r="K486" s="2" t="str"/>
      <c r="L486" s="1" t="str"/>
      <c r="M486" s="2" t="str"/>
      <c r="N486" s="1" t="str"/>
      <c r="O486" s="1" t="str"/>
      <c r="P486" s="1" t="str"/>
      <c r="Q486" s="1">
        <f>IF(H486="Sí",1,0)</f>
        <v/>
      </c>
      <c r="R486" s="1">
        <f>IF(L486="En coordinación",1,0)</f>
        <v/>
      </c>
      <c r="T486">
        <f>IF(N486="Sí",1,0)</f>
        <v/>
      </c>
      <c r="U486">
        <f>IF(L486="Aceptada",1,0)</f>
        <v/>
      </c>
    </row>
    <row r="487">
      <c r="A487" s="21" t="str"/>
      <c r="B487" s="23" t="str"/>
      <c r="I487" s="2" t="str"/>
      <c r="J487" s="2" t="str"/>
      <c r="K487" s="2" t="str"/>
      <c r="L487" s="1" t="str"/>
      <c r="M487" s="2" t="str"/>
      <c r="N487" s="1" t="str"/>
      <c r="O487" s="1" t="str"/>
      <c r="P487" s="1" t="str"/>
      <c r="Q487" s="1">
        <f>IF(H487="Sí",1,0)</f>
        <v/>
      </c>
      <c r="R487" s="1">
        <f>IF(L487="En coordinación",1,0)</f>
        <v/>
      </c>
      <c r="T487">
        <f>IF(N487="Sí",1,0)</f>
        <v/>
      </c>
      <c r="U487">
        <f>IF(L487="Aceptada",1,0)</f>
        <v/>
      </c>
    </row>
    <row r="488">
      <c r="A488" s="21" t="str"/>
      <c r="B488" s="23" t="str"/>
      <c r="I488" s="2" t="str"/>
      <c r="J488" s="2" t="str"/>
      <c r="K488" s="2" t="str"/>
      <c r="L488" s="1" t="str"/>
      <c r="M488" s="2" t="str"/>
      <c r="N488" s="1" t="str"/>
      <c r="O488" s="1" t="str"/>
      <c r="P488" s="1" t="str"/>
      <c r="Q488" s="1">
        <f>IF(H488="Sí",1,0)</f>
        <v/>
      </c>
      <c r="R488" s="1">
        <f>IF(L488="En coordinación",1,0)</f>
        <v/>
      </c>
      <c r="T488">
        <f>IF(N488="Sí",1,0)</f>
        <v/>
      </c>
      <c r="U488">
        <f>IF(L488="Aceptada",1,0)</f>
        <v/>
      </c>
    </row>
    <row r="489">
      <c r="A489" s="21" t="str"/>
      <c r="B489" s="23" t="str"/>
      <c r="I489" s="2" t="str"/>
      <c r="J489" s="2" t="str"/>
      <c r="K489" s="2" t="str"/>
      <c r="L489" s="1" t="str"/>
      <c r="M489" s="2" t="str"/>
      <c r="N489" s="1" t="str"/>
      <c r="O489" s="1" t="str"/>
      <c r="P489" s="1" t="str"/>
      <c r="Q489" s="1">
        <f>IF(H489="Sí",1,0)</f>
        <v/>
      </c>
      <c r="R489" s="1">
        <f>IF(L489="En coordinación",1,0)</f>
        <v/>
      </c>
      <c r="T489">
        <f>IF(N489="Sí",1,0)</f>
        <v/>
      </c>
      <c r="U489">
        <f>IF(L489="Aceptada",1,0)</f>
        <v/>
      </c>
    </row>
    <row r="490">
      <c r="A490" s="21" t="str"/>
      <c r="B490" s="23" t="str"/>
      <c r="I490" s="2" t="str"/>
      <c r="J490" s="2" t="str"/>
      <c r="K490" s="2" t="str"/>
      <c r="L490" s="1" t="str"/>
      <c r="M490" s="2" t="str"/>
      <c r="N490" s="1" t="str"/>
      <c r="O490" s="1" t="str"/>
      <c r="P490" s="1" t="str"/>
      <c r="Q490" s="1">
        <f>IF(H490="Sí",1,0)</f>
        <v/>
      </c>
      <c r="R490" s="1">
        <f>IF(L490="En coordinación",1,0)</f>
        <v/>
      </c>
      <c r="T490">
        <f>IF(N490="Sí",1,0)</f>
        <v/>
      </c>
      <c r="U490">
        <f>IF(L490="Aceptada",1,0)</f>
        <v/>
      </c>
    </row>
    <row r="491">
      <c r="A491" s="21" t="str"/>
      <c r="B491" s="23" t="str"/>
      <c r="I491" s="2" t="str"/>
      <c r="J491" s="2" t="str"/>
      <c r="K491" s="2" t="str"/>
      <c r="L491" s="1" t="str"/>
      <c r="M491" s="2" t="str"/>
      <c r="N491" s="1" t="str"/>
      <c r="O491" s="1" t="str"/>
      <c r="P491" s="1" t="str"/>
      <c r="Q491" s="1">
        <f>IF(H491="Sí",1,0)</f>
        <v/>
      </c>
      <c r="R491" s="1">
        <f>IF(L491="En coordinación",1,0)</f>
        <v/>
      </c>
      <c r="T491">
        <f>IF(N491="Sí",1,0)</f>
        <v/>
      </c>
      <c r="U491">
        <f>IF(L491="Aceptada",1,0)</f>
        <v/>
      </c>
    </row>
    <row r="492">
      <c r="A492" s="21" t="str"/>
      <c r="B492" s="23" t="str"/>
      <c r="I492" s="2" t="str"/>
      <c r="J492" s="2" t="str"/>
      <c r="K492" s="2" t="str"/>
      <c r="L492" s="1" t="str"/>
      <c r="M492" s="2" t="str"/>
      <c r="N492" s="1" t="str"/>
      <c r="O492" s="1" t="str"/>
      <c r="P492" s="1" t="str"/>
      <c r="Q492" s="1">
        <f>IF(H492="Sí",1,0)</f>
        <v/>
      </c>
      <c r="R492" s="1">
        <f>IF(L492="En coordinación",1,0)</f>
        <v/>
      </c>
      <c r="T492">
        <f>IF(N492="Sí",1,0)</f>
        <v/>
      </c>
      <c r="U492">
        <f>IF(L492="Aceptada",1,0)</f>
        <v/>
      </c>
    </row>
    <row r="493">
      <c r="A493" s="21" t="str"/>
      <c r="B493" s="23" t="str"/>
      <c r="I493" s="2" t="str"/>
      <c r="J493" s="2" t="str"/>
      <c r="K493" s="2" t="str"/>
      <c r="L493" s="1" t="str"/>
      <c r="M493" s="2" t="str"/>
      <c r="N493" s="1" t="str"/>
      <c r="O493" s="1" t="str"/>
      <c r="P493" s="1" t="str"/>
      <c r="Q493" s="1">
        <f>IF(H493="Sí",1,0)</f>
        <v/>
      </c>
      <c r="R493" s="1">
        <f>IF(L493="En coordinación",1,0)</f>
        <v/>
      </c>
      <c r="T493">
        <f>IF(N493="Sí",1,0)</f>
        <v/>
      </c>
      <c r="U493">
        <f>IF(L493="Aceptada",1,0)</f>
        <v/>
      </c>
    </row>
    <row r="494">
      <c r="A494" s="21" t="str"/>
      <c r="B494" s="23" t="str"/>
      <c r="I494" s="2" t="str"/>
      <c r="J494" s="2" t="str"/>
      <c r="K494" s="2" t="str"/>
      <c r="L494" s="1" t="str"/>
      <c r="M494" s="2" t="str"/>
      <c r="N494" s="1" t="str"/>
      <c r="O494" s="1" t="str"/>
      <c r="P494" s="1" t="str"/>
      <c r="Q494" s="1">
        <f>IF(H494="Sí",1,0)</f>
        <v/>
      </c>
      <c r="R494" s="1">
        <f>IF(L494="En coordinación",1,0)</f>
        <v/>
      </c>
      <c r="T494">
        <f>IF(N494="Sí",1,0)</f>
        <v/>
      </c>
      <c r="U494">
        <f>IF(L494="Aceptada",1,0)</f>
        <v/>
      </c>
    </row>
    <row r="495">
      <c r="A495" s="21" t="str"/>
      <c r="B495" s="23" t="str"/>
      <c r="I495" s="2" t="str"/>
      <c r="J495" s="2" t="str"/>
      <c r="K495" s="2" t="str"/>
      <c r="L495" s="1" t="str"/>
      <c r="M495" s="2" t="str"/>
      <c r="N495" s="1" t="str"/>
      <c r="O495" s="1" t="str"/>
      <c r="P495" s="1" t="str"/>
      <c r="Q495" s="1">
        <f>IF(H495="Sí",1,0)</f>
        <v/>
      </c>
      <c r="R495" s="1">
        <f>IF(L495="En coordinación",1,0)</f>
        <v/>
      </c>
      <c r="T495">
        <f>IF(N495="Sí",1,0)</f>
        <v/>
      </c>
      <c r="U495">
        <f>IF(L495="Aceptada",1,0)</f>
        <v/>
      </c>
    </row>
    <row r="496">
      <c r="A496" s="21" t="str"/>
      <c r="B496" s="23" t="str"/>
      <c r="I496" s="2" t="str"/>
      <c r="J496" s="2" t="str"/>
      <c r="K496" s="2" t="str"/>
      <c r="L496" s="1" t="str"/>
      <c r="M496" s="2" t="str"/>
      <c r="N496" s="1" t="str"/>
      <c r="O496" s="1" t="str"/>
      <c r="P496" s="1" t="str"/>
      <c r="Q496" s="1">
        <f>IF(H496="Sí",1,0)</f>
        <v/>
      </c>
      <c r="R496" s="1">
        <f>IF(L496="En coordinación",1,0)</f>
        <v/>
      </c>
      <c r="T496">
        <f>IF(N496="Sí",1,0)</f>
        <v/>
      </c>
      <c r="U496">
        <f>IF(L496="Aceptada",1,0)</f>
        <v/>
      </c>
    </row>
    <row r="497">
      <c r="A497" s="21" t="str"/>
      <c r="B497" s="23" t="str"/>
      <c r="I497" s="2" t="str"/>
      <c r="J497" s="2" t="str"/>
      <c r="K497" s="2" t="str"/>
      <c r="L497" s="1" t="str"/>
      <c r="M497" s="2" t="str"/>
      <c r="N497" s="1" t="str"/>
      <c r="O497" s="1" t="str"/>
      <c r="P497" s="1" t="str"/>
      <c r="Q497" s="1">
        <f>IF(H497="Sí",1,0)</f>
        <v/>
      </c>
      <c r="R497" s="1">
        <f>IF(L497="En coordinación",1,0)</f>
        <v/>
      </c>
      <c r="T497">
        <f>IF(N497="Sí",1,0)</f>
        <v/>
      </c>
      <c r="U497">
        <f>IF(L497="Aceptada",1,0)</f>
        <v/>
      </c>
    </row>
    <row r="498">
      <c r="A498" s="21" t="str"/>
      <c r="B498" s="23" t="str"/>
      <c r="I498" s="2" t="str"/>
      <c r="J498" s="2" t="str"/>
      <c r="K498" s="2" t="str"/>
      <c r="L498" s="1" t="str"/>
      <c r="M498" s="2" t="str"/>
      <c r="N498" s="1" t="str"/>
      <c r="O498" s="1" t="str"/>
      <c r="P498" s="1" t="str"/>
      <c r="Q498" s="1">
        <f>IF(H498="Sí",1,0)</f>
        <v/>
      </c>
      <c r="R498" s="1">
        <f>IF(L498="En coordinación",1,0)</f>
        <v/>
      </c>
      <c r="T498">
        <f>IF(N498="Sí",1,0)</f>
        <v/>
      </c>
      <c r="U498">
        <f>IF(L498="Aceptada",1,0)</f>
        <v/>
      </c>
    </row>
    <row r="499">
      <c r="A499" s="21" t="str"/>
      <c r="B499" s="23" t="str"/>
      <c r="I499" s="2" t="str"/>
      <c r="J499" s="2" t="str"/>
      <c r="K499" s="2" t="str"/>
      <c r="L499" s="1" t="str"/>
      <c r="M499" s="2" t="str"/>
      <c r="N499" s="1" t="str"/>
      <c r="O499" s="1" t="str"/>
      <c r="P499" s="1" t="str"/>
      <c r="Q499" s="1">
        <f>IF(H499="Sí",1,0)</f>
        <v/>
      </c>
      <c r="R499" s="1">
        <f>IF(L499="En coordinación",1,0)</f>
        <v/>
      </c>
      <c r="T499">
        <f>IF(N499="Sí",1,0)</f>
        <v/>
      </c>
      <c r="U499">
        <f>IF(L499="Aceptada",1,0)</f>
        <v/>
      </c>
    </row>
    <row r="500">
      <c r="A500" s="21" t="str"/>
      <c r="B500" s="23" t="str"/>
      <c r="I500" s="2" t="str"/>
      <c r="J500" s="2" t="str"/>
      <c r="K500" s="2" t="str"/>
      <c r="L500" s="1" t="str"/>
      <c r="M500" s="2" t="str"/>
      <c r="N500" s="1" t="str"/>
      <c r="O500" s="1" t="str"/>
      <c r="P500" s="1" t="str"/>
      <c r="Q500" s="1">
        <f>IF(H500="Sí",1,0)</f>
        <v/>
      </c>
      <c r="R500" s="1">
        <f>IF(L500="En coordinación",1,0)</f>
        <v/>
      </c>
      <c r="T500">
        <f>IF(N500="Sí",1,0)</f>
        <v/>
      </c>
      <c r="U500">
        <f>IF(L500="Aceptada",1,0)</f>
        <v/>
      </c>
    </row>
    <row r="501">
      <c r="A501" s="21" t="str"/>
      <c r="B501" s="23" t="str"/>
      <c r="I501" s="2" t="str"/>
      <c r="J501" s="2" t="str"/>
      <c r="K501" s="2" t="str"/>
      <c r="L501" s="1" t="str"/>
      <c r="M501" s="2" t="str"/>
      <c r="N501" s="1" t="str"/>
      <c r="O501" s="1" t="str"/>
      <c r="P501" s="1" t="str"/>
      <c r="Q501" s="1">
        <f>IF(H501="Sí",1,0)</f>
        <v/>
      </c>
      <c r="R501" s="1">
        <f>IF(L501="En coordinación",1,0)</f>
        <v/>
      </c>
      <c r="T501">
        <f>IF(N501="Sí",1,0)</f>
        <v/>
      </c>
      <c r="U501">
        <f>IF(L501="Aceptada",1,0)</f>
        <v/>
      </c>
    </row>
    <row r="502">
      <c r="A502" s="21" t="str"/>
      <c r="B502" s="23" t="str"/>
      <c r="I502" s="2" t="str"/>
      <c r="J502" s="2" t="str"/>
      <c r="K502" s="2" t="str"/>
      <c r="L502" s="1" t="str"/>
      <c r="M502" s="2" t="str"/>
      <c r="N502" s="1" t="str"/>
      <c r="O502" s="1" t="str"/>
      <c r="P502" s="1" t="str"/>
      <c r="Q502" s="1">
        <f>IF(H502="Sí",1,0)</f>
        <v/>
      </c>
      <c r="R502" s="1">
        <f>IF(L502="En coordinación",1,0)</f>
        <v/>
      </c>
      <c r="T502">
        <f>IF(N502="Sí",1,0)</f>
        <v/>
      </c>
      <c r="U502">
        <f>IF(L502="Aceptada",1,0)</f>
        <v/>
      </c>
    </row>
    <row r="503">
      <c r="A503" s="21" t="str"/>
      <c r="B503" s="23" t="str"/>
      <c r="I503" s="2" t="str"/>
      <c r="J503" s="2" t="str"/>
      <c r="K503" s="2" t="str"/>
      <c r="L503" s="1" t="str"/>
      <c r="M503" s="2" t="str"/>
      <c r="N503" s="1" t="str"/>
      <c r="O503" s="1" t="str"/>
      <c r="P503" s="1" t="str"/>
      <c r="Q503" s="1">
        <f>IF(H503="Sí",1,0)</f>
        <v/>
      </c>
      <c r="R503" s="1">
        <f>IF(L503="En coordinación",1,0)</f>
        <v/>
      </c>
      <c r="T503">
        <f>IF(N503="Sí",1,0)</f>
        <v/>
      </c>
      <c r="U503">
        <f>IF(L503="Aceptada",1,0)</f>
        <v/>
      </c>
    </row>
    <row r="504">
      <c r="A504" s="21" t="str"/>
      <c r="B504" s="23" t="str"/>
      <c r="I504" s="2" t="str"/>
      <c r="J504" s="2" t="str"/>
      <c r="K504" s="2" t="str"/>
      <c r="L504" s="1" t="str"/>
      <c r="M504" s="2" t="str"/>
      <c r="N504" s="1" t="str"/>
      <c r="O504" s="1" t="str"/>
      <c r="P504" s="1" t="str"/>
      <c r="Q504" s="1">
        <f>IF(H504="Sí",1,0)</f>
        <v/>
      </c>
      <c r="R504" s="1">
        <f>IF(L504="En coordinación",1,0)</f>
        <v/>
      </c>
      <c r="T504">
        <f>IF(N504="Sí",1,0)</f>
        <v/>
      </c>
      <c r="U504">
        <f>IF(L504="Aceptada",1,0)</f>
        <v/>
      </c>
    </row>
    <row r="505">
      <c r="A505" s="21" t="str"/>
      <c r="B505" s="23" t="str"/>
      <c r="I505" s="2" t="str"/>
      <c r="J505" s="2" t="str"/>
      <c r="K505" s="2" t="str"/>
      <c r="L505" s="1" t="str"/>
      <c r="M505" s="2" t="str"/>
      <c r="N505" s="1" t="str"/>
      <c r="O505" s="1" t="str"/>
      <c r="P505" s="1" t="str"/>
      <c r="Q505" s="1">
        <f>IF(H505="Sí",1,0)</f>
        <v/>
      </c>
      <c r="R505" s="1">
        <f>IF(L505="En coordinación",1,0)</f>
        <v/>
      </c>
      <c r="T505">
        <f>IF(N505="Sí",1,0)</f>
        <v/>
      </c>
      <c r="U505">
        <f>IF(L505="Aceptada",1,0)</f>
        <v/>
      </c>
    </row>
    <row r="506">
      <c r="A506" s="21" t="str"/>
      <c r="B506" s="23" t="str"/>
      <c r="I506" s="2" t="str"/>
      <c r="J506" s="2" t="str"/>
      <c r="K506" s="2" t="str"/>
      <c r="L506" s="1" t="str"/>
      <c r="M506" s="2" t="str"/>
      <c r="N506" s="1" t="str"/>
      <c r="O506" s="1" t="str"/>
      <c r="P506" s="1" t="str"/>
      <c r="Q506" s="1">
        <f>IF(H506="Sí",1,0)</f>
        <v/>
      </c>
      <c r="R506" s="1">
        <f>IF(L506="En coordinación",1,0)</f>
        <v/>
      </c>
      <c r="T506">
        <f>IF(N506="Sí",1,0)</f>
        <v/>
      </c>
      <c r="U506">
        <f>IF(L506="Aceptada",1,0)</f>
        <v/>
      </c>
    </row>
    <row r="507">
      <c r="A507" s="21" t="str"/>
      <c r="B507" s="23" t="str"/>
      <c r="I507" s="2" t="str"/>
      <c r="J507" s="2" t="str"/>
      <c r="K507" s="2" t="str"/>
      <c r="L507" s="1" t="str"/>
      <c r="M507" s="2" t="str"/>
      <c r="N507" s="1" t="str"/>
      <c r="O507" s="1" t="str"/>
      <c r="P507" s="1" t="str"/>
      <c r="Q507" s="1">
        <f>IF(H507="Sí",1,0)</f>
        <v/>
      </c>
      <c r="R507" s="1">
        <f>IF(L507="En coordinación",1,0)</f>
        <v/>
      </c>
      <c r="T507">
        <f>IF(N507="Sí",1,0)</f>
        <v/>
      </c>
      <c r="U507">
        <f>IF(L507="Aceptada",1,0)</f>
        <v/>
      </c>
    </row>
    <row r="508">
      <c r="A508" s="21" t="str"/>
      <c r="B508" s="23" t="str"/>
      <c r="I508" s="2" t="str"/>
      <c r="J508" s="2" t="str"/>
      <c r="K508" s="2" t="str"/>
      <c r="L508" s="1" t="str"/>
      <c r="M508" s="2" t="str"/>
      <c r="N508" s="1" t="str"/>
      <c r="O508" s="1" t="str"/>
      <c r="P508" s="1" t="str"/>
      <c r="Q508" s="1">
        <f>IF(H508="Sí",1,0)</f>
        <v/>
      </c>
      <c r="R508" s="1">
        <f>IF(L508="En coordinación",1,0)</f>
        <v/>
      </c>
      <c r="T508">
        <f>IF(N508="Sí",1,0)</f>
        <v/>
      </c>
      <c r="U508">
        <f>IF(L508="Aceptada",1,0)</f>
        <v/>
      </c>
    </row>
    <row r="509">
      <c r="A509" s="21" t="str"/>
      <c r="B509" s="23" t="str"/>
      <c r="I509" s="2" t="str"/>
      <c r="J509" s="2" t="str"/>
      <c r="K509" s="2" t="str"/>
      <c r="L509" s="1" t="str"/>
      <c r="M509" s="2" t="str"/>
      <c r="N509" s="1" t="str"/>
      <c r="O509" s="1" t="str"/>
      <c r="P509" s="1" t="str"/>
      <c r="Q509" s="1">
        <f>IF(H509="Sí",1,0)</f>
        <v/>
      </c>
      <c r="R509" s="1">
        <f>IF(L509="En coordinación",1,0)</f>
        <v/>
      </c>
      <c r="T509">
        <f>IF(N509="Sí",1,0)</f>
        <v/>
      </c>
      <c r="U509">
        <f>IF(L509="Aceptada",1,0)</f>
        <v/>
      </c>
    </row>
    <row r="510">
      <c r="A510" s="21" t="str"/>
      <c r="B510" s="23" t="str"/>
      <c r="I510" s="2" t="str"/>
      <c r="J510" s="2" t="str"/>
      <c r="K510" s="2" t="str"/>
      <c r="L510" s="1" t="str"/>
      <c r="M510" s="2" t="str"/>
      <c r="N510" s="1" t="str"/>
      <c r="O510" s="1" t="str"/>
      <c r="P510" s="1" t="str"/>
      <c r="Q510" s="1">
        <f>IF(H510="Sí",1,0)</f>
        <v/>
      </c>
      <c r="R510" s="1">
        <f>IF(L510="En coordinación",1,0)</f>
        <v/>
      </c>
      <c r="T510">
        <f>IF(N510="Sí",1,0)</f>
        <v/>
      </c>
      <c r="U510">
        <f>IF(L510="Aceptada",1,0)</f>
        <v/>
      </c>
    </row>
    <row r="511">
      <c r="A511" s="21" t="str"/>
      <c r="B511" s="23" t="str"/>
      <c r="I511" s="2" t="str"/>
      <c r="J511" s="2" t="str"/>
      <c r="K511" s="2" t="str"/>
      <c r="L511" s="1" t="str"/>
      <c r="M511" s="2" t="str"/>
      <c r="N511" s="1" t="str"/>
      <c r="O511" s="1" t="str"/>
      <c r="P511" s="1" t="str"/>
      <c r="Q511" s="1">
        <f>IF(H511="Sí",1,0)</f>
        <v/>
      </c>
      <c r="R511" s="1">
        <f>IF(L511="En coordinación",1,0)</f>
        <v/>
      </c>
      <c r="T511">
        <f>IF(N511="Sí",1,0)</f>
        <v/>
      </c>
      <c r="U511">
        <f>IF(L511="Aceptada",1,0)</f>
        <v/>
      </c>
    </row>
    <row r="512">
      <c r="A512" s="21" t="str"/>
      <c r="B512" s="23" t="str"/>
      <c r="I512" s="2" t="str"/>
      <c r="J512" s="2" t="str"/>
      <c r="K512" s="2" t="str"/>
      <c r="L512" s="1" t="str"/>
      <c r="M512" s="2" t="str"/>
      <c r="N512" s="1" t="str"/>
      <c r="O512" s="1" t="str"/>
      <c r="P512" s="1" t="str"/>
      <c r="Q512" s="1">
        <f>IF(H512="Sí",1,0)</f>
        <v/>
      </c>
      <c r="R512" s="1">
        <f>IF(L512="En coordinación",1,0)</f>
        <v/>
      </c>
      <c r="T512">
        <f>IF(N512="Sí",1,0)</f>
        <v/>
      </c>
      <c r="U512">
        <f>IF(L512="Aceptada",1,0)</f>
        <v/>
      </c>
    </row>
    <row r="513">
      <c r="A513" s="21" t="str"/>
      <c r="B513" s="23" t="str"/>
      <c r="I513" s="2" t="str"/>
      <c r="J513" s="2" t="str"/>
      <c r="K513" s="2" t="str"/>
      <c r="L513" s="1" t="str"/>
      <c r="M513" s="2" t="str"/>
      <c r="N513" s="1" t="str"/>
      <c r="O513" s="1" t="str"/>
      <c r="P513" s="1" t="str"/>
      <c r="Q513" s="1">
        <f>IF(H513="Sí",1,0)</f>
        <v/>
      </c>
      <c r="R513" s="1">
        <f>IF(L513="En coordinación",1,0)</f>
        <v/>
      </c>
      <c r="T513">
        <f>IF(N513="Sí",1,0)</f>
        <v/>
      </c>
      <c r="U513">
        <f>IF(L513="Aceptada",1,0)</f>
        <v/>
      </c>
    </row>
    <row r="514">
      <c r="A514" s="21" t="str"/>
      <c r="B514" s="23" t="str"/>
      <c r="I514" s="2" t="str"/>
      <c r="J514" s="2" t="str"/>
      <c r="K514" s="2" t="str"/>
      <c r="L514" s="1" t="str"/>
      <c r="M514" s="2" t="str"/>
      <c r="N514" s="1" t="str"/>
      <c r="O514" s="1" t="str"/>
      <c r="P514" s="1" t="str"/>
      <c r="Q514" s="1">
        <f>IF(H514="Sí",1,0)</f>
        <v/>
      </c>
      <c r="R514" s="1">
        <f>IF(L514="En coordinación",1,0)</f>
        <v/>
      </c>
      <c r="T514">
        <f>IF(N514="Sí",1,0)</f>
        <v/>
      </c>
      <c r="U514">
        <f>IF(L514="Aceptada",1,0)</f>
        <v/>
      </c>
    </row>
    <row r="515">
      <c r="A515" s="21" t="str"/>
      <c r="B515" s="23" t="str"/>
      <c r="I515" s="2" t="str"/>
      <c r="J515" s="2" t="str"/>
      <c r="K515" s="2" t="str"/>
      <c r="L515" s="1" t="str"/>
      <c r="M515" s="2" t="str"/>
      <c r="N515" s="1" t="str"/>
      <c r="O515" s="1" t="str"/>
      <c r="P515" s="1" t="str"/>
      <c r="Q515" s="1">
        <f>IF(H515="Sí",1,0)</f>
        <v/>
      </c>
      <c r="R515" s="1">
        <f>IF(L515="En coordinación",1,0)</f>
        <v/>
      </c>
      <c r="T515">
        <f>IF(N515="Sí",1,0)</f>
        <v/>
      </c>
      <c r="U515">
        <f>IF(L515="Aceptada",1,0)</f>
        <v/>
      </c>
    </row>
    <row r="516">
      <c r="A516" s="21" t="str"/>
      <c r="B516" s="23" t="str"/>
      <c r="I516" s="2" t="str"/>
      <c r="J516" s="2" t="str"/>
      <c r="K516" s="2" t="str"/>
      <c r="L516" s="1" t="str"/>
      <c r="M516" s="2" t="str"/>
      <c r="N516" s="1" t="str"/>
      <c r="O516" s="1" t="str"/>
      <c r="P516" s="1" t="str"/>
      <c r="Q516" s="1">
        <f>IF(H516="Sí",1,0)</f>
        <v/>
      </c>
      <c r="R516" s="1">
        <f>IF(L516="En coordinación",1,0)</f>
        <v/>
      </c>
      <c r="T516">
        <f>IF(N516="Sí",1,0)</f>
        <v/>
      </c>
      <c r="U516">
        <f>IF(L516="Aceptada",1,0)</f>
        <v/>
      </c>
    </row>
    <row r="517">
      <c r="A517" s="21" t="str"/>
      <c r="B517" s="23" t="str"/>
      <c r="I517" s="2" t="str"/>
      <c r="J517" s="2" t="str"/>
      <c r="K517" s="2" t="str"/>
      <c r="L517" s="1" t="str"/>
      <c r="M517" s="2" t="str"/>
      <c r="N517" s="1" t="str"/>
      <c r="O517" s="1" t="str"/>
      <c r="P517" s="1" t="str"/>
      <c r="Q517" s="1">
        <f>IF(H517="Sí",1,0)</f>
        <v/>
      </c>
      <c r="R517" s="1">
        <f>IF(L517="En coordinación",1,0)</f>
        <v/>
      </c>
      <c r="T517">
        <f>IF(N517="Sí",1,0)</f>
        <v/>
      </c>
      <c r="U517">
        <f>IF(L517="Aceptada",1,0)</f>
        <v/>
      </c>
    </row>
    <row r="518">
      <c r="A518" s="21" t="str"/>
      <c r="B518" s="23" t="str"/>
      <c r="I518" s="2" t="str"/>
      <c r="J518" s="2" t="str"/>
      <c r="K518" s="2" t="str"/>
      <c r="L518" s="1" t="str"/>
      <c r="M518" s="2" t="str"/>
      <c r="N518" s="1" t="str"/>
      <c r="O518" s="1" t="str"/>
      <c r="P518" s="1" t="str"/>
      <c r="Q518" s="1">
        <f>IF(H518="Sí",1,0)</f>
        <v/>
      </c>
      <c r="R518" s="1">
        <f>IF(L518="En coordinación",1,0)</f>
        <v/>
      </c>
      <c r="T518">
        <f>IF(N518="Sí",1,0)</f>
        <v/>
      </c>
      <c r="U518">
        <f>IF(L518="Aceptada",1,0)</f>
        <v/>
      </c>
    </row>
    <row r="519">
      <c r="A519" s="21" t="str"/>
      <c r="B519" s="23" t="str"/>
      <c r="I519" s="2" t="str"/>
      <c r="J519" s="2" t="str"/>
      <c r="K519" s="2" t="str"/>
      <c r="L519" s="1" t="str"/>
      <c r="M519" s="2" t="str"/>
      <c r="N519" s="1" t="str"/>
      <c r="O519" s="1" t="str"/>
      <c r="P519" s="1" t="str"/>
      <c r="Q519" s="1">
        <f>IF(H519="Sí",1,0)</f>
        <v/>
      </c>
      <c r="R519" s="1">
        <f>IF(L519="En coordinación",1,0)</f>
        <v/>
      </c>
      <c r="T519">
        <f>IF(N519="Sí",1,0)</f>
        <v/>
      </c>
      <c r="U519">
        <f>IF(L519="Aceptada",1,0)</f>
        <v/>
      </c>
    </row>
    <row r="520">
      <c r="A520" s="21" t="str"/>
      <c r="B520" s="23" t="str"/>
      <c r="I520" s="2" t="str"/>
      <c r="J520" s="2" t="str"/>
      <c r="K520" s="2" t="str"/>
      <c r="L520" s="1" t="str"/>
      <c r="M520" s="2" t="str"/>
      <c r="N520" s="1" t="str"/>
      <c r="O520" s="1" t="str"/>
      <c r="P520" s="1" t="str"/>
      <c r="Q520" s="1">
        <f>IF(H520="Sí",1,0)</f>
        <v/>
      </c>
      <c r="R520" s="1">
        <f>IF(L520="En coordinación",1,0)</f>
        <v/>
      </c>
      <c r="T520">
        <f>IF(N520="Sí",1,0)</f>
        <v/>
      </c>
      <c r="U520">
        <f>IF(L520="Aceptada",1,0)</f>
        <v/>
      </c>
    </row>
    <row r="521">
      <c r="A521" s="21" t="str"/>
      <c r="B521" s="23" t="str"/>
      <c r="I521" s="2" t="str"/>
      <c r="J521" s="2" t="str"/>
      <c r="K521" s="2" t="str"/>
      <c r="L521" s="1" t="str"/>
      <c r="M521" s="2" t="str"/>
      <c r="N521" s="1" t="str"/>
      <c r="O521" s="1" t="str"/>
      <c r="P521" s="1" t="str"/>
      <c r="Q521" s="1">
        <f>IF(H521="Sí",1,0)</f>
        <v/>
      </c>
      <c r="R521" s="1">
        <f>IF(L521="En coordinación",1,0)</f>
        <v/>
      </c>
      <c r="T521">
        <f>IF(N521="Sí",1,0)</f>
        <v/>
      </c>
      <c r="U521">
        <f>IF(L521="Aceptada",1,0)</f>
        <v/>
      </c>
    </row>
    <row r="522">
      <c r="A522" s="21" t="str"/>
      <c r="B522" s="23" t="str"/>
      <c r="I522" s="2" t="str"/>
      <c r="J522" s="2" t="str"/>
      <c r="K522" s="2" t="str"/>
      <c r="L522" s="1" t="str"/>
      <c r="M522" s="2" t="str"/>
      <c r="N522" s="1" t="str"/>
      <c r="O522" s="1" t="str"/>
      <c r="P522" s="1" t="str"/>
      <c r="Q522" s="1">
        <f>IF(H522="Sí",1,0)</f>
        <v/>
      </c>
      <c r="R522" s="1">
        <f>IF(L522="En coordinación",1,0)</f>
        <v/>
      </c>
      <c r="T522">
        <f>IF(N522="Sí",1,0)</f>
        <v/>
      </c>
      <c r="U522">
        <f>IF(L522="Aceptada",1,0)</f>
        <v/>
      </c>
    </row>
    <row r="523">
      <c r="A523" s="21" t="str"/>
      <c r="B523" s="23" t="str"/>
      <c r="I523" s="2" t="str"/>
      <c r="J523" s="2" t="str"/>
      <c r="K523" s="2" t="str"/>
      <c r="L523" s="1" t="str"/>
      <c r="M523" s="2" t="str"/>
      <c r="N523" s="1" t="str"/>
      <c r="O523" s="1" t="str"/>
      <c r="P523" s="1" t="str"/>
      <c r="Q523" s="1">
        <f>IF(H523="Sí",1,0)</f>
        <v/>
      </c>
      <c r="R523" s="1">
        <f>IF(L523="En coordinación",1,0)</f>
        <v/>
      </c>
      <c r="T523">
        <f>IF(N523="Sí",1,0)</f>
        <v/>
      </c>
      <c r="U523">
        <f>IF(L523="Aceptada",1,0)</f>
        <v/>
      </c>
    </row>
    <row r="524">
      <c r="A524" s="21" t="str"/>
      <c r="B524" s="23" t="str"/>
      <c r="I524" s="2" t="str"/>
      <c r="J524" s="2" t="str"/>
      <c r="K524" s="2" t="str"/>
      <c r="L524" s="1" t="str"/>
      <c r="M524" s="2" t="str"/>
      <c r="N524" s="1" t="str"/>
      <c r="O524" s="1" t="str"/>
      <c r="P524" s="1" t="str"/>
      <c r="Q524" s="1">
        <f>IF(H524="Sí",1,0)</f>
        <v/>
      </c>
      <c r="R524" s="1">
        <f>IF(L524="En coordinación",1,0)</f>
        <v/>
      </c>
      <c r="T524">
        <f>IF(N524="Sí",1,0)</f>
        <v/>
      </c>
      <c r="U524">
        <f>IF(L524="Aceptada",1,0)</f>
        <v/>
      </c>
    </row>
    <row r="525">
      <c r="A525" s="21" t="str"/>
      <c r="B525" s="23" t="str"/>
      <c r="I525" s="2" t="str"/>
      <c r="J525" s="2" t="str"/>
      <c r="K525" s="2" t="str"/>
      <c r="L525" s="1" t="str"/>
      <c r="M525" s="2" t="str"/>
      <c r="N525" s="1" t="str"/>
      <c r="O525" s="1" t="str"/>
      <c r="P525" s="1" t="str"/>
      <c r="Q525" s="1">
        <f>IF(H525="Sí",1,0)</f>
        <v/>
      </c>
      <c r="R525" s="1">
        <f>IF(L525="En coordinación",1,0)</f>
        <v/>
      </c>
      <c r="T525">
        <f>IF(N525="Sí",1,0)</f>
        <v/>
      </c>
      <c r="U525">
        <f>IF(L525="Aceptada",1,0)</f>
        <v/>
      </c>
    </row>
    <row r="526">
      <c r="A526" s="21" t="str"/>
      <c r="B526" s="23" t="str"/>
      <c r="I526" s="2" t="str"/>
      <c r="J526" s="2" t="str"/>
      <c r="K526" s="2" t="str"/>
      <c r="L526" s="1" t="str"/>
      <c r="M526" s="2" t="str"/>
      <c r="N526" s="1" t="str"/>
      <c r="O526" s="1" t="str"/>
      <c r="P526" s="1" t="str"/>
      <c r="Q526" s="1">
        <f>IF(H526="Sí",1,0)</f>
        <v/>
      </c>
      <c r="R526" s="1">
        <f>IF(L526="En coordinación",1,0)</f>
        <v/>
      </c>
      <c r="T526">
        <f>IF(N526="Sí",1,0)</f>
        <v/>
      </c>
      <c r="U526">
        <f>IF(L526="Aceptada",1,0)</f>
        <v/>
      </c>
    </row>
    <row r="527">
      <c r="A527" s="21" t="str"/>
      <c r="B527" s="23" t="str"/>
      <c r="I527" s="2" t="str"/>
      <c r="J527" s="2" t="str"/>
      <c r="K527" s="2" t="str"/>
      <c r="L527" s="1" t="str"/>
      <c r="M527" s="2" t="str"/>
      <c r="N527" s="1" t="str"/>
      <c r="O527" s="1" t="str"/>
      <c r="P527" s="1" t="str"/>
      <c r="Q527" s="1">
        <f>IF(H527="Sí",1,0)</f>
        <v/>
      </c>
      <c r="R527" s="1">
        <f>IF(L527="En coordinación",1,0)</f>
        <v/>
      </c>
      <c r="T527">
        <f>IF(N527="Sí",1,0)</f>
        <v/>
      </c>
      <c r="U527">
        <f>IF(L527="Aceptada",1,0)</f>
        <v/>
      </c>
    </row>
    <row r="528">
      <c r="A528" s="21" t="str"/>
      <c r="B528" s="23" t="str"/>
      <c r="I528" s="2" t="str"/>
      <c r="J528" s="2" t="str"/>
      <c r="K528" s="2" t="str"/>
      <c r="L528" s="1" t="str"/>
      <c r="M528" s="2" t="str"/>
      <c r="N528" s="1" t="str"/>
      <c r="O528" s="1" t="str"/>
      <c r="P528" s="1" t="str"/>
      <c r="Q528" s="1">
        <f>IF(H528="Sí",1,0)</f>
        <v/>
      </c>
      <c r="R528" s="1">
        <f>IF(L528="En coordinación",1,0)</f>
        <v/>
      </c>
      <c r="T528">
        <f>IF(N528="Sí",1,0)</f>
        <v/>
      </c>
      <c r="U528">
        <f>IF(L528="Aceptada",1,0)</f>
        <v/>
      </c>
    </row>
    <row r="529">
      <c r="A529" s="21" t="str"/>
      <c r="B529" s="23" t="str"/>
      <c r="I529" s="2" t="str"/>
      <c r="J529" s="2" t="str"/>
      <c r="K529" s="2" t="str"/>
      <c r="L529" s="1" t="str"/>
      <c r="M529" s="2" t="str"/>
      <c r="N529" s="1" t="str"/>
      <c r="O529" s="1" t="str"/>
      <c r="P529" s="1" t="str"/>
      <c r="Q529" s="1">
        <f>IF(H529="Sí",1,0)</f>
        <v/>
      </c>
      <c r="R529" s="1">
        <f>IF(L529="En coordinación",1,0)</f>
        <v/>
      </c>
      <c r="T529">
        <f>IF(N529="Sí",1,0)</f>
        <v/>
      </c>
      <c r="U529">
        <f>IF(L529="Aceptada",1,0)</f>
        <v/>
      </c>
    </row>
    <row r="530">
      <c r="A530" s="21" t="str"/>
      <c r="B530" s="23" t="str"/>
      <c r="I530" s="2" t="str"/>
      <c r="J530" s="2" t="str"/>
      <c r="K530" s="2" t="str"/>
      <c r="L530" s="1" t="str"/>
      <c r="M530" s="2" t="str"/>
      <c r="N530" s="1" t="str"/>
      <c r="O530" s="1" t="str"/>
      <c r="P530" s="1" t="str"/>
      <c r="Q530" s="1">
        <f>IF(H530="Sí",1,0)</f>
        <v/>
      </c>
      <c r="R530" s="1">
        <f>IF(L530="En coordinación",1,0)</f>
        <v/>
      </c>
      <c r="T530">
        <f>IF(N530="Sí",1,0)</f>
        <v/>
      </c>
      <c r="U530">
        <f>IF(L530="Aceptada",1,0)</f>
        <v/>
      </c>
    </row>
    <row r="531">
      <c r="A531" s="21" t="str"/>
      <c r="B531" s="23" t="str"/>
      <c r="I531" s="2" t="str"/>
      <c r="J531" s="2" t="str"/>
      <c r="K531" s="2" t="str"/>
      <c r="L531" s="1" t="str"/>
      <c r="M531" s="2" t="str"/>
      <c r="N531" s="1" t="str"/>
      <c r="O531" s="1" t="str"/>
      <c r="P531" s="1" t="str"/>
      <c r="Q531" s="1">
        <f>IF(H531="Sí",1,0)</f>
        <v/>
      </c>
      <c r="R531" s="1">
        <f>IF(L531="En coordinación",1,0)</f>
        <v/>
      </c>
      <c r="T531">
        <f>IF(N531="Sí",1,0)</f>
        <v/>
      </c>
      <c r="U531">
        <f>IF(L531="Aceptada",1,0)</f>
        <v/>
      </c>
    </row>
    <row r="532">
      <c r="A532" s="21" t="str"/>
      <c r="B532" s="23" t="str"/>
      <c r="I532" s="2" t="str"/>
      <c r="J532" s="2" t="str"/>
      <c r="K532" s="2" t="str"/>
      <c r="L532" s="1" t="str"/>
      <c r="M532" s="2" t="str"/>
      <c r="N532" s="1" t="str"/>
      <c r="O532" s="1" t="str"/>
      <c r="P532" s="1" t="str"/>
      <c r="Q532" s="1">
        <f>IF(H532="Sí",1,0)</f>
        <v/>
      </c>
      <c r="R532" s="1">
        <f>IF(L532="En coordinación",1,0)</f>
        <v/>
      </c>
      <c r="T532">
        <f>IF(N532="Sí",1,0)</f>
        <v/>
      </c>
      <c r="U532">
        <f>IF(L532="Aceptada",1,0)</f>
        <v/>
      </c>
    </row>
    <row r="533">
      <c r="A533" s="21" t="str"/>
      <c r="B533" s="23" t="str"/>
      <c r="I533" s="2" t="str"/>
      <c r="J533" s="2" t="str"/>
      <c r="K533" s="2" t="str"/>
      <c r="L533" s="1" t="str"/>
      <c r="M533" s="2" t="str"/>
      <c r="N533" s="1" t="str"/>
      <c r="O533" s="1" t="str"/>
      <c r="P533" s="1" t="str"/>
      <c r="Q533" s="1">
        <f>IF(H533="Sí",1,0)</f>
        <v/>
      </c>
      <c r="R533" s="1">
        <f>IF(L533="En coordinación",1,0)</f>
        <v/>
      </c>
      <c r="T533">
        <f>IF(N533="Sí",1,0)</f>
        <v/>
      </c>
      <c r="U533">
        <f>IF(L533="Aceptada",1,0)</f>
        <v/>
      </c>
    </row>
    <row r="534">
      <c r="A534" s="21" t="str"/>
      <c r="B534" s="23" t="str"/>
      <c r="I534" s="2" t="str"/>
      <c r="J534" s="2" t="str"/>
      <c r="K534" s="2" t="str"/>
      <c r="L534" s="1" t="str"/>
      <c r="M534" s="2" t="str"/>
      <c r="N534" s="1" t="str"/>
      <c r="O534" s="1" t="str"/>
      <c r="P534" s="1" t="str"/>
      <c r="Q534" s="1">
        <f>IF(H534="Sí",1,0)</f>
        <v/>
      </c>
      <c r="R534" s="1">
        <f>IF(L534="En coordinación",1,0)</f>
        <v/>
      </c>
      <c r="T534">
        <f>IF(N534="Sí",1,0)</f>
        <v/>
      </c>
      <c r="U534">
        <f>IF(L534="Aceptada",1,0)</f>
        <v/>
      </c>
    </row>
    <row r="535">
      <c r="A535" s="21" t="str"/>
      <c r="B535" s="23" t="str"/>
      <c r="I535" s="2" t="str"/>
      <c r="J535" s="2" t="str"/>
      <c r="K535" s="2" t="str"/>
      <c r="L535" s="1" t="str"/>
      <c r="M535" s="2" t="str"/>
      <c r="N535" s="1" t="str"/>
      <c r="O535" s="1" t="str"/>
      <c r="P535" s="1" t="str"/>
      <c r="Q535" s="1">
        <f>IF(H535="Sí",1,0)</f>
        <v/>
      </c>
      <c r="R535" s="1">
        <f>IF(L535="En coordinación",1,0)</f>
        <v/>
      </c>
      <c r="T535">
        <f>IF(N535="Sí",1,0)</f>
        <v/>
      </c>
      <c r="U535">
        <f>IF(L535="Aceptada",1,0)</f>
        <v/>
      </c>
    </row>
    <row r="536">
      <c r="A536" s="21" t="str"/>
      <c r="B536" s="23" t="str"/>
      <c r="I536" s="2" t="str"/>
      <c r="J536" s="2" t="str"/>
      <c r="K536" s="2" t="str"/>
      <c r="L536" s="1" t="str"/>
      <c r="M536" s="2" t="str"/>
      <c r="N536" s="1" t="str"/>
      <c r="O536" s="1" t="str"/>
      <c r="P536" s="1" t="str"/>
      <c r="Q536" s="1">
        <f>IF(H536="Sí",1,0)</f>
        <v/>
      </c>
      <c r="R536" s="1">
        <f>IF(L536="En coordinación",1,0)</f>
        <v/>
      </c>
      <c r="T536">
        <f>IF(N536="Sí",1,0)</f>
        <v/>
      </c>
      <c r="U536">
        <f>IF(L536="Aceptada",1,0)</f>
        <v/>
      </c>
    </row>
    <row r="537">
      <c r="A537" s="21" t="str"/>
      <c r="B537" s="23" t="str"/>
      <c r="I537" s="2" t="str"/>
      <c r="J537" s="2" t="str"/>
      <c r="K537" s="2" t="str"/>
      <c r="L537" s="1" t="str"/>
      <c r="M537" s="2" t="str"/>
      <c r="N537" s="1" t="str"/>
      <c r="O537" s="1" t="str"/>
      <c r="P537" s="1" t="str"/>
      <c r="Q537" s="1">
        <f>IF(H537="Sí",1,0)</f>
        <v/>
      </c>
      <c r="R537" s="1">
        <f>IF(L537="En coordinación",1,0)</f>
        <v/>
      </c>
      <c r="T537">
        <f>IF(N537="Sí",1,0)</f>
        <v/>
      </c>
      <c r="U537">
        <f>IF(L537="Aceptada",1,0)</f>
        <v/>
      </c>
    </row>
    <row r="538">
      <c r="A538" s="21" t="str"/>
      <c r="B538" s="23" t="str"/>
      <c r="I538" s="2" t="str"/>
      <c r="J538" s="2" t="str"/>
      <c r="K538" s="2" t="str"/>
      <c r="L538" s="1" t="str"/>
      <c r="M538" s="2" t="str"/>
      <c r="N538" s="1" t="str"/>
      <c r="O538" s="1" t="str"/>
      <c r="P538" s="1" t="str"/>
      <c r="Q538" s="1">
        <f>IF(H538="Sí",1,0)</f>
        <v/>
      </c>
      <c r="R538" s="1">
        <f>IF(L538="En coordinación",1,0)</f>
        <v/>
      </c>
      <c r="T538">
        <f>IF(N538="Sí",1,0)</f>
        <v/>
      </c>
      <c r="U538">
        <f>IF(L538="Aceptada",1,0)</f>
        <v/>
      </c>
    </row>
    <row r="539">
      <c r="A539" s="21" t="str"/>
      <c r="B539" s="23" t="str"/>
      <c r="I539" s="2" t="str"/>
      <c r="J539" s="2" t="str"/>
      <c r="K539" s="2" t="str"/>
      <c r="L539" s="1" t="str"/>
      <c r="M539" s="2" t="str"/>
      <c r="N539" s="1" t="str"/>
      <c r="O539" s="1" t="str"/>
      <c r="P539" s="1" t="str"/>
      <c r="Q539" s="1">
        <f>IF(H539="Sí",1,0)</f>
        <v/>
      </c>
      <c r="R539" s="1">
        <f>IF(L539="En coordinación",1,0)</f>
        <v/>
      </c>
      <c r="T539">
        <f>IF(N539="Sí",1,0)</f>
        <v/>
      </c>
      <c r="U539">
        <f>IF(L539="Aceptada",1,0)</f>
        <v/>
      </c>
    </row>
    <row r="540">
      <c r="A540" s="21" t="str"/>
      <c r="B540" s="23" t="str"/>
      <c r="I540" s="2" t="str"/>
      <c r="J540" s="2" t="str"/>
      <c r="K540" s="2" t="str"/>
      <c r="L540" s="1" t="str"/>
      <c r="M540" s="2" t="str"/>
      <c r="N540" s="1" t="str"/>
      <c r="O540" s="1" t="str"/>
      <c r="P540" s="1" t="str"/>
      <c r="Q540" s="1">
        <f>IF(H540="Sí",1,0)</f>
        <v/>
      </c>
      <c r="R540" s="1">
        <f>IF(L540="En coordinación",1,0)</f>
        <v/>
      </c>
      <c r="T540">
        <f>IF(N540="Sí",1,0)</f>
        <v/>
      </c>
      <c r="U540">
        <f>IF(L540="Aceptada",1,0)</f>
        <v/>
      </c>
    </row>
    <row r="541">
      <c r="A541" s="21" t="str"/>
      <c r="B541" s="23" t="str"/>
      <c r="I541" s="2" t="str"/>
      <c r="J541" s="2" t="str"/>
      <c r="K541" s="2" t="str"/>
      <c r="L541" s="1" t="str"/>
      <c r="M541" s="2" t="str"/>
      <c r="N541" s="1" t="str"/>
      <c r="O541" s="1" t="str"/>
      <c r="P541" s="1" t="str"/>
      <c r="Q541" s="1">
        <f>IF(H541="Sí",1,0)</f>
        <v/>
      </c>
      <c r="R541" s="1">
        <f>IF(L541="En coordinación",1,0)</f>
        <v/>
      </c>
      <c r="T541">
        <f>IF(N541="Sí",1,0)</f>
        <v/>
      </c>
      <c r="U541">
        <f>IF(L541="Aceptada",1,0)</f>
        <v/>
      </c>
    </row>
    <row r="542">
      <c r="A542" s="21" t="str"/>
      <c r="B542" s="23" t="str"/>
      <c r="I542" s="2" t="str"/>
      <c r="J542" s="2" t="str"/>
      <c r="K542" s="2" t="str"/>
      <c r="L542" s="1" t="str"/>
      <c r="M542" s="2" t="str"/>
      <c r="N542" s="1" t="str"/>
      <c r="O542" s="1" t="str"/>
      <c r="P542" s="1" t="str"/>
      <c r="Q542" s="1">
        <f>IF(H542="Sí",1,0)</f>
        <v/>
      </c>
      <c r="R542" s="1">
        <f>IF(L542="En coordinación",1,0)</f>
        <v/>
      </c>
      <c r="T542">
        <f>IF(N542="Sí",1,0)</f>
        <v/>
      </c>
      <c r="U542">
        <f>IF(L542="Aceptada",1,0)</f>
        <v/>
      </c>
    </row>
    <row r="543">
      <c r="A543" s="21" t="str"/>
      <c r="B543" s="23" t="str"/>
      <c r="I543" s="2" t="str"/>
      <c r="J543" s="2" t="str"/>
      <c r="K543" s="2" t="str"/>
      <c r="L543" s="1" t="str"/>
      <c r="M543" s="2" t="str"/>
      <c r="N543" s="1" t="str"/>
      <c r="O543" s="1" t="str"/>
      <c r="P543" s="1" t="str"/>
      <c r="Q543" s="1">
        <f>IF(H543="Sí",1,0)</f>
        <v/>
      </c>
      <c r="R543" s="1">
        <f>IF(L543="En coordinación",1,0)</f>
        <v/>
      </c>
      <c r="T543">
        <f>IF(N543="Sí",1,0)</f>
        <v/>
      </c>
      <c r="U543">
        <f>IF(L543="Aceptada",1,0)</f>
        <v/>
      </c>
    </row>
    <row r="544">
      <c r="A544" s="21" t="str"/>
      <c r="B544" s="23" t="str"/>
      <c r="I544" s="2" t="str"/>
      <c r="J544" s="2" t="str"/>
      <c r="K544" s="2" t="str"/>
      <c r="L544" s="1" t="str"/>
      <c r="M544" s="2" t="str"/>
      <c r="N544" s="1" t="str"/>
      <c r="O544" s="1" t="str"/>
      <c r="P544" s="1" t="str"/>
      <c r="Q544" s="1">
        <f>IF(H544="Sí",1,0)</f>
        <v/>
      </c>
      <c r="R544" s="1">
        <f>IF(L544="En coordinación",1,0)</f>
        <v/>
      </c>
      <c r="T544">
        <f>IF(N544="Sí",1,0)</f>
        <v/>
      </c>
      <c r="U544">
        <f>IF(L544="Aceptada",1,0)</f>
        <v/>
      </c>
    </row>
    <row r="545">
      <c r="A545" s="21" t="str"/>
      <c r="B545" s="23" t="str"/>
      <c r="I545" s="2" t="str"/>
      <c r="J545" s="2" t="str"/>
      <c r="K545" s="2" t="str"/>
      <c r="L545" s="1" t="str"/>
      <c r="M545" s="2" t="str"/>
      <c r="N545" s="1" t="str"/>
      <c r="O545" s="1" t="str"/>
      <c r="P545" s="1" t="str"/>
      <c r="Q545" s="1">
        <f>IF(H545="Sí",1,0)</f>
        <v/>
      </c>
      <c r="R545" s="1">
        <f>IF(L545="En coordinación",1,0)</f>
        <v/>
      </c>
      <c r="T545">
        <f>IF(N545="Sí",1,0)</f>
        <v/>
      </c>
      <c r="U545">
        <f>IF(L545="Aceptada",1,0)</f>
        <v/>
      </c>
    </row>
    <row r="546">
      <c r="A546" s="21" t="str"/>
      <c r="B546" s="23" t="str"/>
      <c r="I546" s="2" t="str"/>
      <c r="J546" s="2" t="str"/>
      <c r="K546" s="2" t="str"/>
      <c r="L546" s="1" t="str"/>
      <c r="M546" s="2" t="str"/>
      <c r="N546" s="1" t="str"/>
      <c r="O546" s="1" t="str"/>
      <c r="P546" s="1" t="str"/>
      <c r="Q546" s="1">
        <f>IF(H546="Sí",1,0)</f>
        <v/>
      </c>
      <c r="R546" s="1">
        <f>IF(L546="En coordinación",1,0)</f>
        <v/>
      </c>
      <c r="T546">
        <f>IF(N546="Sí",1,0)</f>
        <v/>
      </c>
      <c r="U546">
        <f>IF(L546="Aceptada",1,0)</f>
        <v/>
      </c>
    </row>
    <row r="547">
      <c r="A547" s="21" t="str"/>
      <c r="B547" s="23" t="str"/>
      <c r="I547" s="2" t="str"/>
      <c r="J547" s="2" t="str"/>
      <c r="K547" s="2" t="str"/>
      <c r="L547" s="1" t="str"/>
      <c r="M547" s="2" t="str"/>
      <c r="N547" s="1" t="str"/>
      <c r="O547" s="1" t="str"/>
      <c r="P547" s="1" t="str"/>
      <c r="Q547" s="1">
        <f>IF(H547="Sí",1,0)</f>
        <v/>
      </c>
      <c r="R547" s="1">
        <f>IF(L547="En coordinación",1,0)</f>
        <v/>
      </c>
      <c r="T547">
        <f>IF(N547="Sí",1,0)</f>
        <v/>
      </c>
      <c r="U547">
        <f>IF(L547="Aceptada",1,0)</f>
        <v/>
      </c>
    </row>
    <row r="548">
      <c r="A548" s="21" t="str"/>
      <c r="B548" s="23" t="str"/>
      <c r="I548" s="2" t="str"/>
      <c r="J548" s="2" t="str"/>
      <c r="K548" s="2" t="str"/>
      <c r="L548" s="1" t="str"/>
      <c r="M548" s="2" t="str"/>
      <c r="N548" s="1" t="str"/>
      <c r="O548" s="1" t="str"/>
      <c r="P548" s="1" t="str"/>
      <c r="Q548" s="1">
        <f>IF(H548="Sí",1,0)</f>
        <v/>
      </c>
      <c r="R548" s="1">
        <f>IF(L548="En coordinación",1,0)</f>
        <v/>
      </c>
      <c r="T548">
        <f>IF(N548="Sí",1,0)</f>
        <v/>
      </c>
      <c r="U548">
        <f>IF(L548="Aceptada",1,0)</f>
        <v/>
      </c>
    </row>
    <row r="549">
      <c r="A549" s="21" t="str"/>
      <c r="B549" s="23" t="str"/>
      <c r="I549" s="2" t="str"/>
      <c r="J549" s="2" t="str"/>
      <c r="K549" s="2" t="str"/>
      <c r="L549" s="1" t="str"/>
      <c r="M549" s="2" t="str"/>
      <c r="N549" s="1" t="str"/>
      <c r="O549" s="1" t="str"/>
      <c r="P549" s="1" t="str"/>
      <c r="Q549" s="1">
        <f>IF(H549="Sí",1,0)</f>
        <v/>
      </c>
      <c r="R549" s="1">
        <f>IF(L549="En coordinación",1,0)</f>
        <v/>
      </c>
      <c r="T549">
        <f>IF(N549="Sí",1,0)</f>
        <v/>
      </c>
      <c r="U549">
        <f>IF(L549="Aceptada",1,0)</f>
        <v/>
      </c>
    </row>
    <row r="550">
      <c r="A550" s="21" t="str"/>
      <c r="B550" s="23" t="str"/>
      <c r="I550" s="2" t="str"/>
      <c r="J550" s="2" t="str"/>
      <c r="K550" s="2" t="str"/>
      <c r="L550" s="1" t="str"/>
      <c r="M550" s="2" t="str"/>
      <c r="N550" s="1" t="str"/>
      <c r="O550" s="1" t="str"/>
      <c r="P550" s="1" t="str"/>
      <c r="Q550" s="1">
        <f>IF(H550="Sí",1,0)</f>
        <v/>
      </c>
      <c r="R550" s="1">
        <f>IF(L550="En coordinación",1,0)</f>
        <v/>
      </c>
      <c r="T550">
        <f>IF(N550="Sí",1,0)</f>
        <v/>
      </c>
      <c r="U550">
        <f>IF(L550="Aceptada",1,0)</f>
        <v/>
      </c>
    </row>
    <row r="551">
      <c r="A551" s="21" t="str"/>
      <c r="B551" s="23" t="str"/>
      <c r="I551" s="2" t="str"/>
      <c r="J551" s="2" t="str"/>
      <c r="K551" s="2" t="str"/>
      <c r="L551" s="1" t="str"/>
      <c r="M551" s="2" t="str"/>
      <c r="N551" s="1" t="str"/>
      <c r="O551" s="1" t="str"/>
      <c r="P551" s="1" t="str"/>
      <c r="Q551" s="1">
        <f>IF(H551="Sí",1,0)</f>
        <v/>
      </c>
      <c r="R551" s="1">
        <f>IF(L551="En coordinación",1,0)</f>
        <v/>
      </c>
      <c r="T551">
        <f>IF(N551="Sí",1,0)</f>
        <v/>
      </c>
      <c r="U551">
        <f>IF(L551="Aceptada",1,0)</f>
        <v/>
      </c>
    </row>
    <row r="552">
      <c r="A552" s="21" t="str"/>
      <c r="B552" s="23" t="str"/>
      <c r="I552" s="2" t="str"/>
      <c r="J552" s="2" t="str"/>
      <c r="K552" s="2" t="str"/>
      <c r="L552" s="1" t="str"/>
      <c r="M552" s="2" t="str"/>
      <c r="N552" s="1" t="str"/>
      <c r="O552" s="1" t="str"/>
      <c r="P552" s="1" t="str"/>
      <c r="Q552" s="1">
        <f>IF(H552="Sí",1,0)</f>
        <v/>
      </c>
      <c r="R552" s="1">
        <f>IF(L552="En coordinación",1,0)</f>
        <v/>
      </c>
      <c r="T552">
        <f>IF(N552="Sí",1,0)</f>
        <v/>
      </c>
      <c r="U552">
        <f>IF(L552="Aceptada",1,0)</f>
        <v/>
      </c>
    </row>
    <row r="553">
      <c r="A553" s="21" t="str"/>
      <c r="B553" s="23" t="str"/>
      <c r="I553" s="2" t="str"/>
      <c r="J553" s="2" t="str"/>
      <c r="K553" s="2" t="str"/>
      <c r="L553" s="1" t="str"/>
      <c r="M553" s="2" t="str"/>
      <c r="N553" s="1" t="str"/>
      <c r="O553" s="1" t="str"/>
      <c r="P553" s="1" t="str"/>
      <c r="Q553" s="1">
        <f>IF(H553="Sí",1,0)</f>
        <v/>
      </c>
      <c r="R553" s="1">
        <f>IF(L553="En coordinación",1,0)</f>
        <v/>
      </c>
      <c r="T553">
        <f>IF(N553="Sí",1,0)</f>
        <v/>
      </c>
      <c r="U553">
        <f>IF(L553="Aceptada",1,0)</f>
        <v/>
      </c>
    </row>
    <row r="554">
      <c r="A554" s="21" t="str"/>
      <c r="B554" s="23" t="str"/>
      <c r="I554" s="2" t="str"/>
      <c r="J554" s="2" t="str"/>
      <c r="K554" s="2" t="str"/>
      <c r="L554" s="1" t="str"/>
      <c r="M554" s="2" t="str"/>
      <c r="N554" s="1" t="str"/>
      <c r="O554" s="1" t="str"/>
      <c r="P554" s="1" t="str"/>
      <c r="Q554" s="1">
        <f>IF(H554="Sí",1,0)</f>
        <v/>
      </c>
      <c r="R554" s="1">
        <f>IF(L554="En coordinación",1,0)</f>
        <v/>
      </c>
      <c r="T554">
        <f>IF(N554="Sí",1,0)</f>
        <v/>
      </c>
      <c r="U554">
        <f>IF(L554="Aceptada",1,0)</f>
        <v/>
      </c>
    </row>
    <row r="555">
      <c r="A555" s="21" t="str"/>
      <c r="B555" s="23" t="str"/>
      <c r="I555" s="2" t="str"/>
      <c r="J555" s="2" t="str"/>
      <c r="K555" s="2" t="str"/>
      <c r="L555" s="1" t="str"/>
      <c r="M555" s="2" t="str"/>
      <c r="N555" s="1" t="str"/>
      <c r="O555" s="1" t="str"/>
      <c r="P555" s="1" t="str"/>
      <c r="Q555" s="1">
        <f>IF(H555="Sí",1,0)</f>
        <v/>
      </c>
      <c r="R555" s="1">
        <f>IF(L555="En coordinación",1,0)</f>
        <v/>
      </c>
      <c r="T555">
        <f>IF(N555="Sí",1,0)</f>
        <v/>
      </c>
      <c r="U555">
        <f>IF(L555="Aceptada",1,0)</f>
        <v/>
      </c>
    </row>
    <row r="556">
      <c r="A556" s="21" t="str"/>
      <c r="B556" s="23" t="str"/>
      <c r="I556" s="2" t="str"/>
      <c r="J556" s="2" t="str"/>
      <c r="K556" s="2" t="str"/>
      <c r="L556" s="1" t="str"/>
      <c r="M556" s="2" t="str"/>
      <c r="N556" s="1" t="str"/>
      <c r="O556" s="1" t="str"/>
      <c r="P556" s="1" t="str"/>
      <c r="Q556" s="1">
        <f>IF(H556="Sí",1,0)</f>
        <v/>
      </c>
      <c r="R556" s="1">
        <f>IF(L556="En coordinación",1,0)</f>
        <v/>
      </c>
      <c r="T556">
        <f>IF(N556="Sí",1,0)</f>
        <v/>
      </c>
      <c r="U556">
        <f>IF(L556="Aceptada",1,0)</f>
        <v/>
      </c>
    </row>
    <row r="557">
      <c r="A557" s="21" t="str"/>
      <c r="B557" s="23" t="str"/>
      <c r="I557" s="2" t="str"/>
      <c r="J557" s="2" t="str"/>
      <c r="K557" s="2" t="str"/>
      <c r="L557" s="1" t="str"/>
      <c r="M557" s="2" t="str"/>
      <c r="N557" s="1" t="str"/>
      <c r="O557" s="1" t="str"/>
      <c r="P557" s="1" t="str"/>
      <c r="Q557" s="1">
        <f>IF(H557="Sí",1,0)</f>
        <v/>
      </c>
      <c r="R557" s="1">
        <f>IF(L557="En coordinación",1,0)</f>
        <v/>
      </c>
      <c r="T557">
        <f>IF(N557="Sí",1,0)</f>
        <v/>
      </c>
      <c r="U557">
        <f>IF(L557="Aceptada",1,0)</f>
        <v/>
      </c>
    </row>
    <row r="558">
      <c r="A558" s="21" t="str"/>
      <c r="B558" s="23" t="str"/>
      <c r="I558" s="2" t="str"/>
      <c r="J558" s="2" t="str"/>
      <c r="K558" s="2" t="str"/>
      <c r="L558" s="1" t="str"/>
      <c r="M558" s="2" t="str"/>
      <c r="N558" s="1" t="str"/>
      <c r="O558" s="1" t="str"/>
      <c r="P558" s="1" t="str"/>
      <c r="Q558" s="1">
        <f>IF(H558="Sí",1,0)</f>
        <v/>
      </c>
      <c r="R558" s="1">
        <f>IF(L558="En coordinación",1,0)</f>
        <v/>
      </c>
      <c r="T558">
        <f>IF(N558="Sí",1,0)</f>
        <v/>
      </c>
      <c r="U558">
        <f>IF(L558="Aceptada",1,0)</f>
        <v/>
      </c>
    </row>
    <row r="559">
      <c r="A559" s="21" t="str"/>
      <c r="B559" s="23" t="str"/>
      <c r="I559" s="2" t="str"/>
      <c r="J559" s="2" t="str"/>
      <c r="K559" s="2" t="str"/>
      <c r="L559" s="1" t="str"/>
      <c r="M559" s="2" t="str"/>
      <c r="N559" s="1" t="str"/>
      <c r="O559" s="1" t="str"/>
      <c r="P559" s="1" t="str"/>
      <c r="Q559" s="1">
        <f>IF(H559="Sí",1,0)</f>
        <v/>
      </c>
      <c r="R559" s="1">
        <f>IF(L559="En coordinación",1,0)</f>
        <v/>
      </c>
      <c r="T559">
        <f>IF(N559="Sí",1,0)</f>
        <v/>
      </c>
      <c r="U559">
        <f>IF(L559="Aceptada",1,0)</f>
        <v/>
      </c>
    </row>
    <row r="560">
      <c r="A560" s="21" t="str"/>
      <c r="B560" s="23" t="str"/>
      <c r="I560" s="2" t="str"/>
      <c r="J560" s="2" t="str"/>
      <c r="K560" s="2" t="str"/>
      <c r="L560" s="1" t="str"/>
      <c r="M560" s="2" t="str"/>
      <c r="N560" s="1" t="str"/>
      <c r="O560" s="1" t="str"/>
      <c r="P560" s="1" t="str"/>
      <c r="Q560" s="1">
        <f>IF(H560="Sí",1,0)</f>
        <v/>
      </c>
      <c r="R560" s="1">
        <f>IF(L560="En coordinación",1,0)</f>
        <v/>
      </c>
      <c r="T560">
        <f>IF(N560="Sí",1,0)</f>
        <v/>
      </c>
      <c r="U560">
        <f>IF(L560="Aceptada",1,0)</f>
        <v/>
      </c>
    </row>
    <row r="561">
      <c r="A561" s="21" t="str"/>
      <c r="B561" s="23" t="str"/>
      <c r="I561" s="2" t="str"/>
      <c r="J561" s="2" t="str"/>
      <c r="K561" s="2" t="str"/>
      <c r="L561" s="1" t="str"/>
      <c r="M561" s="2" t="str"/>
      <c r="N561" s="1" t="str"/>
      <c r="O561" s="1" t="str"/>
      <c r="P561" s="1" t="str"/>
      <c r="Q561" s="1">
        <f>IF(H561="Sí",1,0)</f>
        <v/>
      </c>
      <c r="R561" s="1">
        <f>IF(L561="En coordinación",1,0)</f>
        <v/>
      </c>
      <c r="T561">
        <f>IF(N561="Sí",1,0)</f>
        <v/>
      </c>
      <c r="U561">
        <f>IF(L561="Aceptada",1,0)</f>
        <v/>
      </c>
    </row>
    <row r="562">
      <c r="A562" s="21" t="str"/>
      <c r="B562" s="23" t="str"/>
      <c r="I562" s="2" t="str"/>
      <c r="J562" s="2" t="str"/>
      <c r="K562" s="2" t="str"/>
      <c r="L562" s="1" t="str"/>
      <c r="M562" s="2" t="str"/>
      <c r="N562" s="1" t="str"/>
      <c r="O562" s="1" t="str"/>
      <c r="P562" s="1" t="str"/>
      <c r="Q562" s="1">
        <f>IF(H562="Sí",1,0)</f>
        <v/>
      </c>
      <c r="R562" s="1">
        <f>IF(L562="En coordinación",1,0)</f>
        <v/>
      </c>
      <c r="T562">
        <f>IF(N562="Sí",1,0)</f>
        <v/>
      </c>
      <c r="U562">
        <f>IF(L562="Aceptada",1,0)</f>
        <v/>
      </c>
    </row>
    <row r="563">
      <c r="A563" s="21" t="str"/>
      <c r="B563" s="23" t="str"/>
      <c r="I563" s="2" t="str"/>
      <c r="J563" s="2" t="str"/>
      <c r="K563" s="2" t="str"/>
      <c r="L563" s="1" t="str"/>
      <c r="M563" s="2" t="str"/>
      <c r="N563" s="1" t="str"/>
      <c r="O563" s="1" t="str"/>
      <c r="P563" s="1" t="str"/>
      <c r="Q563" s="1">
        <f>IF(H563="Sí",1,0)</f>
        <v/>
      </c>
      <c r="R563" s="1">
        <f>IF(L563="En coordinación",1,0)</f>
        <v/>
      </c>
      <c r="T563">
        <f>IF(N563="Sí",1,0)</f>
        <v/>
      </c>
      <c r="U563">
        <f>IF(L563="Aceptada",1,0)</f>
        <v/>
      </c>
    </row>
    <row r="564">
      <c r="A564" s="21" t="str"/>
      <c r="B564" s="23" t="str"/>
      <c r="I564" s="2" t="str"/>
      <c r="J564" s="2" t="str"/>
      <c r="K564" s="2" t="str"/>
      <c r="L564" s="1" t="str"/>
      <c r="M564" s="2" t="str"/>
      <c r="N564" s="1" t="str"/>
      <c r="O564" s="1" t="str"/>
      <c r="P564" s="1" t="str"/>
      <c r="Q564" s="1">
        <f>IF(H564="Sí",1,0)</f>
        <v/>
      </c>
      <c r="R564" s="1">
        <f>IF(L564="En coordinación",1,0)</f>
        <v/>
      </c>
      <c r="T564">
        <f>IF(N564="Sí",1,0)</f>
        <v/>
      </c>
      <c r="U564">
        <f>IF(L564="Aceptada",1,0)</f>
        <v/>
      </c>
    </row>
    <row r="565">
      <c r="A565" s="21" t="str"/>
      <c r="B565" s="23" t="str"/>
      <c r="I565" s="2" t="str"/>
      <c r="J565" s="2" t="str"/>
      <c r="K565" s="2" t="str"/>
      <c r="L565" s="1" t="str"/>
      <c r="M565" s="2" t="str"/>
      <c r="N565" s="1" t="str"/>
      <c r="O565" s="1" t="str"/>
      <c r="P565" s="1" t="str"/>
      <c r="Q565" s="1">
        <f>IF(H565="Sí",1,0)</f>
        <v/>
      </c>
      <c r="R565" s="1">
        <f>IF(L565="En coordinación",1,0)</f>
        <v/>
      </c>
      <c r="T565">
        <f>IF(N565="Sí",1,0)</f>
        <v/>
      </c>
      <c r="U565">
        <f>IF(L565="Aceptada",1,0)</f>
        <v/>
      </c>
    </row>
    <row r="566">
      <c r="A566" s="21" t="str"/>
      <c r="B566" s="23" t="str"/>
      <c r="I566" s="2" t="str"/>
      <c r="J566" s="2" t="str"/>
      <c r="K566" s="2" t="str"/>
      <c r="L566" s="1" t="str"/>
      <c r="M566" s="2" t="str"/>
      <c r="N566" s="1" t="str"/>
      <c r="O566" s="1" t="str"/>
      <c r="P566" s="1" t="str"/>
      <c r="Q566" s="1">
        <f>IF(H566="Sí",1,0)</f>
        <v/>
      </c>
      <c r="R566" s="1">
        <f>IF(L566="En coordinación",1,0)</f>
        <v/>
      </c>
      <c r="T566">
        <f>IF(N566="Sí",1,0)</f>
        <v/>
      </c>
      <c r="U566">
        <f>IF(L566="Aceptada",1,0)</f>
        <v/>
      </c>
    </row>
    <row r="567">
      <c r="A567" s="21" t="str"/>
      <c r="B567" s="23" t="str"/>
      <c r="I567" s="2" t="str"/>
      <c r="J567" s="2" t="str"/>
      <c r="K567" s="2" t="str"/>
      <c r="L567" s="1" t="str"/>
      <c r="M567" s="2" t="str"/>
      <c r="N567" s="1" t="str"/>
      <c r="O567" s="1" t="str"/>
      <c r="P567" s="1" t="str"/>
      <c r="Q567" s="1">
        <f>IF(H567="Sí",1,0)</f>
        <v/>
      </c>
      <c r="R567" s="1">
        <f>IF(L567="En coordinación",1,0)</f>
        <v/>
      </c>
      <c r="T567">
        <f>IF(N567="Sí",1,0)</f>
        <v/>
      </c>
      <c r="U567">
        <f>IF(L567="Aceptada",1,0)</f>
        <v/>
      </c>
    </row>
    <row r="568">
      <c r="A568" s="21" t="str"/>
      <c r="B568" s="23" t="str"/>
      <c r="I568" s="2" t="str"/>
      <c r="J568" s="2" t="str"/>
      <c r="K568" s="2" t="str"/>
      <c r="L568" s="1" t="str"/>
      <c r="M568" s="2" t="str"/>
      <c r="N568" s="1" t="str"/>
      <c r="O568" s="1" t="str"/>
      <c r="P568" s="1" t="str"/>
      <c r="Q568" s="1">
        <f>IF(H568="Sí",1,0)</f>
        <v/>
      </c>
      <c r="R568" s="1">
        <f>IF(L568="En coordinación",1,0)</f>
        <v/>
      </c>
      <c r="T568">
        <f>IF(N568="Sí",1,0)</f>
        <v/>
      </c>
      <c r="U568">
        <f>IF(L568="Aceptada",1,0)</f>
        <v/>
      </c>
    </row>
    <row r="569">
      <c r="A569" s="21" t="str"/>
      <c r="B569" s="23" t="str"/>
      <c r="I569" s="2" t="str"/>
      <c r="J569" s="2" t="str"/>
      <c r="K569" s="2" t="str"/>
      <c r="L569" s="1" t="str"/>
      <c r="M569" s="2" t="str"/>
      <c r="N569" s="1" t="str"/>
      <c r="O569" s="1" t="str"/>
      <c r="P569" s="1" t="str"/>
      <c r="Q569" s="1">
        <f>IF(H569="Sí",1,0)</f>
        <v/>
      </c>
      <c r="R569" s="1">
        <f>IF(L569="En coordinación",1,0)</f>
        <v/>
      </c>
      <c r="T569">
        <f>IF(N569="Sí",1,0)</f>
        <v/>
      </c>
      <c r="U569">
        <f>IF(L569="Aceptada",1,0)</f>
        <v/>
      </c>
    </row>
    <row r="570">
      <c r="A570" s="21" t="str"/>
      <c r="B570" s="23" t="str"/>
      <c r="I570" s="2" t="str"/>
      <c r="J570" s="2" t="str"/>
      <c r="K570" s="2" t="str"/>
      <c r="L570" s="1" t="str"/>
      <c r="M570" s="2" t="str"/>
      <c r="N570" s="1" t="str"/>
      <c r="O570" s="1" t="str"/>
      <c r="P570" s="1" t="str"/>
      <c r="Q570" s="1">
        <f>IF(H570="Sí",1,0)</f>
        <v/>
      </c>
      <c r="R570" s="1">
        <f>IF(L570="En coordinación",1,0)</f>
        <v/>
      </c>
      <c r="T570">
        <f>IF(N570="Sí",1,0)</f>
        <v/>
      </c>
      <c r="U570">
        <f>IF(L570="Aceptada",1,0)</f>
        <v/>
      </c>
    </row>
    <row r="571">
      <c r="A571" s="21" t="str"/>
      <c r="B571" s="23" t="str"/>
      <c r="I571" s="2" t="str"/>
      <c r="J571" s="2" t="str"/>
      <c r="K571" s="2" t="str"/>
      <c r="L571" s="1" t="str"/>
      <c r="M571" s="2" t="str"/>
      <c r="N571" s="1" t="str"/>
      <c r="O571" s="1" t="str"/>
      <c r="P571" s="1" t="str"/>
      <c r="Q571" s="1">
        <f>IF(H571="Sí",1,0)</f>
        <v/>
      </c>
      <c r="R571" s="1">
        <f>IF(L571="En coordinación",1,0)</f>
        <v/>
      </c>
      <c r="T571">
        <f>IF(N571="Sí",1,0)</f>
        <v/>
      </c>
      <c r="U571">
        <f>IF(L571="Aceptada",1,0)</f>
        <v/>
      </c>
    </row>
    <row r="572">
      <c r="A572" s="21" t="str"/>
      <c r="B572" s="23" t="str"/>
      <c r="I572" s="2" t="str"/>
      <c r="J572" s="2" t="str"/>
      <c r="K572" s="2" t="str"/>
      <c r="L572" s="1" t="str"/>
      <c r="M572" s="2" t="str"/>
      <c r="N572" s="1" t="str"/>
      <c r="O572" s="1" t="str"/>
      <c r="P572" s="1" t="str"/>
      <c r="Q572" s="1">
        <f>IF(H572="Sí",1,0)</f>
        <v/>
      </c>
      <c r="R572" s="1">
        <f>IF(L572="En coordinación",1,0)</f>
        <v/>
      </c>
      <c r="T572">
        <f>IF(N572="Sí",1,0)</f>
        <v/>
      </c>
      <c r="U572">
        <f>IF(L572="Aceptada",1,0)</f>
        <v/>
      </c>
    </row>
    <row r="573">
      <c r="A573" s="21" t="str"/>
      <c r="B573" s="23" t="str"/>
      <c r="I573" s="2" t="str"/>
      <c r="J573" s="2" t="str"/>
      <c r="K573" s="2" t="str"/>
      <c r="L573" s="1" t="str"/>
      <c r="M573" s="2" t="str"/>
      <c r="N573" s="1" t="str"/>
      <c r="O573" s="1" t="str"/>
      <c r="P573" s="1" t="str"/>
      <c r="Q573" s="1">
        <f>IF(H573="Sí",1,0)</f>
        <v/>
      </c>
      <c r="R573" s="1">
        <f>IF(L573="En coordinación",1,0)</f>
        <v/>
      </c>
      <c r="T573">
        <f>IF(N573="Sí",1,0)</f>
        <v/>
      </c>
      <c r="U573">
        <f>IF(L573="Aceptada",1,0)</f>
        <v/>
      </c>
    </row>
    <row r="574">
      <c r="A574" s="21" t="str"/>
      <c r="B574" s="23" t="str"/>
      <c r="I574" s="2" t="str"/>
      <c r="J574" s="2" t="str"/>
      <c r="K574" s="2" t="str"/>
      <c r="L574" s="1" t="str"/>
      <c r="M574" s="2" t="str"/>
      <c r="N574" s="1" t="str"/>
      <c r="O574" s="1" t="str"/>
      <c r="P574" s="1" t="str"/>
      <c r="Q574" s="1">
        <f>IF(H574="Sí",1,0)</f>
        <v/>
      </c>
      <c r="R574" s="1">
        <f>IF(L574="En coordinación",1,0)</f>
        <v/>
      </c>
      <c r="T574">
        <f>IF(N574="Sí",1,0)</f>
        <v/>
      </c>
      <c r="U574">
        <f>IF(L574="Aceptada",1,0)</f>
        <v/>
      </c>
    </row>
    <row r="575">
      <c r="A575" s="21" t="str"/>
      <c r="B575" s="23" t="str"/>
      <c r="I575" s="2" t="str"/>
      <c r="J575" s="2" t="str"/>
      <c r="K575" s="2" t="str"/>
      <c r="L575" s="1" t="str"/>
      <c r="M575" s="2" t="str"/>
      <c r="N575" s="1" t="str"/>
      <c r="O575" s="1" t="str"/>
      <c r="P575" s="1" t="str"/>
      <c r="Q575" s="1">
        <f>IF(H575="Sí",1,0)</f>
        <v/>
      </c>
      <c r="R575" s="1">
        <f>IF(L575="En coordinación",1,0)</f>
        <v/>
      </c>
      <c r="T575">
        <f>IF(N575="Sí",1,0)</f>
        <v/>
      </c>
      <c r="U575">
        <f>IF(L575="Aceptada",1,0)</f>
        <v/>
      </c>
    </row>
    <row r="576">
      <c r="A576" s="21" t="str"/>
      <c r="B576" s="23" t="str"/>
      <c r="I576" s="2" t="str"/>
      <c r="J576" s="2" t="str"/>
      <c r="K576" s="2" t="str"/>
      <c r="L576" s="1" t="str"/>
      <c r="M576" s="2" t="str"/>
      <c r="N576" s="1" t="str"/>
      <c r="O576" s="1" t="str"/>
      <c r="P576" s="1" t="str"/>
      <c r="Q576" s="1">
        <f>IF(H576="Sí",1,0)</f>
        <v/>
      </c>
      <c r="R576" s="1">
        <f>IF(L576="En coordinación",1,0)</f>
        <v/>
      </c>
      <c r="T576">
        <f>IF(N576="Sí",1,0)</f>
        <v/>
      </c>
      <c r="U576">
        <f>IF(L576="Aceptada",1,0)</f>
        <v/>
      </c>
    </row>
    <row r="577">
      <c r="A577" s="21" t="str"/>
      <c r="B577" s="23" t="str"/>
      <c r="I577" s="2" t="str"/>
      <c r="J577" s="2" t="str"/>
      <c r="K577" s="2" t="str"/>
      <c r="L577" s="1" t="str"/>
      <c r="M577" s="2" t="str"/>
      <c r="N577" s="1" t="str"/>
      <c r="O577" s="1" t="str"/>
      <c r="P577" s="1" t="str"/>
      <c r="Q577" s="1">
        <f>IF(H577="Sí",1,0)</f>
        <v/>
      </c>
      <c r="R577" s="1">
        <f>IF(L577="En coordinación",1,0)</f>
        <v/>
      </c>
      <c r="T577">
        <f>IF(N577="Sí",1,0)</f>
        <v/>
      </c>
      <c r="U577">
        <f>IF(L577="Aceptada",1,0)</f>
        <v/>
      </c>
    </row>
    <row r="578">
      <c r="A578" s="21" t="str"/>
      <c r="B578" s="23" t="str"/>
      <c r="I578" s="2" t="str"/>
      <c r="J578" s="2" t="str"/>
      <c r="K578" s="2" t="str"/>
      <c r="L578" s="1" t="str"/>
      <c r="M578" s="2" t="str"/>
      <c r="N578" s="1" t="str"/>
      <c r="O578" s="1" t="str"/>
      <c r="P578" s="1" t="str"/>
      <c r="Q578" s="1">
        <f>IF(H578="Sí",1,0)</f>
        <v/>
      </c>
      <c r="R578" s="1">
        <f>IF(L578="En coordinación",1,0)</f>
        <v/>
      </c>
      <c r="T578">
        <f>IF(N578="Sí",1,0)</f>
        <v/>
      </c>
      <c r="U578">
        <f>IF(L578="Aceptada",1,0)</f>
        <v/>
      </c>
    </row>
    <row r="579">
      <c r="A579" s="21" t="str"/>
      <c r="B579" s="23" t="str"/>
      <c r="I579" s="2" t="str"/>
      <c r="J579" s="2" t="str"/>
      <c r="K579" s="2" t="str"/>
      <c r="L579" s="1" t="str"/>
      <c r="M579" s="2" t="str"/>
      <c r="N579" s="1" t="str"/>
      <c r="O579" s="1" t="str"/>
      <c r="P579" s="1" t="str"/>
      <c r="Q579" s="1">
        <f>IF(H579="Sí",1,0)</f>
        <v/>
      </c>
      <c r="R579" s="1">
        <f>IF(L579="En coordinación",1,0)</f>
        <v/>
      </c>
      <c r="T579">
        <f>IF(N579="Sí",1,0)</f>
        <v/>
      </c>
      <c r="U579">
        <f>IF(L579="Aceptada",1,0)</f>
        <v/>
      </c>
    </row>
    <row r="580">
      <c r="A580" s="21" t="str"/>
      <c r="B580" s="23" t="str"/>
      <c r="I580" s="2" t="str"/>
      <c r="J580" s="2" t="str"/>
      <c r="K580" s="2" t="str"/>
      <c r="L580" s="1" t="str"/>
      <c r="M580" s="2" t="str"/>
      <c r="N580" s="1" t="str"/>
      <c r="O580" s="1" t="str"/>
      <c r="P580" s="1" t="str"/>
      <c r="Q580" s="1">
        <f>IF(H580="Sí",1,0)</f>
        <v/>
      </c>
      <c r="R580" s="1">
        <f>IF(L580="En coordinación",1,0)</f>
        <v/>
      </c>
      <c r="T580">
        <f>IF(N580="Sí",1,0)</f>
        <v/>
      </c>
      <c r="U580">
        <f>IF(L580="Aceptada",1,0)</f>
        <v/>
      </c>
    </row>
    <row r="581">
      <c r="A581" s="21" t="str"/>
      <c r="B581" s="23" t="str"/>
      <c r="I581" s="2" t="str"/>
      <c r="J581" s="2" t="str"/>
      <c r="K581" s="2" t="str"/>
      <c r="L581" s="1" t="str"/>
      <c r="M581" s="2" t="str"/>
      <c r="N581" s="1" t="str"/>
      <c r="O581" s="1" t="str"/>
      <c r="P581" s="1" t="str"/>
      <c r="Q581" s="1">
        <f>IF(H581="Sí",1,0)</f>
        <v/>
      </c>
      <c r="R581" s="1">
        <f>IF(L581="En coordinación",1,0)</f>
        <v/>
      </c>
      <c r="T581">
        <f>IF(N581="Sí",1,0)</f>
        <v/>
      </c>
      <c r="U581">
        <f>IF(L581="Aceptada",1,0)</f>
        <v/>
      </c>
    </row>
    <row r="582">
      <c r="A582" s="21" t="str"/>
      <c r="B582" s="23" t="str"/>
      <c r="I582" s="2" t="str"/>
      <c r="J582" s="2" t="str"/>
      <c r="K582" s="2" t="str"/>
      <c r="L582" s="1" t="str"/>
      <c r="M582" s="2" t="str"/>
      <c r="N582" s="1" t="str"/>
      <c r="O582" s="1" t="str"/>
      <c r="P582" s="1" t="str"/>
      <c r="Q582" s="1">
        <f>IF(H582="Sí",1,0)</f>
        <v/>
      </c>
      <c r="R582" s="1">
        <f>IF(L582="En coordinación",1,0)</f>
        <v/>
      </c>
      <c r="T582">
        <f>IF(N582="Sí",1,0)</f>
        <v/>
      </c>
      <c r="U582">
        <f>IF(L582="Aceptada",1,0)</f>
        <v/>
      </c>
    </row>
    <row r="583">
      <c r="A583" s="21" t="str"/>
      <c r="B583" s="23" t="str"/>
      <c r="I583" s="2" t="str"/>
      <c r="J583" s="2" t="str"/>
      <c r="K583" s="2" t="str"/>
      <c r="L583" s="1" t="str"/>
      <c r="M583" s="2" t="str"/>
      <c r="N583" s="1" t="str"/>
      <c r="O583" s="1" t="str"/>
      <c r="P583" s="1" t="str"/>
      <c r="Q583" s="1">
        <f>IF(H583="Sí",1,0)</f>
        <v/>
      </c>
      <c r="R583" s="1">
        <f>IF(L583="En coordinación",1,0)</f>
        <v/>
      </c>
      <c r="T583">
        <f>IF(N583="Sí",1,0)</f>
        <v/>
      </c>
      <c r="U583">
        <f>IF(L583="Aceptada",1,0)</f>
        <v/>
      </c>
    </row>
    <row r="584">
      <c r="A584" s="21" t="str"/>
      <c r="B584" s="23" t="str"/>
      <c r="I584" s="2" t="str"/>
      <c r="J584" s="2" t="str"/>
      <c r="K584" s="2" t="str"/>
      <c r="L584" s="1" t="str"/>
      <c r="M584" s="2" t="str"/>
      <c r="N584" s="1" t="str"/>
      <c r="O584" s="1" t="str"/>
      <c r="P584" s="1" t="str"/>
      <c r="Q584" s="1">
        <f>IF(H584="Sí",1,0)</f>
        <v/>
      </c>
      <c r="R584" s="1">
        <f>IF(L584="En coordinación",1,0)</f>
        <v/>
      </c>
      <c r="T584">
        <f>IF(N584="Sí",1,0)</f>
        <v/>
      </c>
      <c r="U584">
        <f>IF(L584="Aceptada",1,0)</f>
        <v/>
      </c>
    </row>
    <row r="585">
      <c r="A585" s="21" t="str"/>
      <c r="B585" s="23" t="str"/>
      <c r="I585" s="2" t="str"/>
      <c r="J585" s="2" t="str"/>
      <c r="K585" s="2" t="str"/>
      <c r="L585" s="1" t="str"/>
      <c r="M585" s="2" t="str"/>
      <c r="N585" s="1" t="str"/>
      <c r="O585" s="1" t="str"/>
      <c r="P585" s="1" t="str"/>
      <c r="Q585" s="1">
        <f>IF(H585="Sí",1,0)</f>
        <v/>
      </c>
      <c r="R585" s="1">
        <f>IF(L585="En coordinación",1,0)</f>
        <v/>
      </c>
      <c r="T585">
        <f>IF(N585="Sí",1,0)</f>
        <v/>
      </c>
      <c r="U585">
        <f>IF(L585="Aceptada",1,0)</f>
        <v/>
      </c>
    </row>
    <row r="586">
      <c r="A586" s="21" t="str"/>
      <c r="B586" s="23" t="str"/>
      <c r="I586" s="2" t="str"/>
      <c r="J586" s="2" t="str"/>
      <c r="K586" s="2" t="str"/>
      <c r="L586" s="1" t="str"/>
      <c r="M586" s="2" t="str"/>
      <c r="N586" s="1" t="str"/>
      <c r="O586" s="1" t="str"/>
      <c r="P586" s="1" t="str"/>
      <c r="Q586" s="1">
        <f>IF(H586="Sí",1,0)</f>
        <v/>
      </c>
      <c r="R586" s="1">
        <f>IF(L586="En coordinación",1,0)</f>
        <v/>
      </c>
      <c r="T586">
        <f>IF(N586="Sí",1,0)</f>
        <v/>
      </c>
      <c r="U586">
        <f>IF(L586="Aceptada",1,0)</f>
        <v/>
      </c>
    </row>
    <row r="587">
      <c r="A587" s="21" t="str"/>
      <c r="B587" s="23" t="str"/>
      <c r="I587" s="2" t="str"/>
      <c r="J587" s="2" t="str"/>
      <c r="K587" s="2" t="str"/>
      <c r="L587" s="1" t="str"/>
      <c r="M587" s="2" t="str"/>
      <c r="N587" s="1" t="str"/>
      <c r="O587" s="1" t="str"/>
      <c r="P587" s="1" t="str"/>
      <c r="Q587" s="1">
        <f>IF(H587="Sí",1,0)</f>
        <v/>
      </c>
      <c r="R587" s="1">
        <f>IF(L587="En coordinación",1,0)</f>
        <v/>
      </c>
      <c r="T587">
        <f>IF(N587="Sí",1,0)</f>
        <v/>
      </c>
      <c r="U587">
        <f>IF(L587="Aceptada",1,0)</f>
        <v/>
      </c>
    </row>
    <row r="588">
      <c r="A588" s="21" t="str"/>
      <c r="B588" s="23" t="str"/>
      <c r="I588" s="2" t="str"/>
      <c r="J588" s="2" t="str"/>
      <c r="K588" s="2" t="str"/>
      <c r="L588" s="1" t="str"/>
      <c r="M588" s="2" t="str"/>
      <c r="N588" s="1" t="str"/>
      <c r="O588" s="1" t="str"/>
      <c r="P588" s="1" t="str"/>
      <c r="Q588" s="1">
        <f>IF(H588="Sí",1,0)</f>
        <v/>
      </c>
      <c r="R588" s="1">
        <f>IF(L588="En coordinación",1,0)</f>
        <v/>
      </c>
      <c r="T588">
        <f>IF(N588="Sí",1,0)</f>
        <v/>
      </c>
      <c r="U588">
        <f>IF(L588="Aceptada",1,0)</f>
        <v/>
      </c>
    </row>
    <row r="589">
      <c r="A589" s="21" t="str"/>
      <c r="B589" s="23" t="str"/>
      <c r="I589" s="2" t="str"/>
      <c r="J589" s="2" t="str"/>
      <c r="K589" s="2" t="str"/>
      <c r="L589" s="1" t="str"/>
      <c r="M589" s="2" t="str"/>
      <c r="N589" s="1" t="str"/>
      <c r="O589" s="1" t="str"/>
      <c r="P589" s="1" t="str"/>
      <c r="Q589" s="1">
        <f>IF(H589="Sí",1,0)</f>
        <v/>
      </c>
      <c r="R589" s="1">
        <f>IF(L589="En coordinación",1,0)</f>
        <v/>
      </c>
      <c r="T589">
        <f>IF(N589="Sí",1,0)</f>
        <v/>
      </c>
      <c r="U589">
        <f>IF(L589="Aceptada",1,0)</f>
        <v/>
      </c>
    </row>
    <row r="590">
      <c r="A590" s="21" t="str"/>
      <c r="B590" s="23" t="str"/>
      <c r="I590" s="2" t="str"/>
      <c r="J590" s="2" t="str"/>
      <c r="K590" s="2" t="str"/>
      <c r="L590" s="1" t="str"/>
      <c r="M590" s="2" t="str"/>
      <c r="N590" s="1" t="str"/>
      <c r="O590" s="1" t="str"/>
      <c r="P590" s="1" t="str"/>
      <c r="Q590" s="1">
        <f>IF(H590="Sí",1,0)</f>
        <v/>
      </c>
      <c r="R590" s="1">
        <f>IF(L590="En coordinación",1,0)</f>
        <v/>
      </c>
      <c r="T590">
        <f>IF(N590="Sí",1,0)</f>
        <v/>
      </c>
      <c r="U590">
        <f>IF(L590="Aceptada",1,0)</f>
        <v/>
      </c>
    </row>
    <row r="591">
      <c r="A591" s="21" t="str"/>
      <c r="B591" s="23" t="str"/>
      <c r="I591" s="2" t="str"/>
      <c r="J591" s="2" t="str"/>
      <c r="K591" s="2" t="str"/>
      <c r="L591" s="1" t="str"/>
      <c r="M591" s="2" t="str"/>
      <c r="N591" s="1" t="str"/>
      <c r="O591" s="1" t="str"/>
      <c r="P591" s="1" t="str"/>
      <c r="Q591" s="1">
        <f>IF(H591="Sí",1,0)</f>
        <v/>
      </c>
      <c r="R591" s="1">
        <f>IF(L591="En coordinación",1,0)</f>
        <v/>
      </c>
      <c r="T591">
        <f>IF(N591="Sí",1,0)</f>
        <v/>
      </c>
      <c r="U591">
        <f>IF(L591="Aceptada",1,0)</f>
        <v/>
      </c>
    </row>
    <row r="592">
      <c r="A592" s="21" t="str"/>
      <c r="B592" s="23" t="str"/>
      <c r="I592" s="2" t="str"/>
      <c r="J592" s="2" t="str"/>
      <c r="K592" s="2" t="str"/>
      <c r="L592" s="1" t="str"/>
      <c r="M592" s="2" t="str"/>
      <c r="N592" s="1" t="str"/>
      <c r="O592" s="1" t="str"/>
      <c r="P592" s="1" t="str"/>
      <c r="Q592" s="1">
        <f>IF(H592="Sí",1,0)</f>
        <v/>
      </c>
      <c r="R592" s="1">
        <f>IF(L592="En coordinación",1,0)</f>
        <v/>
      </c>
      <c r="T592">
        <f>IF(N592="Sí",1,0)</f>
        <v/>
      </c>
      <c r="U592">
        <f>IF(L592="Aceptada",1,0)</f>
        <v/>
      </c>
    </row>
    <row r="593">
      <c r="A593" s="21" t="str"/>
      <c r="B593" s="23" t="str"/>
      <c r="I593" s="2" t="str"/>
      <c r="J593" s="2" t="str"/>
      <c r="K593" s="2" t="str"/>
      <c r="L593" s="1" t="str"/>
      <c r="M593" s="2" t="str"/>
      <c r="N593" s="1" t="str"/>
      <c r="O593" s="1" t="str"/>
      <c r="P593" s="1" t="str"/>
      <c r="Q593" s="1">
        <f>IF(H593="Sí",1,0)</f>
        <v/>
      </c>
      <c r="R593" s="1">
        <f>IF(L593="En coordinación",1,0)</f>
        <v/>
      </c>
      <c r="T593">
        <f>IF(N593="Sí",1,0)</f>
        <v/>
      </c>
      <c r="U593">
        <f>IF(L593="Aceptada",1,0)</f>
        <v/>
      </c>
    </row>
    <row r="594">
      <c r="A594" s="21" t="str"/>
      <c r="B594" s="23" t="str"/>
      <c r="I594" s="2" t="str"/>
      <c r="J594" s="2" t="str"/>
      <c r="K594" s="2" t="str"/>
      <c r="L594" s="1" t="str"/>
      <c r="M594" s="2" t="str"/>
      <c r="N594" s="1" t="str"/>
      <c r="O594" s="1" t="str"/>
      <c r="P594" s="1" t="str"/>
      <c r="Q594" s="1">
        <f>IF(H594="Sí",1,0)</f>
        <v/>
      </c>
      <c r="R594" s="1">
        <f>IF(L594="En coordinación",1,0)</f>
        <v/>
      </c>
      <c r="T594">
        <f>IF(N594="Sí",1,0)</f>
        <v/>
      </c>
      <c r="U594">
        <f>IF(L594="Aceptada",1,0)</f>
        <v/>
      </c>
    </row>
    <row r="595">
      <c r="A595" s="21" t="str"/>
      <c r="B595" s="23" t="str"/>
      <c r="I595" s="2" t="str"/>
      <c r="J595" s="2" t="str"/>
      <c r="K595" s="2" t="str"/>
      <c r="L595" s="1" t="str"/>
      <c r="M595" s="2" t="str"/>
      <c r="N595" s="1" t="str"/>
      <c r="O595" s="1" t="str"/>
      <c r="P595" s="1" t="str"/>
      <c r="Q595" s="1">
        <f>IF(H595="Sí",1,0)</f>
        <v/>
      </c>
      <c r="R595" s="1">
        <f>IF(L595="En coordinación",1,0)</f>
        <v/>
      </c>
      <c r="T595">
        <f>IF(N595="Sí",1,0)</f>
        <v/>
      </c>
      <c r="U595">
        <f>IF(L595="Aceptada",1,0)</f>
        <v/>
      </c>
    </row>
    <row r="596">
      <c r="A596" s="21" t="str"/>
      <c r="B596" s="23" t="str"/>
      <c r="I596" s="2" t="str"/>
      <c r="J596" s="2" t="str"/>
      <c r="K596" s="2" t="str"/>
      <c r="L596" s="1" t="str"/>
      <c r="M596" s="2" t="str"/>
      <c r="N596" s="1" t="str"/>
      <c r="O596" s="1" t="str"/>
      <c r="P596" s="1" t="str"/>
      <c r="Q596" s="1">
        <f>IF(H596="Sí",1,0)</f>
        <v/>
      </c>
      <c r="R596" s="1">
        <f>IF(L596="En coordinación",1,0)</f>
        <v/>
      </c>
      <c r="T596">
        <f>IF(N596="Sí",1,0)</f>
        <v/>
      </c>
      <c r="U596">
        <f>IF(L596="Aceptada",1,0)</f>
        <v/>
      </c>
    </row>
    <row r="597">
      <c r="A597" s="21" t="str"/>
      <c r="B597" s="23" t="str"/>
      <c r="I597" s="2" t="str"/>
      <c r="J597" s="2" t="str"/>
      <c r="K597" s="2" t="str"/>
      <c r="L597" s="1" t="str"/>
      <c r="M597" s="2" t="str"/>
      <c r="N597" s="1" t="str"/>
      <c r="O597" s="1" t="str"/>
      <c r="P597" s="1" t="str"/>
      <c r="Q597" s="1">
        <f>IF(H597="Sí",1,0)</f>
        <v/>
      </c>
      <c r="R597" s="1">
        <f>IF(L597="En coordinación",1,0)</f>
        <v/>
      </c>
      <c r="T597">
        <f>IF(N597="Sí",1,0)</f>
        <v/>
      </c>
      <c r="U597">
        <f>IF(L597="Aceptada",1,0)</f>
        <v/>
      </c>
    </row>
    <row r="598">
      <c r="A598" s="21" t="str"/>
      <c r="B598" s="23" t="str"/>
      <c r="I598" s="2" t="str"/>
      <c r="J598" s="2" t="str"/>
      <c r="K598" s="2" t="str"/>
      <c r="L598" s="1" t="str"/>
      <c r="M598" s="2" t="str"/>
      <c r="N598" s="1" t="str"/>
      <c r="O598" s="1" t="str"/>
      <c r="P598" s="1" t="str"/>
      <c r="Q598" s="1">
        <f>IF(H598="Sí",1,0)</f>
        <v/>
      </c>
      <c r="R598" s="1">
        <f>IF(L598="En coordinación",1,0)</f>
        <v/>
      </c>
      <c r="T598">
        <f>IF(N598="Sí",1,0)</f>
        <v/>
      </c>
      <c r="U598">
        <f>IF(L598="Aceptada",1,0)</f>
        <v/>
      </c>
    </row>
    <row r="599">
      <c r="A599" s="21" t="str"/>
      <c r="B599" s="23" t="str"/>
      <c r="I599" s="2" t="str"/>
      <c r="J599" s="2" t="str"/>
      <c r="K599" s="2" t="str"/>
      <c r="L599" s="1" t="str"/>
      <c r="M599" s="2" t="str"/>
      <c r="N599" s="1" t="str"/>
      <c r="O599" s="1" t="str"/>
      <c r="P599" s="1" t="str"/>
      <c r="Q599" s="1">
        <f>IF(H599="Sí",1,0)</f>
        <v/>
      </c>
      <c r="R599" s="1">
        <f>IF(L599="En coordinación",1,0)</f>
        <v/>
      </c>
      <c r="T599">
        <f>IF(N599="Sí",1,0)</f>
        <v/>
      </c>
      <c r="U599">
        <f>IF(L599="Aceptada",1,0)</f>
        <v/>
      </c>
    </row>
    <row r="600">
      <c r="A600" s="21" t="str"/>
      <c r="B600" s="23" t="str"/>
      <c r="I600" s="2" t="str"/>
      <c r="J600" s="2" t="str"/>
      <c r="K600" s="2" t="str"/>
      <c r="L600" s="1" t="str"/>
      <c r="M600" s="2" t="str"/>
      <c r="N600" s="1" t="str"/>
      <c r="O600" s="1" t="str"/>
      <c r="P600" s="1" t="str"/>
      <c r="Q600" s="1">
        <f>IF(H600="Sí",1,0)</f>
        <v/>
      </c>
      <c r="R600" s="1">
        <f>IF(L600="En coordinación",1,0)</f>
        <v/>
      </c>
      <c r="T600">
        <f>IF(N600="Sí",1,0)</f>
        <v/>
      </c>
      <c r="U600">
        <f>IF(L600="Aceptada",1,0)</f>
        <v/>
      </c>
    </row>
    <row r="601">
      <c r="A601" s="21" t="str"/>
      <c r="B601" s="23" t="str"/>
      <c r="I601" s="2" t="str"/>
      <c r="J601" s="2" t="str"/>
      <c r="K601" s="2" t="str"/>
      <c r="L601" s="1" t="str"/>
      <c r="M601" s="2" t="str"/>
      <c r="N601" s="1" t="str"/>
      <c r="O601" s="1" t="str"/>
      <c r="P601" s="1" t="str"/>
      <c r="Q601" s="1">
        <f>IF(H601="Sí",1,0)</f>
        <v/>
      </c>
      <c r="R601" s="1">
        <f>IF(L601="En coordinación",1,0)</f>
        <v/>
      </c>
      <c r="T601">
        <f>IF(N601="Sí",1,0)</f>
        <v/>
      </c>
      <c r="U601">
        <f>IF(L601="Aceptada",1,0)</f>
        <v/>
      </c>
    </row>
    <row r="602">
      <c r="A602" s="21" t="str"/>
      <c r="B602" s="23" t="str"/>
      <c r="I602" s="2" t="str"/>
      <c r="J602" s="2" t="str"/>
      <c r="K602" s="2" t="str"/>
      <c r="L602" s="1" t="str"/>
      <c r="M602" s="2" t="str"/>
      <c r="N602" s="1" t="str"/>
      <c r="O602" s="1" t="str"/>
      <c r="P602" s="1" t="str"/>
      <c r="Q602" s="1">
        <f>IF(H602="Sí",1,0)</f>
        <v/>
      </c>
      <c r="R602" s="1">
        <f>IF(L602="En coordinación",1,0)</f>
        <v/>
      </c>
      <c r="T602">
        <f>IF(N602="Sí",1,0)</f>
        <v/>
      </c>
      <c r="U602">
        <f>IF(L602="Aceptada",1,0)</f>
        <v/>
      </c>
    </row>
    <row r="603">
      <c r="A603" s="21" t="str"/>
      <c r="B603" s="23" t="str"/>
      <c r="I603" s="2" t="str"/>
      <c r="J603" s="2" t="str"/>
      <c r="K603" s="2" t="str"/>
      <c r="L603" s="1" t="str"/>
      <c r="M603" s="2" t="str"/>
      <c r="N603" s="1" t="str"/>
      <c r="O603" s="1" t="str"/>
      <c r="P603" s="1" t="str"/>
      <c r="Q603" s="1">
        <f>IF(H603="Sí",1,0)</f>
        <v/>
      </c>
      <c r="R603" s="1">
        <f>IF(L603="En coordinación",1,0)</f>
        <v/>
      </c>
      <c r="T603">
        <f>IF(N603="Sí",1,0)</f>
        <v/>
      </c>
      <c r="U603">
        <f>IF(L603="Aceptada",1,0)</f>
        <v/>
      </c>
    </row>
    <row r="604">
      <c r="A604" s="21" t="str"/>
      <c r="B604" s="23" t="str"/>
      <c r="I604" s="2" t="str"/>
      <c r="J604" s="2" t="str"/>
      <c r="K604" s="2" t="str"/>
      <c r="L604" s="1" t="str"/>
      <c r="M604" s="2" t="str"/>
      <c r="N604" s="1" t="str"/>
      <c r="O604" s="1" t="str"/>
      <c r="P604" s="1" t="str"/>
      <c r="Q604" s="1">
        <f>IF(H604="Sí",1,0)</f>
        <v/>
      </c>
      <c r="R604" s="1">
        <f>IF(L604="En coordinación",1,0)</f>
        <v/>
      </c>
      <c r="T604">
        <f>IF(N604="Sí",1,0)</f>
        <v/>
      </c>
      <c r="U604">
        <f>IF(L604="Aceptada",1,0)</f>
        <v/>
      </c>
    </row>
    <row r="605">
      <c r="A605" s="21" t="str"/>
      <c r="B605" s="23" t="str"/>
      <c r="I605" s="2" t="str"/>
      <c r="J605" s="2" t="str"/>
      <c r="K605" s="2" t="str"/>
      <c r="L605" s="1" t="str"/>
      <c r="M605" s="2" t="str"/>
      <c r="N605" s="1" t="str"/>
      <c r="O605" s="1" t="str"/>
      <c r="P605" s="1" t="str"/>
      <c r="Q605" s="1">
        <f>IF(H605="Sí",1,0)</f>
        <v/>
      </c>
      <c r="R605" s="1">
        <f>IF(L605="En coordinación",1,0)</f>
        <v/>
      </c>
      <c r="T605">
        <f>IF(N605="Sí",1,0)</f>
        <v/>
      </c>
      <c r="U605">
        <f>IF(L605="Aceptada",1,0)</f>
        <v/>
      </c>
    </row>
    <row r="606">
      <c r="A606" s="21" t="str"/>
      <c r="B606" s="23" t="str"/>
      <c r="I606" s="2" t="str"/>
      <c r="J606" s="2" t="str"/>
      <c r="K606" s="2" t="str"/>
      <c r="L606" s="1" t="str"/>
      <c r="M606" s="2" t="str"/>
      <c r="N606" s="1" t="str"/>
      <c r="O606" s="1" t="str"/>
      <c r="P606" s="1" t="str"/>
      <c r="Q606" s="1">
        <f>IF(H606="Sí",1,0)</f>
        <v/>
      </c>
      <c r="R606" s="1">
        <f>IF(L606="En coordinación",1,0)</f>
        <v/>
      </c>
      <c r="T606">
        <f>IF(N606="Sí",1,0)</f>
        <v/>
      </c>
      <c r="U606">
        <f>IF(L606="Aceptada",1,0)</f>
        <v/>
      </c>
    </row>
    <row r="607">
      <c r="A607" s="21" t="str"/>
      <c r="B607" s="23" t="str"/>
      <c r="I607" s="2" t="str"/>
      <c r="J607" s="2" t="str"/>
      <c r="K607" s="2" t="str"/>
      <c r="L607" s="1" t="str"/>
      <c r="M607" s="2" t="str"/>
      <c r="N607" s="1" t="str"/>
      <c r="O607" s="1" t="str"/>
      <c r="P607" s="1" t="str"/>
      <c r="Q607" s="1">
        <f>IF(H607="Sí",1,0)</f>
        <v/>
      </c>
      <c r="R607" s="1">
        <f>IF(L607="En coordinación",1,0)</f>
        <v/>
      </c>
      <c r="T607">
        <f>IF(N607="Sí",1,0)</f>
        <v/>
      </c>
      <c r="U607">
        <f>IF(L607="Aceptada",1,0)</f>
        <v/>
      </c>
    </row>
    <row r="608">
      <c r="A608" s="21" t="str"/>
      <c r="B608" s="23" t="str"/>
      <c r="I608" s="2" t="str"/>
      <c r="J608" s="2" t="str"/>
      <c r="K608" s="2" t="str"/>
      <c r="L608" s="1" t="str"/>
      <c r="M608" s="2" t="str"/>
      <c r="N608" s="1" t="str"/>
      <c r="O608" s="1" t="str"/>
      <c r="P608" s="1" t="str"/>
      <c r="Q608" s="1">
        <f>IF(H608="Sí",1,0)</f>
        <v/>
      </c>
      <c r="R608" s="1">
        <f>IF(L608="En coordinación",1,0)</f>
        <v/>
      </c>
      <c r="T608">
        <f>IF(N608="Sí",1,0)</f>
        <v/>
      </c>
      <c r="U608">
        <f>IF(L608="Aceptada",1,0)</f>
        <v/>
      </c>
    </row>
    <row r="609">
      <c r="A609" s="21" t="str"/>
      <c r="B609" s="23" t="str"/>
      <c r="I609" s="2" t="str"/>
      <c r="J609" s="2" t="str"/>
      <c r="K609" s="2" t="str"/>
      <c r="L609" s="1" t="str"/>
      <c r="M609" s="2" t="str"/>
      <c r="N609" s="1" t="str"/>
      <c r="O609" s="1" t="str"/>
      <c r="P609" s="1" t="str"/>
      <c r="Q609" s="1">
        <f>IF(H609="Sí",1,0)</f>
        <v/>
      </c>
      <c r="R609" s="1">
        <f>IF(L609="En coordinación",1,0)</f>
        <v/>
      </c>
      <c r="T609">
        <f>IF(N609="Sí",1,0)</f>
        <v/>
      </c>
      <c r="U609">
        <f>IF(L609="Aceptada",1,0)</f>
        <v/>
      </c>
    </row>
    <row r="610">
      <c r="A610" s="21" t="str"/>
      <c r="B610" s="23" t="str"/>
      <c r="I610" s="2" t="str"/>
      <c r="J610" s="2" t="str"/>
      <c r="K610" s="2" t="str"/>
      <c r="L610" s="1" t="str"/>
      <c r="M610" s="2" t="str"/>
      <c r="N610" s="1" t="str"/>
      <c r="O610" s="1" t="str"/>
      <c r="P610" s="1" t="str"/>
      <c r="Q610" s="1">
        <f>IF(H610="Sí",1,0)</f>
        <v/>
      </c>
      <c r="R610" s="1">
        <f>IF(L610="En coordinación",1,0)</f>
        <v/>
      </c>
      <c r="T610">
        <f>IF(N610="Sí",1,0)</f>
        <v/>
      </c>
      <c r="U610">
        <f>IF(L610="Aceptada",1,0)</f>
        <v/>
      </c>
    </row>
    <row r="611">
      <c r="A611" s="21" t="str"/>
      <c r="B611" s="23" t="str"/>
      <c r="I611" s="2" t="str"/>
      <c r="J611" s="2" t="str"/>
      <c r="K611" s="2" t="str"/>
      <c r="L611" s="1" t="str"/>
      <c r="M611" s="2" t="str"/>
      <c r="N611" s="1" t="str"/>
      <c r="O611" s="1" t="str"/>
      <c r="P611" s="1" t="str"/>
      <c r="Q611" s="1">
        <f>IF(H611="Sí",1,0)</f>
        <v/>
      </c>
      <c r="R611" s="1">
        <f>IF(L611="En coordinación",1,0)</f>
        <v/>
      </c>
      <c r="T611">
        <f>IF(N611="Sí",1,0)</f>
        <v/>
      </c>
      <c r="U611">
        <f>IF(L611="Aceptada",1,0)</f>
        <v/>
      </c>
    </row>
    <row r="612">
      <c r="A612" s="21" t="str"/>
      <c r="B612" s="23" t="str"/>
      <c r="I612" s="2" t="str"/>
      <c r="J612" s="2" t="str"/>
      <c r="K612" s="2" t="str"/>
      <c r="L612" s="1" t="str"/>
      <c r="M612" s="2" t="str"/>
      <c r="N612" s="1" t="str"/>
      <c r="O612" s="1" t="str"/>
      <c r="P612" s="1" t="str"/>
      <c r="Q612" s="1">
        <f>IF(H612="Sí",1,0)</f>
        <v/>
      </c>
      <c r="R612" s="1">
        <f>IF(L612="En coordinación",1,0)</f>
        <v/>
      </c>
      <c r="T612">
        <f>IF(N612="Sí",1,0)</f>
        <v/>
      </c>
      <c r="U612">
        <f>IF(L612="Aceptada",1,0)</f>
        <v/>
      </c>
    </row>
    <row r="613">
      <c r="A613" s="21" t="str"/>
      <c r="B613" s="23" t="str"/>
      <c r="I613" s="2" t="str"/>
      <c r="J613" s="2" t="str"/>
      <c r="K613" s="2" t="str"/>
      <c r="L613" s="1" t="str"/>
      <c r="M613" s="2" t="str"/>
      <c r="N613" s="1" t="str"/>
      <c r="O613" s="1" t="str"/>
      <c r="P613" s="1" t="str"/>
      <c r="Q613" s="1">
        <f>IF(H613="Sí",1,0)</f>
        <v/>
      </c>
      <c r="R613" s="1">
        <f>IF(L613="En coordinación",1,0)</f>
        <v/>
      </c>
      <c r="T613">
        <f>IF(N613="Sí",1,0)</f>
        <v/>
      </c>
      <c r="U613">
        <f>IF(L613="Aceptada",1,0)</f>
        <v/>
      </c>
    </row>
    <row r="614">
      <c r="A614" s="21" t="str"/>
      <c r="B614" s="23" t="str"/>
      <c r="I614" s="2" t="str"/>
      <c r="J614" s="2" t="str"/>
      <c r="K614" s="2" t="str"/>
      <c r="L614" s="1" t="str"/>
      <c r="M614" s="2" t="str"/>
      <c r="N614" s="1" t="str"/>
      <c r="O614" s="1" t="str"/>
      <c r="P614" s="1" t="str"/>
      <c r="Q614" s="1">
        <f>IF(H614="Sí",1,0)</f>
        <v/>
      </c>
      <c r="R614" s="1">
        <f>IF(L614="En coordinación",1,0)</f>
        <v/>
      </c>
      <c r="T614">
        <f>IF(N614="Sí",1,0)</f>
        <v/>
      </c>
      <c r="U614">
        <f>IF(L614="Aceptada",1,0)</f>
        <v/>
      </c>
    </row>
    <row r="615">
      <c r="A615" s="21" t="str"/>
      <c r="B615" s="23" t="str"/>
      <c r="I615" s="2" t="str"/>
      <c r="J615" s="2" t="str"/>
      <c r="K615" s="2" t="str"/>
      <c r="L615" s="1" t="str"/>
      <c r="M615" s="2" t="str"/>
      <c r="N615" s="1" t="str"/>
      <c r="O615" s="1" t="str"/>
      <c r="P615" s="1" t="str"/>
      <c r="Q615" s="1">
        <f>IF(H615="Sí",1,0)</f>
        <v/>
      </c>
      <c r="R615" s="1">
        <f>IF(L615="En coordinación",1,0)</f>
        <v/>
      </c>
      <c r="T615">
        <f>IF(N615="Sí",1,0)</f>
        <v/>
      </c>
      <c r="U615">
        <f>IF(L615="Aceptada",1,0)</f>
        <v/>
      </c>
    </row>
    <row r="616">
      <c r="A616" s="21" t="str"/>
      <c r="B616" s="23" t="str"/>
      <c r="I616" s="2" t="str"/>
      <c r="J616" s="2" t="str"/>
      <c r="K616" s="2" t="str"/>
      <c r="L616" s="1" t="str"/>
      <c r="M616" s="2" t="str"/>
      <c r="N616" s="1" t="str"/>
      <c r="O616" s="1" t="str"/>
      <c r="P616" s="1" t="str"/>
      <c r="Q616" s="1">
        <f>IF(H616="Sí",1,0)</f>
        <v/>
      </c>
      <c r="R616" s="1">
        <f>IF(L616="En coordinación",1,0)</f>
        <v/>
      </c>
      <c r="T616">
        <f>IF(N616="Sí",1,0)</f>
        <v/>
      </c>
      <c r="U616">
        <f>IF(L616="Aceptada",1,0)</f>
        <v/>
      </c>
    </row>
    <row r="617">
      <c r="A617" s="21" t="str"/>
      <c r="B617" s="23" t="str"/>
      <c r="I617" s="2" t="str"/>
      <c r="J617" s="2" t="str"/>
      <c r="K617" s="2" t="str"/>
      <c r="L617" s="1" t="str"/>
      <c r="M617" s="2" t="str"/>
      <c r="N617" s="1" t="str"/>
      <c r="O617" s="1" t="str"/>
      <c r="P617" s="1" t="str"/>
      <c r="Q617" s="1">
        <f>IF(H617="Sí",1,0)</f>
        <v/>
      </c>
      <c r="R617" s="1">
        <f>IF(L617="En coordinación",1,0)</f>
        <v/>
      </c>
      <c r="T617">
        <f>IF(N617="Sí",1,0)</f>
        <v/>
      </c>
      <c r="U617">
        <f>IF(L617="Aceptada",1,0)</f>
        <v/>
      </c>
    </row>
    <row r="618">
      <c r="A618" s="21" t="str"/>
      <c r="B618" s="23" t="str"/>
      <c r="I618" s="2" t="str"/>
      <c r="J618" s="2" t="str"/>
      <c r="K618" s="2" t="str"/>
      <c r="L618" s="1" t="str"/>
      <c r="M618" s="2" t="str"/>
      <c r="N618" s="1" t="str"/>
      <c r="O618" s="1" t="str"/>
      <c r="P618" s="1" t="str"/>
      <c r="Q618" s="1">
        <f>IF(H618="Sí",1,0)</f>
        <v/>
      </c>
      <c r="R618" s="1">
        <f>IF(L618="En coordinación",1,0)</f>
        <v/>
      </c>
      <c r="T618">
        <f>IF(N618="Sí",1,0)</f>
        <v/>
      </c>
      <c r="U618">
        <f>IF(L618="Aceptada",1,0)</f>
        <v/>
      </c>
    </row>
    <row r="619">
      <c r="A619" s="21" t="str"/>
      <c r="B619" s="23" t="str"/>
      <c r="I619" s="2" t="str"/>
      <c r="J619" s="2" t="str"/>
      <c r="K619" s="2" t="str"/>
      <c r="L619" s="1" t="str"/>
      <c r="M619" s="2" t="str"/>
      <c r="N619" s="1" t="str"/>
      <c r="O619" s="1" t="str"/>
      <c r="P619" s="1" t="str"/>
      <c r="Q619" s="1">
        <f>IF(H619="Sí",1,0)</f>
        <v/>
      </c>
      <c r="R619" s="1">
        <f>IF(L619="En coordinación",1,0)</f>
        <v/>
      </c>
      <c r="T619">
        <f>IF(N619="Sí",1,0)</f>
        <v/>
      </c>
      <c r="U619">
        <f>IF(L619="Aceptada",1,0)</f>
        <v/>
      </c>
    </row>
    <row r="620">
      <c r="A620" s="21" t="str"/>
      <c r="B620" s="23" t="str"/>
      <c r="I620" s="2" t="str"/>
      <c r="J620" s="2" t="str"/>
      <c r="K620" s="2" t="str"/>
      <c r="L620" s="1" t="str"/>
      <c r="M620" s="2" t="str"/>
      <c r="N620" s="1" t="str"/>
      <c r="O620" s="1" t="str"/>
      <c r="P620" s="1" t="str"/>
      <c r="Q620" s="1">
        <f>IF(H620="Sí",1,0)</f>
        <v/>
      </c>
      <c r="R620" s="1">
        <f>IF(L620="En coordinación",1,0)</f>
        <v/>
      </c>
      <c r="T620">
        <f>IF(N620="Sí",1,0)</f>
        <v/>
      </c>
      <c r="U620">
        <f>IF(L620="Aceptada",1,0)</f>
        <v/>
      </c>
    </row>
    <row r="621">
      <c r="A621" s="21" t="str"/>
      <c r="B621" s="23" t="str"/>
      <c r="I621" s="2" t="str"/>
      <c r="J621" s="2" t="str"/>
      <c r="K621" s="2" t="str"/>
      <c r="L621" s="1" t="str"/>
      <c r="M621" s="2" t="str"/>
      <c r="N621" s="1" t="str"/>
      <c r="O621" s="1" t="str"/>
      <c r="P621" s="1" t="str"/>
      <c r="Q621" s="1">
        <f>IF(H621="Sí",1,0)</f>
        <v/>
      </c>
      <c r="R621" s="1">
        <f>IF(L621="En coordinación",1,0)</f>
        <v/>
      </c>
      <c r="T621">
        <f>IF(N621="Sí",1,0)</f>
        <v/>
      </c>
      <c r="U621">
        <f>IF(L621="Aceptada",1,0)</f>
        <v/>
      </c>
    </row>
    <row r="622">
      <c r="A622" s="21" t="str"/>
      <c r="B622" s="23" t="str"/>
      <c r="I622" s="2" t="str"/>
      <c r="J622" s="2" t="str"/>
      <c r="K622" s="2" t="str"/>
      <c r="L622" s="1" t="str"/>
      <c r="M622" s="2" t="str"/>
      <c r="N622" s="1" t="str"/>
      <c r="O622" s="1" t="str"/>
      <c r="P622" s="1" t="str"/>
      <c r="Q622" s="1">
        <f>IF(H622="Sí",1,0)</f>
        <v/>
      </c>
      <c r="R622" s="1">
        <f>IF(L622="En coordinación",1,0)</f>
        <v/>
      </c>
      <c r="T622">
        <f>IF(N622="Sí",1,0)</f>
        <v/>
      </c>
      <c r="U622">
        <f>IF(L622="Aceptada",1,0)</f>
        <v/>
      </c>
    </row>
    <row r="623">
      <c r="A623" s="21" t="str"/>
      <c r="B623" s="23" t="str"/>
      <c r="I623" s="2" t="str"/>
      <c r="J623" s="2" t="str"/>
      <c r="K623" s="2" t="str"/>
      <c r="L623" s="1" t="str"/>
      <c r="M623" s="2" t="str"/>
      <c r="N623" s="1" t="str"/>
      <c r="O623" s="1" t="str"/>
      <c r="P623" s="1" t="str"/>
      <c r="Q623" s="1">
        <f>IF(H623="Sí",1,0)</f>
        <v/>
      </c>
      <c r="R623" s="1">
        <f>IF(L623="En coordinación",1,0)</f>
        <v/>
      </c>
      <c r="T623">
        <f>IF(N623="Sí",1,0)</f>
        <v/>
      </c>
      <c r="U623">
        <f>IF(L623="Aceptada",1,0)</f>
        <v/>
      </c>
    </row>
    <row r="624">
      <c r="A624" s="21" t="str"/>
      <c r="B624" s="23" t="str"/>
      <c r="I624" s="2" t="str"/>
      <c r="J624" s="2" t="str"/>
      <c r="K624" s="2" t="str"/>
      <c r="L624" s="1" t="str"/>
      <c r="M624" s="2" t="str"/>
      <c r="N624" s="1" t="str"/>
      <c r="O624" s="1" t="str"/>
      <c r="P624" s="1" t="str"/>
      <c r="Q624" s="1">
        <f>IF(H624="Sí",1,0)</f>
        <v/>
      </c>
      <c r="R624" s="1">
        <f>IF(L624="En coordinación",1,0)</f>
        <v/>
      </c>
      <c r="T624">
        <f>IF(N624="Sí",1,0)</f>
        <v/>
      </c>
      <c r="U624">
        <f>IF(L624="Aceptada",1,0)</f>
        <v/>
      </c>
    </row>
    <row r="625">
      <c r="A625" s="21" t="str"/>
      <c r="B625" s="23" t="str"/>
      <c r="I625" s="2" t="str"/>
      <c r="J625" s="2" t="str"/>
      <c r="K625" s="2" t="str"/>
      <c r="L625" s="1" t="str"/>
      <c r="M625" s="2" t="str"/>
      <c r="N625" s="1" t="str"/>
      <c r="O625" s="1" t="str"/>
      <c r="P625" s="1" t="str"/>
      <c r="Q625" s="1">
        <f>IF(H625="Sí",1,0)</f>
        <v/>
      </c>
      <c r="R625" s="1">
        <f>IF(L625="En coordinación",1,0)</f>
        <v/>
      </c>
      <c r="T625">
        <f>IF(N625="Sí",1,0)</f>
        <v/>
      </c>
      <c r="U625">
        <f>IF(L625="Aceptada",1,0)</f>
        <v/>
      </c>
    </row>
    <row r="626">
      <c r="A626" s="21" t="str"/>
      <c r="B626" s="23" t="str"/>
      <c r="I626" s="2" t="str"/>
      <c r="J626" s="2" t="str"/>
      <c r="K626" s="2" t="str"/>
      <c r="L626" s="1" t="str"/>
      <c r="M626" s="2" t="str"/>
      <c r="N626" s="1" t="str"/>
      <c r="O626" s="1" t="str"/>
      <c r="P626" s="1" t="str"/>
      <c r="Q626" s="1">
        <f>IF(H626="Sí",1,0)</f>
        <v/>
      </c>
      <c r="R626" s="1">
        <f>IF(L626="En coordinación",1,0)</f>
        <v/>
      </c>
      <c r="T626">
        <f>IF(N626="Sí",1,0)</f>
        <v/>
      </c>
      <c r="U626">
        <f>IF(L626="Aceptada",1,0)</f>
        <v/>
      </c>
    </row>
    <row r="627">
      <c r="A627" s="21" t="str"/>
      <c r="B627" s="23" t="str"/>
      <c r="I627" s="2" t="str"/>
      <c r="J627" s="2" t="str"/>
      <c r="K627" s="2" t="str"/>
      <c r="L627" s="1" t="str"/>
      <c r="M627" s="2" t="str"/>
      <c r="N627" s="1" t="str"/>
      <c r="O627" s="1" t="str"/>
      <c r="P627" s="1" t="str"/>
      <c r="Q627" s="1">
        <f>IF(H627="Sí",1,0)</f>
        <v/>
      </c>
      <c r="R627" s="1">
        <f>IF(L627="En coordinación",1,0)</f>
        <v/>
      </c>
      <c r="T627">
        <f>IF(N627="Sí",1,0)</f>
        <v/>
      </c>
      <c r="U627">
        <f>IF(L627="Aceptada",1,0)</f>
        <v/>
      </c>
    </row>
    <row r="628">
      <c r="A628" s="21" t="str"/>
      <c r="B628" s="23" t="str"/>
      <c r="I628" s="2" t="str"/>
      <c r="J628" s="2" t="str"/>
      <c r="K628" s="2" t="str"/>
      <c r="L628" s="1" t="str"/>
      <c r="M628" s="2" t="str"/>
      <c r="N628" s="1" t="str"/>
      <c r="O628" s="1" t="str"/>
      <c r="P628" s="1" t="str"/>
      <c r="Q628" s="1">
        <f>IF(H628="Sí",1,0)</f>
        <v/>
      </c>
      <c r="R628" s="1">
        <f>IF(L628="En coordinación",1,0)</f>
        <v/>
      </c>
      <c r="T628">
        <f>IF(N628="Sí",1,0)</f>
        <v/>
      </c>
      <c r="U628">
        <f>IF(L628="Aceptada",1,0)</f>
        <v/>
      </c>
    </row>
    <row r="629">
      <c r="A629" s="21" t="str"/>
      <c r="B629" s="23" t="str"/>
      <c r="I629" s="2" t="str"/>
      <c r="J629" s="2" t="str"/>
      <c r="K629" s="2" t="str"/>
      <c r="L629" s="1" t="str"/>
      <c r="M629" s="2" t="str"/>
      <c r="N629" s="1" t="str"/>
      <c r="O629" s="1" t="str"/>
      <c r="P629" s="1" t="str"/>
      <c r="Q629" s="1">
        <f>IF(H629="Sí",1,0)</f>
        <v/>
      </c>
      <c r="R629" s="1">
        <f>IF(L629="En coordinación",1,0)</f>
        <v/>
      </c>
      <c r="T629">
        <f>IF(N629="Sí",1,0)</f>
        <v/>
      </c>
      <c r="U629">
        <f>IF(L629="Aceptada",1,0)</f>
        <v/>
      </c>
    </row>
    <row r="630">
      <c r="A630" s="21" t="str"/>
      <c r="B630" s="23" t="str"/>
      <c r="I630" s="2" t="str"/>
      <c r="J630" s="2" t="str"/>
      <c r="K630" s="2" t="str"/>
      <c r="L630" s="1" t="str"/>
      <c r="M630" s="2" t="str"/>
      <c r="N630" s="1" t="str"/>
      <c r="O630" s="1" t="str"/>
      <c r="P630" s="1" t="str"/>
      <c r="Q630" s="1">
        <f>IF(H630="Sí",1,0)</f>
        <v/>
      </c>
      <c r="R630" s="1">
        <f>IF(L630="En coordinación",1,0)</f>
        <v/>
      </c>
      <c r="T630">
        <f>IF(N630="Sí",1,0)</f>
        <v/>
      </c>
      <c r="U630">
        <f>IF(L630="Aceptada",1,0)</f>
        <v/>
      </c>
    </row>
    <row r="631">
      <c r="A631" s="21" t="str"/>
      <c r="B631" s="23" t="str"/>
      <c r="I631" s="2" t="str"/>
      <c r="J631" s="2" t="str"/>
      <c r="K631" s="2" t="str"/>
      <c r="L631" s="1" t="str"/>
      <c r="M631" s="2" t="str"/>
      <c r="N631" s="1" t="str"/>
      <c r="O631" s="1" t="str"/>
      <c r="P631" s="1" t="str"/>
      <c r="Q631" s="1">
        <f>IF(H631="Sí",1,0)</f>
        <v/>
      </c>
      <c r="R631" s="1">
        <f>IF(L631="En coordinación",1,0)</f>
        <v/>
      </c>
      <c r="T631">
        <f>IF(N631="Sí",1,0)</f>
        <v/>
      </c>
      <c r="U631">
        <f>IF(L631="Aceptada",1,0)</f>
        <v/>
      </c>
    </row>
    <row r="632">
      <c r="A632" s="21" t="str"/>
      <c r="B632" s="23" t="str"/>
      <c r="I632" s="2" t="str"/>
      <c r="J632" s="2" t="str"/>
      <c r="K632" s="2" t="str"/>
      <c r="L632" s="1" t="str"/>
      <c r="M632" s="2" t="str"/>
      <c r="N632" s="1" t="str"/>
      <c r="O632" s="1" t="str"/>
      <c r="P632" s="1" t="str"/>
      <c r="Q632" s="1">
        <f>IF(H632="Sí",1,0)</f>
        <v/>
      </c>
      <c r="R632" s="1">
        <f>IF(L632="En coordinación",1,0)</f>
        <v/>
      </c>
      <c r="T632">
        <f>IF(N632="Sí",1,0)</f>
        <v/>
      </c>
      <c r="U632">
        <f>IF(L632="Aceptada",1,0)</f>
        <v/>
      </c>
    </row>
    <row r="633">
      <c r="A633" s="21" t="str"/>
      <c r="B633" s="23" t="str"/>
      <c r="I633" s="2" t="str"/>
      <c r="J633" s="2" t="str"/>
      <c r="K633" s="2" t="str"/>
      <c r="L633" s="1" t="str"/>
      <c r="M633" s="2" t="str"/>
      <c r="N633" s="1" t="str"/>
      <c r="O633" s="1" t="str"/>
      <c r="P633" s="1" t="str"/>
      <c r="Q633" s="1">
        <f>IF(H633="Sí",1,0)</f>
        <v/>
      </c>
      <c r="R633" s="1">
        <f>IF(L633="En coordinación",1,0)</f>
        <v/>
      </c>
      <c r="T633">
        <f>IF(N633="Sí",1,0)</f>
        <v/>
      </c>
      <c r="U633">
        <f>IF(L633="Aceptada",1,0)</f>
        <v/>
      </c>
    </row>
    <row r="634">
      <c r="A634" s="21" t="str"/>
      <c r="B634" s="23" t="str"/>
      <c r="I634" s="2" t="str"/>
      <c r="J634" s="2" t="str"/>
      <c r="K634" s="2" t="str"/>
      <c r="L634" s="1" t="str"/>
      <c r="M634" s="2" t="str"/>
      <c r="N634" s="1" t="str"/>
      <c r="O634" s="1" t="str"/>
      <c r="P634" s="1" t="str"/>
      <c r="Q634" s="1">
        <f>IF(H634="Sí",1,0)</f>
        <v/>
      </c>
      <c r="R634" s="1">
        <f>IF(L634="En coordinación",1,0)</f>
        <v/>
      </c>
      <c r="T634">
        <f>IF(N634="Sí",1,0)</f>
        <v/>
      </c>
      <c r="U634">
        <f>IF(L634="Aceptada",1,0)</f>
        <v/>
      </c>
    </row>
    <row r="635">
      <c r="A635" s="21" t="str"/>
      <c r="B635" s="23" t="str"/>
      <c r="I635" s="2" t="str"/>
      <c r="J635" s="2" t="str"/>
      <c r="K635" s="2" t="str"/>
      <c r="L635" s="1" t="str"/>
      <c r="M635" s="2" t="str"/>
      <c r="N635" s="1" t="str"/>
      <c r="O635" s="1" t="str"/>
      <c r="P635" s="1" t="str"/>
      <c r="Q635" s="1">
        <f>IF(H635="Sí",1,0)</f>
        <v/>
      </c>
      <c r="R635" s="1">
        <f>IF(L635="En coordinación",1,0)</f>
        <v/>
      </c>
      <c r="T635">
        <f>IF(N635="Sí",1,0)</f>
        <v/>
      </c>
      <c r="U635">
        <f>IF(L635="Aceptada",1,0)</f>
        <v/>
      </c>
    </row>
    <row r="636">
      <c r="A636" s="21" t="str"/>
      <c r="B636" s="23" t="str"/>
      <c r="I636" s="2" t="str"/>
      <c r="J636" s="2" t="str"/>
      <c r="K636" s="2" t="str"/>
      <c r="L636" s="1" t="str"/>
      <c r="M636" s="2" t="str"/>
      <c r="N636" s="1" t="str"/>
      <c r="O636" s="1" t="str"/>
      <c r="P636" s="1" t="str"/>
      <c r="Q636" s="1">
        <f>IF(H636="Sí",1,0)</f>
        <v/>
      </c>
      <c r="R636" s="1">
        <f>IF(L636="En coordinación",1,0)</f>
        <v/>
      </c>
      <c r="T636">
        <f>IF(N636="Sí",1,0)</f>
        <v/>
      </c>
      <c r="U636">
        <f>IF(L636="Aceptada",1,0)</f>
        <v/>
      </c>
    </row>
    <row r="637">
      <c r="A637" s="21" t="str"/>
      <c r="B637" s="23" t="str"/>
      <c r="I637" s="2" t="str"/>
      <c r="J637" s="2" t="str"/>
      <c r="K637" s="2" t="str"/>
      <c r="L637" s="1" t="str"/>
      <c r="M637" s="2" t="str"/>
      <c r="N637" s="1" t="str"/>
      <c r="O637" s="1" t="str"/>
      <c r="P637" s="1" t="str"/>
      <c r="Q637" s="1">
        <f>IF(H637="Sí",1,0)</f>
        <v/>
      </c>
      <c r="R637" s="1">
        <f>IF(L637="En coordinación",1,0)</f>
        <v/>
      </c>
      <c r="T637">
        <f>IF(N637="Sí",1,0)</f>
        <v/>
      </c>
      <c r="U637">
        <f>IF(L637="Aceptada",1,0)</f>
        <v/>
      </c>
    </row>
    <row r="638">
      <c r="A638" s="21" t="str"/>
      <c r="B638" s="23" t="str"/>
      <c r="I638" s="2" t="str"/>
      <c r="J638" s="2" t="str"/>
      <c r="K638" s="2" t="str"/>
      <c r="L638" s="1" t="str"/>
      <c r="M638" s="2" t="str"/>
      <c r="N638" s="1" t="str"/>
      <c r="O638" s="1" t="str"/>
      <c r="P638" s="1" t="str"/>
      <c r="Q638" s="1">
        <f>IF(H638="Sí",1,0)</f>
        <v/>
      </c>
      <c r="R638" s="1">
        <f>IF(L638="En coordinación",1,0)</f>
        <v/>
      </c>
      <c r="T638">
        <f>IF(N638="Sí",1,0)</f>
        <v/>
      </c>
      <c r="U638">
        <f>IF(L638="Aceptada",1,0)</f>
        <v/>
      </c>
    </row>
    <row r="639">
      <c r="A639" s="21" t="str"/>
      <c r="B639" s="23" t="str"/>
      <c r="I639" s="2" t="str"/>
      <c r="J639" s="2" t="str"/>
      <c r="K639" s="2" t="str"/>
      <c r="L639" s="1" t="str"/>
      <c r="M639" s="2" t="str"/>
      <c r="N639" s="1" t="str"/>
      <c r="O639" s="1" t="str"/>
      <c r="P639" s="1" t="str"/>
      <c r="Q639" s="1">
        <f>IF(H639="Sí",1,0)</f>
        <v/>
      </c>
      <c r="R639" s="1">
        <f>IF(L639="En coordinación",1,0)</f>
        <v/>
      </c>
      <c r="T639">
        <f>IF(N639="Sí",1,0)</f>
        <v/>
      </c>
      <c r="U639">
        <f>IF(L639="Aceptada",1,0)</f>
        <v/>
      </c>
    </row>
    <row r="640">
      <c r="A640" s="21" t="str"/>
      <c r="B640" s="23" t="str"/>
      <c r="I640" s="2" t="str"/>
      <c r="J640" s="2" t="str"/>
      <c r="K640" s="2" t="str"/>
      <c r="L640" s="1" t="str"/>
      <c r="M640" s="2" t="str"/>
      <c r="N640" s="1" t="str"/>
      <c r="O640" s="1" t="str"/>
      <c r="P640" s="1" t="str"/>
      <c r="Q640" s="1">
        <f>IF(H640="Sí",1,0)</f>
        <v/>
      </c>
      <c r="R640" s="1">
        <f>IF(L640="En coordinación",1,0)</f>
        <v/>
      </c>
      <c r="T640">
        <f>IF(N640="Sí",1,0)</f>
        <v/>
      </c>
      <c r="U640">
        <f>IF(L640="Aceptada",1,0)</f>
        <v/>
      </c>
    </row>
    <row r="641">
      <c r="A641" s="21" t="str"/>
      <c r="B641" s="23" t="str"/>
      <c r="I641" s="2" t="str"/>
      <c r="J641" s="2" t="str"/>
      <c r="K641" s="2" t="str"/>
      <c r="L641" s="1" t="str"/>
      <c r="M641" s="2" t="str"/>
      <c r="N641" s="1" t="str"/>
      <c r="O641" s="1" t="str"/>
      <c r="P641" s="1" t="str"/>
      <c r="Q641" s="1">
        <f>IF(H641="Sí",1,0)</f>
        <v/>
      </c>
      <c r="R641" s="1">
        <f>IF(L641="En coordinación",1,0)</f>
        <v/>
      </c>
      <c r="T641">
        <f>IF(N641="Sí",1,0)</f>
        <v/>
      </c>
      <c r="U641">
        <f>IF(L641="Aceptada",1,0)</f>
        <v/>
      </c>
    </row>
    <row r="642">
      <c r="A642" s="21" t="str"/>
      <c r="B642" s="23" t="str"/>
      <c r="I642" s="2" t="str"/>
      <c r="J642" s="2" t="str"/>
      <c r="K642" s="2" t="str"/>
      <c r="L642" s="1" t="str"/>
      <c r="M642" s="2" t="str"/>
      <c r="N642" s="1" t="str"/>
      <c r="O642" s="1" t="str"/>
      <c r="P642" s="1" t="str"/>
      <c r="Q642" s="1">
        <f>IF(H642="Sí",1,0)</f>
        <v/>
      </c>
      <c r="R642" s="1">
        <f>IF(L642="En coordinación",1,0)</f>
        <v/>
      </c>
      <c r="T642">
        <f>IF(N642="Sí",1,0)</f>
        <v/>
      </c>
      <c r="U642">
        <f>IF(L642="Aceptada",1,0)</f>
        <v/>
      </c>
    </row>
    <row r="643">
      <c r="A643" s="21" t="str"/>
      <c r="B643" s="23" t="str"/>
      <c r="I643" s="2" t="str"/>
      <c r="J643" s="2" t="str"/>
      <c r="K643" s="2" t="str"/>
      <c r="L643" s="1" t="str"/>
      <c r="M643" s="2" t="str"/>
      <c r="N643" s="1" t="str"/>
      <c r="O643" s="1" t="str"/>
      <c r="P643" s="1" t="str"/>
      <c r="Q643" s="1">
        <f>IF(H643="Sí",1,0)</f>
        <v/>
      </c>
      <c r="R643" s="1">
        <f>IF(L643="En coordinación",1,0)</f>
        <v/>
      </c>
      <c r="T643">
        <f>IF(N643="Sí",1,0)</f>
        <v/>
      </c>
      <c r="U643">
        <f>IF(L643="Aceptada",1,0)</f>
        <v/>
      </c>
    </row>
    <row r="644">
      <c r="A644" s="21" t="str"/>
      <c r="B644" s="23" t="str"/>
      <c r="I644" s="2" t="str"/>
      <c r="J644" s="2" t="str"/>
      <c r="K644" s="2" t="str"/>
      <c r="L644" s="1" t="str"/>
      <c r="M644" s="2" t="str"/>
      <c r="N644" s="1" t="str"/>
      <c r="O644" s="1" t="str"/>
      <c r="P644" s="1" t="str"/>
      <c r="Q644" s="1">
        <f>IF(H644="Sí",1,0)</f>
        <v/>
      </c>
      <c r="R644" s="1">
        <f>IF(L644="En coordinación",1,0)</f>
        <v/>
      </c>
      <c r="T644">
        <f>IF(N644="Sí",1,0)</f>
        <v/>
      </c>
      <c r="U644">
        <f>IF(L644="Aceptada",1,0)</f>
        <v/>
      </c>
    </row>
    <row r="645">
      <c r="A645" s="21" t="str"/>
      <c r="B645" s="23" t="str"/>
      <c r="I645" s="2" t="str"/>
      <c r="J645" s="2" t="str"/>
      <c r="K645" s="2" t="str"/>
      <c r="L645" s="1" t="str"/>
      <c r="M645" s="2" t="str"/>
      <c r="N645" s="1" t="str"/>
      <c r="O645" s="1" t="str"/>
      <c r="P645" s="1" t="str"/>
      <c r="Q645" s="1">
        <f>IF(H645="Sí",1,0)</f>
        <v/>
      </c>
      <c r="R645" s="1">
        <f>IF(L645="En coordinación",1,0)</f>
        <v/>
      </c>
      <c r="T645">
        <f>IF(N645="Sí",1,0)</f>
        <v/>
      </c>
      <c r="U645">
        <f>IF(L645="Aceptada",1,0)</f>
        <v/>
      </c>
    </row>
    <row r="646">
      <c r="A646" s="21" t="str"/>
      <c r="B646" s="23" t="str"/>
      <c r="I646" s="2" t="str"/>
      <c r="J646" s="2" t="str"/>
      <c r="K646" s="2" t="str"/>
      <c r="L646" s="1" t="str"/>
      <c r="M646" s="2" t="str"/>
      <c r="N646" s="1" t="str"/>
      <c r="O646" s="1" t="str"/>
      <c r="P646" s="1" t="str"/>
      <c r="Q646" s="1">
        <f>IF(H646="Sí",1,0)</f>
        <v/>
      </c>
      <c r="R646" s="1">
        <f>IF(L646="En coordinación",1,0)</f>
        <v/>
      </c>
      <c r="T646">
        <f>IF(N646="Sí",1,0)</f>
        <v/>
      </c>
      <c r="U646">
        <f>IF(L646="Aceptada",1,0)</f>
        <v/>
      </c>
    </row>
    <row r="647">
      <c r="A647" s="21" t="str"/>
      <c r="B647" s="23" t="str"/>
      <c r="I647" s="2" t="str"/>
      <c r="J647" s="2" t="str"/>
      <c r="K647" s="2" t="str"/>
      <c r="L647" s="1" t="str"/>
      <c r="M647" s="2" t="str"/>
      <c r="N647" s="1" t="str"/>
      <c r="O647" s="1" t="str"/>
      <c r="P647" s="1" t="str"/>
      <c r="Q647" s="1">
        <f>IF(H647="Sí",1,0)</f>
        <v/>
      </c>
      <c r="R647" s="1">
        <f>IF(L647="En coordinación",1,0)</f>
        <v/>
      </c>
      <c r="T647">
        <f>IF(N647="Sí",1,0)</f>
        <v/>
      </c>
      <c r="U647">
        <f>IF(L647="Aceptada",1,0)</f>
        <v/>
      </c>
    </row>
    <row r="648">
      <c r="A648" s="21" t="str"/>
      <c r="B648" s="23" t="str"/>
      <c r="I648" s="2" t="str"/>
      <c r="J648" s="2" t="str"/>
      <c r="K648" s="2" t="str"/>
      <c r="L648" s="1" t="str"/>
      <c r="M648" s="2" t="str"/>
      <c r="N648" s="1" t="str"/>
      <c r="O648" s="1" t="str"/>
      <c r="P648" s="1" t="str"/>
      <c r="Q648" s="1">
        <f>IF(H648="Sí",1,0)</f>
        <v/>
      </c>
      <c r="R648" s="1">
        <f>IF(L648="En coordinación",1,0)</f>
        <v/>
      </c>
      <c r="T648">
        <f>IF(N648="Sí",1,0)</f>
        <v/>
      </c>
      <c r="U648">
        <f>IF(L648="Aceptada",1,0)</f>
        <v/>
      </c>
    </row>
    <row r="649">
      <c r="A649" s="21" t="str"/>
      <c r="B649" s="23" t="str"/>
      <c r="I649" s="2" t="str"/>
      <c r="J649" s="2" t="str"/>
      <c r="K649" s="2" t="str"/>
      <c r="L649" s="1" t="str"/>
      <c r="M649" s="2" t="str"/>
      <c r="N649" s="1" t="str"/>
      <c r="O649" s="1" t="str"/>
      <c r="P649" s="1" t="str"/>
      <c r="Q649" s="1">
        <f>IF(H649="Sí",1,0)</f>
        <v/>
      </c>
      <c r="R649" s="1">
        <f>IF(L649="En coordinación",1,0)</f>
        <v/>
      </c>
      <c r="T649">
        <f>IF(N649="Sí",1,0)</f>
        <v/>
      </c>
      <c r="U649">
        <f>IF(L649="Aceptada",1,0)</f>
        <v/>
      </c>
    </row>
    <row r="650">
      <c r="A650" s="21" t="str"/>
      <c r="B650" s="23" t="str"/>
      <c r="I650" s="2" t="str"/>
      <c r="J650" s="2" t="str"/>
      <c r="K650" s="2" t="str"/>
      <c r="L650" s="1" t="str"/>
      <c r="M650" s="2" t="str"/>
      <c r="N650" s="1" t="str"/>
      <c r="O650" s="1" t="str"/>
      <c r="P650" s="1" t="str"/>
      <c r="Q650" s="1">
        <f>IF(H650="Sí",1,0)</f>
        <v/>
      </c>
      <c r="R650" s="1">
        <f>IF(L650="En coordinación",1,0)</f>
        <v/>
      </c>
      <c r="T650">
        <f>IF(N650="Sí",1,0)</f>
        <v/>
      </c>
      <c r="U650">
        <f>IF(L650="Aceptada",1,0)</f>
        <v/>
      </c>
    </row>
    <row r="651">
      <c r="A651" s="21" t="str"/>
      <c r="B651" s="23" t="str"/>
      <c r="I651" s="2" t="str"/>
      <c r="J651" s="2" t="str"/>
      <c r="K651" s="2" t="str"/>
      <c r="L651" s="1" t="str"/>
      <c r="M651" s="2" t="str"/>
      <c r="N651" s="1" t="str"/>
      <c r="O651" s="1" t="str"/>
      <c r="P651" s="1" t="str"/>
      <c r="Q651" s="1">
        <f>IF(H651="Sí",1,0)</f>
        <v/>
      </c>
      <c r="R651" s="1">
        <f>IF(L651="En coordinación",1,0)</f>
        <v/>
      </c>
      <c r="T651">
        <f>IF(N651="Sí",1,0)</f>
        <v/>
      </c>
      <c r="U651">
        <f>IF(L651="Aceptada",1,0)</f>
        <v/>
      </c>
    </row>
    <row r="652">
      <c r="A652" s="21" t="str"/>
      <c r="B652" s="23" t="str"/>
      <c r="I652" s="2" t="str"/>
      <c r="J652" s="2" t="str"/>
      <c r="K652" s="2" t="str"/>
      <c r="L652" s="1" t="str"/>
      <c r="M652" s="2" t="str"/>
      <c r="N652" s="1" t="str"/>
      <c r="O652" s="1" t="str"/>
      <c r="P652" s="1" t="str"/>
      <c r="Q652" s="1">
        <f>IF(H652="Sí",1,0)</f>
        <v/>
      </c>
      <c r="R652" s="1">
        <f>IF(L652="En coordinación",1,0)</f>
        <v/>
      </c>
      <c r="T652">
        <f>IF(N652="Sí",1,0)</f>
        <v/>
      </c>
      <c r="U652">
        <f>IF(L652="Aceptada",1,0)</f>
        <v/>
      </c>
    </row>
    <row r="653">
      <c r="A653" s="21" t="str"/>
      <c r="B653" s="23" t="str"/>
      <c r="I653" s="2" t="str"/>
      <c r="J653" s="2" t="str"/>
      <c r="K653" s="2" t="str"/>
      <c r="L653" s="1" t="str"/>
      <c r="M653" s="2" t="str"/>
      <c r="N653" s="1" t="str"/>
      <c r="O653" s="1" t="str"/>
      <c r="P653" s="1" t="str"/>
      <c r="Q653" s="1">
        <f>IF(H653="Sí",1,0)</f>
        <v/>
      </c>
      <c r="R653" s="1">
        <f>IF(L653="En coordinación",1,0)</f>
        <v/>
      </c>
      <c r="T653">
        <f>IF(N653="Sí",1,0)</f>
        <v/>
      </c>
      <c r="U653">
        <f>IF(L653="Aceptada",1,0)</f>
        <v/>
      </c>
    </row>
    <row r="654">
      <c r="A654" s="21" t="str"/>
      <c r="B654" s="23" t="str"/>
      <c r="I654" s="2" t="str"/>
      <c r="J654" s="2" t="str"/>
      <c r="K654" s="2" t="str"/>
      <c r="L654" s="1" t="str"/>
      <c r="M654" s="2" t="str"/>
      <c r="N654" s="1" t="str"/>
      <c r="O654" s="1" t="str"/>
      <c r="P654" s="1" t="str"/>
      <c r="Q654" s="1">
        <f>IF(H654="Sí",1,0)</f>
        <v/>
      </c>
      <c r="R654" s="1">
        <f>IF(L654="En coordinación",1,0)</f>
        <v/>
      </c>
      <c r="T654">
        <f>IF(N654="Sí",1,0)</f>
        <v/>
      </c>
      <c r="U654">
        <f>IF(L654="Aceptada",1,0)</f>
        <v/>
      </c>
    </row>
    <row r="655">
      <c r="A655" s="21" t="str"/>
      <c r="B655" s="23" t="str"/>
      <c r="I655" s="2" t="str"/>
      <c r="J655" s="2" t="str"/>
      <c r="K655" s="2" t="str"/>
      <c r="L655" s="1" t="str"/>
      <c r="M655" s="2" t="str"/>
      <c r="N655" s="1" t="str"/>
      <c r="O655" s="1" t="str"/>
      <c r="P655" s="1" t="str"/>
      <c r="Q655" s="1">
        <f>IF(H655="Sí",1,0)</f>
        <v/>
      </c>
      <c r="R655" s="1">
        <f>IF(L655="En coordinación",1,0)</f>
        <v/>
      </c>
      <c r="T655">
        <f>IF(N655="Sí",1,0)</f>
        <v/>
      </c>
      <c r="U655">
        <f>IF(L655="Aceptada",1,0)</f>
        <v/>
      </c>
    </row>
    <row r="656">
      <c r="A656" s="21" t="str"/>
      <c r="B656" s="23" t="str"/>
      <c r="I656" s="2" t="str"/>
      <c r="J656" s="2" t="str"/>
      <c r="K656" s="2" t="str"/>
      <c r="L656" s="1" t="str"/>
      <c r="M656" s="2" t="str"/>
      <c r="N656" s="1" t="str"/>
      <c r="O656" s="1" t="str"/>
      <c r="P656" s="1" t="str"/>
      <c r="Q656" s="1">
        <f>IF(H656="Sí",1,0)</f>
        <v/>
      </c>
      <c r="R656" s="1">
        <f>IF(L656="En coordinación",1,0)</f>
        <v/>
      </c>
      <c r="T656">
        <f>IF(N656="Sí",1,0)</f>
        <v/>
      </c>
      <c r="U656">
        <f>IF(L656="Aceptada",1,0)</f>
        <v/>
      </c>
    </row>
    <row r="657">
      <c r="A657" s="21" t="str"/>
      <c r="B657" s="23" t="str"/>
      <c r="I657" s="2" t="str"/>
      <c r="J657" s="2" t="str"/>
      <c r="K657" s="2" t="str"/>
      <c r="L657" s="1" t="str"/>
      <c r="M657" s="2" t="str"/>
      <c r="N657" s="1" t="str"/>
      <c r="O657" s="1" t="str"/>
      <c r="P657" s="1" t="str"/>
      <c r="Q657" s="1">
        <f>IF(H657="Sí",1,0)</f>
        <v/>
      </c>
      <c r="R657" s="1">
        <f>IF(L657="En coordinación",1,0)</f>
        <v/>
      </c>
      <c r="T657">
        <f>IF(N657="Sí",1,0)</f>
        <v/>
      </c>
      <c r="U657">
        <f>IF(L657="Aceptada",1,0)</f>
        <v/>
      </c>
    </row>
    <row r="658">
      <c r="A658" s="21" t="str"/>
      <c r="B658" s="23" t="str"/>
      <c r="I658" s="2" t="str"/>
      <c r="J658" s="2" t="str"/>
      <c r="K658" s="2" t="str"/>
      <c r="L658" s="1" t="str"/>
      <c r="M658" s="2" t="str"/>
      <c r="N658" s="1" t="str"/>
      <c r="O658" s="1" t="str"/>
      <c r="P658" s="1" t="str"/>
      <c r="Q658" s="1">
        <f>IF(H658="Sí",1,0)</f>
        <v/>
      </c>
      <c r="R658" s="1">
        <f>IF(L658="En coordinación",1,0)</f>
        <v/>
      </c>
      <c r="T658">
        <f>IF(N658="Sí",1,0)</f>
        <v/>
      </c>
      <c r="U658">
        <f>IF(L658="Aceptada",1,0)</f>
        <v/>
      </c>
    </row>
    <row r="659">
      <c r="A659" s="21" t="str"/>
      <c r="B659" s="23" t="str"/>
      <c r="I659" s="2" t="str"/>
      <c r="J659" s="2" t="str"/>
      <c r="K659" s="2" t="str"/>
      <c r="L659" s="1" t="str"/>
      <c r="M659" s="2" t="str"/>
      <c r="N659" s="1" t="str"/>
      <c r="O659" s="1" t="str"/>
      <c r="P659" s="1" t="str"/>
      <c r="Q659" s="1">
        <f>IF(H659="Sí",1,0)</f>
        <v/>
      </c>
      <c r="R659" s="1">
        <f>IF(L659="En coordinación",1,0)</f>
        <v/>
      </c>
      <c r="T659">
        <f>IF(N659="Sí",1,0)</f>
        <v/>
      </c>
      <c r="U659">
        <f>IF(L659="Aceptada",1,0)</f>
        <v/>
      </c>
    </row>
    <row r="660">
      <c r="A660" s="21" t="str"/>
      <c r="B660" s="23" t="str"/>
      <c r="I660" s="2" t="str"/>
      <c r="J660" s="2" t="str"/>
      <c r="K660" s="2" t="str"/>
      <c r="L660" s="1" t="str"/>
      <c r="M660" s="2" t="str"/>
      <c r="N660" s="1" t="str"/>
      <c r="O660" s="1" t="str"/>
      <c r="P660" s="1" t="str"/>
      <c r="Q660" s="1">
        <f>IF(H660="Sí",1,0)</f>
        <v/>
      </c>
      <c r="R660" s="1">
        <f>IF(L660="En coordinación",1,0)</f>
        <v/>
      </c>
      <c r="T660">
        <f>IF(N660="Sí",1,0)</f>
        <v/>
      </c>
      <c r="U660">
        <f>IF(L660="Aceptada",1,0)</f>
        <v/>
      </c>
    </row>
    <row r="661">
      <c r="A661" s="21" t="str"/>
      <c r="B661" s="23" t="str"/>
      <c r="I661" s="2" t="str"/>
      <c r="J661" s="2" t="str"/>
      <c r="K661" s="2" t="str"/>
      <c r="L661" s="1" t="str"/>
      <c r="M661" s="2" t="str"/>
      <c r="N661" s="1" t="str"/>
      <c r="O661" s="1" t="str"/>
      <c r="P661" s="1" t="str"/>
      <c r="Q661" s="1">
        <f>IF(H661="Sí",1,0)</f>
        <v/>
      </c>
      <c r="R661" s="1">
        <f>IF(L661="En coordinación",1,0)</f>
        <v/>
      </c>
      <c r="T661">
        <f>IF(N661="Sí",1,0)</f>
        <v/>
      </c>
      <c r="U661">
        <f>IF(L661="Aceptada",1,0)</f>
        <v/>
      </c>
    </row>
    <row r="662">
      <c r="A662" s="21" t="str"/>
      <c r="B662" s="23" t="str"/>
      <c r="I662" s="2" t="str"/>
      <c r="J662" s="2" t="str"/>
      <c r="K662" s="2" t="str"/>
      <c r="L662" s="1" t="str"/>
      <c r="M662" s="2" t="str"/>
      <c r="N662" s="1" t="str"/>
      <c r="O662" s="1" t="str"/>
      <c r="P662" s="1" t="str"/>
      <c r="Q662" s="1">
        <f>IF(H662="Sí",1,0)</f>
        <v/>
      </c>
      <c r="R662" s="1">
        <f>IF(L662="En coordinación",1,0)</f>
        <v/>
      </c>
      <c r="T662">
        <f>IF(N662="Sí",1,0)</f>
        <v/>
      </c>
      <c r="U662">
        <f>IF(L662="Aceptada",1,0)</f>
        <v/>
      </c>
    </row>
    <row r="663">
      <c r="A663" s="21" t="str"/>
      <c r="B663" s="23" t="str"/>
      <c r="I663" s="2" t="str"/>
      <c r="J663" s="2" t="str"/>
      <c r="K663" s="2" t="str"/>
      <c r="L663" s="1" t="str"/>
      <c r="M663" s="2" t="str"/>
      <c r="N663" s="1" t="str"/>
      <c r="O663" s="1" t="str"/>
      <c r="P663" s="1" t="str"/>
      <c r="Q663" s="1">
        <f>IF(H663="Sí",1,0)</f>
        <v/>
      </c>
      <c r="R663" s="1">
        <f>IF(L663="En coordinación",1,0)</f>
        <v/>
      </c>
      <c r="T663">
        <f>IF(N663="Sí",1,0)</f>
        <v/>
      </c>
      <c r="U663">
        <f>IF(L663="Aceptada",1,0)</f>
        <v/>
      </c>
    </row>
    <row r="664">
      <c r="A664" s="21" t="str"/>
      <c r="B664" s="23" t="str"/>
      <c r="I664" s="2" t="str"/>
      <c r="J664" s="2" t="str"/>
      <c r="K664" s="2" t="str"/>
      <c r="L664" s="1" t="str"/>
      <c r="M664" s="2" t="str"/>
      <c r="N664" s="1" t="str"/>
      <c r="O664" s="1" t="str"/>
      <c r="P664" s="1" t="str"/>
      <c r="Q664" s="1">
        <f>IF(H664="Sí",1,0)</f>
        <v/>
      </c>
      <c r="R664" s="1">
        <f>IF(L664="En coordinación",1,0)</f>
        <v/>
      </c>
      <c r="T664">
        <f>IF(N664="Sí",1,0)</f>
        <v/>
      </c>
      <c r="U664">
        <f>IF(L664="Aceptada",1,0)</f>
        <v/>
      </c>
    </row>
    <row r="665">
      <c r="A665" s="21" t="str"/>
      <c r="B665" s="23" t="str"/>
      <c r="I665" s="2" t="str"/>
      <c r="J665" s="2" t="str"/>
      <c r="K665" s="2" t="str"/>
      <c r="L665" s="1" t="str"/>
      <c r="M665" s="2" t="str"/>
      <c r="N665" s="1" t="str"/>
      <c r="O665" s="1" t="str"/>
      <c r="P665" s="1" t="str"/>
      <c r="Q665" s="1">
        <f>IF(H665="Sí",1,0)</f>
        <v/>
      </c>
      <c r="R665" s="1">
        <f>IF(L665="En coordinación",1,0)</f>
        <v/>
      </c>
      <c r="T665">
        <f>IF(N665="Sí",1,0)</f>
        <v/>
      </c>
      <c r="U665">
        <f>IF(L665="Aceptada",1,0)</f>
        <v/>
      </c>
    </row>
    <row r="666">
      <c r="A666" s="21" t="str"/>
      <c r="B666" s="23" t="str"/>
      <c r="I666" s="2" t="str"/>
      <c r="J666" s="2" t="str"/>
      <c r="K666" s="2" t="str"/>
      <c r="L666" s="1" t="str"/>
      <c r="M666" s="2" t="str"/>
      <c r="N666" s="1" t="str"/>
      <c r="O666" s="1" t="str"/>
      <c r="P666" s="1" t="str"/>
      <c r="Q666" s="1">
        <f>IF(H666="Sí",1,0)</f>
        <v/>
      </c>
      <c r="R666" s="1">
        <f>IF(L666="En coordinación",1,0)</f>
        <v/>
      </c>
      <c r="T666">
        <f>IF(N666="Sí",1,0)</f>
        <v/>
      </c>
      <c r="U666">
        <f>IF(L666="Aceptada",1,0)</f>
        <v/>
      </c>
    </row>
    <row r="667">
      <c r="A667" s="21" t="str"/>
      <c r="B667" s="23" t="str"/>
      <c r="I667" s="2" t="str"/>
      <c r="J667" s="2" t="str"/>
      <c r="K667" s="2" t="str"/>
      <c r="L667" s="1" t="str"/>
      <c r="M667" s="2" t="str"/>
      <c r="N667" s="1" t="str"/>
      <c r="O667" s="1" t="str"/>
      <c r="P667" s="1" t="str"/>
      <c r="Q667" s="1">
        <f>IF(H667="Sí",1,0)</f>
        <v/>
      </c>
      <c r="R667" s="1">
        <f>IF(L667="En coordinación",1,0)</f>
        <v/>
      </c>
      <c r="T667">
        <f>IF(N667="Sí",1,0)</f>
        <v/>
      </c>
      <c r="U667">
        <f>IF(L667="Aceptada",1,0)</f>
        <v/>
      </c>
    </row>
    <row r="668">
      <c r="A668" s="21" t="str"/>
      <c r="B668" s="23" t="str"/>
      <c r="I668" s="2" t="str"/>
      <c r="J668" s="2" t="str"/>
      <c r="K668" s="2" t="str"/>
      <c r="L668" s="1" t="str"/>
      <c r="M668" s="2" t="str"/>
      <c r="N668" s="1" t="str"/>
      <c r="O668" s="1" t="str"/>
      <c r="P668" s="1" t="str"/>
      <c r="Q668" s="1">
        <f>IF(H668="Sí",1,0)</f>
        <v/>
      </c>
      <c r="R668" s="1">
        <f>IF(L668="En coordinación",1,0)</f>
        <v/>
      </c>
      <c r="T668">
        <f>IF(N668="Sí",1,0)</f>
        <v/>
      </c>
      <c r="U668">
        <f>IF(L668="Aceptada",1,0)</f>
        <v/>
      </c>
    </row>
    <row r="669">
      <c r="A669" s="21" t="str"/>
      <c r="B669" s="23" t="str"/>
      <c r="I669" s="2" t="str"/>
      <c r="J669" s="2" t="str"/>
      <c r="K669" s="2" t="str"/>
      <c r="L669" s="1" t="str"/>
      <c r="M669" s="2" t="str"/>
      <c r="N669" s="1" t="str"/>
      <c r="O669" s="1" t="str"/>
      <c r="P669" s="1" t="str"/>
      <c r="Q669" s="1">
        <f>IF(H669="Sí",1,0)</f>
        <v/>
      </c>
      <c r="R669" s="1">
        <f>IF(L669="En coordinación",1,0)</f>
        <v/>
      </c>
      <c r="T669">
        <f>IF(N669="Sí",1,0)</f>
        <v/>
      </c>
      <c r="U669">
        <f>IF(L669="Aceptada",1,0)</f>
        <v/>
      </c>
    </row>
    <row r="670">
      <c r="A670" s="21" t="str"/>
      <c r="B670" s="23" t="str"/>
      <c r="I670" s="2" t="str"/>
      <c r="J670" s="2" t="str"/>
      <c r="K670" s="2" t="str"/>
      <c r="L670" s="1" t="str"/>
      <c r="M670" s="2" t="str"/>
      <c r="N670" s="1" t="str"/>
      <c r="O670" s="1" t="str"/>
      <c r="P670" s="1" t="str"/>
      <c r="Q670" s="1">
        <f>IF(H670="Sí",1,0)</f>
        <v/>
      </c>
      <c r="R670" s="1">
        <f>IF(L670="En coordinación",1,0)</f>
        <v/>
      </c>
      <c r="T670">
        <f>IF(N670="Sí",1,0)</f>
        <v/>
      </c>
      <c r="U670">
        <f>IF(L670="Aceptada",1,0)</f>
        <v/>
      </c>
    </row>
    <row r="671">
      <c r="A671" s="21" t="str"/>
      <c r="B671" s="23" t="str"/>
      <c r="I671" s="2" t="str"/>
      <c r="J671" s="2" t="str"/>
      <c r="K671" s="2" t="str"/>
      <c r="L671" s="1" t="str"/>
      <c r="M671" s="2" t="str"/>
      <c r="N671" s="1" t="str"/>
      <c r="O671" s="1" t="str"/>
      <c r="P671" s="1" t="str"/>
      <c r="Q671" s="1">
        <f>IF(H671="Sí",1,0)</f>
        <v/>
      </c>
      <c r="R671" s="1">
        <f>IF(L671="En coordinación",1,0)</f>
        <v/>
      </c>
      <c r="T671">
        <f>IF(N671="Sí",1,0)</f>
        <v/>
      </c>
      <c r="U671">
        <f>IF(L671="Aceptada",1,0)</f>
        <v/>
      </c>
    </row>
    <row r="672">
      <c r="A672" s="21" t="str"/>
      <c r="B672" s="23" t="str"/>
      <c r="I672" s="2" t="str"/>
      <c r="J672" s="2" t="str"/>
      <c r="K672" s="2" t="str"/>
      <c r="L672" s="1" t="str"/>
      <c r="M672" s="2" t="str"/>
      <c r="N672" s="1" t="str"/>
      <c r="O672" s="1" t="str"/>
      <c r="P672" s="1" t="str"/>
      <c r="Q672" s="1">
        <f>IF(H672="Sí",1,0)</f>
        <v/>
      </c>
      <c r="R672" s="1">
        <f>IF(L672="En coordinación",1,0)</f>
        <v/>
      </c>
      <c r="T672">
        <f>IF(N672="Sí",1,0)</f>
        <v/>
      </c>
      <c r="U672">
        <f>IF(L672="Aceptada",1,0)</f>
        <v/>
      </c>
    </row>
    <row r="673">
      <c r="A673" s="21" t="str"/>
      <c r="B673" s="23" t="str"/>
      <c r="I673" s="2" t="str"/>
      <c r="J673" s="2" t="str"/>
      <c r="K673" s="2" t="str"/>
      <c r="L673" s="1" t="str"/>
      <c r="M673" s="2" t="str"/>
      <c r="N673" s="1" t="str"/>
      <c r="O673" s="1" t="str"/>
      <c r="P673" s="1" t="str"/>
      <c r="Q673" s="1">
        <f>IF(H673="Sí",1,0)</f>
        <v/>
      </c>
      <c r="R673" s="1">
        <f>IF(L673="En coordinación",1,0)</f>
        <v/>
      </c>
      <c r="T673">
        <f>IF(N673="Sí",1,0)</f>
        <v/>
      </c>
      <c r="U673">
        <f>IF(L673="Aceptada",1,0)</f>
        <v/>
      </c>
    </row>
    <row r="674">
      <c r="A674" s="21" t="str"/>
      <c r="B674" s="23" t="str"/>
      <c r="I674" s="2" t="str"/>
      <c r="J674" s="2" t="str"/>
      <c r="K674" s="2" t="str"/>
      <c r="L674" s="1" t="str"/>
      <c r="M674" s="2" t="str"/>
      <c r="N674" s="1" t="str"/>
      <c r="O674" s="1" t="str"/>
      <c r="P674" s="1" t="str"/>
      <c r="Q674" s="1">
        <f>IF(H674="Sí",1,0)</f>
        <v/>
      </c>
      <c r="R674" s="1">
        <f>IF(L674="En coordinación",1,0)</f>
        <v/>
      </c>
      <c r="T674">
        <f>IF(N674="Sí",1,0)</f>
        <v/>
      </c>
      <c r="U674">
        <f>IF(L674="Aceptada",1,0)</f>
        <v/>
      </c>
    </row>
    <row r="675">
      <c r="A675" s="21" t="str"/>
      <c r="B675" s="23" t="str"/>
      <c r="I675" s="2" t="str"/>
      <c r="J675" s="2" t="str"/>
      <c r="K675" s="2" t="str"/>
      <c r="L675" s="1" t="str"/>
      <c r="M675" s="2" t="str"/>
      <c r="N675" s="1" t="str"/>
      <c r="O675" s="1" t="str"/>
      <c r="P675" s="1" t="str"/>
      <c r="Q675" s="1">
        <f>IF(H675="Sí",1,0)</f>
        <v/>
      </c>
      <c r="R675" s="1">
        <f>IF(L675="En coordinación",1,0)</f>
        <v/>
      </c>
      <c r="T675">
        <f>IF(N675="Sí",1,0)</f>
        <v/>
      </c>
      <c r="U675">
        <f>IF(L675="Aceptada",1,0)</f>
        <v/>
      </c>
    </row>
    <row r="676">
      <c r="A676" s="21" t="str"/>
      <c r="B676" s="23" t="str"/>
      <c r="I676" s="2" t="str"/>
      <c r="J676" s="2" t="str"/>
      <c r="K676" s="2" t="str"/>
      <c r="L676" s="1" t="str"/>
      <c r="M676" s="2" t="str"/>
      <c r="N676" s="1" t="str"/>
      <c r="O676" s="1" t="str"/>
      <c r="P676" s="1" t="str"/>
      <c r="Q676" s="1">
        <f>IF(H676="Sí",1,0)</f>
        <v/>
      </c>
      <c r="R676" s="1">
        <f>IF(L676="En coordinación",1,0)</f>
        <v/>
      </c>
      <c r="T676">
        <f>IF(N676="Sí",1,0)</f>
        <v/>
      </c>
      <c r="U676">
        <f>IF(L676="Aceptada",1,0)</f>
        <v/>
      </c>
    </row>
    <row r="677">
      <c r="A677" s="21" t="str"/>
      <c r="B677" s="23" t="str"/>
      <c r="I677" s="2" t="str"/>
      <c r="J677" s="2" t="str"/>
      <c r="K677" s="2" t="str"/>
      <c r="L677" s="1" t="str"/>
      <c r="M677" s="2" t="str"/>
      <c r="N677" s="1" t="str"/>
      <c r="O677" s="1" t="str"/>
      <c r="P677" s="1" t="str"/>
      <c r="Q677" s="1">
        <f>IF(H677="Sí",1,0)</f>
        <v/>
      </c>
      <c r="R677" s="1">
        <f>IF(L677="En coordinación",1,0)</f>
        <v/>
      </c>
      <c r="T677">
        <f>IF(N677="Sí",1,0)</f>
        <v/>
      </c>
      <c r="U677">
        <f>IF(L677="Aceptada",1,0)</f>
        <v/>
      </c>
    </row>
    <row r="678">
      <c r="A678" s="21" t="str"/>
      <c r="B678" s="23" t="str"/>
      <c r="I678" s="2" t="str"/>
      <c r="J678" s="2" t="str"/>
      <c r="K678" s="2" t="str"/>
      <c r="L678" s="1" t="str"/>
      <c r="M678" s="2" t="str"/>
      <c r="N678" s="1" t="str"/>
      <c r="O678" s="1" t="str"/>
      <c r="P678" s="1" t="str"/>
      <c r="Q678" s="1">
        <f>IF(H678="Sí",1,0)</f>
        <v/>
      </c>
      <c r="R678" s="1">
        <f>IF(L678="En coordinación",1,0)</f>
        <v/>
      </c>
      <c r="T678">
        <f>IF(N678="Sí",1,0)</f>
        <v/>
      </c>
      <c r="U678">
        <f>IF(L678="Aceptada",1,0)</f>
        <v/>
      </c>
    </row>
    <row r="679">
      <c r="A679" s="21" t="str"/>
      <c r="B679" s="23" t="str"/>
      <c r="I679" s="2" t="str"/>
      <c r="J679" s="2" t="str"/>
      <c r="K679" s="2" t="str"/>
      <c r="L679" s="1" t="str"/>
      <c r="M679" s="2" t="str"/>
      <c r="N679" s="1" t="str"/>
      <c r="O679" s="1" t="str"/>
      <c r="P679" s="1" t="str"/>
      <c r="Q679" s="1">
        <f>IF(H679="Sí",1,0)</f>
        <v/>
      </c>
      <c r="R679" s="1">
        <f>IF(L679="En coordinación",1,0)</f>
        <v/>
      </c>
      <c r="T679">
        <f>IF(N679="Sí",1,0)</f>
        <v/>
      </c>
      <c r="U679">
        <f>IF(L679="Aceptada",1,0)</f>
        <v/>
      </c>
    </row>
    <row r="680">
      <c r="A680" s="21" t="str"/>
      <c r="B680" s="23" t="str"/>
      <c r="I680" s="2" t="str"/>
      <c r="J680" s="2" t="str"/>
      <c r="K680" s="2" t="str"/>
      <c r="L680" s="1" t="str"/>
      <c r="M680" s="2" t="str"/>
      <c r="N680" s="1" t="str"/>
      <c r="O680" s="1" t="str"/>
      <c r="P680" s="1" t="str"/>
      <c r="Q680" s="1">
        <f>IF(H680="Sí",1,0)</f>
        <v/>
      </c>
      <c r="R680" s="1">
        <f>IF(L680="En coordinación",1,0)</f>
        <v/>
      </c>
      <c r="T680">
        <f>IF(N680="Sí",1,0)</f>
        <v/>
      </c>
      <c r="U680">
        <f>IF(L680="Aceptada",1,0)</f>
        <v/>
      </c>
    </row>
    <row r="681">
      <c r="A681" s="21" t="str"/>
      <c r="B681" s="23" t="str"/>
      <c r="I681" s="2" t="str"/>
      <c r="J681" s="2" t="str"/>
      <c r="K681" s="2" t="str"/>
      <c r="L681" s="1" t="str"/>
      <c r="M681" s="2" t="str"/>
      <c r="N681" s="1" t="str"/>
      <c r="O681" s="1" t="str"/>
      <c r="P681" s="1" t="str"/>
      <c r="Q681" s="1">
        <f>IF(H681="Sí",1,0)</f>
        <v/>
      </c>
      <c r="R681" s="1">
        <f>IF(L681="En coordinación",1,0)</f>
        <v/>
      </c>
      <c r="T681">
        <f>IF(N681="Sí",1,0)</f>
        <v/>
      </c>
      <c r="U681">
        <f>IF(L681="Aceptada",1,0)</f>
        <v/>
      </c>
    </row>
    <row r="682">
      <c r="A682" s="21" t="str"/>
      <c r="B682" s="23" t="str"/>
      <c r="I682" s="2" t="str"/>
      <c r="J682" s="2" t="str"/>
      <c r="K682" s="2" t="str"/>
      <c r="L682" s="1" t="str"/>
      <c r="M682" s="2" t="str"/>
      <c r="N682" s="1" t="str"/>
      <c r="O682" s="1" t="str"/>
      <c r="P682" s="1" t="str"/>
      <c r="Q682" s="1">
        <f>IF(H682="Sí",1,0)</f>
        <v/>
      </c>
      <c r="R682" s="1">
        <f>IF(L682="En coordinación",1,0)</f>
        <v/>
      </c>
      <c r="T682">
        <f>IF(N682="Sí",1,0)</f>
        <v/>
      </c>
      <c r="U682">
        <f>IF(L682="Aceptada",1,0)</f>
        <v/>
      </c>
    </row>
    <row r="683">
      <c r="A683" s="21" t="str"/>
      <c r="B683" s="23" t="str"/>
      <c r="I683" s="2" t="str"/>
      <c r="J683" s="2" t="str"/>
      <c r="K683" s="2" t="str"/>
      <c r="L683" s="1" t="str"/>
      <c r="M683" s="2" t="str"/>
      <c r="N683" s="1" t="str"/>
      <c r="O683" s="1" t="str"/>
      <c r="P683" s="1" t="str"/>
      <c r="Q683" s="1">
        <f>IF(H683="Sí",1,0)</f>
        <v/>
      </c>
      <c r="R683" s="1">
        <f>IF(L683="En coordinación",1,0)</f>
        <v/>
      </c>
      <c r="T683">
        <f>IF(N683="Sí",1,0)</f>
        <v/>
      </c>
      <c r="U683">
        <f>IF(L683="Aceptada",1,0)</f>
        <v/>
      </c>
    </row>
    <row r="684">
      <c r="A684" s="21" t="str"/>
      <c r="B684" s="23" t="str"/>
      <c r="I684" s="2" t="str"/>
      <c r="J684" s="2" t="str"/>
      <c r="K684" s="2" t="str"/>
      <c r="L684" s="1" t="str"/>
      <c r="M684" s="2" t="str"/>
      <c r="N684" s="1" t="str"/>
      <c r="O684" s="1" t="str"/>
      <c r="P684" s="1" t="str"/>
      <c r="Q684" s="1">
        <f>IF(H684="Sí",1,0)</f>
        <v/>
      </c>
      <c r="R684" s="1">
        <f>IF(L684="En coordinación",1,0)</f>
        <v/>
      </c>
      <c r="T684">
        <f>IF(N684="Sí",1,0)</f>
        <v/>
      </c>
      <c r="U684">
        <f>IF(L684="Aceptada",1,0)</f>
        <v/>
      </c>
    </row>
    <row r="685">
      <c r="A685" s="21" t="str"/>
      <c r="B685" s="23" t="str"/>
      <c r="I685" s="2" t="str"/>
      <c r="J685" s="2" t="str"/>
      <c r="K685" s="2" t="str"/>
      <c r="L685" s="1" t="str"/>
      <c r="M685" s="2" t="str"/>
      <c r="N685" s="1" t="str"/>
      <c r="O685" s="1" t="str"/>
      <c r="P685" s="1" t="str"/>
      <c r="Q685" s="1">
        <f>IF(H685="Sí",1,0)</f>
        <v/>
      </c>
      <c r="R685" s="1">
        <f>IF(L685="En coordinación",1,0)</f>
        <v/>
      </c>
      <c r="T685">
        <f>IF(N685="Sí",1,0)</f>
        <v/>
      </c>
      <c r="U685">
        <f>IF(L685="Aceptada",1,0)</f>
        <v/>
      </c>
    </row>
    <row r="686">
      <c r="A686" s="21" t="str"/>
      <c r="B686" s="23" t="str"/>
      <c r="I686" s="2" t="str"/>
      <c r="J686" s="2" t="str"/>
      <c r="K686" s="2" t="str"/>
      <c r="L686" s="1" t="str"/>
      <c r="M686" s="2" t="str"/>
      <c r="N686" s="1" t="str"/>
      <c r="O686" s="1" t="str"/>
      <c r="P686" s="1" t="str"/>
      <c r="Q686" s="1">
        <f>IF(H686="Sí",1,0)</f>
        <v/>
      </c>
      <c r="R686" s="1">
        <f>IF(L686="En coordinación",1,0)</f>
        <v/>
      </c>
      <c r="T686">
        <f>IF(N686="Sí",1,0)</f>
        <v/>
      </c>
      <c r="U686">
        <f>IF(L686="Aceptada",1,0)</f>
        <v/>
      </c>
    </row>
    <row r="687">
      <c r="A687" s="21" t="str"/>
      <c r="B687" s="23" t="str"/>
      <c r="I687" s="2" t="str"/>
      <c r="J687" s="2" t="str"/>
      <c r="K687" s="2" t="str"/>
      <c r="L687" s="1" t="str"/>
      <c r="M687" s="2" t="str"/>
      <c r="N687" s="1" t="str"/>
      <c r="O687" s="1" t="str"/>
      <c r="P687" s="1" t="str"/>
      <c r="Q687" s="1">
        <f>IF(H687="Sí",1,0)</f>
        <v/>
      </c>
      <c r="R687" s="1">
        <f>IF(L687="En coordinación",1,0)</f>
        <v/>
      </c>
      <c r="T687">
        <f>IF(N687="Sí",1,0)</f>
        <v/>
      </c>
      <c r="U687">
        <f>IF(L687="Aceptada",1,0)</f>
        <v/>
      </c>
    </row>
    <row r="688">
      <c r="A688" s="21" t="str"/>
      <c r="B688" s="23" t="str"/>
      <c r="I688" s="2" t="str"/>
      <c r="J688" s="2" t="str"/>
      <c r="K688" s="2" t="str"/>
      <c r="L688" s="1" t="str"/>
      <c r="M688" s="2" t="str"/>
      <c r="N688" s="1" t="str"/>
      <c r="O688" s="1" t="str"/>
      <c r="P688" s="1" t="str"/>
      <c r="Q688" s="1">
        <f>IF(H688="Sí",1,0)</f>
        <v/>
      </c>
      <c r="R688" s="1">
        <f>IF(L688="En coordinación",1,0)</f>
        <v/>
      </c>
      <c r="T688">
        <f>IF(N688="Sí",1,0)</f>
        <v/>
      </c>
      <c r="U688">
        <f>IF(L688="Aceptada",1,0)</f>
        <v/>
      </c>
    </row>
    <row r="689">
      <c r="A689" s="21" t="str"/>
      <c r="B689" s="23" t="str"/>
      <c r="I689" s="2" t="str"/>
      <c r="J689" s="2" t="str"/>
      <c r="K689" s="2" t="str"/>
      <c r="L689" s="1" t="str"/>
      <c r="M689" s="2" t="str"/>
      <c r="N689" s="1" t="str"/>
      <c r="O689" s="1" t="str"/>
      <c r="P689" s="1" t="str"/>
      <c r="Q689" s="1">
        <f>IF(H689="Sí",1,0)</f>
        <v/>
      </c>
      <c r="R689" s="1">
        <f>IF(L689="En coordinación",1,0)</f>
        <v/>
      </c>
      <c r="T689">
        <f>IF(N689="Sí",1,0)</f>
        <v/>
      </c>
      <c r="U689">
        <f>IF(L689="Aceptada",1,0)</f>
        <v/>
      </c>
    </row>
    <row r="690">
      <c r="A690" s="21" t="str"/>
      <c r="B690" s="23" t="str"/>
      <c r="I690" s="2" t="str"/>
      <c r="J690" s="2" t="str"/>
      <c r="K690" s="2" t="str"/>
      <c r="L690" s="1" t="str"/>
      <c r="M690" s="2" t="str"/>
      <c r="N690" s="1" t="str"/>
      <c r="O690" s="1" t="str"/>
      <c r="P690" s="1" t="str"/>
      <c r="Q690" s="1">
        <f>IF(H690="Sí",1,0)</f>
        <v/>
      </c>
      <c r="R690" s="1">
        <f>IF(L690="En coordinación",1,0)</f>
        <v/>
      </c>
      <c r="T690">
        <f>IF(N690="Sí",1,0)</f>
        <v/>
      </c>
      <c r="U690">
        <f>IF(L690="Aceptada",1,0)</f>
        <v/>
      </c>
    </row>
    <row r="691">
      <c r="A691" s="21" t="str"/>
      <c r="B691" s="23" t="str"/>
      <c r="I691" s="2" t="str"/>
      <c r="J691" s="2" t="str"/>
      <c r="K691" s="2" t="str"/>
      <c r="L691" s="1" t="str"/>
      <c r="M691" s="2" t="str"/>
      <c r="N691" s="1" t="str"/>
      <c r="O691" s="1" t="str"/>
      <c r="P691" s="1" t="str"/>
      <c r="Q691" s="1">
        <f>IF(H691="Sí",1,0)</f>
        <v/>
      </c>
      <c r="R691" s="1">
        <f>IF(L691="En coordinación",1,0)</f>
        <v/>
      </c>
      <c r="T691">
        <f>IF(N691="Sí",1,0)</f>
        <v/>
      </c>
      <c r="U691">
        <f>IF(L691="Aceptada",1,0)</f>
        <v/>
      </c>
    </row>
    <row r="692">
      <c r="A692" s="21" t="str"/>
      <c r="B692" s="23" t="str"/>
      <c r="I692" s="2" t="str"/>
      <c r="J692" s="2" t="str"/>
      <c r="K692" s="2" t="str"/>
      <c r="L692" s="1" t="str"/>
      <c r="M692" s="2" t="str"/>
      <c r="N692" s="1" t="str"/>
      <c r="O692" s="1" t="str"/>
      <c r="P692" s="1" t="str"/>
      <c r="Q692" s="1">
        <f>IF(H692="Sí",1,0)</f>
        <v/>
      </c>
      <c r="R692" s="1">
        <f>IF(L692="En coordinación",1,0)</f>
        <v/>
      </c>
      <c r="T692">
        <f>IF(N692="Sí",1,0)</f>
        <v/>
      </c>
      <c r="U692">
        <f>IF(L692="Aceptada",1,0)</f>
        <v/>
      </c>
    </row>
    <row r="693">
      <c r="A693" s="21" t="str"/>
      <c r="B693" s="23" t="str"/>
      <c r="I693" s="2" t="str"/>
      <c r="J693" s="2" t="str"/>
      <c r="K693" s="2" t="str"/>
      <c r="L693" s="1" t="str"/>
      <c r="M693" s="2" t="str"/>
      <c r="N693" s="1" t="str"/>
      <c r="O693" s="1" t="str"/>
      <c r="P693" s="1" t="str"/>
      <c r="Q693" s="1">
        <f>IF(H693="Sí",1,0)</f>
        <v/>
      </c>
      <c r="R693" s="1">
        <f>IF(L693="En coordinación",1,0)</f>
        <v/>
      </c>
      <c r="T693">
        <f>IF(N693="Sí",1,0)</f>
        <v/>
      </c>
      <c r="U693">
        <f>IF(L693="Aceptada",1,0)</f>
        <v/>
      </c>
    </row>
    <row r="694">
      <c r="A694" s="21" t="str"/>
      <c r="B694" s="23" t="str"/>
      <c r="I694" s="2" t="str"/>
      <c r="J694" s="2" t="str"/>
      <c r="K694" s="2" t="str"/>
      <c r="L694" s="1" t="str"/>
      <c r="M694" s="2" t="str"/>
      <c r="N694" s="1" t="str"/>
      <c r="O694" s="1" t="str"/>
      <c r="P694" s="1" t="str"/>
      <c r="Q694" s="1">
        <f>IF(H694="Sí",1,0)</f>
        <v/>
      </c>
      <c r="R694" s="1">
        <f>IF(L694="En coordinación",1,0)</f>
        <v/>
      </c>
      <c r="T694">
        <f>IF(N694="Sí",1,0)</f>
        <v/>
      </c>
      <c r="U694">
        <f>IF(L694="Aceptada",1,0)</f>
        <v/>
      </c>
    </row>
    <row r="695">
      <c r="A695" s="21" t="str"/>
      <c r="B695" s="23" t="str"/>
      <c r="I695" s="2" t="str"/>
      <c r="J695" s="2" t="str"/>
      <c r="K695" s="2" t="str"/>
      <c r="L695" s="1" t="str"/>
      <c r="M695" s="2" t="str"/>
      <c r="N695" s="1" t="str"/>
      <c r="O695" s="1" t="str"/>
      <c r="P695" s="1" t="str"/>
      <c r="Q695" s="1">
        <f>IF(H695="Sí",1,0)</f>
        <v/>
      </c>
      <c r="R695" s="1">
        <f>IF(L695="En coordinación",1,0)</f>
        <v/>
      </c>
      <c r="T695">
        <f>IF(N695="Sí",1,0)</f>
        <v/>
      </c>
      <c r="U695">
        <f>IF(L695="Aceptada",1,0)</f>
        <v/>
      </c>
    </row>
    <row r="696">
      <c r="A696" s="21" t="str"/>
      <c r="B696" s="23" t="str"/>
      <c r="I696" s="2" t="str"/>
      <c r="J696" s="2" t="str"/>
      <c r="K696" s="2" t="str"/>
      <c r="L696" s="1" t="str"/>
      <c r="M696" s="2" t="str"/>
      <c r="N696" s="1" t="str"/>
      <c r="O696" s="1" t="str"/>
      <c r="P696" s="1" t="str"/>
      <c r="Q696" s="1">
        <f>IF(H696="Sí",1,0)</f>
        <v/>
      </c>
      <c r="R696" s="1">
        <f>IF(L696="En coordinación",1,0)</f>
        <v/>
      </c>
      <c r="T696">
        <f>IF(N696="Sí",1,0)</f>
        <v/>
      </c>
      <c r="U696">
        <f>IF(L696="Aceptada",1,0)</f>
        <v/>
      </c>
    </row>
    <row r="697">
      <c r="A697" s="21" t="str"/>
      <c r="B697" s="23" t="str"/>
      <c r="I697" s="2" t="str"/>
      <c r="J697" s="2" t="str"/>
      <c r="K697" s="2" t="str"/>
      <c r="L697" s="1" t="str"/>
      <c r="M697" s="2" t="str"/>
      <c r="N697" s="1" t="str"/>
      <c r="O697" s="1" t="str"/>
      <c r="P697" s="1" t="str"/>
      <c r="Q697" s="1">
        <f>IF(H697="Sí",1,0)</f>
        <v/>
      </c>
      <c r="R697" s="1">
        <f>IF(L697="En coordinación",1,0)</f>
        <v/>
      </c>
      <c r="T697">
        <f>IF(N697="Sí",1,0)</f>
        <v/>
      </c>
      <c r="U697">
        <f>IF(L697="Aceptada",1,0)</f>
        <v/>
      </c>
    </row>
    <row r="698">
      <c r="A698" s="21" t="str"/>
      <c r="B698" s="23" t="str"/>
      <c r="I698" s="2" t="str"/>
      <c r="J698" s="2" t="str"/>
      <c r="K698" s="2" t="str"/>
      <c r="L698" s="1" t="str"/>
      <c r="M698" s="2" t="str"/>
      <c r="N698" s="1" t="str"/>
      <c r="O698" s="1" t="str"/>
      <c r="P698" s="1" t="str"/>
      <c r="Q698" s="1">
        <f>IF(H698="Sí",1,0)</f>
        <v/>
      </c>
      <c r="R698" s="1">
        <f>IF(L698="En coordinación",1,0)</f>
        <v/>
      </c>
      <c r="T698">
        <f>IF(N698="Sí",1,0)</f>
        <v/>
      </c>
      <c r="U698">
        <f>IF(L698="Aceptada",1,0)</f>
        <v/>
      </c>
    </row>
    <row r="699">
      <c r="A699" s="21" t="str"/>
      <c r="B699" s="23" t="str"/>
      <c r="I699" s="2" t="str"/>
      <c r="J699" s="2" t="str"/>
      <c r="K699" s="2" t="str"/>
      <c r="L699" s="1" t="str"/>
      <c r="M699" s="2" t="str"/>
      <c r="N699" s="1" t="str"/>
      <c r="O699" s="1" t="str"/>
      <c r="P699" s="1" t="str"/>
      <c r="Q699" s="1">
        <f>IF(H699="Sí",1,0)</f>
        <v/>
      </c>
      <c r="R699" s="1">
        <f>IF(L699="En coordinación",1,0)</f>
        <v/>
      </c>
      <c r="T699">
        <f>IF(N699="Sí",1,0)</f>
        <v/>
      </c>
      <c r="U699">
        <f>IF(L699="Aceptada",1,0)</f>
        <v/>
      </c>
    </row>
    <row r="700">
      <c r="A700" s="21" t="str"/>
      <c r="B700" s="23" t="str"/>
      <c r="I700" s="2" t="str"/>
      <c r="J700" s="2" t="str"/>
      <c r="K700" s="2" t="str"/>
      <c r="L700" s="1" t="str"/>
      <c r="M700" s="2" t="str"/>
      <c r="N700" s="1" t="str"/>
      <c r="O700" s="1" t="str"/>
      <c r="P700" s="1" t="str"/>
      <c r="Q700" s="1">
        <f>IF(H700="Sí",1,0)</f>
        <v/>
      </c>
      <c r="R700" s="1">
        <f>IF(L700="En coordinación",1,0)</f>
        <v/>
      </c>
      <c r="T700">
        <f>IF(N700="Sí",1,0)</f>
        <v/>
      </c>
      <c r="U700">
        <f>IF(L700="Aceptada",1,0)</f>
        <v/>
      </c>
    </row>
    <row r="701">
      <c r="A701" s="21" t="str"/>
      <c r="B701" s="23" t="str"/>
      <c r="I701" s="2" t="str"/>
      <c r="J701" s="2" t="str"/>
      <c r="K701" s="2" t="str"/>
      <c r="L701" s="1" t="str"/>
      <c r="M701" s="2" t="str"/>
      <c r="N701" s="1" t="str"/>
      <c r="O701" s="1" t="str"/>
      <c r="P701" s="1" t="str"/>
      <c r="Q701" s="1">
        <f>IF(H701="Sí",1,0)</f>
        <v/>
      </c>
      <c r="R701" s="1">
        <f>IF(L701="En coordinación",1,0)</f>
        <v/>
      </c>
      <c r="T701">
        <f>IF(N701="Sí",1,0)</f>
        <v/>
      </c>
      <c r="U701">
        <f>IF(L701="Aceptada",1,0)</f>
        <v/>
      </c>
    </row>
    <row r="702">
      <c r="A702" s="21" t="str"/>
      <c r="B702" s="23" t="str"/>
      <c r="I702" s="2" t="str"/>
      <c r="J702" s="2" t="str"/>
      <c r="K702" s="2" t="str"/>
      <c r="L702" s="1" t="str"/>
      <c r="M702" s="2" t="str"/>
      <c r="N702" s="1" t="str"/>
      <c r="O702" s="1" t="str"/>
      <c r="P702" s="1" t="str"/>
      <c r="Q702" s="1">
        <f>IF(H702="Sí",1,0)</f>
        <v/>
      </c>
      <c r="R702" s="1">
        <f>IF(L702="En coordinación",1,0)</f>
        <v/>
      </c>
      <c r="T702">
        <f>IF(N702="Sí",1,0)</f>
        <v/>
      </c>
      <c r="U702">
        <f>IF(L702="Aceptada",1,0)</f>
        <v/>
      </c>
    </row>
    <row r="703">
      <c r="A703" s="21" t="str"/>
      <c r="B703" s="23" t="str"/>
      <c r="I703" s="2" t="str"/>
      <c r="J703" s="2" t="str"/>
      <c r="K703" s="2" t="str"/>
      <c r="L703" s="1" t="str"/>
      <c r="M703" s="2" t="str"/>
      <c r="N703" s="1" t="str"/>
      <c r="O703" s="1" t="str"/>
      <c r="P703" s="1" t="str"/>
      <c r="Q703" s="1">
        <f>IF(H703="Sí",1,0)</f>
        <v/>
      </c>
      <c r="R703" s="1">
        <f>IF(L703="En coordinación",1,0)</f>
        <v/>
      </c>
      <c r="T703">
        <f>IF(N703="Sí",1,0)</f>
        <v/>
      </c>
      <c r="U703">
        <f>IF(L703="Aceptada",1,0)</f>
        <v/>
      </c>
    </row>
    <row r="704">
      <c r="A704" s="21" t="str"/>
      <c r="B704" s="23" t="str"/>
      <c r="I704" s="2" t="str"/>
      <c r="J704" s="2" t="str"/>
      <c r="K704" s="2" t="str"/>
      <c r="L704" s="1" t="str"/>
      <c r="M704" s="2" t="str"/>
      <c r="N704" s="1" t="str"/>
      <c r="O704" s="1" t="str"/>
      <c r="P704" s="1" t="str"/>
      <c r="Q704" s="1">
        <f>IF(H704="Sí",1,0)</f>
        <v/>
      </c>
      <c r="R704" s="1">
        <f>IF(L704="En coordinación",1,0)</f>
        <v/>
      </c>
      <c r="T704">
        <f>IF(N704="Sí",1,0)</f>
        <v/>
      </c>
      <c r="U704">
        <f>IF(L704="Aceptada",1,0)</f>
        <v/>
      </c>
    </row>
    <row r="705">
      <c r="A705" s="21" t="str"/>
      <c r="B705" s="23" t="str"/>
      <c r="I705" s="2" t="str"/>
      <c r="J705" s="2" t="str"/>
      <c r="K705" s="2" t="str"/>
      <c r="L705" s="1" t="str"/>
      <c r="M705" s="2" t="str"/>
      <c r="N705" s="1" t="str"/>
      <c r="O705" s="1" t="str"/>
      <c r="P705" s="1" t="str"/>
      <c r="Q705" s="1">
        <f>IF(H705="Sí",1,0)</f>
        <v/>
      </c>
      <c r="R705" s="1">
        <f>IF(L705="En coordinación",1,0)</f>
        <v/>
      </c>
      <c r="T705">
        <f>IF(N705="Sí",1,0)</f>
        <v/>
      </c>
      <c r="U705">
        <f>IF(L705="Aceptada",1,0)</f>
        <v/>
      </c>
    </row>
    <row r="706">
      <c r="A706" s="21" t="str"/>
      <c r="B706" s="23" t="str"/>
      <c r="I706" s="2" t="str"/>
      <c r="J706" s="2" t="str"/>
      <c r="K706" s="2" t="str"/>
      <c r="L706" s="1" t="str"/>
      <c r="M706" s="2" t="str"/>
      <c r="N706" s="1" t="str"/>
      <c r="O706" s="1" t="str"/>
      <c r="P706" s="1" t="str"/>
      <c r="Q706" s="1">
        <f>IF(H706="Sí",1,0)</f>
        <v/>
      </c>
      <c r="R706" s="1">
        <f>IF(L706="En coordinación",1,0)</f>
        <v/>
      </c>
      <c r="T706">
        <f>IF(N706="Sí",1,0)</f>
        <v/>
      </c>
      <c r="U706">
        <f>IF(L706="Aceptada",1,0)</f>
        <v/>
      </c>
    </row>
    <row r="707">
      <c r="A707" s="21" t="str"/>
      <c r="B707" s="23" t="str"/>
      <c r="I707" s="2" t="str"/>
      <c r="J707" s="2" t="str"/>
      <c r="K707" s="2" t="str"/>
      <c r="L707" s="1" t="str"/>
      <c r="M707" s="2" t="str"/>
      <c r="N707" s="1" t="str"/>
      <c r="O707" s="1" t="str"/>
      <c r="P707" s="1" t="str"/>
      <c r="Q707" s="1">
        <f>IF(H707="Sí",1,0)</f>
        <v/>
      </c>
      <c r="R707" s="1">
        <f>IF(L707="En coordinación",1,0)</f>
        <v/>
      </c>
      <c r="T707">
        <f>IF(N707="Sí",1,0)</f>
        <v/>
      </c>
      <c r="U707">
        <f>IF(L707="Aceptada",1,0)</f>
        <v/>
      </c>
    </row>
    <row r="708">
      <c r="A708" s="21" t="str"/>
      <c r="B708" s="23" t="str"/>
      <c r="I708" s="2" t="str"/>
      <c r="J708" s="2" t="str"/>
      <c r="K708" s="2" t="str"/>
      <c r="L708" s="1" t="str"/>
      <c r="M708" s="2" t="str"/>
      <c r="N708" s="1" t="str"/>
      <c r="O708" s="1" t="str"/>
      <c r="P708" s="1" t="str"/>
      <c r="Q708" s="1">
        <f>IF(H708="Sí",1,0)</f>
        <v/>
      </c>
      <c r="R708" s="1">
        <f>IF(L708="En coordinación",1,0)</f>
        <v/>
      </c>
      <c r="T708">
        <f>IF(N708="Sí",1,0)</f>
        <v/>
      </c>
      <c r="U708">
        <f>IF(L708="Aceptada",1,0)</f>
        <v/>
      </c>
    </row>
    <row r="709">
      <c r="A709" s="21" t="str"/>
      <c r="B709" s="23" t="str"/>
      <c r="I709" s="2" t="str"/>
      <c r="J709" s="2" t="str"/>
      <c r="K709" s="2" t="str"/>
      <c r="L709" s="1" t="str"/>
      <c r="M709" s="2" t="str"/>
      <c r="N709" s="1" t="str"/>
      <c r="O709" s="1" t="str"/>
      <c r="P709" s="1" t="str"/>
      <c r="Q709" s="1">
        <f>IF(H709="Sí",1,0)</f>
        <v/>
      </c>
      <c r="R709" s="1">
        <f>IF(L709="En coordinación",1,0)</f>
        <v/>
      </c>
      <c r="T709">
        <f>IF(N709="Sí",1,0)</f>
        <v/>
      </c>
      <c r="U709">
        <f>IF(L709="Aceptada",1,0)</f>
        <v/>
      </c>
    </row>
    <row r="710">
      <c r="A710" s="21" t="str"/>
      <c r="B710" s="23" t="str"/>
      <c r="I710" s="2" t="str"/>
      <c r="J710" s="2" t="str"/>
      <c r="K710" s="2" t="str"/>
      <c r="L710" s="1" t="str"/>
      <c r="M710" s="2" t="str"/>
      <c r="N710" s="1" t="str"/>
      <c r="O710" s="1" t="str"/>
      <c r="P710" s="1" t="str"/>
      <c r="Q710" s="1">
        <f>IF(H710="Sí",1,0)</f>
        <v/>
      </c>
      <c r="R710" s="1">
        <f>IF(L710="En coordinación",1,0)</f>
        <v/>
      </c>
      <c r="T710">
        <f>IF(N710="Sí",1,0)</f>
        <v/>
      </c>
      <c r="U710">
        <f>IF(L710="Aceptada",1,0)</f>
        <v/>
      </c>
    </row>
    <row r="711">
      <c r="A711" s="21" t="str"/>
      <c r="B711" s="23" t="str"/>
      <c r="I711" s="2" t="str"/>
      <c r="J711" s="2" t="str"/>
      <c r="K711" s="2" t="str"/>
      <c r="L711" s="1" t="str"/>
      <c r="M711" s="2" t="str"/>
      <c r="N711" s="1" t="str"/>
      <c r="O711" s="1" t="str"/>
      <c r="P711" s="1" t="str"/>
      <c r="Q711" s="1">
        <f>IF(H711="Sí",1,0)</f>
        <v/>
      </c>
      <c r="R711" s="1">
        <f>IF(L711="En coordinación",1,0)</f>
        <v/>
      </c>
      <c r="T711">
        <f>IF(N711="Sí",1,0)</f>
        <v/>
      </c>
      <c r="U711">
        <f>IF(L711="Aceptada",1,0)</f>
        <v/>
      </c>
    </row>
    <row r="712">
      <c r="A712" s="21" t="str"/>
      <c r="B712" s="23" t="str"/>
      <c r="I712" s="2" t="str"/>
      <c r="J712" s="2" t="str"/>
      <c r="K712" s="2" t="str"/>
      <c r="L712" s="1" t="str"/>
      <c r="M712" s="2" t="str"/>
      <c r="N712" s="1" t="str"/>
      <c r="O712" s="1" t="str"/>
      <c r="P712" s="1" t="str"/>
      <c r="Q712" s="1">
        <f>IF(H712="Sí",1,0)</f>
        <v/>
      </c>
      <c r="R712" s="1">
        <f>IF(L712="En coordinación",1,0)</f>
        <v/>
      </c>
      <c r="T712">
        <f>IF(N712="Sí",1,0)</f>
        <v/>
      </c>
      <c r="U712">
        <f>IF(L712="Aceptada",1,0)</f>
        <v/>
      </c>
    </row>
    <row r="713">
      <c r="A713" s="21" t="str"/>
      <c r="B713" s="23" t="str"/>
      <c r="I713" s="2" t="str"/>
      <c r="J713" s="2" t="str"/>
      <c r="K713" s="2" t="str"/>
      <c r="L713" s="1" t="str"/>
      <c r="M713" s="2" t="str"/>
      <c r="N713" s="1" t="str"/>
      <c r="O713" s="1" t="str"/>
      <c r="P713" s="1" t="str"/>
      <c r="Q713" s="1">
        <f>IF(H713="Sí",1,0)</f>
        <v/>
      </c>
      <c r="R713" s="1">
        <f>IF(L713="En coordinación",1,0)</f>
        <v/>
      </c>
      <c r="T713">
        <f>IF(N713="Sí",1,0)</f>
        <v/>
      </c>
      <c r="U713">
        <f>IF(L713="Aceptada",1,0)</f>
        <v/>
      </c>
    </row>
    <row r="714">
      <c r="A714" s="21" t="str"/>
      <c r="B714" s="23" t="str"/>
      <c r="I714" s="2" t="str"/>
      <c r="J714" s="2" t="str"/>
      <c r="K714" s="2" t="str"/>
      <c r="L714" s="1" t="str"/>
      <c r="M714" s="2" t="str"/>
      <c r="N714" s="1" t="str"/>
      <c r="O714" s="1" t="str"/>
      <c r="P714" s="1" t="str"/>
      <c r="Q714" s="1">
        <f>IF(H714="Sí",1,0)</f>
        <v/>
      </c>
      <c r="R714" s="1">
        <f>IF(L714="En coordinación",1,0)</f>
        <v/>
      </c>
      <c r="T714">
        <f>IF(N714="Sí",1,0)</f>
        <v/>
      </c>
      <c r="U714">
        <f>IF(L714="Aceptada",1,0)</f>
        <v/>
      </c>
    </row>
    <row r="715">
      <c r="A715" s="21" t="str"/>
      <c r="B715" s="23" t="str"/>
      <c r="I715" s="2" t="str"/>
      <c r="J715" s="2" t="str"/>
      <c r="K715" s="2" t="str"/>
      <c r="L715" s="1" t="str"/>
      <c r="M715" s="2" t="str"/>
      <c r="N715" s="1" t="str"/>
      <c r="O715" s="1" t="str"/>
      <c r="P715" s="1" t="str"/>
      <c r="Q715" s="1">
        <f>IF(H715="Sí",1,0)</f>
        <v/>
      </c>
      <c r="R715" s="1">
        <f>IF(L715="En coordinación",1,0)</f>
        <v/>
      </c>
      <c r="T715">
        <f>IF(N715="Sí",1,0)</f>
        <v/>
      </c>
      <c r="U715">
        <f>IF(L715="Aceptada",1,0)</f>
        <v/>
      </c>
    </row>
    <row r="716">
      <c r="A716" s="21" t="str"/>
      <c r="B716" s="23" t="str"/>
      <c r="I716" s="2" t="str"/>
      <c r="J716" s="2" t="str"/>
      <c r="K716" s="2" t="str"/>
      <c r="L716" s="1" t="str"/>
      <c r="M716" s="2" t="str"/>
      <c r="N716" s="1" t="str"/>
      <c r="O716" s="1" t="str"/>
      <c r="P716" s="1" t="str"/>
      <c r="Q716" s="1">
        <f>IF(H716="Sí",1,0)</f>
        <v/>
      </c>
      <c r="R716" s="1">
        <f>IF(L716="En coordinación",1,0)</f>
        <v/>
      </c>
      <c r="T716">
        <f>IF(N716="Sí",1,0)</f>
        <v/>
      </c>
      <c r="U716">
        <f>IF(L716="Aceptada",1,0)</f>
        <v/>
      </c>
    </row>
    <row r="717">
      <c r="A717" s="21" t="str"/>
      <c r="B717" s="23" t="str"/>
      <c r="I717" s="2" t="str"/>
      <c r="J717" s="2" t="str"/>
      <c r="K717" s="2" t="str"/>
      <c r="L717" s="1" t="str"/>
      <c r="M717" s="2" t="str"/>
      <c r="N717" s="1" t="str"/>
      <c r="O717" s="1" t="str"/>
      <c r="P717" s="1" t="str"/>
      <c r="Q717" s="1">
        <f>IF(H717="Sí",1,0)</f>
        <v/>
      </c>
      <c r="R717" s="1">
        <f>IF(L717="En coordinación",1,0)</f>
        <v/>
      </c>
      <c r="T717">
        <f>IF(N717="Sí",1,0)</f>
        <v/>
      </c>
      <c r="U717">
        <f>IF(L717="Aceptada",1,0)</f>
        <v/>
      </c>
    </row>
    <row r="718">
      <c r="A718" s="21" t="str"/>
      <c r="B718" s="23" t="str"/>
      <c r="I718" s="2" t="str"/>
      <c r="J718" s="2" t="str"/>
      <c r="K718" s="2" t="str"/>
      <c r="L718" s="1" t="str"/>
      <c r="M718" s="2" t="str"/>
      <c r="N718" s="1" t="str"/>
      <c r="O718" s="1" t="str"/>
      <c r="P718" s="1" t="str"/>
      <c r="Q718" s="1">
        <f>IF(H718="Sí",1,0)</f>
        <v/>
      </c>
      <c r="R718" s="1">
        <f>IF(L718="En coordinación",1,0)</f>
        <v/>
      </c>
      <c r="T718">
        <f>IF(N718="Sí",1,0)</f>
        <v/>
      </c>
      <c r="U718">
        <f>IF(L718="Aceptada",1,0)</f>
        <v/>
      </c>
    </row>
    <row r="719">
      <c r="A719" s="21" t="str"/>
      <c r="B719" s="23" t="str"/>
      <c r="I719" s="2" t="str"/>
      <c r="J719" s="2" t="str"/>
      <c r="K719" s="2" t="str"/>
      <c r="L719" s="1" t="str"/>
      <c r="M719" s="2" t="str"/>
      <c r="N719" s="1" t="str"/>
      <c r="O719" s="1" t="str"/>
      <c r="P719" s="1" t="str"/>
      <c r="Q719" s="1">
        <f>IF(H719="Sí",1,0)</f>
        <v/>
      </c>
      <c r="R719" s="1">
        <f>IF(L719="En coordinación",1,0)</f>
        <v/>
      </c>
      <c r="T719">
        <f>IF(N719="Sí",1,0)</f>
        <v/>
      </c>
      <c r="U719">
        <f>IF(L719="Aceptada",1,0)</f>
        <v/>
      </c>
    </row>
    <row r="720">
      <c r="A720" s="21" t="str"/>
      <c r="B720" s="23" t="str"/>
      <c r="I720" s="2" t="str"/>
      <c r="J720" s="2" t="str"/>
      <c r="K720" s="2" t="str"/>
      <c r="L720" s="1" t="str"/>
      <c r="M720" s="2" t="str"/>
      <c r="N720" s="1" t="str"/>
      <c r="O720" s="1" t="str"/>
      <c r="P720" s="1" t="str"/>
      <c r="Q720" s="1">
        <f>IF(H720="Sí",1,0)</f>
        <v/>
      </c>
      <c r="R720" s="1">
        <f>IF(L720="En coordinación",1,0)</f>
        <v/>
      </c>
      <c r="T720">
        <f>IF(N720="Sí",1,0)</f>
        <v/>
      </c>
      <c r="U720">
        <f>IF(L720="Aceptada",1,0)</f>
        <v/>
      </c>
    </row>
    <row r="721">
      <c r="A721" s="21" t="str"/>
      <c r="B721" s="23" t="str"/>
      <c r="I721" s="2" t="str"/>
      <c r="J721" s="2" t="str"/>
      <c r="K721" s="2" t="str"/>
      <c r="L721" s="1" t="str"/>
      <c r="M721" s="2" t="str"/>
      <c r="N721" s="1" t="str"/>
      <c r="O721" s="1" t="str"/>
      <c r="P721" s="1" t="str"/>
      <c r="Q721" s="1">
        <f>IF(H721="Sí",1,0)</f>
        <v/>
      </c>
      <c r="R721" s="1">
        <f>IF(L721="En coordinación",1,0)</f>
        <v/>
      </c>
      <c r="T721">
        <f>IF(N721="Sí",1,0)</f>
        <v/>
      </c>
      <c r="U721">
        <f>IF(L721="Aceptada",1,0)</f>
        <v/>
      </c>
    </row>
    <row r="722">
      <c r="A722" s="21" t="str"/>
      <c r="B722" s="23" t="str"/>
      <c r="I722" s="2" t="str"/>
      <c r="J722" s="2" t="str"/>
      <c r="K722" s="2" t="str"/>
      <c r="L722" s="1" t="str"/>
      <c r="M722" s="2" t="str"/>
      <c r="N722" s="1" t="str"/>
      <c r="O722" s="1" t="str"/>
      <c r="P722" s="1" t="str"/>
      <c r="Q722" s="1">
        <f>IF(H722="Sí",1,0)</f>
        <v/>
      </c>
      <c r="R722" s="1">
        <f>IF(L722="En coordinación",1,0)</f>
        <v/>
      </c>
      <c r="T722">
        <f>IF(N722="Sí",1,0)</f>
        <v/>
      </c>
      <c r="U722">
        <f>IF(L722="Aceptada",1,0)</f>
        <v/>
      </c>
    </row>
    <row r="723">
      <c r="A723" s="21" t="str"/>
      <c r="B723" s="23" t="str"/>
      <c r="I723" s="2" t="str"/>
      <c r="J723" s="2" t="str"/>
      <c r="K723" s="2" t="str"/>
      <c r="L723" s="1" t="str"/>
      <c r="M723" s="2" t="str"/>
      <c r="N723" s="1" t="str"/>
      <c r="O723" s="1" t="str"/>
      <c r="P723" s="1" t="str"/>
      <c r="Q723" s="1">
        <f>IF(H723="Sí",1,0)</f>
        <v/>
      </c>
      <c r="R723" s="1">
        <f>IF(L723="En coordinación",1,0)</f>
        <v/>
      </c>
      <c r="T723">
        <f>IF(N723="Sí",1,0)</f>
        <v/>
      </c>
      <c r="U723">
        <f>IF(L723="Aceptada",1,0)</f>
        <v/>
      </c>
    </row>
    <row r="724">
      <c r="A724" s="21" t="str"/>
      <c r="B724" s="23" t="str"/>
      <c r="I724" s="2" t="str"/>
      <c r="J724" s="2" t="str"/>
      <c r="K724" s="2" t="str"/>
      <c r="L724" s="1" t="str"/>
      <c r="M724" s="2" t="str"/>
      <c r="N724" s="1" t="str"/>
      <c r="O724" s="1" t="str"/>
      <c r="P724" s="1" t="str"/>
      <c r="Q724" s="1">
        <f>IF(H724="Sí",1,0)</f>
        <v/>
      </c>
      <c r="R724" s="1">
        <f>IF(L724="En coordinación",1,0)</f>
        <v/>
      </c>
      <c r="T724">
        <f>IF(N724="Sí",1,0)</f>
        <v/>
      </c>
      <c r="U724">
        <f>IF(L724="Aceptada",1,0)</f>
        <v/>
      </c>
    </row>
    <row r="725">
      <c r="A725" s="21" t="str"/>
      <c r="B725" s="23" t="str"/>
      <c r="I725" s="2" t="str"/>
      <c r="J725" s="2" t="str"/>
      <c r="K725" s="2" t="str"/>
      <c r="L725" s="1" t="str"/>
      <c r="M725" s="2" t="str"/>
      <c r="N725" s="1" t="str"/>
      <c r="O725" s="1" t="str"/>
      <c r="P725" s="1" t="str"/>
      <c r="Q725" s="1">
        <f>IF(H725="Sí",1,0)</f>
        <v/>
      </c>
      <c r="R725" s="1">
        <f>IF(L725="En coordinación",1,0)</f>
        <v/>
      </c>
      <c r="T725">
        <f>IF(N725="Sí",1,0)</f>
        <v/>
      </c>
      <c r="U725">
        <f>IF(L725="Aceptada",1,0)</f>
        <v/>
      </c>
    </row>
    <row r="726">
      <c r="A726" s="21" t="str"/>
      <c r="B726" s="23" t="str"/>
      <c r="I726" s="2" t="str"/>
      <c r="J726" s="2" t="str"/>
      <c r="K726" s="2" t="str"/>
      <c r="L726" s="1" t="str"/>
      <c r="M726" s="2" t="str"/>
      <c r="N726" s="1" t="str"/>
      <c r="O726" s="1" t="str"/>
      <c r="P726" s="1" t="str"/>
      <c r="Q726" s="1">
        <f>IF(H726="Sí",1,0)</f>
        <v/>
      </c>
      <c r="R726" s="1">
        <f>IF(L726="En coordinación",1,0)</f>
        <v/>
      </c>
      <c r="T726">
        <f>IF(N726="Sí",1,0)</f>
        <v/>
      </c>
      <c r="U726">
        <f>IF(L726="Aceptada",1,0)</f>
        <v/>
      </c>
    </row>
    <row r="727">
      <c r="A727" s="21" t="str"/>
      <c r="B727" s="23" t="str"/>
      <c r="I727" s="2" t="str"/>
      <c r="J727" s="2" t="str"/>
      <c r="K727" s="2" t="str"/>
      <c r="L727" s="1" t="str"/>
      <c r="M727" s="2" t="str"/>
      <c r="N727" s="1" t="str"/>
      <c r="O727" s="1" t="str"/>
      <c r="P727" s="1" t="str"/>
      <c r="Q727" s="1">
        <f>IF(H727="Sí",1,0)</f>
        <v/>
      </c>
      <c r="R727" s="1">
        <f>IF(L727="En coordinación",1,0)</f>
        <v/>
      </c>
      <c r="T727">
        <f>IF(N727="Sí",1,0)</f>
        <v/>
      </c>
      <c r="U727">
        <f>IF(L727="Aceptada",1,0)</f>
        <v/>
      </c>
    </row>
    <row r="728">
      <c r="A728" s="21" t="str"/>
      <c r="B728" s="23" t="str"/>
      <c r="I728" s="2" t="str"/>
      <c r="J728" s="2" t="str"/>
      <c r="K728" s="2" t="str"/>
      <c r="L728" s="1" t="str"/>
      <c r="M728" s="2" t="str"/>
      <c r="N728" s="1" t="str"/>
      <c r="O728" s="1" t="str"/>
      <c r="P728" s="1" t="str"/>
      <c r="Q728" s="1">
        <f>IF(H728="Sí",1,0)</f>
        <v/>
      </c>
      <c r="R728" s="1">
        <f>IF(L728="En coordinación",1,0)</f>
        <v/>
      </c>
      <c r="T728">
        <f>IF(N728="Sí",1,0)</f>
        <v/>
      </c>
      <c r="U728">
        <f>IF(L728="Aceptada",1,0)</f>
        <v/>
      </c>
    </row>
    <row r="729">
      <c r="A729" s="21" t="str"/>
      <c r="B729" s="23" t="str"/>
      <c r="I729" s="2" t="str"/>
      <c r="J729" s="2" t="str"/>
      <c r="K729" s="2" t="str"/>
      <c r="L729" s="1" t="str"/>
      <c r="M729" s="2" t="str"/>
      <c r="N729" s="1" t="str"/>
      <c r="O729" s="1" t="str"/>
      <c r="P729" s="1" t="str"/>
      <c r="Q729" s="1">
        <f>IF(H729="Sí",1,0)</f>
        <v/>
      </c>
      <c r="R729" s="1">
        <f>IF(L729="En coordinación",1,0)</f>
        <v/>
      </c>
      <c r="T729">
        <f>IF(N729="Sí",1,0)</f>
        <v/>
      </c>
      <c r="U729">
        <f>IF(L729="Aceptada",1,0)</f>
        <v/>
      </c>
    </row>
    <row r="730">
      <c r="A730" s="21" t="str"/>
      <c r="B730" s="23" t="str"/>
      <c r="I730" s="2" t="str"/>
      <c r="J730" s="2" t="str"/>
      <c r="K730" s="2" t="str"/>
      <c r="L730" s="1" t="str"/>
      <c r="M730" s="2" t="str"/>
      <c r="N730" s="1" t="str"/>
      <c r="O730" s="1" t="str"/>
      <c r="P730" s="1" t="str"/>
      <c r="Q730" s="1">
        <f>IF(H730="Sí",1,0)</f>
        <v/>
      </c>
      <c r="R730" s="1">
        <f>IF(L730="En coordinación",1,0)</f>
        <v/>
      </c>
      <c r="T730">
        <f>IF(N730="Sí",1,0)</f>
        <v/>
      </c>
      <c r="U730">
        <f>IF(L730="Aceptada",1,0)</f>
        <v/>
      </c>
    </row>
    <row r="731">
      <c r="A731" s="21" t="str"/>
      <c r="B731" s="23" t="str"/>
      <c r="I731" s="2" t="str"/>
      <c r="J731" s="2" t="str"/>
      <c r="K731" s="2" t="str"/>
      <c r="L731" s="1" t="str"/>
      <c r="M731" s="2" t="str"/>
      <c r="N731" s="1" t="str"/>
      <c r="O731" s="1" t="str"/>
      <c r="P731" s="1" t="str"/>
      <c r="Q731" s="1">
        <f>IF(H731="Sí",1,0)</f>
        <v/>
      </c>
      <c r="R731" s="1">
        <f>IF(L731="En coordinación",1,0)</f>
        <v/>
      </c>
      <c r="T731">
        <f>IF(N731="Sí",1,0)</f>
        <v/>
      </c>
      <c r="U731">
        <f>IF(L731="Aceptada",1,0)</f>
        <v/>
      </c>
    </row>
    <row r="732">
      <c r="A732" s="21" t="str"/>
      <c r="B732" s="23" t="str"/>
      <c r="I732" s="2" t="str"/>
      <c r="J732" s="2" t="str"/>
      <c r="K732" s="2" t="str"/>
      <c r="L732" s="1" t="str"/>
      <c r="M732" s="2" t="str"/>
      <c r="N732" s="1" t="str"/>
      <c r="O732" s="1" t="str"/>
      <c r="P732" s="1" t="str"/>
      <c r="Q732" s="1">
        <f>IF(H732="Sí",1,0)</f>
        <v/>
      </c>
      <c r="R732" s="1">
        <f>IF(L732="En coordinación",1,0)</f>
        <v/>
      </c>
      <c r="T732">
        <f>IF(N732="Sí",1,0)</f>
        <v/>
      </c>
      <c r="U732">
        <f>IF(L732="Aceptada",1,0)</f>
        <v/>
      </c>
    </row>
    <row r="733">
      <c r="A733" s="21" t="str"/>
      <c r="B733" s="23" t="str"/>
      <c r="I733" s="2" t="str"/>
      <c r="J733" s="2" t="str"/>
      <c r="K733" s="2" t="str"/>
      <c r="L733" s="1" t="str"/>
      <c r="M733" s="2" t="str"/>
      <c r="N733" s="1" t="str"/>
      <c r="O733" s="1" t="str"/>
      <c r="P733" s="1" t="str"/>
      <c r="Q733" s="1">
        <f>IF(H733="Sí",1,0)</f>
        <v/>
      </c>
      <c r="R733" s="1">
        <f>IF(L733="En coordinación",1,0)</f>
        <v/>
      </c>
      <c r="T733">
        <f>IF(N733="Sí",1,0)</f>
        <v/>
      </c>
      <c r="U733">
        <f>IF(L733="Aceptada",1,0)</f>
        <v/>
      </c>
    </row>
    <row r="734">
      <c r="A734" s="21" t="str"/>
      <c r="B734" s="23" t="str"/>
      <c r="I734" s="2" t="str"/>
      <c r="J734" s="2" t="str"/>
      <c r="K734" s="2" t="str"/>
      <c r="L734" s="1" t="str"/>
      <c r="M734" s="2" t="str"/>
      <c r="N734" s="1" t="str"/>
      <c r="O734" s="1" t="str"/>
      <c r="P734" s="1" t="str"/>
      <c r="Q734" s="1">
        <f>IF(H734="Sí",1,0)</f>
        <v/>
      </c>
      <c r="R734" s="1">
        <f>IF(L734="En coordinación",1,0)</f>
        <v/>
      </c>
      <c r="T734">
        <f>IF(N734="Sí",1,0)</f>
        <v/>
      </c>
      <c r="U734">
        <f>IF(L734="Aceptada",1,0)</f>
        <v/>
      </c>
    </row>
    <row r="735">
      <c r="A735" s="21" t="str"/>
      <c r="B735" s="23" t="str"/>
      <c r="I735" s="2" t="str"/>
      <c r="J735" s="2" t="str"/>
      <c r="K735" s="2" t="str"/>
      <c r="L735" s="1" t="str"/>
      <c r="M735" s="2" t="str"/>
      <c r="N735" s="1" t="str"/>
      <c r="O735" s="1" t="str"/>
      <c r="P735" s="1" t="str"/>
      <c r="Q735" s="1">
        <f>IF(H735="Sí",1,0)</f>
        <v/>
      </c>
      <c r="R735" s="1">
        <f>IF(L735="En coordinación",1,0)</f>
        <v/>
      </c>
      <c r="T735">
        <f>IF(N735="Sí",1,0)</f>
        <v/>
      </c>
      <c r="U735">
        <f>IF(L735="Aceptada",1,0)</f>
        <v/>
      </c>
    </row>
    <row r="736">
      <c r="A736" s="21" t="str"/>
      <c r="B736" s="23" t="str"/>
      <c r="I736" s="2" t="str"/>
      <c r="J736" s="2" t="str"/>
      <c r="K736" s="2" t="str"/>
      <c r="L736" s="1" t="str"/>
      <c r="M736" s="2" t="str"/>
      <c r="N736" s="1" t="str"/>
      <c r="O736" s="1" t="str"/>
      <c r="P736" s="1" t="str"/>
      <c r="Q736" s="1">
        <f>IF(H736="Sí",1,0)</f>
        <v/>
      </c>
      <c r="R736" s="1">
        <f>IF(L736="En coordinación",1,0)</f>
        <v/>
      </c>
      <c r="T736">
        <f>IF(N736="Sí",1,0)</f>
        <v/>
      </c>
      <c r="U736">
        <f>IF(L736="Aceptada",1,0)</f>
        <v/>
      </c>
    </row>
    <row r="737">
      <c r="A737" s="21" t="str"/>
      <c r="B737" s="23" t="str"/>
      <c r="I737" s="2" t="str"/>
      <c r="J737" s="2" t="str"/>
      <c r="K737" s="2" t="str"/>
      <c r="L737" s="1" t="str"/>
      <c r="M737" s="2" t="str"/>
      <c r="N737" s="1" t="str"/>
      <c r="O737" s="1" t="str"/>
      <c r="P737" s="1" t="str"/>
      <c r="Q737" s="1">
        <f>IF(H737="Sí",1,0)</f>
        <v/>
      </c>
      <c r="R737" s="1">
        <f>IF(L737="En coordinación",1,0)</f>
        <v/>
      </c>
      <c r="T737">
        <f>IF(N737="Sí",1,0)</f>
        <v/>
      </c>
      <c r="U737">
        <f>IF(L737="Aceptada",1,0)</f>
        <v/>
      </c>
    </row>
    <row r="738">
      <c r="A738" s="21" t="str"/>
      <c r="B738" s="23" t="str"/>
      <c r="I738" s="2" t="str"/>
      <c r="J738" s="2" t="str"/>
      <c r="K738" s="2" t="str"/>
      <c r="L738" s="1" t="str"/>
      <c r="M738" s="2" t="str"/>
      <c r="N738" s="1" t="str"/>
      <c r="O738" s="1" t="str"/>
      <c r="P738" s="1" t="str"/>
      <c r="Q738" s="1">
        <f>IF(H738="Sí",1,0)</f>
        <v/>
      </c>
      <c r="R738" s="1">
        <f>IF(L738="En coordinación",1,0)</f>
        <v/>
      </c>
      <c r="T738">
        <f>IF(N738="Sí",1,0)</f>
        <v/>
      </c>
      <c r="U738">
        <f>IF(L738="Aceptada",1,0)</f>
        <v/>
      </c>
    </row>
    <row r="739">
      <c r="A739" s="21" t="str"/>
      <c r="B739" s="23" t="str"/>
      <c r="I739" s="2" t="str"/>
      <c r="J739" s="2" t="str"/>
      <c r="K739" s="2" t="str"/>
      <c r="L739" s="1" t="str"/>
      <c r="M739" s="2" t="str"/>
      <c r="N739" s="1" t="str"/>
      <c r="O739" s="1" t="str"/>
      <c r="P739" s="1" t="str"/>
      <c r="Q739" s="1">
        <f>IF(H739="Sí",1,0)</f>
        <v/>
      </c>
      <c r="R739" s="1">
        <f>IF(L739="En coordinación",1,0)</f>
        <v/>
      </c>
      <c r="T739">
        <f>IF(N739="Sí",1,0)</f>
        <v/>
      </c>
      <c r="U739">
        <f>IF(L739="Aceptada",1,0)</f>
        <v/>
      </c>
    </row>
    <row r="740">
      <c r="A740" s="21" t="str"/>
      <c r="B740" s="23" t="str"/>
      <c r="I740" s="2" t="str"/>
      <c r="J740" s="2" t="str"/>
      <c r="K740" s="2" t="str"/>
      <c r="L740" s="1" t="str"/>
      <c r="M740" s="2" t="str"/>
      <c r="N740" s="1" t="str"/>
      <c r="O740" s="1" t="str"/>
      <c r="P740" s="1" t="str"/>
      <c r="Q740" s="1">
        <f>IF(H740="Sí",1,0)</f>
        <v/>
      </c>
      <c r="R740" s="1">
        <f>IF(L740="En coordinación",1,0)</f>
        <v/>
      </c>
      <c r="T740">
        <f>IF(N740="Sí",1,0)</f>
        <v/>
      </c>
      <c r="U740">
        <f>IF(L740="Aceptada",1,0)</f>
        <v/>
      </c>
    </row>
    <row r="741">
      <c r="A741" s="21" t="str"/>
      <c r="B741" s="23" t="str"/>
      <c r="I741" s="2" t="str"/>
      <c r="J741" s="2" t="str"/>
      <c r="K741" s="2" t="str"/>
      <c r="L741" s="1" t="str"/>
      <c r="M741" s="2" t="str"/>
      <c r="N741" s="1" t="str"/>
      <c r="O741" s="1" t="str"/>
      <c r="P741" s="1" t="str"/>
      <c r="Q741" s="1">
        <f>IF(H741="Sí",1,0)</f>
        <v/>
      </c>
      <c r="R741" s="1">
        <f>IF(L741="En coordinación",1,0)</f>
        <v/>
      </c>
      <c r="T741">
        <f>IF(N741="Sí",1,0)</f>
        <v/>
      </c>
      <c r="U741">
        <f>IF(L741="Aceptada",1,0)</f>
        <v/>
      </c>
    </row>
    <row r="742">
      <c r="A742" s="21" t="str"/>
      <c r="B742" s="23" t="str"/>
      <c r="I742" s="2" t="str"/>
      <c r="J742" s="2" t="str"/>
      <c r="K742" s="2" t="str"/>
      <c r="L742" s="1" t="str"/>
      <c r="M742" s="2" t="str"/>
      <c r="N742" s="1" t="str"/>
      <c r="O742" s="1" t="str"/>
      <c r="P742" s="1" t="str"/>
      <c r="Q742" s="1">
        <f>IF(H742="Sí",1,0)</f>
        <v/>
      </c>
      <c r="R742" s="1">
        <f>IF(L742="En coordinación",1,0)</f>
        <v/>
      </c>
      <c r="T742">
        <f>IF(N742="Sí",1,0)</f>
        <v/>
      </c>
      <c r="U742">
        <f>IF(L742="Aceptada",1,0)</f>
        <v/>
      </c>
    </row>
    <row r="743">
      <c r="A743" s="21" t="str"/>
      <c r="B743" s="23" t="str"/>
      <c r="I743" s="2" t="str"/>
      <c r="J743" s="2" t="str"/>
      <c r="K743" s="2" t="str"/>
      <c r="L743" s="1" t="str"/>
      <c r="M743" s="2" t="str"/>
      <c r="N743" s="1" t="str"/>
      <c r="O743" s="1" t="str"/>
      <c r="P743" s="1" t="str"/>
      <c r="Q743" s="1">
        <f>IF(H743="Sí",1,0)</f>
        <v/>
      </c>
      <c r="R743" s="1">
        <f>IF(L743="En coordinación",1,0)</f>
        <v/>
      </c>
      <c r="T743">
        <f>IF(N743="Sí",1,0)</f>
        <v/>
      </c>
      <c r="U743">
        <f>IF(L743="Aceptada",1,0)</f>
        <v/>
      </c>
    </row>
    <row r="744">
      <c r="A744" s="21" t="str"/>
      <c r="B744" s="23" t="str"/>
      <c r="I744" s="2" t="str"/>
      <c r="J744" s="2" t="str"/>
      <c r="K744" s="2" t="str"/>
      <c r="L744" s="1" t="str"/>
      <c r="M744" s="2" t="str"/>
      <c r="N744" s="1" t="str"/>
      <c r="O744" s="1" t="str"/>
      <c r="P744" s="1" t="str"/>
      <c r="Q744" s="1">
        <f>IF(H744="Sí",1,0)</f>
        <v/>
      </c>
      <c r="R744" s="1">
        <f>IF(L744="En coordinación",1,0)</f>
        <v/>
      </c>
      <c r="T744">
        <f>IF(N744="Sí",1,0)</f>
        <v/>
      </c>
      <c r="U744">
        <f>IF(L744="Aceptada",1,0)</f>
        <v/>
      </c>
    </row>
    <row r="745">
      <c r="A745" s="21" t="str"/>
      <c r="B745" s="23" t="str"/>
      <c r="I745" s="2" t="str"/>
      <c r="J745" s="2" t="str"/>
      <c r="K745" s="2" t="str"/>
      <c r="L745" s="1" t="str"/>
      <c r="M745" s="2" t="str"/>
      <c r="N745" s="1" t="str"/>
      <c r="O745" s="1" t="str"/>
      <c r="P745" s="1" t="str"/>
      <c r="Q745" s="1">
        <f>IF(H745="Sí",1,0)</f>
        <v/>
      </c>
      <c r="R745" s="1">
        <f>IF(L745="En coordinación",1,0)</f>
        <v/>
      </c>
      <c r="T745">
        <f>IF(N745="Sí",1,0)</f>
        <v/>
      </c>
      <c r="U745">
        <f>IF(L745="Aceptada",1,0)</f>
        <v/>
      </c>
    </row>
    <row r="746">
      <c r="A746" s="21" t="str"/>
      <c r="B746" s="23" t="str"/>
      <c r="I746" s="2" t="str"/>
      <c r="J746" s="2" t="str"/>
      <c r="K746" s="2" t="str"/>
      <c r="L746" s="1" t="str"/>
      <c r="M746" s="2" t="str"/>
      <c r="N746" s="1" t="str"/>
      <c r="O746" s="1" t="str"/>
      <c r="P746" s="1" t="str"/>
      <c r="Q746" s="1">
        <f>IF(H746="Sí",1,0)</f>
        <v/>
      </c>
      <c r="R746" s="1">
        <f>IF(L746="En coordinación",1,0)</f>
        <v/>
      </c>
      <c r="T746">
        <f>IF(N746="Sí",1,0)</f>
        <v/>
      </c>
      <c r="U746">
        <f>IF(L746="Aceptada",1,0)</f>
        <v/>
      </c>
    </row>
    <row r="747">
      <c r="A747" s="21" t="str"/>
      <c r="B747" s="23" t="str"/>
      <c r="I747" s="2" t="str"/>
      <c r="J747" s="2" t="str"/>
      <c r="K747" s="2" t="str"/>
      <c r="L747" s="1" t="str"/>
      <c r="M747" s="2" t="str"/>
      <c r="N747" s="1" t="str"/>
      <c r="O747" s="1" t="str"/>
      <c r="P747" s="1" t="str"/>
      <c r="Q747" s="1">
        <f>IF(H747="Sí",1,0)</f>
        <v/>
      </c>
      <c r="R747" s="1">
        <f>IF(L747="En coordinación",1,0)</f>
        <v/>
      </c>
      <c r="T747">
        <f>IF(N747="Sí",1,0)</f>
        <v/>
      </c>
      <c r="U747">
        <f>IF(L747="Aceptada",1,0)</f>
        <v/>
      </c>
    </row>
    <row r="748">
      <c r="A748" s="21" t="str"/>
      <c r="B748" s="23" t="str"/>
      <c r="I748" s="2" t="str"/>
      <c r="J748" s="2" t="str"/>
      <c r="K748" s="2" t="str"/>
      <c r="L748" s="1" t="str"/>
      <c r="M748" s="2" t="str"/>
      <c r="N748" s="1" t="str"/>
      <c r="O748" s="1" t="str"/>
      <c r="P748" s="1" t="str"/>
      <c r="Q748" s="1">
        <f>IF(H748="Sí",1,0)</f>
        <v/>
      </c>
      <c r="R748" s="1">
        <f>IF(L748="En coordinación",1,0)</f>
        <v/>
      </c>
      <c r="T748">
        <f>IF(N748="Sí",1,0)</f>
        <v/>
      </c>
      <c r="U748">
        <f>IF(L748="Aceptada",1,0)</f>
        <v/>
      </c>
    </row>
    <row r="749">
      <c r="A749" s="21" t="str"/>
      <c r="B749" s="23" t="str"/>
      <c r="I749" s="2" t="str"/>
      <c r="J749" s="2" t="str"/>
      <c r="K749" s="2" t="str"/>
      <c r="L749" s="1" t="str"/>
      <c r="M749" s="2" t="str"/>
      <c r="N749" s="1" t="str"/>
      <c r="O749" s="1" t="str"/>
      <c r="P749" s="1" t="str"/>
      <c r="Q749" s="1">
        <f>IF(H749="Sí",1,0)</f>
        <v/>
      </c>
      <c r="R749" s="1">
        <f>IF(L749="En coordinación",1,0)</f>
        <v/>
      </c>
      <c r="T749">
        <f>IF(N749="Sí",1,0)</f>
        <v/>
      </c>
      <c r="U749">
        <f>IF(L749="Aceptada",1,0)</f>
        <v/>
      </c>
    </row>
    <row r="750">
      <c r="A750" s="21" t="str"/>
      <c r="B750" s="23" t="str"/>
      <c r="I750" s="2" t="str"/>
      <c r="J750" s="2" t="str"/>
      <c r="K750" s="2" t="str"/>
      <c r="L750" s="1" t="str"/>
      <c r="M750" s="2" t="str"/>
      <c r="N750" s="1" t="str"/>
      <c r="O750" s="1" t="str"/>
      <c r="P750" s="1" t="str"/>
      <c r="Q750" s="1">
        <f>IF(H750="Sí",1,0)</f>
        <v/>
      </c>
      <c r="R750" s="1">
        <f>IF(L750="En coordinación",1,0)</f>
        <v/>
      </c>
      <c r="T750">
        <f>IF(N750="Sí",1,0)</f>
        <v/>
      </c>
      <c r="U750">
        <f>IF(L750="Aceptada",1,0)</f>
        <v/>
      </c>
    </row>
    <row r="751">
      <c r="A751" s="21" t="str"/>
      <c r="B751" s="23" t="str"/>
      <c r="I751" s="2" t="str"/>
      <c r="J751" s="2" t="str"/>
      <c r="K751" s="2" t="str"/>
      <c r="L751" s="1" t="str"/>
      <c r="M751" s="2" t="str"/>
      <c r="N751" s="1" t="str"/>
      <c r="O751" s="1" t="str"/>
      <c r="P751" s="1" t="str"/>
      <c r="Q751" s="1">
        <f>IF(H751="Sí",1,0)</f>
        <v/>
      </c>
      <c r="R751" s="1">
        <f>IF(L751="En coordinación",1,0)</f>
        <v/>
      </c>
      <c r="T751">
        <f>IF(N751="Sí",1,0)</f>
        <v/>
      </c>
      <c r="U751">
        <f>IF(L751="Aceptada",1,0)</f>
        <v/>
      </c>
    </row>
    <row r="752">
      <c r="A752" s="21" t="str"/>
      <c r="B752" s="23" t="str"/>
      <c r="I752" s="2" t="str"/>
      <c r="J752" s="2" t="str"/>
      <c r="K752" s="2" t="str"/>
      <c r="L752" s="1" t="str"/>
      <c r="M752" s="2" t="str"/>
      <c r="N752" s="1" t="str"/>
      <c r="O752" s="1" t="str"/>
      <c r="P752" s="1" t="str"/>
      <c r="Q752" s="1">
        <f>IF(H752="Sí",1,0)</f>
        <v/>
      </c>
      <c r="R752" s="1">
        <f>IF(L752="En coordinación",1,0)</f>
        <v/>
      </c>
      <c r="T752">
        <f>IF(N752="Sí",1,0)</f>
        <v/>
      </c>
      <c r="U752">
        <f>IF(L752="Aceptada",1,0)</f>
        <v/>
      </c>
    </row>
    <row r="753">
      <c r="A753" s="21" t="str"/>
      <c r="B753" s="23" t="str"/>
      <c r="I753" s="2" t="str"/>
      <c r="J753" s="2" t="str"/>
      <c r="K753" s="2" t="str"/>
      <c r="L753" s="1" t="str"/>
      <c r="M753" s="2" t="str"/>
      <c r="N753" s="1" t="str"/>
      <c r="O753" s="1" t="str"/>
      <c r="P753" s="1" t="str"/>
      <c r="Q753" s="1">
        <f>IF(H753="Sí",1,0)</f>
        <v/>
      </c>
      <c r="R753" s="1">
        <f>IF(L753="En coordinación",1,0)</f>
        <v/>
      </c>
      <c r="T753">
        <f>IF(N753="Sí",1,0)</f>
        <v/>
      </c>
      <c r="U753">
        <f>IF(L753="Aceptada",1,0)</f>
        <v/>
      </c>
    </row>
    <row r="754">
      <c r="A754" s="21" t="str"/>
      <c r="B754" s="23" t="str"/>
      <c r="I754" s="2" t="str"/>
      <c r="J754" s="2" t="str"/>
      <c r="K754" s="2" t="str"/>
      <c r="L754" s="1" t="str"/>
      <c r="M754" s="2" t="str"/>
      <c r="N754" s="1" t="str"/>
      <c r="O754" s="1" t="str"/>
      <c r="P754" s="1" t="str"/>
      <c r="Q754" s="1">
        <f>IF(H754="Sí",1,0)</f>
        <v/>
      </c>
      <c r="R754" s="1">
        <f>IF(L754="En coordinación",1,0)</f>
        <v/>
      </c>
      <c r="T754">
        <f>IF(N754="Sí",1,0)</f>
        <v/>
      </c>
      <c r="U754">
        <f>IF(L754="Aceptada",1,0)</f>
        <v/>
      </c>
    </row>
    <row r="755">
      <c r="A755" s="21" t="str"/>
      <c r="B755" s="23" t="str"/>
      <c r="I755" s="2" t="str"/>
      <c r="J755" s="2" t="str"/>
      <c r="K755" s="2" t="str"/>
      <c r="L755" s="1" t="str"/>
      <c r="M755" s="2" t="str"/>
      <c r="N755" s="1" t="str"/>
      <c r="O755" s="1" t="str"/>
      <c r="P755" s="1" t="str"/>
      <c r="Q755" s="1">
        <f>IF(H755="Sí",1,0)</f>
        <v/>
      </c>
      <c r="R755" s="1">
        <f>IF(L755="En coordinación",1,0)</f>
        <v/>
      </c>
      <c r="T755">
        <f>IF(N755="Sí",1,0)</f>
        <v/>
      </c>
      <c r="U755">
        <f>IF(L755="Aceptada",1,0)</f>
        <v/>
      </c>
    </row>
    <row r="756">
      <c r="A756" s="21" t="str"/>
      <c r="B756" s="23" t="str"/>
      <c r="I756" s="2" t="str"/>
      <c r="J756" s="2" t="str"/>
      <c r="K756" s="2" t="str"/>
      <c r="L756" s="1" t="str"/>
      <c r="M756" s="2" t="str"/>
      <c r="N756" s="1" t="str"/>
      <c r="O756" s="1" t="str"/>
      <c r="P756" s="1" t="str"/>
      <c r="Q756" s="1">
        <f>IF(H756="Sí",1,0)</f>
        <v/>
      </c>
      <c r="R756" s="1">
        <f>IF(L756="En coordinación",1,0)</f>
        <v/>
      </c>
      <c r="T756">
        <f>IF(N756="Sí",1,0)</f>
        <v/>
      </c>
      <c r="U756">
        <f>IF(L756="Aceptada",1,0)</f>
        <v/>
      </c>
    </row>
    <row r="757">
      <c r="A757" s="21" t="str"/>
      <c r="B757" s="23" t="str"/>
      <c r="I757" s="2" t="str"/>
      <c r="J757" s="2" t="str"/>
      <c r="K757" s="2" t="str"/>
      <c r="L757" s="1" t="str"/>
      <c r="M757" s="2" t="str"/>
      <c r="N757" s="1" t="str"/>
      <c r="O757" s="1" t="str"/>
      <c r="P757" s="1" t="str"/>
      <c r="Q757" s="1">
        <f>IF(H757="Sí",1,0)</f>
        <v/>
      </c>
      <c r="R757" s="1">
        <f>IF(L757="En coordinación",1,0)</f>
        <v/>
      </c>
      <c r="T757">
        <f>IF(N757="Sí",1,0)</f>
        <v/>
      </c>
      <c r="U757">
        <f>IF(L757="Aceptada",1,0)</f>
        <v/>
      </c>
    </row>
    <row r="758">
      <c r="A758" s="21" t="str"/>
      <c r="B758" s="23" t="str"/>
      <c r="I758" s="2" t="str"/>
      <c r="J758" s="2" t="str"/>
      <c r="K758" s="2" t="str"/>
      <c r="L758" s="1" t="str"/>
      <c r="M758" s="2" t="str"/>
      <c r="N758" s="1" t="str"/>
      <c r="O758" s="1" t="str"/>
      <c r="P758" s="1" t="str"/>
      <c r="Q758" s="1">
        <f>IF(H758="Sí",1,0)</f>
        <v/>
      </c>
      <c r="R758" s="1">
        <f>IF(L758="En coordinación",1,0)</f>
        <v/>
      </c>
      <c r="T758">
        <f>IF(N758="Sí",1,0)</f>
        <v/>
      </c>
      <c r="U758">
        <f>IF(L758="Aceptada",1,0)</f>
        <v/>
      </c>
    </row>
    <row r="759">
      <c r="A759" s="21" t="str"/>
      <c r="B759" s="23" t="str"/>
      <c r="I759" s="2" t="str"/>
      <c r="J759" s="2" t="str"/>
      <c r="K759" s="2" t="str"/>
      <c r="L759" s="1" t="str"/>
      <c r="M759" s="2" t="str"/>
      <c r="N759" s="1" t="str"/>
      <c r="O759" s="1" t="str"/>
      <c r="P759" s="1" t="str"/>
      <c r="Q759" s="1">
        <f>IF(H759="Sí",1,0)</f>
        <v/>
      </c>
      <c r="R759" s="1">
        <f>IF(L759="En coordinación",1,0)</f>
        <v/>
      </c>
      <c r="T759">
        <f>IF(N759="Sí",1,0)</f>
        <v/>
      </c>
      <c r="U759">
        <f>IF(L759="Aceptada",1,0)</f>
        <v/>
      </c>
    </row>
    <row r="760">
      <c r="A760" s="21" t="str"/>
      <c r="B760" s="23" t="str"/>
      <c r="I760" s="2" t="str"/>
      <c r="J760" s="2" t="str"/>
      <c r="K760" s="2" t="str"/>
      <c r="L760" s="1" t="str"/>
      <c r="M760" s="2" t="str"/>
      <c r="N760" s="1" t="str"/>
      <c r="O760" s="1" t="str"/>
      <c r="P760" s="1" t="str"/>
      <c r="Q760" s="1">
        <f>IF(H760="Sí",1,0)</f>
        <v/>
      </c>
      <c r="R760" s="1">
        <f>IF(L760="En coordinación",1,0)</f>
        <v/>
      </c>
      <c r="T760">
        <f>IF(N760="Sí",1,0)</f>
        <v/>
      </c>
      <c r="U760">
        <f>IF(L760="Aceptada",1,0)</f>
        <v/>
      </c>
    </row>
    <row r="761">
      <c r="A761" s="21" t="str"/>
      <c r="B761" s="23" t="str"/>
      <c r="I761" s="2" t="str"/>
      <c r="J761" s="2" t="str"/>
      <c r="K761" s="2" t="str"/>
      <c r="L761" s="1" t="str"/>
      <c r="M761" s="2" t="str"/>
      <c r="N761" s="1" t="str"/>
      <c r="O761" s="1" t="str"/>
      <c r="P761" s="1" t="str"/>
      <c r="Q761" s="1">
        <f>IF(H761="Sí",1,0)</f>
        <v/>
      </c>
      <c r="R761" s="1">
        <f>IF(L761="En coordinación",1,0)</f>
        <v/>
      </c>
      <c r="T761">
        <f>IF(N761="Sí",1,0)</f>
        <v/>
      </c>
      <c r="U761">
        <f>IF(L761="Aceptada",1,0)</f>
        <v/>
      </c>
    </row>
    <row r="762">
      <c r="A762" s="21" t="str"/>
      <c r="B762" s="23" t="str"/>
      <c r="I762" s="2" t="str"/>
      <c r="J762" s="2" t="str"/>
      <c r="K762" s="2" t="str"/>
      <c r="L762" s="1" t="str"/>
      <c r="M762" s="2" t="str"/>
      <c r="N762" s="1" t="str"/>
      <c r="O762" s="1" t="str"/>
      <c r="P762" s="1" t="str"/>
      <c r="Q762" s="1">
        <f>IF(H762="Sí",1,0)</f>
        <v/>
      </c>
      <c r="R762" s="1">
        <f>IF(L762="En coordinación",1,0)</f>
        <v/>
      </c>
      <c r="T762">
        <f>IF(N762="Sí",1,0)</f>
        <v/>
      </c>
      <c r="U762">
        <f>IF(L762="Aceptada",1,0)</f>
        <v/>
      </c>
    </row>
    <row r="763">
      <c r="A763" s="21" t="str"/>
      <c r="B763" s="23" t="str"/>
      <c r="I763" s="2" t="str"/>
      <c r="J763" s="2" t="str"/>
      <c r="K763" s="2" t="str"/>
      <c r="L763" s="1" t="str"/>
      <c r="M763" s="2" t="str"/>
      <c r="N763" s="1" t="str"/>
      <c r="O763" s="1" t="str"/>
      <c r="P763" s="1" t="str"/>
      <c r="Q763" s="1">
        <f>IF(H763="Sí",1,0)</f>
        <v/>
      </c>
      <c r="R763" s="1">
        <f>IF(L763="En coordinación",1,0)</f>
        <v/>
      </c>
      <c r="T763">
        <f>IF(N763="Sí",1,0)</f>
        <v/>
      </c>
      <c r="U763">
        <f>IF(L763="Aceptada",1,0)</f>
        <v/>
      </c>
    </row>
    <row r="764">
      <c r="A764" s="21" t="str"/>
      <c r="B764" s="23" t="str"/>
      <c r="I764" s="2" t="str"/>
      <c r="J764" s="2" t="str"/>
      <c r="K764" s="2" t="str"/>
      <c r="L764" s="1" t="str"/>
      <c r="M764" s="2" t="str"/>
      <c r="N764" s="1" t="str"/>
      <c r="O764" s="1" t="str"/>
      <c r="P764" s="1" t="str"/>
      <c r="Q764" s="1">
        <f>IF(H764="Sí",1,0)</f>
        <v/>
      </c>
      <c r="R764" s="1">
        <f>IF(L764="En coordinación",1,0)</f>
        <v/>
      </c>
      <c r="T764">
        <f>IF(N764="Sí",1,0)</f>
        <v/>
      </c>
      <c r="U764">
        <f>IF(L764="Aceptada",1,0)</f>
        <v/>
      </c>
    </row>
    <row r="765">
      <c r="A765" s="21" t="str"/>
      <c r="B765" s="23" t="str"/>
      <c r="I765" s="2" t="str"/>
      <c r="J765" s="2" t="str"/>
      <c r="K765" s="2" t="str"/>
      <c r="L765" s="1" t="str"/>
      <c r="M765" s="2" t="str"/>
      <c r="N765" s="1" t="str"/>
      <c r="O765" s="1" t="str"/>
      <c r="P765" s="1" t="str"/>
      <c r="Q765" s="1">
        <f>IF(H765="Sí",1,0)</f>
        <v/>
      </c>
      <c r="R765" s="1">
        <f>IF(L765="En coordinación",1,0)</f>
        <v/>
      </c>
      <c r="T765">
        <f>IF(N765="Sí",1,0)</f>
        <v/>
      </c>
      <c r="U765">
        <f>IF(L765="Aceptada",1,0)</f>
        <v/>
      </c>
    </row>
    <row r="766">
      <c r="A766" s="21" t="str"/>
      <c r="B766" s="23" t="str"/>
      <c r="I766" s="2" t="str"/>
      <c r="J766" s="2" t="str"/>
      <c r="K766" s="2" t="str"/>
      <c r="L766" s="1" t="str"/>
      <c r="M766" s="2" t="str"/>
      <c r="N766" s="1" t="str"/>
      <c r="O766" s="1" t="str"/>
      <c r="P766" s="1" t="str"/>
      <c r="Q766" s="1">
        <f>IF(H766="Sí",1,0)</f>
        <v/>
      </c>
      <c r="R766" s="1">
        <f>IF(L766="En coordinación",1,0)</f>
        <v/>
      </c>
      <c r="T766">
        <f>IF(N766="Sí",1,0)</f>
        <v/>
      </c>
      <c r="U766">
        <f>IF(L766="Aceptada",1,0)</f>
        <v/>
      </c>
    </row>
    <row r="767">
      <c r="A767" s="21" t="str"/>
      <c r="B767" s="23" t="str"/>
      <c r="I767" s="2" t="str"/>
      <c r="J767" s="2" t="str"/>
      <c r="K767" s="2" t="str"/>
      <c r="L767" s="1" t="str"/>
      <c r="M767" s="2" t="str"/>
      <c r="N767" s="1" t="str"/>
      <c r="O767" s="1" t="str"/>
      <c r="P767" s="1" t="str"/>
      <c r="Q767" s="1">
        <f>IF(H767="Sí",1,0)</f>
        <v/>
      </c>
      <c r="R767" s="1">
        <f>IF(L767="En coordinación",1,0)</f>
        <v/>
      </c>
      <c r="T767">
        <f>IF(N767="Sí",1,0)</f>
        <v/>
      </c>
      <c r="U767">
        <f>IF(L767="Aceptada",1,0)</f>
        <v/>
      </c>
    </row>
    <row r="768">
      <c r="A768" s="21" t="str"/>
      <c r="B768" s="23" t="str"/>
      <c r="I768" s="2" t="str"/>
      <c r="J768" s="2" t="str"/>
      <c r="K768" s="2" t="str"/>
      <c r="L768" s="1" t="str"/>
      <c r="M768" s="2" t="str"/>
      <c r="N768" s="1" t="str"/>
      <c r="O768" s="1" t="str"/>
      <c r="P768" s="1" t="str"/>
      <c r="Q768" s="1">
        <f>IF(H768="Sí",1,0)</f>
        <v/>
      </c>
      <c r="R768" s="1">
        <f>IF(L768="En coordinación",1,0)</f>
        <v/>
      </c>
      <c r="T768">
        <f>IF(N768="Sí",1,0)</f>
        <v/>
      </c>
      <c r="U768">
        <f>IF(L768="Aceptada",1,0)</f>
        <v/>
      </c>
    </row>
    <row r="769">
      <c r="A769" s="21" t="str"/>
      <c r="B769" s="23" t="str"/>
      <c r="I769" s="2" t="str"/>
      <c r="J769" s="2" t="str"/>
      <c r="K769" s="2" t="str"/>
      <c r="L769" s="1" t="str"/>
      <c r="M769" s="2" t="str"/>
      <c r="N769" s="1" t="str"/>
      <c r="O769" s="1" t="str"/>
      <c r="P769" s="1" t="str"/>
      <c r="Q769" s="1">
        <f>IF(H769="Sí",1,0)</f>
        <v/>
      </c>
      <c r="R769" s="1">
        <f>IF(L769="En coordinación",1,0)</f>
        <v/>
      </c>
      <c r="T769">
        <f>IF(N769="Sí",1,0)</f>
        <v/>
      </c>
      <c r="U769">
        <f>IF(L769="Aceptada",1,0)</f>
        <v/>
      </c>
    </row>
    <row r="770">
      <c r="A770" s="21" t="str"/>
      <c r="B770" s="23" t="str"/>
      <c r="I770" s="2" t="str"/>
      <c r="J770" s="2" t="str"/>
      <c r="K770" s="2" t="str"/>
      <c r="L770" s="1" t="str"/>
      <c r="M770" s="2" t="str"/>
      <c r="N770" s="1" t="str"/>
      <c r="O770" s="1" t="str"/>
      <c r="P770" s="1" t="str"/>
      <c r="Q770" s="1">
        <f>IF(H770="Sí",1,0)</f>
        <v/>
      </c>
      <c r="R770" s="1">
        <f>IF(L770="En coordinación",1,0)</f>
        <v/>
      </c>
      <c r="T770">
        <f>IF(N770="Sí",1,0)</f>
        <v/>
      </c>
      <c r="U770">
        <f>IF(L770="Aceptada",1,0)</f>
        <v/>
      </c>
    </row>
    <row r="771">
      <c r="A771" s="21" t="str"/>
      <c r="B771" s="23" t="str"/>
      <c r="I771" s="2" t="str"/>
      <c r="J771" s="2" t="str"/>
      <c r="K771" s="2" t="str"/>
      <c r="L771" s="1" t="str"/>
      <c r="M771" s="2" t="str"/>
      <c r="N771" s="1" t="str"/>
      <c r="O771" s="1" t="str"/>
      <c r="P771" s="1" t="str"/>
      <c r="Q771" s="1">
        <f>IF(H771="Sí",1,0)</f>
        <v/>
      </c>
      <c r="R771" s="1">
        <f>IF(L771="En coordinación",1,0)</f>
        <v/>
      </c>
      <c r="T771">
        <f>IF(N771="Sí",1,0)</f>
        <v/>
      </c>
      <c r="U771">
        <f>IF(L771="Aceptada",1,0)</f>
        <v/>
      </c>
    </row>
    <row r="772">
      <c r="A772" s="21" t="str"/>
      <c r="B772" s="23" t="str"/>
      <c r="I772" s="2" t="str"/>
      <c r="J772" s="2" t="str"/>
      <c r="K772" s="2" t="str"/>
      <c r="L772" s="1" t="str"/>
      <c r="M772" s="2" t="str"/>
      <c r="N772" s="1" t="str"/>
      <c r="O772" s="1" t="str"/>
      <c r="P772" s="1" t="str"/>
      <c r="Q772" s="1">
        <f>IF(H772="Sí",1,0)</f>
        <v/>
      </c>
      <c r="R772" s="1">
        <f>IF(L772="En coordinación",1,0)</f>
        <v/>
      </c>
      <c r="T772">
        <f>IF(N772="Sí",1,0)</f>
        <v/>
      </c>
      <c r="U772">
        <f>IF(L772="Aceptada",1,0)</f>
        <v/>
      </c>
    </row>
    <row r="773">
      <c r="A773" s="21" t="str"/>
      <c r="B773" s="23" t="str"/>
      <c r="I773" s="2" t="str"/>
      <c r="J773" s="2" t="str"/>
      <c r="K773" s="2" t="str"/>
      <c r="L773" s="1" t="str"/>
      <c r="M773" s="2" t="str"/>
      <c r="N773" s="1" t="str"/>
      <c r="O773" s="1" t="str"/>
      <c r="P773" s="1" t="str"/>
      <c r="Q773" s="1">
        <f>IF(H773="Sí",1,0)</f>
        <v/>
      </c>
      <c r="R773" s="1">
        <f>IF(L773="En coordinación",1,0)</f>
        <v/>
      </c>
      <c r="T773">
        <f>IF(N773="Sí",1,0)</f>
        <v/>
      </c>
      <c r="U773">
        <f>IF(L773="Aceptada",1,0)</f>
        <v/>
      </c>
    </row>
    <row r="774">
      <c r="A774" s="21" t="str"/>
      <c r="B774" s="23" t="str"/>
      <c r="I774" s="2" t="str"/>
      <c r="J774" s="2" t="str"/>
      <c r="K774" s="2" t="str"/>
      <c r="L774" s="1" t="str"/>
      <c r="M774" s="2" t="str"/>
      <c r="N774" s="1" t="str"/>
      <c r="O774" s="1" t="str"/>
      <c r="P774" s="1" t="str"/>
      <c r="Q774" s="1">
        <f>IF(H774="Sí",1,0)</f>
        <v/>
      </c>
      <c r="R774" s="1">
        <f>IF(L774="En coordinación",1,0)</f>
        <v/>
      </c>
      <c r="T774">
        <f>IF(N774="Sí",1,0)</f>
        <v/>
      </c>
      <c r="U774">
        <f>IF(L774="Aceptada",1,0)</f>
        <v/>
      </c>
    </row>
    <row r="775">
      <c r="A775" s="21" t="str"/>
      <c r="B775" s="23" t="str"/>
      <c r="I775" s="2" t="str"/>
      <c r="J775" s="2" t="str"/>
      <c r="K775" s="2" t="str"/>
      <c r="L775" s="1" t="str"/>
      <c r="M775" s="2" t="str"/>
      <c r="N775" s="1" t="str"/>
      <c r="O775" s="1" t="str"/>
      <c r="P775" s="1" t="str"/>
      <c r="Q775" s="1">
        <f>IF(H775="Sí",1,0)</f>
        <v/>
      </c>
      <c r="R775" s="1">
        <f>IF(L775="En coordinación",1,0)</f>
        <v/>
      </c>
      <c r="T775">
        <f>IF(N775="Sí",1,0)</f>
        <v/>
      </c>
      <c r="U775">
        <f>IF(L775="Aceptada",1,0)</f>
        <v/>
      </c>
    </row>
    <row r="776">
      <c r="A776" s="21" t="str"/>
      <c r="B776" s="23" t="str"/>
      <c r="I776" s="2" t="str"/>
      <c r="J776" s="2" t="str"/>
      <c r="K776" s="2" t="str"/>
      <c r="L776" s="1" t="str"/>
      <c r="M776" s="2" t="str"/>
      <c r="N776" s="1" t="str"/>
      <c r="O776" s="1" t="str"/>
      <c r="P776" s="1" t="str"/>
      <c r="Q776" s="1">
        <f>IF(H776="Sí",1,0)</f>
        <v/>
      </c>
      <c r="R776" s="1">
        <f>IF(L776="En coordinación",1,0)</f>
        <v/>
      </c>
      <c r="T776">
        <f>IF(N776="Sí",1,0)</f>
        <v/>
      </c>
      <c r="U776">
        <f>IF(L776="Aceptada",1,0)</f>
        <v/>
      </c>
    </row>
    <row r="777">
      <c r="A777" s="21" t="str"/>
      <c r="B777" s="23" t="str"/>
      <c r="I777" s="2" t="str"/>
      <c r="J777" s="2" t="str"/>
      <c r="K777" s="2" t="str"/>
      <c r="L777" s="1" t="str"/>
      <c r="M777" s="2" t="str"/>
      <c r="N777" s="1" t="str"/>
      <c r="O777" s="1" t="str"/>
      <c r="P777" s="1" t="str"/>
      <c r="Q777" s="1">
        <f>IF(H777="Sí",1,0)</f>
        <v/>
      </c>
      <c r="R777" s="1">
        <f>IF(L777="En coordinación",1,0)</f>
        <v/>
      </c>
      <c r="T777">
        <f>IF(N777="Sí",1,0)</f>
        <v/>
      </c>
      <c r="U777">
        <f>IF(L777="Aceptada",1,0)</f>
        <v/>
      </c>
    </row>
    <row r="778">
      <c r="A778" s="21" t="str"/>
      <c r="B778" s="23" t="str"/>
      <c r="I778" s="2" t="str"/>
      <c r="J778" s="2" t="str"/>
      <c r="K778" s="2" t="str"/>
      <c r="L778" s="1" t="str"/>
      <c r="M778" s="2" t="str"/>
      <c r="N778" s="1" t="str"/>
      <c r="O778" s="1" t="str"/>
      <c r="P778" s="1" t="str"/>
      <c r="Q778" s="1">
        <f>IF(H778="Sí",1,0)</f>
        <v/>
      </c>
      <c r="R778" s="1">
        <f>IF(L778="En coordinación",1,0)</f>
        <v/>
      </c>
      <c r="T778">
        <f>IF(N778="Sí",1,0)</f>
        <v/>
      </c>
      <c r="U778">
        <f>IF(L778="Aceptada",1,0)</f>
        <v/>
      </c>
    </row>
    <row r="779">
      <c r="A779" s="21" t="str"/>
      <c r="B779" s="23" t="str"/>
      <c r="I779" s="2" t="str"/>
      <c r="J779" s="2" t="str"/>
      <c r="K779" s="2" t="str"/>
      <c r="L779" s="1" t="str"/>
      <c r="M779" s="2" t="str"/>
      <c r="N779" s="1" t="str"/>
      <c r="O779" s="1" t="str"/>
      <c r="P779" s="1" t="str"/>
      <c r="Q779" s="1">
        <f>IF(H779="Sí",1,0)</f>
        <v/>
      </c>
      <c r="R779" s="1">
        <f>IF(L779="En coordinación",1,0)</f>
        <v/>
      </c>
      <c r="T779">
        <f>IF(N779="Sí",1,0)</f>
        <v/>
      </c>
      <c r="U779">
        <f>IF(L779="Aceptada",1,0)</f>
        <v/>
      </c>
    </row>
    <row r="780">
      <c r="A780" s="21" t="str"/>
      <c r="B780" s="23" t="str"/>
      <c r="I780" s="2" t="str"/>
      <c r="J780" s="2" t="str"/>
      <c r="K780" s="2" t="str"/>
      <c r="L780" s="1" t="str"/>
      <c r="M780" s="2" t="str"/>
      <c r="N780" s="1" t="str"/>
      <c r="O780" s="1" t="str"/>
      <c r="P780" s="1" t="str"/>
      <c r="Q780" s="1">
        <f>IF(H780="Sí",1,0)</f>
        <v/>
      </c>
      <c r="R780" s="1">
        <f>IF(L780="En coordinación",1,0)</f>
        <v/>
      </c>
      <c r="T780">
        <f>IF(N780="Sí",1,0)</f>
        <v/>
      </c>
      <c r="U780">
        <f>IF(L780="Aceptada",1,0)</f>
        <v/>
      </c>
    </row>
    <row r="781">
      <c r="A781" s="21" t="str"/>
      <c r="B781" s="23" t="str"/>
      <c r="I781" s="2" t="str"/>
      <c r="J781" s="2" t="str"/>
      <c r="K781" s="2" t="str"/>
      <c r="L781" s="1" t="str"/>
      <c r="M781" s="2" t="str"/>
      <c r="N781" s="1" t="str"/>
      <c r="O781" s="1" t="str"/>
      <c r="P781" s="1" t="str"/>
      <c r="Q781" s="1">
        <f>IF(H781="Sí",1,0)</f>
        <v/>
      </c>
      <c r="R781" s="1">
        <f>IF(L781="En coordinación",1,0)</f>
        <v/>
      </c>
      <c r="T781">
        <f>IF(N781="Sí",1,0)</f>
        <v/>
      </c>
      <c r="U781">
        <f>IF(L781="Aceptada",1,0)</f>
        <v/>
      </c>
    </row>
    <row r="782">
      <c r="A782" s="21" t="str"/>
      <c r="B782" s="23" t="str"/>
      <c r="I782" s="2" t="str"/>
      <c r="J782" s="2" t="str"/>
      <c r="K782" s="2" t="str"/>
      <c r="L782" s="1" t="str"/>
      <c r="M782" s="2" t="str"/>
      <c r="N782" s="1" t="str"/>
      <c r="O782" s="1" t="str"/>
      <c r="P782" s="1" t="str"/>
      <c r="Q782" s="1">
        <f>IF(H782="Sí",1,0)</f>
        <v/>
      </c>
      <c r="R782" s="1">
        <f>IF(L782="En coordinación",1,0)</f>
        <v/>
      </c>
      <c r="T782">
        <f>IF(N782="Sí",1,0)</f>
        <v/>
      </c>
      <c r="U782">
        <f>IF(L782="Aceptada",1,0)</f>
        <v/>
      </c>
    </row>
    <row r="783">
      <c r="A783" s="21" t="str"/>
      <c r="B783" s="23" t="str"/>
      <c r="I783" s="2" t="str"/>
      <c r="J783" s="2" t="str"/>
      <c r="K783" s="2" t="str"/>
      <c r="L783" s="1" t="str"/>
      <c r="M783" s="2" t="str"/>
      <c r="N783" s="1" t="str"/>
      <c r="O783" s="1" t="str"/>
      <c r="P783" s="1" t="str"/>
      <c r="Q783" s="1">
        <f>IF(H783="Sí",1,0)</f>
        <v/>
      </c>
      <c r="R783" s="1">
        <f>IF(L783="En coordinación",1,0)</f>
        <v/>
      </c>
      <c r="T783">
        <f>IF(N783="Sí",1,0)</f>
        <v/>
      </c>
      <c r="U783">
        <f>IF(L783="Aceptada",1,0)</f>
        <v/>
      </c>
    </row>
    <row r="784">
      <c r="A784" s="21" t="str"/>
      <c r="B784" s="23" t="str"/>
      <c r="I784" s="2" t="str"/>
      <c r="J784" s="2" t="str"/>
      <c r="K784" s="2" t="str"/>
      <c r="L784" s="1" t="str"/>
      <c r="M784" s="2" t="str"/>
      <c r="N784" s="1" t="str"/>
      <c r="O784" s="1" t="str"/>
      <c r="P784" s="1" t="str"/>
      <c r="Q784" s="1">
        <f>IF(H784="Sí",1,0)</f>
        <v/>
      </c>
      <c r="R784" s="1">
        <f>IF(L784="En coordinación",1,0)</f>
        <v/>
      </c>
      <c r="T784">
        <f>IF(N784="Sí",1,0)</f>
        <v/>
      </c>
      <c r="U784">
        <f>IF(L784="Aceptada",1,0)</f>
        <v/>
      </c>
    </row>
    <row r="785">
      <c r="A785" s="21" t="str"/>
      <c r="B785" s="23" t="str"/>
      <c r="I785" s="2" t="str"/>
      <c r="J785" s="2" t="str"/>
      <c r="K785" s="2" t="str"/>
      <c r="L785" s="1" t="str"/>
      <c r="M785" s="2" t="str"/>
      <c r="N785" s="1" t="str"/>
      <c r="O785" s="1" t="str"/>
      <c r="P785" s="1" t="str"/>
      <c r="Q785" s="1">
        <f>IF(H785="Sí",1,0)</f>
        <v/>
      </c>
      <c r="R785" s="1">
        <f>IF(L785="En coordinación",1,0)</f>
        <v/>
      </c>
      <c r="T785">
        <f>IF(N785="Sí",1,0)</f>
        <v/>
      </c>
      <c r="U785">
        <f>IF(L785="Aceptada",1,0)</f>
        <v/>
      </c>
    </row>
    <row r="786">
      <c r="A786" s="21" t="str"/>
      <c r="B786" s="23" t="str"/>
      <c r="I786" s="2" t="str"/>
      <c r="J786" s="2" t="str"/>
      <c r="K786" s="2" t="str"/>
      <c r="L786" s="1" t="str"/>
      <c r="M786" s="2" t="str"/>
      <c r="N786" s="1" t="str"/>
      <c r="O786" s="1" t="str"/>
      <c r="P786" s="1" t="str"/>
      <c r="Q786" s="1">
        <f>IF(H786="Sí",1,0)</f>
        <v/>
      </c>
      <c r="R786" s="1">
        <f>IF(L786="En coordinación",1,0)</f>
        <v/>
      </c>
      <c r="T786">
        <f>IF(N786="Sí",1,0)</f>
        <v/>
      </c>
      <c r="U786">
        <f>IF(L786="Aceptada",1,0)</f>
        <v/>
      </c>
    </row>
    <row r="787">
      <c r="A787" s="21" t="str"/>
      <c r="B787" s="23" t="str"/>
      <c r="I787" s="2" t="str"/>
      <c r="J787" s="2" t="str"/>
      <c r="K787" s="2" t="str"/>
      <c r="L787" s="1" t="str"/>
      <c r="M787" s="2" t="str"/>
      <c r="N787" s="1" t="str"/>
      <c r="O787" s="1" t="str"/>
      <c r="P787" s="1" t="str"/>
      <c r="Q787" s="1">
        <f>IF(H787="Sí",1,0)</f>
        <v/>
      </c>
      <c r="R787" s="1">
        <f>IF(L787="En coordinación",1,0)</f>
        <v/>
      </c>
      <c r="T787">
        <f>IF(N787="Sí",1,0)</f>
        <v/>
      </c>
      <c r="U787">
        <f>IF(L787="Aceptada",1,0)</f>
        <v/>
      </c>
    </row>
    <row r="788">
      <c r="A788" s="21" t="str"/>
      <c r="B788" s="23" t="str"/>
      <c r="I788" s="2" t="str"/>
      <c r="J788" s="2" t="str"/>
      <c r="K788" s="2" t="str"/>
      <c r="L788" s="1" t="str"/>
      <c r="M788" s="2" t="str"/>
      <c r="N788" s="1" t="str"/>
      <c r="O788" s="1" t="str"/>
      <c r="P788" s="1" t="str"/>
      <c r="Q788" s="1">
        <f>IF(H788="Sí",1,0)</f>
        <v/>
      </c>
      <c r="R788" s="1">
        <f>IF(L788="En coordinación",1,0)</f>
        <v/>
      </c>
      <c r="T788">
        <f>IF(N788="Sí",1,0)</f>
        <v/>
      </c>
      <c r="U788">
        <f>IF(L788="Aceptada",1,0)</f>
        <v/>
      </c>
    </row>
    <row r="789">
      <c r="A789" s="21" t="str"/>
      <c r="B789" s="23" t="str"/>
      <c r="I789" s="2" t="str"/>
      <c r="J789" s="2" t="str"/>
      <c r="K789" s="2" t="str"/>
      <c r="L789" s="1" t="str"/>
      <c r="M789" s="2" t="str"/>
      <c r="N789" s="1" t="str"/>
      <c r="O789" s="1" t="str"/>
      <c r="P789" s="1" t="str"/>
      <c r="Q789" s="1">
        <f>IF(H789="Sí",1,0)</f>
        <v/>
      </c>
      <c r="R789" s="1">
        <f>IF(L789="En coordinación",1,0)</f>
        <v/>
      </c>
      <c r="T789">
        <f>IF(N789="Sí",1,0)</f>
        <v/>
      </c>
      <c r="U789">
        <f>IF(L789="Aceptada",1,0)</f>
        <v/>
      </c>
    </row>
    <row r="790">
      <c r="A790" s="21" t="str"/>
      <c r="B790" s="23" t="str"/>
      <c r="I790" s="2" t="str"/>
      <c r="J790" s="2" t="str"/>
      <c r="K790" s="2" t="str"/>
      <c r="L790" s="1" t="str"/>
      <c r="M790" s="2" t="str"/>
      <c r="N790" s="1" t="str"/>
      <c r="O790" s="1" t="str"/>
      <c r="P790" s="1" t="str"/>
      <c r="Q790" s="1">
        <f>IF(H790="Sí",1,0)</f>
        <v/>
      </c>
      <c r="R790" s="1">
        <f>IF(L790="En coordinación",1,0)</f>
        <v/>
      </c>
      <c r="T790">
        <f>IF(N790="Sí",1,0)</f>
        <v/>
      </c>
      <c r="U790">
        <f>IF(L790="Aceptada",1,0)</f>
        <v/>
      </c>
    </row>
    <row r="791">
      <c r="A791" s="21" t="str"/>
      <c r="B791" s="23" t="str"/>
      <c r="I791" s="2" t="str"/>
      <c r="J791" s="2" t="str"/>
      <c r="K791" s="2" t="str"/>
      <c r="L791" s="1" t="str"/>
      <c r="M791" s="2" t="str"/>
      <c r="N791" s="1" t="str"/>
      <c r="O791" s="1" t="str"/>
      <c r="P791" s="1" t="str"/>
      <c r="Q791" s="1">
        <f>IF(H791="Sí",1,0)</f>
        <v/>
      </c>
      <c r="R791" s="1">
        <f>IF(L791="En coordinación",1,0)</f>
        <v/>
      </c>
      <c r="T791">
        <f>IF(N791="Sí",1,0)</f>
        <v/>
      </c>
      <c r="U791">
        <f>IF(L791="Aceptada",1,0)</f>
        <v/>
      </c>
    </row>
    <row r="792">
      <c r="A792" s="21" t="str"/>
      <c r="B792" s="23" t="str"/>
      <c r="I792" s="2" t="str"/>
      <c r="J792" s="2" t="str"/>
      <c r="K792" s="2" t="str"/>
      <c r="L792" s="1" t="str"/>
      <c r="M792" s="2" t="str"/>
      <c r="N792" s="1" t="str"/>
      <c r="O792" s="1" t="str"/>
      <c r="P792" s="1" t="str"/>
      <c r="Q792" s="1">
        <f>IF(H792="Sí",1,0)</f>
        <v/>
      </c>
      <c r="R792" s="1">
        <f>IF(L792="En coordinación",1,0)</f>
        <v/>
      </c>
      <c r="T792">
        <f>IF(N792="Sí",1,0)</f>
        <v/>
      </c>
      <c r="U792">
        <f>IF(L792="Aceptada",1,0)</f>
        <v/>
      </c>
    </row>
    <row r="793">
      <c r="A793" s="21" t="str"/>
      <c r="B793" s="23" t="str"/>
      <c r="I793" s="2" t="str"/>
      <c r="J793" s="2" t="str"/>
      <c r="K793" s="2" t="str"/>
      <c r="L793" s="1" t="str"/>
      <c r="M793" s="2" t="str"/>
      <c r="N793" s="1" t="str"/>
      <c r="O793" s="1" t="str"/>
      <c r="P793" s="1" t="str"/>
      <c r="Q793" s="1">
        <f>IF(H793="Sí",1,0)</f>
        <v/>
      </c>
      <c r="R793" s="1">
        <f>IF(L793="En coordinación",1,0)</f>
        <v/>
      </c>
      <c r="T793">
        <f>IF(N793="Sí",1,0)</f>
        <v/>
      </c>
      <c r="U793">
        <f>IF(L793="Aceptada",1,0)</f>
        <v/>
      </c>
    </row>
    <row r="794">
      <c r="A794" s="21" t="str"/>
      <c r="B794" s="23" t="str"/>
      <c r="I794" s="2" t="str"/>
      <c r="J794" s="2" t="str"/>
      <c r="K794" s="2" t="str"/>
      <c r="L794" s="1" t="str"/>
      <c r="M794" s="2" t="str"/>
      <c r="N794" s="1" t="str"/>
      <c r="O794" s="1" t="str"/>
      <c r="P794" s="1" t="str"/>
      <c r="Q794" s="1">
        <f>IF(H794="Sí",1,0)</f>
        <v/>
      </c>
      <c r="R794" s="1">
        <f>IF(L794="En coordinación",1,0)</f>
        <v/>
      </c>
      <c r="T794">
        <f>IF(N794="Sí",1,0)</f>
        <v/>
      </c>
      <c r="U794">
        <f>IF(L794="Aceptada",1,0)</f>
        <v/>
      </c>
    </row>
    <row r="795">
      <c r="A795" s="21" t="str"/>
      <c r="B795" s="23" t="str"/>
      <c r="I795" s="2" t="str"/>
      <c r="J795" s="2" t="str"/>
      <c r="K795" s="2" t="str"/>
      <c r="L795" s="1" t="str"/>
      <c r="M795" s="2" t="str"/>
      <c r="N795" s="1" t="str"/>
      <c r="O795" s="1" t="str"/>
      <c r="P795" s="1" t="str"/>
      <c r="Q795" s="1">
        <f>IF(H795="Sí",1,0)</f>
        <v/>
      </c>
      <c r="R795" s="1">
        <f>IF(L795="En coordinación",1,0)</f>
        <v/>
      </c>
      <c r="T795">
        <f>IF(N795="Sí",1,0)</f>
        <v/>
      </c>
      <c r="U795">
        <f>IF(L795="Aceptada",1,0)</f>
        <v/>
      </c>
    </row>
    <row r="796">
      <c r="A796" s="21" t="str"/>
      <c r="B796" s="23" t="str"/>
      <c r="I796" s="2" t="str"/>
      <c r="J796" s="2" t="str"/>
      <c r="K796" s="2" t="str"/>
      <c r="L796" s="1" t="str"/>
      <c r="M796" s="2" t="str"/>
      <c r="N796" s="1" t="str"/>
      <c r="O796" s="1" t="str"/>
      <c r="P796" s="1" t="str"/>
      <c r="Q796" s="1">
        <f>IF(H796="Sí",1,0)</f>
        <v/>
      </c>
      <c r="R796" s="1">
        <f>IF(L796="En coordinación",1,0)</f>
        <v/>
      </c>
      <c r="T796">
        <f>IF(N796="Sí",1,0)</f>
        <v/>
      </c>
      <c r="U796">
        <f>IF(L796="Aceptada",1,0)</f>
        <v/>
      </c>
    </row>
    <row r="797">
      <c r="A797" s="21" t="str"/>
      <c r="B797" s="23" t="str"/>
      <c r="I797" s="2" t="str"/>
      <c r="J797" s="2" t="str"/>
      <c r="K797" s="2" t="str"/>
      <c r="L797" s="1" t="str"/>
      <c r="M797" s="2" t="str"/>
      <c r="N797" s="1" t="str"/>
      <c r="O797" s="1" t="str"/>
      <c r="P797" s="1" t="str"/>
      <c r="Q797" s="1">
        <f>IF(H797="Sí",1,0)</f>
        <v/>
      </c>
      <c r="R797" s="1">
        <f>IF(L797="En coordinación",1,0)</f>
        <v/>
      </c>
      <c r="T797">
        <f>IF(N797="Sí",1,0)</f>
        <v/>
      </c>
      <c r="U797">
        <f>IF(L797="Aceptada",1,0)</f>
        <v/>
      </c>
    </row>
    <row r="798">
      <c r="A798" s="21" t="str"/>
      <c r="B798" s="23" t="str"/>
      <c r="I798" s="2" t="str"/>
      <c r="J798" s="2" t="str"/>
      <c r="K798" s="2" t="str"/>
      <c r="L798" s="1" t="str"/>
      <c r="M798" s="2" t="str"/>
      <c r="N798" s="1" t="str"/>
      <c r="O798" s="1" t="str"/>
      <c r="P798" s="1" t="str"/>
      <c r="Q798" s="1">
        <f>IF(H798="Sí",1,0)</f>
        <v/>
      </c>
      <c r="R798" s="1">
        <f>IF(L798="En coordinación",1,0)</f>
        <v/>
      </c>
      <c r="T798">
        <f>IF(N798="Sí",1,0)</f>
        <v/>
      </c>
      <c r="U798">
        <f>IF(L798="Aceptada",1,0)</f>
        <v/>
      </c>
    </row>
    <row r="799">
      <c r="A799" s="21" t="str"/>
      <c r="B799" s="23" t="str"/>
      <c r="I799" s="2" t="str"/>
      <c r="J799" s="2" t="str"/>
      <c r="K799" s="2" t="str"/>
      <c r="L799" s="1" t="str"/>
      <c r="M799" s="2" t="str"/>
      <c r="N799" s="1" t="str"/>
      <c r="O799" s="1" t="str"/>
      <c r="P799" s="1" t="str"/>
      <c r="Q799" s="1">
        <f>IF(H799="Sí",1,0)</f>
        <v/>
      </c>
      <c r="R799" s="1">
        <f>IF(L799="En coordinación",1,0)</f>
        <v/>
      </c>
      <c r="T799">
        <f>IF(N799="Sí",1,0)</f>
        <v/>
      </c>
      <c r="U799">
        <f>IF(L799="Aceptada",1,0)</f>
        <v/>
      </c>
    </row>
    <row r="800">
      <c r="A800" s="21" t="str"/>
      <c r="B800" s="23" t="str"/>
      <c r="I800" s="2" t="str"/>
      <c r="J800" s="2" t="str"/>
      <c r="K800" s="2" t="str"/>
      <c r="L800" s="1" t="str"/>
      <c r="M800" s="2" t="str"/>
      <c r="N800" s="1" t="str"/>
      <c r="O800" s="1" t="str"/>
      <c r="P800" s="1" t="str"/>
      <c r="Q800" s="1">
        <f>IF(H800="Sí",1,0)</f>
        <v/>
      </c>
      <c r="R800" s="1">
        <f>IF(L800="En coordinación",1,0)</f>
        <v/>
      </c>
      <c r="T800">
        <f>IF(N800="Sí",1,0)</f>
        <v/>
      </c>
      <c r="U800">
        <f>IF(L800="Aceptada",1,0)</f>
        <v/>
      </c>
    </row>
    <row r="801">
      <c r="A801" s="21" t="str"/>
      <c r="B801" s="23" t="str"/>
      <c r="I801" s="2" t="str"/>
      <c r="J801" s="2" t="str"/>
      <c r="K801" s="2" t="str"/>
      <c r="L801" s="1" t="str"/>
      <c r="M801" s="2" t="str"/>
      <c r="N801" s="1" t="str"/>
      <c r="O801" s="1" t="str"/>
      <c r="P801" s="1" t="str"/>
      <c r="Q801" s="1">
        <f>IF(H801="Sí",1,0)</f>
        <v/>
      </c>
      <c r="R801" s="1">
        <f>IF(L801="En coordinación",1,0)</f>
        <v/>
      </c>
      <c r="T801">
        <f>IF(N801="Sí",1,0)</f>
        <v/>
      </c>
      <c r="U801">
        <f>IF(L801="Aceptada",1,0)</f>
        <v/>
      </c>
    </row>
    <row r="802">
      <c r="A802" s="21" t="str"/>
      <c r="B802" s="23" t="str"/>
      <c r="I802" s="2" t="str"/>
      <c r="J802" s="2" t="str"/>
      <c r="K802" s="2" t="str"/>
      <c r="L802" s="1" t="str"/>
      <c r="M802" s="2" t="str"/>
      <c r="N802" s="1" t="str"/>
      <c r="O802" s="1" t="str"/>
      <c r="P802" s="1" t="str"/>
      <c r="Q802" s="1">
        <f>IF(H802="Sí",1,0)</f>
        <v/>
      </c>
      <c r="R802" s="1">
        <f>IF(L802="En coordinación",1,0)</f>
        <v/>
      </c>
      <c r="T802">
        <f>IF(N802="Sí",1,0)</f>
        <v/>
      </c>
      <c r="U802">
        <f>IF(L802="Aceptada",1,0)</f>
        <v/>
      </c>
    </row>
    <row r="803">
      <c r="A803" s="21" t="str"/>
      <c r="B803" s="23" t="str"/>
      <c r="I803" s="2" t="str"/>
      <c r="J803" s="2" t="str"/>
      <c r="K803" s="2" t="str"/>
      <c r="L803" s="1" t="str"/>
      <c r="M803" s="2" t="str"/>
      <c r="N803" s="1" t="str"/>
      <c r="O803" s="1" t="str"/>
      <c r="P803" s="1" t="str"/>
      <c r="Q803" s="1">
        <f>IF(H803="Sí",1,0)</f>
        <v/>
      </c>
      <c r="R803" s="1">
        <f>IF(L803="En coordinación",1,0)</f>
        <v/>
      </c>
      <c r="T803">
        <f>IF(N803="Sí",1,0)</f>
        <v/>
      </c>
      <c r="U803">
        <f>IF(L803="Aceptada",1,0)</f>
        <v/>
      </c>
    </row>
    <row r="804">
      <c r="A804" s="21" t="str"/>
      <c r="B804" s="23" t="str"/>
      <c r="I804" s="2" t="str"/>
      <c r="J804" s="2" t="str"/>
      <c r="K804" s="2" t="str"/>
      <c r="L804" s="1" t="str"/>
      <c r="M804" s="2" t="str"/>
      <c r="N804" s="1" t="str"/>
      <c r="O804" s="1" t="str"/>
      <c r="P804" s="1" t="str"/>
      <c r="Q804" s="1">
        <f>IF(H804="Sí",1,0)</f>
        <v/>
      </c>
      <c r="R804" s="1">
        <f>IF(L804="En coordinación",1,0)</f>
        <v/>
      </c>
      <c r="T804">
        <f>IF(N804="Sí",1,0)</f>
        <v/>
      </c>
      <c r="U804">
        <f>IF(L804="Aceptada",1,0)</f>
        <v/>
      </c>
    </row>
    <row r="805">
      <c r="A805" s="21" t="str"/>
      <c r="B805" s="23" t="str"/>
      <c r="I805" s="2" t="str"/>
      <c r="J805" s="2" t="str"/>
      <c r="K805" s="2" t="str"/>
      <c r="L805" s="1" t="str"/>
      <c r="M805" s="2" t="str"/>
      <c r="N805" s="1" t="str"/>
      <c r="O805" s="1" t="str"/>
      <c r="P805" s="1" t="str"/>
      <c r="Q805" s="1">
        <f>IF(H805="Sí",1,0)</f>
        <v/>
      </c>
      <c r="R805" s="1">
        <f>IF(L805="En coordinación",1,0)</f>
        <v/>
      </c>
      <c r="T805">
        <f>IF(N805="Sí",1,0)</f>
        <v/>
      </c>
      <c r="U805">
        <f>IF(L805="Aceptada",1,0)</f>
        <v/>
      </c>
    </row>
    <row r="806">
      <c r="A806" s="21" t="str"/>
      <c r="B806" s="23" t="str"/>
      <c r="I806" s="2" t="str"/>
      <c r="J806" s="2" t="str"/>
      <c r="K806" s="2" t="str"/>
      <c r="L806" s="1" t="str"/>
      <c r="M806" s="2" t="str"/>
      <c r="N806" s="1" t="str"/>
      <c r="O806" s="1" t="str"/>
      <c r="P806" s="1" t="str"/>
      <c r="Q806" s="1">
        <f>IF(H806="Sí",1,0)</f>
        <v/>
      </c>
      <c r="R806" s="1">
        <f>IF(L806="En coordinación",1,0)</f>
        <v/>
      </c>
      <c r="T806">
        <f>IF(N806="Sí",1,0)</f>
        <v/>
      </c>
      <c r="U806">
        <f>IF(L806="Aceptada",1,0)</f>
        <v/>
      </c>
    </row>
    <row r="807">
      <c r="A807" s="21" t="str"/>
      <c r="B807" s="23" t="str"/>
      <c r="I807" s="2" t="str"/>
      <c r="J807" s="2" t="str"/>
      <c r="K807" s="2" t="str"/>
      <c r="L807" s="1" t="str"/>
      <c r="M807" s="2" t="str"/>
      <c r="N807" s="1" t="str"/>
      <c r="O807" s="1" t="str"/>
      <c r="P807" s="1" t="str"/>
      <c r="Q807" s="1">
        <f>IF(H807="Sí",1,0)</f>
        <v/>
      </c>
      <c r="R807" s="1">
        <f>IF(L807="En coordinación",1,0)</f>
        <v/>
      </c>
      <c r="T807">
        <f>IF(N807="Sí",1,0)</f>
        <v/>
      </c>
      <c r="U807">
        <f>IF(L807="Aceptada",1,0)</f>
        <v/>
      </c>
    </row>
    <row r="808">
      <c r="A808" s="21" t="str"/>
      <c r="B808" s="23" t="str"/>
      <c r="I808" s="2" t="str"/>
      <c r="J808" s="2" t="str"/>
      <c r="K808" s="2" t="str"/>
      <c r="L808" s="1" t="str"/>
      <c r="M808" s="2" t="str"/>
      <c r="N808" s="1" t="str"/>
      <c r="O808" s="1" t="str"/>
      <c r="P808" s="1" t="str"/>
      <c r="Q808" s="1">
        <f>IF(H808="Sí",1,0)</f>
        <v/>
      </c>
      <c r="R808" s="1">
        <f>IF(L808="En coordinación",1,0)</f>
        <v/>
      </c>
      <c r="T808">
        <f>IF(N808="Sí",1,0)</f>
        <v/>
      </c>
      <c r="U808">
        <f>IF(L808="Aceptada",1,0)</f>
        <v/>
      </c>
    </row>
    <row r="809">
      <c r="A809" s="21" t="str"/>
      <c r="B809" s="23" t="str"/>
      <c r="I809" s="2" t="str"/>
      <c r="J809" s="2" t="str"/>
      <c r="K809" s="2" t="str"/>
      <c r="L809" s="1" t="str"/>
      <c r="M809" s="2" t="str"/>
      <c r="N809" s="1" t="str"/>
      <c r="O809" s="1" t="str"/>
      <c r="P809" s="1" t="str"/>
      <c r="Q809" s="1">
        <f>IF(H809="Sí",1,0)</f>
        <v/>
      </c>
      <c r="R809" s="1">
        <f>IF(L809="En coordinación",1,0)</f>
        <v/>
      </c>
      <c r="T809">
        <f>IF(N809="Sí",1,0)</f>
        <v/>
      </c>
      <c r="U809">
        <f>IF(L809="Aceptada",1,0)</f>
        <v/>
      </c>
    </row>
    <row r="810">
      <c r="A810" s="21" t="str"/>
      <c r="B810" s="23" t="str"/>
      <c r="I810" s="2" t="str"/>
      <c r="J810" s="2" t="str"/>
      <c r="K810" s="2" t="str"/>
      <c r="L810" s="1" t="str"/>
      <c r="M810" s="2" t="str"/>
      <c r="N810" s="1" t="str"/>
      <c r="O810" s="1" t="str"/>
      <c r="P810" s="1" t="str"/>
      <c r="Q810" s="1">
        <f>IF(H810="Sí",1,0)</f>
        <v/>
      </c>
      <c r="R810" s="1">
        <f>IF(L810="En coordinación",1,0)</f>
        <v/>
      </c>
      <c r="T810">
        <f>IF(N810="Sí",1,0)</f>
        <v/>
      </c>
      <c r="U810">
        <f>IF(L810="Aceptada",1,0)</f>
        <v/>
      </c>
    </row>
    <row r="811">
      <c r="A811" s="21" t="str"/>
      <c r="B811" s="23" t="str"/>
      <c r="I811" s="2" t="str"/>
      <c r="J811" s="2" t="str"/>
      <c r="K811" s="2" t="str"/>
      <c r="L811" s="1" t="str"/>
      <c r="M811" s="2" t="str"/>
      <c r="N811" s="1" t="str"/>
      <c r="O811" s="1" t="str"/>
      <c r="P811" s="1" t="str"/>
      <c r="Q811" s="1">
        <f>IF(H811="Sí",1,0)</f>
        <v/>
      </c>
      <c r="R811" s="1">
        <f>IF(L811="En coordinación",1,0)</f>
        <v/>
      </c>
      <c r="T811">
        <f>IF(N811="Sí",1,0)</f>
        <v/>
      </c>
      <c r="U811">
        <f>IF(L811="Aceptada",1,0)</f>
        <v/>
      </c>
    </row>
    <row r="812">
      <c r="A812" s="21" t="str"/>
      <c r="B812" s="23" t="str"/>
      <c r="I812" s="2" t="str"/>
      <c r="J812" s="2" t="str"/>
      <c r="K812" s="2" t="str"/>
      <c r="L812" s="1" t="str"/>
      <c r="M812" s="2" t="str"/>
      <c r="N812" s="1" t="str"/>
      <c r="O812" s="1" t="str"/>
      <c r="P812" s="1" t="str"/>
      <c r="Q812" s="1">
        <f>IF(H812="Sí",1,0)</f>
        <v/>
      </c>
      <c r="R812" s="1">
        <f>IF(L812="En coordinación",1,0)</f>
        <v/>
      </c>
      <c r="T812">
        <f>IF(N812="Sí",1,0)</f>
        <v/>
      </c>
      <c r="U812">
        <f>IF(L812="Aceptada",1,0)</f>
        <v/>
      </c>
    </row>
    <row r="813">
      <c r="A813" s="21" t="str"/>
      <c r="B813" s="23" t="str"/>
      <c r="I813" s="2" t="str"/>
      <c r="J813" s="2" t="str"/>
      <c r="K813" s="2" t="str"/>
      <c r="L813" s="1" t="str"/>
      <c r="M813" s="2" t="str"/>
      <c r="N813" s="1" t="str"/>
      <c r="O813" s="1" t="str"/>
      <c r="P813" s="1" t="str"/>
      <c r="Q813" s="1">
        <f>IF(H813="Sí",1,0)</f>
        <v/>
      </c>
      <c r="R813" s="1">
        <f>IF(L813="En coordinación",1,0)</f>
        <v/>
      </c>
      <c r="T813">
        <f>IF(N813="Sí",1,0)</f>
        <v/>
      </c>
      <c r="U813">
        <f>IF(L813="Aceptada",1,0)</f>
        <v/>
      </c>
    </row>
    <row r="814">
      <c r="A814" s="21" t="str"/>
      <c r="B814" s="23" t="str"/>
      <c r="I814" s="2" t="str"/>
      <c r="J814" s="2" t="str"/>
      <c r="K814" s="2" t="str"/>
      <c r="L814" s="1" t="str"/>
      <c r="M814" s="2" t="str"/>
      <c r="N814" s="1" t="str"/>
      <c r="O814" s="1" t="str"/>
      <c r="P814" s="1" t="str"/>
      <c r="Q814" s="1">
        <f>IF(H814="Sí",1,0)</f>
        <v/>
      </c>
      <c r="R814" s="1">
        <f>IF(L814="En coordinación",1,0)</f>
        <v/>
      </c>
      <c r="T814">
        <f>IF(N814="Sí",1,0)</f>
        <v/>
      </c>
      <c r="U814">
        <f>IF(L814="Aceptada",1,0)</f>
        <v/>
      </c>
    </row>
    <row r="815">
      <c r="A815" s="21" t="str"/>
      <c r="B815" s="23" t="str"/>
      <c r="I815" s="2" t="str"/>
      <c r="J815" s="2" t="str"/>
      <c r="K815" s="2" t="str"/>
      <c r="L815" s="1" t="str"/>
      <c r="M815" s="2" t="str"/>
      <c r="N815" s="1" t="str"/>
      <c r="O815" s="1" t="str"/>
      <c r="P815" s="1" t="str"/>
      <c r="Q815" s="1">
        <f>IF(H815="Sí",1,0)</f>
        <v/>
      </c>
      <c r="R815" s="1">
        <f>IF(L815="En coordinación",1,0)</f>
        <v/>
      </c>
      <c r="T815">
        <f>IF(N815="Sí",1,0)</f>
        <v/>
      </c>
      <c r="U815">
        <f>IF(L815="Aceptada",1,0)</f>
        <v/>
      </c>
    </row>
    <row r="816">
      <c r="A816" s="21" t="str"/>
      <c r="B816" s="23" t="str"/>
      <c r="I816" s="2" t="str"/>
      <c r="J816" s="2" t="str"/>
      <c r="K816" s="2" t="str"/>
      <c r="L816" s="1" t="str"/>
      <c r="M816" s="2" t="str"/>
      <c r="N816" s="1" t="str"/>
      <c r="O816" s="1" t="str"/>
      <c r="P816" s="1" t="str"/>
      <c r="Q816" s="1">
        <f>IF(H816="Sí",1,0)</f>
        <v/>
      </c>
      <c r="R816" s="1">
        <f>IF(L816="En coordinación",1,0)</f>
        <v/>
      </c>
      <c r="T816">
        <f>IF(N816="Sí",1,0)</f>
        <v/>
      </c>
      <c r="U816">
        <f>IF(L816="Aceptada",1,0)</f>
        <v/>
      </c>
    </row>
    <row r="817">
      <c r="A817" s="21" t="str"/>
      <c r="B817" s="23" t="str"/>
      <c r="I817" s="2" t="str"/>
      <c r="J817" s="2" t="str"/>
      <c r="K817" s="2" t="str"/>
      <c r="L817" s="1" t="str"/>
      <c r="M817" s="2" t="str"/>
      <c r="N817" s="1" t="str"/>
      <c r="O817" s="1" t="str"/>
      <c r="P817" s="1" t="str"/>
      <c r="Q817" s="1">
        <f>IF(H817="Sí",1,0)</f>
        <v/>
      </c>
      <c r="R817" s="1">
        <f>IF(L817="En coordinación",1,0)</f>
        <v/>
      </c>
      <c r="T817">
        <f>IF(N817="Sí",1,0)</f>
        <v/>
      </c>
      <c r="U817">
        <f>IF(L817="Aceptada",1,0)</f>
        <v/>
      </c>
    </row>
    <row r="818">
      <c r="A818" s="21" t="str"/>
      <c r="B818" s="23" t="str"/>
      <c r="I818" s="2" t="str"/>
      <c r="J818" s="2" t="str"/>
      <c r="K818" s="2" t="str"/>
      <c r="L818" s="1" t="str"/>
      <c r="M818" s="2" t="str"/>
      <c r="N818" s="1" t="str"/>
      <c r="O818" s="1" t="str"/>
      <c r="P818" s="1" t="str"/>
      <c r="Q818" s="1">
        <f>IF(H818="Sí",1,0)</f>
        <v/>
      </c>
      <c r="R818" s="1">
        <f>IF(L818="En coordinación",1,0)</f>
        <v/>
      </c>
      <c r="T818">
        <f>IF(N818="Sí",1,0)</f>
        <v/>
      </c>
      <c r="U818">
        <f>IF(L818="Aceptada",1,0)</f>
        <v/>
      </c>
    </row>
    <row r="819">
      <c r="A819" s="21" t="str"/>
      <c r="B819" s="23" t="str"/>
      <c r="I819" s="2" t="str"/>
      <c r="J819" s="2" t="str"/>
      <c r="K819" s="2" t="str"/>
      <c r="L819" s="1" t="str"/>
      <c r="M819" s="2" t="str"/>
      <c r="N819" s="1" t="str"/>
      <c r="O819" s="1" t="str"/>
      <c r="P819" s="1" t="str"/>
      <c r="Q819" s="1">
        <f>IF(H819="Sí",1,0)</f>
        <v/>
      </c>
      <c r="R819" s="1">
        <f>IF(L819="En coordinación",1,0)</f>
        <v/>
      </c>
      <c r="T819">
        <f>IF(N819="Sí",1,0)</f>
        <v/>
      </c>
      <c r="U819">
        <f>IF(L819="Aceptada",1,0)</f>
        <v/>
      </c>
    </row>
    <row r="820">
      <c r="A820" s="21" t="str"/>
      <c r="B820" s="23" t="str"/>
      <c r="I820" s="2" t="str"/>
      <c r="J820" s="2" t="str"/>
      <c r="K820" s="2" t="str"/>
      <c r="L820" s="1" t="str"/>
      <c r="M820" s="2" t="str"/>
      <c r="N820" s="1" t="str"/>
      <c r="O820" s="1" t="str"/>
      <c r="P820" s="1" t="str"/>
      <c r="Q820" s="1">
        <f>IF(H820="Sí",1,0)</f>
        <v/>
      </c>
      <c r="R820" s="1">
        <f>IF(L820="En coordinación",1,0)</f>
        <v/>
      </c>
      <c r="T820">
        <f>IF(N820="Sí",1,0)</f>
        <v/>
      </c>
      <c r="U820">
        <f>IF(L820="Aceptada",1,0)</f>
        <v/>
      </c>
    </row>
    <row r="821">
      <c r="A821" s="21" t="str"/>
      <c r="B821" s="23" t="str"/>
      <c r="I821" s="2" t="str"/>
      <c r="J821" s="2" t="str"/>
      <c r="K821" s="2" t="str"/>
      <c r="L821" s="1" t="str"/>
      <c r="M821" s="2" t="str"/>
      <c r="N821" s="1" t="str"/>
      <c r="O821" s="1" t="str"/>
      <c r="P821" s="1" t="str"/>
      <c r="Q821" s="1">
        <f>IF(H821="Sí",1,0)</f>
        <v/>
      </c>
      <c r="R821" s="1">
        <f>IF(L821="En coordinación",1,0)</f>
        <v/>
      </c>
      <c r="T821">
        <f>IF(N821="Sí",1,0)</f>
        <v/>
      </c>
      <c r="U821">
        <f>IF(L821="Aceptada",1,0)</f>
        <v/>
      </c>
    </row>
    <row r="822">
      <c r="A822" s="21" t="str"/>
      <c r="B822" s="23" t="str"/>
      <c r="I822" s="2" t="str"/>
      <c r="J822" s="2" t="str"/>
      <c r="K822" s="2" t="str"/>
      <c r="L822" s="1" t="str"/>
      <c r="M822" s="2" t="str"/>
      <c r="N822" s="1" t="str"/>
      <c r="O822" s="1" t="str"/>
      <c r="P822" s="1" t="str"/>
      <c r="Q822" s="1">
        <f>IF(H822="Sí",1,0)</f>
        <v/>
      </c>
      <c r="R822" s="1">
        <f>IF(L822="En coordinación",1,0)</f>
        <v/>
      </c>
      <c r="T822">
        <f>IF(N822="Sí",1,0)</f>
        <v/>
      </c>
      <c r="U822">
        <f>IF(L822="Aceptada",1,0)</f>
        <v/>
      </c>
    </row>
    <row r="823">
      <c r="A823" s="21" t="str"/>
      <c r="B823" s="23" t="str"/>
      <c r="I823" s="2" t="str"/>
      <c r="J823" s="2" t="str"/>
      <c r="K823" s="2" t="str"/>
      <c r="L823" s="1" t="str"/>
      <c r="M823" s="2" t="str"/>
      <c r="N823" s="1" t="str"/>
      <c r="O823" s="1" t="str"/>
      <c r="P823" s="1" t="str"/>
      <c r="Q823" s="1">
        <f>IF(H823="Sí",1,0)</f>
        <v/>
      </c>
      <c r="R823" s="1">
        <f>IF(L823="En coordinación",1,0)</f>
        <v/>
      </c>
      <c r="T823">
        <f>IF(N823="Sí",1,0)</f>
        <v/>
      </c>
      <c r="U823">
        <f>IF(L823="Aceptada",1,0)</f>
        <v/>
      </c>
    </row>
    <row r="824">
      <c r="A824" s="21" t="str"/>
      <c r="B824" s="23" t="str"/>
      <c r="I824" s="2" t="str"/>
      <c r="J824" s="2" t="str"/>
      <c r="K824" s="2" t="str"/>
      <c r="L824" s="1" t="str"/>
      <c r="M824" s="2" t="str"/>
      <c r="N824" s="1" t="str"/>
      <c r="O824" s="1" t="str"/>
      <c r="P824" s="1" t="str"/>
      <c r="Q824" s="1">
        <f>IF(H824="Sí",1,0)</f>
        <v/>
      </c>
      <c r="R824" s="1">
        <f>IF(L824="En coordinación",1,0)</f>
        <v/>
      </c>
      <c r="T824">
        <f>IF(N824="Sí",1,0)</f>
        <v/>
      </c>
      <c r="U824">
        <f>IF(L824="Aceptada",1,0)</f>
        <v/>
      </c>
    </row>
    <row r="825">
      <c r="A825" s="21" t="str"/>
      <c r="B825" s="23" t="str"/>
      <c r="I825" s="2" t="str"/>
      <c r="J825" s="2" t="str"/>
      <c r="K825" s="2" t="str"/>
      <c r="L825" s="1" t="str"/>
      <c r="M825" s="2" t="str"/>
      <c r="N825" s="1" t="str"/>
      <c r="O825" s="1" t="str"/>
      <c r="P825" s="1" t="str"/>
      <c r="Q825" s="1">
        <f>IF(H825="Sí",1,0)</f>
        <v/>
      </c>
      <c r="R825" s="1">
        <f>IF(L825="En coordinación",1,0)</f>
        <v/>
      </c>
      <c r="T825">
        <f>IF(N825="Sí",1,0)</f>
        <v/>
      </c>
      <c r="U825">
        <f>IF(L825="Aceptada",1,0)</f>
        <v/>
      </c>
    </row>
    <row r="826">
      <c r="A826" s="21" t="str"/>
      <c r="B826" s="23" t="str"/>
      <c r="I826" s="2" t="str"/>
      <c r="J826" s="2" t="str"/>
      <c r="K826" s="2" t="str"/>
      <c r="L826" s="1" t="str"/>
      <c r="M826" s="2" t="str"/>
      <c r="N826" s="1" t="str"/>
      <c r="O826" s="1" t="str"/>
      <c r="P826" s="1" t="str"/>
      <c r="Q826" s="1">
        <f>IF(H826="Sí",1,0)</f>
        <v/>
      </c>
      <c r="R826" s="1">
        <f>IF(L826="En coordinación",1,0)</f>
        <v/>
      </c>
      <c r="T826">
        <f>IF(N826="Sí",1,0)</f>
        <v/>
      </c>
      <c r="U826">
        <f>IF(L826="Aceptada",1,0)</f>
        <v/>
      </c>
    </row>
    <row r="827">
      <c r="A827" s="21" t="str"/>
      <c r="B827" s="23" t="str"/>
      <c r="I827" s="2" t="str"/>
      <c r="J827" s="2" t="str"/>
      <c r="K827" s="2" t="str"/>
      <c r="L827" s="1" t="str"/>
      <c r="M827" s="2" t="str"/>
      <c r="N827" s="1" t="str"/>
      <c r="O827" s="1" t="str"/>
      <c r="P827" s="1" t="str"/>
      <c r="Q827" s="1">
        <f>IF(H827="Sí",1,0)</f>
        <v/>
      </c>
      <c r="R827" s="1">
        <f>IF(L827="En coordinación",1,0)</f>
        <v/>
      </c>
      <c r="T827">
        <f>IF(N827="Sí",1,0)</f>
        <v/>
      </c>
      <c r="U827">
        <f>IF(L827="Aceptada",1,0)</f>
        <v/>
      </c>
    </row>
    <row r="828">
      <c r="A828" s="21" t="str"/>
      <c r="B828" s="23" t="str"/>
      <c r="I828" s="2" t="str"/>
      <c r="J828" s="2" t="str"/>
      <c r="K828" s="2" t="str"/>
      <c r="L828" s="1" t="str"/>
      <c r="M828" s="2" t="str"/>
      <c r="N828" s="1" t="str"/>
      <c r="O828" s="1" t="str"/>
      <c r="P828" s="1" t="str"/>
      <c r="Q828" s="1">
        <f>IF(H828="Sí",1,0)</f>
        <v/>
      </c>
      <c r="R828" s="1">
        <f>IF(L828="En coordinación",1,0)</f>
        <v/>
      </c>
      <c r="T828">
        <f>IF(N828="Sí",1,0)</f>
        <v/>
      </c>
      <c r="U828">
        <f>IF(L828="Aceptada",1,0)</f>
        <v/>
      </c>
    </row>
    <row r="829">
      <c r="A829" s="21" t="str"/>
      <c r="B829" s="23" t="str"/>
      <c r="I829" s="2" t="str"/>
      <c r="J829" s="2" t="str"/>
      <c r="K829" s="2" t="str"/>
      <c r="L829" s="1" t="str"/>
      <c r="M829" s="2" t="str"/>
      <c r="N829" s="1" t="str"/>
      <c r="O829" s="1" t="str"/>
      <c r="P829" s="1" t="str"/>
      <c r="Q829" s="1">
        <f>IF(H829="Sí",1,0)</f>
        <v/>
      </c>
      <c r="R829" s="1">
        <f>IF(L829="En coordinación",1,0)</f>
        <v/>
      </c>
      <c r="T829">
        <f>IF(N829="Sí",1,0)</f>
        <v/>
      </c>
      <c r="U829">
        <f>IF(L829="Aceptada",1,0)</f>
        <v/>
      </c>
    </row>
    <row r="830">
      <c r="A830" s="21" t="str"/>
      <c r="B830" s="23" t="str"/>
      <c r="I830" s="2" t="str"/>
      <c r="J830" s="2" t="str"/>
      <c r="K830" s="2" t="str"/>
      <c r="L830" s="1" t="str"/>
      <c r="M830" s="2" t="str"/>
      <c r="N830" s="1" t="str"/>
      <c r="O830" s="1" t="str"/>
      <c r="P830" s="1" t="str"/>
      <c r="Q830" s="1">
        <f>IF(H830="Sí",1,0)</f>
        <v/>
      </c>
      <c r="R830" s="1">
        <f>IF(L830="En coordinación",1,0)</f>
        <v/>
      </c>
      <c r="T830">
        <f>IF(N830="Sí",1,0)</f>
        <v/>
      </c>
      <c r="U830">
        <f>IF(L830="Aceptada",1,0)</f>
        <v/>
      </c>
    </row>
    <row r="831">
      <c r="A831" s="21" t="str"/>
      <c r="B831" s="23" t="str"/>
      <c r="I831" s="2" t="str"/>
      <c r="J831" s="2" t="str"/>
      <c r="K831" s="2" t="str"/>
      <c r="L831" s="1" t="str"/>
      <c r="M831" s="2" t="str"/>
      <c r="N831" s="1" t="str"/>
      <c r="O831" s="1" t="str"/>
      <c r="P831" s="1" t="str"/>
      <c r="Q831" s="1">
        <f>IF(H831="Sí",1,0)</f>
        <v/>
      </c>
      <c r="R831" s="1">
        <f>IF(L831="En coordinación",1,0)</f>
        <v/>
      </c>
      <c r="T831">
        <f>IF(N831="Sí",1,0)</f>
        <v/>
      </c>
      <c r="U831">
        <f>IF(L831="Aceptada",1,0)</f>
        <v/>
      </c>
    </row>
    <row r="832">
      <c r="A832" s="21" t="str"/>
      <c r="B832" s="23" t="str"/>
      <c r="I832" s="2" t="str"/>
      <c r="J832" s="2" t="str"/>
      <c r="K832" s="2" t="str"/>
      <c r="L832" s="1" t="str"/>
      <c r="M832" s="2" t="str"/>
      <c r="N832" s="1" t="str"/>
      <c r="O832" s="1" t="str"/>
      <c r="P832" s="1" t="str"/>
      <c r="Q832" s="1">
        <f>IF(H832="Sí",1,0)</f>
        <v/>
      </c>
      <c r="R832" s="1">
        <f>IF(L832="En coordinación",1,0)</f>
        <v/>
      </c>
      <c r="T832">
        <f>IF(N832="Sí",1,0)</f>
        <v/>
      </c>
      <c r="U832">
        <f>IF(L832="Aceptada",1,0)</f>
        <v/>
      </c>
    </row>
    <row r="833">
      <c r="A833" s="21" t="str"/>
      <c r="B833" s="23" t="str"/>
      <c r="I833" s="2" t="str"/>
      <c r="J833" s="2" t="str"/>
      <c r="K833" s="2" t="str"/>
      <c r="L833" s="1" t="str"/>
      <c r="M833" s="2" t="str"/>
      <c r="N833" s="1" t="str"/>
      <c r="O833" s="1" t="str"/>
      <c r="P833" s="1" t="str"/>
      <c r="Q833" s="1">
        <f>IF(H833="Sí",1,0)</f>
        <v/>
      </c>
      <c r="R833" s="1">
        <f>IF(L833="En coordinación",1,0)</f>
        <v/>
      </c>
      <c r="T833">
        <f>IF(N833="Sí",1,0)</f>
        <v/>
      </c>
      <c r="U833">
        <f>IF(L833="Aceptada",1,0)</f>
        <v/>
      </c>
    </row>
    <row r="834">
      <c r="A834" s="21" t="str"/>
      <c r="B834" s="23" t="str"/>
      <c r="I834" s="2" t="str"/>
      <c r="J834" s="2" t="str"/>
      <c r="K834" s="2" t="str"/>
      <c r="L834" s="1" t="str"/>
      <c r="M834" s="2" t="str"/>
      <c r="N834" s="1" t="str"/>
      <c r="O834" s="1" t="str"/>
      <c r="P834" s="1" t="str"/>
      <c r="Q834" s="1">
        <f>IF(H834="Sí",1,0)</f>
        <v/>
      </c>
      <c r="R834" s="1">
        <f>IF(L834="En coordinación",1,0)</f>
        <v/>
      </c>
      <c r="T834">
        <f>IF(N834="Sí",1,0)</f>
        <v/>
      </c>
      <c r="U834">
        <f>IF(L834="Aceptada",1,0)</f>
        <v/>
      </c>
    </row>
    <row r="835">
      <c r="A835" s="21" t="str"/>
      <c r="B835" s="23" t="str"/>
      <c r="I835" s="2" t="str"/>
      <c r="J835" s="2" t="str"/>
      <c r="K835" s="2" t="str"/>
      <c r="L835" s="1" t="str"/>
      <c r="M835" s="2" t="str"/>
      <c r="N835" s="1" t="str"/>
      <c r="O835" s="1" t="str"/>
      <c r="P835" s="1" t="str"/>
      <c r="Q835" s="1">
        <f>IF(H835="Sí",1,0)</f>
        <v/>
      </c>
      <c r="R835" s="1">
        <f>IF(L835="En coordinación",1,0)</f>
        <v/>
      </c>
      <c r="T835">
        <f>IF(N835="Sí",1,0)</f>
        <v/>
      </c>
      <c r="U835">
        <f>IF(L835="Aceptada",1,0)</f>
        <v/>
      </c>
    </row>
    <row r="836">
      <c r="A836" s="21" t="str"/>
      <c r="B836" s="23" t="str"/>
      <c r="I836" s="2" t="str"/>
      <c r="J836" s="2" t="str"/>
      <c r="K836" s="2" t="str"/>
      <c r="L836" s="1" t="str"/>
      <c r="M836" s="2" t="str"/>
      <c r="N836" s="1" t="str"/>
      <c r="O836" s="1" t="str"/>
      <c r="P836" s="1" t="str"/>
      <c r="Q836" s="1">
        <f>IF(H836="Sí",1,0)</f>
        <v/>
      </c>
      <c r="R836" s="1">
        <f>IF(L836="En coordinación",1,0)</f>
        <v/>
      </c>
      <c r="T836">
        <f>IF(N836="Sí",1,0)</f>
        <v/>
      </c>
      <c r="U836">
        <f>IF(L836="Aceptada",1,0)</f>
        <v/>
      </c>
    </row>
    <row r="837">
      <c r="A837" s="21" t="str"/>
      <c r="B837" s="23" t="str"/>
      <c r="I837" s="2" t="str"/>
      <c r="J837" s="2" t="str"/>
      <c r="K837" s="2" t="str"/>
      <c r="L837" s="1" t="str"/>
      <c r="M837" s="2" t="str"/>
      <c r="N837" s="1" t="str"/>
      <c r="O837" s="1" t="str"/>
      <c r="P837" s="1" t="str"/>
      <c r="Q837" s="1">
        <f>IF(H837="Sí",1,0)</f>
        <v/>
      </c>
      <c r="R837" s="1">
        <f>IF(L837="En coordinación",1,0)</f>
        <v/>
      </c>
      <c r="T837">
        <f>IF(N837="Sí",1,0)</f>
        <v/>
      </c>
      <c r="U837">
        <f>IF(L837="Aceptada",1,0)</f>
        <v/>
      </c>
    </row>
    <row r="838">
      <c r="A838" s="21" t="str"/>
      <c r="B838" s="23" t="str"/>
      <c r="I838" s="2" t="str"/>
      <c r="J838" s="2" t="str"/>
      <c r="K838" s="2" t="str"/>
      <c r="L838" s="1" t="str"/>
      <c r="M838" s="2" t="str"/>
      <c r="N838" s="1" t="str"/>
      <c r="O838" s="1" t="str"/>
      <c r="P838" s="1" t="str"/>
      <c r="Q838" s="1">
        <f>IF(H838="Sí",1,0)</f>
        <v/>
      </c>
      <c r="R838" s="1">
        <f>IF(L838="En coordinación",1,0)</f>
        <v/>
      </c>
      <c r="T838">
        <f>IF(N838="Sí",1,0)</f>
        <v/>
      </c>
      <c r="U838">
        <f>IF(L838="Aceptada",1,0)</f>
        <v/>
      </c>
    </row>
    <row r="839">
      <c r="A839" s="21" t="str"/>
      <c r="B839" s="23" t="str"/>
      <c r="I839" s="2" t="str"/>
      <c r="J839" s="2" t="str"/>
      <c r="K839" s="2" t="str"/>
      <c r="L839" s="1" t="str"/>
      <c r="M839" s="2" t="str"/>
      <c r="N839" s="1" t="str"/>
      <c r="O839" s="1" t="str"/>
      <c r="P839" s="1" t="str"/>
      <c r="Q839" s="1">
        <f>IF(H839="Sí",1,0)</f>
        <v/>
      </c>
      <c r="R839" s="1">
        <f>IF(L839="En coordinación",1,0)</f>
        <v/>
      </c>
      <c r="T839">
        <f>IF(N839="Sí",1,0)</f>
        <v/>
      </c>
      <c r="U839">
        <f>IF(L839="Aceptada",1,0)</f>
        <v/>
      </c>
    </row>
    <row r="840">
      <c r="A840" s="21" t="str"/>
      <c r="B840" s="23" t="str"/>
      <c r="I840" s="2" t="str"/>
      <c r="J840" s="2" t="str"/>
      <c r="K840" s="2" t="str"/>
      <c r="L840" s="1" t="str"/>
      <c r="M840" s="2" t="str"/>
      <c r="N840" s="1" t="str"/>
      <c r="O840" s="1" t="str"/>
      <c r="P840" s="1" t="str"/>
      <c r="Q840" s="1">
        <f>IF(H840="Sí",1,0)</f>
        <v/>
      </c>
      <c r="R840" s="1">
        <f>IF(L840="En coordinación",1,0)</f>
        <v/>
      </c>
      <c r="T840">
        <f>IF(N840="Sí",1,0)</f>
        <v/>
      </c>
      <c r="U840">
        <f>IF(L840="Aceptada",1,0)</f>
        <v/>
      </c>
    </row>
    <row r="841">
      <c r="A841" s="21" t="str"/>
      <c r="B841" s="23" t="str"/>
      <c r="I841" s="2" t="str"/>
      <c r="J841" s="2" t="str"/>
      <c r="K841" s="2" t="str"/>
      <c r="L841" s="1" t="str"/>
      <c r="M841" s="2" t="str"/>
      <c r="N841" s="1" t="str"/>
      <c r="O841" s="1" t="str"/>
      <c r="P841" s="1" t="str"/>
      <c r="Q841" s="1">
        <f>IF(H841="Sí",1,0)</f>
        <v/>
      </c>
      <c r="R841" s="1">
        <f>IF(L841="En coordinación",1,0)</f>
        <v/>
      </c>
      <c r="T841">
        <f>IF(N841="Sí",1,0)</f>
        <v/>
      </c>
      <c r="U841">
        <f>IF(L841="Aceptada",1,0)</f>
        <v/>
      </c>
    </row>
    <row r="842">
      <c r="A842" s="21" t="str"/>
      <c r="B842" s="23" t="str"/>
      <c r="I842" s="2" t="str"/>
      <c r="J842" s="2" t="str"/>
      <c r="K842" s="2" t="str"/>
      <c r="L842" s="1" t="str"/>
      <c r="M842" s="2" t="str"/>
      <c r="N842" s="1" t="str"/>
      <c r="O842" s="1" t="str"/>
      <c r="P842" s="1" t="str"/>
      <c r="Q842" s="1">
        <f>IF(H842="Sí",1,0)</f>
        <v/>
      </c>
      <c r="R842" s="1">
        <f>IF(L842="En coordinación",1,0)</f>
        <v/>
      </c>
      <c r="T842">
        <f>IF(N842="Sí",1,0)</f>
        <v/>
      </c>
      <c r="U842">
        <f>IF(L842="Aceptada",1,0)</f>
        <v/>
      </c>
    </row>
    <row r="843">
      <c r="A843" s="21" t="str"/>
      <c r="B843" s="23" t="str"/>
      <c r="I843" s="2" t="str"/>
      <c r="J843" s="2" t="str"/>
      <c r="K843" s="2" t="str"/>
      <c r="L843" s="1" t="str"/>
      <c r="M843" s="2" t="str"/>
      <c r="N843" s="1" t="str"/>
      <c r="O843" s="1" t="str"/>
      <c r="P843" s="1" t="str"/>
      <c r="Q843" s="1">
        <f>IF(H843="Sí",1,0)</f>
        <v/>
      </c>
      <c r="R843" s="1">
        <f>IF(L843="En coordinación",1,0)</f>
        <v/>
      </c>
      <c r="T843">
        <f>IF(N843="Sí",1,0)</f>
        <v/>
      </c>
      <c r="U843">
        <f>IF(L843="Aceptada",1,0)</f>
        <v/>
      </c>
    </row>
    <row r="844">
      <c r="A844" s="21" t="str"/>
      <c r="B844" s="23" t="str"/>
      <c r="I844" s="2" t="str"/>
      <c r="J844" s="2" t="str"/>
      <c r="K844" s="2" t="str"/>
      <c r="L844" s="1" t="str"/>
      <c r="M844" s="2" t="str"/>
      <c r="N844" s="1" t="str"/>
      <c r="O844" s="1" t="str"/>
      <c r="P844" s="1" t="str"/>
      <c r="Q844" s="1">
        <f>IF(H844="Sí",1,0)</f>
        <v/>
      </c>
      <c r="R844" s="1">
        <f>IF(L844="En coordinación",1,0)</f>
        <v/>
      </c>
      <c r="T844">
        <f>IF(N844="Sí",1,0)</f>
        <v/>
      </c>
      <c r="U844">
        <f>IF(L844="Aceptada",1,0)</f>
        <v/>
      </c>
    </row>
    <row r="845">
      <c r="A845" s="21" t="str"/>
      <c r="B845" s="23" t="str"/>
      <c r="I845" s="2" t="str"/>
      <c r="J845" s="2" t="str"/>
      <c r="K845" s="2" t="str"/>
      <c r="L845" s="1" t="str"/>
      <c r="M845" s="2" t="str"/>
      <c r="N845" s="1" t="str"/>
      <c r="O845" s="1" t="str"/>
      <c r="P845" s="1" t="str"/>
      <c r="Q845" s="1">
        <f>IF(H845="Sí",1,0)</f>
        <v/>
      </c>
      <c r="R845" s="1">
        <f>IF(L845="En coordinación",1,0)</f>
        <v/>
      </c>
      <c r="T845">
        <f>IF(N845="Sí",1,0)</f>
        <v/>
      </c>
      <c r="U845">
        <f>IF(L845="Aceptada",1,0)</f>
        <v/>
      </c>
    </row>
    <row r="846">
      <c r="A846" s="21" t="str"/>
      <c r="B846" s="23" t="str"/>
      <c r="I846" s="2" t="str"/>
      <c r="J846" s="2" t="str"/>
      <c r="K846" s="2" t="str"/>
      <c r="L846" s="1" t="str"/>
      <c r="M846" s="2" t="str"/>
      <c r="N846" s="1" t="str"/>
      <c r="O846" s="1" t="str"/>
      <c r="P846" s="1" t="str"/>
      <c r="Q846" s="1">
        <f>IF(H846="Sí",1,0)</f>
        <v/>
      </c>
      <c r="R846" s="1">
        <f>IF(L846="En coordinación",1,0)</f>
        <v/>
      </c>
      <c r="T846">
        <f>IF(N846="Sí",1,0)</f>
        <v/>
      </c>
      <c r="U846">
        <f>IF(L846="Aceptada",1,0)</f>
        <v/>
      </c>
    </row>
    <row r="847">
      <c r="A847" s="21" t="str"/>
      <c r="B847" s="23" t="str"/>
      <c r="I847" s="2" t="str"/>
      <c r="J847" s="2" t="str"/>
      <c r="K847" s="2" t="str"/>
      <c r="L847" s="1" t="str"/>
      <c r="M847" s="2" t="str"/>
      <c r="N847" s="1" t="str"/>
      <c r="O847" s="1" t="str"/>
      <c r="P847" s="1" t="str"/>
      <c r="Q847" s="1">
        <f>IF(H847="Sí",1,0)</f>
        <v/>
      </c>
      <c r="R847" s="1">
        <f>IF(L847="En coordinación",1,0)</f>
        <v/>
      </c>
      <c r="T847">
        <f>IF(N847="Sí",1,0)</f>
        <v/>
      </c>
      <c r="U847">
        <f>IF(L847="Aceptada",1,0)</f>
        <v/>
      </c>
    </row>
    <row r="848">
      <c r="A848" s="21" t="str"/>
      <c r="B848" s="23" t="str"/>
      <c r="I848" s="2" t="str"/>
      <c r="J848" s="2" t="str"/>
      <c r="K848" s="2" t="str"/>
      <c r="L848" s="1" t="str"/>
      <c r="M848" s="2" t="str"/>
      <c r="N848" s="1" t="str"/>
      <c r="O848" s="1" t="str"/>
      <c r="P848" s="1" t="str"/>
      <c r="Q848" s="1">
        <f>IF(H848="Sí",1,0)</f>
        <v/>
      </c>
      <c r="R848" s="1">
        <f>IF(L848="En coordinación",1,0)</f>
        <v/>
      </c>
      <c r="T848">
        <f>IF(N848="Sí",1,0)</f>
        <v/>
      </c>
      <c r="U848">
        <f>IF(L848="Aceptada",1,0)</f>
        <v/>
      </c>
    </row>
    <row r="849">
      <c r="A849" s="21" t="str"/>
      <c r="B849" s="23" t="str"/>
      <c r="I849" s="2" t="str"/>
      <c r="J849" s="2" t="str"/>
      <c r="K849" s="2" t="str"/>
      <c r="L849" s="1" t="str"/>
      <c r="M849" s="2" t="str"/>
      <c r="N849" s="1" t="str"/>
      <c r="O849" s="1" t="str"/>
      <c r="P849" s="1" t="str"/>
      <c r="Q849" s="1">
        <f>IF(H849="Sí",1,0)</f>
        <v/>
      </c>
      <c r="R849" s="1">
        <f>IF(L849="En coordinación",1,0)</f>
        <v/>
      </c>
      <c r="T849">
        <f>IF(N849="Sí",1,0)</f>
        <v/>
      </c>
      <c r="U849">
        <f>IF(L849="Aceptada",1,0)</f>
        <v/>
      </c>
    </row>
    <row r="850">
      <c r="A850" s="21" t="str"/>
      <c r="B850" s="23" t="str"/>
      <c r="I850" s="2" t="str"/>
      <c r="J850" s="2" t="str"/>
      <c r="K850" s="2" t="str"/>
      <c r="L850" s="1" t="str"/>
      <c r="M850" s="2" t="str"/>
      <c r="N850" s="1" t="str"/>
      <c r="O850" s="1" t="str"/>
      <c r="P850" s="1" t="str"/>
      <c r="Q850" s="1">
        <f>IF(H850="Sí",1,0)</f>
        <v/>
      </c>
      <c r="R850" s="1">
        <f>IF(L850="En coordinación",1,0)</f>
        <v/>
      </c>
      <c r="T850">
        <f>IF(N850="Sí",1,0)</f>
        <v/>
      </c>
      <c r="U850">
        <f>IF(L850="Aceptada",1,0)</f>
        <v/>
      </c>
    </row>
    <row r="851">
      <c r="A851" s="21" t="str"/>
      <c r="B851" s="23" t="str"/>
      <c r="I851" s="2" t="str"/>
      <c r="J851" s="2" t="str"/>
      <c r="K851" s="2" t="str"/>
      <c r="L851" s="1" t="str"/>
      <c r="M851" s="2" t="str"/>
      <c r="N851" s="1" t="str"/>
      <c r="O851" s="1" t="str"/>
      <c r="P851" s="1" t="str"/>
      <c r="Q851" s="1">
        <f>IF(H851="Sí",1,0)</f>
        <v/>
      </c>
      <c r="R851" s="1">
        <f>IF(L851="En coordinación",1,0)</f>
        <v/>
      </c>
      <c r="T851">
        <f>IF(N851="Sí",1,0)</f>
        <v/>
      </c>
      <c r="U851">
        <f>IF(L851="Aceptada",1,0)</f>
        <v/>
      </c>
    </row>
    <row r="852">
      <c r="A852" s="21" t="str"/>
      <c r="B852" s="23" t="str"/>
      <c r="I852" s="2" t="str"/>
      <c r="J852" s="2" t="str"/>
      <c r="K852" s="2" t="str"/>
      <c r="L852" s="1" t="str"/>
      <c r="M852" s="2" t="str"/>
      <c r="N852" s="1" t="str"/>
      <c r="O852" s="1" t="str"/>
      <c r="P852" s="1" t="str"/>
      <c r="Q852" s="1">
        <f>IF(H852="Sí",1,0)</f>
        <v/>
      </c>
      <c r="R852" s="1">
        <f>IF(L852="En coordinación",1,0)</f>
        <v/>
      </c>
      <c r="T852">
        <f>IF(N852="Sí",1,0)</f>
        <v/>
      </c>
      <c r="U852">
        <f>IF(L852="Aceptada",1,0)</f>
        <v/>
      </c>
    </row>
    <row r="853">
      <c r="A853" s="21" t="str"/>
      <c r="B853" s="23" t="str"/>
      <c r="I853" s="2" t="str"/>
      <c r="J853" s="2" t="str"/>
      <c r="K853" s="2" t="str"/>
      <c r="L853" s="1" t="str"/>
      <c r="M853" s="2" t="str"/>
      <c r="N853" s="1" t="str"/>
      <c r="O853" s="1" t="str"/>
      <c r="P853" s="1" t="str"/>
      <c r="Q853" s="1">
        <f>IF(H853="Sí",1,0)</f>
        <v/>
      </c>
      <c r="R853" s="1">
        <f>IF(L853="En coordinación",1,0)</f>
        <v/>
      </c>
      <c r="T853">
        <f>IF(N853="Sí",1,0)</f>
        <v/>
      </c>
      <c r="U853">
        <f>IF(L853="Aceptada",1,0)</f>
        <v/>
      </c>
    </row>
    <row r="854">
      <c r="A854" s="21" t="str"/>
      <c r="B854" s="23" t="str"/>
      <c r="I854" s="2" t="str"/>
      <c r="J854" s="2" t="str"/>
      <c r="K854" s="2" t="str"/>
      <c r="L854" s="1" t="str"/>
      <c r="M854" s="2" t="str"/>
      <c r="N854" s="1" t="str"/>
      <c r="O854" s="1" t="str"/>
      <c r="P854" s="1" t="str"/>
      <c r="Q854" s="1">
        <f>IF(H854="Sí",1,0)</f>
        <v/>
      </c>
      <c r="R854" s="1">
        <f>IF(L854="En coordinación",1,0)</f>
        <v/>
      </c>
      <c r="T854">
        <f>IF(N854="Sí",1,0)</f>
        <v/>
      </c>
      <c r="U854">
        <f>IF(L854="Aceptada",1,0)</f>
        <v/>
      </c>
    </row>
    <row r="855">
      <c r="A855" s="21" t="str"/>
      <c r="B855" s="23" t="str"/>
      <c r="I855" s="2" t="str"/>
      <c r="J855" s="2" t="str"/>
      <c r="K855" s="2" t="str"/>
      <c r="L855" s="1" t="str"/>
      <c r="M855" s="2" t="str"/>
      <c r="N855" s="1" t="str"/>
      <c r="O855" s="1" t="str"/>
      <c r="P855" s="1" t="str"/>
      <c r="Q855" s="1">
        <f>IF(H855="Sí",1,0)</f>
        <v/>
      </c>
      <c r="R855" s="1">
        <f>IF(L855="En coordinación",1,0)</f>
        <v/>
      </c>
      <c r="T855">
        <f>IF(N855="Sí",1,0)</f>
        <v/>
      </c>
      <c r="U855">
        <f>IF(L855="Aceptada",1,0)</f>
        <v/>
      </c>
    </row>
    <row r="856">
      <c r="A856" s="21" t="str"/>
      <c r="B856" s="23" t="str"/>
      <c r="I856" s="2" t="str"/>
      <c r="J856" s="2" t="str"/>
      <c r="K856" s="2" t="str"/>
      <c r="L856" s="1" t="str"/>
      <c r="M856" s="2" t="str"/>
      <c r="N856" s="1" t="str"/>
      <c r="O856" s="1" t="str"/>
      <c r="P856" s="1" t="str"/>
      <c r="Q856" s="1">
        <f>IF(H856="Sí",1,0)</f>
        <v/>
      </c>
      <c r="R856" s="1">
        <f>IF(L856="En coordinación",1,0)</f>
        <v/>
      </c>
      <c r="T856">
        <f>IF(N856="Sí",1,0)</f>
        <v/>
      </c>
      <c r="U856">
        <f>IF(L856="Aceptada",1,0)</f>
        <v/>
      </c>
    </row>
    <row r="857">
      <c r="A857" s="21" t="str"/>
      <c r="B857" s="23" t="str"/>
      <c r="I857" s="2" t="str"/>
      <c r="J857" s="2" t="str"/>
      <c r="K857" s="2" t="str"/>
      <c r="L857" s="1" t="str"/>
      <c r="M857" s="2" t="str"/>
      <c r="N857" s="1" t="str"/>
      <c r="O857" s="1" t="str"/>
      <c r="P857" s="1" t="str"/>
      <c r="Q857" s="1">
        <f>IF(H857="Sí",1,0)</f>
        <v/>
      </c>
      <c r="R857" s="1">
        <f>IF(L857="En coordinación",1,0)</f>
        <v/>
      </c>
      <c r="T857">
        <f>IF(N857="Sí",1,0)</f>
        <v/>
      </c>
      <c r="U857">
        <f>IF(L857="Aceptada",1,0)</f>
        <v/>
      </c>
    </row>
    <row r="858">
      <c r="A858" s="21" t="str"/>
      <c r="B858" s="23" t="str"/>
      <c r="I858" s="2" t="str"/>
      <c r="J858" s="2" t="str"/>
      <c r="K858" s="2" t="str"/>
      <c r="L858" s="1" t="str"/>
      <c r="M858" s="2" t="str"/>
      <c r="N858" s="1" t="str"/>
      <c r="O858" s="1" t="str"/>
      <c r="P858" s="1" t="str"/>
      <c r="Q858" s="1">
        <f>IF(H858="Sí",1,0)</f>
        <v/>
      </c>
      <c r="R858" s="1">
        <f>IF(L858="En coordinación",1,0)</f>
        <v/>
      </c>
      <c r="T858">
        <f>IF(N858="Sí",1,0)</f>
        <v/>
      </c>
      <c r="U858">
        <f>IF(L858="Aceptada",1,0)</f>
        <v/>
      </c>
    </row>
    <row r="859">
      <c r="A859" s="21" t="str"/>
      <c r="B859" s="23" t="str"/>
      <c r="I859" s="2" t="str"/>
      <c r="J859" s="2" t="str"/>
      <c r="K859" s="2" t="str"/>
      <c r="L859" s="1" t="str"/>
      <c r="M859" s="2" t="str"/>
      <c r="N859" s="1" t="str"/>
      <c r="O859" s="1" t="str"/>
      <c r="P859" s="1" t="str"/>
      <c r="Q859" s="1">
        <f>IF(H859="Sí",1,0)</f>
        <v/>
      </c>
      <c r="R859" s="1">
        <f>IF(L859="En coordinación",1,0)</f>
        <v/>
      </c>
      <c r="T859">
        <f>IF(N859="Sí",1,0)</f>
        <v/>
      </c>
      <c r="U859">
        <f>IF(L859="Aceptada",1,0)</f>
        <v/>
      </c>
    </row>
    <row r="860">
      <c r="A860" s="21" t="str"/>
      <c r="B860" s="23" t="str"/>
      <c r="I860" s="2" t="str"/>
      <c r="J860" s="2" t="str"/>
      <c r="K860" s="2" t="str"/>
      <c r="L860" s="1" t="str"/>
      <c r="M860" s="2" t="str"/>
      <c r="N860" s="1" t="str"/>
      <c r="O860" s="1" t="str"/>
      <c r="P860" s="1" t="str"/>
      <c r="Q860" s="1">
        <f>IF(H860="Sí",1,0)</f>
        <v/>
      </c>
      <c r="R860" s="1">
        <f>IF(L860="En coordinación",1,0)</f>
        <v/>
      </c>
      <c r="T860">
        <f>IF(N860="Sí",1,0)</f>
        <v/>
      </c>
      <c r="U860">
        <f>IF(L860="Aceptada",1,0)</f>
        <v/>
      </c>
    </row>
    <row r="861">
      <c r="A861" s="21" t="str"/>
      <c r="B861" s="23" t="str"/>
      <c r="I861" s="2" t="str"/>
      <c r="J861" s="2" t="str"/>
      <c r="K861" s="2" t="str"/>
      <c r="L861" s="1" t="str"/>
      <c r="M861" s="2" t="str"/>
      <c r="N861" s="1" t="str"/>
      <c r="O861" s="1" t="str"/>
      <c r="P861" s="1" t="str"/>
      <c r="Q861" s="1">
        <f>IF(H861="Sí",1,0)</f>
        <v/>
      </c>
      <c r="R861" s="1">
        <f>IF(L861="En coordinación",1,0)</f>
        <v/>
      </c>
      <c r="T861">
        <f>IF(N861="Sí",1,0)</f>
        <v/>
      </c>
      <c r="U861">
        <f>IF(L861="Aceptada",1,0)</f>
        <v/>
      </c>
    </row>
    <row r="862">
      <c r="A862" s="21" t="str"/>
      <c r="B862" s="23" t="str"/>
      <c r="I862" s="2" t="str"/>
      <c r="J862" s="2" t="str"/>
      <c r="K862" s="2" t="str"/>
      <c r="L862" s="1" t="str"/>
      <c r="M862" s="2" t="str"/>
      <c r="N862" s="1" t="str"/>
      <c r="O862" s="1" t="str"/>
      <c r="P862" s="1" t="str"/>
      <c r="Q862" s="1">
        <f>IF(H862="Sí",1,0)</f>
        <v/>
      </c>
      <c r="R862" s="1">
        <f>IF(L862="En coordinación",1,0)</f>
        <v/>
      </c>
      <c r="T862">
        <f>IF(N862="Sí",1,0)</f>
        <v/>
      </c>
      <c r="U862">
        <f>IF(L862="Aceptada",1,0)</f>
        <v/>
      </c>
    </row>
    <row r="863">
      <c r="A863" s="21" t="str"/>
      <c r="B863" s="23" t="str"/>
      <c r="I863" s="2" t="str"/>
      <c r="J863" s="2" t="str"/>
      <c r="K863" s="2" t="str"/>
      <c r="L863" s="1" t="str"/>
      <c r="M863" s="2" t="str"/>
      <c r="N863" s="1" t="str"/>
      <c r="O863" s="1" t="str"/>
      <c r="P863" s="1" t="str"/>
      <c r="Q863" s="1">
        <f>IF(H863="Sí",1,0)</f>
        <v/>
      </c>
      <c r="R863" s="1">
        <f>IF(L863="En coordinación",1,0)</f>
        <v/>
      </c>
      <c r="T863">
        <f>IF(N863="Sí",1,0)</f>
        <v/>
      </c>
      <c r="U863">
        <f>IF(L863="Aceptada",1,0)</f>
        <v/>
      </c>
    </row>
    <row r="864">
      <c r="A864" s="21" t="str"/>
      <c r="B864" s="23" t="str"/>
      <c r="I864" s="2" t="str"/>
      <c r="J864" s="2" t="str"/>
      <c r="K864" s="2" t="str"/>
      <c r="L864" s="1" t="str"/>
      <c r="M864" s="2" t="str"/>
      <c r="N864" s="1" t="str"/>
      <c r="O864" s="1" t="str"/>
      <c r="P864" s="1" t="str"/>
      <c r="Q864" s="1">
        <f>IF(H864="Sí",1,0)</f>
        <v/>
      </c>
      <c r="R864" s="1">
        <f>IF(L864="En coordinación",1,0)</f>
        <v/>
      </c>
      <c r="T864">
        <f>IF(N864="Sí",1,0)</f>
        <v/>
      </c>
      <c r="U864">
        <f>IF(L864="Aceptada",1,0)</f>
        <v/>
      </c>
    </row>
    <row r="865">
      <c r="A865" s="21" t="str"/>
      <c r="B865" s="23" t="str"/>
      <c r="I865" s="2" t="str"/>
      <c r="J865" s="2" t="str"/>
      <c r="K865" s="2" t="str"/>
      <c r="L865" s="1" t="str"/>
      <c r="M865" s="2" t="str"/>
      <c r="N865" s="1" t="str"/>
      <c r="O865" s="1" t="str"/>
      <c r="P865" s="1" t="str"/>
      <c r="Q865" s="1">
        <f>IF(H865="Sí",1,0)</f>
        <v/>
      </c>
      <c r="R865" s="1">
        <f>IF(L865="En coordinación",1,0)</f>
        <v/>
      </c>
      <c r="T865">
        <f>IF(N865="Sí",1,0)</f>
        <v/>
      </c>
      <c r="U865">
        <f>IF(L865="Aceptada",1,0)</f>
        <v/>
      </c>
    </row>
    <row r="866">
      <c r="A866" s="21" t="str"/>
      <c r="B866" s="23" t="str"/>
      <c r="I866" s="2" t="str"/>
      <c r="J866" s="2" t="str"/>
      <c r="K866" s="2" t="str"/>
      <c r="L866" s="1" t="str"/>
      <c r="M866" s="2" t="str"/>
      <c r="N866" s="1" t="str"/>
      <c r="O866" s="1" t="str"/>
      <c r="P866" s="1" t="str"/>
      <c r="Q866" s="1">
        <f>IF(H866="Sí",1,0)</f>
        <v/>
      </c>
      <c r="R866" s="1">
        <f>IF(L866="En coordinación",1,0)</f>
        <v/>
      </c>
      <c r="T866">
        <f>IF(N866="Sí",1,0)</f>
        <v/>
      </c>
      <c r="U866">
        <f>IF(L866="Aceptada",1,0)</f>
        <v/>
      </c>
    </row>
    <row r="867">
      <c r="A867" s="21" t="str"/>
      <c r="B867" s="23" t="str"/>
      <c r="I867" s="2" t="str"/>
      <c r="J867" s="2" t="str"/>
      <c r="K867" s="2" t="str"/>
      <c r="L867" s="1" t="str"/>
      <c r="M867" s="2" t="str"/>
      <c r="N867" s="1" t="str"/>
      <c r="O867" s="1" t="str"/>
      <c r="P867" s="1" t="str"/>
      <c r="Q867" s="1">
        <f>IF(H867="Sí",1,0)</f>
        <v/>
      </c>
      <c r="R867" s="1">
        <f>IF(L867="En coordinación",1,0)</f>
        <v/>
      </c>
      <c r="T867">
        <f>IF(N867="Sí",1,0)</f>
        <v/>
      </c>
      <c r="U867">
        <f>IF(L867="Aceptada",1,0)</f>
        <v/>
      </c>
    </row>
    <row r="868">
      <c r="A868" s="21" t="str"/>
      <c r="B868" s="23" t="str"/>
      <c r="I868" s="2" t="str"/>
      <c r="J868" s="2" t="str"/>
      <c r="K868" s="2" t="str"/>
      <c r="L868" s="1" t="str"/>
      <c r="M868" s="2" t="str"/>
      <c r="N868" s="1" t="str"/>
      <c r="O868" s="1" t="str"/>
      <c r="P868" s="1" t="str"/>
      <c r="Q868" s="1">
        <f>IF(H868="Sí",1,0)</f>
        <v/>
      </c>
      <c r="R868" s="1">
        <f>IF(L868="En coordinación",1,0)</f>
        <v/>
      </c>
      <c r="T868">
        <f>IF(N868="Sí",1,0)</f>
        <v/>
      </c>
      <c r="U868">
        <f>IF(L868="Aceptada",1,0)</f>
        <v/>
      </c>
    </row>
    <row r="869">
      <c r="A869" s="21" t="str"/>
      <c r="B869" s="23" t="str"/>
      <c r="I869" s="2" t="str"/>
      <c r="J869" s="2" t="str"/>
      <c r="K869" s="2" t="str"/>
      <c r="L869" s="1" t="str"/>
      <c r="M869" s="2" t="str"/>
      <c r="N869" s="1" t="str"/>
      <c r="O869" s="1" t="str"/>
      <c r="P869" s="1" t="str"/>
      <c r="Q869" s="1">
        <f>IF(H869="Sí",1,0)</f>
        <v/>
      </c>
      <c r="R869" s="1">
        <f>IF(L869="En coordinación",1,0)</f>
        <v/>
      </c>
      <c r="T869">
        <f>IF(N869="Sí",1,0)</f>
        <v/>
      </c>
      <c r="U869">
        <f>IF(L869="Aceptada",1,0)</f>
        <v/>
      </c>
    </row>
    <row r="870">
      <c r="A870" s="21" t="str"/>
      <c r="B870" s="23" t="str"/>
      <c r="I870" s="2" t="str"/>
      <c r="J870" s="2" t="str"/>
      <c r="K870" s="2" t="str"/>
      <c r="L870" s="1" t="str"/>
      <c r="M870" s="2" t="str"/>
      <c r="N870" s="1" t="str"/>
      <c r="O870" s="1" t="str"/>
      <c r="P870" s="1" t="str"/>
      <c r="Q870" s="1">
        <f>IF(H870="Sí",1,0)</f>
        <v/>
      </c>
      <c r="R870" s="1">
        <f>IF(L870="En coordinación",1,0)</f>
        <v/>
      </c>
      <c r="T870">
        <f>IF(N870="Sí",1,0)</f>
        <v/>
      </c>
      <c r="U870">
        <f>IF(L870="Aceptada",1,0)</f>
        <v/>
      </c>
    </row>
    <row r="871">
      <c r="A871" s="21" t="str"/>
      <c r="B871" s="23" t="str"/>
      <c r="I871" s="2" t="str"/>
      <c r="J871" s="2" t="str"/>
      <c r="K871" s="2" t="str"/>
      <c r="L871" s="1" t="str"/>
      <c r="M871" s="2" t="str"/>
      <c r="N871" s="1" t="str"/>
      <c r="O871" s="1" t="str"/>
      <c r="P871" s="1" t="str"/>
      <c r="Q871" s="1">
        <f>IF(H871="Sí",1,0)</f>
        <v/>
      </c>
      <c r="R871" s="1">
        <f>IF(L871="En coordinación",1,0)</f>
        <v/>
      </c>
      <c r="T871">
        <f>IF(N871="Sí",1,0)</f>
        <v/>
      </c>
      <c r="U871">
        <f>IF(L871="Aceptada",1,0)</f>
        <v/>
      </c>
    </row>
    <row r="872">
      <c r="A872" s="21" t="str"/>
      <c r="B872" s="23" t="str"/>
      <c r="I872" s="2" t="str"/>
      <c r="J872" s="2" t="str"/>
      <c r="K872" s="2" t="str"/>
      <c r="L872" s="1" t="str"/>
      <c r="M872" s="2" t="str"/>
      <c r="N872" s="1" t="str"/>
      <c r="O872" s="1" t="str"/>
      <c r="P872" s="1" t="str"/>
      <c r="Q872" s="1">
        <f>IF(H872="Sí",1,0)</f>
        <v/>
      </c>
      <c r="R872" s="1">
        <f>IF(L872="En coordinación",1,0)</f>
        <v/>
      </c>
      <c r="T872">
        <f>IF(N872="Sí",1,0)</f>
        <v/>
      </c>
      <c r="U872">
        <f>IF(L872="Aceptada",1,0)</f>
        <v/>
      </c>
    </row>
    <row r="873">
      <c r="A873" s="21" t="str"/>
      <c r="B873" s="23" t="str"/>
      <c r="I873" s="2" t="str"/>
      <c r="J873" s="2" t="str"/>
      <c r="K873" s="2" t="str"/>
      <c r="L873" s="1" t="str"/>
      <c r="M873" s="2" t="str"/>
      <c r="N873" s="1" t="str"/>
      <c r="O873" s="1" t="str"/>
      <c r="P873" s="1" t="str"/>
      <c r="Q873" s="1">
        <f>IF(H873="Sí",1,0)</f>
        <v/>
      </c>
      <c r="R873" s="1">
        <f>IF(L873="En coordinación",1,0)</f>
        <v/>
      </c>
      <c r="T873">
        <f>IF(N873="Sí",1,0)</f>
        <v/>
      </c>
      <c r="U873">
        <f>IF(L873="Aceptada",1,0)</f>
        <v/>
      </c>
    </row>
    <row r="874">
      <c r="A874" s="21" t="str"/>
      <c r="B874" s="23" t="str"/>
      <c r="I874" s="2" t="str"/>
      <c r="J874" s="2" t="str"/>
      <c r="K874" s="2" t="str"/>
      <c r="L874" s="1" t="str"/>
      <c r="M874" s="2" t="str"/>
      <c r="N874" s="1" t="str"/>
      <c r="O874" s="1" t="str"/>
      <c r="P874" s="1" t="str"/>
      <c r="Q874" s="1">
        <f>IF(H874="Sí",1,0)</f>
        <v/>
      </c>
      <c r="R874" s="1">
        <f>IF(L874="En coordinación",1,0)</f>
        <v/>
      </c>
      <c r="T874">
        <f>IF(N874="Sí",1,0)</f>
        <v/>
      </c>
      <c r="U874">
        <f>IF(L874="Aceptada",1,0)</f>
        <v/>
      </c>
    </row>
    <row r="875">
      <c r="A875" s="21" t="str"/>
      <c r="B875" s="23" t="str"/>
      <c r="I875" s="2" t="str"/>
      <c r="J875" s="2" t="str"/>
      <c r="K875" s="2" t="str"/>
      <c r="L875" s="1" t="str"/>
      <c r="M875" s="2" t="str"/>
      <c r="N875" s="1" t="str"/>
      <c r="O875" s="1" t="str"/>
      <c r="P875" s="1" t="str"/>
      <c r="Q875" s="1">
        <f>IF(H875="Sí",1,0)</f>
        <v/>
      </c>
      <c r="R875" s="1">
        <f>IF(L875="En coordinación",1,0)</f>
        <v/>
      </c>
      <c r="T875">
        <f>IF(N875="Sí",1,0)</f>
        <v/>
      </c>
      <c r="U875">
        <f>IF(L875="Aceptada",1,0)</f>
        <v/>
      </c>
    </row>
    <row r="876">
      <c r="A876" s="21" t="str"/>
      <c r="B876" s="23" t="str"/>
      <c r="I876" s="2" t="str"/>
      <c r="J876" s="2" t="str"/>
      <c r="K876" s="2" t="str"/>
      <c r="L876" s="1" t="str"/>
      <c r="M876" s="2" t="str"/>
      <c r="N876" s="1" t="str"/>
      <c r="O876" s="1" t="str"/>
      <c r="P876" s="1" t="str"/>
      <c r="Q876" s="1">
        <f>IF(H876="Sí",1,0)</f>
        <v/>
      </c>
      <c r="R876" s="1">
        <f>IF(L876="En coordinación",1,0)</f>
        <v/>
      </c>
      <c r="T876">
        <f>IF(N876="Sí",1,0)</f>
        <v/>
      </c>
      <c r="U876">
        <f>IF(L876="Aceptada",1,0)</f>
        <v/>
      </c>
    </row>
    <row r="877">
      <c r="A877" s="21" t="str"/>
      <c r="B877" s="23" t="str"/>
      <c r="I877" s="2" t="str"/>
      <c r="J877" s="2" t="str"/>
      <c r="K877" s="2" t="str"/>
      <c r="L877" s="1" t="str"/>
      <c r="M877" s="2" t="str"/>
      <c r="N877" s="1" t="str"/>
      <c r="O877" s="1" t="str"/>
      <c r="P877" s="1" t="str"/>
      <c r="Q877" s="1">
        <f>IF(H877="Sí",1,0)</f>
        <v/>
      </c>
      <c r="R877" s="1">
        <f>IF(L877="En coordinación",1,0)</f>
        <v/>
      </c>
      <c r="T877">
        <f>IF(N877="Sí",1,0)</f>
        <v/>
      </c>
      <c r="U877">
        <f>IF(L877="Aceptada",1,0)</f>
        <v/>
      </c>
    </row>
    <row r="878">
      <c r="A878" s="21" t="str"/>
      <c r="B878" s="23" t="str"/>
      <c r="I878" s="2" t="str"/>
      <c r="J878" s="2" t="str"/>
      <c r="K878" s="2" t="str"/>
      <c r="L878" s="1" t="str"/>
      <c r="M878" s="2" t="str"/>
      <c r="N878" s="1" t="str"/>
      <c r="O878" s="1" t="str"/>
      <c r="P878" s="1" t="str"/>
      <c r="Q878" s="1">
        <f>IF(H878="Sí",1,0)</f>
        <v/>
      </c>
      <c r="R878" s="1">
        <f>IF(L878="En coordinación",1,0)</f>
        <v/>
      </c>
      <c r="T878">
        <f>IF(N878="Sí",1,0)</f>
        <v/>
      </c>
      <c r="U878">
        <f>IF(L878="Aceptada",1,0)</f>
        <v/>
      </c>
    </row>
    <row r="879">
      <c r="A879" s="21" t="str"/>
      <c r="B879" s="23" t="str"/>
      <c r="I879" s="2" t="str"/>
      <c r="J879" s="2" t="str"/>
      <c r="K879" s="2" t="str"/>
      <c r="L879" s="1" t="str"/>
      <c r="M879" s="2" t="str"/>
      <c r="N879" s="1" t="str"/>
      <c r="O879" s="1" t="str"/>
      <c r="P879" s="1" t="str"/>
      <c r="Q879" s="1">
        <f>IF(H879="Sí",1,0)</f>
        <v/>
      </c>
      <c r="R879" s="1">
        <f>IF(L879="En coordinación",1,0)</f>
        <v/>
      </c>
      <c r="T879">
        <f>IF(N879="Sí",1,0)</f>
        <v/>
      </c>
      <c r="U879">
        <f>IF(L879="Aceptada",1,0)</f>
        <v/>
      </c>
    </row>
    <row r="880">
      <c r="A880" s="21" t="str"/>
      <c r="B880" s="23" t="str"/>
      <c r="I880" s="2" t="str"/>
      <c r="J880" s="2" t="str"/>
      <c r="K880" s="2" t="str"/>
      <c r="L880" s="1" t="str"/>
      <c r="M880" s="2" t="str"/>
      <c r="N880" s="1" t="str"/>
      <c r="O880" s="1" t="str"/>
      <c r="P880" s="1" t="str"/>
      <c r="Q880" s="1">
        <f>IF(H880="Sí",1,0)</f>
        <v/>
      </c>
      <c r="R880" s="1">
        <f>IF(L880="En coordinación",1,0)</f>
        <v/>
      </c>
      <c r="T880">
        <f>IF(N880="Sí",1,0)</f>
        <v/>
      </c>
      <c r="U880">
        <f>IF(L880="Aceptada",1,0)</f>
        <v/>
      </c>
    </row>
    <row r="881">
      <c r="A881" s="21" t="str"/>
      <c r="B881" s="23" t="str"/>
      <c r="I881" s="2" t="str"/>
      <c r="J881" s="2" t="str"/>
      <c r="K881" s="2" t="str"/>
      <c r="L881" s="1" t="str"/>
      <c r="M881" s="2" t="str"/>
      <c r="N881" s="1" t="str"/>
      <c r="O881" s="1" t="str"/>
      <c r="P881" s="1" t="str"/>
      <c r="Q881" s="1">
        <f>IF(H881="Sí",1,0)</f>
        <v/>
      </c>
      <c r="R881" s="1">
        <f>IF(L881="En coordinación",1,0)</f>
        <v/>
      </c>
      <c r="T881">
        <f>IF(N881="Sí",1,0)</f>
        <v/>
      </c>
      <c r="U881">
        <f>IF(L881="Aceptada",1,0)</f>
        <v/>
      </c>
    </row>
    <row r="882">
      <c r="A882" s="21" t="str"/>
      <c r="B882" s="23" t="str"/>
      <c r="I882" s="2" t="str"/>
      <c r="J882" s="2" t="str"/>
      <c r="K882" s="2" t="str"/>
      <c r="L882" s="1" t="str"/>
      <c r="M882" s="2" t="str"/>
      <c r="N882" s="1" t="str"/>
      <c r="O882" s="1" t="str"/>
      <c r="P882" s="1" t="str"/>
      <c r="Q882" s="1">
        <f>IF(H882="Sí",1,0)</f>
        <v/>
      </c>
      <c r="R882" s="1">
        <f>IF(L882="En coordinación",1,0)</f>
        <v/>
      </c>
      <c r="T882">
        <f>IF(N882="Sí",1,0)</f>
        <v/>
      </c>
      <c r="U882">
        <f>IF(L882="Aceptada",1,0)</f>
        <v/>
      </c>
    </row>
    <row r="883">
      <c r="A883" s="21" t="str"/>
      <c r="B883" s="23" t="str"/>
      <c r="I883" s="2" t="str"/>
      <c r="J883" s="2" t="str"/>
      <c r="K883" s="2" t="str"/>
      <c r="L883" s="1" t="str"/>
      <c r="M883" s="2" t="str"/>
      <c r="N883" s="1" t="str"/>
      <c r="O883" s="1" t="str"/>
      <c r="P883" s="1" t="str"/>
      <c r="Q883" s="1">
        <f>IF(H883="Sí",1,0)</f>
        <v/>
      </c>
      <c r="R883" s="1">
        <f>IF(L883="En coordinación",1,0)</f>
        <v/>
      </c>
      <c r="T883">
        <f>IF(N883="Sí",1,0)</f>
        <v/>
      </c>
      <c r="U883">
        <f>IF(L883="Aceptada",1,0)</f>
        <v/>
      </c>
    </row>
    <row r="884">
      <c r="A884" s="21" t="str"/>
      <c r="B884" s="23" t="str"/>
      <c r="I884" s="2" t="str"/>
      <c r="J884" s="2" t="str"/>
      <c r="K884" s="2" t="str"/>
      <c r="L884" s="1" t="str"/>
      <c r="M884" s="2" t="str"/>
      <c r="N884" s="1" t="str"/>
      <c r="O884" s="1" t="str"/>
      <c r="P884" s="1" t="str"/>
      <c r="Q884" s="1">
        <f>IF(H884="Sí",1,0)</f>
        <v/>
      </c>
      <c r="R884" s="1">
        <f>IF(L884="En coordinación",1,0)</f>
        <v/>
      </c>
      <c r="T884">
        <f>IF(N884="Sí",1,0)</f>
        <v/>
      </c>
      <c r="U884">
        <f>IF(L884="Aceptada",1,0)</f>
        <v/>
      </c>
    </row>
    <row r="885">
      <c r="A885" s="21" t="str"/>
      <c r="B885" s="23" t="str"/>
      <c r="I885" s="2" t="str"/>
      <c r="J885" s="2" t="str"/>
      <c r="K885" s="2" t="str"/>
      <c r="L885" s="1" t="str"/>
      <c r="M885" s="2" t="str"/>
      <c r="N885" s="1" t="str"/>
      <c r="O885" s="1" t="str"/>
      <c r="P885" s="1" t="str"/>
      <c r="Q885" s="1">
        <f>IF(H885="Sí",1,0)</f>
        <v/>
      </c>
      <c r="R885" s="1">
        <f>IF(L885="En coordinación",1,0)</f>
        <v/>
      </c>
      <c r="T885">
        <f>IF(N885="Sí",1,0)</f>
        <v/>
      </c>
      <c r="U885">
        <f>IF(L885="Aceptada",1,0)</f>
        <v/>
      </c>
    </row>
    <row r="886">
      <c r="A886" s="21" t="str"/>
      <c r="B886" s="23" t="str"/>
      <c r="I886" s="2" t="str"/>
      <c r="J886" s="2" t="str"/>
      <c r="K886" s="2" t="str"/>
      <c r="L886" s="1" t="str"/>
      <c r="M886" s="2" t="str"/>
      <c r="N886" s="1" t="str"/>
      <c r="O886" s="1" t="str"/>
      <c r="P886" s="1" t="str"/>
      <c r="Q886" s="1">
        <f>IF(H886="Sí",1,0)</f>
        <v/>
      </c>
      <c r="R886" s="1">
        <f>IF(L886="En coordinación",1,0)</f>
        <v/>
      </c>
      <c r="T886">
        <f>IF(N886="Sí",1,0)</f>
        <v/>
      </c>
      <c r="U886">
        <f>IF(L886="Aceptada",1,0)</f>
        <v/>
      </c>
    </row>
    <row r="887">
      <c r="A887" s="21" t="str"/>
      <c r="B887" s="23" t="str"/>
      <c r="I887" s="2" t="str"/>
      <c r="J887" s="2" t="str"/>
      <c r="K887" s="2" t="str"/>
      <c r="L887" s="1" t="str"/>
      <c r="M887" s="2" t="str"/>
      <c r="N887" s="1" t="str"/>
      <c r="O887" s="1" t="str"/>
      <c r="P887" s="1" t="str"/>
      <c r="Q887" s="1">
        <f>IF(H887="Sí",1,0)</f>
        <v/>
      </c>
      <c r="R887" s="1">
        <f>IF(L887="En coordinación",1,0)</f>
        <v/>
      </c>
      <c r="T887">
        <f>IF(N887="Sí",1,0)</f>
        <v/>
      </c>
      <c r="U887">
        <f>IF(L887="Aceptada",1,0)</f>
        <v/>
      </c>
    </row>
    <row r="888">
      <c r="A888" s="21" t="str"/>
      <c r="B888" s="23" t="str"/>
      <c r="I888" s="2" t="str"/>
      <c r="J888" s="2" t="str"/>
      <c r="K888" s="2" t="str"/>
      <c r="L888" s="1" t="str"/>
      <c r="M888" s="2" t="str"/>
      <c r="N888" s="1" t="str"/>
      <c r="O888" s="1" t="str"/>
      <c r="P888" s="1" t="str"/>
      <c r="Q888" s="1">
        <f>IF(H888="Sí",1,0)</f>
        <v/>
      </c>
      <c r="R888" s="1">
        <f>IF(L888="En coordinación",1,0)</f>
        <v/>
      </c>
      <c r="T888">
        <f>IF(N888="Sí",1,0)</f>
        <v/>
      </c>
      <c r="U888">
        <f>IF(L888="Aceptada",1,0)</f>
        <v/>
      </c>
    </row>
    <row r="889">
      <c r="A889" s="21" t="str"/>
      <c r="B889" s="23" t="str"/>
      <c r="I889" s="2" t="str"/>
      <c r="J889" s="2" t="str"/>
      <c r="K889" s="2" t="str"/>
      <c r="L889" s="1" t="str"/>
      <c r="M889" s="2" t="str"/>
      <c r="N889" s="1" t="str"/>
      <c r="O889" s="1" t="str"/>
      <c r="P889" s="1" t="str"/>
      <c r="Q889" s="1">
        <f>IF(H889="Sí",1,0)</f>
        <v/>
      </c>
      <c r="R889" s="1">
        <f>IF(L889="En coordinación",1,0)</f>
        <v/>
      </c>
      <c r="T889">
        <f>IF(N889="Sí",1,0)</f>
        <v/>
      </c>
      <c r="U889">
        <f>IF(L889="Aceptada",1,0)</f>
        <v/>
      </c>
    </row>
    <row r="890">
      <c r="A890" s="21" t="str"/>
      <c r="B890" s="23" t="str"/>
      <c r="I890" s="2" t="str"/>
      <c r="J890" s="2" t="str"/>
      <c r="K890" s="2" t="str"/>
      <c r="L890" s="1" t="str"/>
      <c r="M890" s="2" t="str"/>
      <c r="N890" s="1" t="str"/>
      <c r="O890" s="1" t="str"/>
      <c r="P890" s="1" t="str"/>
      <c r="Q890" s="1">
        <f>IF(H890="Sí",1,0)</f>
        <v/>
      </c>
      <c r="R890" s="1">
        <f>IF(L890="En coordinación",1,0)</f>
        <v/>
      </c>
      <c r="T890">
        <f>IF(N890="Sí",1,0)</f>
        <v/>
      </c>
      <c r="U890">
        <f>IF(L890="Aceptada",1,0)</f>
        <v/>
      </c>
    </row>
    <row r="891">
      <c r="A891" s="21" t="str"/>
      <c r="B891" s="23" t="str"/>
      <c r="I891" s="2" t="str"/>
      <c r="J891" s="2" t="str"/>
      <c r="K891" s="2" t="str"/>
      <c r="L891" s="1" t="str"/>
      <c r="M891" s="2" t="str"/>
      <c r="N891" s="1" t="str"/>
      <c r="O891" s="1" t="str"/>
      <c r="P891" s="1" t="str"/>
      <c r="Q891" s="1">
        <f>IF(H891="Sí",1,0)</f>
        <v/>
      </c>
      <c r="R891" s="1">
        <f>IF(L891="En coordinación",1,0)</f>
        <v/>
      </c>
      <c r="T891">
        <f>IF(N891="Sí",1,0)</f>
        <v/>
      </c>
      <c r="U891">
        <f>IF(L891="Aceptada",1,0)</f>
        <v/>
      </c>
    </row>
    <row r="892">
      <c r="A892" s="21" t="str"/>
      <c r="B892" s="23" t="str"/>
      <c r="I892" s="2" t="str"/>
      <c r="J892" s="2" t="str"/>
      <c r="K892" s="2" t="str"/>
      <c r="L892" s="1" t="str"/>
      <c r="M892" s="2" t="str"/>
      <c r="N892" s="1" t="str"/>
      <c r="O892" s="1" t="str"/>
      <c r="P892" s="1" t="str"/>
      <c r="Q892" s="1">
        <f>IF(H892="Sí",1,0)</f>
        <v/>
      </c>
      <c r="R892" s="1">
        <f>IF(L892="En coordinación",1,0)</f>
        <v/>
      </c>
      <c r="T892">
        <f>IF(N892="Sí",1,0)</f>
        <v/>
      </c>
      <c r="U892">
        <f>IF(L892="Aceptada",1,0)</f>
        <v/>
      </c>
    </row>
    <row r="893">
      <c r="A893" s="21" t="str"/>
      <c r="B893" s="23" t="str"/>
      <c r="I893" s="2" t="str"/>
      <c r="J893" s="2" t="str"/>
      <c r="K893" s="2" t="str"/>
      <c r="L893" s="1" t="str"/>
      <c r="M893" s="2" t="str"/>
      <c r="N893" s="1" t="str"/>
      <c r="O893" s="1" t="str"/>
      <c r="P893" s="1" t="str"/>
      <c r="Q893" s="1">
        <f>IF(H893="Sí",1,0)</f>
        <v/>
      </c>
      <c r="R893" s="1">
        <f>IF(L893="En coordinación",1,0)</f>
        <v/>
      </c>
      <c r="T893">
        <f>IF(N893="Sí",1,0)</f>
        <v/>
      </c>
      <c r="U893">
        <f>IF(L893="Aceptada",1,0)</f>
        <v/>
      </c>
    </row>
    <row r="894">
      <c r="A894" s="21" t="str"/>
      <c r="B894" s="23" t="str"/>
      <c r="I894" s="2" t="str"/>
      <c r="J894" s="2" t="str"/>
      <c r="K894" s="2" t="str"/>
      <c r="L894" s="1" t="str"/>
      <c r="M894" s="2" t="str"/>
      <c r="N894" s="1" t="str"/>
      <c r="O894" s="1" t="str"/>
      <c r="P894" s="1" t="str"/>
      <c r="Q894" s="1">
        <f>IF(H894="Sí",1,0)</f>
        <v/>
      </c>
      <c r="R894" s="1">
        <f>IF(L894="En coordinación",1,0)</f>
        <v/>
      </c>
      <c r="T894">
        <f>IF(N894="Sí",1,0)</f>
        <v/>
      </c>
      <c r="U894">
        <f>IF(L894="Aceptada",1,0)</f>
        <v/>
      </c>
    </row>
    <row r="895">
      <c r="A895" s="21" t="str"/>
      <c r="B895" s="23" t="str"/>
      <c r="I895" s="2" t="str"/>
      <c r="J895" s="2" t="str"/>
      <c r="K895" s="2" t="str"/>
      <c r="L895" s="1" t="str"/>
      <c r="M895" s="2" t="str"/>
      <c r="N895" s="1" t="str"/>
      <c r="O895" s="1" t="str"/>
      <c r="P895" s="1" t="str"/>
      <c r="Q895" s="1">
        <f>IF(H895="Sí",1,0)</f>
        <v/>
      </c>
      <c r="R895" s="1">
        <f>IF(L895="En coordinación",1,0)</f>
        <v/>
      </c>
      <c r="T895">
        <f>IF(N895="Sí",1,0)</f>
        <v/>
      </c>
      <c r="U895">
        <f>IF(L895="Aceptada",1,0)</f>
        <v/>
      </c>
    </row>
    <row r="896">
      <c r="A896" s="21" t="str"/>
      <c r="B896" s="23" t="str"/>
      <c r="I896" s="2" t="str"/>
      <c r="J896" s="2" t="str"/>
      <c r="K896" s="2" t="str"/>
      <c r="L896" s="1" t="str"/>
      <c r="M896" s="2" t="str"/>
      <c r="N896" s="1" t="str"/>
      <c r="O896" s="1" t="str"/>
      <c r="P896" s="1" t="str"/>
      <c r="Q896" s="1">
        <f>IF(H896="Sí",1,0)</f>
        <v/>
      </c>
      <c r="R896" s="1">
        <f>IF(L896="En coordinación",1,0)</f>
        <v/>
      </c>
      <c r="T896">
        <f>IF(N896="Sí",1,0)</f>
        <v/>
      </c>
      <c r="U896">
        <f>IF(L896="Aceptada",1,0)</f>
        <v/>
      </c>
    </row>
    <row r="897">
      <c r="A897" s="21" t="str"/>
      <c r="B897" s="23" t="str"/>
      <c r="I897" s="2" t="str"/>
      <c r="J897" s="2" t="str"/>
      <c r="K897" s="2" t="str"/>
      <c r="L897" s="1" t="str"/>
      <c r="M897" s="2" t="str"/>
      <c r="N897" s="1" t="str"/>
      <c r="O897" s="1" t="str"/>
      <c r="P897" s="1" t="str"/>
      <c r="Q897" s="1">
        <f>IF(H897="Sí",1,0)</f>
        <v/>
      </c>
      <c r="R897" s="1">
        <f>IF(L897="En coordinación",1,0)</f>
        <v/>
      </c>
      <c r="T897">
        <f>IF(N897="Sí",1,0)</f>
        <v/>
      </c>
      <c r="U897">
        <f>IF(L897="Aceptada",1,0)</f>
        <v/>
      </c>
    </row>
    <row r="898">
      <c r="A898" s="21" t="str"/>
      <c r="B898" s="23" t="str"/>
      <c r="I898" s="2" t="str"/>
      <c r="J898" s="2" t="str"/>
      <c r="K898" s="2" t="str"/>
      <c r="L898" s="1" t="str"/>
      <c r="M898" s="2" t="str"/>
      <c r="N898" s="1" t="str"/>
      <c r="O898" s="1" t="str"/>
      <c r="P898" s="1" t="str"/>
      <c r="Q898" s="1">
        <f>IF(H898="Sí",1,0)</f>
        <v/>
      </c>
      <c r="R898" s="1">
        <f>IF(L898="En coordinación",1,0)</f>
        <v/>
      </c>
      <c r="T898">
        <f>IF(N898="Sí",1,0)</f>
        <v/>
      </c>
      <c r="U898">
        <f>IF(L898="Aceptada",1,0)</f>
        <v/>
      </c>
    </row>
    <row r="899">
      <c r="A899" s="21" t="str"/>
      <c r="B899" s="23" t="str"/>
      <c r="I899" s="2" t="str"/>
      <c r="J899" s="2" t="str"/>
      <c r="K899" s="2" t="str"/>
      <c r="L899" s="1" t="str"/>
      <c r="M899" s="2" t="str"/>
      <c r="N899" s="1" t="str"/>
      <c r="O899" s="1" t="str"/>
      <c r="P899" s="1" t="str"/>
      <c r="Q899" s="1">
        <f>IF(H899="Sí",1,0)</f>
        <v/>
      </c>
      <c r="R899" s="1">
        <f>IF(L899="En coordinación",1,0)</f>
        <v/>
      </c>
      <c r="T899">
        <f>IF(N899="Sí",1,0)</f>
        <v/>
      </c>
      <c r="U899">
        <f>IF(L899="Aceptada",1,0)</f>
        <v/>
      </c>
    </row>
    <row r="900">
      <c r="A900" s="21" t="str"/>
      <c r="B900" s="23" t="str"/>
      <c r="I900" s="2" t="str"/>
      <c r="J900" s="2" t="str"/>
      <c r="K900" s="2" t="str"/>
      <c r="L900" s="1" t="str"/>
      <c r="M900" s="2" t="str"/>
      <c r="N900" s="1" t="str"/>
      <c r="O900" s="1" t="str"/>
      <c r="P900" s="1" t="str"/>
      <c r="Q900" s="1">
        <f>IF(H900="Sí",1,0)</f>
        <v/>
      </c>
      <c r="R900" s="1">
        <f>IF(L900="En coordinación",1,0)</f>
        <v/>
      </c>
      <c r="T900">
        <f>IF(N900="Sí",1,0)</f>
        <v/>
      </c>
      <c r="U900">
        <f>IF(L900="Aceptada",1,0)</f>
        <v/>
      </c>
    </row>
    <row r="901">
      <c r="A901" s="21" t="str"/>
      <c r="B901" s="23" t="str"/>
      <c r="I901" s="2" t="str"/>
      <c r="J901" s="2" t="str"/>
      <c r="K901" s="2" t="str"/>
      <c r="L901" s="1" t="str"/>
      <c r="M901" s="2" t="str"/>
      <c r="N901" s="1" t="str"/>
      <c r="O901" s="1" t="str"/>
      <c r="P901" s="1" t="str"/>
      <c r="Q901" s="1">
        <f>IF(H901="Sí",1,0)</f>
        <v/>
      </c>
      <c r="R901" s="1">
        <f>IF(L901="En coordinación",1,0)</f>
        <v/>
      </c>
      <c r="T901">
        <f>IF(N901="Sí",1,0)</f>
        <v/>
      </c>
      <c r="U901">
        <f>IF(L901="Aceptada",1,0)</f>
        <v/>
      </c>
    </row>
    <row r="902">
      <c r="A902" s="21" t="str"/>
      <c r="B902" s="23" t="str"/>
      <c r="I902" s="2" t="str"/>
      <c r="J902" s="2" t="str"/>
      <c r="K902" s="2" t="str"/>
      <c r="L902" s="1" t="str"/>
      <c r="M902" s="2" t="str"/>
      <c r="N902" s="1" t="str"/>
      <c r="O902" s="1" t="str"/>
      <c r="P902" s="1" t="str"/>
      <c r="Q902" s="1">
        <f>IF(H902="Sí",1,0)</f>
        <v/>
      </c>
      <c r="R902" s="1">
        <f>IF(L902="En coordinación",1,0)</f>
        <v/>
      </c>
      <c r="T902">
        <f>IF(N902="Sí",1,0)</f>
        <v/>
      </c>
      <c r="U902">
        <f>IF(L902="Aceptada",1,0)</f>
        <v/>
      </c>
    </row>
    <row r="903">
      <c r="A903" s="21" t="str"/>
      <c r="B903" s="23" t="str"/>
      <c r="I903" s="2" t="str"/>
      <c r="J903" s="2" t="str"/>
      <c r="K903" s="2" t="str"/>
      <c r="L903" s="1" t="str"/>
      <c r="M903" s="2" t="str"/>
      <c r="N903" s="1" t="str"/>
      <c r="O903" s="1" t="str"/>
      <c r="P903" s="1" t="str"/>
      <c r="Q903" s="1">
        <f>IF(H903="Sí",1,0)</f>
        <v/>
      </c>
      <c r="R903" s="1">
        <f>IF(L903="En coordinación",1,0)</f>
        <v/>
      </c>
      <c r="T903">
        <f>IF(N903="Sí",1,0)</f>
        <v/>
      </c>
      <c r="U903">
        <f>IF(L903="Aceptada",1,0)</f>
        <v/>
      </c>
    </row>
    <row r="904">
      <c r="A904" s="21" t="str"/>
      <c r="B904" s="23" t="str"/>
      <c r="I904" s="2" t="str"/>
      <c r="J904" s="2" t="str"/>
      <c r="K904" s="2" t="str"/>
      <c r="L904" s="1" t="str"/>
      <c r="M904" s="2" t="str"/>
      <c r="N904" s="1" t="str"/>
      <c r="O904" s="1" t="str"/>
      <c r="P904" s="1" t="str"/>
      <c r="Q904" s="1">
        <f>IF(H904="Sí",1,0)</f>
        <v/>
      </c>
      <c r="R904" s="1">
        <f>IF(L904="En coordinación",1,0)</f>
        <v/>
      </c>
      <c r="T904">
        <f>IF(N904="Sí",1,0)</f>
        <v/>
      </c>
      <c r="U904">
        <f>IF(L904="Aceptada",1,0)</f>
        <v/>
      </c>
    </row>
    <row r="905">
      <c r="A905" s="21" t="str"/>
      <c r="B905" s="23" t="str"/>
      <c r="I905" s="2" t="str"/>
      <c r="J905" s="2" t="str"/>
      <c r="K905" s="2" t="str"/>
      <c r="L905" s="1" t="str"/>
      <c r="M905" s="2" t="str"/>
      <c r="N905" s="1" t="str"/>
      <c r="O905" s="1" t="str"/>
      <c r="P905" s="1" t="str"/>
      <c r="Q905" s="1">
        <f>IF(H905="Sí",1,0)</f>
        <v/>
      </c>
      <c r="R905" s="1">
        <f>IF(L905="En coordinación",1,0)</f>
        <v/>
      </c>
      <c r="T905">
        <f>IF(N905="Sí",1,0)</f>
        <v/>
      </c>
      <c r="U905">
        <f>IF(L905="Aceptada",1,0)</f>
        <v/>
      </c>
    </row>
    <row r="906">
      <c r="A906" s="21" t="str"/>
      <c r="B906" s="23" t="str"/>
      <c r="I906" s="2" t="str"/>
      <c r="J906" s="2" t="str"/>
      <c r="K906" s="2" t="str"/>
      <c r="L906" s="1" t="str"/>
      <c r="M906" s="2" t="str"/>
      <c r="N906" s="1" t="str"/>
      <c r="O906" s="1" t="str"/>
      <c r="P906" s="1" t="str"/>
      <c r="Q906" s="1">
        <f>IF(H906="Sí",1,0)</f>
        <v/>
      </c>
      <c r="R906" s="1">
        <f>IF(L906="En coordinación",1,0)</f>
        <v/>
      </c>
      <c r="T906">
        <f>IF(N906="Sí",1,0)</f>
        <v/>
      </c>
      <c r="U906">
        <f>IF(L906="Aceptada",1,0)</f>
        <v/>
      </c>
    </row>
    <row r="907">
      <c r="A907" s="21" t="str"/>
      <c r="B907" s="23" t="str"/>
      <c r="I907" s="2" t="str"/>
      <c r="J907" s="2" t="str"/>
      <c r="K907" s="2" t="str"/>
      <c r="L907" s="1" t="str"/>
      <c r="M907" s="2" t="str"/>
      <c r="N907" s="1" t="str"/>
      <c r="O907" s="1" t="str"/>
      <c r="P907" s="1" t="str"/>
      <c r="Q907" s="1">
        <f>IF(H907="Sí",1,0)</f>
        <v/>
      </c>
      <c r="R907" s="1">
        <f>IF(L907="En coordinación",1,0)</f>
        <v/>
      </c>
      <c r="T907">
        <f>IF(N907="Sí",1,0)</f>
        <v/>
      </c>
      <c r="U907">
        <f>IF(L907="Aceptada",1,0)</f>
        <v/>
      </c>
    </row>
    <row r="908">
      <c r="A908" s="21" t="str"/>
      <c r="B908" s="23" t="str"/>
      <c r="I908" s="2" t="str"/>
      <c r="J908" s="2" t="str"/>
      <c r="K908" s="2" t="str"/>
      <c r="L908" s="1" t="str"/>
      <c r="M908" s="2" t="str"/>
      <c r="N908" s="1" t="str"/>
      <c r="O908" s="1" t="str"/>
      <c r="P908" s="1" t="str"/>
      <c r="Q908" s="1">
        <f>IF(H908="Sí",1,0)</f>
        <v/>
      </c>
      <c r="R908" s="1">
        <f>IF(L908="En coordinación",1,0)</f>
        <v/>
      </c>
      <c r="T908">
        <f>IF(N908="Sí",1,0)</f>
        <v/>
      </c>
      <c r="U908">
        <f>IF(L908="Aceptada",1,0)</f>
        <v/>
      </c>
    </row>
    <row r="909">
      <c r="A909" s="21" t="str"/>
      <c r="B909" s="23" t="str"/>
      <c r="I909" s="2" t="str"/>
      <c r="J909" s="2" t="str"/>
      <c r="K909" s="2" t="str"/>
      <c r="L909" s="1" t="str"/>
      <c r="M909" s="2" t="str"/>
      <c r="N909" s="1" t="str"/>
      <c r="O909" s="1" t="str"/>
      <c r="P909" s="1" t="str"/>
      <c r="Q909" s="1">
        <f>IF(H909="Sí",1,0)</f>
        <v/>
      </c>
      <c r="R909" s="1">
        <f>IF(L909="En coordinación",1,0)</f>
        <v/>
      </c>
      <c r="T909">
        <f>IF(N909="Sí",1,0)</f>
        <v/>
      </c>
      <c r="U909">
        <f>IF(L909="Aceptada",1,0)</f>
        <v/>
      </c>
    </row>
    <row r="910">
      <c r="A910" s="21" t="str"/>
      <c r="B910" s="23" t="str"/>
      <c r="I910" s="2" t="str"/>
      <c r="J910" s="2" t="str"/>
      <c r="K910" s="2" t="str"/>
      <c r="L910" s="1" t="str"/>
      <c r="M910" s="2" t="str"/>
      <c r="N910" s="1" t="str"/>
      <c r="O910" s="1" t="str"/>
      <c r="P910" s="1" t="str"/>
      <c r="Q910" s="1">
        <f>IF(H910="Sí",1,0)</f>
        <v/>
      </c>
      <c r="R910" s="1">
        <f>IF(L910="En coordinación",1,0)</f>
        <v/>
      </c>
      <c r="T910">
        <f>IF(N910="Sí",1,0)</f>
        <v/>
      </c>
      <c r="U910">
        <f>IF(L910="Aceptada",1,0)</f>
        <v/>
      </c>
    </row>
    <row r="911">
      <c r="A911" s="21" t="str"/>
      <c r="B911" s="23" t="str"/>
      <c r="I911" s="2" t="str"/>
      <c r="J911" s="2" t="str"/>
      <c r="K911" s="2" t="str"/>
      <c r="L911" s="1" t="str"/>
      <c r="M911" s="2" t="str"/>
      <c r="N911" s="1" t="str"/>
      <c r="O911" s="1" t="str"/>
      <c r="P911" s="1" t="str"/>
      <c r="Q911" s="1">
        <f>IF(H911="Sí",1,0)</f>
        <v/>
      </c>
      <c r="R911" s="1">
        <f>IF(L911="En coordinación",1,0)</f>
        <v/>
      </c>
      <c r="T911">
        <f>IF(N911="Sí",1,0)</f>
        <v/>
      </c>
      <c r="U911">
        <f>IF(L911="Aceptada",1,0)</f>
        <v/>
      </c>
    </row>
    <row r="912">
      <c r="A912" s="21" t="str"/>
      <c r="B912" s="23" t="str"/>
      <c r="I912" s="2" t="str"/>
      <c r="J912" s="2" t="str"/>
      <c r="K912" s="2" t="str"/>
      <c r="L912" s="1" t="str"/>
      <c r="M912" s="2" t="str"/>
      <c r="N912" s="1" t="str"/>
      <c r="O912" s="1" t="str"/>
      <c r="P912" s="1" t="str"/>
      <c r="Q912" s="1">
        <f>IF(H912="Sí",1,0)</f>
        <v/>
      </c>
      <c r="R912" s="1">
        <f>IF(L912="En coordinación",1,0)</f>
        <v/>
      </c>
      <c r="T912">
        <f>IF(N912="Sí",1,0)</f>
        <v/>
      </c>
      <c r="U912">
        <f>IF(L912="Aceptada",1,0)</f>
        <v/>
      </c>
    </row>
    <row r="913">
      <c r="A913" s="21" t="str"/>
      <c r="B913" s="23" t="str"/>
      <c r="I913" s="2" t="str"/>
      <c r="J913" s="2" t="str"/>
      <c r="K913" s="2" t="str"/>
      <c r="L913" s="1" t="str"/>
      <c r="M913" s="2" t="str"/>
      <c r="N913" s="1" t="str"/>
      <c r="O913" s="1" t="str"/>
      <c r="P913" s="1" t="str"/>
      <c r="Q913" s="1">
        <f>IF(H913="Sí",1,0)</f>
        <v/>
      </c>
      <c r="R913" s="1">
        <f>IF(L913="En coordinación",1,0)</f>
        <v/>
      </c>
      <c r="T913">
        <f>IF(N913="Sí",1,0)</f>
        <v/>
      </c>
      <c r="U913">
        <f>IF(L913="Aceptada",1,0)</f>
        <v/>
      </c>
    </row>
    <row r="914">
      <c r="A914" s="21" t="str"/>
      <c r="B914" s="23" t="str"/>
      <c r="I914" s="2" t="str"/>
      <c r="J914" s="2" t="str"/>
      <c r="K914" s="2" t="str"/>
      <c r="L914" s="1" t="str"/>
      <c r="M914" s="2" t="str"/>
      <c r="N914" s="1" t="str"/>
      <c r="O914" s="1" t="str"/>
      <c r="P914" s="1" t="str"/>
      <c r="Q914" s="1">
        <f>IF(H914="Sí",1,0)</f>
        <v/>
      </c>
      <c r="R914" s="1">
        <f>IF(L914="En coordinación",1,0)</f>
        <v/>
      </c>
      <c r="T914">
        <f>IF(N914="Sí",1,0)</f>
        <v/>
      </c>
      <c r="U914">
        <f>IF(L914="Aceptada",1,0)</f>
        <v/>
      </c>
    </row>
    <row r="915">
      <c r="A915" s="21" t="str"/>
      <c r="B915" s="23" t="str"/>
      <c r="I915" s="2" t="str"/>
      <c r="J915" s="2" t="str"/>
      <c r="K915" s="2" t="str"/>
      <c r="L915" s="1" t="str"/>
      <c r="M915" s="2" t="str"/>
      <c r="N915" s="1" t="str"/>
      <c r="O915" s="1" t="str"/>
      <c r="P915" s="1" t="str"/>
      <c r="Q915" s="1">
        <f>IF(H915="Sí",1,0)</f>
        <v/>
      </c>
      <c r="R915" s="1">
        <f>IF(L915="En coordinación",1,0)</f>
        <v/>
      </c>
      <c r="T915">
        <f>IF(N915="Sí",1,0)</f>
        <v/>
      </c>
      <c r="U915">
        <f>IF(L915="Aceptada",1,0)</f>
        <v/>
      </c>
    </row>
    <row r="916">
      <c r="A916" s="21" t="str"/>
      <c r="B916" s="23" t="str"/>
      <c r="I916" s="2" t="str"/>
      <c r="J916" s="2" t="str"/>
      <c r="K916" s="2" t="str"/>
      <c r="L916" s="1" t="str"/>
      <c r="M916" s="2" t="str"/>
      <c r="N916" s="1" t="str"/>
      <c r="O916" s="1" t="str"/>
      <c r="P916" s="1" t="str"/>
      <c r="Q916" s="1">
        <f>IF(H916="Sí",1,0)</f>
        <v/>
      </c>
      <c r="R916" s="1">
        <f>IF(L916="En coordinación",1,0)</f>
        <v/>
      </c>
      <c r="T916">
        <f>IF(N916="Sí",1,0)</f>
        <v/>
      </c>
      <c r="U916">
        <f>IF(L916="Aceptada",1,0)</f>
        <v/>
      </c>
    </row>
    <row r="917">
      <c r="A917" s="21" t="str"/>
      <c r="B917" s="23" t="str"/>
      <c r="I917" s="2" t="str"/>
      <c r="J917" s="2" t="str"/>
      <c r="K917" s="2" t="str"/>
      <c r="L917" s="1" t="str"/>
      <c r="M917" s="2" t="str"/>
      <c r="N917" s="1" t="str"/>
      <c r="O917" s="1" t="str"/>
      <c r="P917" s="1" t="str"/>
      <c r="Q917" s="1">
        <f>IF(H917="Sí",1,0)</f>
        <v/>
      </c>
      <c r="R917" s="1">
        <f>IF(L917="En coordinación",1,0)</f>
        <v/>
      </c>
      <c r="T917">
        <f>IF(N917="Sí",1,0)</f>
        <v/>
      </c>
      <c r="U917">
        <f>IF(L917="Aceptada",1,0)</f>
        <v/>
      </c>
    </row>
    <row r="918">
      <c r="A918" s="21" t="str"/>
      <c r="B918" s="23" t="str"/>
      <c r="I918" s="2" t="str"/>
      <c r="J918" s="2" t="str"/>
      <c r="K918" s="2" t="str"/>
      <c r="L918" s="1" t="str"/>
      <c r="M918" s="2" t="str"/>
      <c r="N918" s="1" t="str"/>
      <c r="O918" s="1" t="str"/>
      <c r="P918" s="1" t="str"/>
      <c r="Q918" s="1">
        <f>IF(H918="Sí",1,0)</f>
        <v/>
      </c>
      <c r="R918" s="1">
        <f>IF(L918="En coordinación",1,0)</f>
        <v/>
      </c>
      <c r="T918">
        <f>IF(N918="Sí",1,0)</f>
        <v/>
      </c>
      <c r="U918">
        <f>IF(L918="Aceptada",1,0)</f>
        <v/>
      </c>
    </row>
    <row r="919">
      <c r="A919" s="21" t="str"/>
      <c r="B919" s="23" t="str"/>
      <c r="I919" s="2" t="str"/>
      <c r="J919" s="2" t="str"/>
      <c r="K919" s="2" t="str"/>
      <c r="L919" s="1" t="str"/>
      <c r="M919" s="2" t="str"/>
      <c r="N919" s="1" t="str"/>
      <c r="O919" s="1" t="str"/>
      <c r="P919" s="1" t="str"/>
      <c r="Q919" s="1">
        <f>IF(H919="Sí",1,0)</f>
        <v/>
      </c>
      <c r="R919" s="1">
        <f>IF(L919="En coordinación",1,0)</f>
        <v/>
      </c>
      <c r="T919">
        <f>IF(N919="Sí",1,0)</f>
        <v/>
      </c>
      <c r="U919">
        <f>IF(L919="Aceptada",1,0)</f>
        <v/>
      </c>
    </row>
    <row r="920">
      <c r="A920" s="21" t="str"/>
      <c r="B920" s="23" t="str"/>
      <c r="I920" s="2" t="str"/>
      <c r="J920" s="2" t="str"/>
      <c r="K920" s="2" t="str"/>
      <c r="L920" s="1" t="str"/>
      <c r="M920" s="2" t="str"/>
      <c r="N920" s="1" t="str"/>
      <c r="O920" s="1" t="str"/>
      <c r="P920" s="1" t="str"/>
      <c r="Q920" s="1">
        <f>IF(H920="Sí",1,0)</f>
        <v/>
      </c>
      <c r="R920" s="1">
        <f>IF(L920="En coordinación",1,0)</f>
        <v/>
      </c>
      <c r="T920">
        <f>IF(N920="Sí",1,0)</f>
        <v/>
      </c>
      <c r="U920">
        <f>IF(L920="Aceptada",1,0)</f>
        <v/>
      </c>
    </row>
    <row r="921">
      <c r="A921" s="21" t="str"/>
      <c r="B921" s="23" t="str"/>
      <c r="I921" s="2" t="str"/>
      <c r="J921" s="2" t="str"/>
      <c r="K921" s="2" t="str"/>
      <c r="L921" s="1" t="str"/>
      <c r="M921" s="2" t="str"/>
      <c r="N921" s="1" t="str"/>
      <c r="O921" s="1" t="str"/>
      <c r="P921" s="1" t="str"/>
      <c r="Q921" s="1">
        <f>IF(H921="Sí",1,0)</f>
        <v/>
      </c>
      <c r="R921" s="1">
        <f>IF(L921="En coordinación",1,0)</f>
        <v/>
      </c>
      <c r="T921">
        <f>IF(N921="Sí",1,0)</f>
        <v/>
      </c>
      <c r="U921">
        <f>IF(L921="Aceptada",1,0)</f>
        <v/>
      </c>
    </row>
    <row r="922">
      <c r="A922" s="21" t="str"/>
      <c r="B922" s="23" t="str"/>
      <c r="I922" s="2" t="str"/>
      <c r="J922" s="2" t="str"/>
      <c r="K922" s="2" t="str"/>
      <c r="L922" s="1" t="str"/>
      <c r="M922" s="2" t="str"/>
      <c r="N922" s="1" t="str"/>
      <c r="O922" s="1" t="str"/>
      <c r="P922" s="1" t="str"/>
      <c r="Q922" s="1">
        <f>IF(H922="Sí",1,0)</f>
        <v/>
      </c>
      <c r="R922" s="1">
        <f>IF(L922="En coordinación",1,0)</f>
        <v/>
      </c>
      <c r="T922">
        <f>IF(N922="Sí",1,0)</f>
        <v/>
      </c>
      <c r="U922">
        <f>IF(L922="Aceptada",1,0)</f>
        <v/>
      </c>
    </row>
    <row r="923">
      <c r="A923" s="21" t="str"/>
      <c r="B923" s="23" t="str"/>
      <c r="I923" s="2" t="str"/>
      <c r="J923" s="2" t="str"/>
      <c r="K923" s="2" t="str"/>
      <c r="L923" s="1" t="str"/>
      <c r="M923" s="2" t="str"/>
      <c r="N923" s="1" t="str"/>
      <c r="O923" s="1" t="str"/>
      <c r="P923" s="1" t="str"/>
      <c r="Q923" s="1">
        <f>IF(H923="Sí",1,0)</f>
        <v/>
      </c>
      <c r="R923" s="1">
        <f>IF(L923="En coordinación",1,0)</f>
        <v/>
      </c>
      <c r="T923">
        <f>IF(N923="Sí",1,0)</f>
        <v/>
      </c>
      <c r="U923">
        <f>IF(L923="Aceptada",1,0)</f>
        <v/>
      </c>
    </row>
    <row r="924">
      <c r="A924" s="21" t="str"/>
      <c r="B924" s="23" t="str"/>
      <c r="I924" s="2" t="str"/>
      <c r="J924" s="2" t="str"/>
      <c r="K924" s="2" t="str"/>
      <c r="L924" s="1" t="str"/>
      <c r="M924" s="2" t="str"/>
      <c r="N924" s="1" t="str"/>
      <c r="O924" s="1" t="str"/>
      <c r="P924" s="1" t="str"/>
      <c r="Q924" s="1">
        <f>IF(H924="Sí",1,0)</f>
        <v/>
      </c>
      <c r="R924" s="1">
        <f>IF(L924="En coordinación",1,0)</f>
        <v/>
      </c>
      <c r="T924">
        <f>IF(N924="Sí",1,0)</f>
        <v/>
      </c>
      <c r="U924">
        <f>IF(L924="Aceptada",1,0)</f>
        <v/>
      </c>
    </row>
    <row r="925">
      <c r="A925" s="21" t="str"/>
      <c r="B925" s="23" t="str"/>
      <c r="I925" s="2" t="str"/>
      <c r="J925" s="2" t="str"/>
      <c r="K925" s="2" t="str"/>
      <c r="L925" s="1" t="str"/>
      <c r="M925" s="2" t="str"/>
      <c r="N925" s="1" t="str"/>
      <c r="O925" s="1" t="str"/>
      <c r="P925" s="1" t="str"/>
      <c r="Q925" s="1">
        <f>IF(H925="Sí",1,0)</f>
        <v/>
      </c>
      <c r="R925" s="1">
        <f>IF(L925="En coordinación",1,0)</f>
        <v/>
      </c>
      <c r="T925">
        <f>IF(N925="Sí",1,0)</f>
        <v/>
      </c>
      <c r="U925">
        <f>IF(L925="Aceptada",1,0)</f>
        <v/>
      </c>
    </row>
    <row r="926">
      <c r="A926" s="21" t="str"/>
      <c r="B926" s="23" t="str"/>
      <c r="I926" s="2" t="str"/>
      <c r="J926" s="2" t="str"/>
      <c r="K926" s="2" t="str"/>
      <c r="L926" s="1" t="str"/>
      <c r="M926" s="2" t="str"/>
      <c r="N926" s="1" t="str"/>
      <c r="O926" s="1" t="str"/>
      <c r="P926" s="1" t="str"/>
      <c r="Q926" s="1">
        <f>IF(H926="Sí",1,0)</f>
        <v/>
      </c>
      <c r="R926" s="1">
        <f>IF(L926="En coordinación",1,0)</f>
        <v/>
      </c>
      <c r="T926">
        <f>IF(N926="Sí",1,0)</f>
        <v/>
      </c>
      <c r="U926">
        <f>IF(L926="Aceptada",1,0)</f>
        <v/>
      </c>
    </row>
    <row r="927">
      <c r="A927" s="21" t="str"/>
      <c r="B927" s="23" t="str"/>
      <c r="I927" s="2" t="str"/>
      <c r="J927" s="2" t="str"/>
      <c r="K927" s="2" t="str"/>
      <c r="L927" s="1" t="str"/>
      <c r="M927" s="2" t="str"/>
      <c r="N927" s="1" t="str"/>
      <c r="O927" s="1" t="str"/>
      <c r="P927" s="1" t="str"/>
      <c r="Q927" s="1">
        <f>IF(H927="Sí",1,0)</f>
        <v/>
      </c>
      <c r="R927" s="1">
        <f>IF(L927="En coordinación",1,0)</f>
        <v/>
      </c>
      <c r="T927">
        <f>IF(N927="Sí",1,0)</f>
        <v/>
      </c>
      <c r="U927">
        <f>IF(L927="Aceptada",1,0)</f>
        <v/>
      </c>
    </row>
    <row r="928">
      <c r="A928" s="21" t="str"/>
      <c r="B928" s="23" t="str"/>
      <c r="I928" s="2" t="str"/>
      <c r="J928" s="2" t="str"/>
      <c r="K928" s="2" t="str"/>
      <c r="L928" s="1" t="str"/>
      <c r="M928" s="2" t="str"/>
      <c r="N928" s="1" t="str"/>
      <c r="O928" s="1" t="str"/>
      <c r="P928" s="1" t="str"/>
      <c r="Q928" s="1">
        <f>IF(H928="Sí",1,0)</f>
        <v/>
      </c>
      <c r="R928" s="1">
        <f>IF(L928="En coordinación",1,0)</f>
        <v/>
      </c>
      <c r="T928">
        <f>IF(N928="Sí",1,0)</f>
        <v/>
      </c>
      <c r="U928">
        <f>IF(L928="Aceptada",1,0)</f>
        <v/>
      </c>
    </row>
    <row r="929">
      <c r="A929" s="21" t="str"/>
      <c r="B929" s="23" t="str"/>
      <c r="I929" s="2" t="str"/>
      <c r="J929" s="2" t="str"/>
      <c r="K929" s="2" t="str"/>
      <c r="L929" s="1" t="str"/>
      <c r="M929" s="2" t="str"/>
      <c r="N929" s="1" t="str"/>
      <c r="O929" s="1" t="str"/>
      <c r="P929" s="1" t="str"/>
      <c r="Q929" s="1">
        <f>IF(H929="Sí",1,0)</f>
        <v/>
      </c>
      <c r="R929" s="1">
        <f>IF(L929="En coordinación",1,0)</f>
        <v/>
      </c>
      <c r="T929">
        <f>IF(N929="Sí",1,0)</f>
        <v/>
      </c>
      <c r="U929">
        <f>IF(L929="Aceptada",1,0)</f>
        <v/>
      </c>
    </row>
    <row r="930">
      <c r="A930" s="21" t="str"/>
      <c r="B930" s="23" t="str"/>
      <c r="I930" s="2" t="str"/>
      <c r="J930" s="2" t="str"/>
      <c r="K930" s="2" t="str"/>
      <c r="L930" s="1" t="str"/>
      <c r="M930" s="2" t="str"/>
      <c r="N930" s="1" t="str"/>
      <c r="O930" s="1" t="str"/>
      <c r="P930" s="1" t="str"/>
      <c r="Q930" s="1">
        <f>IF(H930="Sí",1,0)</f>
        <v/>
      </c>
      <c r="R930" s="1">
        <f>IF(L930="En coordinación",1,0)</f>
        <v/>
      </c>
      <c r="T930">
        <f>IF(N930="Sí",1,0)</f>
        <v/>
      </c>
      <c r="U930">
        <f>IF(L930="Aceptada",1,0)</f>
        <v/>
      </c>
    </row>
    <row r="931">
      <c r="A931" s="21" t="str"/>
      <c r="B931" s="23" t="str"/>
      <c r="I931" s="2" t="str"/>
      <c r="J931" s="2" t="str"/>
      <c r="K931" s="2" t="str"/>
      <c r="L931" s="1" t="str"/>
      <c r="M931" s="2" t="str"/>
      <c r="N931" s="1" t="str"/>
      <c r="O931" s="1" t="str"/>
      <c r="P931" s="1" t="str"/>
      <c r="Q931" s="1">
        <f>IF(H931="Sí",1,0)</f>
        <v/>
      </c>
      <c r="R931" s="1">
        <f>IF(L931="En coordinación",1,0)</f>
        <v/>
      </c>
      <c r="T931">
        <f>IF(N931="Sí",1,0)</f>
        <v/>
      </c>
      <c r="U931">
        <f>IF(L931="Aceptada",1,0)</f>
        <v/>
      </c>
    </row>
    <row r="932">
      <c r="A932" s="21" t="str"/>
      <c r="B932" s="23" t="str"/>
      <c r="I932" s="2" t="str"/>
      <c r="J932" s="2" t="str"/>
      <c r="K932" s="2" t="str"/>
      <c r="L932" s="1" t="str"/>
      <c r="M932" s="2" t="str"/>
      <c r="N932" s="1" t="str"/>
      <c r="O932" s="1" t="str"/>
      <c r="P932" s="1" t="str"/>
      <c r="Q932" s="1">
        <f>IF(H932="Sí",1,0)</f>
        <v/>
      </c>
      <c r="R932" s="1">
        <f>IF(L932="En coordinación",1,0)</f>
        <v/>
      </c>
      <c r="T932">
        <f>IF(N932="Sí",1,0)</f>
        <v/>
      </c>
      <c r="U932">
        <f>IF(L932="Aceptada",1,0)</f>
        <v/>
      </c>
    </row>
    <row r="933">
      <c r="A933" s="21" t="str"/>
      <c r="B933" s="23" t="str"/>
      <c r="I933" s="2" t="str"/>
      <c r="J933" s="2" t="str"/>
      <c r="K933" s="2" t="str"/>
      <c r="L933" s="1" t="str"/>
      <c r="M933" s="2" t="str"/>
      <c r="N933" s="1" t="str"/>
      <c r="O933" s="1" t="str"/>
      <c r="P933" s="1" t="str"/>
      <c r="Q933" s="1">
        <f>IF(H933="Sí",1,0)</f>
        <v/>
      </c>
      <c r="R933" s="1">
        <f>IF(L933="En coordinación",1,0)</f>
        <v/>
      </c>
      <c r="T933">
        <f>IF(N933="Sí",1,0)</f>
        <v/>
      </c>
      <c r="U933">
        <f>IF(L933="Aceptada",1,0)</f>
        <v/>
      </c>
    </row>
    <row r="934">
      <c r="A934" s="21" t="str"/>
      <c r="B934" s="23" t="str"/>
      <c r="I934" s="2" t="str"/>
      <c r="J934" s="2" t="str"/>
      <c r="K934" s="2" t="str"/>
      <c r="L934" s="1" t="str"/>
      <c r="M934" s="2" t="str"/>
      <c r="N934" s="1" t="str"/>
      <c r="O934" s="1" t="str"/>
      <c r="P934" s="1" t="str"/>
      <c r="Q934" s="1">
        <f>IF(H934="Sí",1,0)</f>
        <v/>
      </c>
      <c r="R934" s="1">
        <f>IF(L934="En coordinación",1,0)</f>
        <v/>
      </c>
      <c r="T934">
        <f>IF(N934="Sí",1,0)</f>
        <v/>
      </c>
      <c r="U934">
        <f>IF(L934="Aceptada",1,0)</f>
        <v/>
      </c>
    </row>
    <row r="935">
      <c r="A935" s="21" t="str"/>
      <c r="B935" s="23" t="str"/>
      <c r="I935" s="2" t="str"/>
      <c r="J935" s="2" t="str"/>
      <c r="K935" s="2" t="str"/>
      <c r="L935" s="1" t="str"/>
      <c r="M935" s="2" t="str"/>
      <c r="N935" s="1" t="str"/>
      <c r="O935" s="1" t="str"/>
      <c r="P935" s="1" t="str"/>
      <c r="Q935" s="1">
        <f>IF(H935="Sí",1,0)</f>
        <v/>
      </c>
      <c r="R935" s="1">
        <f>IF(L935="En coordinación",1,0)</f>
        <v/>
      </c>
      <c r="T935">
        <f>IF(N935="Sí",1,0)</f>
        <v/>
      </c>
      <c r="U935">
        <f>IF(L935="Aceptada",1,0)</f>
        <v/>
      </c>
    </row>
    <row r="936">
      <c r="A936" s="21" t="str"/>
      <c r="B936" s="23" t="str"/>
      <c r="I936" s="2" t="str"/>
      <c r="J936" s="2" t="str"/>
      <c r="K936" s="2" t="str"/>
      <c r="L936" s="1" t="str"/>
      <c r="M936" s="2" t="str"/>
      <c r="N936" s="1" t="str"/>
      <c r="O936" s="1" t="str"/>
      <c r="P936" s="1" t="str"/>
      <c r="Q936" s="1">
        <f>IF(H936="Sí",1,0)</f>
        <v/>
      </c>
      <c r="R936" s="1">
        <f>IF(L936="En coordinación",1,0)</f>
        <v/>
      </c>
      <c r="T936">
        <f>IF(N936="Sí",1,0)</f>
        <v/>
      </c>
      <c r="U936">
        <f>IF(L936="Aceptada",1,0)</f>
        <v/>
      </c>
    </row>
    <row r="937">
      <c r="A937" s="21" t="str"/>
      <c r="B937" s="23" t="str"/>
      <c r="I937" s="2" t="str"/>
      <c r="J937" s="2" t="str"/>
      <c r="K937" s="2" t="str"/>
      <c r="L937" s="1" t="str"/>
      <c r="M937" s="2" t="str"/>
      <c r="N937" s="1" t="str"/>
      <c r="O937" s="1" t="str"/>
      <c r="P937" s="1" t="str"/>
      <c r="Q937" s="1">
        <f>IF(H937="Sí",1,0)</f>
        <v/>
      </c>
      <c r="R937" s="1">
        <f>IF(L937="En coordinación",1,0)</f>
        <v/>
      </c>
      <c r="T937">
        <f>IF(N937="Sí",1,0)</f>
        <v/>
      </c>
      <c r="U937">
        <f>IF(L937="Aceptada",1,0)</f>
        <v/>
      </c>
    </row>
    <row r="938">
      <c r="A938" s="21" t="str"/>
      <c r="B938" s="23" t="str"/>
      <c r="I938" s="2" t="str"/>
      <c r="J938" s="2" t="str"/>
      <c r="K938" s="2" t="str"/>
      <c r="L938" s="1" t="str"/>
      <c r="M938" s="2" t="str"/>
      <c r="N938" s="1" t="str"/>
      <c r="O938" s="1" t="str"/>
      <c r="P938" s="1" t="str"/>
      <c r="Q938" s="1">
        <f>IF(H938="Sí",1,0)</f>
        <v/>
      </c>
      <c r="R938" s="1">
        <f>IF(L938="En coordinación",1,0)</f>
        <v/>
      </c>
      <c r="T938">
        <f>IF(N938="Sí",1,0)</f>
        <v/>
      </c>
      <c r="U938">
        <f>IF(L938="Aceptada",1,0)</f>
        <v/>
      </c>
    </row>
    <row r="939">
      <c r="A939" s="21" t="str"/>
      <c r="B939" s="23" t="str"/>
      <c r="I939" s="2" t="str"/>
      <c r="J939" s="2" t="str"/>
      <c r="K939" s="2" t="str"/>
      <c r="L939" s="1" t="str"/>
      <c r="M939" s="2" t="str"/>
      <c r="N939" s="1" t="str"/>
      <c r="O939" s="1" t="str"/>
      <c r="P939" s="1" t="str"/>
      <c r="Q939" s="1">
        <f>IF(H939="Sí",1,0)</f>
        <v/>
      </c>
      <c r="R939" s="1">
        <f>IF(L939="En coordinación",1,0)</f>
        <v/>
      </c>
      <c r="T939">
        <f>IF(N939="Sí",1,0)</f>
        <v/>
      </c>
      <c r="U939">
        <f>IF(L939="Aceptada",1,0)</f>
        <v/>
      </c>
    </row>
    <row r="940">
      <c r="A940" s="21" t="str"/>
      <c r="B940" s="23" t="str"/>
      <c r="I940" s="2" t="str"/>
      <c r="J940" s="2" t="str"/>
      <c r="K940" s="2" t="str"/>
      <c r="L940" s="1" t="str"/>
      <c r="M940" s="2" t="str"/>
      <c r="N940" s="1" t="str"/>
      <c r="O940" s="1" t="str"/>
      <c r="P940" s="1" t="str"/>
      <c r="Q940" s="1">
        <f>IF(H940="Sí",1,0)</f>
        <v/>
      </c>
      <c r="R940" s="1">
        <f>IF(L940="En coordinación",1,0)</f>
        <v/>
      </c>
      <c r="T940">
        <f>IF(N940="Sí",1,0)</f>
        <v/>
      </c>
      <c r="U940">
        <f>IF(L940="Aceptada",1,0)</f>
        <v/>
      </c>
    </row>
    <row r="941">
      <c r="A941" s="21" t="str"/>
      <c r="B941" s="23" t="str"/>
      <c r="I941" s="2" t="str"/>
      <c r="J941" s="2" t="str"/>
      <c r="K941" s="2" t="str"/>
      <c r="L941" s="1" t="str"/>
      <c r="M941" s="2" t="str"/>
      <c r="N941" s="1" t="str"/>
      <c r="O941" s="1" t="str"/>
      <c r="P941" s="1" t="str"/>
      <c r="Q941" s="1">
        <f>IF(H941="Sí",1,0)</f>
        <v/>
      </c>
      <c r="R941" s="1">
        <f>IF(L941="En coordinación",1,0)</f>
        <v/>
      </c>
      <c r="T941">
        <f>IF(N941="Sí",1,0)</f>
        <v/>
      </c>
      <c r="U941">
        <f>IF(L941="Aceptada",1,0)</f>
        <v/>
      </c>
    </row>
    <row r="942">
      <c r="A942" s="21" t="str"/>
      <c r="B942" s="23" t="str"/>
      <c r="I942" s="2" t="str"/>
      <c r="J942" s="2" t="str"/>
      <c r="K942" s="2" t="str"/>
      <c r="L942" s="1" t="str"/>
      <c r="M942" s="2" t="str"/>
      <c r="N942" s="1" t="str"/>
      <c r="O942" s="1" t="str"/>
      <c r="P942" s="1" t="str"/>
      <c r="Q942" s="1">
        <f>IF(H942="Sí",1,0)</f>
        <v/>
      </c>
      <c r="R942" s="1">
        <f>IF(L942="En coordinación",1,0)</f>
        <v/>
      </c>
      <c r="T942">
        <f>IF(N942="Sí",1,0)</f>
        <v/>
      </c>
      <c r="U942">
        <f>IF(L942="Aceptada",1,0)</f>
        <v/>
      </c>
    </row>
    <row r="943">
      <c r="A943" s="21" t="str"/>
      <c r="B943" s="23" t="str"/>
      <c r="I943" s="2" t="str"/>
      <c r="J943" s="2" t="str"/>
      <c r="K943" s="2" t="str"/>
      <c r="L943" s="1" t="str"/>
      <c r="M943" s="2" t="str"/>
      <c r="N943" s="1" t="str"/>
      <c r="O943" s="1" t="str"/>
      <c r="P943" s="1" t="str"/>
      <c r="Q943" s="1">
        <f>IF(H943="Sí",1,0)</f>
        <v/>
      </c>
      <c r="R943" s="1">
        <f>IF(L943="En coordinación",1,0)</f>
        <v/>
      </c>
      <c r="T943">
        <f>IF(N943="Sí",1,0)</f>
        <v/>
      </c>
      <c r="U943">
        <f>IF(L943="Aceptada",1,0)</f>
        <v/>
      </c>
    </row>
    <row r="944">
      <c r="A944" s="21" t="str"/>
      <c r="B944" s="23" t="str"/>
      <c r="I944" s="2" t="str"/>
      <c r="J944" s="2" t="str"/>
      <c r="K944" s="2" t="str"/>
      <c r="L944" s="1" t="str"/>
      <c r="M944" s="2" t="str"/>
      <c r="N944" s="1" t="str"/>
      <c r="O944" s="1" t="str"/>
      <c r="P944" s="1" t="str"/>
      <c r="Q944" s="1">
        <f>IF(H944="Sí",1,0)</f>
        <v/>
      </c>
      <c r="R944" s="1">
        <f>IF(L944="En coordinación",1,0)</f>
        <v/>
      </c>
      <c r="T944">
        <f>IF(N944="Sí",1,0)</f>
        <v/>
      </c>
      <c r="U944">
        <f>IF(L944="Aceptada",1,0)</f>
        <v/>
      </c>
    </row>
    <row r="945">
      <c r="A945" s="21" t="str"/>
      <c r="B945" s="23" t="str"/>
      <c r="I945" s="2" t="str"/>
      <c r="J945" s="2" t="str"/>
      <c r="K945" s="2" t="str"/>
      <c r="L945" s="1" t="str"/>
      <c r="M945" s="2" t="str"/>
      <c r="N945" s="1" t="str"/>
      <c r="O945" s="1" t="str"/>
      <c r="P945" s="1" t="str"/>
      <c r="Q945" s="1">
        <f>IF(H945="Sí",1,0)</f>
        <v/>
      </c>
      <c r="R945" s="1">
        <f>IF(L945="En coordinación",1,0)</f>
        <v/>
      </c>
      <c r="T945">
        <f>IF(N945="Sí",1,0)</f>
        <v/>
      </c>
      <c r="U945">
        <f>IF(L945="Aceptada",1,0)</f>
        <v/>
      </c>
    </row>
    <row r="946">
      <c r="A946" s="21" t="str"/>
      <c r="B946" s="23" t="str"/>
      <c r="I946" s="2" t="str"/>
      <c r="J946" s="2" t="str"/>
      <c r="K946" s="2" t="str"/>
      <c r="L946" s="1" t="str"/>
      <c r="M946" s="2" t="str"/>
      <c r="N946" s="1" t="str"/>
      <c r="O946" s="1" t="str"/>
      <c r="P946" s="1" t="str"/>
      <c r="Q946" s="1">
        <f>IF(H946="Sí",1,0)</f>
        <v/>
      </c>
      <c r="R946" s="1">
        <f>IF(L946="En coordinación",1,0)</f>
        <v/>
      </c>
      <c r="T946">
        <f>IF(N946="Sí",1,0)</f>
        <v/>
      </c>
      <c r="U946">
        <f>IF(L946="Aceptada",1,0)</f>
        <v/>
      </c>
    </row>
    <row r="947">
      <c r="A947" s="21" t="str"/>
      <c r="B947" s="23" t="str"/>
      <c r="I947" s="2" t="str"/>
      <c r="J947" s="2" t="str"/>
      <c r="K947" s="2" t="str"/>
      <c r="L947" s="1" t="str"/>
      <c r="M947" s="2" t="str"/>
      <c r="N947" s="1" t="str"/>
      <c r="O947" s="1" t="str"/>
      <c r="P947" s="1" t="str"/>
      <c r="Q947" s="1">
        <f>IF(H947="Sí",1,0)</f>
        <v/>
      </c>
      <c r="R947" s="1">
        <f>IF(L947="En coordinación",1,0)</f>
        <v/>
      </c>
      <c r="T947">
        <f>IF(N947="Sí",1,0)</f>
        <v/>
      </c>
      <c r="U947">
        <f>IF(L947="Aceptada",1,0)</f>
        <v/>
      </c>
    </row>
    <row r="948">
      <c r="A948" s="21" t="str"/>
      <c r="B948" s="23" t="str"/>
      <c r="I948" s="2" t="str"/>
      <c r="J948" s="2" t="str"/>
      <c r="K948" s="2" t="str"/>
      <c r="L948" s="1" t="str"/>
      <c r="M948" s="2" t="str"/>
      <c r="N948" s="1" t="str"/>
      <c r="O948" s="1" t="str"/>
      <c r="P948" s="1" t="str"/>
      <c r="Q948" s="1">
        <f>IF(H948="Sí",1,0)</f>
        <v/>
      </c>
      <c r="R948" s="1">
        <f>IF(L948="En coordinación",1,0)</f>
        <v/>
      </c>
      <c r="T948">
        <f>IF(N948="Sí",1,0)</f>
        <v/>
      </c>
      <c r="U948">
        <f>IF(L948="Aceptada",1,0)</f>
        <v/>
      </c>
    </row>
    <row r="949">
      <c r="A949" s="21" t="str"/>
      <c r="B949" s="23" t="str"/>
      <c r="I949" s="2" t="str"/>
      <c r="J949" s="2" t="str"/>
      <c r="K949" s="2" t="str"/>
      <c r="L949" s="1" t="str"/>
      <c r="M949" s="2" t="str"/>
      <c r="N949" s="1" t="str"/>
      <c r="O949" s="1" t="str"/>
      <c r="P949" s="1" t="str"/>
      <c r="Q949" s="1">
        <f>IF(H949="Sí",1,0)</f>
        <v/>
      </c>
      <c r="R949" s="1">
        <f>IF(L949="En coordinación",1,0)</f>
        <v/>
      </c>
      <c r="T949">
        <f>IF(N949="Sí",1,0)</f>
        <v/>
      </c>
      <c r="U949">
        <f>IF(L949="Aceptada",1,0)</f>
        <v/>
      </c>
    </row>
    <row r="950">
      <c r="A950" s="21" t="str"/>
      <c r="B950" s="23" t="str"/>
      <c r="I950" s="2" t="str"/>
      <c r="J950" s="2" t="str"/>
      <c r="K950" s="2" t="str"/>
      <c r="L950" s="1" t="str"/>
      <c r="M950" s="2" t="str"/>
      <c r="N950" s="1" t="str"/>
      <c r="O950" s="1" t="str"/>
      <c r="P950" s="1" t="str"/>
      <c r="Q950" s="1">
        <f>IF(H950="Sí",1,0)</f>
        <v/>
      </c>
      <c r="R950" s="1">
        <f>IF(L950="En coordinación",1,0)</f>
        <v/>
      </c>
      <c r="T950">
        <f>IF(N950="Sí",1,0)</f>
        <v/>
      </c>
      <c r="U950">
        <f>IF(L950="Aceptada",1,0)</f>
        <v/>
      </c>
    </row>
    <row r="951">
      <c r="A951" s="21" t="str"/>
      <c r="B951" s="23" t="str"/>
      <c r="I951" s="2" t="str"/>
      <c r="J951" s="2" t="str"/>
      <c r="K951" s="2" t="str"/>
      <c r="L951" s="1" t="str"/>
      <c r="M951" s="2" t="str"/>
      <c r="N951" s="1" t="str"/>
      <c r="O951" s="1" t="str"/>
      <c r="P951" s="1" t="str"/>
      <c r="Q951" s="1">
        <f>IF(H951="Sí",1,0)</f>
        <v/>
      </c>
      <c r="R951" s="1">
        <f>IF(L951="En coordinación",1,0)</f>
        <v/>
      </c>
      <c r="T951">
        <f>IF(N951="Sí",1,0)</f>
        <v/>
      </c>
      <c r="U951">
        <f>IF(L951="Aceptada",1,0)</f>
        <v/>
      </c>
    </row>
    <row r="952">
      <c r="A952" s="21" t="str"/>
      <c r="B952" s="23" t="str"/>
      <c r="I952" s="2" t="str"/>
      <c r="J952" s="2" t="str"/>
      <c r="K952" s="2" t="str"/>
      <c r="L952" s="1" t="str"/>
      <c r="M952" s="2" t="str"/>
      <c r="N952" s="1" t="str"/>
      <c r="O952" s="1" t="str"/>
      <c r="P952" s="1" t="str"/>
      <c r="Q952" s="1">
        <f>IF(H952="Sí",1,0)</f>
        <v/>
      </c>
      <c r="R952" s="1">
        <f>IF(L952="En coordinación",1,0)</f>
        <v/>
      </c>
      <c r="T952">
        <f>IF(N952="Sí",1,0)</f>
        <v/>
      </c>
      <c r="U952">
        <f>IF(L952="Aceptada",1,0)</f>
        <v/>
      </c>
    </row>
    <row r="953">
      <c r="A953" s="21" t="str"/>
      <c r="B953" s="23" t="str"/>
      <c r="I953" s="2" t="str"/>
      <c r="J953" s="2" t="str"/>
      <c r="K953" s="2" t="str"/>
      <c r="L953" s="1" t="str"/>
      <c r="M953" s="2" t="str"/>
      <c r="N953" s="1" t="str"/>
      <c r="O953" s="1" t="str"/>
      <c r="P953" s="1" t="str"/>
      <c r="Q953" s="1">
        <f>IF(H953="Sí",1,0)</f>
        <v/>
      </c>
      <c r="R953" s="1">
        <f>IF(L953="En coordinación",1,0)</f>
        <v/>
      </c>
      <c r="T953">
        <f>IF(N953="Sí",1,0)</f>
        <v/>
      </c>
      <c r="U953">
        <f>IF(L953="Aceptada",1,0)</f>
        <v/>
      </c>
    </row>
    <row r="954">
      <c r="A954" s="21" t="str"/>
      <c r="B954" s="23" t="str"/>
      <c r="I954" s="2" t="str"/>
      <c r="J954" s="2" t="str"/>
      <c r="K954" s="2" t="str"/>
      <c r="L954" s="1" t="str"/>
      <c r="M954" s="2" t="str"/>
      <c r="N954" s="1" t="str"/>
      <c r="O954" s="1" t="str"/>
      <c r="P954" s="1" t="str"/>
      <c r="Q954" s="1">
        <f>IF(H954="Sí",1,0)</f>
        <v/>
      </c>
      <c r="R954" s="1">
        <f>IF(L954="En coordinación",1,0)</f>
        <v/>
      </c>
      <c r="T954">
        <f>IF(N954="Sí",1,0)</f>
        <v/>
      </c>
      <c r="U954">
        <f>IF(L954="Aceptada",1,0)</f>
        <v/>
      </c>
    </row>
    <row r="955">
      <c r="A955" s="21" t="str"/>
      <c r="B955" s="23" t="str"/>
      <c r="I955" s="2" t="str"/>
      <c r="J955" s="2" t="str"/>
      <c r="K955" s="2" t="str"/>
      <c r="L955" s="1" t="str"/>
      <c r="M955" s="2" t="str"/>
      <c r="N955" s="1" t="str"/>
      <c r="O955" s="1" t="str"/>
      <c r="P955" s="1" t="str"/>
      <c r="Q955" s="1">
        <f>IF(H955="Sí",1,0)</f>
        <v/>
      </c>
      <c r="R955" s="1">
        <f>IF(L955="En coordinación",1,0)</f>
        <v/>
      </c>
      <c r="T955">
        <f>IF(N955="Sí",1,0)</f>
        <v/>
      </c>
      <c r="U955">
        <f>IF(L955="Aceptada",1,0)</f>
        <v/>
      </c>
    </row>
    <row r="956">
      <c r="A956" s="21" t="str"/>
      <c r="B956" s="23" t="str"/>
      <c r="I956" s="2" t="str"/>
      <c r="J956" s="2" t="str"/>
      <c r="K956" s="2" t="str"/>
      <c r="L956" s="1" t="str"/>
      <c r="M956" s="2" t="str"/>
      <c r="N956" s="1" t="str"/>
      <c r="O956" s="1" t="str"/>
      <c r="P956" s="1" t="str"/>
      <c r="Q956" s="1">
        <f>IF(H956="Sí",1,0)</f>
        <v/>
      </c>
      <c r="R956" s="1">
        <f>IF(L956="En coordinación",1,0)</f>
        <v/>
      </c>
      <c r="T956">
        <f>IF(N956="Sí",1,0)</f>
        <v/>
      </c>
      <c r="U956">
        <f>IF(L956="Aceptada",1,0)</f>
        <v/>
      </c>
    </row>
    <row r="957">
      <c r="A957" s="21" t="str"/>
      <c r="B957" s="23" t="str"/>
      <c r="I957" s="2" t="str"/>
      <c r="J957" s="2" t="str"/>
      <c r="K957" s="2" t="str"/>
      <c r="L957" s="1" t="str"/>
      <c r="M957" s="2" t="str"/>
      <c r="N957" s="1" t="str"/>
      <c r="O957" s="1" t="str"/>
      <c r="P957" s="1" t="str"/>
      <c r="Q957" s="1">
        <f>IF(H957="Sí",1,0)</f>
        <v/>
      </c>
      <c r="R957" s="1">
        <f>IF(L957="En coordinación",1,0)</f>
        <v/>
      </c>
      <c r="T957">
        <f>IF(N957="Sí",1,0)</f>
        <v/>
      </c>
      <c r="U957">
        <f>IF(L957="Aceptada",1,0)</f>
        <v/>
      </c>
    </row>
    <row r="958">
      <c r="A958" s="21" t="str"/>
      <c r="B958" s="23" t="str"/>
      <c r="I958" s="2" t="str"/>
      <c r="J958" s="2" t="str"/>
      <c r="K958" s="2" t="str"/>
      <c r="L958" s="1" t="str"/>
      <c r="M958" s="2" t="str"/>
      <c r="N958" s="1" t="str"/>
      <c r="O958" s="1" t="str"/>
      <c r="P958" s="1" t="str"/>
      <c r="Q958" s="1">
        <f>IF(H958="Sí",1,0)</f>
        <v/>
      </c>
      <c r="R958" s="1">
        <f>IF(L958="En coordinación",1,0)</f>
        <v/>
      </c>
      <c r="T958">
        <f>IF(N958="Sí",1,0)</f>
        <v/>
      </c>
      <c r="U958">
        <f>IF(L958="Aceptada",1,0)</f>
        <v/>
      </c>
    </row>
    <row r="959">
      <c r="A959" s="21" t="str"/>
      <c r="B959" s="23" t="str"/>
      <c r="I959" s="2" t="str"/>
      <c r="J959" s="2" t="str"/>
      <c r="K959" s="2" t="str"/>
      <c r="L959" s="1" t="str"/>
      <c r="M959" s="2" t="str"/>
      <c r="N959" s="1" t="str"/>
      <c r="O959" s="1" t="str"/>
      <c r="P959" s="1" t="str"/>
      <c r="Q959" s="1">
        <f>IF(H959="Sí",1,0)</f>
        <v/>
      </c>
      <c r="R959" s="1">
        <f>IF(L959="En coordinación",1,0)</f>
        <v/>
      </c>
      <c r="T959">
        <f>IF(N959="Sí",1,0)</f>
        <v/>
      </c>
      <c r="U959">
        <f>IF(L959="Aceptada",1,0)</f>
        <v/>
      </c>
    </row>
    <row r="960">
      <c r="A960" s="21" t="str"/>
      <c r="B960" s="23" t="str"/>
      <c r="I960" s="2" t="str"/>
      <c r="J960" s="2" t="str"/>
      <c r="K960" s="2" t="str"/>
      <c r="L960" s="1" t="str"/>
      <c r="M960" s="2" t="str"/>
      <c r="N960" s="1" t="str"/>
      <c r="O960" s="1" t="str"/>
      <c r="P960" s="1" t="str"/>
      <c r="Q960" s="1">
        <f>IF(H960="Sí",1,0)</f>
        <v/>
      </c>
      <c r="R960" s="1">
        <f>IF(L960="En coordinación",1,0)</f>
        <v/>
      </c>
      <c r="T960">
        <f>IF(N960="Sí",1,0)</f>
        <v/>
      </c>
      <c r="U960">
        <f>IF(L960="Aceptada",1,0)</f>
        <v/>
      </c>
    </row>
    <row r="961">
      <c r="A961" s="21" t="str"/>
      <c r="B961" s="23" t="str"/>
      <c r="I961" s="2" t="str"/>
      <c r="J961" s="2" t="str"/>
      <c r="K961" s="2" t="str"/>
      <c r="L961" s="1" t="str"/>
      <c r="M961" s="2" t="str"/>
      <c r="N961" s="1" t="str"/>
      <c r="O961" s="1" t="str"/>
      <c r="P961" s="1" t="str"/>
      <c r="Q961" s="1">
        <f>IF(H961="Sí",1,0)</f>
        <v/>
      </c>
      <c r="R961" s="1">
        <f>IF(L961="En coordinación",1,0)</f>
        <v/>
      </c>
      <c r="T961">
        <f>IF(N961="Sí",1,0)</f>
        <v/>
      </c>
      <c r="U961">
        <f>IF(L961="Aceptada",1,0)</f>
        <v/>
      </c>
    </row>
    <row r="962">
      <c r="A962" s="21" t="str"/>
      <c r="B962" s="23" t="str"/>
      <c r="I962" s="2" t="str"/>
      <c r="J962" s="2" t="str"/>
      <c r="K962" s="2" t="str"/>
      <c r="L962" s="1" t="str"/>
      <c r="M962" s="2" t="str"/>
      <c r="N962" s="1" t="str"/>
      <c r="O962" s="1" t="str"/>
      <c r="P962" s="1" t="str"/>
      <c r="Q962" s="1">
        <f>IF(H962="Sí",1,0)</f>
        <v/>
      </c>
      <c r="R962" s="1">
        <f>IF(L962="En coordinación",1,0)</f>
        <v/>
      </c>
      <c r="T962">
        <f>IF(N962="Sí",1,0)</f>
        <v/>
      </c>
      <c r="U962">
        <f>IF(L962="Aceptada",1,0)</f>
        <v/>
      </c>
    </row>
    <row r="963">
      <c r="A963" s="21" t="str"/>
      <c r="B963" s="23" t="str"/>
      <c r="I963" s="2" t="str"/>
      <c r="J963" s="2" t="str"/>
      <c r="K963" s="2" t="str"/>
      <c r="L963" s="1" t="str"/>
      <c r="M963" s="2" t="str"/>
      <c r="N963" s="1" t="str"/>
      <c r="O963" s="1" t="str"/>
      <c r="P963" s="1" t="str"/>
      <c r="Q963" s="1">
        <f>IF(H963="Sí",1,0)</f>
        <v/>
      </c>
      <c r="R963" s="1">
        <f>IF(L963="En coordinación",1,0)</f>
        <v/>
      </c>
      <c r="T963">
        <f>IF(N963="Sí",1,0)</f>
        <v/>
      </c>
      <c r="U963">
        <f>IF(L963="Aceptada",1,0)</f>
        <v/>
      </c>
    </row>
    <row r="964">
      <c r="A964" s="21" t="str"/>
      <c r="B964" s="23" t="str"/>
      <c r="I964" s="2" t="str"/>
      <c r="J964" s="2" t="str"/>
      <c r="K964" s="2" t="str"/>
      <c r="L964" s="1" t="str"/>
      <c r="M964" s="2" t="str"/>
      <c r="N964" s="1" t="str"/>
      <c r="O964" s="1" t="str"/>
      <c r="P964" s="1" t="str"/>
      <c r="Q964" s="1">
        <f>IF(H964="Sí",1,0)</f>
        <v/>
      </c>
      <c r="R964" s="1">
        <f>IF(L964="En coordinación",1,0)</f>
        <v/>
      </c>
      <c r="T964">
        <f>IF(N964="Sí",1,0)</f>
        <v/>
      </c>
      <c r="U964">
        <f>IF(L964="Aceptada",1,0)</f>
        <v/>
      </c>
    </row>
    <row r="965">
      <c r="A965" s="21" t="str"/>
      <c r="B965" s="23" t="str"/>
      <c r="I965" s="2" t="str"/>
      <c r="J965" s="2" t="str"/>
      <c r="K965" s="2" t="str"/>
      <c r="L965" s="1" t="str"/>
      <c r="M965" s="2" t="str"/>
      <c r="N965" s="1" t="str"/>
      <c r="O965" s="1" t="str"/>
      <c r="P965" s="1" t="str"/>
      <c r="Q965" s="1">
        <f>IF(H965="Sí",1,0)</f>
        <v/>
      </c>
      <c r="R965" s="1">
        <f>IF(L965="En coordinación",1,0)</f>
        <v/>
      </c>
      <c r="T965">
        <f>IF(N965="Sí",1,0)</f>
        <v/>
      </c>
      <c r="U965">
        <f>IF(L965="Aceptada",1,0)</f>
        <v/>
      </c>
    </row>
    <row r="966">
      <c r="A966" s="21" t="str"/>
      <c r="B966" s="23" t="str"/>
      <c r="I966" s="2" t="str"/>
      <c r="J966" s="2" t="str"/>
      <c r="K966" s="2" t="str"/>
      <c r="L966" s="1" t="str"/>
      <c r="M966" s="2" t="str"/>
      <c r="N966" s="1" t="str"/>
      <c r="O966" s="1" t="str"/>
      <c r="P966" s="1" t="str"/>
      <c r="Q966" s="1">
        <f>IF(H966="Sí",1,0)</f>
        <v/>
      </c>
      <c r="R966" s="1">
        <f>IF(L966="En coordinación",1,0)</f>
        <v/>
      </c>
      <c r="T966">
        <f>IF(N966="Sí",1,0)</f>
        <v/>
      </c>
      <c r="U966">
        <f>IF(L966="Aceptada",1,0)</f>
        <v/>
      </c>
    </row>
    <row r="967">
      <c r="A967" s="21" t="str"/>
      <c r="B967" s="23" t="str"/>
      <c r="I967" s="2" t="str"/>
      <c r="J967" s="2" t="str"/>
      <c r="K967" s="2" t="str"/>
      <c r="L967" s="1" t="str"/>
      <c r="M967" s="2" t="str"/>
      <c r="N967" s="1" t="str"/>
      <c r="O967" s="1" t="str"/>
      <c r="P967" s="1" t="str"/>
      <c r="Q967" s="1">
        <f>IF(H967="Sí",1,0)</f>
        <v/>
      </c>
      <c r="R967" s="1">
        <f>IF(L967="En coordinación",1,0)</f>
        <v/>
      </c>
      <c r="T967">
        <f>IF(N967="Sí",1,0)</f>
        <v/>
      </c>
      <c r="U967">
        <f>IF(L967="Aceptada",1,0)</f>
        <v/>
      </c>
    </row>
    <row r="968">
      <c r="A968" s="21" t="str"/>
      <c r="B968" s="23" t="str"/>
      <c r="I968" s="2" t="str"/>
      <c r="J968" s="2" t="str"/>
      <c r="K968" s="2" t="str"/>
      <c r="L968" s="1" t="str"/>
      <c r="M968" s="2" t="str"/>
      <c r="N968" s="1" t="str"/>
      <c r="O968" s="1" t="str"/>
      <c r="P968" s="1" t="str"/>
      <c r="Q968" s="1">
        <f>IF(H968="Sí",1,0)</f>
        <v/>
      </c>
      <c r="R968" s="1">
        <f>IF(L968="En coordinación",1,0)</f>
        <v/>
      </c>
      <c r="T968">
        <f>IF(N968="Sí",1,0)</f>
        <v/>
      </c>
      <c r="U968">
        <f>IF(L968="Aceptada",1,0)</f>
        <v/>
      </c>
    </row>
    <row r="969">
      <c r="A969" s="21" t="str"/>
      <c r="B969" s="23" t="str"/>
      <c r="I969" s="2" t="str"/>
      <c r="J969" s="2" t="str"/>
      <c r="K969" s="2" t="str"/>
      <c r="L969" s="1" t="str"/>
      <c r="M969" s="2" t="str"/>
      <c r="N969" s="1" t="str"/>
      <c r="O969" s="1" t="str"/>
      <c r="P969" s="1" t="str"/>
      <c r="Q969" s="1">
        <f>IF(H969="Sí",1,0)</f>
        <v/>
      </c>
      <c r="R969" s="1">
        <f>IF(L969="En coordinación",1,0)</f>
        <v/>
      </c>
      <c r="T969">
        <f>IF(N969="Sí",1,0)</f>
        <v/>
      </c>
      <c r="U969">
        <f>IF(L969="Aceptada",1,0)</f>
        <v/>
      </c>
    </row>
    <row r="970">
      <c r="A970" s="21" t="str"/>
      <c r="B970" s="23" t="str"/>
      <c r="I970" s="2" t="str"/>
      <c r="J970" s="2" t="str"/>
      <c r="K970" s="2" t="str"/>
      <c r="L970" s="1" t="str"/>
      <c r="M970" s="2" t="str"/>
      <c r="N970" s="1" t="str"/>
      <c r="O970" s="1" t="str"/>
      <c r="P970" s="1" t="str"/>
      <c r="Q970" s="1">
        <f>IF(H970="Sí",1,0)</f>
        <v/>
      </c>
      <c r="R970" s="1">
        <f>IF(L970="En coordinación",1,0)</f>
        <v/>
      </c>
      <c r="T970">
        <f>IF(N970="Sí",1,0)</f>
        <v/>
      </c>
      <c r="U970">
        <f>IF(L970="Aceptada",1,0)</f>
        <v/>
      </c>
    </row>
    <row r="971">
      <c r="A971" s="21" t="str"/>
      <c r="B971" s="23" t="str"/>
      <c r="I971" s="2" t="str"/>
      <c r="J971" s="2" t="str"/>
      <c r="K971" s="2" t="str"/>
      <c r="L971" s="1" t="str"/>
      <c r="M971" s="2" t="str"/>
      <c r="N971" s="1" t="str"/>
      <c r="O971" s="1" t="str"/>
      <c r="P971" s="1" t="str"/>
      <c r="Q971" s="1">
        <f>IF(H971="Sí",1,0)</f>
        <v/>
      </c>
      <c r="R971" s="1">
        <f>IF(L971="En coordinación",1,0)</f>
        <v/>
      </c>
      <c r="T971">
        <f>IF(N971="Sí",1,0)</f>
        <v/>
      </c>
      <c r="U971">
        <f>IF(L971="Aceptada",1,0)</f>
        <v/>
      </c>
    </row>
    <row r="972">
      <c r="A972" s="21" t="str"/>
      <c r="B972" s="23" t="str"/>
      <c r="I972" s="2" t="str"/>
      <c r="J972" s="2" t="str"/>
      <c r="K972" s="2" t="str"/>
      <c r="L972" s="1" t="str"/>
      <c r="M972" s="2" t="str"/>
      <c r="N972" s="1" t="str"/>
      <c r="O972" s="1" t="str"/>
      <c r="P972" s="1" t="str"/>
      <c r="Q972" s="1">
        <f>IF(H972="Sí",1,0)</f>
        <v/>
      </c>
      <c r="R972" s="1">
        <f>IF(L972="En coordinación",1,0)</f>
        <v/>
      </c>
      <c r="T972">
        <f>IF(N972="Sí",1,0)</f>
        <v/>
      </c>
      <c r="U972">
        <f>IF(L972="Aceptada",1,0)</f>
        <v/>
      </c>
    </row>
    <row r="973">
      <c r="A973" s="21" t="str"/>
      <c r="B973" s="23" t="str"/>
      <c r="I973" s="2" t="str"/>
      <c r="J973" s="2" t="str"/>
      <c r="K973" s="2" t="str"/>
      <c r="L973" s="1" t="str"/>
      <c r="M973" s="2" t="str"/>
      <c r="N973" s="1" t="str"/>
      <c r="O973" s="1" t="str"/>
      <c r="P973" s="1" t="str"/>
      <c r="Q973" s="1">
        <f>IF(H973="Sí",1,0)</f>
        <v/>
      </c>
      <c r="R973" s="1">
        <f>IF(L973="En coordinación",1,0)</f>
        <v/>
      </c>
      <c r="T973">
        <f>IF(N973="Sí",1,0)</f>
        <v/>
      </c>
      <c r="U973">
        <f>IF(L973="Aceptada",1,0)</f>
        <v/>
      </c>
    </row>
    <row r="974">
      <c r="A974" s="21" t="str"/>
      <c r="B974" s="23" t="str"/>
      <c r="I974" s="2" t="str"/>
      <c r="J974" s="2" t="str"/>
      <c r="K974" s="2" t="str"/>
      <c r="L974" s="1" t="str"/>
      <c r="M974" s="2" t="str"/>
      <c r="N974" s="1" t="str"/>
      <c r="O974" s="1" t="str"/>
      <c r="P974" s="1" t="str"/>
      <c r="Q974" s="1">
        <f>IF(H974="Sí",1,0)</f>
        <v/>
      </c>
      <c r="R974" s="1">
        <f>IF(L974="En coordinación",1,0)</f>
        <v/>
      </c>
      <c r="T974">
        <f>IF(N974="Sí",1,0)</f>
        <v/>
      </c>
      <c r="U974">
        <f>IF(L974="Aceptada",1,0)</f>
        <v/>
      </c>
    </row>
    <row r="975">
      <c r="A975" s="21" t="str"/>
      <c r="B975" s="23" t="str"/>
      <c r="I975" s="2" t="str"/>
      <c r="J975" s="2" t="str"/>
      <c r="K975" s="2" t="str"/>
      <c r="L975" s="1" t="str"/>
      <c r="M975" s="2" t="str"/>
      <c r="N975" s="1" t="str"/>
      <c r="O975" s="1" t="str"/>
      <c r="P975" s="1" t="str"/>
      <c r="Q975" s="1">
        <f>IF(H975="Sí",1,0)</f>
        <v/>
      </c>
      <c r="R975" s="1">
        <f>IF(L975="En coordinación",1,0)</f>
        <v/>
      </c>
      <c r="T975">
        <f>IF(N975="Sí",1,0)</f>
        <v/>
      </c>
      <c r="U975">
        <f>IF(L975="Aceptada",1,0)</f>
        <v/>
      </c>
    </row>
    <row r="976">
      <c r="A976" s="21" t="str"/>
      <c r="B976" s="23" t="str"/>
      <c r="I976" s="2" t="str"/>
      <c r="J976" s="2" t="str"/>
      <c r="K976" s="2" t="str"/>
      <c r="L976" s="1" t="str"/>
      <c r="M976" s="2" t="str"/>
      <c r="N976" s="1" t="str"/>
      <c r="O976" s="1" t="str"/>
      <c r="P976" s="1" t="str"/>
      <c r="Q976" s="1">
        <f>IF(H976="Sí",1,0)</f>
        <v/>
      </c>
      <c r="R976" s="1">
        <f>IF(L976="En coordinación",1,0)</f>
        <v/>
      </c>
      <c r="T976">
        <f>IF(N976="Sí",1,0)</f>
        <v/>
      </c>
      <c r="U976">
        <f>IF(L976="Aceptada",1,0)</f>
        <v/>
      </c>
    </row>
    <row r="977">
      <c r="A977" s="21" t="str"/>
      <c r="B977" s="23" t="str"/>
      <c r="I977" s="2" t="str"/>
      <c r="J977" s="2" t="str"/>
      <c r="K977" s="2" t="str"/>
      <c r="L977" s="1" t="str"/>
      <c r="M977" s="2" t="str"/>
      <c r="N977" s="1" t="str"/>
      <c r="O977" s="1" t="str"/>
      <c r="P977" s="1" t="str"/>
      <c r="Q977" s="1">
        <f>IF(H977="Sí",1,0)</f>
        <v/>
      </c>
      <c r="R977" s="1">
        <f>IF(L977="En coordinación",1,0)</f>
        <v/>
      </c>
      <c r="T977">
        <f>IF(N977="Sí",1,0)</f>
        <v/>
      </c>
      <c r="U977">
        <f>IF(L977="Aceptada",1,0)</f>
        <v/>
      </c>
    </row>
    <row r="978">
      <c r="A978" s="21" t="str"/>
      <c r="B978" s="23" t="str"/>
      <c r="I978" s="2" t="str"/>
      <c r="J978" s="2" t="str"/>
      <c r="K978" s="2" t="str"/>
      <c r="L978" s="1" t="str"/>
      <c r="M978" s="2" t="str"/>
      <c r="N978" s="1" t="str"/>
      <c r="O978" s="1" t="str"/>
      <c r="P978" s="1" t="str"/>
      <c r="Q978" s="1">
        <f>IF(H978="Sí",1,0)</f>
        <v/>
      </c>
      <c r="R978" s="1">
        <f>IF(L978="En coordinación",1,0)</f>
        <v/>
      </c>
      <c r="T978">
        <f>IF(N978="Sí",1,0)</f>
        <v/>
      </c>
      <c r="U978">
        <f>IF(L978="Aceptada",1,0)</f>
        <v/>
      </c>
    </row>
    <row r="979">
      <c r="A979" s="21" t="str"/>
      <c r="B979" s="23" t="str"/>
      <c r="I979" s="2" t="str"/>
      <c r="J979" s="2" t="str"/>
      <c r="K979" s="2" t="str"/>
      <c r="L979" s="1" t="str"/>
      <c r="M979" s="2" t="str"/>
      <c r="N979" s="1" t="str"/>
      <c r="O979" s="1" t="str"/>
      <c r="P979" s="1" t="str"/>
      <c r="Q979" s="1">
        <f>IF(H979="Sí",1,0)</f>
        <v/>
      </c>
      <c r="R979" s="1">
        <f>IF(L979="En coordinación",1,0)</f>
        <v/>
      </c>
      <c r="T979">
        <f>IF(N979="Sí",1,0)</f>
        <v/>
      </c>
      <c r="U979">
        <f>IF(L979="Aceptada",1,0)</f>
        <v/>
      </c>
    </row>
    <row r="980">
      <c r="A980" s="21" t="str"/>
      <c r="B980" s="23" t="str"/>
      <c r="I980" s="2" t="str"/>
      <c r="J980" s="2" t="str"/>
      <c r="K980" s="2" t="str"/>
      <c r="L980" s="1" t="str"/>
      <c r="M980" s="2" t="str"/>
      <c r="N980" s="1" t="str"/>
      <c r="O980" s="1" t="str"/>
      <c r="P980" s="1" t="str"/>
      <c r="Q980" s="1">
        <f>IF(H980="Sí",1,0)</f>
        <v/>
      </c>
      <c r="R980" s="1">
        <f>IF(L980="En coordinación",1,0)</f>
        <v/>
      </c>
      <c r="T980">
        <f>IF(N980="Sí",1,0)</f>
        <v/>
      </c>
      <c r="U980">
        <f>IF(L980="Aceptada",1,0)</f>
        <v/>
      </c>
    </row>
    <row r="981">
      <c r="A981" s="21" t="str"/>
      <c r="B981" s="23" t="str"/>
      <c r="I981" s="2" t="str"/>
      <c r="J981" s="2" t="str"/>
      <c r="K981" s="2" t="str"/>
      <c r="L981" s="1" t="str"/>
      <c r="M981" s="2" t="str"/>
      <c r="N981" s="1" t="str"/>
      <c r="O981" s="1" t="str"/>
      <c r="P981" s="1" t="str"/>
      <c r="Q981" s="1">
        <f>IF(H981="Sí",1,0)</f>
        <v/>
      </c>
      <c r="R981" s="1">
        <f>IF(L981="En coordinación",1,0)</f>
        <v/>
      </c>
      <c r="T981">
        <f>IF(N981="Sí",1,0)</f>
        <v/>
      </c>
      <c r="U981">
        <f>IF(L981="Aceptada",1,0)</f>
        <v/>
      </c>
    </row>
    <row r="982">
      <c r="A982" s="21" t="str"/>
      <c r="B982" s="23" t="str"/>
      <c r="I982" s="2" t="str"/>
      <c r="J982" s="2" t="str"/>
      <c r="K982" s="2" t="str"/>
      <c r="L982" s="1" t="str"/>
      <c r="M982" s="2" t="str"/>
      <c r="N982" s="1" t="str"/>
      <c r="O982" s="1" t="str"/>
      <c r="P982" s="1" t="str"/>
      <c r="Q982" s="1">
        <f>IF(H982="Sí",1,0)</f>
        <v/>
      </c>
      <c r="R982" s="1">
        <f>IF(L982="En coordinación",1,0)</f>
        <v/>
      </c>
      <c r="T982">
        <f>IF(N982="Sí",1,0)</f>
        <v/>
      </c>
      <c r="U982">
        <f>IF(L982="Aceptada",1,0)</f>
        <v/>
      </c>
    </row>
    <row r="983">
      <c r="A983" s="21" t="str"/>
      <c r="B983" s="23" t="str"/>
      <c r="I983" s="2" t="str"/>
      <c r="J983" s="2" t="str"/>
      <c r="K983" s="2" t="str"/>
      <c r="L983" s="1" t="str"/>
      <c r="M983" s="2" t="str"/>
      <c r="N983" s="1" t="str"/>
      <c r="O983" s="1" t="str"/>
      <c r="P983" s="1" t="str"/>
      <c r="Q983" s="1">
        <f>IF(H983="Sí",1,0)</f>
        <v/>
      </c>
      <c r="R983" s="1">
        <f>IF(L983="En coordinación",1,0)</f>
        <v/>
      </c>
      <c r="T983">
        <f>IF(N983="Sí",1,0)</f>
        <v/>
      </c>
      <c r="U983">
        <f>IF(L983="Aceptada",1,0)</f>
        <v/>
      </c>
    </row>
    <row r="984">
      <c r="A984" s="21" t="str"/>
      <c r="B984" s="23" t="str"/>
      <c r="I984" s="2" t="str"/>
      <c r="J984" s="2" t="str"/>
      <c r="K984" s="2" t="str"/>
      <c r="L984" s="1" t="str"/>
      <c r="M984" s="2" t="str"/>
      <c r="N984" s="1" t="str"/>
      <c r="O984" s="1" t="str"/>
      <c r="P984" s="1" t="str"/>
      <c r="Q984" s="1">
        <f>IF(H984="Sí",1,0)</f>
        <v/>
      </c>
      <c r="R984" s="1">
        <f>IF(L984="En coordinación",1,0)</f>
        <v/>
      </c>
      <c r="T984">
        <f>IF(N984="Sí",1,0)</f>
        <v/>
      </c>
      <c r="U984">
        <f>IF(L984="Aceptada",1,0)</f>
        <v/>
      </c>
    </row>
    <row r="985">
      <c r="A985" s="21" t="str"/>
      <c r="B985" s="23" t="str"/>
      <c r="I985" s="2" t="str"/>
      <c r="J985" s="2" t="str"/>
      <c r="K985" s="2" t="str"/>
      <c r="L985" s="1" t="str"/>
      <c r="M985" s="2" t="str"/>
      <c r="N985" s="1" t="str"/>
      <c r="O985" s="1" t="str"/>
      <c r="P985" s="1" t="str"/>
      <c r="Q985" s="1">
        <f>IF(H985="Sí",1,0)</f>
        <v/>
      </c>
      <c r="R985" s="1">
        <f>IF(L985="En coordinación",1,0)</f>
        <v/>
      </c>
      <c r="T985">
        <f>IF(N985="Sí",1,0)</f>
        <v/>
      </c>
      <c r="U985">
        <f>IF(L985="Aceptada",1,0)</f>
        <v/>
      </c>
    </row>
    <row r="986">
      <c r="A986" s="21" t="str"/>
      <c r="B986" s="23" t="str"/>
      <c r="I986" s="2" t="str"/>
      <c r="J986" s="2" t="str"/>
      <c r="K986" s="2" t="str"/>
      <c r="L986" s="1" t="str"/>
      <c r="M986" s="2" t="str"/>
      <c r="N986" s="1" t="str"/>
      <c r="O986" s="1" t="str"/>
      <c r="P986" s="1" t="str"/>
      <c r="Q986" s="1">
        <f>IF(H986="Sí",1,0)</f>
        <v/>
      </c>
      <c r="R986" s="1">
        <f>IF(L986="En coordinación",1,0)</f>
        <v/>
      </c>
      <c r="T986">
        <f>IF(N986="Sí",1,0)</f>
        <v/>
      </c>
      <c r="U986">
        <f>IF(L986="Aceptada",1,0)</f>
        <v/>
      </c>
    </row>
    <row r="987">
      <c r="A987" s="21" t="str"/>
      <c r="B987" s="23" t="str"/>
      <c r="I987" s="2" t="str"/>
      <c r="J987" s="2" t="str"/>
      <c r="K987" s="2" t="str"/>
      <c r="L987" s="1" t="str"/>
      <c r="M987" s="2" t="str"/>
      <c r="N987" s="1" t="str"/>
      <c r="O987" s="1" t="str"/>
      <c r="P987" s="1" t="str"/>
      <c r="Q987" s="1">
        <f>IF(H987="Sí",1,0)</f>
        <v/>
      </c>
      <c r="R987" s="1">
        <f>IF(L987="En coordinación",1,0)</f>
        <v/>
      </c>
      <c r="T987">
        <f>IF(N987="Sí",1,0)</f>
        <v/>
      </c>
      <c r="U987">
        <f>IF(L987="Aceptada",1,0)</f>
        <v/>
      </c>
    </row>
    <row r="988">
      <c r="A988" s="21" t="str"/>
      <c r="B988" s="23" t="str"/>
      <c r="I988" s="2" t="str"/>
      <c r="J988" s="2" t="str"/>
      <c r="K988" s="2" t="str"/>
      <c r="L988" s="1" t="str"/>
      <c r="M988" s="2" t="str"/>
      <c r="N988" s="1" t="str"/>
      <c r="O988" s="1" t="str"/>
      <c r="P988" s="1" t="str"/>
      <c r="Q988" s="1">
        <f>IF(H988="Sí",1,0)</f>
        <v/>
      </c>
      <c r="R988" s="1">
        <f>IF(L988="En coordinación",1,0)</f>
        <v/>
      </c>
      <c r="T988">
        <f>IF(N988="Sí",1,0)</f>
        <v/>
      </c>
      <c r="U988">
        <f>IF(L988="Aceptada",1,0)</f>
        <v/>
      </c>
    </row>
    <row r="989">
      <c r="A989" s="21" t="str"/>
      <c r="B989" s="23" t="str"/>
      <c r="I989" s="2" t="str"/>
      <c r="J989" s="2" t="str"/>
      <c r="K989" s="2" t="str"/>
      <c r="L989" s="1" t="str"/>
      <c r="M989" s="2" t="str"/>
      <c r="N989" s="1" t="str"/>
      <c r="O989" s="1" t="str"/>
      <c r="P989" s="1" t="str"/>
      <c r="Q989" s="1">
        <f>IF(H989="Sí",1,0)</f>
        <v/>
      </c>
      <c r="R989" s="1">
        <f>IF(L989="En coordinación",1,0)</f>
        <v/>
      </c>
      <c r="T989">
        <f>IF(N989="Sí",1,0)</f>
        <v/>
      </c>
      <c r="U989">
        <f>IF(L989="Aceptada",1,0)</f>
        <v/>
      </c>
    </row>
    <row r="990">
      <c r="A990" s="21" t="str"/>
      <c r="B990" s="23" t="str"/>
      <c r="I990" s="2" t="str"/>
      <c r="J990" s="2" t="str"/>
      <c r="K990" s="2" t="str"/>
      <c r="L990" s="1" t="str"/>
      <c r="M990" s="2" t="str"/>
      <c r="N990" s="1" t="str"/>
      <c r="O990" s="1" t="str"/>
      <c r="P990" s="1" t="str"/>
      <c r="Q990" s="1">
        <f>IF(H990="Sí",1,0)</f>
        <v/>
      </c>
      <c r="R990" s="1">
        <f>IF(L990="En coordinación",1,0)</f>
        <v/>
      </c>
      <c r="T990">
        <f>IF(N990="Sí",1,0)</f>
        <v/>
      </c>
      <c r="U990">
        <f>IF(L990="Aceptada",1,0)</f>
        <v/>
      </c>
    </row>
    <row r="991">
      <c r="A991" s="21" t="str"/>
      <c r="B991" s="23" t="str"/>
      <c r="I991" s="2" t="str"/>
      <c r="J991" s="2" t="str"/>
      <c r="K991" s="2" t="str"/>
      <c r="L991" s="1" t="str"/>
      <c r="M991" s="2" t="str"/>
      <c r="N991" s="1" t="str"/>
      <c r="O991" s="1" t="str"/>
      <c r="P991" s="1" t="str"/>
      <c r="Q991" s="1">
        <f>IF(H991="Sí",1,0)</f>
        <v/>
      </c>
      <c r="R991" s="1">
        <f>IF(L991="En coordinación",1,0)</f>
        <v/>
      </c>
      <c r="T991">
        <f>IF(N991="Sí",1,0)</f>
        <v/>
      </c>
      <c r="U991">
        <f>IF(L991="Aceptada",1,0)</f>
        <v/>
      </c>
    </row>
    <row r="992">
      <c r="A992" s="21" t="str"/>
      <c r="B992" s="23" t="str"/>
      <c r="I992" s="2" t="str"/>
      <c r="J992" s="2" t="str"/>
      <c r="K992" s="2" t="str"/>
      <c r="L992" s="1" t="str"/>
      <c r="M992" s="2" t="str"/>
      <c r="N992" s="1" t="str"/>
      <c r="O992" s="1" t="str"/>
      <c r="P992" s="1" t="str"/>
      <c r="Q992" s="1">
        <f>IF(H992="Sí",1,0)</f>
        <v/>
      </c>
      <c r="R992" s="1">
        <f>IF(L992="En coordinación",1,0)</f>
        <v/>
      </c>
      <c r="T992">
        <f>IF(N992="Sí",1,0)</f>
        <v/>
      </c>
      <c r="U992">
        <f>IF(L992="Aceptada",1,0)</f>
        <v/>
      </c>
    </row>
    <row r="993">
      <c r="A993" s="21" t="str"/>
      <c r="B993" s="23" t="str"/>
      <c r="I993" s="2" t="str"/>
      <c r="J993" s="2" t="str"/>
      <c r="K993" s="2" t="str"/>
      <c r="L993" s="1" t="str"/>
      <c r="M993" s="2" t="str"/>
      <c r="N993" s="1" t="str"/>
      <c r="O993" s="1" t="str"/>
      <c r="P993" s="1" t="str"/>
      <c r="Q993" s="1">
        <f>IF(H993="Sí",1,0)</f>
        <v/>
      </c>
      <c r="R993" s="1">
        <f>IF(L993="En coordinación",1,0)</f>
        <v/>
      </c>
      <c r="T993">
        <f>IF(N993="Sí",1,0)</f>
        <v/>
      </c>
      <c r="U993">
        <f>IF(L993="Aceptada",1,0)</f>
        <v/>
      </c>
    </row>
    <row r="994">
      <c r="A994" s="21" t="str"/>
      <c r="B994" s="23" t="str"/>
      <c r="I994" s="2" t="str"/>
      <c r="J994" s="2" t="str"/>
      <c r="K994" s="2" t="str"/>
      <c r="L994" s="1" t="str"/>
      <c r="M994" s="2" t="str"/>
      <c r="N994" s="1" t="str"/>
      <c r="O994" s="1" t="str"/>
      <c r="P994" s="1" t="str"/>
      <c r="Q994" s="1">
        <f>IF(H994="Sí",1,0)</f>
        <v/>
      </c>
      <c r="R994" s="1">
        <f>IF(L994="En coordinación",1,0)</f>
        <v/>
      </c>
      <c r="T994">
        <f>IF(N994="Sí",1,0)</f>
        <v/>
      </c>
      <c r="U994">
        <f>IF(L994="Aceptada",1,0)</f>
        <v/>
      </c>
    </row>
    <row r="995">
      <c r="Q995" s="1">
        <f>IF(H995="Sí",1,0)</f>
        <v/>
      </c>
      <c r="R995" s="1">
        <f>IF(L995="En coordinación",1,0)</f>
        <v/>
      </c>
      <c r="T995">
        <f>IF(N995="Sí",1,0)</f>
        <v/>
      </c>
      <c r="U995">
        <f>IF(L995="Aceptada",1,0)</f>
        <v/>
      </c>
    </row>
    <row r="996">
      <c r="Q996" s="1">
        <f>IF(H996="Sí",1,0)</f>
        <v/>
      </c>
      <c r="R996" s="1">
        <f>IF(L996="En coordinación",1,0)</f>
        <v/>
      </c>
      <c r="T996">
        <f>IF(N996="Sí",1,0)</f>
        <v/>
      </c>
      <c r="U996">
        <f>IF(L996="Aceptada",1,0)</f>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outlinePr summaryBelow="true" summaryRight="true"/>
    <pageSetUpPr/>
  </sheetPr>
  <dimension ref="A1:E30"/>
  <sheetViews>
    <sheetView zoomScale="89" zoomScaleNormal="118" workbookViewId="0">
      <selection activeCell="E2" sqref="E2:E6"/>
    </sheetView>
  </sheetViews>
  <sheetFormatPr baseColWidth="10" defaultRowHeight="14.5"/>
  <cols>
    <col min="2" max="2" width="30.453125" customWidth="true"/>
    <col min="3" max="4" width="23.54296875" style="19" customWidth="true"/>
    <col min="5" max="5" width="10.81640625" style="19" customWidth="true"/>
  </cols>
  <sheetData>
    <row r="1">
      <c r="A1" t="inlineStr">
        <is>
          <t>ID</t>
        </is>
      </c>
      <c r="B1" t="inlineStr">
        <is>
          <t>Tipo de entrevistas</t>
        </is>
      </c>
      <c r="C1" s="19" t="inlineStr">
        <is>
          <t>Distrito Limpio</t>
        </is>
      </c>
      <c r="D1" s="19" t="inlineStr">
        <is>
          <t>Tipo de actor</t>
        </is>
      </c>
      <c r="E1" s="19" t="inlineStr">
        <is>
          <t>Meta</t>
        </is>
      </c>
    </row>
    <row r="2">
      <c r="A2" t="n">
        <v>1</v>
      </c>
      <c r="B2" t="inlineStr">
        <is>
          <t>Entrevista de actores clave</t>
        </is>
      </c>
      <c r="C2" s="19" t="inlineStr">
        <is>
          <t>Nacional</t>
        </is>
      </c>
      <c r="D2" s="19" t="inlineStr">
        <is>
          <t>Multilaterales</t>
        </is>
      </c>
      <c r="E2" s="19" t="n">
        <v>10</v>
      </c>
    </row>
    <row r="3">
      <c r="A3">
        <f>+A2+1</f>
        <v/>
      </c>
      <c r="B3" t="inlineStr">
        <is>
          <t>Entrevista de actores clave</t>
        </is>
      </c>
      <c r="C3" s="19" t="inlineStr">
        <is>
          <t>Nacional</t>
        </is>
      </c>
      <c r="D3" s="19" t="inlineStr">
        <is>
          <t>Prensa</t>
        </is>
      </c>
      <c r="E3" s="19" t="n">
        <v>10</v>
      </c>
    </row>
    <row r="4">
      <c r="A4">
        <f>+A3+1</f>
        <v/>
      </c>
      <c r="B4" t="inlineStr">
        <is>
          <t>Entrevista de actores clave</t>
        </is>
      </c>
      <c r="C4" s="19" t="inlineStr">
        <is>
          <t>Nacional</t>
        </is>
      </c>
      <c r="D4" s="19" t="inlineStr">
        <is>
          <t>Actores locales</t>
        </is>
      </c>
      <c r="E4" s="20" t="n">
        <v>8</v>
      </c>
    </row>
    <row r="5">
      <c r="A5">
        <f>+A4+1</f>
        <v/>
      </c>
      <c r="B5" t="inlineStr">
        <is>
          <t>Entrevista de actores clave</t>
        </is>
      </c>
      <c r="C5" s="19" t="inlineStr">
        <is>
          <t>Nacional</t>
        </is>
      </c>
      <c r="D5" s="19" t="inlineStr">
        <is>
          <t>Funcionarios del Sistema</t>
        </is>
      </c>
      <c r="E5" s="20" t="n">
        <v>16</v>
      </c>
    </row>
    <row r="6">
      <c r="A6">
        <f>+A5+1</f>
        <v/>
      </c>
      <c r="B6" t="inlineStr">
        <is>
          <t>Entrevista de actores clave</t>
        </is>
      </c>
      <c r="C6" s="19" t="inlineStr">
        <is>
          <t>Nacional</t>
        </is>
      </c>
      <c r="D6" s="19" t="inlineStr">
        <is>
          <t>Acompañantes</t>
        </is>
      </c>
      <c r="E6" s="20" t="n">
        <v>16</v>
      </c>
    </row>
    <row r="7" hidden="true">
      <c r="A7">
        <f>+A6+1</f>
        <v/>
      </c>
      <c r="B7" t="inlineStr">
        <is>
          <t>Entrevista de actores clave</t>
        </is>
      </c>
      <c r="C7" s="19" t="inlineStr">
        <is>
          <t>Apurímac</t>
        </is>
      </c>
      <c r="D7" s="19" t="inlineStr">
        <is>
          <t>Actores locales</t>
        </is>
      </c>
      <c r="E7" s="19" t="n">
        <v>1</v>
      </c>
    </row>
    <row r="8" hidden="true">
      <c r="A8">
        <f>+A7+1</f>
        <v/>
      </c>
      <c r="B8" t="inlineStr">
        <is>
          <t>Entrevista de actores clave</t>
        </is>
      </c>
      <c r="C8" s="19" t="inlineStr">
        <is>
          <t>Apurímac</t>
        </is>
      </c>
      <c r="D8" s="19" t="inlineStr">
        <is>
          <t>Funcionarios del Sistema</t>
        </is>
      </c>
      <c r="E8" s="19" t="n">
        <v>2</v>
      </c>
    </row>
    <row r="9" hidden="true">
      <c r="A9">
        <f>+A8+1</f>
        <v/>
      </c>
      <c r="B9" t="inlineStr">
        <is>
          <t>Entrevista de actores clave</t>
        </is>
      </c>
      <c r="C9" s="19" t="inlineStr">
        <is>
          <t>Apurímac</t>
        </is>
      </c>
      <c r="D9" s="19" t="inlineStr">
        <is>
          <t>Acompañantes</t>
        </is>
      </c>
      <c r="E9" s="19" t="n">
        <v>2</v>
      </c>
    </row>
    <row r="10" hidden="true">
      <c r="A10">
        <f>+A9+1</f>
        <v/>
      </c>
      <c r="B10" t="inlineStr">
        <is>
          <t>Entrevista de actores clave</t>
        </is>
      </c>
      <c r="C10" s="19" t="inlineStr">
        <is>
          <t>Lima Norte</t>
        </is>
      </c>
      <c r="D10" s="19" t="inlineStr">
        <is>
          <t>Actores locales</t>
        </is>
      </c>
      <c r="E10" s="19" t="n">
        <v>1</v>
      </c>
    </row>
    <row r="11" hidden="true">
      <c r="A11">
        <f>+A10+1</f>
        <v/>
      </c>
      <c r="B11" t="inlineStr">
        <is>
          <t>Entrevista de actores clave</t>
        </is>
      </c>
      <c r="C11" s="19" t="inlineStr">
        <is>
          <t>Lima Norte</t>
        </is>
      </c>
      <c r="D11" s="19" t="inlineStr">
        <is>
          <t>Funcionarios del Sistema</t>
        </is>
      </c>
      <c r="E11" s="19" t="n">
        <v>2</v>
      </c>
    </row>
    <row r="12" hidden="true">
      <c r="A12">
        <f>+A11+1</f>
        <v/>
      </c>
      <c r="B12" t="inlineStr">
        <is>
          <t>Entrevista de actores clave</t>
        </is>
      </c>
      <c r="C12" s="19" t="inlineStr">
        <is>
          <t>Lima Norte</t>
        </is>
      </c>
      <c r="D12" s="19" t="inlineStr">
        <is>
          <t>Acompañantes</t>
        </is>
      </c>
      <c r="E12" s="19" t="n">
        <v>2</v>
      </c>
    </row>
    <row r="13" hidden="true">
      <c r="A13">
        <f>+A12+1</f>
        <v/>
      </c>
      <c r="B13" t="inlineStr">
        <is>
          <t>Entrevista de actores clave</t>
        </is>
      </c>
      <c r="C13" s="19" t="inlineStr">
        <is>
          <t>Ucayali</t>
        </is>
      </c>
      <c r="D13" s="19" t="inlineStr">
        <is>
          <t>Actores locales</t>
        </is>
      </c>
      <c r="E13" s="19" t="n">
        <v>1</v>
      </c>
    </row>
    <row r="14" hidden="true">
      <c r="A14">
        <f>+A13+1</f>
        <v/>
      </c>
      <c r="B14" t="inlineStr">
        <is>
          <t>Entrevista de actores clave</t>
        </is>
      </c>
      <c r="C14" s="19" t="inlineStr">
        <is>
          <t>Ucayali</t>
        </is>
      </c>
      <c r="D14" s="19" t="inlineStr">
        <is>
          <t>Funcionarios del Sistema</t>
        </is>
      </c>
      <c r="E14" s="19" t="n">
        <v>2</v>
      </c>
    </row>
    <row r="15" hidden="true">
      <c r="A15">
        <f>+A14+1</f>
        <v/>
      </c>
      <c r="B15" t="inlineStr">
        <is>
          <t>Entrevista de actores clave</t>
        </is>
      </c>
      <c r="C15" s="19" t="inlineStr">
        <is>
          <t>Ucayali</t>
        </is>
      </c>
      <c r="D15" s="19" t="inlineStr">
        <is>
          <t>Acompañantes</t>
        </is>
      </c>
      <c r="E15" s="19" t="n">
        <v>2</v>
      </c>
    </row>
    <row r="16" hidden="true">
      <c r="A16">
        <f>+A15+1</f>
        <v/>
      </c>
      <c r="B16" t="inlineStr">
        <is>
          <t>Entrevista de actores clave</t>
        </is>
      </c>
      <c r="C16" s="19" t="inlineStr">
        <is>
          <t>Huánuco</t>
        </is>
      </c>
      <c r="D16" s="19" t="inlineStr">
        <is>
          <t>Actores locales</t>
        </is>
      </c>
      <c r="E16" s="19" t="n">
        <v>1</v>
      </c>
    </row>
    <row r="17" hidden="true">
      <c r="A17">
        <f>+A16+1</f>
        <v/>
      </c>
      <c r="B17" t="inlineStr">
        <is>
          <t>Entrevista de actores clave</t>
        </is>
      </c>
      <c r="C17" s="19" t="inlineStr">
        <is>
          <t>Huánuco</t>
        </is>
      </c>
      <c r="D17" s="19" t="inlineStr">
        <is>
          <t>Funcionarios del Sistema</t>
        </is>
      </c>
      <c r="E17" s="19" t="n">
        <v>2</v>
      </c>
    </row>
    <row r="18" hidden="true">
      <c r="A18">
        <f>+A17+1</f>
        <v/>
      </c>
      <c r="B18" t="inlineStr">
        <is>
          <t>Entrevista de actores clave</t>
        </is>
      </c>
      <c r="C18" s="19" t="inlineStr">
        <is>
          <t>Huánuco</t>
        </is>
      </c>
      <c r="D18" s="19" t="inlineStr">
        <is>
          <t>Acompañantes</t>
        </is>
      </c>
      <c r="E18" s="19" t="n">
        <v>2</v>
      </c>
    </row>
    <row r="19" hidden="true">
      <c r="A19">
        <f>+A18+1</f>
        <v/>
      </c>
      <c r="B19" t="inlineStr">
        <is>
          <t>Entrevista de actores clave</t>
        </is>
      </c>
      <c r="C19" s="19" t="inlineStr">
        <is>
          <t>Ayacucho</t>
        </is>
      </c>
      <c r="D19" s="19" t="inlineStr">
        <is>
          <t>Actores locales</t>
        </is>
      </c>
      <c r="E19" s="19" t="n">
        <v>1</v>
      </c>
    </row>
    <row r="20" hidden="true">
      <c r="A20">
        <f>+A19+1</f>
        <v/>
      </c>
      <c r="B20" t="inlineStr">
        <is>
          <t>Entrevista de actores clave</t>
        </is>
      </c>
      <c r="C20" s="19" t="inlineStr">
        <is>
          <t>Ayacucho</t>
        </is>
      </c>
      <c r="D20" s="19" t="inlineStr">
        <is>
          <t>Funcionarios del Sistema</t>
        </is>
      </c>
      <c r="E20" s="19" t="n">
        <v>2</v>
      </c>
    </row>
    <row r="21" hidden="true">
      <c r="A21">
        <f>+A20+1</f>
        <v/>
      </c>
      <c r="B21" t="inlineStr">
        <is>
          <t>Entrevista de actores clave</t>
        </is>
      </c>
      <c r="C21" s="19" t="inlineStr">
        <is>
          <t>Ayacucho</t>
        </is>
      </c>
      <c r="D21" s="19" t="inlineStr">
        <is>
          <t>Acompañantes</t>
        </is>
      </c>
      <c r="E21" s="19" t="n">
        <v>2</v>
      </c>
    </row>
    <row r="22" hidden="true">
      <c r="A22">
        <f>+A21+1</f>
        <v/>
      </c>
      <c r="B22" t="inlineStr">
        <is>
          <t>Entrevista de actores clave</t>
        </is>
      </c>
      <c r="C22" s="19" t="inlineStr">
        <is>
          <t>Loreto</t>
        </is>
      </c>
      <c r="D22" s="19" t="inlineStr">
        <is>
          <t>Actores locales</t>
        </is>
      </c>
      <c r="E22" s="19" t="n">
        <v>1</v>
      </c>
    </row>
    <row r="23" hidden="true">
      <c r="A23">
        <f>+A22+1</f>
        <v/>
      </c>
      <c r="B23" t="inlineStr">
        <is>
          <t>Entrevista de actores clave</t>
        </is>
      </c>
      <c r="C23" s="19" t="inlineStr">
        <is>
          <t>Loreto</t>
        </is>
      </c>
      <c r="D23" s="19" t="inlineStr">
        <is>
          <t>Funcionarios del Sistema</t>
        </is>
      </c>
      <c r="E23" s="19" t="n">
        <v>2</v>
      </c>
    </row>
    <row r="24" hidden="true">
      <c r="A24">
        <f>+A23+1</f>
        <v/>
      </c>
      <c r="B24" t="inlineStr">
        <is>
          <t>Entrevista de actores clave</t>
        </is>
      </c>
      <c r="C24" s="19" t="inlineStr">
        <is>
          <t>Loreto</t>
        </is>
      </c>
      <c r="D24" s="19" t="inlineStr">
        <is>
          <t>Acompañantes</t>
        </is>
      </c>
      <c r="E24" s="19" t="n">
        <v>2</v>
      </c>
    </row>
    <row r="25" hidden="true">
      <c r="A25">
        <f>+A24+1</f>
        <v/>
      </c>
      <c r="B25" t="inlineStr">
        <is>
          <t>Entrevista de actores clave</t>
        </is>
      </c>
      <c r="C25" s="19" t="inlineStr">
        <is>
          <t>Puente Piedra-Ventanilla</t>
        </is>
      </c>
      <c r="D25" s="19" t="inlineStr">
        <is>
          <t>Actores locales</t>
        </is>
      </c>
      <c r="E25" s="19" t="n">
        <v>1</v>
      </c>
    </row>
    <row r="26" hidden="true">
      <c r="A26">
        <f>+A25+1</f>
        <v/>
      </c>
      <c r="B26" t="inlineStr">
        <is>
          <t>Entrevista de actores clave</t>
        </is>
      </c>
      <c r="C26" s="19" t="inlineStr">
        <is>
          <t>Puente Piedra-Ventanilla</t>
        </is>
      </c>
      <c r="D26" s="19" t="inlineStr">
        <is>
          <t>Funcionarios del Sistema</t>
        </is>
      </c>
      <c r="E26" s="19" t="n">
        <v>2</v>
      </c>
    </row>
    <row r="27" hidden="true">
      <c r="A27">
        <f>+A26+1</f>
        <v/>
      </c>
      <c r="B27" t="inlineStr">
        <is>
          <t>Entrevista de actores clave</t>
        </is>
      </c>
      <c r="C27" s="19" t="inlineStr">
        <is>
          <t>Puente Piedra-Ventanilla</t>
        </is>
      </c>
      <c r="D27" s="19" t="inlineStr">
        <is>
          <t>Acompañantes</t>
        </is>
      </c>
      <c r="E27" s="19" t="n">
        <v>2</v>
      </c>
    </row>
    <row r="28" hidden="true">
      <c r="A28">
        <f>+A27+1</f>
        <v/>
      </c>
      <c r="B28" t="inlineStr">
        <is>
          <t>Entrevista de actores clave</t>
        </is>
      </c>
      <c r="C28" s="19" t="inlineStr">
        <is>
          <t>Cajamarca</t>
        </is>
      </c>
      <c r="D28" s="19" t="inlineStr">
        <is>
          <t>Actores locales</t>
        </is>
      </c>
      <c r="E28" s="19" t="n">
        <v>1</v>
      </c>
    </row>
    <row r="29" hidden="true">
      <c r="A29">
        <f>+A28+1</f>
        <v/>
      </c>
      <c r="B29" t="inlineStr">
        <is>
          <t>Entrevista de actores clave</t>
        </is>
      </c>
      <c r="C29" s="19" t="inlineStr">
        <is>
          <t>Cajamarca</t>
        </is>
      </c>
      <c r="D29" s="19" t="inlineStr">
        <is>
          <t>Funcionarios del Sistema</t>
        </is>
      </c>
      <c r="E29" s="19" t="n">
        <v>2</v>
      </c>
    </row>
    <row r="30" hidden="true">
      <c r="A30">
        <f>+A29+1</f>
        <v/>
      </c>
      <c r="B30" t="inlineStr">
        <is>
          <t>Entrevista de actores clave</t>
        </is>
      </c>
      <c r="C30" s="19" t="inlineStr">
        <is>
          <t>Cajamarca</t>
        </is>
      </c>
      <c r="D30" s="19" t="inlineStr">
        <is>
          <t>Acompañantes</t>
        </is>
      </c>
      <c r="E30" s="19" t="n">
        <v>2</v>
      </c>
    </row>
  </sheetData>
  <autoFilter ref="A1:E30">
    <filterColumn colId="2" hiddenButton="false" showButton="true">
      <filters>
        <filter val="Nacional"/>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outlinePr summaryBelow="true" summaryRight="true"/>
    <pageSetUpPr/>
  </sheetPr>
  <dimension ref="A1:B18"/>
  <sheetViews>
    <sheetView workbookViewId="0">
      <selection activeCell="A1" sqref="A1"/>
    </sheetView>
  </sheetViews>
  <sheetFormatPr baseColWidth="8" defaultRowHeight="15"/>
  <cols>
    <col min="1" max="1" width="18" customWidth="true"/>
  </cols>
  <sheetData>
    <row r="1">
      <c r="A1" s="26" t="inlineStr">
        <is>
          <t>Departamento</t>
        </is>
      </c>
      <c r="B1" s="26" t="inlineStr">
        <is>
          <t>Cuota</t>
        </is>
      </c>
    </row>
    <row r="2">
      <c r="A2" s="27" t="inlineStr">
        <is>
          <t>Áncash</t>
        </is>
      </c>
      <c r="B2" s="27" t="n">
        <v>35</v>
      </c>
    </row>
    <row r="3">
      <c r="A3" s="27" t="inlineStr">
        <is>
          <t>Arequipa</t>
        </is>
      </c>
      <c r="B3" s="27" t="n">
        <v>60</v>
      </c>
    </row>
    <row r="4">
      <c r="A4" s="27" t="inlineStr">
        <is>
          <t>Cajamarca</t>
        </is>
      </c>
      <c r="B4" s="27" t="n">
        <v>70</v>
      </c>
    </row>
    <row r="5">
      <c r="A5" s="27" t="inlineStr">
        <is>
          <t>Callao</t>
        </is>
      </c>
      <c r="B5" s="27" t="n">
        <v>60</v>
      </c>
    </row>
    <row r="6">
      <c r="A6" s="27" t="inlineStr">
        <is>
          <t>Cusco</t>
        </is>
      </c>
      <c r="B6" s="27" t="n">
        <v>120</v>
      </c>
    </row>
    <row r="7">
      <c r="A7" s="27" t="inlineStr">
        <is>
          <t>Huancavelica</t>
        </is>
      </c>
      <c r="B7" s="27" t="n">
        <v>35</v>
      </c>
    </row>
    <row r="8">
      <c r="A8" s="27" t="inlineStr">
        <is>
          <t>Ica</t>
        </is>
      </c>
      <c r="B8" s="27" t="n">
        <v>40</v>
      </c>
    </row>
    <row r="9">
      <c r="A9" s="27" t="inlineStr">
        <is>
          <t>Junín</t>
        </is>
      </c>
      <c r="B9" s="27" t="n">
        <v>140</v>
      </c>
    </row>
    <row r="10">
      <c r="A10" s="27" t="inlineStr">
        <is>
          <t>La Libertad</t>
        </is>
      </c>
      <c r="B10" s="27" t="n">
        <v>135</v>
      </c>
    </row>
    <row r="11">
      <c r="A11" s="27" t="inlineStr">
        <is>
          <t>Lambayeque</t>
        </is>
      </c>
      <c r="B11" s="27" t="n">
        <v>90</v>
      </c>
    </row>
    <row r="12">
      <c r="A12" s="27" t="inlineStr">
        <is>
          <t>Lima</t>
        </is>
      </c>
      <c r="B12" s="27" t="n">
        <v>410</v>
      </c>
    </row>
    <row r="13">
      <c r="A13" s="27" t="inlineStr">
        <is>
          <t>Piura</t>
        </is>
      </c>
      <c r="B13" s="27" t="n">
        <v>115</v>
      </c>
    </row>
    <row r="14">
      <c r="A14" s="27" t="inlineStr">
        <is>
          <t>Puno</t>
        </is>
      </c>
      <c r="B14" s="27" t="n">
        <v>95</v>
      </c>
    </row>
    <row r="15">
      <c r="A15" s="27" t="inlineStr">
        <is>
          <t>San Martín</t>
        </is>
      </c>
      <c r="B15" s="27" t="n">
        <v>15</v>
      </c>
    </row>
    <row r="16">
      <c r="A16" s="27" t="inlineStr">
        <is>
          <t>Tacna</t>
        </is>
      </c>
      <c r="B16" s="27" t="n">
        <v>59</v>
      </c>
    </row>
    <row r="18">
      <c r="A18" s="28" t="inlineStr">
        <is>
          <t>Fuente: (260820) Cronograma actualizado - hoja Conglomerados, conglomerados con DISTRITO_JUDICIAL_2025_AP = NACIONAL; cuota = CUOTA_MUJERES + CUOTA_ADOL_MUJERES + CUOTA_ADOL_VARONES. Total 1,479 (consistente con la cuota de Muestra nacional de la hoja Cuotas).</t>
        </is>
      </c>
    </row>
  </sheetData>
  <pageMargins left="0.75" right="0.75" top="1" bottom="1" header="0.5" footer="0.5"/>
</worksheet>
</file>

<file path=customXml/_rels/item1.xml.rels><?xml version="1.0" encoding="UTF-8"?><Relationships xmlns="http://schemas.openxmlformats.org/package/2006/relationships"><Relationship Target="itemProps1.xml" Type="http://schemas.openxmlformats.org/officeDocument/2006/relationships/customXmlProps" Id="rId1"/></Relationships>
</file>

<file path=customXml/_rels/item2.xml.rels><?xml version="1.0" encoding="UTF-8"?><Relationships xmlns="http://schemas.openxmlformats.org/package/2006/relationships"><Relationship Target="itemProps2.xml" Type="http://schemas.openxmlformats.org/officeDocument/2006/relationships/customXmlProps" Id="rId1"/></Relationships>
</file>

<file path=customXml/_rels/item3.xml.rels><?xml version="1.0" encoding="UTF-8"?><Relationships xmlns="http://schemas.openxmlformats.org/package/2006/relationships"><Relationship Target="itemProps3.xml" Type="http://schemas.openxmlformats.org/officeDocument/2006/relationships/customXmlProps" Id="rId1"/></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83A11C1BA9EC45BAE4956AD7AAC49F" ma:contentTypeVersion="13" ma:contentTypeDescription="Crear nuevo documento." ma:contentTypeScope="" ma:versionID="07c8fde6007faf37af3ccef690656753">
  <xsd:schema xmlns:xsd="http://www.w3.org/2001/XMLSchema" xmlns:xs="http://www.w3.org/2001/XMLSchema" xmlns:p="http://schemas.microsoft.com/office/2006/metadata/properties" xmlns:ns2="667d70cb-f49f-4223-87b6-a8a0e4fc3231" xmlns:ns3="c37f41b3-fada-4b69-b314-7ed8c2ce1ec6" targetNamespace="http://schemas.microsoft.com/office/2006/metadata/properties" ma:root="true" ma:fieldsID="a1f83a7a0bc9c2dabcf9590cf8de720c" ns2:_="" ns3:_="">
    <xsd:import namespace="667d70cb-f49f-4223-87b6-a8a0e4fc3231"/>
    <xsd:import namespace="c37f41b3-fada-4b69-b314-7ed8c2ce1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d70cb-f49f-4223-87b6-a8a0e4fc3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da8801b-af9e-424b-a774-47cfcf7fa75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7f41b3-fada-4b69-b314-7ed8c2ce1ec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88a0f83-113f-4a62-8e16-6df74f754526}" ma:internalName="TaxCatchAll" ma:showField="CatchAllData" ma:web="c37f41b3-fada-4b69-b314-7ed8c2ce1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7d70cb-f49f-4223-87b6-a8a0e4fc3231">
      <Terms xmlns="http://schemas.microsoft.com/office/infopath/2007/PartnerControls"/>
    </lcf76f155ced4ddcb4097134ff3c332f>
    <TaxCatchAll xmlns="c37f41b3-fada-4b69-b314-7ed8c2ce1ec6" xsi:nil="true"/>
  </documentManagement>
</p:properties>
</file>

<file path=customXml/itemProps1.xml><?xml version="1.0" encoding="utf-8"?>
<ds:datastoreItem xmlns:ds="http://schemas.openxmlformats.org/officeDocument/2006/customXml" ds:itemID="{9F9466EB-A92C-436D-BEE5-3AE13EE3182C}"/>
</file>

<file path=customXml/itemProps2.xml><?xml version="1.0" encoding="utf-8"?>
<ds:datastoreItem xmlns:ds="http://schemas.openxmlformats.org/officeDocument/2006/customXml" ds:itemID="{31F9B0F7-B4C3-4CCD-9463-6EAAD6D8A178}"/>
</file>

<file path=customXml/itemProps3.xml><?xml version="1.0" encoding="utf-8"?>
<ds:datastoreItem xmlns:ds="http://schemas.openxmlformats.org/officeDocument/2006/customXml" ds:itemID="{327FEB6D-9184-4D0D-8FC1-F05959AB032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APOYO Consultoría</dc:creator>
  <cp:lastModifiedBy>María Alejandra Ezeta Nureña</cp:lastModifiedBy>
  <dcterms:created xsi:type="dcterms:W3CDTF">2025-08-04T18:00:18Z</dcterms:created>
  <dcterms:modified xsi:type="dcterms:W3CDTF">2026-09-10T16:29:11Z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0x0101007183A11C1BA9EC45BAE4956AD7AAC49F</vt:lpwstr>
  </property>
  <property fmtid="{D5CDD505-2E9C-101B-9397-08002B2CF9AE}" pid="3" name="MediaServiceImageTags">
    <vt:lpwstr/>
  </property>
</Properties>
</file>