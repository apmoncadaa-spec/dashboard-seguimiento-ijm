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465" documentId="8_{1F76FD1E-0D89-40D4-8D42-21081E327455}" xr6:coauthVersionLast="47" xr6:coauthVersionMax="47" xr10:uidLastSave="{5A25EE67-85BB-4E6C-AC18-F7854A357885}"/>
  <bookViews>
    <workbookView xWindow="-110" yWindow="-110" windowWidth="19420" windowHeight="11500" tabRatio="844" activeTab="9"/>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<sst xmlns="http://schemas.openxmlformats.org/spreadsheetml/2006/main" xmlns:r="http://schemas.openxmlformats.org/officeDocument/2006/relationships" xmlns:xdr="http://schemas.openxmlformats.org/drawingml/2006/spreadsheetDrawing" count="44990" uniqueCount="2231">
  <si>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</si>
  <si>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</si>
  <si>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</si>
  <si>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</si>
  <si>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</si>
  <si>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</si>
  <si>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</si>
  <si>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</si>
  <si>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</si>
  <si>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</si>
  <si>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</si>
  <si>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</si>
  <si>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</si>
  <si>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</si>
  <si>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</si>
  <si>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</si>
  <si>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</si>
  <si>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</si>
  <si>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</si>
  <si>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</si>
  <si>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</si>
  <si>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</si>
  <si>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</si>
  <si>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</si>
  <si>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</si>
  <si>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</si>
  <si>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</si>
  <si>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</si>
  <si>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</si>
  <si>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</si>
  <si>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</si>
  <si>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</si>
  <si>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</si>
  <si>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</si>
  <si>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</si>
  <si>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</si>
  <si>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</si>
  <si>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</si>
  <si>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</si>
  <si>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</si>
  <si>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</si>
  <si>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</si>
  <si>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</si>
  <si>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</si>
  <si>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</si>
  <si>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</si>
  <si>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</si>
  <si>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</si>
  <si>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</si>
  <si>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</si>
  <si>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</si>
  <si>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</si>
  <si>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</si>
  <si>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</si>
  <si>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</si>
  <si>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</si>
  <si>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</si>
  <si>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</si>
  <si>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</si>
  <si>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</si>
  <si>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</si>
  <si>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</si>
  <si>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</si>
  <si>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</si>
  <si>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</si>
  <si>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</si>
  <si>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</si>
  <si>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</si>
  <si>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</si>
  <si>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</si>
  <si>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</si>
  <si>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</si>
  <si>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</si>
  <si>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</si>
  <si>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</si>
  <si>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</si>
  <si>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</si>
  <si>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</si>
  <si>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</si>
  <si>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</si>
  <si>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</si>
  <si>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</si>
  <si>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</si>
  <si>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</si>
  <si>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</si>
  <si>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</si>
  <si>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</si>
  <si>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</si>
  <si>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</si>
  <si>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</si>
  <si>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</si>
  <si>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</si>
  <si>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</si>
  <si>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</si>
  <si>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</si>
  <si>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</si>
  <si>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</si>
  <si>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</si>
  <si>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</si>
  <si>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</si>
  <si>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</si>
  <si>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</si>
  <si>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</si>
  <si>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</si>
  <si>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</si>
  <si>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</si>
  <si>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</si>
  <si>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</si>
  <si>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</si>
  <si>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</si>
  <si>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</si>
  <si>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</si>
  <si>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</si>
  <si>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</si>
  <si>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</si>
  <si>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</si>
  <si>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</si>
  <si>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</si>
  <si>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</si>
  <si>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</si>
  <si>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</si>
  <si>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</si>
  <si>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</si>
  <si>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</si>
  <si>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</si>
  <si>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</si>
  <si>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</si>
  <si>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</si>
  <si>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</si>
  <si>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</si>
  <si>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</si>
  <si>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</si>
  <si>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</si>
  <si>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</si>
  <si>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</si>
  <si>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</si>
  <si>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</si>
  <si>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</si>
  <si>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</si>
  <si>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</si>
  <si>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</si>
  <si>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</si>
  <si>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</si>
  <si>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</si>
  <si>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</si>
  <si>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</si>
  <si>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</si>
  <si>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</si>
  <si>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</si>
  <si>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</si>
  <si>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</si>
  <si>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</si>
  <si>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</si>
  <si>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</si>
  <si>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</si>
  <si>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</si>
  <si>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</si>
  <si>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</si>
  <si>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</si>
  <si>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</si>
  <si>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</si>
  <si>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</si>
  <si>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</si>
  <si>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</si>
  <si>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</si>
  <si>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</si>
  <si>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</si>
  <si>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</si>
  <si>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</si>
  <si>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</si>
  <si>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</si>
  <si>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</si>
  <si>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</si>
  <si>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</si>
  <si>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</si>
  <si>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</si>
  <si>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</si>
  <si>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</si>
  <si>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</si>
  <si>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</si>
  <si>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</si>
  <si>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</si>
  <si>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</si>
  <si>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</si>
  <si>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</si>
  <si>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</si>
  <si>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</si>
  <si>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</si>
  <si>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</si>
  <si>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</si>
  <si>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</si>
  <si>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</si>
  <si>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</si>
  <si>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</si>
  <si>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</si>
  <si>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</si>
  <si>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</si>
  <si>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</si>
  <si>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</si>
  <si>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</si>
  <si>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</si>
  <si>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</si>
  <si>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</si>
  <si>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</si>
  <si>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</si>
  <si>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</si>
  <si>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</si>
  <si>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</si>
  <si>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</si>
  <si>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</si>
  <si>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</si>
  <si>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</si>
  <si>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</si>
  <si>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</si>
  <si>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</si>
  <si>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</si>
  <si>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</si>
  <si>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</si>
  <si>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</si>
  <si>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</si>
  <si>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</si>
  <si>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</si>
  <si>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</si>
  <si>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</si>
  <si>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</si>
  <si>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</si>
  <si>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</si>
  <si>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</si>
  <si>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</si>
  <si>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</si>
  <si>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</si>
  <si>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</si>
  <si>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</si>
  <si>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</si>
  <si>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</si>
  <si>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</si>
  <si>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</si>
  <si>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</si>
  <si>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</si>
  <si>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</si>
  <si>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</si>
  <si>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</si>
  <si>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</si>
  <si>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</si>
  <si>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</si>
  <si>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</si>
  <si>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</si>
  <si>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</si>
  <si>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</si>
  <si>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</si>
  <si>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</si>
  <si>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</si>
  <si>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</si>
  <si>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</si>
  <si>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</si>
  <si>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</si>
  <si>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</si>
  <si>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</si>
  <si>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</si>
  <si>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</si>
  <si>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</si>
  <si>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</si>
  <si>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</si>
  <si>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</si>
  <si>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</si>
  <si>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</si>
  <si>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</si>
  <si>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</si>
  <si>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</si>
  <si>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</si>
  <si>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</si>
  <si>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</si>
  <si>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</si>
  <si>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</si>
  <si>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</si>
  <si>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</si>
  <si>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</si>
  <si>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</si>
  <si>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</si>
  <si>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</si>
  <si>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</si>
  <si>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</si>
  <si>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</si>
  <si>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</si>
  <si>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</si>
  <si>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</si>
  <si>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</si>
  <si>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</si>
  <si>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</si>
  <si>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</si>
  <si>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</si>
  <si>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</si>
  <si>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</si>
  <si>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</si>
  <si>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</si>
  <si>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</si>
  <si>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</si>
  <si>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</si>
  <si>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</si>
  <si>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</si>
  <si>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</si>
  <si>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</si>
  <si>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</si>
  <si>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</si>
  <si>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</si>
  <si>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</si>
  <si>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</si>
  <si>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</si>
  <si>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</si>
  <si>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</si>
  <si>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</si>
  <si>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</si>
  <si>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</si>
  <si>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</si>
  <si>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</si>
  <si>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</si>
  <si>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</si>
  <si>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</si>
  <si>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</si>
  <si>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</si>
  <si>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</si>
  <si>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</si>
  <si>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</si>
  <si>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</si>
  <si>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</si>
  <si>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</si>
  <si>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</si>
  <si>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</si>
  <si>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</si>
  <si>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</si>
  <si>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</si>
  <si>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</si>
  <si>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</si>
  <si>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</si>
  <si>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</si>
  <si>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</si>
  <si>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</si>
  <si>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</si>
  <si>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</si>
  <si>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</si>
  <si>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</si>
  <si>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</si>
  <si>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</si>
  <si>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</si>
  <si>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</si>
  <si>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</si>
  <si>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</si>
  <si>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</si>
  <si>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</si>
  <si>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</si>
  <si>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</si>
  <si>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</si>
  <si>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</si>
  <si>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</si>
  <si>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</si>
  <si>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</si>
  <si>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</si>
  <si>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</si>
  <si>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</si>
  <si>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</si>
  <si>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</si>
  <si>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</si>
  <si>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</si>
  <si>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</si>
  <si>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</si>
  <si>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</si>
  <si>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</si>
  <si>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</si>
  <si>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</si>
  <si>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</si>
  <si>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</si>
  <si>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</si>
  <si>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</si>
  <si>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</si>
  <si>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</si>
  <si>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</si>
  <si>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</si>
  <si>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</si>
  <si>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</si>
  <si>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</si>
  <si>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</si>
  <si>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</si>
  <si>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</si>
  <si>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</si>
  <si>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</si>
  <si>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</si>
  <si>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</si>
  <si>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</si>
  <si>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</si>
  <si>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</si>
  <si>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</si>
  <si>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</si>
  <si>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</si>
  <si>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</si>
  <si>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</si>
  <si>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</si>
  <si>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</si>
  <si>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</si>
  <si>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</si>
  <si>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</si>
  <si>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</si>
  <si>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</si>
  <si>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</si>
  <si>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</si>
  <si>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</si>
  <si>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</si>
  <si>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</si>
  <si>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</si>
  <si>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</si>
  <si>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</si>
  <si>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</si>
  <si>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</si>
  <si>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</si>
  <si>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</si>
  <si>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</si>
  <si>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</si>
  <si>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</si>
  <si>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</si>
  <si>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</si>
  <si>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</si>
  <si>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</si>
  <si>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</si>
  <si>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</si>
  <si>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</si>
  <si>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</si>
  <si>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</si>
  <si>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</si>
  <si>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</si>
  <si>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</si>
  <si>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</si>
  <si>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</si>
  <si>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</si>
  <si>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</si>
  <si>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</si>
  <si>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</si>
  <si>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</si>
  <si>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</si>
  <si>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</si>
  <si>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</si>
  <si>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</si>
  <si>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</si>
  <si>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</si>
  <si>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</si>
  <si>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</si>
  <si>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</si>
  <si>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</si>
  <si>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</si>
  <si>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</si>
  <si>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</si>
  <si>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</si>
  <si>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</si>
  <si>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</si>
  <si>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</si>
  <si>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</si>
  <si>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</si>
  <si>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</si>
  <si>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</si>
  <si>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</si>
  <si>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</si>
  <si>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</si>
  <si>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</si>
  <si>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</si>
  <si>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</si>
  <si>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</si>
  <si>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</si>
  <si>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</si>
  <si>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</si>
  <si>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</si>
  <si>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</si>
  <si>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</si>
  <si>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</si>
  <si>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</si>
  <si>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</si>
  <si>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</si>
  <si>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</si>
  <si>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</si>
  <si>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</si>
  <si>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</si>
  <si>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</si>
  <si>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</si>
  <si>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</si>
  <si>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</si>
  <si>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</si>
  <si>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</si>
  <si>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</si>
  <si>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</si>
  <si>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</si>
  <si>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</si>
  <si>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</si>
  <si>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</si>
  <si>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</si>
  <si>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</si>
  <si>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</si>
  <si>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</si>
  <si>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</si>
  <si>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</si>
  <si>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</si>
  <si>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</si>
  <si>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</si>
  <si>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</si>
  <si>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</si>
  <si>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</si>
  <si>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</si>
  <si>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</si>
  <si>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</si>
  <si>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</si>
  <si>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</si>
  <si>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</si>
  <si>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</si>
  <si>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</si>
  <si>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</si>
  <si>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</si>
  <si>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</si>
  <si>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</si>
  <si>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</si>
  <si>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</si>
  <si>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</si>
  <si>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</si>
  <si>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</si>
  <si>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</si>
  <si>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</si>
  <si>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</si>
  <si>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</si>
  <si>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</si>
  <si>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</si>
  <si>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</si>
  <si>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</si>
  <si>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</si>
  <si>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</si>
  <si>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</si>
  <si>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</si>
  <si>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</si>
  <si>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</si>
  <si>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</si>
  <si>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</si>
  <si>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</si>
  <si>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</si>
  <si>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</si>
  <si>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</si>
  <si>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</si>
  <si>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</si>
  <si>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</si>
  <si>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</si>
  <si>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</si>
  <si>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</si>
  <si>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</si>
  <si>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</si>
  <si>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</si>
  <si>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</si>
  <si>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</si>
  <si>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</si>
  <si>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</si>
  <si>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</si>
  <si>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</si>
  <si>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</si>
  <si>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</si>
  <si>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</si>
  <si>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</si>
  <si>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</si>
  <si>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</si>
  <si>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</si>
  <si>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</si>
  <si>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</si>
  <si>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</si>
  <si>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</si>
  <si>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</si>
  <si>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</si>
  <si>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</si>
  <si>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</si>
  <si>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</si>
  <si>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</si>
  <si>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</si>
  <si>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</si>
  <si>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</si>
  <si>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</si>
  <si>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</si>
  <si>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</si>
  <si>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</si>
  <si>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</si>
  <si>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</si>
  <si>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</si>
  <si>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</si>
  <si>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</si>
  <si>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</si>
  <si>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</si>
  <si>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</si>
  <si>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</si>
  <si>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</si>
  <si>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</si>
  <si>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</si>
  <si>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</si>
  <si>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</si>
  <si>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</si>
  <si>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</si>
  <si>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</si>
  <si>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</si>
  <si>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</si>
  <si>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</si>
  <si>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</si>
  <si>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</si>
  <si>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</si>
  <si>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</si>
  <si>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</si>
  <si>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</si>
  <si>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</si>
  <si>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</si>
  <si>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</si>
  <si>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</si>
  <si>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</si>
  <si>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</si>
  <si>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</si>
  <si>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</si>
  <si>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</si>
  <si>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</si>
  <si>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</si>
  <si>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</si>
  <si>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</si>
  <si>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</si>
  <si>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</si>
  <si>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</si>
  <si>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</si>
  <si>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</si>
  <si>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</si>
  <si>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</si>
  <si>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</si>
  <si>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</si>
  <si>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</si>
  <si>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</si>
  <si>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</si>
  <si>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</si>
  <si>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</si>
  <si>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</si>
  <si>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</si>
  <si>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</si>
  <si>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</si>
  <si>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</si>
  <si>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</si>
  <si>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</si>
  <si>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</si>
  <si>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</si>
  <si>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</si>
  <si>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</si>
  <si>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</si>
  <si>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</si>
  <si>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</si>
  <si>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</si>
  <si>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</si>
  <si>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</si>
  <si>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</si>
  <si>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</si>
  <si>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</si>
  <si>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</si>
  <si>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</si>
  <si>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</si>
  <si>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</si>
  <si>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</si>
  <si>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</si>
  <si>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</si>
  <si>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</si>
  <si>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</si>
  <si>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</si>
  <si>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</si>
  <si>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</si>
  <si>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</si>
  <si>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</si>
  <si>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</si>
  <si>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</si>
  <si>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</si>
  <si>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</si>
  <si>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</si>
  <si>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</si>
  <si>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</si>
  <si>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</si>
  <si>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</si>
  <si>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</si>
  <si>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</si>
  <si>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</si>
  <si>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</si>
  <si>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</si>
  <si>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</si>
  <si>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</si>
  <si>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</si>
  <si>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</si>
  <si>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</si>
  <si>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</si>
  <si>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</si>
  <si>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</si>
  <si>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</si>
  <si>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</si>
  <si>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</si>
  <si>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</si>
  <si>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</si>
  <si>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</si>
  <si>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</si>
  <si>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</si>
  <si>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</si>
  <si>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</si>
  <si>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</si>
  <si>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</si>
  <si>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</si>
  <si>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</si>
  <si>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</si>
  <si>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</si>
  <si>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</si>
  <si>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</si>
  <si>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</si>
  <si>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</si>
  <si>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</si>
  <si>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</si>
  <si>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</si>
  <si>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</si>
  <si>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</si>
  <si>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</si>
  <si>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</si>
  <si>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</si>
  <si>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</si>
  <si>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</si>
  <si>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</si>
  <si>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</si>
  <si>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</si>
  <si>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</si>
  <si>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</si>
  <si>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</si>
  <si>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</si>
  <si>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</si>
  <si>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</si>
  <si>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</si>
  <si>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</si>
  <si>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</si>
  <si>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</si>
  <si>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</si>
  <si>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</si>
  <si>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</si>
  <si>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</si>
  <si>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</si>
  <si>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</si>
  <si>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</si>
  <si>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</si>
  <si>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</si>
  <si>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</si>
  <si>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</si>
  <si>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</si>
  <si>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</si>
  <si>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</si>
  <si>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</si>
  <si>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</si>
  <si>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</si>
  <si>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</si>
  <si>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</si>
  <si>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</si>
  <si>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</si>
  <si>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</si>
  <si>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</si>
  <si>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</si>
  <si>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</si>
  <si>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</si>
  <si>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</si>
  <si>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</si>
  <si>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</si>
  <si>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</si>
  <si>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</si>
  <si>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</si>
  <si>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</si>
  <si>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</si>
  <si>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</si>
  <si>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</si>
  <si>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</si>
  <si>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</si>
  <si>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</si>
  <si>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</si>
  <si>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</si>
  <si>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</si>
  <si>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</si>
  <si>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</si>
  <si>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</si>
  <si>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</si>
  <si>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</si>
  <si>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</si>
  <si>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</si>
  <si>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</si>
  <si>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</si>
  <si>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</si>
  <si>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</si>
  <si>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</si>
  <si>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</si>
  <si>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</si>
  <si>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</si>
  <si>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</si>
  <si>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</si>
  <si>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</si>
  <si>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</si>
  <si>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</si>
  <si>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</si>
  <si>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</si>
  <si>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</si>
  <si>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</si>
  <si>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</si>
  <si>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</si>
  <si>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</si>
  <si>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</si>
  <si>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</si>
  <si>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</si>
  <si>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</si>
  <si>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</si>
  <si>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</si>
  <si>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</si>
  <si>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</si>
  <si>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</si>
  <si>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</si>
  <si>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</si>
  <si>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</si>
  <si>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</si>
  <si>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</si>
  <si>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</si>
  <si>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</si>
  <si>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</si>
  <si>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</si>
  <si>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</si>
  <si>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</si>
  <si>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</si>
  <si>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</si>
  <si>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</si>
  <si>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</si>
  <si>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</si>
  <si>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</si>
  <si>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</si>
  <si>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</si>
  <si>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</si>
  <si>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</si>
  <si>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</si>
  <si>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</si>
  <si>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</si>
  <si>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</si>
  <si>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</si>
  <si>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</si>
  <si>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</si>
  <si>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</si>
  <si>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</si>
  <si>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</si>
  <si>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</si>
  <si>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</si>
  <si>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</si>
  <si>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</si>
  <si>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</si>
  <si>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</si>
  <si>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</si>
  <si>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</si>
  <si>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</si>
  <si>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</si>
  <si>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</si>
  <si>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</si>
  <si>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</si>
  <si>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</si>
  <si>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</si>
  <si>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</si>
  <si>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</si>
  <si>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</si>
  <si>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</si>
  <si>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</si>
  <si>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</si>
  <si>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</si>
  <si>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</si>
  <si>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</si>
  <si>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</si>
  <si>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</si>
  <si>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</si>
  <si>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</si>
  <si>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</si>
  <si>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</si>
  <si>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</si>
  <si>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</si>
  <si>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</si>
  <si>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</si>
  <si>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</si>
  <si>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</si>
  <si>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</si>
  <si>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</si>
  <si>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</si>
  <si>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</si>
  <si>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</si>
  <si>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</si>
  <si>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</si>
  <si>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</si>
  <si>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</si>
  <si>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</si>
  <si>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</si>
  <si>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</si>
  <si>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</si>
  <si>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</si>
  <si>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</si>
  <si>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</si>
  <si>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</si>
  <si>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</si>
  <si>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</si>
  <si>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</si>
  <si>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</si>
  <si>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</si>
  <si>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</si>
  <si>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</si>
  <si>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</si>
  <si>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</si>
  <si>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</si>
  <si>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</si>
  <si>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</si>
  <si>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</si>
  <si>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</si>
  <si>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</si>
  <si>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</si>
  <si>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</si>
  <si>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</si>
  <si>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</si>
  <si>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</si>
  <si>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</si>
  <si>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</si>
  <si>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</si>
  <si>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</si>
  <si>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</si>
  <si>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</si>
  <si>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</si>
  <si>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</si>
  <si>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</si>
  <si>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</si>
  <si>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</si>
  <si>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</si>
  <si>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</si>
  <si>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</si>
  <si>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</si>
  <si>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</si>
  <si>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</si>
  <si>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</si>
  <si>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</si>
  <si>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</si>
  <si>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</si>
  <si>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</si>
  <si>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</si>
  <si>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</si>
  <si>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</si>
  <si>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</si>
  <si>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</si>
  <si>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</si>
  <si>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</si>
  <si>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</si>
  <si>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</si>
  <si>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</si>
  <si>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</si>
  <si>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</si>
  <si>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</si>
  <si>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</si>
  <si>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</si>
  <si>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</si>
  <si>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</si>
  <si>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</si>
  <si>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</si>
  <si>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</si>
  <si>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</si>
  <si>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</si>
  <si>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</si>
  <si>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</si>
  <si>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</si>
  <si>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</si>
  <si>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</si>
  <si>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</si>
  <si>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</si>
  <si>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</si>
  <si>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</si>
  <si>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</si>
  <si>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</si>
  <si>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</si>
  <si>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</si>
  <si>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</si>
  <si>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</si>
  <si>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</si>
  <si>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</si>
  <si>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</si>
  <si>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</si>
  <si>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</si>
  <si>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</si>
  <si>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</si>
  <si>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</si>
  <si>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</si>
  <si>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</si>
  <si>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</si>
  <si>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</si>
  <si>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</si>
  <si>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</si>
  <si>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</si>
  <si>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</si>
  <si>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</si>
  <si>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</si>
  <si>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</si>
  <si>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</si>
  <si>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</si>
  <si>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</si>
  <si>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</si>
  <si>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</si>
  <si>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</si>
  <si>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</si>
  <si>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</si>
  <si>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</si>
  <si>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</si>
  <si>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</si>
  <si>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</si>
  <si>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</si>
  <si>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</si>
  <si>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</si>
  <si>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</si>
  <si>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</si>
  <si>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</si>
  <si>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</si>
  <si>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</si>
  <si>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</si>
  <si>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</si>
  <si>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</si>
  <si>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</si>
  <si>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</si>
  <si>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</si>
  <si>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</si>
  <si>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</si>
  <si>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</si>
  <si>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</si>
  <si>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</si>
  <si>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</si>
  <si>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</si>
  <si>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</si>
  <si>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</si>
  <si>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</si>
  <si>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</si>
  <si>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</si>
  <si>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</si>
  <si>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</si>
  <si>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</si>
  <si>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</si>
  <si>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</si>
  <si>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</si>
  <si>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</si>
  <si>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</si>
  <si>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</si>
  <si>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</si>
  <si>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</si>
  <si>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</si>
  <si>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</si>
  <si>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</si>
  <si>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</si>
  <si>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</si>
  <si>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</si>
  <si>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</si>
  <si>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</si>
  <si>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</si>
  <si>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</si>
  <si>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</si>
  <si>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</si>
  <si>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</si>
  <si>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</si>
  <si>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</si>
  <si>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</si>
  <si>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</si>
  <si>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</si>
  <si>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</si>
  <si>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</si>
  <si>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</si>
  <si>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</si>
  <si>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</si>
  <si>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</si>
  <si>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</si>
  <si>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</si>
  <si>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</si>
  <si>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</si>
  <si>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</si>
  <si>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</si>
  <si>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</si>
  <si>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</si>
  <si>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</si>
  <si>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</si>
  <si>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</si>
  <si>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</si>
  <si>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</si>
  <si>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</si>
  <si>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</si>
  <si>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</si>
  <si>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</si>
  <si>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</si>
  <si>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</si>
  <si>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</si>
  <si>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</si>
  <si>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</si>
  <si>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</si>
  <si>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</si>
  <si>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</si>
  <si>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</si>
  <si>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</si>
  <si>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</si>
  <si>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</si>
  <si>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</si>
  <si>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</si>
  <si>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</si>
  <si>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</si>
  <si>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</si>
  <si>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</si>
  <si>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</si>
  <si>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</si>
  <si>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</si>
  <si>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</si>
  <si>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</si>
  <si>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</si>
  <si>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</si>
  <si>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</si>
  <si>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</si>
  <si>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</si>
  <si>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</si>
  <si>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</si>
  <si>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</si>
  <si>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</si>
  <si>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</si>
  <si>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</si>
  <si>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</si>
  <si>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</si>
  <si>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</si>
  <si>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</si>
  <si>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</si>
  <si>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</si>
  <si>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</si>
  <si>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</si>
  <si>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</si>
  <si>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</si>
  <si>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</si>
  <si>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</si>
  <si>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</si>
  <si>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</si>
  <si>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</si>
  <si>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</si>
  <si>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</si>
  <si>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</si>
  <si>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</si>
  <si>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</si>
  <si>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</si>
  <si>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</si>
  <si>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</si>
  <si>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</si>
  <si>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</si>
  <si>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</si>
  <si>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</si>
  <si>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</si>
  <si>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</si>
  <si>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</si>
  <si>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</si>
  <si>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</si>
  <si>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</si>
  <si>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</si>
  <si>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</si>
  <si>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</si>
  <si>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</si>
  <si>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</si>
  <si>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</si>
  <si>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</si>
  <si>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</si>
  <si>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</si>
  <si>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</si>
  <si>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</si>
  <si>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</si>
  <si>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</si>
  <si>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</si>
  <si>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</si>
  <si>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</si>
  <si>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</si>
  <si>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</si>
  <si>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</si>
  <si>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</si>
  <si>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</si>
  <si>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</si>
  <si>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</si>
  <si>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</si>
  <si>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</si>
  <si>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</si>
  <si>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</si>
  <si>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</si>
  <si>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</si>
  <si>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</si>
  <si>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</si>
  <si>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</si>
  <si>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</si>
  <si>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</si>
  <si>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</si>
  <si>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</si>
  <si>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</si>
  <si>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</si>
  <si>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</si>
  <si>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</si>
  <si>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</si>
  <si>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</si>
  <si>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</si>
  <si>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</si>
  <si>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</si>
  <si>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</si>
  <si>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</si>
  <si>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</si>
  <si>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</si>
  <si>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</si>
  <si>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</si>
  <si>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</si>
  <si>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</si>
  <si>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</si>
  <si>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</si>
  <si>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</si>
  <si>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</si>
  <si>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</si>
  <si>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</si>
  <si>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</si>
  <si>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</si>
  <si>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</si>
  <si>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</si>
  <si>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</si>
  <si>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</si>
  <si>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</si>
  <si>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</si>
  <si>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</si>
  <si>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</si>
  <si>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</si>
  <si>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</si>
  <si>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</si>
  <si>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</si>
  <si>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</si>
  <si>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</si>
  <si>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</si>
  <si>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</si>
  <si>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</si>
  <si>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</si>
  <si>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</si>
  <si>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</si>
  <si>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</si>
  <si>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</si>
  <si>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</si>
  <si>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</si>
  <si>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</si>
  <si>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</si>
  <si>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</si>
  <si>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</si>
  <si>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</si>
  <si>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</si>
  <si>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</si>
  <si>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</si>
  <si>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</si>
  <si>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</si>
  <si>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</si>
  <si>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</si>
  <si>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</si>
  <si>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</si>
  <si>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</si>
  <si>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</si>
  <si>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</si>
  <si>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</si>
  <si>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</si>
  <si>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</si>
  <si>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</si>
  <si>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</si>
  <si>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</si>
  <si>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</si>
  <si>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</si>
  <si>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</si>
  <si>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</si>
  <si>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</si>
  <si>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</si>
  <si>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</si>
  <si>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</si>
  <si>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</si>
  <si>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</si>
  <si>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</si>
  <si>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</si>
  <si>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</si>
  <si>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</si>
  <si>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</si>
  <si>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</si>
  <si>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</si>
  <si>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</si>
  <si>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</si>
  <si>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</si>
  <si>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</si>
  <si>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</si>
  <si>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</si>
  <si>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</si>
  <si>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</si>
  <si>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</si>
  <si>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</si>
  <si>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</si>
  <si>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</si>
  <si>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</si>
  <si>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</si>
  <si>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</si>
  <si>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</si>
  <si>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</si>
  <si>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</si>
  <si>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</si>
  <si>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</si>
  <si>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</si>
  <si>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</si>
  <si>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</si>
  <si>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</si>
  <si>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</si>
  <si>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</si>
  <si>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</si>
  <si>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</si>
  <si>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</si>
  <si>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</si>
  <si>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</si>
  <si>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</si>
  <si>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</si>
  <si>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</si>
  <si>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</si>
  <si>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</si>
  <si>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</si>
  <si>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</si>
  <si>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</si>
  <si>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</si>
  <si>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</si>
  <si>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</si>
  <si>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</si>
  <si>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</si>
  <si>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</si>
  <si>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</si>
  <si>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</si>
  <si>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</si>
  <si>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</si>
  <si>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</si>
  <si>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</si>
  <si>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</si>
  <si>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</si>
  <si>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</si>
  <si>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</si>
  <si>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</si>
  <si>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</si>
  <si>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</si>
  <si>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</si>
  <si>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</si>
  <si>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</si>
  <si>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</si>
  <si>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</si>
  <si>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</si>
  <si>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</si>
  <si>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</si>
  <si>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</si>
  <si>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</si>
  <si>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</si>
  <si>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</si>
  <si>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</si>
  <si>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</si>
  <si>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</si>
  <si>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</si>
  <si>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</si>
  <si>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</si>
  <si>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</si>
  <si>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</si>
  <si>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</si>
  <si>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</si>
  <si>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</si>
  <si>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</si>
  <si>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</si>
  <si>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</si>
  <si>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</si>
  <si>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</si>
  <si>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</si>
  <si>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</si>
  <si>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</si>
  <si>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</si>
  <si>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</si>
  <si>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</si>
  <si>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</si>
  <si>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</si>
  <si>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</si>
  <si>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</si>
  <si>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</si>
  <si>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</si>
  <si>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</si>
  <si>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</si>
  <si>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</si>
  <si>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</si>
  <si>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</si>
  <si>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</si>
  <si>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</si>
  <si>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</si>
  <si>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</si>
  <si>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</si>
  <si>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</si>
  <si>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</si>
  <si>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</si>
  <si>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</si>
  <si>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</si>
  <si>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</si>
  <si>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</si>
  <si>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</si>
  <si>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</si>
  <si>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</si>
  <si>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</si>
  <si>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</si>
  <si>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</si>
  <si>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</si>
  <si>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</si>
  <si>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</si>
  <si>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</si>
  <si>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</si>
  <si>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</si>
  <si>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</si>
  <si>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</si>
  <si>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</si>
  <si>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</si>
  <si>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</si>
  <si>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</si>
  <si>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</si>
  <si>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</si>
  <si>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</si>
  <si>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</si>
  <si>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</si>
  <si>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</si>
  <si>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</si>
  <si>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</si>
  <si>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</si>
  <si>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</si>
  <si>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</si>
  <si>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</si>
  <si>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</si>
  <si>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</si>
  <si>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</si>
  <si>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</si>
  <si>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</si>
  <si>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</si>
  <si>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</si>
  <si>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</si>
  <si>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</si>
  <si>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</si>
  <si>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</si>
  <si>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</si>
  <si>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</si>
  <si>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</si>
  <si>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</si>
  <si>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</si>
  <si>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</si>
  <si>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</si>
  <si>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</si>
  <si>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</si>
  <si>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</si>
  <si>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</si>
  <si>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</si>
  <si>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</si>
  <si>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</si>
  <si>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</si>
  <si>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</si>
  <si>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</si>
  <si>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</si>
  <si>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</si>
  <si>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</si>
  <si>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</si>
  <si>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</si>
  <si>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</si>
  <si>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</si>
  <si>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</si>
  <si>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</si>
  <si>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</si>
  <si>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</si>
  <si>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</si>
  <si>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</si>
  <si>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</si>
  <si>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</si>
  <si>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</si>
  <si>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</si>
  <si>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</si>
  <si>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</si>
  <si>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</si>
  <si>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</si>
  <si>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</si>
  <si>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</si>
  <si>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</si>
  <si>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</si>
  <si>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</si>
  <si>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</si>
  <si>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</si>
  <si>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</si>
  <si>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</si>
  <si>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</si>
  <si>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</si>
  <si>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</si>
  <si>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</si>
  <si>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</si>
  <si>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</si>
  <si>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</si>
  <si>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</si>
  <si>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</si>
  <si>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</si>
  <si>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</si>
  <si>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</si>
  <si>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</si>
  <si>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</si>
  <si>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</si>
  <si>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</si>
  <si>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</si>
  <si>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</si>
  <si>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</si>
  <si>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</si>
  <si>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</si>
  <si>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</si>
  <si>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</si>
  <si>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</si>
  <si>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</si>
  <si>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</si>
  <si>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</si>
  <si>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</si>
  <si>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</si>
  <si>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</si>
  <si>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</si>
  <si>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</si>
  <si>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</si>
  <si>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</si>
  <si>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</si>
  <si>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</si>
  <si>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</si>
  <si>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</si>
  <si>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</si>
  <si>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</si>
  <si>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</si>
  <si>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</si>
  <si>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</si>
  <si>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</si>
  <si>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</si>
  <si>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</si>
  <si>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</si>
  <si>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</si>
  <si>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</si>
  <si>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</si>
  <si>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</si>
  <si>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</si>
  <si>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</si>
  <si>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</si>
  <si>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</si>
  <si>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</si>
  <si>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</si>
  <si>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</si>
  <si>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</si>
  <si>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</si>
  <si>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</si>
  <si>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</si>
  <si>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</si>
  <si>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</si>
  <si>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</si>
  <si>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</si>
  <si>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</si>
  <si>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</si>
  <si>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</si>
  <si>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</si>
  <si>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</si>
  <si>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</si>
  <si>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</si>
  <si>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</si>
  <si>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</si>
  <si>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</si>
  <si>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</si>
  <si>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</si>
  <si>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</si>
  <si>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</si>
  <si>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</si>
  <si>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</si>
  <si>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</si>
  <si>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</si>
  <si>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</si>
  <si>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</si>
  <si>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</si>
  <si>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</si>
  <si>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</si>
  <si>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</si>
  <si>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</si>
  <si>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</si>
  <si>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</si>
  <si>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</si>
  <si>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r>
      <rPr>
        <b/>
        <sz val="11"/>
        <color rgb="FF000000"/>
        <rFont val="Arial"/>
        <family val="2"/>
      </rPr>
      <t>ONG</t>
    </r>
    <r>
      <rPr>
        <sz val="11"/>
        <color rgb="FF000000"/>
        <rFont val="Arial"/>
        <family val="2"/>
      </rPr>
      <t>: Movimiento Manuela Ramos</t>
    </r>
  </si>
  <si>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</si>
  <si>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</si>
  <si>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</si>
  <si>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</si>
  <si>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</si>
  <si>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</si>
  <si>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</si>
  <si>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</si>
  <si>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</si>
  <si>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</si>
  <si>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</si>
  <si>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</si>
  <si>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</si>
  <si>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</si>
  <si>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</si>
  <si>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</si>
  <si>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</si>
  <si>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</si>
  <si>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</si>
  <si>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</si>
  <si>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</si>
  <si>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</si>
  <si>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</si>
  <si>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</si>
  <si>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</si>
  <si>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</si>
  <si>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</si>
  <si>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</si>
  <si>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</si>
  <si>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</si>
  <si>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</si>
  <si>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</si>
  <si>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</si>
  <si>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</si>
  <si>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</si>
  <si>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</si>
  <si>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</si>
  <si>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</si>
  <si>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</si>
  <si>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</si>
  <si>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</si>
  <si>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</si>
  <si>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</si>
  <si>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</si>
  <si>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</si>
  <si>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</si>
  <si>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</si>
  <si>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</si>
  <si>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</si>
  <si>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</si>
  <si>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</si>
  <si>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</si>
  <si>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</si>
  <si>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</si>
  <si>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</si>
  <si>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</si>
  <si>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</si>
  <si>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</si>
  <si>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</si>
  <si>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</si>
  <si>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</si>
  <si>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</si>
  <si>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</si>
  <si>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</si>
  <si>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</si>
  <si>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</si>
  <si>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</si>
  <si>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</si>
  <si>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</si>
  <si>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</si>
  <si>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</si>
  <si>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</si>
  <si>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</si>
  <si>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</si>
  <si>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</si>
  <si>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</si>
  <si>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</si>
  <si>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</si>
  <si>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</si>
  <si>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</si>
  <si>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</si>
  <si>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</si>
  <si>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</si>
  <si>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</si>
  <si>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</si>
  <si>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</si>
  <si>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</si>
  <si>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</si>
  <si>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</si>
  <si>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</si>
  <si>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</si>
  <si>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</si>
  <si>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</si>
  <si>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</si>
  <si>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</si>
  <si>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</si>
  <si>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</si>
  <si>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</si>
  <si>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</si>
  <si>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</si>
  <si>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</si>
  <si>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</si>
  <si>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</si>
  <si>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</si>
  <si>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</si>
  <si>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</si>
  <si>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</si>
  <si>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</si>
  <si>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</si>
  <si>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</si>
  <si>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</si>
  <si>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</si>
  <si>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</si>
  <si>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</si>
  <si>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</si>
  <si>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</si>
  <si>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</si>
  <si>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</si>
  <si>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</si>
  <si>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</si>
  <si>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</si>
  <si>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</si>
  <si>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</si>
  <si>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</si>
  <si>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</si>
  <si>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</si>
  <si>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</si>
  <si>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</si>
  <si>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</si>
  <si>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</si>
  <si>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</si>
  <si>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</si>
  <si>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</si>
  <si>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</si>
  <si>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</si>
  <si>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</si>
  <si>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</si>
  <si>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</si>
  <si>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</si>
  <si>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</si>
  <si>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</si>
  <si>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</si>
  <si>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</si>
  <si>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</si>
  <si>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</si>
  <si>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</si>
  <si>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</si>
  <si>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</si>
  <si>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</si>
  <si>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</si>
  <si>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</si>
  <si>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</si>
  <si>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</si>
  <si>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</si>
  <si>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</si>
  <si>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</si>
  <si>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</si>
  <si>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</si>
  <si>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</si>
  <si>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</si>
  <si>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</si>
  <si>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</si>
  <si>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</si>
  <si>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</si>
  <si>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</si>
  <si>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</si>
  <si>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</si>
  <si>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</si>
  <si>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</si>
  <si>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</si>
  <si>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</si>
  <si>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</si>
  <si>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</si>
  <si>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</si>
  <si>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</si>
  <si>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</si>
  <si>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</si>
  <si>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</si>
  <si>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</si>
  <si>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</si>
  <si>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</si>
  <si>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</si>
  <si>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</si>
  <si>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</si>
  <si>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</si>
  <si>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</si>
  <si>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</si>
  <si>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</si>
  <si>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</si>
  <si>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</si>
  <si>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</si>
  <si>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</si>
  <si>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</si>
  <si>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</si>
  <si>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</si>
  <si>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</si>
  <si>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</si>
  <si>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</si>
  <si>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</si>
  <si>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</si>
  <si>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</si>
  <si>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</si>
  <si>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</si>
  <si>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</si>
  <si>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</si>
  <si>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</si>
  <si>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</si>
  <si>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</si>
  <si>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</si>
  <si>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</si>
  <si>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</si>
  <si>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</si>
  <si>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</si>
  <si>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</si>
  <si>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</si>
  <si>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</si>
  <si>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</si>
  <si>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</si>
  <si>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</si>
  <si>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</si>
  <si>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</si>
  <si>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</si>
  <si>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</si>
  <si>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</si>
  <si>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</si>
  <si>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</si>
  <si>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</si>
  <si>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</si>
  <si>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</si>
  <si>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</si>
  <si>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</si>
  <si>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</si>
  <si>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</si>
  <si>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</si>
  <si>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</si>
  <si>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</si>
  <si>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</si>
  <si>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</si>
  <si>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</si>
  <si>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</si>
  <si>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</si>
  <si>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</si>
  <si>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</si>
  <si>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</si>
  <si>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</si>
  <si>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</si>
  <si>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</si>
  <si>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</si>
  <si>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</si>
  <si>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</si>
  <si>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</si>
  <si>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</si>
  <si>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</si>
  <si>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</si>
  <si>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</si>
  <si>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</si>
  <si>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</si>
  <si>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</si>
  <si>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</si>
  <si>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</si>
  <si>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</si>
  <si>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</si>
  <si>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</si>
  <si>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</si>
  <si>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</si>
  <si>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</si>
  <si>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</si>
  <si>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</si>
  <si>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</si>
  <si>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</si>
  <si>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</si>
  <si>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</si>
  <si>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</si>
  <si>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</si>
  <si>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</si>
  <si>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</si>
  <si>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</si>
  <si>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</si>
  <si>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</si>
  <si>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</si>
  <si>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</si>
  <si>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</si>
  <si>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</si>
  <si>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</si>
  <si>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</si>
  <si>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</si>
  <si>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</si>
  <si>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</si>
  <si>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</si>
  <si>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</si>
  <si>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</si>
  <si>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</si>
  <si>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</si>
  <si>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</si>
  <si>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</si>
  <si>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</si>
  <si>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</si>
  <si>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</si>
  <si>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</si>
  <si>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</si>
  <si>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</si>
  <si>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</si>
  <si>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</si>
  <si>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</si>
  <si>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</si>
  <si>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</si>
  <si>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</si>
  <si>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</si>
  <si>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</si>
  <si>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</si>
  <si>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</si>
  <si>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</si>
  <si>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</si>
  <si>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</si>
  <si>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</si>
  <si>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</si>
  <si>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</si>
  <si>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</si>
  <si>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</si>
  <si>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</si>
  <si>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</si>
  <si>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</si>
  <si>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</si>
  <si>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</si>
  <si>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</si>
  <si>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</si>
  <si>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</si>
  <si>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</si>
  <si>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</si>
  <si>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</si>
  <si>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</si>
  <si>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</si>
  <si>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</si>
  <si>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</si>
  <si>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</si>
  <si>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</si>
  <si>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</si>
  <si>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</si>
  <si>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</si>
  <si>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</si>
  <si>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</si>
  <si>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</si>
  <si>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</si>
  <si>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</si>
  <si>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</si>
  <si>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</si>
  <si>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</si>
  <si>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</si>
  <si>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</si>
  <si>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</si>
  <si>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</si>
  <si>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</si>
  <si>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</si>
  <si>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</si>
  <si>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</si>
  <si>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</si>
  <si>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</si>
  <si>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</si>
  <si>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</si>
  <si>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</si>
  <si>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</si>
  <si>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</si>
  <si>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</si>
  <si>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</si>
  <si>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</si>
  <si>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</si>
  <si>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</si>
  <si>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</si>
  <si>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</si>
  <si>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</si>
  <si>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</si>
  <si>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</si>
  <si>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</si>
  <si>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</si>
  <si>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</si>
  <si>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</si>
  <si>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</si>
  <si>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</si>
  <si>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</si>
  <si>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</si>
  <si>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</si>
  <si>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</si>
  <si>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</si>
  <si>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</si>
  <si>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</si>
  <si>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</si>
  <si>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</si>
  <si>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</si>
  <si>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</si>
  <si>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</si>
  <si>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</si>
  <si>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</si>
  <si>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</si>
  <si>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</si>
  <si>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</si>
  <si>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</si>
  <si>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</si>
  <si>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</si>
  <si>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</si>
  <si>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</si>
  <si>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</si>
  <si>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</si>
  <si>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</si>
  <si>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</si>
  <si>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</si>
  <si>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</si>
  <si>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</si>
  <si>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</si>
  <si>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</si>
  <si>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</si>
  <si>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</si>
  <si>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</si>
  <si>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</si>
  <si>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</si>
  <si>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</si>
  <si>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</si>
  <si>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</si>
  <si>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</si>
  <si>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</si>
  <si>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</si>
  <si>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</si>
  <si>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</si>
  <si>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</si>
  <si>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</si>
  <si>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</si>
  <si>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</si>
  <si>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</si>
  <si>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</si>
  <si>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</si>
  <si>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</si>
  <si>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</si>
  <si>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</si>
  <si>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</si>
  <si>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</si>
  <si>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</si>
  <si>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</si>
  <si>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</si>
  <si>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</si>
  <si>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</si>
  <si>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</si>
  <si>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</si>
  <si>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</si>
  <si>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</si>
  <si>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</si>
  <si>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</si>
  <si>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</si>
  <si>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</si>
  <si>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</si>
  <si>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</si>
  <si>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</si>
  <si>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</si>
  <si>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</si>
  <si>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</si>
  <si>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</si>
  <si>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</si>
  <si>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</si>
  <si>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</si>
  <si>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</si>
  <si>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</si>
  <si>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</si>
  <si>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</si>
  <si>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</si>
  <si>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</si>
  <si>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</si>
  <si>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</si>
  <si>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</si>
  <si>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</si>
  <si>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</si>
  <si>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</si>
  <si>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</si>
  <si>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</si>
  <si>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</si>
  <si>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</si>
  <si>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</si>
  <si>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</si>
  <si>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</si>
  <si>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</si>
  <si>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</si>
  <si>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</si>
  <si>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</si>
  <si>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</si>
  <si>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</si>
  <si>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</si>
  <si>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</si>
  <si>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</si>
  <si>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</si>
  <si>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</si>
  <si>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</si>
  <si>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</si>
  <si>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</si>
  <si>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</si>
  <si>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</si>
  <si>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</si>
  <si>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</si>
  <si>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</si>
  <si>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</si>
  <si>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</si>
  <si>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</si>
  <si>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</si>
  <si>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</si>
  <si>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</si>
  <si>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</si>
  <si>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</si>
  <si>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</si>
  <si>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</si>
  <si>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</si>
  <si>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</si>
  <si>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</si>
  <si>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</si>
  <si>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</si>
  <si>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</si>
  <si>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</si>
  <si>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</si>
  <si>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</si>
  <si>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</si>
  <si>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</si>
  <si>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</si>
  <si>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</si>
  <si>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</si>
  <si>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</si>
  <si>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</si>
  <si>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</si>
  <si>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</si>
  <si>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</si>
  <si>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</si>
  <si>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</si>
  <si>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</si>
  <si>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</si>
  <si>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</si>
  <si>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</si>
  <si>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</si>
  <si>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</si>
  <si>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</si>
  <si>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</si>
  <si>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</si>
  <si>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</si>
  <si>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</si>
  <si>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</si>
  <si>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</si>
  <si>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</si>
  <si>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</si>
  <si>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</si>
  <si>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</si>
  <si>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</si>
  <si>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</si>
  <si>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</si>
  <si>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</si>
  <si>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</si>
  <si>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</si>
  <si>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</si>
  <si>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</si>
  <si>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</si>
  <si>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</si>
  <si>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</si>
  <si>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</si>
  <si>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</si>
  <si>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</si>
  <si>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</si>
  <si>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</si>
  <si>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</si>
  <si>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</si>
  <si>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</si>
  <si>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</si>
  <si>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</si>
  <si>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</si>
  <si>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</si>
  <si>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</si>
  <si>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</si>
  <si>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</si>
  <si>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</si>
  <si>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</si>
  <si>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</si>
  <si>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</si>
  <si>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</si>
  <si>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</si>
  <si>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</si>
  <si>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</si>
  <si>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</si>
  <si>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</si>
  <si>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</si>
  <si>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</si>
  <si>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</si>
  <si>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</si>
  <si>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</si>
  <si>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</si>
  <si>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</si>
  <si>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</si>
  <si>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</si>
  <si>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</si>
  <si>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</si>
  <si>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</si>
  <si>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</si>
  <si>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</si>
  <si>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</si>
  <si>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</si>
  <si>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</si>
  <si>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</si>
  <si>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</si>
  <si>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</si>
  <si>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</si>
  <si>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7/8/2026</t>
  </si>
  <si>
    <t xml:space="preserve">  7/7/2026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</si>
  <si>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</si>
  <si>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</si>
  <si>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</si>
  <si>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</si>
  <si>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</si>
  <si>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</si>
  <si>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</si>
  <si>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</si>
  <si>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</si>
  <si>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</si>
  <si>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</si>
  <si>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</si>
  <si>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</si>
  <si>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</si>
  <si>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</si>
  <si>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</si>
  <si>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</si>
  <si>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</si>
  <si>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14-Jul</t>
  </si>
  <si>
    <t>13-Jul</t>
  </si>
  <si>
    <t xml:space="preserve"> 9-Jul</t>
  </si>
  <si>
    <t xml:space="preserve"> 7/10/2026</t>
  </si>
  <si>
    <t>15-Jun</t>
  </si>
  <si>
    <t>31-Mar</t>
  </si>
  <si>
    <t>24-Mar</t>
  </si>
  <si>
    <t>25-May</t>
  </si>
  <si>
    <t>21-May</t>
  </si>
  <si>
    <t xml:space="preserve"> 7-Apr</t>
  </si>
  <si>
    <t xml:space="preserve"> 1-Apr</t>
  </si>
  <si>
    <t>24-Apr</t>
  </si>
  <si>
    <t>30-Jun</t>
  </si>
  <si>
    <t xml:space="preserve"> 7-Jul</t>
  </si>
  <si>
    <t>10-Apr</t>
  </si>
  <si>
    <t>14-Apr</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</si>
  <si>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</si>
  <si>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</si>
  <si>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</si>
  <si>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</si>
  <si>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</si>
  <si>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</si>
  <si>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</si>
  <si>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</si>
  <si>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</si>
  <si>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</si>
  <si>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</si>
  <si>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</si>
  <si>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</si>
  <si>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</si>
  <si>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</si>
  <si>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</si>
  <si>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</si>
  <si>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</si>
  <si>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</si>
  <si>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10-Jul</t>
  </si>
  <si>
    <t xml:space="preserve"> 6-Jul</t>
  </si>
  <si>
    <t xml:space="preserve"> 8-Apr</t>
  </si>
  <si>
    <t>0</t>
  </si>
  <si>
    <t>931455311</t>
  </si>
  <si>
    <t>926142599</t>
  </si>
</sst>
</file>

<file path=xl/styles.xml><?xml version="1.0" encoding="utf-8"?>
<styleSheet xmlns="http://schemas.openxmlformats.org/spreadsheetml/2006/main" xmlns:r="http://schemas.openxmlformats.org/officeDocument/2006/relationships" xmlns:xdr="http://schemas.openxmlformats.org/drawingml/2006/spreadsheetDrawing">
  <fonts count="32">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
      <b/>
      <sz val="12"/>
      <color theme="1"/>
      <name val="Arial"/>
      <family val="2"/>
    </font>
    <font>
      <b/>
      <sz val="8"/>
      <color theme="1"/>
      <name val="Arial"/>
      <family val="2"/>
    </font>
    <font>
      <sz val="8"/>
      <color theme="0"/>
      <name val="Arial"/>
      <family val="2"/>
    </font>
    <font>
      <b/>
      <sz val="8"/>
      <color theme="0"/>
      <name val="Arial"/>
      <family val="2"/>
    </font>
    <font>
      <sz val="11"/>
      <color theme="0" tint="-0.14999847407453"/>
      <name val="Arial"/>
      <family val="2"/>
    </font>
    <font>
      <sz val="11"/>
      <name val="Arial"/>
      <family val="2"/>
    </font>
    <font>
      <sz val="10"/>
      <name val="Arial"/>
      <family val="2"/>
    </font>
    <font>
      <sz val="11"/>
      <color rgb="FFFF0000"/>
      <name val="Arial"/>
      <family val="2"/>
    </font>
    <font>
      <u/>
      <sz val="11"/>
      <name val="Aptos Narrow"/>
      <family val="2"/>
      <scheme val="minor"/>
    </font>
    <font>
      <u/>
      <sz val="10"/>
      <color theme="10"/>
      <name val="Arial"/>
      <family val="2"/>
    </font>
    <font>
      <u/>
      <sz val="12"/>
      <color theme="10"/>
      <name val="Aptos Narrow"/>
      <family val="2"/>
      <scheme val="minor"/>
    </font>
    <font>
      <sz val="9"/>
      <name val="Arial"/>
      <family val="2"/>
    </font>
    <font>
      <sz val="11"/>
      <color theme="0" tint="-0.14999847407453"/>
      <name val="Arial"/>
    </font>
    <font>
      <sz val="11"/>
      <name val="Arial"/>
    </font>
    <font>
      <sz val="10"/>
      <name val="Arial"/>
    </font>
    <font>
      <sz val="11"/>
      <color theme="0"/>
      <name val="Arial"/>
    </font>
    <font>
      <sz val="11"/>
      <color rgb="FF242424"/>
      <name val="Arial"/>
      <family val="2"/>
    </font>
    <font>
      <b/>
      <sz val="11"/>
      <color theme="0"/>
      <name val="Arial"/>
      <family val="2"/>
    </font>
  </fonts>
  <fills count="22">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FFD8F8FA"/>
        <bgColor indexed="64"/>
      </patternFill>
    </fill>
    <fill>
      <patternFill patternType="solid">
        <fgColor rgb="FFFBE1E1"/>
        <bgColor indexed="64"/>
      </patternFill>
    </fill>
    <fill>
      <patternFill patternType="solid">
        <fgColor theme="9" tint="0.79998168889431"/>
        <bgColor indexed="64"/>
      </patternFill>
    </fill>
    <fill>
      <patternFill patternType="solid">
        <fgColor rgb="FF002060"/>
        <bgColor indexed="64"/>
      </patternFill>
    </fill>
    <fill>
      <patternFill patternType="solid">
        <fgColor theme="1"/>
        <bgColor indexed="64"/>
      </patternFill>
    </fill>
    <fill>
      <patternFill patternType="solid">
        <fgColor theme="0" tint="-0.14999847407453"/>
        <bgColor indexed="64"/>
      </patternFill>
    </fill>
    <fill>
      <patternFill patternType="solid">
        <fgColor rgb="FFC00000"/>
        <bgColor indexed="64"/>
      </patternFill>
    </fill>
    <fill>
      <patternFill patternType="solid">
        <fgColor rgb="FFFFFF00"/>
        <bgColor indexed="64"/>
      </patternFill>
    </fill>
    <fill>
      <patternFill patternType="solid">
        <fgColor theme="0"/>
        <bgColor indexed="64"/>
      </patternFill>
    </fill>
    <fill>
      <patternFill patternType="solid">
        <fgColor theme="0" tint="-0.049989318521683"/>
        <bgColor indexed="64"/>
      </patternFill>
    </fill>
    <fill>
      <patternFill patternType="solid">
        <fgColor theme="8" tint="0.39997558519242"/>
        <bgColor indexed="64"/>
      </patternFill>
    </fill>
    <fill>
      <patternFill patternType="solid">
        <fgColor theme="8" tint="0.5999938962981"/>
        <bgColor indexed="64"/>
      </patternFill>
    </fill>
    <fill>
      <patternFill patternType="solid">
        <fgColor theme="7" tint="0.79998168889431"/>
        <bgColor indexed="64"/>
      </patternFill>
    </fill>
    <fill>
      <patternFill patternType="solid">
        <fgColor theme="5"/>
        <bgColor indexed="64"/>
      </patternFill>
    </fill>
    <fill>
      <patternFill patternType="solid">
        <fgColor rgb="FF006100"/>
        <bgColor indexed="64"/>
      </patternFill>
    </fill>
    <fill>
      <patternFill patternType="solid">
        <fgColor theme="0" tint="-0.24997711111789"/>
        <bgColor indexed="64"/>
      </patternFill>
    </fill>
    <fill>
      <patternFill patternType="solid">
        <fgColor rgb="FFFFC000"/>
        <bgColor indexed="64"/>
      </patternFill>
    </fill>
    <fill>
      <patternFill patternType="solid">
        <fgColor rgb="FFFF9999"/>
        <bgColor indexed="64"/>
      </patternFill>
    </fill>
  </fills>
  <borders count="3">
    <border>
      <left/>
      <right/>
      <top/>
      <bottom/>
      <diagonal/>
    </border>
    <border>
      <left/>
      <right/>
      <top/>
      <bottom style="thin">
        <color theme="0" tint="-0.24997711111789"/>
      </bottom>
      <diagonal/>
    </border>
    <border>
      <left/>
      <right/>
      <top/>
      <bottom style="thin">
        <color theme="2" tint="-0.24997711111789"/>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87">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xf numFmtId="0" fontId="14" fillId="0" borderId="0" xfId="0" applyFont="true" applyAlignment="true">
      <alignment horizontal="left" vertical="center"/>
    </xf>
    <xf numFmtId="0" fontId="5" fillId="0" borderId="0" xfId="0" applyFont="true" applyAlignment="true">
      <alignment vertical="center" wrapText="true"/>
    </xf>
    <xf numFmtId="0" fontId="5" fillId="5" borderId="0" xfId="0" applyFont="true" applyFill="true" applyAlignment="true">
      <alignment vertical="center" wrapText="true"/>
    </xf>
    <xf numFmtId="0" fontId="15" fillId="0" borderId="0" xfId="0" applyFont="true" applyAlignment="true">
      <alignment vertical="center"/>
    </xf>
    <xf numFmtId="0" fontId="5" fillId="4" borderId="0" xfId="0" applyFont="true" applyFill="true" applyAlignment="true">
      <alignment vertical="center" wrapText="true"/>
    </xf>
    <xf numFmtId="0" fontId="5" fillId="6" borderId="0" xfId="0" applyFont="true" applyFill="true" applyAlignment="true">
      <alignment vertical="center" wrapText="true"/>
    </xf>
    <xf numFmtId="0" fontId="16" fillId="0" borderId="0" xfId="0" applyFont="true" applyAlignment="true">
      <alignment vertical="center" wrapText="true"/>
    </xf>
    <xf numFmtId="0" fontId="17" fillId="7" borderId="0" xfId="0" applyFont="true" applyFill="true" applyAlignment="true">
      <alignment horizontal="center" vertical="center" wrapText="true"/>
    </xf>
    <xf numFmtId="0" fontId="17" fillId="8" borderId="0" xfId="0" applyFont="true" applyFill="true" applyAlignment="true">
      <alignment horizontal="center" vertical="center" wrapText="true"/>
    </xf>
    <xf numFmtId="0" fontId="15" fillId="9" borderId="0" xfId="0" applyFont="true" applyFill="true" applyAlignment="true">
      <alignment horizontal="center" vertical="center" wrapText="true"/>
    </xf>
    <xf numFmtId="0" fontId="17" fillId="10" borderId="0" xfId="0" applyFont="true" applyFill="true" applyAlignment="true">
      <alignment horizontal="center" vertical="center" wrapText="true"/>
    </xf>
    <xf numFmtId="0" fontId="18" fillId="0" borderId="0" xfId="0" applyFont="true" applyAlignment="true">
      <alignment vertical="center"/>
    </xf>
    <xf numFmtId="0" fontId="19" fillId="0" borderId="1" xfId="0" applyFont="true" applyBorder="true" applyAlignment="true">
      <alignment horizontal="center" vertical="center" wrapText="true"/>
    </xf>
    <xf numFmtId="0" fontId="19" fillId="11" borderId="1" xfId="0" applyFont="true" applyFill="true" applyBorder="true" applyAlignment="true">
      <alignment horizontal="left" vertical="center" wrapText="true"/>
    </xf>
    <xf numFmtId="0" fontId="19" fillId="12" borderId="1" xfId="0" applyFont="true" applyFill="true" applyBorder="true" applyAlignment="true">
      <alignment horizontal="left" vertical="center" wrapText="true"/>
    </xf>
    <xf numFmtId="0" fontId="20" fillId="0" borderId="2" xfId="0" applyFont="true" applyBorder="true" applyAlignment="true">
      <alignment horizontal="center" vertical="center" wrapText="true"/>
    </xf>
    <xf numFmtId="0" fontId="19" fillId="13" borderId="1" xfId="0" applyFont="true" applyFill="true" applyBorder="true" applyAlignment="true">
      <alignment horizontal="center" vertical="center" wrapText="true"/>
    </xf>
    <xf numFmtId="0" fontId="19" fillId="0" borderId="1" xfId="0" applyFont="true" applyBorder="true" applyAlignment="true">
      <alignment horizontal="left" vertical="center" wrapText="true"/>
    </xf>
    <xf numFmtId="0" fontId="19" fillId="13" borderId="1" xfId="0" applyFont="true" applyFill="true" applyBorder="true" applyAlignment="true">
      <alignment horizontal="left" vertical="center" wrapText="true"/>
    </xf>
    <xf numFmtId="14" fontId="19" fillId="13" borderId="1" xfId="0" applyNumberFormat="true" applyFont="true" applyFill="true" applyBorder="true" applyAlignment="true">
      <alignment horizontal="left" vertical="center" wrapText="true"/>
    </xf>
    <xf numFmtId="16" fontId="19" fillId="13" borderId="1" xfId="0" applyNumberFormat="true" applyFont="true" applyFill="true" applyBorder="true" applyAlignment="true">
      <alignment horizontal="left" vertical="center" wrapText="true"/>
    </xf>
    <xf numFmtId="0" fontId="19" fillId="14" borderId="1" xfId="0" applyFont="true" applyFill="true" applyBorder="true" applyAlignment="true">
      <alignment horizontal="center" vertical="center" wrapText="true"/>
    </xf>
    <xf numFmtId="0" fontId="3" fillId="0" borderId="1" xfId="1" applyBorder="true" applyAlignment="true">
      <alignment horizontal="left" vertical="center" wrapText="true"/>
    </xf>
    <xf numFmtId="0" fontId="19" fillId="13" borderId="1" xfId="0" quotePrefix="true" applyFont="true" applyFill="true" applyBorder="true" applyAlignment="true">
      <alignment horizontal="left" vertical="center" wrapText="true"/>
    </xf>
    <xf numFmtId="0" fontId="3" fillId="0" borderId="1" xfId="2" applyBorder="true" applyAlignment="true">
      <alignment horizontal="left" vertical="center" wrapText="true"/>
    </xf>
    <xf numFmtId="0" fontId="19" fillId="0" borderId="2" xfId="0" applyFont="true" applyBorder="true" applyAlignment="true">
      <alignment horizontal="center" vertical="center" wrapText="true"/>
    </xf>
    <xf numFmtId="0" fontId="7" fillId="0" borderId="1" xfId="0" applyFont="true" applyBorder="true" applyAlignment="true">
      <alignment horizontal="left" vertical="center" wrapText="true"/>
    </xf>
    <xf numFmtId="0" fontId="19" fillId="15" borderId="1" xfId="0" applyFont="true" applyFill="true" applyBorder="true" applyAlignment="true">
      <alignment horizontal="center" vertical="center" wrapText="true"/>
    </xf>
    <xf numFmtId="0" fontId="19" fillId="13" borderId="1" xfId="0" applyFont="true" applyFill="true" applyBorder="true" applyAlignment="true">
      <alignment horizontal="center" vertical="center"/>
    </xf>
    <xf numFmtId="0" fontId="19" fillId="12" borderId="1" xfId="0" applyFont="true" applyFill="true" applyBorder="true" applyAlignment="true">
      <alignment horizontal="center" vertical="center" wrapText="true"/>
    </xf>
    <xf numFmtId="0" fontId="19" fillId="16" borderId="1" xfId="0" applyFont="true" applyFill="true" applyBorder="true" applyAlignment="true">
      <alignment horizontal="center" vertical="center" wrapText="true"/>
    </xf>
    <xf numFmtId="0" fontId="19" fillId="17" borderId="1" xfId="0" applyFont="true" applyFill="true" applyBorder="true" applyAlignment="true">
      <alignment horizontal="center" vertical="center" wrapText="true"/>
    </xf>
    <xf numFmtId="0" fontId="3" fillId="13" borderId="1" xfId="2" applyFill="true" applyBorder="true" applyAlignment="true">
      <alignment horizontal="left" vertical="center" wrapText="true"/>
    </xf>
    <xf numFmtId="0" fontId="7" fillId="14" borderId="1" xfId="0" applyFont="true" applyFill="true" applyBorder="true" applyAlignment="true">
      <alignment horizontal="center" vertical="center" wrapText="true"/>
    </xf>
    <xf numFmtId="0" fontId="19" fillId="0" borderId="0" xfId="0" applyFont="true" applyAlignment="true">
      <alignment horizontal="left" vertical="center" wrapText="true"/>
    </xf>
    <xf numFmtId="0" fontId="19" fillId="13" borderId="0" xfId="0" applyFont="true" applyFill="true" applyAlignment="true">
      <alignment horizontal="center" vertical="center" wrapText="true"/>
    </xf>
    <xf numFmtId="0" fontId="19" fillId="18" borderId="1" xfId="0" applyFont="true" applyFill="true" applyBorder="true" applyAlignment="true">
      <alignment horizontal="center" vertical="center" wrapText="true"/>
    </xf>
    <xf numFmtId="0" fontId="21" fillId="13" borderId="1" xfId="0" applyFont="true" applyFill="true" applyBorder="true" applyAlignment="true">
      <alignment horizontal="left" vertical="center" wrapText="true"/>
    </xf>
    <xf numFmtId="0" fontId="19" fillId="19" borderId="1" xfId="0" applyFont="true" applyFill="true" applyBorder="true" applyAlignment="true">
      <alignment horizontal="left" vertical="center" wrapText="true"/>
    </xf>
    <xf numFmtId="0" fontId="19" fillId="11" borderId="1" xfId="0" applyFont="true" applyFill="true" applyBorder="true" applyAlignment="true">
      <alignment horizontal="center" vertical="center" wrapText="true"/>
    </xf>
    <xf numFmtId="0" fontId="7" fillId="0" borderId="1" xfId="0" applyFont="true" applyBorder="true" applyAlignment="true">
      <alignment horizontal="center" vertical="center" wrapText="true"/>
    </xf>
    <xf numFmtId="0" fontId="22" fillId="0" borderId="1" xfId="1" applyFont="true" applyBorder="true" applyAlignment="true">
      <alignment horizontal="left" vertical="center" wrapText="true"/>
    </xf>
    <xf numFmtId="0" fontId="19" fillId="16" borderId="1" xfId="0" applyFont="true" applyFill="true" applyBorder="true" applyAlignment="true">
      <alignment horizontal="left" vertical="center" wrapText="true"/>
    </xf>
    <xf numFmtId="0" fontId="20" fillId="20" borderId="2" xfId="0" applyFont="true" applyFill="true" applyBorder="true" applyAlignment="true">
      <alignment horizontal="center" vertical="center" wrapText="true"/>
    </xf>
    <xf numFmtId="0" fontId="19" fillId="21" borderId="1" xfId="0" applyFont="true" applyFill="true" applyBorder="true" applyAlignment="true">
      <alignment horizontal="left" vertical="center" wrapText="true"/>
    </xf>
    <xf numFmtId="0" fontId="23" fillId="0" borderId="1" xfId="1" applyFont="true" applyBorder="true" applyAlignment="true">
      <alignment horizontal="left" vertical="center" wrapText="true"/>
    </xf>
    <xf numFmtId="0" fontId="24" fillId="0" borderId="1" xfId="1" applyFont="true" applyBorder="true" applyAlignment="true">
      <alignment horizontal="left" vertical="center" wrapText="true"/>
    </xf>
    <xf numFmtId="0" fontId="25" fillId="11" borderId="1" xfId="0" applyFont="true" applyFill="true" applyBorder="true" applyAlignment="true">
      <alignment horizontal="left" vertical="center" wrapText="true"/>
    </xf>
    <xf numFmtId="14" fontId="5" fillId="0" borderId="0" xfId="0" applyNumberFormat="true" applyFont="true" applyAlignment="true">
      <alignment vertical="center"/>
    </xf>
    <xf numFmtId="0" fontId="26" fillId="0" borderId="0" xfId="0" applyFont="true" applyAlignment="true">
      <alignment vertical="center"/>
    </xf>
    <xf numFmtId="0" fontId="27" fillId="0" borderId="1" xfId="0" applyFont="true" applyBorder="true" applyAlignment="true">
      <alignment horizontal="center" vertical="center" wrapText="true"/>
    </xf>
    <xf numFmtId="0" fontId="27" fillId="0" borderId="1" xfId="0" applyFont="true" applyBorder="true" applyAlignment="true">
      <alignment horizontal="left" vertical="center" wrapText="true"/>
    </xf>
    <xf numFmtId="0" fontId="28" fillId="0" borderId="2" xfId="0" applyFont="true" applyBorder="true" applyAlignment="true">
      <alignment horizontal="center" vertical="center" wrapText="true"/>
    </xf>
    <xf numFmtId="0" fontId="27" fillId="13" borderId="1" xfId="0" applyFont="true" applyFill="true" applyBorder="true" applyAlignment="true">
      <alignment horizontal="center" vertical="center" wrapText="true"/>
    </xf>
    <xf numFmtId="0" fontId="27" fillId="13" borderId="1" xfId="0" applyFont="true" applyFill="true" applyBorder="true" applyAlignment="true">
      <alignment horizontal="left" vertical="center" wrapText="true"/>
    </xf>
    <xf numFmtId="14" fontId="27" fillId="13" borderId="1" xfId="0" applyNumberFormat="true" applyFont="true" applyFill="true" applyBorder="true" applyAlignment="true">
      <alignment horizontal="left" vertical="center" wrapText="true"/>
    </xf>
    <xf numFmtId="16" fontId="27" fillId="13" borderId="1" xfId="0" applyNumberFormat="true" applyFont="true" applyFill="true" applyBorder="true" applyAlignment="true">
      <alignment horizontal="left" vertical="center" wrapText="true"/>
    </xf>
    <xf numFmtId="0" fontId="29" fillId="0" borderId="0" xfId="0" applyFont="true" applyAlignment="true">
      <alignment vertical="center"/>
    </xf>
    <xf numFmtId="0" fontId="30" fillId="0" borderId="0" xfId="0" applyFont="true"/>
    <xf numFmtId="0" fontId="19" fillId="4" borderId="1" xfId="0" applyFont="true" applyFill="true" applyBorder="true" applyAlignment="true">
      <alignment horizontal="left" vertical="center" wrapText="true"/>
    </xf>
    <xf numFmtId="0" fontId="31" fillId="7" borderId="0" xfId="0" applyFont="true" applyFill="true" applyAlignment="true">
      <alignment horizontal="center" vertical="center"/>
    </xf>
  </cellXfs>
  <cellStyles count="3">
    <cellStyle name="Hipervínculo" xfId="1" builtinId="8"/>
    <cellStyle name="Hyperlink" xfId="2"/>
    <cellStyle name="Normal" xfId="0" builtinId="0"/>
  </cellStyles>
  <dxfs count="70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mailto:mesaucayali@mesadeconcertacion.org.pe" Type="http://schemas.openxmlformats.org/officeDocument/2006/relationships/hyperlink" Id="rId15"/><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alejandra.alayza@oxfam.org%0a&apos;+51%20984753054%20" Type="http://schemas.openxmlformats.org/officeDocument/2006/relationships/hyperlink" Id="rId36"/><Relationship TargetMode="External" Target="mailto:mesadepartes.fpedv.maynas@gmail.com" Type="http://schemas.openxmlformats.org/officeDocument/2006/relationships/hyperlink" Id="rId49"/><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 TargetMode="External" Target="mailto:sefajardo@pj.gob.pe%0a914025587" Type="http://schemas.openxmlformats.org/officeDocument/2006/relationships/hyperlink" Id="rId114"/><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01"/>
  <sheetViews>
    <sheetView topLeftCell="A483" zoomScale="73" zoomScaleNormal="67" workbookViewId="0">
      <selection activeCell="C6" sqref="C6"/>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82</v>
      </c>
      <c r="J6" s="12" t="s">
        <v>1009</v>
      </c>
      <c r="K6" s="12" t="s">
        <v>118</v>
      </c>
      <c r="L6" s="12" t="s">
        <v>247</v>
      </c>
      <c r="M6" s="12" t="s">
        <v>992</v>
      </c>
      <c r="N6" s="13" t="s">
        <v>248</v>
      </c>
      <c r="O6" s="11" t="s">
        <v>118</v>
      </c>
      <c r="P6" s="11" t="s">
        <v>249</v>
      </c>
      <c r="Q6" s="11" t="s">
        <v>125</v>
      </c>
      <c r="R6" s="11" t="s">
        <v>150</v>
      </c>
      <c r="S6" s="11" t="s">
        <v>992</v>
      </c>
      <c r="T6" s="11" t="s">
        <v>125</v>
      </c>
      <c r="U6" s="11" t="s">
        <v>1014</v>
      </c>
      <c r="V6" s="11" t="s">
        <v>2148</v>
      </c>
      <c r="W6" s="11" t="s">
        <v>2172</v>
      </c>
      <c r="X6" s="11" t="s">
        <v>992</v>
      </c>
      <c r="Y6" s="11" t="s">
        <v>2182</v>
      </c>
      <c r="Z6" s="11" t="s">
        <v>2194</v>
      </c>
      <c r="AA6" s="11" t="s">
        <v>2194</v>
      </c>
      <c r="AB6" s="11" t="s">
        <v>30</v>
      </c>
      <c r="AC6" s="11" t="s">
        <v>1686</v>
      </c>
      <c r="AD6" s="11" t="s">
        <v>1276</v>
      </c>
      <c r="AE6" s="11" t="s">
        <v>993</v>
      </c>
    </row>
    <row r="7">
      <c r="B7" s="24" t="s">
        <v>49</v>
      </c>
      <c r="C7" s="12" t="s">
        <v>994</v>
      </c>
      <c r="D7" s="11" t="s">
        <v>250</v>
      </c>
      <c r="E7" s="11" t="s">
        <v>245</v>
      </c>
      <c r="F7" s="12" t="s">
        <v>49</v>
      </c>
      <c r="G7" s="12" t="s">
        <v>246</v>
      </c>
      <c r="H7" s="12" t="s">
        <v>246</v>
      </c>
      <c r="I7" s="12" t="s">
        <v>82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82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2172</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82</v>
      </c>
      <c r="J9" s="12" t="s">
        <v>1009</v>
      </c>
      <c r="K9" s="12" t="s">
        <v>118</v>
      </c>
      <c r="L9" s="12" t="s">
        <v>247</v>
      </c>
      <c r="M9" s="12" t="s">
        <v>992</v>
      </c>
      <c r="N9" s="13" t="s">
        <v>1280</v>
      </c>
      <c r="O9" s="11" t="s">
        <v>118</v>
      </c>
      <c r="P9" s="11" t="s">
        <v>249</v>
      </c>
      <c r="Q9" s="11" t="s">
        <v>125</v>
      </c>
      <c r="R9" s="11" t="s">
        <v>150</v>
      </c>
      <c r="S9" s="11" t="s">
        <v>992</v>
      </c>
      <c r="T9" s="11" t="s">
        <v>126</v>
      </c>
      <c r="U9" s="11" t="s">
        <v>992</v>
      </c>
      <c r="V9" s="11" t="s">
        <v>2149</v>
      </c>
      <c r="W9" s="11" t="s">
        <v>992</v>
      </c>
      <c r="X9" s="11" t="s">
        <v>992</v>
      </c>
      <c r="Y9" s="11" t="s">
        <v>992</v>
      </c>
      <c r="Z9" s="11" t="s">
        <v>992</v>
      </c>
      <c r="AA9" s="11" t="s">
        <v>992</v>
      </c>
      <c r="AB9" s="11" t="s">
        <v>992</v>
      </c>
      <c r="AC9" s="11" t="s">
        <v>992</v>
      </c>
      <c r="AD9" s="11" t="s">
        <v>972</v>
      </c>
      <c r="AE9" s="11" t="s">
        <v>2228</v>
      </c>
    </row>
    <row r="10">
      <c r="B10" s="24" t="s">
        <v>49</v>
      </c>
      <c r="C10" s="12" t="s">
        <v>1309</v>
      </c>
      <c r="D10" s="11" t="s">
        <v>257</v>
      </c>
      <c r="E10" s="11" t="s">
        <v>255</v>
      </c>
      <c r="F10" s="12" t="s">
        <v>49</v>
      </c>
      <c r="G10" s="12" t="s">
        <v>246</v>
      </c>
      <c r="H10" s="12" t="s">
        <v>246</v>
      </c>
      <c r="I10" s="12" t="s">
        <v>82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2149</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82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2149</v>
      </c>
      <c r="W11" s="11" t="s">
        <v>2150</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82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2149</v>
      </c>
      <c r="W12" s="11" t="s">
        <v>992</v>
      </c>
      <c r="X12" s="11" t="s">
        <v>992</v>
      </c>
      <c r="Y12" s="11" t="s">
        <v>992</v>
      </c>
      <c r="Z12" s="11" t="s">
        <v>992</v>
      </c>
      <c r="AA12" s="11" t="s">
        <v>992</v>
      </c>
      <c r="AB12" s="11" t="s">
        <v>992</v>
      </c>
      <c r="AC12" s="11" t="s">
        <v>992</v>
      </c>
      <c r="AD12" s="11" t="s">
        <v>972</v>
      </c>
      <c r="AE12" s="11" t="s">
        <v>2228</v>
      </c>
    </row>
    <row r="13">
      <c r="B13" s="24" t="s">
        <v>49</v>
      </c>
      <c r="C13" s="12" t="s">
        <v>1312</v>
      </c>
      <c r="D13" s="11" t="s">
        <v>269</v>
      </c>
      <c r="E13" s="11" t="s">
        <v>266</v>
      </c>
      <c r="F13" s="12" t="s">
        <v>49</v>
      </c>
      <c r="G13" s="12" t="s">
        <v>246</v>
      </c>
      <c r="H13" s="12" t="s">
        <v>246</v>
      </c>
      <c r="I13" s="12" t="s">
        <v>82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2150</v>
      </c>
      <c r="W13" s="11" t="s">
        <v>992</v>
      </c>
      <c r="X13" s="11" t="s">
        <v>992</v>
      </c>
      <c r="Y13" s="11" t="s">
        <v>992</v>
      </c>
      <c r="Z13" s="11" t="s">
        <v>992</v>
      </c>
      <c r="AA13" s="11" t="s">
        <v>992</v>
      </c>
      <c r="AB13" s="11" t="s">
        <v>992</v>
      </c>
      <c r="AC13" s="11" t="s">
        <v>992</v>
      </c>
      <c r="AD13" s="11" t="s">
        <v>973</v>
      </c>
      <c r="AE13" s="11" t="s">
        <v>2228</v>
      </c>
    </row>
    <row r="14">
      <c r="B14" s="24" t="s">
        <v>49</v>
      </c>
      <c r="C14" s="12" t="s">
        <v>1313</v>
      </c>
      <c r="D14" s="11" t="s">
        <v>270</v>
      </c>
      <c r="E14" s="11" t="s">
        <v>266</v>
      </c>
      <c r="F14" s="12" t="s">
        <v>49</v>
      </c>
      <c r="G14" s="12" t="s">
        <v>246</v>
      </c>
      <c r="H14" s="12" t="s">
        <v>246</v>
      </c>
      <c r="I14" s="12" t="s">
        <v>82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2228</v>
      </c>
    </row>
    <row r="15">
      <c r="B15" s="24" t="s">
        <v>49</v>
      </c>
      <c r="C15" s="12" t="s">
        <v>1314</v>
      </c>
      <c r="D15" s="11" t="s">
        <v>272</v>
      </c>
      <c r="E15" s="11" t="s">
        <v>176</v>
      </c>
      <c r="F15" s="12" t="s">
        <v>49</v>
      </c>
      <c r="G15" s="12" t="s">
        <v>246</v>
      </c>
      <c r="H15" s="12" t="s">
        <v>246</v>
      </c>
      <c r="I15" s="12" t="s">
        <v>82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2228</v>
      </c>
    </row>
    <row r="16">
      <c r="B16" s="24" t="s">
        <v>49</v>
      </c>
      <c r="C16" s="12" t="s">
        <v>1315</v>
      </c>
      <c r="D16" s="11" t="s">
        <v>273</v>
      </c>
      <c r="E16" s="11" t="s">
        <v>176</v>
      </c>
      <c r="F16" s="12" t="s">
        <v>49</v>
      </c>
      <c r="G16" s="12" t="s">
        <v>246</v>
      </c>
      <c r="H16" s="12" t="s">
        <v>246</v>
      </c>
      <c r="I16" s="12" t="s">
        <v>82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2228</v>
      </c>
    </row>
    <row r="17">
      <c r="B17" s="24" t="s">
        <v>283</v>
      </c>
      <c r="C17" s="12" t="s">
        <v>1316</v>
      </c>
      <c r="D17" s="11" t="s">
        <v>281</v>
      </c>
      <c r="E17" s="11" t="s">
        <v>282</v>
      </c>
      <c r="F17" s="12" t="s">
        <v>283</v>
      </c>
      <c r="G17" s="12" t="s">
        <v>246</v>
      </c>
      <c r="H17" s="12" t="s">
        <v>246</v>
      </c>
      <c r="I17" s="12" t="s">
        <v>82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2150</v>
      </c>
      <c r="W17" s="11" t="s">
        <v>992</v>
      </c>
      <c r="X17" s="11" t="s">
        <v>992</v>
      </c>
      <c r="Y17" s="11" t="s">
        <v>992</v>
      </c>
      <c r="Z17" s="11" t="s">
        <v>992</v>
      </c>
      <c r="AA17" s="11" t="s">
        <v>992</v>
      </c>
      <c r="AB17" s="11" t="s">
        <v>992</v>
      </c>
      <c r="AC17" s="11" t="s">
        <v>992</v>
      </c>
      <c r="AD17" s="11" t="s">
        <v>975</v>
      </c>
      <c r="AE17" s="11" t="s">
        <v>2228</v>
      </c>
    </row>
    <row r="18">
      <c r="B18" s="24" t="s">
        <v>49</v>
      </c>
      <c r="C18" s="12" t="s">
        <v>1317</v>
      </c>
      <c r="D18" s="11" t="s">
        <v>285</v>
      </c>
      <c r="E18" s="11" t="s">
        <v>282</v>
      </c>
      <c r="F18" s="12" t="s">
        <v>49</v>
      </c>
      <c r="G18" s="12" t="s">
        <v>246</v>
      </c>
      <c r="H18" s="12" t="s">
        <v>246</v>
      </c>
      <c r="I18" s="12" t="s">
        <v>82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2228</v>
      </c>
    </row>
    <row r="19">
      <c r="B19" s="24" t="s">
        <v>49</v>
      </c>
      <c r="C19" s="12" t="s">
        <v>1318</v>
      </c>
      <c r="D19" s="11" t="s">
        <v>292</v>
      </c>
      <c r="E19" s="11" t="s">
        <v>293</v>
      </c>
      <c r="F19" s="12" t="s">
        <v>49</v>
      </c>
      <c r="G19" s="12" t="s">
        <v>246</v>
      </c>
      <c r="H19" s="12" t="s">
        <v>246</v>
      </c>
      <c r="I19" s="12" t="s">
        <v>82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2150</v>
      </c>
      <c r="W19" s="11" t="s">
        <v>992</v>
      </c>
      <c r="X19" s="11" t="s">
        <v>992</v>
      </c>
      <c r="Y19" s="11" t="s">
        <v>992</v>
      </c>
      <c r="Z19" s="11" t="s">
        <v>992</v>
      </c>
      <c r="AA19" s="11" t="s">
        <v>992</v>
      </c>
      <c r="AB19" s="11" t="s">
        <v>992</v>
      </c>
      <c r="AC19" s="11" t="s">
        <v>992</v>
      </c>
      <c r="AD19" s="11" t="s">
        <v>976</v>
      </c>
      <c r="AE19" s="11" t="s">
        <v>2228</v>
      </c>
    </row>
    <row r="20">
      <c r="B20" s="24" t="s">
        <v>291</v>
      </c>
      <c r="C20" s="12" t="s">
        <v>1319</v>
      </c>
      <c r="D20" s="11" t="s">
        <v>297</v>
      </c>
      <c r="E20" s="11" t="s">
        <v>298</v>
      </c>
      <c r="F20" s="12" t="s">
        <v>291</v>
      </c>
      <c r="G20" s="12" t="s">
        <v>246</v>
      </c>
      <c r="H20" s="12" t="s">
        <v>246</v>
      </c>
      <c r="I20" s="12" t="s">
        <v>82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2228</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2151</v>
      </c>
      <c r="W21" s="11" t="s">
        <v>2173</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29</v>
      </c>
      <c r="V23" s="11" t="s">
        <v>2152</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2151</v>
      </c>
      <c r="W25" s="11" t="s">
        <v>992</v>
      </c>
      <c r="X25" s="11" t="s">
        <v>992</v>
      </c>
      <c r="Y25" s="11" t="s">
        <v>992</v>
      </c>
      <c r="Z25" s="11" t="s">
        <v>2195</v>
      </c>
      <c r="AA25" s="11" t="s">
        <v>2195</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2150</v>
      </c>
      <c r="W26" s="11" t="s">
        <v>992</v>
      </c>
      <c r="X26" s="11" t="s">
        <v>992</v>
      </c>
      <c r="Y26" s="11" t="s">
        <v>2153</v>
      </c>
      <c r="Z26" s="11" t="s">
        <v>2196</v>
      </c>
      <c r="AA26" s="11" t="s">
        <v>2196</v>
      </c>
      <c r="AB26" s="11" t="s">
        <v>30</v>
      </c>
      <c r="AC26" s="11" t="s">
        <v>1346</v>
      </c>
      <c r="AD26" s="11" t="s">
        <v>1001</v>
      </c>
      <c r="AE26" s="11" t="s">
        <v>993</v>
      </c>
    </row>
    <row r="27">
      <c r="B27" s="24" t="s">
        <v>49</v>
      </c>
      <c r="C27" s="12" t="s">
        <v>1326</v>
      </c>
      <c r="D27" s="11" t="s">
        <v>46</v>
      </c>
      <c r="E27" s="11" t="s">
        <v>1569</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2150</v>
      </c>
      <c r="W27" s="11" t="s">
        <v>2153</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2150</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2150</v>
      </c>
      <c r="W29" s="11" t="s">
        <v>992</v>
      </c>
      <c r="X29" s="11" t="s">
        <v>992</v>
      </c>
      <c r="Y29" s="11" t="s">
        <v>992</v>
      </c>
      <c r="Z29" s="11" t="s">
        <v>992</v>
      </c>
      <c r="AA29" s="11" t="s">
        <v>992</v>
      </c>
      <c r="AB29" s="11" t="s">
        <v>992</v>
      </c>
      <c r="AC29" s="11" t="s">
        <v>992</v>
      </c>
      <c r="AD29" s="11" t="s">
        <v>980</v>
      </c>
      <c r="AE29" s="11" t="s">
        <v>993</v>
      </c>
    </row>
    <row r="30">
      <c r="B30" s="24" t="s">
        <v>295</v>
      </c>
      <c r="C30" s="12" t="s">
        <v>1329</v>
      </c>
      <c r="D30" s="11" t="s">
        <v>333</v>
      </c>
      <c r="E30" s="11" t="s">
        <v>35</v>
      </c>
      <c r="F30" s="12" t="s">
        <v>295</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132</v>
      </c>
      <c r="V30" s="11" t="s">
        <v>2150</v>
      </c>
      <c r="W30" s="11" t="s">
        <v>1373</v>
      </c>
      <c r="X30" s="11" t="s">
        <v>2176</v>
      </c>
      <c r="Y30" s="11" t="s">
        <v>992</v>
      </c>
      <c r="Z30" s="11" t="s">
        <v>992</v>
      </c>
      <c r="AA30" s="11" t="s">
        <v>992</v>
      </c>
      <c r="AB30" s="11" t="s">
        <v>992</v>
      </c>
      <c r="AC30" s="11" t="s">
        <v>992</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2197</v>
      </c>
      <c r="AA32" s="11" t="s">
        <v>2197</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2174</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2096</v>
      </c>
      <c r="O39" s="11" t="s">
        <v>118</v>
      </c>
      <c r="P39" s="11" t="s">
        <v>280</v>
      </c>
      <c r="Q39" s="11" t="s">
        <v>125</v>
      </c>
      <c r="R39" s="11" t="s">
        <v>150</v>
      </c>
      <c r="S39" s="11" t="s">
        <v>125</v>
      </c>
      <c r="T39" s="11" t="s">
        <v>125</v>
      </c>
      <c r="U39" s="11" t="s">
        <v>38</v>
      </c>
      <c r="V39" s="11" t="s">
        <v>2150</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2175</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2153</v>
      </c>
      <c r="W42" s="11" t="s">
        <v>992</v>
      </c>
      <c r="X42" s="11" t="s">
        <v>992</v>
      </c>
      <c r="Y42" s="11" t="s">
        <v>992</v>
      </c>
      <c r="Z42" s="11" t="s">
        <v>2195</v>
      </c>
      <c r="AA42" s="11" t="s">
        <v>2195</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2150</v>
      </c>
      <c r="W44" s="11" t="s">
        <v>992</v>
      </c>
      <c r="X44" s="11" t="s">
        <v>992</v>
      </c>
      <c r="Y44" s="11" t="s">
        <v>992</v>
      </c>
      <c r="Z44" s="11" t="s">
        <v>2196</v>
      </c>
      <c r="AA44" s="11" t="s">
        <v>2196</v>
      </c>
      <c r="AB44" s="11" t="s">
        <v>30</v>
      </c>
      <c r="AC44" s="11" t="s">
        <v>1674</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2228</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2154</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2150</v>
      </c>
      <c r="W47" s="11" t="s">
        <v>2155</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2155</v>
      </c>
      <c r="W49" s="11" t="s">
        <v>1373</v>
      </c>
      <c r="X49" s="11" t="s">
        <v>992</v>
      </c>
      <c r="Y49" s="11" t="s">
        <v>992</v>
      </c>
      <c r="Z49" s="11" t="s">
        <v>2198</v>
      </c>
      <c r="AA49" s="11" t="s">
        <v>2198</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2228</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2153</v>
      </c>
      <c r="W51" s="11" t="s">
        <v>992</v>
      </c>
      <c r="X51" s="11" t="s">
        <v>992</v>
      </c>
      <c r="Y51" s="11" t="s">
        <v>992</v>
      </c>
      <c r="Z51" s="11" t="s">
        <v>2196</v>
      </c>
      <c r="AA51" s="11" t="s">
        <v>2196</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2097</v>
      </c>
      <c r="O52" s="11" t="s">
        <v>118</v>
      </c>
      <c r="P52" s="11" t="s">
        <v>280</v>
      </c>
      <c r="Q52" s="11" t="s">
        <v>126</v>
      </c>
      <c r="R52" s="11" t="s">
        <v>150</v>
      </c>
      <c r="S52" s="11" t="s">
        <v>992</v>
      </c>
      <c r="T52" s="11" t="s">
        <v>125</v>
      </c>
      <c r="U52" s="11" t="s">
        <v>38</v>
      </c>
      <c r="V52" s="11" t="s">
        <v>2153</v>
      </c>
      <c r="W52" s="11" t="s">
        <v>2159</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2098</v>
      </c>
      <c r="O53" s="11" t="s">
        <v>118</v>
      </c>
      <c r="P53" s="11" t="s">
        <v>280</v>
      </c>
      <c r="Q53" s="11" t="s">
        <v>126</v>
      </c>
      <c r="R53" s="11" t="s">
        <v>150</v>
      </c>
      <c r="S53" s="11" t="s">
        <v>992</v>
      </c>
      <c r="T53" s="11" t="s">
        <v>125</v>
      </c>
      <c r="U53" s="11" t="s">
        <v>38</v>
      </c>
      <c r="V53" s="11" t="s">
        <v>2153</v>
      </c>
      <c r="W53" s="11" t="s">
        <v>2159</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2228</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2153</v>
      </c>
      <c r="W56" s="11" t="s">
        <v>2157</v>
      </c>
      <c r="X56" s="11" t="s">
        <v>1373</v>
      </c>
      <c r="Y56" s="11" t="s">
        <v>2176</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2153</v>
      </c>
      <c r="W57" s="11" t="s">
        <v>2154</v>
      </c>
      <c r="X57" s="11" t="s">
        <v>2181</v>
      </c>
      <c r="Y57" s="11" t="s">
        <v>992</v>
      </c>
      <c r="Z57" s="11" t="s">
        <v>2199</v>
      </c>
      <c r="AA57" s="11" t="s">
        <v>2199</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2228</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2228</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2153</v>
      </c>
      <c r="W61" s="11" t="s">
        <v>2156</v>
      </c>
      <c r="X61" s="11" t="s">
        <v>992</v>
      </c>
      <c r="Y61" s="11" t="s">
        <v>992</v>
      </c>
      <c r="Z61" s="11" t="s">
        <v>2200</v>
      </c>
      <c r="AA61" s="11" t="s">
        <v>2200</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2156</v>
      </c>
      <c r="W62" s="11" t="s">
        <v>992</v>
      </c>
      <c r="X62" s="11" t="s">
        <v>992</v>
      </c>
      <c r="Y62" s="11" t="s">
        <v>992</v>
      </c>
      <c r="Z62" s="11" t="s">
        <v>2201</v>
      </c>
      <c r="AA62" s="11" t="s">
        <v>2201</v>
      </c>
      <c r="AB62" s="11" t="s">
        <v>30</v>
      </c>
      <c r="AC62" s="11" t="s">
        <v>1346</v>
      </c>
      <c r="AD62" s="11" t="s">
        <v>1415</v>
      </c>
      <c r="AE62" s="11" t="s">
        <v>993</v>
      </c>
    </row>
    <row r="63">
      <c r="B63" s="24" t="s">
        <v>278</v>
      </c>
      <c r="C63" s="12" t="s">
        <v>1362</v>
      </c>
      <c r="D63" s="11" t="s">
        <v>421</v>
      </c>
      <c r="E63" s="11" t="s">
        <v>415</v>
      </c>
      <c r="F63" s="12" t="s">
        <v>278</v>
      </c>
      <c r="G63" s="12" t="s">
        <v>246</v>
      </c>
      <c r="H63" s="12" t="s">
        <v>246</v>
      </c>
      <c r="I63" s="12" t="s">
        <v>37</v>
      </c>
      <c r="J63" s="12" t="s">
        <v>1013</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2228</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2153</v>
      </c>
      <c r="W66" s="11" t="s">
        <v>2176</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2153</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29</v>
      </c>
      <c r="V69" s="11" t="s">
        <v>2151</v>
      </c>
      <c r="W69" s="11" t="s">
        <v>2153</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2174</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2174</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2174</v>
      </c>
      <c r="X73" s="11" t="s">
        <v>992</v>
      </c>
      <c r="Y73" s="11" t="s">
        <v>992</v>
      </c>
      <c r="Z73" s="11" t="s">
        <v>992</v>
      </c>
      <c r="AA73" s="11" t="s">
        <v>992</v>
      </c>
      <c r="AB73" s="11" t="s">
        <v>992</v>
      </c>
      <c r="AC73" s="11" t="s">
        <v>992</v>
      </c>
      <c r="AD73" s="11" t="s">
        <v>1251</v>
      </c>
      <c r="AE73" s="11" t="s">
        <v>993</v>
      </c>
    </row>
    <row r="74">
      <c r="B74" s="24" t="s">
        <v>291</v>
      </c>
      <c r="C74" s="12" t="s">
        <v>1671</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2174</v>
      </c>
      <c r="X74" s="11" t="s">
        <v>992</v>
      </c>
      <c r="Y74" s="11" t="s">
        <v>992</v>
      </c>
      <c r="Z74" s="11" t="s">
        <v>992</v>
      </c>
      <c r="AA74" s="11" t="s">
        <v>992</v>
      </c>
      <c r="AB74" s="11" t="s">
        <v>992</v>
      </c>
      <c r="AC74" s="11" t="s">
        <v>992</v>
      </c>
      <c r="AD74" s="11" t="s">
        <v>1251</v>
      </c>
      <c r="AE74" s="11" t="s">
        <v>993</v>
      </c>
    </row>
    <row r="75">
      <c r="B75" s="24" t="s">
        <v>291</v>
      </c>
      <c r="C75" s="12" t="s">
        <v>1672</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1673</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1674</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2151</v>
      </c>
      <c r="W77" s="11" t="s">
        <v>1373</v>
      </c>
      <c r="X77" s="11" t="s">
        <v>992</v>
      </c>
      <c r="Y77" s="11" t="s">
        <v>992</v>
      </c>
      <c r="Z77" s="11" t="s">
        <v>992</v>
      </c>
      <c r="AA77" s="11" t="s">
        <v>992</v>
      </c>
      <c r="AB77" s="11" t="s">
        <v>992</v>
      </c>
      <c r="AC77" s="11" t="s">
        <v>992</v>
      </c>
      <c r="AD77" s="11" t="s">
        <v>964</v>
      </c>
      <c r="AE77" s="11" t="s">
        <v>993</v>
      </c>
    </row>
    <row r="78">
      <c r="B78" s="24" t="s">
        <v>278</v>
      </c>
      <c r="C78" s="12" t="s">
        <v>1675</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1676</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1677</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2228</v>
      </c>
    </row>
    <row r="81">
      <c r="B81" s="24" t="s">
        <v>283</v>
      </c>
      <c r="C81" s="12" t="s">
        <v>1678</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2156</v>
      </c>
      <c r="W81" s="11" t="s">
        <v>1373</v>
      </c>
      <c r="X81" s="11" t="s">
        <v>992</v>
      </c>
      <c r="Y81" s="11" t="s">
        <v>992</v>
      </c>
      <c r="Z81" s="11" t="s">
        <v>992</v>
      </c>
      <c r="AA81" s="11" t="s">
        <v>992</v>
      </c>
      <c r="AB81" s="11" t="s">
        <v>992</v>
      </c>
      <c r="AC81" s="11" t="s">
        <v>992</v>
      </c>
      <c r="AD81" s="11" t="s">
        <v>965</v>
      </c>
      <c r="AE81" s="11" t="s">
        <v>993</v>
      </c>
    </row>
    <row r="82">
      <c r="B82" s="24" t="s">
        <v>283</v>
      </c>
      <c r="C82" s="12" t="s">
        <v>1679</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1680</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1681</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1682</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2228</v>
      </c>
    </row>
    <row r="86">
      <c r="B86" s="24" t="s">
        <v>416</v>
      </c>
      <c r="C86" s="12" t="s">
        <v>1683</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2228</v>
      </c>
    </row>
    <row r="87">
      <c r="B87" s="24" t="s">
        <v>308</v>
      </c>
      <c r="C87" s="12" t="s">
        <v>1684</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2157</v>
      </c>
      <c r="W87" s="11" t="s">
        <v>1373</v>
      </c>
      <c r="X87" s="11" t="s">
        <v>992</v>
      </c>
      <c r="Y87" s="11" t="s">
        <v>992</v>
      </c>
      <c r="Z87" s="11" t="s">
        <v>992</v>
      </c>
      <c r="AA87" s="11" t="s">
        <v>992</v>
      </c>
      <c r="AB87" s="11" t="s">
        <v>992</v>
      </c>
      <c r="AC87" s="11" t="s">
        <v>992</v>
      </c>
      <c r="AD87" s="11" t="s">
        <v>966</v>
      </c>
      <c r="AE87" s="11" t="s">
        <v>993</v>
      </c>
    </row>
    <row r="88">
      <c r="B88" s="24" t="s">
        <v>308</v>
      </c>
      <c r="C88" s="12" t="s">
        <v>1685</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1686</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1687</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2157</v>
      </c>
      <c r="W90" s="11" t="s">
        <v>992</v>
      </c>
      <c r="X90" s="11" t="s">
        <v>992</v>
      </c>
      <c r="Y90" s="11" t="s">
        <v>992</v>
      </c>
      <c r="Z90" s="11" t="s">
        <v>992</v>
      </c>
      <c r="AA90" s="11" t="s">
        <v>992</v>
      </c>
      <c r="AB90" s="11" t="s">
        <v>992</v>
      </c>
      <c r="AC90" s="11" t="s">
        <v>992</v>
      </c>
      <c r="AD90" s="11" t="s">
        <v>966</v>
      </c>
      <c r="AE90" s="11" t="s">
        <v>993</v>
      </c>
    </row>
    <row r="91">
      <c r="B91" s="24" t="s">
        <v>311</v>
      </c>
      <c r="C91" s="12" t="s">
        <v>1688</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2157</v>
      </c>
      <c r="W91" s="11" t="s">
        <v>992</v>
      </c>
      <c r="X91" s="11" t="s">
        <v>992</v>
      </c>
      <c r="Y91" s="11" t="s">
        <v>992</v>
      </c>
      <c r="Z91" s="11" t="s">
        <v>992</v>
      </c>
      <c r="AA91" s="11" t="s">
        <v>992</v>
      </c>
      <c r="AB91" s="11" t="s">
        <v>992</v>
      </c>
      <c r="AC91" s="11" t="s">
        <v>992</v>
      </c>
      <c r="AD91" s="11" t="s">
        <v>966</v>
      </c>
      <c r="AE91" s="11" t="s">
        <v>993</v>
      </c>
    </row>
    <row r="92">
      <c r="B92" s="24" t="s">
        <v>314</v>
      </c>
      <c r="C92" s="12" t="s">
        <v>1689</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2228</v>
      </c>
    </row>
    <row r="93">
      <c r="B93" s="24" t="s">
        <v>291</v>
      </c>
      <c r="C93" s="12" t="s">
        <v>1690</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2157</v>
      </c>
      <c r="W93" s="11" t="s">
        <v>992</v>
      </c>
      <c r="X93" s="11" t="s">
        <v>992</v>
      </c>
      <c r="Y93" s="11" t="s">
        <v>992</v>
      </c>
      <c r="Z93" s="11" t="s">
        <v>2200</v>
      </c>
      <c r="AA93" s="11" t="s">
        <v>2200</v>
      </c>
      <c r="AB93" s="11" t="s">
        <v>30</v>
      </c>
      <c r="AC93" s="11" t="s">
        <v>1346</v>
      </c>
      <c r="AD93" s="11" t="s">
        <v>985</v>
      </c>
      <c r="AE93" s="11" t="s">
        <v>993</v>
      </c>
    </row>
    <row r="94">
      <c r="B94" s="24" t="s">
        <v>314</v>
      </c>
      <c r="C94" s="12" t="s">
        <v>1691</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2228</v>
      </c>
    </row>
    <row r="95">
      <c r="B95" s="24" t="s">
        <v>49</v>
      </c>
      <c r="C95" s="12" t="s">
        <v>1692</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2228</v>
      </c>
    </row>
    <row r="96">
      <c r="B96" s="24" t="s">
        <v>311</v>
      </c>
      <c r="C96" s="12" t="s">
        <v>1693</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2228</v>
      </c>
    </row>
    <row r="97">
      <c r="B97" s="24" t="s">
        <v>49</v>
      </c>
      <c r="C97" s="12" t="s">
        <v>1694</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2157</v>
      </c>
      <c r="W97" s="11" t="s">
        <v>992</v>
      </c>
      <c r="X97" s="11" t="s">
        <v>992</v>
      </c>
      <c r="Y97" s="11" t="s">
        <v>992</v>
      </c>
      <c r="Z97" s="11" t="s">
        <v>992</v>
      </c>
      <c r="AA97" s="11" t="s">
        <v>992</v>
      </c>
      <c r="AB97" s="11" t="s">
        <v>992</v>
      </c>
      <c r="AC97" s="11" t="s">
        <v>992</v>
      </c>
      <c r="AD97" s="11" t="s">
        <v>967</v>
      </c>
      <c r="AE97" s="11" t="s">
        <v>993</v>
      </c>
    </row>
    <row r="98">
      <c r="B98" s="24" t="s">
        <v>311</v>
      </c>
      <c r="C98" s="12" t="s">
        <v>1695</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2157</v>
      </c>
      <c r="W98" s="11" t="s">
        <v>992</v>
      </c>
      <c r="X98" s="11" t="s">
        <v>992</v>
      </c>
      <c r="Y98" s="11" t="s">
        <v>992</v>
      </c>
      <c r="Z98" s="11" t="s">
        <v>992</v>
      </c>
      <c r="AA98" s="11" t="s">
        <v>992</v>
      </c>
      <c r="AB98" s="11" t="s">
        <v>992</v>
      </c>
      <c r="AC98" s="11" t="s">
        <v>992</v>
      </c>
      <c r="AD98" s="11" t="s">
        <v>968</v>
      </c>
      <c r="AE98" s="11" t="s">
        <v>993</v>
      </c>
    </row>
    <row r="99">
      <c r="B99" s="24" t="s">
        <v>283</v>
      </c>
      <c r="C99" s="12" t="s">
        <v>1696</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2228</v>
      </c>
    </row>
    <row r="100">
      <c r="B100" s="24" t="s">
        <v>49</v>
      </c>
      <c r="C100" s="12" t="s">
        <v>1697</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2157</v>
      </c>
      <c r="W100" s="11" t="s">
        <v>992</v>
      </c>
      <c r="X100" s="11" t="s">
        <v>992</v>
      </c>
      <c r="Y100" s="11" t="s">
        <v>992</v>
      </c>
      <c r="Z100" s="11" t="s">
        <v>992</v>
      </c>
      <c r="AA100" s="11" t="s">
        <v>992</v>
      </c>
      <c r="AB100" s="11" t="s">
        <v>992</v>
      </c>
      <c r="AC100" s="11" t="s">
        <v>992</v>
      </c>
      <c r="AD100" s="11" t="s">
        <v>968</v>
      </c>
      <c r="AE100" s="11" t="s">
        <v>993</v>
      </c>
    </row>
    <row r="101">
      <c r="B101" s="24" t="s">
        <v>416</v>
      </c>
      <c r="C101" s="12" t="s">
        <v>1698</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2151</v>
      </c>
      <c r="W101" s="11" t="s">
        <v>992</v>
      </c>
      <c r="X101" s="11" t="s">
        <v>992</v>
      </c>
      <c r="Y101" s="11" t="s">
        <v>992</v>
      </c>
      <c r="Z101" s="11" t="s">
        <v>992</v>
      </c>
      <c r="AA101" s="11" t="s">
        <v>992</v>
      </c>
      <c r="AB101" s="11" t="s">
        <v>992</v>
      </c>
      <c r="AC101" s="11" t="s">
        <v>992</v>
      </c>
      <c r="AD101" s="11" t="s">
        <v>986</v>
      </c>
      <c r="AE101" s="11" t="s">
        <v>2228</v>
      </c>
    </row>
    <row r="102">
      <c r="B102" s="24" t="s">
        <v>295</v>
      </c>
      <c r="C102" s="12" t="s">
        <v>1699</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2157</v>
      </c>
      <c r="W102" s="11" t="s">
        <v>992</v>
      </c>
      <c r="X102" s="11" t="s">
        <v>992</v>
      </c>
      <c r="Y102" s="11" t="s">
        <v>992</v>
      </c>
      <c r="Z102" s="11" t="s">
        <v>992</v>
      </c>
      <c r="AA102" s="11" t="s">
        <v>992</v>
      </c>
      <c r="AB102" s="11" t="s">
        <v>992</v>
      </c>
      <c r="AC102" s="11" t="s">
        <v>992</v>
      </c>
      <c r="AD102" s="11" t="s">
        <v>969</v>
      </c>
      <c r="AE102" s="11" t="s">
        <v>993</v>
      </c>
    </row>
    <row r="103">
      <c r="B103" s="24" t="s">
        <v>295</v>
      </c>
      <c r="C103" s="12" t="s">
        <v>1700</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2228</v>
      </c>
    </row>
    <row r="104">
      <c r="B104" s="24" t="s">
        <v>295</v>
      </c>
      <c r="C104" s="12" t="s">
        <v>1701</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2228</v>
      </c>
    </row>
    <row r="105">
      <c r="B105" s="24" t="s">
        <v>278</v>
      </c>
      <c r="C105" s="12" t="s">
        <v>1702</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29</v>
      </c>
      <c r="V105" s="11" t="s">
        <v>2157</v>
      </c>
      <c r="W105" s="11" t="s">
        <v>992</v>
      </c>
      <c r="X105" s="11" t="s">
        <v>992</v>
      </c>
      <c r="Y105" s="11" t="s">
        <v>992</v>
      </c>
      <c r="Z105" s="11" t="s">
        <v>992</v>
      </c>
      <c r="AA105" s="11" t="s">
        <v>992</v>
      </c>
      <c r="AB105" s="11" t="s">
        <v>992</v>
      </c>
      <c r="AC105" s="11" t="s">
        <v>992</v>
      </c>
      <c r="AD105" s="11" t="s">
        <v>970</v>
      </c>
      <c r="AE105" s="11" t="s">
        <v>993</v>
      </c>
    </row>
    <row r="106">
      <c r="B106" s="24" t="s">
        <v>278</v>
      </c>
      <c r="C106" s="12" t="s">
        <v>1703</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2228</v>
      </c>
    </row>
    <row r="107">
      <c r="B107" s="24" t="s">
        <v>278</v>
      </c>
      <c r="C107" s="12" t="s">
        <v>1704</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2228</v>
      </c>
    </row>
    <row r="108">
      <c r="B108" s="24" t="s">
        <v>283</v>
      </c>
      <c r="C108" s="12" t="s">
        <v>1705</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2157</v>
      </c>
      <c r="W108" s="11" t="s">
        <v>992</v>
      </c>
      <c r="X108" s="11" t="s">
        <v>992</v>
      </c>
      <c r="Y108" s="11" t="s">
        <v>992</v>
      </c>
      <c r="Z108" s="11" t="s">
        <v>992</v>
      </c>
      <c r="AA108" s="11" t="s">
        <v>992</v>
      </c>
      <c r="AB108" s="11" t="s">
        <v>992</v>
      </c>
      <c r="AC108" s="11" t="s">
        <v>992</v>
      </c>
      <c r="AD108" s="11" t="s">
        <v>969</v>
      </c>
      <c r="AE108" s="11" t="s">
        <v>993</v>
      </c>
    </row>
    <row r="109">
      <c r="B109" s="24" t="s">
        <v>283</v>
      </c>
      <c r="C109" s="12" t="s">
        <v>1706</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2151</v>
      </c>
      <c r="W109" s="11" t="s">
        <v>2157</v>
      </c>
      <c r="X109" s="11" t="s">
        <v>992</v>
      </c>
      <c r="Y109" s="11" t="s">
        <v>992</v>
      </c>
      <c r="Z109" s="11" t="s">
        <v>992</v>
      </c>
      <c r="AA109" s="11" t="s">
        <v>992</v>
      </c>
      <c r="AB109" s="11" t="s">
        <v>992</v>
      </c>
      <c r="AC109" s="11" t="s">
        <v>992</v>
      </c>
      <c r="AD109" s="11" t="s">
        <v>1250</v>
      </c>
      <c r="AE109" s="11" t="s">
        <v>993</v>
      </c>
    </row>
    <row r="110">
      <c r="B110" s="24" t="s">
        <v>283</v>
      </c>
      <c r="C110" s="12" t="s">
        <v>1707</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2228</v>
      </c>
    </row>
    <row r="111">
      <c r="B111" s="24" t="s">
        <v>416</v>
      </c>
      <c r="C111" s="12" t="s">
        <v>1708</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2228</v>
      </c>
    </row>
    <row r="112">
      <c r="B112" s="24" t="s">
        <v>416</v>
      </c>
      <c r="C112" s="12" t="s">
        <v>1709</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2228</v>
      </c>
    </row>
    <row r="113">
      <c r="B113" s="24" t="s">
        <v>416</v>
      </c>
      <c r="C113" s="12" t="s">
        <v>1710</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1711</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2228</v>
      </c>
    </row>
    <row r="115">
      <c r="B115" s="24" t="s">
        <v>49</v>
      </c>
      <c r="C115" s="12" t="s">
        <v>1712</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2228</v>
      </c>
    </row>
    <row r="116">
      <c r="B116" s="24" t="s">
        <v>311</v>
      </c>
      <c r="C116" s="12" t="s">
        <v>1713</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2228</v>
      </c>
    </row>
    <row r="117">
      <c r="B117" s="24" t="s">
        <v>49</v>
      </c>
      <c r="C117" s="12" t="s">
        <v>1714</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2228</v>
      </c>
    </row>
    <row r="118">
      <c r="B118" s="24" t="s">
        <v>49</v>
      </c>
      <c r="C118" s="12" t="s">
        <v>1715</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2228</v>
      </c>
    </row>
    <row r="119">
      <c r="B119" s="24" t="s">
        <v>49</v>
      </c>
      <c r="C119" s="12" t="s">
        <v>1716</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2228</v>
      </c>
    </row>
    <row r="120">
      <c r="B120" s="24" t="s">
        <v>416</v>
      </c>
      <c r="C120" s="12" t="s">
        <v>1717</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2228</v>
      </c>
    </row>
    <row r="121">
      <c r="B121" s="24" t="s">
        <v>49</v>
      </c>
      <c r="C121" s="12" t="s">
        <v>1718</v>
      </c>
      <c r="D121" s="11" t="s">
        <v>547</v>
      </c>
      <c r="E121" s="11" t="s">
        <v>93</v>
      </c>
      <c r="F121" s="12" t="s">
        <v>377</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2189</v>
      </c>
      <c r="AA121" s="11" t="s">
        <v>2189</v>
      </c>
      <c r="AB121" s="11" t="s">
        <v>30</v>
      </c>
      <c r="AC121" s="11" t="s">
        <v>1340</v>
      </c>
      <c r="AD121" s="11" t="s">
        <v>992</v>
      </c>
      <c r="AE121" s="11" t="s">
        <v>993</v>
      </c>
    </row>
    <row r="122">
      <c r="B122" s="24" t="s">
        <v>314</v>
      </c>
      <c r="C122" s="12" t="s">
        <v>1719</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2228</v>
      </c>
    </row>
    <row r="123">
      <c r="B123" s="24" t="s">
        <v>49</v>
      </c>
      <c r="C123" s="12" t="s">
        <v>1720</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2228</v>
      </c>
    </row>
    <row r="124">
      <c r="B124" s="24" t="s">
        <v>49</v>
      </c>
      <c r="C124" s="12" t="s">
        <v>1721</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2228</v>
      </c>
    </row>
    <row r="125">
      <c r="B125" s="24" t="s">
        <v>49</v>
      </c>
      <c r="C125" s="12" t="s">
        <v>1722</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2228</v>
      </c>
    </row>
    <row r="126">
      <c r="B126" s="24" t="s">
        <v>416</v>
      </c>
      <c r="C126" s="12" t="s">
        <v>1723</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2228</v>
      </c>
    </row>
    <row r="127">
      <c r="B127" s="24" t="s">
        <v>49</v>
      </c>
      <c r="C127" s="12" t="s">
        <v>1724</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2228</v>
      </c>
    </row>
    <row r="128">
      <c r="B128" s="24" t="s">
        <v>49</v>
      </c>
      <c r="C128" s="12" t="s">
        <v>1725</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2228</v>
      </c>
    </row>
    <row r="129">
      <c r="B129" s="24" t="s">
        <v>49</v>
      </c>
      <c r="C129" s="12" t="s">
        <v>1726</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2228</v>
      </c>
    </row>
    <row r="130">
      <c r="B130" s="24" t="s">
        <v>49</v>
      </c>
      <c r="C130" s="12" t="s">
        <v>1727</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2228</v>
      </c>
    </row>
    <row r="131">
      <c r="B131" s="24" t="s">
        <v>283</v>
      </c>
      <c r="C131" s="12" t="s">
        <v>1728</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2228</v>
      </c>
    </row>
    <row r="132">
      <c r="B132" s="24" t="s">
        <v>49</v>
      </c>
      <c r="C132" s="12" t="s">
        <v>1729</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2228</v>
      </c>
    </row>
    <row r="133">
      <c r="B133" s="24" t="s">
        <v>295</v>
      </c>
      <c r="C133" s="12" t="s">
        <v>1730</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2228</v>
      </c>
    </row>
    <row r="134">
      <c r="B134" s="24" t="s">
        <v>49</v>
      </c>
      <c r="C134" s="12" t="s">
        <v>1731</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2228</v>
      </c>
    </row>
    <row r="135">
      <c r="B135" s="24" t="s">
        <v>49</v>
      </c>
      <c r="C135" s="12" t="s">
        <v>1732</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2228</v>
      </c>
    </row>
    <row r="136">
      <c r="B136" s="24" t="s">
        <v>49</v>
      </c>
      <c r="C136" s="12" t="s">
        <v>1733</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2228</v>
      </c>
    </row>
    <row r="137">
      <c r="B137" s="24" t="s">
        <v>49</v>
      </c>
      <c r="C137" s="12" t="s">
        <v>1734</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2228</v>
      </c>
    </row>
    <row r="138">
      <c r="B138" s="24" t="s">
        <v>49</v>
      </c>
      <c r="C138" s="12" t="s">
        <v>1735</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2228</v>
      </c>
    </row>
    <row r="139">
      <c r="B139" s="24" t="s">
        <v>49</v>
      </c>
      <c r="C139" s="12" t="s">
        <v>1736</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2228</v>
      </c>
    </row>
    <row r="140">
      <c r="B140" s="24" t="s">
        <v>314</v>
      </c>
      <c r="C140" s="12" t="s">
        <v>1737</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2228</v>
      </c>
    </row>
    <row r="141">
      <c r="B141" s="24" t="s">
        <v>278</v>
      </c>
      <c r="C141" s="12" t="s">
        <v>1738</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2228</v>
      </c>
    </row>
    <row r="142">
      <c r="B142" s="24" t="s">
        <v>49</v>
      </c>
      <c r="C142" s="12" t="s">
        <v>1739</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2228</v>
      </c>
    </row>
    <row r="143">
      <c r="B143" s="24" t="s">
        <v>49</v>
      </c>
      <c r="C143" s="12" t="s">
        <v>1740</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2228</v>
      </c>
    </row>
    <row r="144">
      <c r="B144" s="24" t="s">
        <v>283</v>
      </c>
      <c r="C144" s="12" t="s">
        <v>1741</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2228</v>
      </c>
    </row>
    <row r="145">
      <c r="B145" s="24" t="s">
        <v>49</v>
      </c>
      <c r="C145" s="12" t="s">
        <v>1742</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2157</v>
      </c>
      <c r="W145" s="11" t="s">
        <v>1373</v>
      </c>
      <c r="X145" s="11" t="s">
        <v>2176</v>
      </c>
      <c r="Y145" s="11" t="s">
        <v>992</v>
      </c>
      <c r="Z145" s="11" t="s">
        <v>992</v>
      </c>
      <c r="AA145" s="11" t="s">
        <v>992</v>
      </c>
      <c r="AB145" s="11" t="s">
        <v>992</v>
      </c>
      <c r="AC145" s="11" t="s">
        <v>992</v>
      </c>
      <c r="AD145" s="11" t="s">
        <v>1252</v>
      </c>
      <c r="AE145" s="11" t="s">
        <v>993</v>
      </c>
    </row>
    <row r="146">
      <c r="B146" s="24" t="s">
        <v>49</v>
      </c>
      <c r="C146" s="12" t="s">
        <v>1743</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2228</v>
      </c>
    </row>
    <row r="147">
      <c r="B147" s="24" t="s">
        <v>308</v>
      </c>
      <c r="C147" s="12" t="s">
        <v>1744</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2228</v>
      </c>
    </row>
    <row r="148">
      <c r="B148" s="24" t="s">
        <v>49</v>
      </c>
      <c r="C148" s="12" t="s">
        <v>1745</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2158</v>
      </c>
      <c r="W148" s="11" t="s">
        <v>2157</v>
      </c>
      <c r="X148" s="11" t="s">
        <v>2176</v>
      </c>
      <c r="Y148" s="11" t="s">
        <v>992</v>
      </c>
      <c r="Z148" s="11" t="s">
        <v>992</v>
      </c>
      <c r="AA148" s="11" t="s">
        <v>992</v>
      </c>
      <c r="AB148" s="11" t="s">
        <v>992</v>
      </c>
      <c r="AC148" s="11" t="s">
        <v>992</v>
      </c>
      <c r="AD148" s="11" t="s">
        <v>1253</v>
      </c>
      <c r="AE148" s="11" t="s">
        <v>993</v>
      </c>
    </row>
    <row r="149">
      <c r="B149" s="24" t="s">
        <v>49</v>
      </c>
      <c r="C149" s="12" t="s">
        <v>1746</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2176</v>
      </c>
      <c r="X149" s="11" t="s">
        <v>992</v>
      </c>
      <c r="Y149" s="11" t="s">
        <v>992</v>
      </c>
      <c r="Z149" s="11" t="s">
        <v>992</v>
      </c>
      <c r="AA149" s="11" t="s">
        <v>992</v>
      </c>
      <c r="AB149" s="11" t="s">
        <v>992</v>
      </c>
      <c r="AC149" s="11" t="s">
        <v>992</v>
      </c>
      <c r="AD149" s="11" t="s">
        <v>1254</v>
      </c>
      <c r="AE149" s="11" t="s">
        <v>993</v>
      </c>
    </row>
    <row r="150">
      <c r="B150" s="24" t="s">
        <v>49</v>
      </c>
      <c r="C150" s="12" t="s">
        <v>1747</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2176</v>
      </c>
      <c r="X150" s="11" t="s">
        <v>992</v>
      </c>
      <c r="Y150" s="11" t="s">
        <v>992</v>
      </c>
      <c r="Z150" s="11" t="s">
        <v>992</v>
      </c>
      <c r="AA150" s="11" t="s">
        <v>992</v>
      </c>
      <c r="AB150" s="11" t="s">
        <v>992</v>
      </c>
      <c r="AC150" s="11" t="s">
        <v>992</v>
      </c>
      <c r="AD150" s="11" t="s">
        <v>1255</v>
      </c>
      <c r="AE150" s="11" t="s">
        <v>993</v>
      </c>
    </row>
    <row r="151">
      <c r="B151" s="24" t="s">
        <v>49</v>
      </c>
      <c r="C151" s="12" t="s">
        <v>1748</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1749</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1750</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1751</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1752</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29</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1753</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1754</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1755</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1756</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1757</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1758</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1759</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1760</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1761</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1762</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1763</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1764</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29</v>
      </c>
      <c r="V167" s="11" t="s">
        <v>1373</v>
      </c>
      <c r="W167" s="11" t="s">
        <v>2177</v>
      </c>
      <c r="X167" s="11" t="s">
        <v>992</v>
      </c>
      <c r="Y167" s="11" t="s">
        <v>992</v>
      </c>
      <c r="Z167" s="11" t="s">
        <v>992</v>
      </c>
      <c r="AA167" s="11" t="s">
        <v>992</v>
      </c>
      <c r="AB167" s="11" t="s">
        <v>992</v>
      </c>
      <c r="AC167" s="11" t="s">
        <v>992</v>
      </c>
      <c r="AD167" s="11" t="s">
        <v>992</v>
      </c>
      <c r="AE167" s="11" t="s">
        <v>993</v>
      </c>
    </row>
    <row r="168">
      <c r="B168" s="24" t="s">
        <v>295</v>
      </c>
      <c r="C168" s="12" t="s">
        <v>1765</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1766</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2228</v>
      </c>
    </row>
    <row r="170">
      <c r="B170" s="24" t="s">
        <v>295</v>
      </c>
      <c r="C170" s="12" t="s">
        <v>1767</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2228</v>
      </c>
    </row>
    <row r="171">
      <c r="B171" s="24" t="s">
        <v>416</v>
      </c>
      <c r="C171" s="12" t="s">
        <v>1768</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2228</v>
      </c>
    </row>
    <row r="172">
      <c r="B172" s="24" t="s">
        <v>416</v>
      </c>
      <c r="C172" s="12" t="s">
        <v>1769</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2228</v>
      </c>
    </row>
    <row r="173">
      <c r="B173" s="24" t="s">
        <v>291</v>
      </c>
      <c r="C173" s="12" t="s">
        <v>1770</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2228</v>
      </c>
    </row>
    <row r="174">
      <c r="B174" s="24" t="s">
        <v>278</v>
      </c>
      <c r="C174" s="12" t="s">
        <v>1771</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2228</v>
      </c>
    </row>
    <row r="175">
      <c r="B175" s="24" t="s">
        <v>311</v>
      </c>
      <c r="C175" s="12" t="s">
        <v>1772</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2228</v>
      </c>
    </row>
    <row r="176">
      <c r="B176" s="24" t="s">
        <v>283</v>
      </c>
      <c r="C176" s="12" t="s">
        <v>1773</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2228</v>
      </c>
    </row>
    <row r="177">
      <c r="B177" s="24" t="s">
        <v>49</v>
      </c>
      <c r="C177" s="12" t="s">
        <v>1774</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2228</v>
      </c>
    </row>
    <row r="178">
      <c r="B178" s="24" t="s">
        <v>49</v>
      </c>
      <c r="C178" s="12" t="s">
        <v>1775</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2228</v>
      </c>
    </row>
    <row r="179">
      <c r="B179" s="24" t="s">
        <v>314</v>
      </c>
      <c r="C179" s="12" t="s">
        <v>1776</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2228</v>
      </c>
    </row>
    <row r="180">
      <c r="B180" s="24" t="s">
        <v>49</v>
      </c>
      <c r="C180" s="12" t="s">
        <v>1777</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2194</v>
      </c>
      <c r="AA180" s="11" t="s">
        <v>2194</v>
      </c>
      <c r="AB180" s="11" t="s">
        <v>30</v>
      </c>
      <c r="AC180" s="11" t="s">
        <v>1340</v>
      </c>
      <c r="AD180" s="11" t="s">
        <v>992</v>
      </c>
      <c r="AE180" s="11" t="s">
        <v>993</v>
      </c>
    </row>
    <row r="181">
      <c r="B181" s="24" t="s">
        <v>283</v>
      </c>
      <c r="C181" s="12" t="s">
        <v>1778</v>
      </c>
      <c r="D181" s="11" t="s">
        <v>662</v>
      </c>
      <c r="E181" s="11" t="s">
        <v>661</v>
      </c>
      <c r="F181" s="12" t="s">
        <v>283</v>
      </c>
      <c r="G181" s="12" t="s">
        <v>246</v>
      </c>
      <c r="H181" s="12" t="s">
        <v>246</v>
      </c>
      <c r="I181" s="12" t="s">
        <v>60</v>
      </c>
      <c r="J181" s="12" t="s">
        <v>1024</v>
      </c>
      <c r="K181" s="12" t="s">
        <v>1570</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2228</v>
      </c>
    </row>
    <row r="182">
      <c r="B182" s="24" t="s">
        <v>283</v>
      </c>
      <c r="C182" s="12" t="s">
        <v>1779</v>
      </c>
      <c r="D182" s="11" t="s">
        <v>664</v>
      </c>
      <c r="E182" s="11" t="s">
        <v>661</v>
      </c>
      <c r="F182" s="12" t="s">
        <v>283</v>
      </c>
      <c r="G182" s="12" t="s">
        <v>246</v>
      </c>
      <c r="H182" s="12" t="s">
        <v>246</v>
      </c>
      <c r="I182" s="12" t="s">
        <v>60</v>
      </c>
      <c r="J182" s="12" t="s">
        <v>1024</v>
      </c>
      <c r="K182" s="12" t="s">
        <v>1570</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2228</v>
      </c>
    </row>
    <row r="183">
      <c r="B183" s="24" t="s">
        <v>278</v>
      </c>
      <c r="C183" s="12" t="s">
        <v>1780</v>
      </c>
      <c r="D183" s="11" t="s">
        <v>667</v>
      </c>
      <c r="E183" s="11" t="s">
        <v>661</v>
      </c>
      <c r="F183" s="12" t="s">
        <v>278</v>
      </c>
      <c r="G183" s="12" t="s">
        <v>246</v>
      </c>
      <c r="H183" s="12" t="s">
        <v>246</v>
      </c>
      <c r="I183" s="12" t="s">
        <v>60</v>
      </c>
      <c r="J183" s="12" t="s">
        <v>1024</v>
      </c>
      <c r="K183" s="12" t="s">
        <v>1570</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2228</v>
      </c>
    </row>
    <row r="184">
      <c r="B184" s="24" t="s">
        <v>278</v>
      </c>
      <c r="C184" s="12" t="s">
        <v>1781</v>
      </c>
      <c r="D184" s="11" t="s">
        <v>669</v>
      </c>
      <c r="E184" s="11" t="s">
        <v>661</v>
      </c>
      <c r="F184" s="12" t="s">
        <v>278</v>
      </c>
      <c r="G184" s="12" t="s">
        <v>246</v>
      </c>
      <c r="H184" s="12" t="s">
        <v>246</v>
      </c>
      <c r="I184" s="12" t="s">
        <v>60</v>
      </c>
      <c r="J184" s="12" t="s">
        <v>1024</v>
      </c>
      <c r="K184" s="12" t="s">
        <v>1570</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2228</v>
      </c>
    </row>
    <row r="185">
      <c r="B185" s="24" t="s">
        <v>308</v>
      </c>
      <c r="C185" s="12" t="s">
        <v>1782</v>
      </c>
      <c r="D185" s="11" t="s">
        <v>673</v>
      </c>
      <c r="E185" s="11" t="s">
        <v>661</v>
      </c>
      <c r="F185" s="12" t="s">
        <v>308</v>
      </c>
      <c r="G185" s="12" t="s">
        <v>246</v>
      </c>
      <c r="H185" s="12" t="s">
        <v>246</v>
      </c>
      <c r="I185" s="12" t="s">
        <v>60</v>
      </c>
      <c r="J185" s="12" t="s">
        <v>1024</v>
      </c>
      <c r="K185" s="12" t="s">
        <v>1570</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2228</v>
      </c>
    </row>
    <row r="186">
      <c r="B186" s="24" t="s">
        <v>308</v>
      </c>
      <c r="C186" s="12" t="s">
        <v>1783</v>
      </c>
      <c r="D186" s="11" t="s">
        <v>675</v>
      </c>
      <c r="E186" s="11" t="s">
        <v>661</v>
      </c>
      <c r="F186" s="12" t="s">
        <v>308</v>
      </c>
      <c r="G186" s="12" t="s">
        <v>246</v>
      </c>
      <c r="H186" s="12" t="s">
        <v>246</v>
      </c>
      <c r="I186" s="12" t="s">
        <v>60</v>
      </c>
      <c r="J186" s="12" t="s">
        <v>1024</v>
      </c>
      <c r="K186" s="12" t="s">
        <v>1570</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2228</v>
      </c>
    </row>
    <row r="187">
      <c r="B187" s="24" t="s">
        <v>308</v>
      </c>
      <c r="C187" s="12" t="s">
        <v>1784</v>
      </c>
      <c r="D187" s="11" t="s">
        <v>62</v>
      </c>
      <c r="E187" s="11" t="s">
        <v>661</v>
      </c>
      <c r="F187" s="12" t="s">
        <v>308</v>
      </c>
      <c r="G187" s="12" t="s">
        <v>246</v>
      </c>
      <c r="H187" s="12" t="s">
        <v>126</v>
      </c>
      <c r="I187" s="12" t="s">
        <v>60</v>
      </c>
      <c r="J187" s="12" t="s">
        <v>1024</v>
      </c>
      <c r="K187" s="12" t="s">
        <v>1570</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2228</v>
      </c>
    </row>
    <row r="188">
      <c r="B188" s="24" t="s">
        <v>311</v>
      </c>
      <c r="C188" s="12" t="s">
        <v>1785</v>
      </c>
      <c r="D188" s="11" t="s">
        <v>682</v>
      </c>
      <c r="E188" s="11" t="s">
        <v>661</v>
      </c>
      <c r="F188" s="12" t="s">
        <v>311</v>
      </c>
      <c r="G188" s="12" t="s">
        <v>246</v>
      </c>
      <c r="H188" s="12" t="s">
        <v>246</v>
      </c>
      <c r="I188" s="12" t="s">
        <v>60</v>
      </c>
      <c r="J188" s="12" t="s">
        <v>1024</v>
      </c>
      <c r="K188" s="12" t="s">
        <v>1570</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2228</v>
      </c>
    </row>
    <row r="189">
      <c r="B189" s="24" t="s">
        <v>311</v>
      </c>
      <c r="C189" s="12" t="s">
        <v>1786</v>
      </c>
      <c r="D189" s="11" t="s">
        <v>684</v>
      </c>
      <c r="E189" s="11" t="s">
        <v>661</v>
      </c>
      <c r="F189" s="12" t="s">
        <v>311</v>
      </c>
      <c r="G189" s="12" t="s">
        <v>246</v>
      </c>
      <c r="H189" s="12" t="s">
        <v>246</v>
      </c>
      <c r="I189" s="12" t="s">
        <v>60</v>
      </c>
      <c r="J189" s="12" t="s">
        <v>1024</v>
      </c>
      <c r="K189" s="12" t="s">
        <v>1570</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2228</v>
      </c>
    </row>
    <row r="190">
      <c r="B190" s="24" t="s">
        <v>311</v>
      </c>
      <c r="C190" s="12" t="s">
        <v>1787</v>
      </c>
      <c r="D190" s="11" t="s">
        <v>63</v>
      </c>
      <c r="E190" s="11" t="s">
        <v>661</v>
      </c>
      <c r="F190" s="12" t="s">
        <v>311</v>
      </c>
      <c r="G190" s="12" t="s">
        <v>246</v>
      </c>
      <c r="H190" s="12" t="s">
        <v>126</v>
      </c>
      <c r="I190" s="12" t="s">
        <v>430</v>
      </c>
      <c r="J190" s="12" t="s">
        <v>1024</v>
      </c>
      <c r="K190" s="12" t="s">
        <v>1570</v>
      </c>
      <c r="L190" s="12" t="s">
        <v>247</v>
      </c>
      <c r="M190" s="12" t="s">
        <v>992</v>
      </c>
      <c r="N190" s="13" t="s">
        <v>686</v>
      </c>
      <c r="O190" s="11" t="s">
        <v>118</v>
      </c>
      <c r="P190" s="11" t="s">
        <v>249</v>
      </c>
      <c r="Q190" s="11" t="s">
        <v>125</v>
      </c>
      <c r="R190" s="11" t="s">
        <v>150</v>
      </c>
      <c r="S190" s="11" t="s">
        <v>125</v>
      </c>
      <c r="T190" s="11" t="s">
        <v>125</v>
      </c>
      <c r="U190" s="11" t="s">
        <v>38</v>
      </c>
      <c r="V190" s="11" t="s">
        <v>1373</v>
      </c>
      <c r="W190" s="11" t="s">
        <v>2176</v>
      </c>
      <c r="X190" s="11" t="s">
        <v>992</v>
      </c>
      <c r="Y190" s="11" t="s">
        <v>992</v>
      </c>
      <c r="Z190" s="11" t="s">
        <v>992</v>
      </c>
      <c r="AA190" s="11" t="s">
        <v>992</v>
      </c>
      <c r="AB190" s="11" t="s">
        <v>992</v>
      </c>
      <c r="AC190" s="11" t="s">
        <v>992</v>
      </c>
      <c r="AD190" s="11" t="s">
        <v>1257</v>
      </c>
      <c r="AE190" s="11" t="s">
        <v>993</v>
      </c>
    </row>
    <row r="191">
      <c r="B191" s="24" t="s">
        <v>49</v>
      </c>
      <c r="C191" s="12" t="s">
        <v>1788</v>
      </c>
      <c r="D191" s="11" t="s">
        <v>687</v>
      </c>
      <c r="E191" s="11" t="s">
        <v>661</v>
      </c>
      <c r="F191" s="12" t="s">
        <v>377</v>
      </c>
      <c r="G191" s="12" t="s">
        <v>246</v>
      </c>
      <c r="H191" s="12" t="s">
        <v>246</v>
      </c>
      <c r="I191" s="12" t="s">
        <v>430</v>
      </c>
      <c r="J191" s="12" t="s">
        <v>1024</v>
      </c>
      <c r="K191" s="12" t="s">
        <v>1570</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1789</v>
      </c>
      <c r="D192" s="11" t="s">
        <v>689</v>
      </c>
      <c r="E192" s="11" t="s">
        <v>661</v>
      </c>
      <c r="F192" s="12" t="s">
        <v>416</v>
      </c>
      <c r="G192" s="12" t="s">
        <v>246</v>
      </c>
      <c r="H192" s="12" t="s">
        <v>246</v>
      </c>
      <c r="I192" s="12" t="s">
        <v>430</v>
      </c>
      <c r="J192" s="12" t="s">
        <v>1024</v>
      </c>
      <c r="K192" s="12" t="s">
        <v>1570</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1790</v>
      </c>
      <c r="D193" s="11" t="s">
        <v>691</v>
      </c>
      <c r="E193" s="11" t="s">
        <v>661</v>
      </c>
      <c r="F193" s="12" t="s">
        <v>49</v>
      </c>
      <c r="G193" s="12" t="s">
        <v>246</v>
      </c>
      <c r="H193" s="12" t="s">
        <v>246</v>
      </c>
      <c r="I193" s="12" t="s">
        <v>430</v>
      </c>
      <c r="J193" s="12" t="s">
        <v>1024</v>
      </c>
      <c r="K193" s="12" t="s">
        <v>1570</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1791</v>
      </c>
      <c r="D194" s="11" t="s">
        <v>693</v>
      </c>
      <c r="E194" s="11" t="s">
        <v>661</v>
      </c>
      <c r="F194" s="12" t="s">
        <v>694</v>
      </c>
      <c r="G194" s="12" t="s">
        <v>246</v>
      </c>
      <c r="H194" s="12" t="s">
        <v>246</v>
      </c>
      <c r="I194" s="12" t="s">
        <v>430</v>
      </c>
      <c r="J194" s="12" t="s">
        <v>1024</v>
      </c>
      <c r="K194" s="12" t="s">
        <v>1570</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1792</v>
      </c>
      <c r="D195" s="11" t="s">
        <v>696</v>
      </c>
      <c r="E195" s="11" t="s">
        <v>661</v>
      </c>
      <c r="F195" s="12" t="s">
        <v>49</v>
      </c>
      <c r="G195" s="12" t="s">
        <v>246</v>
      </c>
      <c r="H195" s="12" t="s">
        <v>246</v>
      </c>
      <c r="I195" s="12" t="s">
        <v>430</v>
      </c>
      <c r="J195" s="12" t="s">
        <v>1024</v>
      </c>
      <c r="K195" s="12" t="s">
        <v>1570</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1793</v>
      </c>
      <c r="D196" s="11" t="s">
        <v>698</v>
      </c>
      <c r="E196" s="11" t="s">
        <v>661</v>
      </c>
      <c r="F196" s="12" t="s">
        <v>49</v>
      </c>
      <c r="G196" s="12" t="s">
        <v>246</v>
      </c>
      <c r="H196" s="12" t="s">
        <v>246</v>
      </c>
      <c r="I196" s="12" t="s">
        <v>430</v>
      </c>
      <c r="J196" s="12" t="s">
        <v>1024</v>
      </c>
      <c r="K196" s="12" t="s">
        <v>1570</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1794</v>
      </c>
      <c r="D197" s="11" t="s">
        <v>700</v>
      </c>
      <c r="E197" s="11" t="s">
        <v>661</v>
      </c>
      <c r="F197" s="12" t="s">
        <v>49</v>
      </c>
      <c r="G197" s="12" t="s">
        <v>246</v>
      </c>
      <c r="H197" s="12" t="s">
        <v>246</v>
      </c>
      <c r="I197" s="12" t="s">
        <v>430</v>
      </c>
      <c r="J197" s="12" t="s">
        <v>1024</v>
      </c>
      <c r="K197" s="12" t="s">
        <v>1570</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1795</v>
      </c>
      <c r="D198" s="11" t="s">
        <v>702</v>
      </c>
      <c r="E198" s="11" t="s">
        <v>661</v>
      </c>
      <c r="F198" s="12" t="s">
        <v>286</v>
      </c>
      <c r="G198" s="12" t="s">
        <v>246</v>
      </c>
      <c r="H198" s="12" t="s">
        <v>246</v>
      </c>
      <c r="I198" s="12" t="s">
        <v>60</v>
      </c>
      <c r="J198" s="12" t="s">
        <v>1024</v>
      </c>
      <c r="K198" s="12" t="s">
        <v>1570</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2228</v>
      </c>
    </row>
    <row r="199">
      <c r="B199" s="24" t="s">
        <v>49</v>
      </c>
      <c r="C199" s="12" t="s">
        <v>1796</v>
      </c>
      <c r="D199" s="11" t="s">
        <v>706</v>
      </c>
      <c r="E199" s="11" t="s">
        <v>661</v>
      </c>
      <c r="F199" s="12" t="s">
        <v>49</v>
      </c>
      <c r="G199" s="12" t="s">
        <v>246</v>
      </c>
      <c r="H199" s="12" t="s">
        <v>246</v>
      </c>
      <c r="I199" s="12" t="s">
        <v>60</v>
      </c>
      <c r="J199" s="12" t="s">
        <v>1024</v>
      </c>
      <c r="K199" s="12" t="s">
        <v>1570</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2228</v>
      </c>
    </row>
    <row r="200">
      <c r="B200" s="24" t="s">
        <v>278</v>
      </c>
      <c r="C200" s="12" t="s">
        <v>1797</v>
      </c>
      <c r="D200" s="11" t="s">
        <v>708</v>
      </c>
      <c r="E200" s="11" t="s">
        <v>661</v>
      </c>
      <c r="F200" s="12" t="s">
        <v>278</v>
      </c>
      <c r="G200" s="12" t="s">
        <v>246</v>
      </c>
      <c r="H200" s="12" t="s">
        <v>246</v>
      </c>
      <c r="I200" s="12" t="s">
        <v>60</v>
      </c>
      <c r="J200" s="12" t="s">
        <v>1024</v>
      </c>
      <c r="K200" s="12" t="s">
        <v>1570</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2228</v>
      </c>
    </row>
    <row r="201">
      <c r="B201" s="24" t="s">
        <v>49</v>
      </c>
      <c r="C201" s="12" t="s">
        <v>1798</v>
      </c>
      <c r="D201" s="11" t="s">
        <v>710</v>
      </c>
      <c r="E201" s="11" t="s">
        <v>661</v>
      </c>
      <c r="F201" s="12" t="s">
        <v>49</v>
      </c>
      <c r="G201" s="12" t="s">
        <v>246</v>
      </c>
      <c r="H201" s="12" t="s">
        <v>246</v>
      </c>
      <c r="I201" s="12" t="s">
        <v>60</v>
      </c>
      <c r="J201" s="12" t="s">
        <v>1024</v>
      </c>
      <c r="K201" s="12" t="s">
        <v>1570</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2228</v>
      </c>
    </row>
    <row r="202">
      <c r="B202" s="24" t="s">
        <v>283</v>
      </c>
      <c r="C202" s="12" t="s">
        <v>1799</v>
      </c>
      <c r="D202" s="11" t="s">
        <v>712</v>
      </c>
      <c r="E202" s="11" t="s">
        <v>661</v>
      </c>
      <c r="F202" s="12" t="s">
        <v>283</v>
      </c>
      <c r="G202" s="12" t="s">
        <v>246</v>
      </c>
      <c r="H202" s="12" t="s">
        <v>246</v>
      </c>
      <c r="I202" s="12" t="s">
        <v>60</v>
      </c>
      <c r="J202" s="12" t="s">
        <v>1024</v>
      </c>
      <c r="K202" s="12" t="s">
        <v>1570</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2228</v>
      </c>
    </row>
    <row r="203">
      <c r="B203" s="24" t="s">
        <v>49</v>
      </c>
      <c r="C203" s="12" t="s">
        <v>1800</v>
      </c>
      <c r="D203" s="11" t="s">
        <v>714</v>
      </c>
      <c r="E203" s="11" t="s">
        <v>661</v>
      </c>
      <c r="F203" s="12" t="s">
        <v>715</v>
      </c>
      <c r="G203" s="12" t="s">
        <v>246</v>
      </c>
      <c r="H203" s="12" t="s">
        <v>246</v>
      </c>
      <c r="I203" s="12" t="s">
        <v>60</v>
      </c>
      <c r="J203" s="12" t="s">
        <v>1024</v>
      </c>
      <c r="K203" s="12" t="s">
        <v>1570</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2228</v>
      </c>
    </row>
    <row r="204">
      <c r="B204" s="24" t="s">
        <v>291</v>
      </c>
      <c r="C204" s="12" t="s">
        <v>1801</v>
      </c>
      <c r="D204" s="11" t="s">
        <v>717</v>
      </c>
      <c r="E204" s="11" t="s">
        <v>661</v>
      </c>
      <c r="F204" s="12" t="s">
        <v>291</v>
      </c>
      <c r="G204" s="12" t="s">
        <v>246</v>
      </c>
      <c r="H204" s="12" t="s">
        <v>246</v>
      </c>
      <c r="I204" s="12" t="s">
        <v>60</v>
      </c>
      <c r="J204" s="12" t="s">
        <v>1024</v>
      </c>
      <c r="K204" s="12" t="s">
        <v>1570</v>
      </c>
      <c r="L204" s="12" t="s">
        <v>247</v>
      </c>
      <c r="M204" s="12" t="s">
        <v>992</v>
      </c>
      <c r="N204" s="13" t="s">
        <v>2099</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2228</v>
      </c>
    </row>
    <row r="205">
      <c r="B205" s="24" t="s">
        <v>314</v>
      </c>
      <c r="C205" s="12" t="s">
        <v>1802</v>
      </c>
      <c r="D205" s="11" t="s">
        <v>718</v>
      </c>
      <c r="E205" s="11" t="s">
        <v>661</v>
      </c>
      <c r="F205" s="12" t="s">
        <v>314</v>
      </c>
      <c r="G205" s="12" t="s">
        <v>246</v>
      </c>
      <c r="H205" s="12" t="s">
        <v>246</v>
      </c>
      <c r="I205" s="12" t="s">
        <v>60</v>
      </c>
      <c r="J205" s="12" t="s">
        <v>1024</v>
      </c>
      <c r="K205" s="12" t="s">
        <v>1570</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2228</v>
      </c>
    </row>
    <row r="206">
      <c r="B206" s="24" t="s">
        <v>311</v>
      </c>
      <c r="C206" s="12" t="s">
        <v>1803</v>
      </c>
      <c r="D206" s="11" t="s">
        <v>720</v>
      </c>
      <c r="E206" s="11" t="s">
        <v>661</v>
      </c>
      <c r="F206" s="12" t="s">
        <v>311</v>
      </c>
      <c r="G206" s="12" t="s">
        <v>246</v>
      </c>
      <c r="H206" s="12" t="s">
        <v>246</v>
      </c>
      <c r="I206" s="12" t="s">
        <v>60</v>
      </c>
      <c r="J206" s="12" t="s">
        <v>1024</v>
      </c>
      <c r="K206" s="12" t="s">
        <v>1570</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2228</v>
      </c>
    </row>
    <row r="207">
      <c r="B207" s="24" t="s">
        <v>49</v>
      </c>
      <c r="C207" s="12" t="s">
        <v>1804</v>
      </c>
      <c r="D207" s="11" t="s">
        <v>722</v>
      </c>
      <c r="E207" s="11" t="s">
        <v>723</v>
      </c>
      <c r="F207" s="12" t="s">
        <v>49</v>
      </c>
      <c r="G207" s="12" t="s">
        <v>246</v>
      </c>
      <c r="H207" s="12" t="s">
        <v>246</v>
      </c>
      <c r="I207" s="12" t="s">
        <v>60</v>
      </c>
      <c r="J207" s="12" t="s">
        <v>1024</v>
      </c>
      <c r="K207" s="12" t="s">
        <v>1570</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2228</v>
      </c>
    </row>
    <row r="208">
      <c r="B208" s="24" t="s">
        <v>49</v>
      </c>
      <c r="C208" s="12" t="s">
        <v>1805</v>
      </c>
      <c r="D208" s="11" t="s">
        <v>725</v>
      </c>
      <c r="E208" s="11" t="s">
        <v>723</v>
      </c>
      <c r="F208" s="12" t="s">
        <v>49</v>
      </c>
      <c r="G208" s="12" t="s">
        <v>246</v>
      </c>
      <c r="H208" s="12" t="s">
        <v>246</v>
      </c>
      <c r="I208" s="12" t="s">
        <v>430</v>
      </c>
      <c r="J208" s="12" t="s">
        <v>1024</v>
      </c>
      <c r="K208" s="12" t="s">
        <v>1570</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1806</v>
      </c>
      <c r="D209" s="11" t="s">
        <v>727</v>
      </c>
      <c r="E209" s="11" t="s">
        <v>723</v>
      </c>
      <c r="F209" s="12" t="s">
        <v>295</v>
      </c>
      <c r="G209" s="12" t="s">
        <v>246</v>
      </c>
      <c r="H209" s="12" t="s">
        <v>246</v>
      </c>
      <c r="I209" s="12" t="s">
        <v>430</v>
      </c>
      <c r="J209" s="12" t="s">
        <v>1024</v>
      </c>
      <c r="K209" s="12" t="s">
        <v>1570</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1807</v>
      </c>
      <c r="D210" s="11" t="s">
        <v>729</v>
      </c>
      <c r="E210" s="11" t="s">
        <v>723</v>
      </c>
      <c r="F210" s="12" t="s">
        <v>49</v>
      </c>
      <c r="G210" s="12" t="s">
        <v>246</v>
      </c>
      <c r="H210" s="12" t="s">
        <v>246</v>
      </c>
      <c r="I210" s="12" t="s">
        <v>430</v>
      </c>
      <c r="J210" s="12" t="s">
        <v>1024</v>
      </c>
      <c r="K210" s="12" t="s">
        <v>1570</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1808</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2157</v>
      </c>
      <c r="W211" s="11" t="s">
        <v>992</v>
      </c>
      <c r="X211" s="11" t="s">
        <v>992</v>
      </c>
      <c r="Y211" s="11" t="s">
        <v>992</v>
      </c>
      <c r="Z211" s="11" t="s">
        <v>992</v>
      </c>
      <c r="AA211" s="11" t="s">
        <v>992</v>
      </c>
      <c r="AB211" s="11" t="s">
        <v>992</v>
      </c>
      <c r="AC211" s="11" t="s">
        <v>992</v>
      </c>
      <c r="AD211" s="11" t="s">
        <v>987</v>
      </c>
      <c r="AE211" s="11" t="s">
        <v>993</v>
      </c>
    </row>
    <row r="212">
      <c r="B212" s="24" t="s">
        <v>49</v>
      </c>
      <c r="C212" s="12" t="s">
        <v>1809</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2228</v>
      </c>
    </row>
    <row r="213">
      <c r="B213" s="24" t="s">
        <v>49</v>
      </c>
      <c r="C213" s="12" t="s">
        <v>1810</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2228</v>
      </c>
    </row>
    <row r="214">
      <c r="B214" s="24" t="s">
        <v>314</v>
      </c>
      <c r="C214" s="12" t="s">
        <v>1811</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2228</v>
      </c>
    </row>
    <row r="215">
      <c r="B215" s="24" t="s">
        <v>308</v>
      </c>
      <c r="C215" s="12" t="s">
        <v>1812</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2228</v>
      </c>
    </row>
    <row r="216">
      <c r="B216" s="24" t="s">
        <v>49</v>
      </c>
      <c r="C216" s="12" t="s">
        <v>1813</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2159</v>
      </c>
      <c r="W216" s="11" t="s">
        <v>992</v>
      </c>
      <c r="X216" s="11" t="s">
        <v>992</v>
      </c>
      <c r="Y216" s="11" t="s">
        <v>992</v>
      </c>
      <c r="Z216" s="11" t="s">
        <v>992</v>
      </c>
      <c r="AA216" s="11" t="s">
        <v>992</v>
      </c>
      <c r="AB216" s="11" t="s">
        <v>992</v>
      </c>
      <c r="AC216" s="11" t="s">
        <v>992</v>
      </c>
      <c r="AD216" s="11" t="s">
        <v>988</v>
      </c>
      <c r="AE216" s="11" t="s">
        <v>993</v>
      </c>
    </row>
    <row r="217">
      <c r="B217" s="24" t="s">
        <v>49</v>
      </c>
      <c r="C217" s="12" t="s">
        <v>1814</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2159</v>
      </c>
      <c r="W217" s="11" t="s">
        <v>992</v>
      </c>
      <c r="X217" s="11" t="s">
        <v>992</v>
      </c>
      <c r="Y217" s="11" t="s">
        <v>992</v>
      </c>
      <c r="Z217" s="11" t="s">
        <v>992</v>
      </c>
      <c r="AA217" s="11" t="s">
        <v>992</v>
      </c>
      <c r="AB217" s="11" t="s">
        <v>992</v>
      </c>
      <c r="AC217" s="11" t="s">
        <v>992</v>
      </c>
      <c r="AD217" s="11" t="s">
        <v>989</v>
      </c>
      <c r="AE217" s="11" t="s">
        <v>993</v>
      </c>
    </row>
    <row r="218">
      <c r="B218" s="24" t="s">
        <v>49</v>
      </c>
      <c r="C218" s="12" t="s">
        <v>1815</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2228</v>
      </c>
    </row>
    <row r="219">
      <c r="B219" s="24" t="s">
        <v>314</v>
      </c>
      <c r="C219" s="12" t="s">
        <v>1816</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2160</v>
      </c>
      <c r="W219" s="11" t="s">
        <v>992</v>
      </c>
      <c r="X219" s="11" t="s">
        <v>992</v>
      </c>
      <c r="Y219" s="11" t="s">
        <v>2183</v>
      </c>
      <c r="Z219" s="11" t="s">
        <v>2202</v>
      </c>
      <c r="AA219" s="11" t="s">
        <v>2202</v>
      </c>
      <c r="AB219" s="11" t="s">
        <v>30</v>
      </c>
      <c r="AC219" s="11" t="s">
        <v>1349</v>
      </c>
      <c r="AD219" s="11" t="s">
        <v>1416</v>
      </c>
      <c r="AE219" s="11" t="s">
        <v>993</v>
      </c>
    </row>
    <row r="220">
      <c r="B220" s="24" t="s">
        <v>49</v>
      </c>
      <c r="C220" s="12" t="s">
        <v>1817</v>
      </c>
      <c r="D220" s="11" t="s">
        <v>754</v>
      </c>
      <c r="E220" s="11" t="s">
        <v>755</v>
      </c>
      <c r="F220" s="12" t="s">
        <v>450</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2203</v>
      </c>
      <c r="AA220" s="11" t="s">
        <v>2203</v>
      </c>
      <c r="AB220" s="11" t="s">
        <v>30</v>
      </c>
      <c r="AC220" s="11" t="s">
        <v>1345</v>
      </c>
      <c r="AD220" s="11" t="s">
        <v>1567</v>
      </c>
      <c r="AE220" s="11" t="s">
        <v>993</v>
      </c>
    </row>
    <row r="221">
      <c r="B221" s="24" t="s">
        <v>291</v>
      </c>
      <c r="C221" s="12" t="s">
        <v>1818</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2228</v>
      </c>
    </row>
    <row r="222">
      <c r="B222" s="24" t="s">
        <v>49</v>
      </c>
      <c r="C222" s="12" t="s">
        <v>1819</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2228</v>
      </c>
    </row>
    <row r="223">
      <c r="B223" s="24" t="s">
        <v>49</v>
      </c>
      <c r="C223" s="12" t="s">
        <v>1820</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2228</v>
      </c>
    </row>
    <row r="224">
      <c r="B224" s="24" t="s">
        <v>49</v>
      </c>
      <c r="C224" s="12" t="s">
        <v>1821</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2228</v>
      </c>
    </row>
    <row r="225">
      <c r="B225" s="24" t="s">
        <v>49</v>
      </c>
      <c r="C225" s="12" t="s">
        <v>1822</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2228</v>
      </c>
    </row>
    <row r="226">
      <c r="B226" s="24" t="s">
        <v>49</v>
      </c>
      <c r="C226" s="12" t="s">
        <v>1823</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2228</v>
      </c>
    </row>
    <row r="227">
      <c r="B227" s="24" t="s">
        <v>314</v>
      </c>
      <c r="C227" s="12" t="s">
        <v>1824</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2228</v>
      </c>
    </row>
    <row r="228">
      <c r="B228" s="24" t="s">
        <v>49</v>
      </c>
      <c r="C228" s="12" t="s">
        <v>1825</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2228</v>
      </c>
    </row>
    <row r="229">
      <c r="B229" s="24" t="s">
        <v>49</v>
      </c>
      <c r="C229" s="12" t="s">
        <v>1826</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2228</v>
      </c>
    </row>
    <row r="230">
      <c r="B230" s="24" t="s">
        <v>49</v>
      </c>
      <c r="C230" s="12" t="s">
        <v>1827</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2228</v>
      </c>
    </row>
    <row r="231">
      <c r="B231" s="24" t="s">
        <v>49</v>
      </c>
      <c r="C231" s="12" t="s">
        <v>1828</v>
      </c>
      <c r="D231" s="11" t="s">
        <v>782</v>
      </c>
      <c r="E231" s="11" t="s">
        <v>774</v>
      </c>
      <c r="F231" s="12" t="s">
        <v>450</v>
      </c>
      <c r="G231" s="12" t="s">
        <v>246</v>
      </c>
      <c r="H231" s="12" t="s">
        <v>246</v>
      </c>
      <c r="I231" s="12" t="s">
        <v>60</v>
      </c>
      <c r="J231" s="12" t="s">
        <v>774</v>
      </c>
      <c r="K231" s="12" t="s">
        <v>118</v>
      </c>
      <c r="L231" s="12" t="s">
        <v>247</v>
      </c>
      <c r="M231" s="12" t="s">
        <v>992</v>
      </c>
      <c r="N231" s="13" t="s">
        <v>2100</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2228</v>
      </c>
    </row>
    <row r="232">
      <c r="B232" s="24" t="s">
        <v>49</v>
      </c>
      <c r="C232" s="12" t="s">
        <v>1829</v>
      </c>
      <c r="D232" s="11" t="s">
        <v>784</v>
      </c>
      <c r="E232" s="11" t="s">
        <v>774</v>
      </c>
      <c r="F232" s="12" t="s">
        <v>450</v>
      </c>
      <c r="G232" s="12" t="s">
        <v>246</v>
      </c>
      <c r="H232" s="12" t="s">
        <v>246</v>
      </c>
      <c r="I232" s="12" t="s">
        <v>60</v>
      </c>
      <c r="J232" s="12" t="s">
        <v>774</v>
      </c>
      <c r="K232" s="12" t="s">
        <v>118</v>
      </c>
      <c r="L232" s="12" t="s">
        <v>247</v>
      </c>
      <c r="M232" s="12" t="s">
        <v>992</v>
      </c>
      <c r="N232" s="13" t="s">
        <v>2101</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2228</v>
      </c>
    </row>
    <row r="233">
      <c r="B233" s="24" t="s">
        <v>291</v>
      </c>
      <c r="C233" s="12" t="s">
        <v>1830</v>
      </c>
      <c r="D233" s="11" t="s">
        <v>1412</v>
      </c>
      <c r="E233" s="11" t="s">
        <v>774</v>
      </c>
      <c r="F233" s="12" t="s">
        <v>291</v>
      </c>
      <c r="G233" s="12" t="s">
        <v>246</v>
      </c>
      <c r="H233" s="12" t="s">
        <v>246</v>
      </c>
      <c r="I233" s="12" t="s">
        <v>60</v>
      </c>
      <c r="J233" s="12" t="s">
        <v>774</v>
      </c>
      <c r="K233" s="12" t="s">
        <v>118</v>
      </c>
      <c r="L233" s="12" t="s">
        <v>247</v>
      </c>
      <c r="M233" s="12" t="s">
        <v>992</v>
      </c>
      <c r="N233" s="13" t="s">
        <v>2102</v>
      </c>
      <c r="O233" s="11" t="s">
        <v>118</v>
      </c>
      <c r="P233" s="11" t="s">
        <v>776</v>
      </c>
      <c r="Q233" s="11" t="s">
        <v>125</v>
      </c>
      <c r="R233" s="11" t="s">
        <v>150</v>
      </c>
      <c r="S233" s="11" t="s">
        <v>992</v>
      </c>
      <c r="T233" s="11" t="s">
        <v>125</v>
      </c>
      <c r="U233" s="11" t="s">
        <v>38</v>
      </c>
      <c r="V233" s="11" t="s">
        <v>2148</v>
      </c>
      <c r="W233" s="11" t="s">
        <v>992</v>
      </c>
      <c r="X233" s="11" t="s">
        <v>992</v>
      </c>
      <c r="Y233" s="11" t="s">
        <v>992</v>
      </c>
      <c r="Z233" s="11" t="s">
        <v>992</v>
      </c>
      <c r="AA233" s="11" t="s">
        <v>992</v>
      </c>
      <c r="AB233" s="11" t="s">
        <v>992</v>
      </c>
      <c r="AC233" s="11" t="s">
        <v>992</v>
      </c>
      <c r="AD233" s="11" t="s">
        <v>992</v>
      </c>
      <c r="AE233" s="11" t="s">
        <v>993</v>
      </c>
    </row>
    <row r="234">
      <c r="B234" s="24" t="s">
        <v>278</v>
      </c>
      <c r="C234" s="12" t="s">
        <v>1831</v>
      </c>
      <c r="D234" s="11" t="s">
        <v>786</v>
      </c>
      <c r="E234" s="11" t="s">
        <v>774</v>
      </c>
      <c r="F234" s="12" t="s">
        <v>278</v>
      </c>
      <c r="G234" s="12" t="s">
        <v>246</v>
      </c>
      <c r="H234" s="12" t="s">
        <v>246</v>
      </c>
      <c r="I234" s="12" t="s">
        <v>60</v>
      </c>
      <c r="J234" s="12" t="s">
        <v>774</v>
      </c>
      <c r="K234" s="12" t="s">
        <v>118</v>
      </c>
      <c r="L234" s="12" t="s">
        <v>247</v>
      </c>
      <c r="M234" s="12" t="s">
        <v>992</v>
      </c>
      <c r="N234" s="13" t="s">
        <v>2103</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2228</v>
      </c>
    </row>
    <row r="235">
      <c r="B235" s="24" t="s">
        <v>49</v>
      </c>
      <c r="C235" s="12" t="s">
        <v>1832</v>
      </c>
      <c r="D235" s="11" t="s">
        <v>787</v>
      </c>
      <c r="E235" s="11" t="s">
        <v>774</v>
      </c>
      <c r="F235" s="12" t="s">
        <v>374</v>
      </c>
      <c r="G235" s="12" t="s">
        <v>246</v>
      </c>
      <c r="H235" s="12" t="s">
        <v>246</v>
      </c>
      <c r="I235" s="12" t="s">
        <v>60</v>
      </c>
      <c r="J235" s="12" t="s">
        <v>774</v>
      </c>
      <c r="K235" s="12" t="s">
        <v>118</v>
      </c>
      <c r="L235" s="12" t="s">
        <v>247</v>
      </c>
      <c r="M235" s="12" t="s">
        <v>992</v>
      </c>
      <c r="N235" s="13" t="s">
        <v>2104</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2228</v>
      </c>
    </row>
    <row r="236">
      <c r="B236" s="24" t="s">
        <v>49</v>
      </c>
      <c r="C236" s="12" t="s">
        <v>1833</v>
      </c>
      <c r="D236" s="11" t="s">
        <v>788</v>
      </c>
      <c r="E236" s="11" t="s">
        <v>774</v>
      </c>
      <c r="F236" s="12" t="s">
        <v>411</v>
      </c>
      <c r="G236" s="12" t="s">
        <v>246</v>
      </c>
      <c r="H236" s="12" t="s">
        <v>246</v>
      </c>
      <c r="I236" s="12" t="s">
        <v>60</v>
      </c>
      <c r="J236" s="12" t="s">
        <v>774</v>
      </c>
      <c r="K236" s="12" t="s">
        <v>118</v>
      </c>
      <c r="L236" s="12" t="s">
        <v>247</v>
      </c>
      <c r="M236" s="12" t="s">
        <v>992</v>
      </c>
      <c r="N236" s="13" t="s">
        <v>2105</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2228</v>
      </c>
    </row>
    <row r="237">
      <c r="B237" s="24" t="s">
        <v>49</v>
      </c>
      <c r="C237" s="12" t="s">
        <v>1834</v>
      </c>
      <c r="D237" s="11" t="s">
        <v>789</v>
      </c>
      <c r="E237" s="11" t="s">
        <v>774</v>
      </c>
      <c r="F237" s="12" t="s">
        <v>332</v>
      </c>
      <c r="G237" s="12" t="s">
        <v>246</v>
      </c>
      <c r="H237" s="12" t="s">
        <v>246</v>
      </c>
      <c r="I237" s="12" t="s">
        <v>60</v>
      </c>
      <c r="J237" s="12" t="s">
        <v>774</v>
      </c>
      <c r="K237" s="12" t="s">
        <v>118</v>
      </c>
      <c r="L237" s="12" t="s">
        <v>247</v>
      </c>
      <c r="M237" s="12" t="s">
        <v>992</v>
      </c>
      <c r="N237" s="13" t="s">
        <v>2106</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2228</v>
      </c>
    </row>
    <row r="238">
      <c r="B238" s="24" t="s">
        <v>49</v>
      </c>
      <c r="C238" s="12" t="s">
        <v>1835</v>
      </c>
      <c r="D238" s="11" t="s">
        <v>790</v>
      </c>
      <c r="E238" s="11" t="s">
        <v>774</v>
      </c>
      <c r="F238" s="12" t="s">
        <v>374</v>
      </c>
      <c r="G238" s="12" t="s">
        <v>246</v>
      </c>
      <c r="H238" s="12" t="s">
        <v>246</v>
      </c>
      <c r="I238" s="12" t="s">
        <v>60</v>
      </c>
      <c r="J238" s="12" t="s">
        <v>774</v>
      </c>
      <c r="K238" s="12" t="s">
        <v>118</v>
      </c>
      <c r="L238" s="12" t="s">
        <v>247</v>
      </c>
      <c r="M238" s="12" t="s">
        <v>992</v>
      </c>
      <c r="N238" s="13" t="s">
        <v>2107</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2228</v>
      </c>
    </row>
    <row r="239">
      <c r="B239" s="24" t="s">
        <v>49</v>
      </c>
      <c r="C239" s="12" t="s">
        <v>1836</v>
      </c>
      <c r="D239" s="11" t="s">
        <v>791</v>
      </c>
      <c r="E239" s="11" t="s">
        <v>774</v>
      </c>
      <c r="F239" s="12" t="s">
        <v>557</v>
      </c>
      <c r="G239" s="12" t="s">
        <v>246</v>
      </c>
      <c r="H239" s="12" t="s">
        <v>246</v>
      </c>
      <c r="I239" s="12" t="s">
        <v>60</v>
      </c>
      <c r="J239" s="12" t="s">
        <v>774</v>
      </c>
      <c r="K239" s="12" t="s">
        <v>118</v>
      </c>
      <c r="L239" s="12" t="s">
        <v>247</v>
      </c>
      <c r="M239" s="12" t="s">
        <v>992</v>
      </c>
      <c r="N239" s="13" t="s">
        <v>2108</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2228</v>
      </c>
    </row>
    <row r="240">
      <c r="B240" s="24" t="s">
        <v>49</v>
      </c>
      <c r="C240" s="12" t="s">
        <v>1837</v>
      </c>
      <c r="D240" s="11" t="s">
        <v>792</v>
      </c>
      <c r="E240" s="11" t="s">
        <v>774</v>
      </c>
      <c r="F240" s="12" t="s">
        <v>775</v>
      </c>
      <c r="G240" s="12" t="s">
        <v>246</v>
      </c>
      <c r="H240" s="12" t="s">
        <v>246</v>
      </c>
      <c r="I240" s="12" t="s">
        <v>60</v>
      </c>
      <c r="J240" s="12" t="s">
        <v>774</v>
      </c>
      <c r="K240" s="12" t="s">
        <v>118</v>
      </c>
      <c r="L240" s="12" t="s">
        <v>247</v>
      </c>
      <c r="M240" s="12" t="s">
        <v>992</v>
      </c>
      <c r="N240" s="13" t="s">
        <v>2109</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2228</v>
      </c>
    </row>
    <row r="241">
      <c r="B241" s="24" t="s">
        <v>49</v>
      </c>
      <c r="C241" s="12" t="s">
        <v>1838</v>
      </c>
      <c r="D241" s="11" t="s">
        <v>793</v>
      </c>
      <c r="E241" s="11" t="s">
        <v>774</v>
      </c>
      <c r="F241" s="12" t="s">
        <v>499</v>
      </c>
      <c r="G241" s="12" t="s">
        <v>246</v>
      </c>
      <c r="H241" s="12" t="s">
        <v>246</v>
      </c>
      <c r="I241" s="12" t="s">
        <v>60</v>
      </c>
      <c r="J241" s="12" t="s">
        <v>774</v>
      </c>
      <c r="K241" s="12" t="s">
        <v>118</v>
      </c>
      <c r="L241" s="12" t="s">
        <v>247</v>
      </c>
      <c r="M241" s="12" t="s">
        <v>992</v>
      </c>
      <c r="N241" s="13" t="s">
        <v>2110</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2228</v>
      </c>
    </row>
    <row r="242">
      <c r="B242" s="24" t="s">
        <v>49</v>
      </c>
      <c r="C242" s="12" t="s">
        <v>1839</v>
      </c>
      <c r="D242" s="11" t="s">
        <v>794</v>
      </c>
      <c r="E242" s="11" t="s">
        <v>774</v>
      </c>
      <c r="F242" s="12" t="s">
        <v>286</v>
      </c>
      <c r="G242" s="12" t="s">
        <v>246</v>
      </c>
      <c r="H242" s="12" t="s">
        <v>246</v>
      </c>
      <c r="I242" s="12" t="s">
        <v>60</v>
      </c>
      <c r="J242" s="12" t="s">
        <v>774</v>
      </c>
      <c r="K242" s="12" t="s">
        <v>118</v>
      </c>
      <c r="L242" s="12" t="s">
        <v>247</v>
      </c>
      <c r="M242" s="12" t="s">
        <v>992</v>
      </c>
      <c r="N242" s="13" t="s">
        <v>2111</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2228</v>
      </c>
    </row>
    <row r="243">
      <c r="B243" s="24" t="s">
        <v>49</v>
      </c>
      <c r="C243" s="12" t="s">
        <v>1840</v>
      </c>
      <c r="D243" s="11" t="s">
        <v>795</v>
      </c>
      <c r="E243" s="11" t="s">
        <v>774</v>
      </c>
      <c r="F243" s="12" t="s">
        <v>447</v>
      </c>
      <c r="G243" s="12" t="s">
        <v>246</v>
      </c>
      <c r="H243" s="12" t="s">
        <v>246</v>
      </c>
      <c r="I243" s="12" t="s">
        <v>60</v>
      </c>
      <c r="J243" s="12" t="s">
        <v>774</v>
      </c>
      <c r="K243" s="12" t="s">
        <v>118</v>
      </c>
      <c r="L243" s="12" t="s">
        <v>247</v>
      </c>
      <c r="M243" s="12" t="s">
        <v>992</v>
      </c>
      <c r="N243" s="13" t="s">
        <v>2112</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2228</v>
      </c>
    </row>
    <row r="244">
      <c r="B244" s="24" t="s">
        <v>49</v>
      </c>
      <c r="C244" s="12" t="s">
        <v>1841</v>
      </c>
      <c r="D244" s="11" t="s">
        <v>796</v>
      </c>
      <c r="E244" s="11" t="s">
        <v>774</v>
      </c>
      <c r="F244" s="12" t="s">
        <v>780</v>
      </c>
      <c r="G244" s="12" t="s">
        <v>246</v>
      </c>
      <c r="H244" s="12" t="s">
        <v>246</v>
      </c>
      <c r="I244" s="12" t="s">
        <v>60</v>
      </c>
      <c r="J244" s="12" t="s">
        <v>774</v>
      </c>
      <c r="K244" s="12" t="s">
        <v>118</v>
      </c>
      <c r="L244" s="12" t="s">
        <v>247</v>
      </c>
      <c r="M244" s="12" t="s">
        <v>992</v>
      </c>
      <c r="N244" s="13" t="s">
        <v>2113</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2228</v>
      </c>
    </row>
    <row r="245">
      <c r="B245" s="24" t="s">
        <v>49</v>
      </c>
      <c r="C245" s="12" t="s">
        <v>1842</v>
      </c>
      <c r="D245" s="11" t="s">
        <v>797</v>
      </c>
      <c r="E245" s="11" t="s">
        <v>774</v>
      </c>
      <c r="F245" s="12" t="s">
        <v>554</v>
      </c>
      <c r="G245" s="12" t="s">
        <v>246</v>
      </c>
      <c r="H245" s="12" t="s">
        <v>246</v>
      </c>
      <c r="I245" s="12" t="s">
        <v>60</v>
      </c>
      <c r="J245" s="12" t="s">
        <v>774</v>
      </c>
      <c r="K245" s="12" t="s">
        <v>118</v>
      </c>
      <c r="L245" s="12" t="s">
        <v>247</v>
      </c>
      <c r="M245" s="12" t="s">
        <v>992</v>
      </c>
      <c r="N245" s="13" t="s">
        <v>2114</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2228</v>
      </c>
    </row>
    <row r="246">
      <c r="B246" s="24" t="s">
        <v>49</v>
      </c>
      <c r="C246" s="12" t="s">
        <v>1843</v>
      </c>
      <c r="D246" s="11" t="s">
        <v>798</v>
      </c>
      <c r="E246" s="11" t="s">
        <v>774</v>
      </c>
      <c r="F246" s="12" t="s">
        <v>435</v>
      </c>
      <c r="G246" s="12" t="s">
        <v>246</v>
      </c>
      <c r="H246" s="12" t="s">
        <v>246</v>
      </c>
      <c r="I246" s="12" t="s">
        <v>60</v>
      </c>
      <c r="J246" s="12" t="s">
        <v>774</v>
      </c>
      <c r="K246" s="12" t="s">
        <v>118</v>
      </c>
      <c r="L246" s="12" t="s">
        <v>247</v>
      </c>
      <c r="M246" s="12" t="s">
        <v>992</v>
      </c>
      <c r="N246" s="13" t="s">
        <v>2115</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2228</v>
      </c>
    </row>
    <row r="247">
      <c r="B247" s="24" t="s">
        <v>49</v>
      </c>
      <c r="C247" s="12" t="s">
        <v>1844</v>
      </c>
      <c r="D247" s="11" t="s">
        <v>799</v>
      </c>
      <c r="E247" s="11" t="s">
        <v>774</v>
      </c>
      <c r="F247" s="12" t="s">
        <v>783</v>
      </c>
      <c r="G247" s="12" t="s">
        <v>246</v>
      </c>
      <c r="H247" s="12" t="s">
        <v>246</v>
      </c>
      <c r="I247" s="12" t="s">
        <v>60</v>
      </c>
      <c r="J247" s="12" t="s">
        <v>774</v>
      </c>
      <c r="K247" s="12" t="s">
        <v>118</v>
      </c>
      <c r="L247" s="12" t="s">
        <v>247</v>
      </c>
      <c r="M247" s="12" t="s">
        <v>992</v>
      </c>
      <c r="N247" s="13" t="s">
        <v>2116</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2228</v>
      </c>
    </row>
    <row r="248">
      <c r="B248" s="24" t="s">
        <v>295</v>
      </c>
      <c r="C248" s="12" t="s">
        <v>1845</v>
      </c>
      <c r="D248" s="11" t="s">
        <v>800</v>
      </c>
      <c r="E248" s="11" t="s">
        <v>774</v>
      </c>
      <c r="F248" s="12" t="s">
        <v>295</v>
      </c>
      <c r="G248" s="12" t="s">
        <v>246</v>
      </c>
      <c r="H248" s="12" t="s">
        <v>246</v>
      </c>
      <c r="I248" s="12" t="s">
        <v>60</v>
      </c>
      <c r="J248" s="12" t="s">
        <v>774</v>
      </c>
      <c r="K248" s="12" t="s">
        <v>118</v>
      </c>
      <c r="L248" s="12" t="s">
        <v>247</v>
      </c>
      <c r="M248" s="12" t="s">
        <v>992</v>
      </c>
      <c r="N248" s="13" t="s">
        <v>2117</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2228</v>
      </c>
    </row>
    <row r="249">
      <c r="B249" s="24" t="s">
        <v>49</v>
      </c>
      <c r="C249" s="12" t="s">
        <v>1846</v>
      </c>
      <c r="D249" s="11" t="s">
        <v>801</v>
      </c>
      <c r="E249" s="11" t="s">
        <v>774</v>
      </c>
      <c r="F249" s="12" t="s">
        <v>785</v>
      </c>
      <c r="G249" s="12" t="s">
        <v>246</v>
      </c>
      <c r="H249" s="12" t="s">
        <v>246</v>
      </c>
      <c r="I249" s="12" t="s">
        <v>60</v>
      </c>
      <c r="J249" s="12" t="s">
        <v>774</v>
      </c>
      <c r="K249" s="12" t="s">
        <v>118</v>
      </c>
      <c r="L249" s="12" t="s">
        <v>247</v>
      </c>
      <c r="M249" s="12" t="s">
        <v>992</v>
      </c>
      <c r="N249" s="13" t="s">
        <v>2118</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2228</v>
      </c>
    </row>
    <row r="250">
      <c r="B250" s="24" t="s">
        <v>49</v>
      </c>
      <c r="C250" s="12" t="s">
        <v>1847</v>
      </c>
      <c r="D250" s="11" t="s">
        <v>802</v>
      </c>
      <c r="E250" s="11" t="s">
        <v>774</v>
      </c>
      <c r="F250" s="12" t="s">
        <v>305</v>
      </c>
      <c r="G250" s="12" t="s">
        <v>246</v>
      </c>
      <c r="H250" s="12" t="s">
        <v>246</v>
      </c>
      <c r="I250" s="12" t="s">
        <v>60</v>
      </c>
      <c r="J250" s="12" t="s">
        <v>774</v>
      </c>
      <c r="K250" s="12" t="s">
        <v>118</v>
      </c>
      <c r="L250" s="12" t="s">
        <v>247</v>
      </c>
      <c r="M250" s="12" t="s">
        <v>992</v>
      </c>
      <c r="N250" s="13" t="s">
        <v>2119</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2228</v>
      </c>
    </row>
    <row r="251">
      <c r="B251" s="24" t="s">
        <v>49</v>
      </c>
      <c r="C251" s="12" t="s">
        <v>1848</v>
      </c>
      <c r="D251" s="11" t="s">
        <v>803</v>
      </c>
      <c r="E251" s="11" t="s">
        <v>774</v>
      </c>
      <c r="F251" s="12" t="s">
        <v>305</v>
      </c>
      <c r="G251" s="12" t="s">
        <v>246</v>
      </c>
      <c r="H251" s="12" t="s">
        <v>246</v>
      </c>
      <c r="I251" s="12" t="s">
        <v>60</v>
      </c>
      <c r="J251" s="12" t="s">
        <v>774</v>
      </c>
      <c r="K251" s="12" t="s">
        <v>118</v>
      </c>
      <c r="L251" s="12" t="s">
        <v>247</v>
      </c>
      <c r="M251" s="12" t="s">
        <v>992</v>
      </c>
      <c r="N251" s="13" t="s">
        <v>2120</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2228</v>
      </c>
    </row>
    <row r="252">
      <c r="B252" s="24" t="s">
        <v>295</v>
      </c>
      <c r="C252" s="12" t="s">
        <v>1849</v>
      </c>
      <c r="D252" s="11" t="s">
        <v>804</v>
      </c>
      <c r="E252" s="11" t="s">
        <v>774</v>
      </c>
      <c r="F252" s="12" t="s">
        <v>295</v>
      </c>
      <c r="G252" s="12" t="s">
        <v>246</v>
      </c>
      <c r="H252" s="12" t="s">
        <v>246</v>
      </c>
      <c r="I252" s="12" t="s">
        <v>60</v>
      </c>
      <c r="J252" s="12" t="s">
        <v>774</v>
      </c>
      <c r="K252" s="12" t="s">
        <v>118</v>
      </c>
      <c r="L252" s="12" t="s">
        <v>247</v>
      </c>
      <c r="M252" s="12" t="s">
        <v>992</v>
      </c>
      <c r="N252" s="13" t="s">
        <v>2121</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2228</v>
      </c>
    </row>
    <row r="253">
      <c r="B253" s="24" t="s">
        <v>314</v>
      </c>
      <c r="C253" s="12" t="s">
        <v>1850</v>
      </c>
      <c r="D253" s="11" t="s">
        <v>1000</v>
      </c>
      <c r="E253" s="11" t="s">
        <v>774</v>
      </c>
      <c r="F253" s="12" t="s">
        <v>314</v>
      </c>
      <c r="G253" s="12" t="s">
        <v>246</v>
      </c>
      <c r="H253" s="12" t="s">
        <v>246</v>
      </c>
      <c r="I253" s="12" t="s">
        <v>60</v>
      </c>
      <c r="J253" s="12" t="s">
        <v>774</v>
      </c>
      <c r="K253" s="12" t="s">
        <v>118</v>
      </c>
      <c r="L253" s="12" t="s">
        <v>247</v>
      </c>
      <c r="M253" s="12" t="s">
        <v>992</v>
      </c>
      <c r="N253" s="13" t="s">
        <v>2122</v>
      </c>
      <c r="O253" s="11" t="s">
        <v>118</v>
      </c>
      <c r="P253" s="11" t="s">
        <v>776</v>
      </c>
      <c r="Q253" s="11" t="s">
        <v>126</v>
      </c>
      <c r="R253" s="11" t="s">
        <v>150</v>
      </c>
      <c r="S253" s="11" t="s">
        <v>126</v>
      </c>
      <c r="T253" s="11" t="s">
        <v>125</v>
      </c>
      <c r="U253" s="11" t="s">
        <v>1014</v>
      </c>
      <c r="V253" s="11" t="s">
        <v>2148</v>
      </c>
      <c r="W253" s="11" t="s">
        <v>992</v>
      </c>
      <c r="X253" s="11" t="s">
        <v>992</v>
      </c>
      <c r="Y253" s="11" t="s">
        <v>2184</v>
      </c>
      <c r="Z253" s="11" t="s">
        <v>1385</v>
      </c>
      <c r="AA253" s="11" t="s">
        <v>1385</v>
      </c>
      <c r="AB253" s="11" t="s">
        <v>30</v>
      </c>
      <c r="AC253" s="11" t="s">
        <v>1348</v>
      </c>
      <c r="AD253" s="11" t="s">
        <v>1003</v>
      </c>
      <c r="AE253" s="11" t="s">
        <v>993</v>
      </c>
    </row>
    <row r="254">
      <c r="B254" s="24" t="s">
        <v>283</v>
      </c>
      <c r="C254" s="12" t="s">
        <v>1851</v>
      </c>
      <c r="D254" s="11" t="s">
        <v>805</v>
      </c>
      <c r="E254" s="11" t="s">
        <v>774</v>
      </c>
      <c r="F254" s="12" t="s">
        <v>283</v>
      </c>
      <c r="G254" s="12" t="s">
        <v>246</v>
      </c>
      <c r="H254" s="12" t="s">
        <v>246</v>
      </c>
      <c r="I254" s="12" t="s">
        <v>60</v>
      </c>
      <c r="J254" s="12" t="s">
        <v>774</v>
      </c>
      <c r="K254" s="12" t="s">
        <v>118</v>
      </c>
      <c r="L254" s="12" t="s">
        <v>247</v>
      </c>
      <c r="M254" s="12" t="s">
        <v>992</v>
      </c>
      <c r="N254" s="13" t="s">
        <v>2123</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2228</v>
      </c>
    </row>
    <row r="255">
      <c r="B255" s="24" t="s">
        <v>49</v>
      </c>
      <c r="C255" s="12" t="s">
        <v>1852</v>
      </c>
      <c r="D255" s="11" t="s">
        <v>806</v>
      </c>
      <c r="E255" s="11" t="s">
        <v>774</v>
      </c>
      <c r="F255" s="12" t="s">
        <v>419</v>
      </c>
      <c r="G255" s="12" t="s">
        <v>246</v>
      </c>
      <c r="H255" s="12" t="s">
        <v>246</v>
      </c>
      <c r="I255" s="12" t="s">
        <v>60</v>
      </c>
      <c r="J255" s="12" t="s">
        <v>774</v>
      </c>
      <c r="K255" s="12" t="s">
        <v>118</v>
      </c>
      <c r="L255" s="12" t="s">
        <v>247</v>
      </c>
      <c r="M255" s="12" t="s">
        <v>992</v>
      </c>
      <c r="N255" s="13" t="s">
        <v>2124</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2228</v>
      </c>
    </row>
    <row r="256">
      <c r="B256" s="24" t="s">
        <v>49</v>
      </c>
      <c r="C256" s="12" t="s">
        <v>1853</v>
      </c>
      <c r="D256" s="11" t="s">
        <v>807</v>
      </c>
      <c r="E256" s="11" t="s">
        <v>774</v>
      </c>
      <c r="F256" s="12" t="s">
        <v>543</v>
      </c>
      <c r="G256" s="12" t="s">
        <v>246</v>
      </c>
      <c r="H256" s="12" t="s">
        <v>246</v>
      </c>
      <c r="I256" s="12" t="s">
        <v>60</v>
      </c>
      <c r="J256" s="12" t="s">
        <v>774</v>
      </c>
      <c r="K256" s="12" t="s">
        <v>118</v>
      </c>
      <c r="L256" s="12" t="s">
        <v>247</v>
      </c>
      <c r="M256" s="12" t="s">
        <v>992</v>
      </c>
      <c r="N256" s="13" t="s">
        <v>2125</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2228</v>
      </c>
    </row>
    <row r="257">
      <c r="B257" s="24" t="s">
        <v>283</v>
      </c>
      <c r="C257" s="12" t="s">
        <v>1854</v>
      </c>
      <c r="D257" s="11" t="s">
        <v>808</v>
      </c>
      <c r="E257" s="11" t="s">
        <v>774</v>
      </c>
      <c r="F257" s="12" t="s">
        <v>283</v>
      </c>
      <c r="G257" s="12" t="s">
        <v>246</v>
      </c>
      <c r="H257" s="12" t="s">
        <v>246</v>
      </c>
      <c r="I257" s="12" t="s">
        <v>60</v>
      </c>
      <c r="J257" s="12" t="s">
        <v>774</v>
      </c>
      <c r="K257" s="12" t="s">
        <v>118</v>
      </c>
      <c r="L257" s="12" t="s">
        <v>247</v>
      </c>
      <c r="M257" s="12" t="s">
        <v>992</v>
      </c>
      <c r="N257" s="13" t="s">
        <v>2125</v>
      </c>
      <c r="O257" s="11" t="s">
        <v>118</v>
      </c>
      <c r="P257" s="11" t="s">
        <v>776</v>
      </c>
      <c r="Q257" s="11" t="s">
        <v>126</v>
      </c>
      <c r="R257" s="11" t="s">
        <v>150</v>
      </c>
      <c r="S257" s="11" t="s">
        <v>992</v>
      </c>
      <c r="T257" s="11" t="s">
        <v>125</v>
      </c>
      <c r="U257" s="11" t="s">
        <v>1014</v>
      </c>
      <c r="V257" s="11" t="s">
        <v>2148</v>
      </c>
      <c r="W257" s="11" t="s">
        <v>992</v>
      </c>
      <c r="X257" s="11" t="s">
        <v>992</v>
      </c>
      <c r="Y257" s="11" t="s">
        <v>2173</v>
      </c>
      <c r="Z257" s="11" t="s">
        <v>2204</v>
      </c>
      <c r="AA257" s="11" t="s">
        <v>2204</v>
      </c>
      <c r="AB257" s="11" t="s">
        <v>30</v>
      </c>
      <c r="AC257" s="11" t="s">
        <v>1356</v>
      </c>
      <c r="AD257" s="11" t="s">
        <v>992</v>
      </c>
      <c r="AE257" s="11" t="s">
        <v>993</v>
      </c>
    </row>
    <row r="258">
      <c r="B258" s="24" t="s">
        <v>283</v>
      </c>
      <c r="C258" s="12" t="s">
        <v>1855</v>
      </c>
      <c r="D258" s="11" t="s">
        <v>809</v>
      </c>
      <c r="E258" s="11" t="s">
        <v>774</v>
      </c>
      <c r="F258" s="12" t="s">
        <v>283</v>
      </c>
      <c r="G258" s="12" t="s">
        <v>246</v>
      </c>
      <c r="H258" s="12" t="s">
        <v>246</v>
      </c>
      <c r="I258" s="12" t="s">
        <v>60</v>
      </c>
      <c r="J258" s="12" t="s">
        <v>774</v>
      </c>
      <c r="K258" s="12" t="s">
        <v>118</v>
      </c>
      <c r="L258" s="12" t="s">
        <v>247</v>
      </c>
      <c r="M258" s="12" t="s">
        <v>992</v>
      </c>
      <c r="N258" s="13" t="s">
        <v>2126</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2228</v>
      </c>
    </row>
    <row r="259">
      <c r="B259" s="24" t="s">
        <v>49</v>
      </c>
      <c r="C259" s="12" t="s">
        <v>1856</v>
      </c>
      <c r="D259" s="11" t="s">
        <v>810</v>
      </c>
      <c r="E259" s="11" t="s">
        <v>774</v>
      </c>
      <c r="F259" s="12" t="s">
        <v>377</v>
      </c>
      <c r="G259" s="12" t="s">
        <v>246</v>
      </c>
      <c r="H259" s="12" t="s">
        <v>246</v>
      </c>
      <c r="I259" s="12" t="s">
        <v>60</v>
      </c>
      <c r="J259" s="12" t="s">
        <v>774</v>
      </c>
      <c r="K259" s="12" t="s">
        <v>118</v>
      </c>
      <c r="L259" s="12" t="s">
        <v>247</v>
      </c>
      <c r="M259" s="12" t="s">
        <v>992</v>
      </c>
      <c r="N259" s="13" t="s">
        <v>2127</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2228</v>
      </c>
    </row>
    <row r="260">
      <c r="B260" s="24" t="s">
        <v>308</v>
      </c>
      <c r="C260" s="12" t="s">
        <v>1857</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2204</v>
      </c>
      <c r="AA260" s="11" t="s">
        <v>2204</v>
      </c>
      <c r="AB260" s="11" t="s">
        <v>30</v>
      </c>
      <c r="AC260" s="11" t="s">
        <v>1352</v>
      </c>
      <c r="AD260" s="11" t="s">
        <v>1028</v>
      </c>
      <c r="AE260" s="11" t="s">
        <v>993</v>
      </c>
    </row>
    <row r="261">
      <c r="B261" s="24" t="s">
        <v>49</v>
      </c>
      <c r="C261" s="12" t="s">
        <v>1858</v>
      </c>
      <c r="D261" s="11" t="s">
        <v>1108</v>
      </c>
      <c r="E261" s="11" t="s">
        <v>774</v>
      </c>
      <c r="F261" s="12" t="s">
        <v>694</v>
      </c>
      <c r="G261" s="12" t="s">
        <v>246</v>
      </c>
      <c r="H261" s="12" t="s">
        <v>246</v>
      </c>
      <c r="I261" s="12" t="s">
        <v>60</v>
      </c>
      <c r="J261" s="12" t="s">
        <v>774</v>
      </c>
      <c r="K261" s="12" t="s">
        <v>118</v>
      </c>
      <c r="L261" s="12" t="s">
        <v>247</v>
      </c>
      <c r="M261" s="12" t="s">
        <v>992</v>
      </c>
      <c r="N261" s="13" t="s">
        <v>2128</v>
      </c>
      <c r="O261" s="11" t="s">
        <v>118</v>
      </c>
      <c r="P261" s="11" t="s">
        <v>776</v>
      </c>
      <c r="Q261" s="11" t="s">
        <v>126</v>
      </c>
      <c r="R261" s="11" t="s">
        <v>150</v>
      </c>
      <c r="S261" s="11" t="s">
        <v>126</v>
      </c>
      <c r="T261" s="11" t="s">
        <v>125</v>
      </c>
      <c r="U261" s="11" t="s">
        <v>1014</v>
      </c>
      <c r="V261" s="11" t="s">
        <v>2148</v>
      </c>
      <c r="W261" s="11" t="s">
        <v>992</v>
      </c>
      <c r="X261" s="11" t="s">
        <v>992</v>
      </c>
      <c r="Y261" s="11" t="s">
        <v>2185</v>
      </c>
      <c r="Z261" s="11" t="s">
        <v>2205</v>
      </c>
      <c r="AA261" s="11" t="s">
        <v>2205</v>
      </c>
      <c r="AB261" s="11" t="s">
        <v>30</v>
      </c>
      <c r="AC261" s="11" t="s">
        <v>1349</v>
      </c>
      <c r="AD261" s="11" t="s">
        <v>1029</v>
      </c>
      <c r="AE261" s="11" t="s">
        <v>993</v>
      </c>
    </row>
    <row r="262">
      <c r="B262" s="24" t="s">
        <v>49</v>
      </c>
      <c r="C262" s="12" t="s">
        <v>1859</v>
      </c>
      <c r="D262" s="11" t="s">
        <v>811</v>
      </c>
      <c r="E262" s="11" t="s">
        <v>774</v>
      </c>
      <c r="F262" s="12" t="s">
        <v>785</v>
      </c>
      <c r="G262" s="12" t="s">
        <v>246</v>
      </c>
      <c r="H262" s="12" t="s">
        <v>246</v>
      </c>
      <c r="I262" s="12" t="s">
        <v>60</v>
      </c>
      <c r="J262" s="12" t="s">
        <v>774</v>
      </c>
      <c r="K262" s="12" t="s">
        <v>118</v>
      </c>
      <c r="L262" s="12" t="s">
        <v>247</v>
      </c>
      <c r="M262" s="12" t="s">
        <v>992</v>
      </c>
      <c r="N262" s="13" t="s">
        <v>2129</v>
      </c>
      <c r="O262" s="11" t="s">
        <v>118</v>
      </c>
      <c r="P262" s="11" t="s">
        <v>776</v>
      </c>
      <c r="Q262" s="11" t="s">
        <v>126</v>
      </c>
      <c r="R262" s="11" t="s">
        <v>150</v>
      </c>
      <c r="S262" s="11" t="s">
        <v>125</v>
      </c>
      <c r="T262" s="11" t="s">
        <v>126</v>
      </c>
      <c r="U262" s="11" t="s">
        <v>38</v>
      </c>
      <c r="V262" s="11" t="s">
        <v>2161</v>
      </c>
      <c r="W262" s="11" t="s">
        <v>992</v>
      </c>
      <c r="X262" s="11" t="s">
        <v>992</v>
      </c>
      <c r="Y262" s="11" t="s">
        <v>992</v>
      </c>
      <c r="Z262" s="11" t="s">
        <v>992</v>
      </c>
      <c r="AA262" s="11" t="s">
        <v>992</v>
      </c>
      <c r="AB262" s="11" t="s">
        <v>992</v>
      </c>
      <c r="AC262" s="11" t="s">
        <v>992</v>
      </c>
      <c r="AD262" s="11" t="s">
        <v>992</v>
      </c>
      <c r="AE262" s="11" t="s">
        <v>993</v>
      </c>
    </row>
    <row r="263">
      <c r="B263" s="24" t="s">
        <v>49</v>
      </c>
      <c r="C263" s="12" t="s">
        <v>1860</v>
      </c>
      <c r="D263" s="11" t="s">
        <v>812</v>
      </c>
      <c r="E263" s="11" t="s">
        <v>774</v>
      </c>
      <c r="F263" s="12" t="s">
        <v>694</v>
      </c>
      <c r="G263" s="12" t="s">
        <v>246</v>
      </c>
      <c r="H263" s="12" t="s">
        <v>246</v>
      </c>
      <c r="I263" s="12" t="s">
        <v>60</v>
      </c>
      <c r="J263" s="12" t="s">
        <v>774</v>
      </c>
      <c r="K263" s="12" t="s">
        <v>118</v>
      </c>
      <c r="L263" s="12" t="s">
        <v>247</v>
      </c>
      <c r="M263" s="12" t="s">
        <v>992</v>
      </c>
      <c r="N263" s="13" t="s">
        <v>2130</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2228</v>
      </c>
    </row>
    <row r="264">
      <c r="B264" s="24" t="s">
        <v>49</v>
      </c>
      <c r="C264" s="12" t="s">
        <v>1861</v>
      </c>
      <c r="D264" s="11" t="s">
        <v>813</v>
      </c>
      <c r="E264" s="11" t="s">
        <v>774</v>
      </c>
      <c r="F264" s="12" t="s">
        <v>286</v>
      </c>
      <c r="G264" s="12" t="s">
        <v>246</v>
      </c>
      <c r="H264" s="12" t="s">
        <v>246</v>
      </c>
      <c r="I264" s="12" t="s">
        <v>60</v>
      </c>
      <c r="J264" s="12" t="s">
        <v>774</v>
      </c>
      <c r="K264" s="12" t="s">
        <v>118</v>
      </c>
      <c r="L264" s="12" t="s">
        <v>247</v>
      </c>
      <c r="M264" s="12" t="s">
        <v>992</v>
      </c>
      <c r="N264" s="13" t="s">
        <v>2131</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2228</v>
      </c>
    </row>
    <row r="265">
      <c r="B265" s="24" t="s">
        <v>49</v>
      </c>
      <c r="C265" s="12" t="s">
        <v>1862</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1863</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1864</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1865</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1373</v>
      </c>
      <c r="W268" s="11" t="s">
        <v>2178</v>
      </c>
      <c r="X268" s="11" t="s">
        <v>992</v>
      </c>
      <c r="Y268" s="11" t="s">
        <v>992</v>
      </c>
      <c r="Z268" s="11" t="s">
        <v>992</v>
      </c>
      <c r="AA268" s="11" t="s">
        <v>992</v>
      </c>
      <c r="AB268" s="11" t="s">
        <v>992</v>
      </c>
      <c r="AC268" s="11" t="s">
        <v>992</v>
      </c>
      <c r="AD268" s="11" t="s">
        <v>992</v>
      </c>
      <c r="AE268" s="11" t="s">
        <v>993</v>
      </c>
    </row>
    <row r="269">
      <c r="B269" s="24" t="s">
        <v>49</v>
      </c>
      <c r="C269" s="12" t="s">
        <v>1866</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2201</v>
      </c>
      <c r="AA269" s="11" t="s">
        <v>2201</v>
      </c>
      <c r="AB269" s="11" t="s">
        <v>30</v>
      </c>
      <c r="AC269" s="11" t="s">
        <v>1334</v>
      </c>
      <c r="AD269" s="11" t="s">
        <v>992</v>
      </c>
      <c r="AE269" s="11" t="s">
        <v>993</v>
      </c>
    </row>
    <row r="270">
      <c r="B270" s="24" t="s">
        <v>314</v>
      </c>
      <c r="C270" s="12" t="s">
        <v>1867</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1868</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1869</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2179</v>
      </c>
      <c r="X272" s="11" t="s">
        <v>992</v>
      </c>
      <c r="Y272" s="11" t="s">
        <v>992</v>
      </c>
      <c r="Z272" s="11" t="s">
        <v>992</v>
      </c>
      <c r="AA272" s="11" t="s">
        <v>992</v>
      </c>
      <c r="AB272" s="11" t="s">
        <v>992</v>
      </c>
      <c r="AC272" s="11" t="s">
        <v>992</v>
      </c>
      <c r="AD272" s="11" t="s">
        <v>1290</v>
      </c>
      <c r="AE272" s="11" t="s">
        <v>993</v>
      </c>
    </row>
    <row r="273">
      <c r="B273" s="24" t="s">
        <v>49</v>
      </c>
      <c r="C273" s="12" t="s">
        <v>1870</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1871</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2228</v>
      </c>
    </row>
    <row r="275">
      <c r="B275" s="24" t="s">
        <v>49</v>
      </c>
      <c r="C275" s="12" t="s">
        <v>1872</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2228</v>
      </c>
    </row>
    <row r="276">
      <c r="B276" s="24" t="s">
        <v>49</v>
      </c>
      <c r="C276" s="12" t="s">
        <v>1873</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2228</v>
      </c>
    </row>
    <row r="277">
      <c r="B277" s="24" t="s">
        <v>49</v>
      </c>
      <c r="C277" s="12" t="s">
        <v>1874</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2228</v>
      </c>
    </row>
    <row r="278">
      <c r="B278" s="24" t="s">
        <v>49</v>
      </c>
      <c r="C278" s="12" t="s">
        <v>1875</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2228</v>
      </c>
    </row>
    <row r="279">
      <c r="B279" s="24" t="s">
        <v>49</v>
      </c>
      <c r="C279" s="12" t="s">
        <v>1876</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2228</v>
      </c>
    </row>
    <row r="280">
      <c r="B280" s="24" t="s">
        <v>49</v>
      </c>
      <c r="C280" s="12" t="s">
        <v>1877</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2161</v>
      </c>
      <c r="W280" s="11" t="s">
        <v>992</v>
      </c>
      <c r="X280" s="11" t="s">
        <v>992</v>
      </c>
      <c r="Y280" s="11" t="s">
        <v>992</v>
      </c>
      <c r="Z280" s="11" t="s">
        <v>992</v>
      </c>
      <c r="AA280" s="11" t="s">
        <v>992</v>
      </c>
      <c r="AB280" s="11" t="s">
        <v>992</v>
      </c>
      <c r="AC280" s="11" t="s">
        <v>992</v>
      </c>
      <c r="AD280" s="11" t="s">
        <v>992</v>
      </c>
      <c r="AE280" s="11" t="s">
        <v>993</v>
      </c>
    </row>
    <row r="281">
      <c r="B281" s="24" t="s">
        <v>49</v>
      </c>
      <c r="C281" s="12" t="s">
        <v>1878</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2161</v>
      </c>
      <c r="W281" s="11" t="s">
        <v>992</v>
      </c>
      <c r="X281" s="11" t="s">
        <v>992</v>
      </c>
      <c r="Y281" s="11" t="s">
        <v>992</v>
      </c>
      <c r="Z281" s="11" t="s">
        <v>992</v>
      </c>
      <c r="AA281" s="11" t="s">
        <v>992</v>
      </c>
      <c r="AB281" s="11" t="s">
        <v>992</v>
      </c>
      <c r="AC281" s="11" t="s">
        <v>992</v>
      </c>
      <c r="AD281" s="11" t="s">
        <v>992</v>
      </c>
      <c r="AE281" s="11" t="s">
        <v>993</v>
      </c>
    </row>
    <row r="282">
      <c r="B282" s="24" t="s">
        <v>283</v>
      </c>
      <c r="C282" s="12" t="s">
        <v>1879</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2161</v>
      </c>
      <c r="W282" s="11" t="s">
        <v>992</v>
      </c>
      <c r="X282" s="11" t="s">
        <v>992</v>
      </c>
      <c r="Y282" s="11" t="s">
        <v>992</v>
      </c>
      <c r="Z282" s="11" t="s">
        <v>992</v>
      </c>
      <c r="AA282" s="11" t="s">
        <v>992</v>
      </c>
      <c r="AB282" s="11" t="s">
        <v>992</v>
      </c>
      <c r="AC282" s="11" t="s">
        <v>992</v>
      </c>
      <c r="AD282" s="11" t="s">
        <v>992</v>
      </c>
      <c r="AE282" s="11" t="s">
        <v>993</v>
      </c>
    </row>
    <row r="283">
      <c r="B283" s="24" t="s">
        <v>291</v>
      </c>
      <c r="C283" s="12" t="s">
        <v>1880</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2161</v>
      </c>
      <c r="W283" s="11" t="s">
        <v>992</v>
      </c>
      <c r="X283" s="11" t="s">
        <v>992</v>
      </c>
      <c r="Y283" s="11" t="s">
        <v>992</v>
      </c>
      <c r="Z283" s="11" t="s">
        <v>992</v>
      </c>
      <c r="AA283" s="11" t="s">
        <v>992</v>
      </c>
      <c r="AB283" s="11" t="s">
        <v>992</v>
      </c>
      <c r="AC283" s="11" t="s">
        <v>992</v>
      </c>
      <c r="AD283" s="11" t="s">
        <v>992</v>
      </c>
      <c r="AE283" s="11" t="s">
        <v>993</v>
      </c>
    </row>
    <row r="284">
      <c r="B284" s="24" t="s">
        <v>308</v>
      </c>
      <c r="C284" s="12" t="s">
        <v>1881</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2228</v>
      </c>
    </row>
    <row r="285">
      <c r="B285" s="24" t="s">
        <v>278</v>
      </c>
      <c r="C285" s="12" t="s">
        <v>1882</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2161</v>
      </c>
      <c r="W285" s="11" t="s">
        <v>992</v>
      </c>
      <c r="X285" s="11" t="s">
        <v>992</v>
      </c>
      <c r="Y285" s="11" t="s">
        <v>992</v>
      </c>
      <c r="Z285" s="11" t="s">
        <v>992</v>
      </c>
      <c r="AA285" s="11" t="s">
        <v>992</v>
      </c>
      <c r="AB285" s="11" t="s">
        <v>992</v>
      </c>
      <c r="AC285" s="11" t="s">
        <v>992</v>
      </c>
      <c r="AD285" s="11" t="s">
        <v>992</v>
      </c>
      <c r="AE285" s="11" t="s">
        <v>993</v>
      </c>
    </row>
    <row r="286">
      <c r="B286" s="24" t="s">
        <v>295</v>
      </c>
      <c r="C286" s="12" t="s">
        <v>1883</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2161</v>
      </c>
      <c r="W286" s="11" t="s">
        <v>992</v>
      </c>
      <c r="X286" s="11" t="s">
        <v>992</v>
      </c>
      <c r="Y286" s="11" t="s">
        <v>992</v>
      </c>
      <c r="Z286" s="11" t="s">
        <v>992</v>
      </c>
      <c r="AA286" s="11" t="s">
        <v>992</v>
      </c>
      <c r="AB286" s="11" t="s">
        <v>992</v>
      </c>
      <c r="AC286" s="11" t="s">
        <v>992</v>
      </c>
      <c r="AD286" s="11" t="s">
        <v>992</v>
      </c>
      <c r="AE286" s="11" t="s">
        <v>993</v>
      </c>
    </row>
    <row r="287">
      <c r="B287" s="24" t="s">
        <v>49</v>
      </c>
      <c r="C287" s="12" t="s">
        <v>1884</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2162</v>
      </c>
      <c r="W287" s="11" t="s">
        <v>992</v>
      </c>
      <c r="X287" s="11" t="s">
        <v>992</v>
      </c>
      <c r="Y287" s="11" t="s">
        <v>992</v>
      </c>
      <c r="Z287" s="11" t="s">
        <v>992</v>
      </c>
      <c r="AA287" s="11" t="s">
        <v>992</v>
      </c>
      <c r="AB287" s="11" t="s">
        <v>992</v>
      </c>
      <c r="AC287" s="11" t="s">
        <v>992</v>
      </c>
      <c r="AD287" s="11" t="s">
        <v>1291</v>
      </c>
      <c r="AE287" s="11" t="s">
        <v>993</v>
      </c>
    </row>
    <row r="288">
      <c r="B288" s="24" t="s">
        <v>49</v>
      </c>
      <c r="C288" s="12" t="s">
        <v>1885</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2161</v>
      </c>
      <c r="W288" s="11" t="s">
        <v>992</v>
      </c>
      <c r="X288" s="11" t="s">
        <v>992</v>
      </c>
      <c r="Y288" s="11" t="s">
        <v>992</v>
      </c>
      <c r="Z288" s="11" t="s">
        <v>992</v>
      </c>
      <c r="AA288" s="11" t="s">
        <v>992</v>
      </c>
      <c r="AB288" s="11" t="s">
        <v>992</v>
      </c>
      <c r="AC288" s="11" t="s">
        <v>992</v>
      </c>
      <c r="AD288" s="11" t="s">
        <v>992</v>
      </c>
      <c r="AE288" s="11" t="s">
        <v>993</v>
      </c>
    </row>
    <row r="289">
      <c r="B289" s="24" t="s">
        <v>49</v>
      </c>
      <c r="C289" s="12" t="s">
        <v>1886</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2161</v>
      </c>
      <c r="W289" s="11" t="s">
        <v>992</v>
      </c>
      <c r="X289" s="11" t="s">
        <v>992</v>
      </c>
      <c r="Y289" s="11" t="s">
        <v>992</v>
      </c>
      <c r="Z289" s="11" t="s">
        <v>992</v>
      </c>
      <c r="AA289" s="11" t="s">
        <v>992</v>
      </c>
      <c r="AB289" s="11" t="s">
        <v>992</v>
      </c>
      <c r="AC289" s="11" t="s">
        <v>992</v>
      </c>
      <c r="AD289" s="11" t="s">
        <v>992</v>
      </c>
      <c r="AE289" s="11" t="s">
        <v>993</v>
      </c>
    </row>
    <row r="290">
      <c r="B290" s="24" t="s">
        <v>49</v>
      </c>
      <c r="C290" s="12" t="s">
        <v>1887</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2161</v>
      </c>
      <c r="W290" s="11" t="s">
        <v>992</v>
      </c>
      <c r="X290" s="11" t="s">
        <v>992</v>
      </c>
      <c r="Y290" s="11" t="s">
        <v>992</v>
      </c>
      <c r="Z290" s="11" t="s">
        <v>992</v>
      </c>
      <c r="AA290" s="11" t="s">
        <v>992</v>
      </c>
      <c r="AB290" s="11" t="s">
        <v>992</v>
      </c>
      <c r="AC290" s="11" t="s">
        <v>992</v>
      </c>
      <c r="AD290" s="11" t="s">
        <v>992</v>
      </c>
      <c r="AE290" s="11" t="s">
        <v>993</v>
      </c>
    </row>
    <row r="291">
      <c r="B291" s="24" t="s">
        <v>49</v>
      </c>
      <c r="C291" s="12" t="s">
        <v>1888</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2161</v>
      </c>
      <c r="W291" s="11" t="s">
        <v>992</v>
      </c>
      <c r="X291" s="11" t="s">
        <v>992</v>
      </c>
      <c r="Y291" s="11" t="s">
        <v>992</v>
      </c>
      <c r="Z291" s="11" t="s">
        <v>992</v>
      </c>
      <c r="AA291" s="11" t="s">
        <v>992</v>
      </c>
      <c r="AB291" s="11" t="s">
        <v>992</v>
      </c>
      <c r="AC291" s="11" t="s">
        <v>992</v>
      </c>
      <c r="AD291" s="11" t="s">
        <v>992</v>
      </c>
      <c r="AE291" s="11" t="s">
        <v>993</v>
      </c>
    </row>
    <row r="292">
      <c r="B292" s="24" t="s">
        <v>49</v>
      </c>
      <c r="C292" s="12" t="s">
        <v>1889</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2161</v>
      </c>
      <c r="W292" s="11" t="s">
        <v>992</v>
      </c>
      <c r="X292" s="11" t="s">
        <v>992</v>
      </c>
      <c r="Y292" s="11" t="s">
        <v>992</v>
      </c>
      <c r="Z292" s="11" t="s">
        <v>992</v>
      </c>
      <c r="AA292" s="11" t="s">
        <v>992</v>
      </c>
      <c r="AB292" s="11" t="s">
        <v>992</v>
      </c>
      <c r="AC292" s="11" t="s">
        <v>992</v>
      </c>
      <c r="AD292" s="11" t="s">
        <v>992</v>
      </c>
      <c r="AE292" s="11" t="s">
        <v>993</v>
      </c>
    </row>
    <row r="293">
      <c r="B293" s="24" t="s">
        <v>49</v>
      </c>
      <c r="C293" s="12" t="s">
        <v>1890</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2161</v>
      </c>
      <c r="W293" s="11" t="s">
        <v>992</v>
      </c>
      <c r="X293" s="11" t="s">
        <v>992</v>
      </c>
      <c r="Y293" s="11" t="s">
        <v>992</v>
      </c>
      <c r="Z293" s="11" t="s">
        <v>992</v>
      </c>
      <c r="AA293" s="11" t="s">
        <v>992</v>
      </c>
      <c r="AB293" s="11" t="s">
        <v>992</v>
      </c>
      <c r="AC293" s="11" t="s">
        <v>992</v>
      </c>
      <c r="AD293" s="11" t="s">
        <v>992</v>
      </c>
      <c r="AE293" s="11" t="s">
        <v>993</v>
      </c>
    </row>
    <row r="294">
      <c r="B294" s="24" t="s">
        <v>49</v>
      </c>
      <c r="C294" s="12" t="s">
        <v>1891</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2161</v>
      </c>
      <c r="W294" s="11" t="s">
        <v>992</v>
      </c>
      <c r="X294" s="11" t="s">
        <v>992</v>
      </c>
      <c r="Y294" s="11" t="s">
        <v>992</v>
      </c>
      <c r="Z294" s="11" t="s">
        <v>992</v>
      </c>
      <c r="AA294" s="11" t="s">
        <v>992</v>
      </c>
      <c r="AB294" s="11" t="s">
        <v>992</v>
      </c>
      <c r="AC294" s="11" t="s">
        <v>992</v>
      </c>
      <c r="AD294" s="11" t="s">
        <v>992</v>
      </c>
      <c r="AE294" s="11" t="s">
        <v>993</v>
      </c>
    </row>
    <row r="295">
      <c r="B295" s="24" t="s">
        <v>49</v>
      </c>
      <c r="C295" s="12" t="s">
        <v>1892</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2161</v>
      </c>
      <c r="W295" s="11" t="s">
        <v>992</v>
      </c>
      <c r="X295" s="11" t="s">
        <v>992</v>
      </c>
      <c r="Y295" s="11" t="s">
        <v>992</v>
      </c>
      <c r="Z295" s="11" t="s">
        <v>992</v>
      </c>
      <c r="AA295" s="11" t="s">
        <v>992</v>
      </c>
      <c r="AB295" s="11" t="s">
        <v>992</v>
      </c>
      <c r="AC295" s="11" t="s">
        <v>992</v>
      </c>
      <c r="AD295" s="11" t="s">
        <v>992</v>
      </c>
      <c r="AE295" s="11" t="s">
        <v>993</v>
      </c>
    </row>
    <row r="296">
      <c r="B296" s="24" t="s">
        <v>278</v>
      </c>
      <c r="C296" s="12" t="s">
        <v>1893</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2161</v>
      </c>
      <c r="W296" s="11" t="s">
        <v>992</v>
      </c>
      <c r="X296" s="11" t="s">
        <v>992</v>
      </c>
      <c r="Y296" s="11" t="s">
        <v>992</v>
      </c>
      <c r="Z296" s="11" t="s">
        <v>992</v>
      </c>
      <c r="AA296" s="11" t="s">
        <v>992</v>
      </c>
      <c r="AB296" s="11" t="s">
        <v>992</v>
      </c>
      <c r="AC296" s="11" t="s">
        <v>992</v>
      </c>
      <c r="AD296" s="11" t="s">
        <v>992</v>
      </c>
      <c r="AE296" s="11" t="s">
        <v>993</v>
      </c>
    </row>
    <row r="297">
      <c r="B297" s="24" t="s">
        <v>295</v>
      </c>
      <c r="C297" s="12" t="s">
        <v>1894</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2161</v>
      </c>
      <c r="W297" s="11" t="s">
        <v>992</v>
      </c>
      <c r="X297" s="11" t="s">
        <v>992</v>
      </c>
      <c r="Y297" s="11" t="s">
        <v>992</v>
      </c>
      <c r="Z297" s="11" t="s">
        <v>992</v>
      </c>
      <c r="AA297" s="11" t="s">
        <v>992</v>
      </c>
      <c r="AB297" s="11" t="s">
        <v>992</v>
      </c>
      <c r="AC297" s="11" t="s">
        <v>992</v>
      </c>
      <c r="AD297" s="11" t="s">
        <v>992</v>
      </c>
      <c r="AE297" s="11" t="s">
        <v>993</v>
      </c>
    </row>
    <row r="298">
      <c r="B298" s="24" t="s">
        <v>311</v>
      </c>
      <c r="C298" s="12" t="s">
        <v>1895</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126</v>
      </c>
      <c r="U298" s="11" t="s">
        <v>38</v>
      </c>
      <c r="V298" s="11" t="s">
        <v>2161</v>
      </c>
      <c r="W298" s="11" t="s">
        <v>992</v>
      </c>
      <c r="X298" s="11" t="s">
        <v>992</v>
      </c>
      <c r="Y298" s="11" t="s">
        <v>992</v>
      </c>
      <c r="Z298" s="11" t="s">
        <v>992</v>
      </c>
      <c r="AA298" s="11" t="s">
        <v>992</v>
      </c>
      <c r="AB298" s="11" t="s">
        <v>992</v>
      </c>
      <c r="AC298" s="11" t="s">
        <v>992</v>
      </c>
      <c r="AD298" s="11" t="s">
        <v>992</v>
      </c>
      <c r="AE298" s="11" t="s">
        <v>993</v>
      </c>
    </row>
    <row r="299">
      <c r="B299" s="24" t="s">
        <v>49</v>
      </c>
      <c r="C299" s="12" t="s">
        <v>1896</v>
      </c>
      <c r="D299" s="11" t="s">
        <v>884</v>
      </c>
      <c r="E299" s="11" t="s">
        <v>69</v>
      </c>
      <c r="F299" s="12" t="s">
        <v>694</v>
      </c>
      <c r="G299" s="12" t="s">
        <v>246</v>
      </c>
      <c r="H299" s="12" t="s">
        <v>246</v>
      </c>
      <c r="I299" s="12" t="s">
        <v>60</v>
      </c>
      <c r="J299" s="12" t="s">
        <v>1024</v>
      </c>
      <c r="K299" s="12" t="s">
        <v>69</v>
      </c>
      <c r="L299" s="12" t="s">
        <v>247</v>
      </c>
      <c r="M299" s="12" t="s">
        <v>992</v>
      </c>
      <c r="N299" s="13" t="s">
        <v>2132</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2228</v>
      </c>
    </row>
    <row r="300">
      <c r="B300" s="24" t="s">
        <v>49</v>
      </c>
      <c r="C300" s="12" t="s">
        <v>1897</v>
      </c>
      <c r="D300" s="11" t="s">
        <v>885</v>
      </c>
      <c r="E300" s="11" t="s">
        <v>69</v>
      </c>
      <c r="F300" s="12" t="s">
        <v>49</v>
      </c>
      <c r="G300" s="12" t="s">
        <v>246</v>
      </c>
      <c r="H300" s="12" t="s">
        <v>246</v>
      </c>
      <c r="I300" s="12" t="s">
        <v>60</v>
      </c>
      <c r="J300" s="12" t="s">
        <v>1024</v>
      </c>
      <c r="K300" s="12" t="s">
        <v>69</v>
      </c>
      <c r="L300" s="12" t="s">
        <v>247</v>
      </c>
      <c r="M300" s="12" t="s">
        <v>992</v>
      </c>
      <c r="N300" s="13" t="s">
        <v>2133</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2228</v>
      </c>
    </row>
    <row r="301">
      <c r="B301" s="24" t="s">
        <v>49</v>
      </c>
      <c r="C301" s="12" t="s">
        <v>1898</v>
      </c>
      <c r="D301" s="11" t="s">
        <v>886</v>
      </c>
      <c r="E301" s="11" t="s">
        <v>69</v>
      </c>
      <c r="F301" s="12" t="s">
        <v>49</v>
      </c>
      <c r="G301" s="12" t="s">
        <v>246</v>
      </c>
      <c r="H301" s="12" t="s">
        <v>246</v>
      </c>
      <c r="I301" s="12" t="s">
        <v>430</v>
      </c>
      <c r="J301" s="12" t="s">
        <v>1024</v>
      </c>
      <c r="K301" s="12" t="s">
        <v>69</v>
      </c>
      <c r="L301" s="12" t="s">
        <v>247</v>
      </c>
      <c r="M301" s="12" t="s">
        <v>992</v>
      </c>
      <c r="N301" s="13" t="s">
        <v>2134</v>
      </c>
      <c r="O301" s="11" t="s">
        <v>816</v>
      </c>
      <c r="P301" s="11" t="s">
        <v>600</v>
      </c>
      <c r="Q301" s="11" t="s">
        <v>125</v>
      </c>
      <c r="R301" s="11" t="s">
        <v>150</v>
      </c>
      <c r="S301" s="11" t="s">
        <v>992</v>
      </c>
      <c r="T301" s="11" t="s">
        <v>125</v>
      </c>
      <c r="U301" s="11" t="s">
        <v>1014</v>
      </c>
      <c r="V301" s="11" t="s">
        <v>2157</v>
      </c>
      <c r="W301" s="11" t="s">
        <v>992</v>
      </c>
      <c r="X301" s="11" t="s">
        <v>992</v>
      </c>
      <c r="Y301" s="11" t="s">
        <v>992</v>
      </c>
      <c r="Z301" s="11" t="s">
        <v>2206</v>
      </c>
      <c r="AA301" s="11" t="s">
        <v>2206</v>
      </c>
      <c r="AB301" s="11" t="s">
        <v>30</v>
      </c>
      <c r="AC301" s="11" t="s">
        <v>1349</v>
      </c>
      <c r="AD301" s="11" t="s">
        <v>990</v>
      </c>
      <c r="AE301" s="11" t="s">
        <v>993</v>
      </c>
    </row>
    <row r="302">
      <c r="B302" s="24" t="s">
        <v>49</v>
      </c>
      <c r="C302" s="12" t="s">
        <v>1899</v>
      </c>
      <c r="D302" s="11" t="s">
        <v>887</v>
      </c>
      <c r="E302" s="11" t="s">
        <v>69</v>
      </c>
      <c r="F302" s="12" t="s">
        <v>49</v>
      </c>
      <c r="G302" s="12" t="s">
        <v>246</v>
      </c>
      <c r="H302" s="12" t="s">
        <v>246</v>
      </c>
      <c r="I302" s="12" t="s">
        <v>430</v>
      </c>
      <c r="J302" s="12" t="s">
        <v>1024</v>
      </c>
      <c r="K302" s="12" t="s">
        <v>69</v>
      </c>
      <c r="L302" s="12" t="s">
        <v>247</v>
      </c>
      <c r="M302" s="12" t="s">
        <v>992</v>
      </c>
      <c r="N302" s="13" t="s">
        <v>2135</v>
      </c>
      <c r="O302" s="11" t="s">
        <v>816</v>
      </c>
      <c r="P302" s="11" t="s">
        <v>600</v>
      </c>
      <c r="Q302" s="11" t="s">
        <v>125</v>
      </c>
      <c r="R302" s="11" t="s">
        <v>150</v>
      </c>
      <c r="S302" s="11" t="s">
        <v>992</v>
      </c>
      <c r="T302" s="11" t="s">
        <v>125</v>
      </c>
      <c r="U302" s="11" t="s">
        <v>1014</v>
      </c>
      <c r="V302" s="11" t="s">
        <v>2157</v>
      </c>
      <c r="W302" s="11" t="s">
        <v>2159</v>
      </c>
      <c r="X302" s="11" t="s">
        <v>992</v>
      </c>
      <c r="Y302" s="11" t="s">
        <v>992</v>
      </c>
      <c r="Z302" s="11" t="s">
        <v>2207</v>
      </c>
      <c r="AA302" s="11" t="s">
        <v>2227</v>
      </c>
      <c r="AB302" s="11" t="s">
        <v>30</v>
      </c>
      <c r="AC302" s="11" t="s">
        <v>1342</v>
      </c>
      <c r="AD302" s="11" t="s">
        <v>1004</v>
      </c>
      <c r="AE302" s="11" t="s">
        <v>993</v>
      </c>
    </row>
    <row r="303">
      <c r="B303" s="24" t="s">
        <v>49</v>
      </c>
      <c r="C303" s="12" t="s">
        <v>1900</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2157</v>
      </c>
      <c r="W303" s="11" t="s">
        <v>2161</v>
      </c>
      <c r="X303" s="11" t="s">
        <v>992</v>
      </c>
      <c r="Y303" s="11" t="s">
        <v>992</v>
      </c>
      <c r="Z303" s="11" t="s">
        <v>992</v>
      </c>
      <c r="AA303" s="11" t="s">
        <v>992</v>
      </c>
      <c r="AB303" s="11" t="s">
        <v>992</v>
      </c>
      <c r="AC303" s="11" t="s">
        <v>992</v>
      </c>
      <c r="AD303" s="11" t="s">
        <v>971</v>
      </c>
      <c r="AE303" s="11" t="s">
        <v>993</v>
      </c>
    </row>
    <row r="304">
      <c r="B304" s="24" t="s">
        <v>49</v>
      </c>
      <c r="C304" s="12" t="s">
        <v>1901</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2228</v>
      </c>
    </row>
    <row r="305">
      <c r="B305" s="24" t="s">
        <v>49</v>
      </c>
      <c r="C305" s="12" t="s">
        <v>1902</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2228</v>
      </c>
    </row>
    <row r="306">
      <c r="B306" s="24" t="s">
        <v>49</v>
      </c>
      <c r="C306" s="12" t="s">
        <v>1903</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2228</v>
      </c>
    </row>
    <row r="307">
      <c r="B307" s="24" t="s">
        <v>49</v>
      </c>
      <c r="C307" s="12" t="s">
        <v>1904</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2228</v>
      </c>
    </row>
    <row r="308">
      <c r="B308" s="24" t="s">
        <v>49</v>
      </c>
      <c r="C308" s="12" t="s">
        <v>1905</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1906</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2161</v>
      </c>
      <c r="W309" s="11" t="s">
        <v>992</v>
      </c>
      <c r="X309" s="11" t="s">
        <v>992</v>
      </c>
      <c r="Y309" s="11" t="s">
        <v>992</v>
      </c>
      <c r="Z309" s="11" t="s">
        <v>992</v>
      </c>
      <c r="AA309" s="11" t="s">
        <v>992</v>
      </c>
      <c r="AB309" s="11" t="s">
        <v>992</v>
      </c>
      <c r="AC309" s="11" t="s">
        <v>992</v>
      </c>
      <c r="AD309" s="11" t="s">
        <v>992</v>
      </c>
      <c r="AE309" s="11" t="s">
        <v>993</v>
      </c>
    </row>
    <row r="310">
      <c r="B310" s="24" t="s">
        <v>49</v>
      </c>
      <c r="C310" s="12" t="s">
        <v>1907</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1908</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1909</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2161</v>
      </c>
      <c r="W312" s="11" t="s">
        <v>992</v>
      </c>
      <c r="X312" s="11" t="s">
        <v>992</v>
      </c>
      <c r="Y312" s="11" t="s">
        <v>992</v>
      </c>
      <c r="Z312" s="11" t="s">
        <v>992</v>
      </c>
      <c r="AA312" s="11" t="s">
        <v>992</v>
      </c>
      <c r="AB312" s="11" t="s">
        <v>992</v>
      </c>
      <c r="AC312" s="11" t="s">
        <v>992</v>
      </c>
      <c r="AD312" s="11" t="s">
        <v>992</v>
      </c>
      <c r="AE312" s="11" t="s">
        <v>993</v>
      </c>
    </row>
    <row r="313">
      <c r="B313" s="24" t="s">
        <v>49</v>
      </c>
      <c r="C313" s="12" t="s">
        <v>1910</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2161</v>
      </c>
      <c r="W313" s="11" t="s">
        <v>992</v>
      </c>
      <c r="X313" s="11" t="s">
        <v>992</v>
      </c>
      <c r="Y313" s="11" t="s">
        <v>992</v>
      </c>
      <c r="Z313" s="11" t="s">
        <v>992</v>
      </c>
      <c r="AA313" s="11" t="s">
        <v>992</v>
      </c>
      <c r="AB313" s="11" t="s">
        <v>992</v>
      </c>
      <c r="AC313" s="11" t="s">
        <v>992</v>
      </c>
      <c r="AD313" s="11" t="s">
        <v>992</v>
      </c>
      <c r="AE313" s="11" t="s">
        <v>993</v>
      </c>
    </row>
    <row r="314">
      <c r="B314" s="24" t="s">
        <v>49</v>
      </c>
      <c r="C314" s="12" t="s">
        <v>1911</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2228</v>
      </c>
    </row>
    <row r="315">
      <c r="B315" s="24" t="s">
        <v>49</v>
      </c>
      <c r="C315" s="12" t="s">
        <v>1912</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2228</v>
      </c>
    </row>
    <row r="316">
      <c r="B316" s="24" t="s">
        <v>49</v>
      </c>
      <c r="C316" s="12" t="s">
        <v>1913</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2228</v>
      </c>
    </row>
    <row r="317">
      <c r="B317" s="24" t="s">
        <v>49</v>
      </c>
      <c r="C317" s="12" t="s">
        <v>1914</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2228</v>
      </c>
    </row>
    <row r="318">
      <c r="B318" s="24" t="s">
        <v>49</v>
      </c>
      <c r="C318" s="12" t="s">
        <v>1915</v>
      </c>
      <c r="D318" s="11" t="s">
        <v>914</v>
      </c>
      <c r="E318" s="11" t="s">
        <v>910</v>
      </c>
      <c r="F318" s="12" t="s">
        <v>49</v>
      </c>
      <c r="G318" s="12" t="s">
        <v>246</v>
      </c>
      <c r="H318" s="12" t="s">
        <v>246</v>
      </c>
      <c r="I318" s="12" t="s">
        <v>111</v>
      </c>
      <c r="J318" s="12" t="s">
        <v>1031</v>
      </c>
      <c r="K318" s="12" t="s">
        <v>118</v>
      </c>
      <c r="L318" s="12" t="s">
        <v>247</v>
      </c>
      <c r="M318" s="12" t="s">
        <v>992</v>
      </c>
      <c r="N318" s="13" t="s">
        <v>915</v>
      </c>
      <c r="O318" s="11" t="s">
        <v>118</v>
      </c>
      <c r="P318" s="11" t="s">
        <v>323</v>
      </c>
      <c r="Q318" s="11" t="s">
        <v>126</v>
      </c>
      <c r="R318" s="11" t="s">
        <v>150</v>
      </c>
      <c r="S318" s="11" t="s">
        <v>992</v>
      </c>
      <c r="T318" s="11" t="s">
        <v>125</v>
      </c>
      <c r="U318" s="11" t="s">
        <v>1014</v>
      </c>
      <c r="V318" s="11" t="s">
        <v>2163</v>
      </c>
      <c r="W318" s="11" t="s">
        <v>992</v>
      </c>
      <c r="X318" s="11" t="s">
        <v>992</v>
      </c>
      <c r="Y318" s="11" t="s">
        <v>2163</v>
      </c>
      <c r="Z318" s="11" t="s">
        <v>2208</v>
      </c>
      <c r="AA318" s="11" t="s">
        <v>2208</v>
      </c>
      <c r="AB318" s="11" t="s">
        <v>30</v>
      </c>
      <c r="AC318" s="11" t="s">
        <v>1348</v>
      </c>
      <c r="AD318" s="11" t="s">
        <v>1205</v>
      </c>
      <c r="AE318" s="11" t="s">
        <v>993</v>
      </c>
    </row>
    <row r="319">
      <c r="B319" s="24" t="s">
        <v>49</v>
      </c>
      <c r="C319" s="12" t="s">
        <v>1916</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2161</v>
      </c>
      <c r="W319" s="11" t="s">
        <v>992</v>
      </c>
      <c r="X319" s="11" t="s">
        <v>992</v>
      </c>
      <c r="Y319" s="11" t="s">
        <v>992</v>
      </c>
      <c r="Z319" s="11" t="s">
        <v>992</v>
      </c>
      <c r="AA319" s="11" t="s">
        <v>992</v>
      </c>
      <c r="AB319" s="11" t="s">
        <v>992</v>
      </c>
      <c r="AC319" s="11" t="s">
        <v>992</v>
      </c>
      <c r="AD319" s="11" t="s">
        <v>992</v>
      </c>
      <c r="AE319" s="11" t="s">
        <v>993</v>
      </c>
    </row>
    <row r="320">
      <c r="B320" s="24" t="s">
        <v>49</v>
      </c>
      <c r="C320" s="12" t="s">
        <v>1917</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2161</v>
      </c>
      <c r="W320" s="11" t="s">
        <v>992</v>
      </c>
      <c r="X320" s="11" t="s">
        <v>992</v>
      </c>
      <c r="Y320" s="11" t="s">
        <v>992</v>
      </c>
      <c r="Z320" s="11" t="s">
        <v>992</v>
      </c>
      <c r="AA320" s="11" t="s">
        <v>992</v>
      </c>
      <c r="AB320" s="11" t="s">
        <v>992</v>
      </c>
      <c r="AC320" s="11" t="s">
        <v>992</v>
      </c>
      <c r="AD320" s="11" t="s">
        <v>992</v>
      </c>
      <c r="AE320" s="11" t="s">
        <v>993</v>
      </c>
    </row>
    <row r="321">
      <c r="B321" s="24" t="s">
        <v>49</v>
      </c>
      <c r="C321" s="12" t="s">
        <v>1918</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2228</v>
      </c>
    </row>
    <row r="322">
      <c r="B322" s="24" t="s">
        <v>49</v>
      </c>
      <c r="C322" s="12" t="s">
        <v>1919</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2228</v>
      </c>
    </row>
    <row r="323">
      <c r="B323" s="24" t="s">
        <v>49</v>
      </c>
      <c r="C323" s="12" t="s">
        <v>1920</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2159</v>
      </c>
      <c r="W323" s="11" t="s">
        <v>1373</v>
      </c>
      <c r="X323" s="11" t="s">
        <v>992</v>
      </c>
      <c r="Y323" s="11" t="s">
        <v>992</v>
      </c>
      <c r="Z323" s="11" t="s">
        <v>992</v>
      </c>
      <c r="AA323" s="11" t="s">
        <v>992</v>
      </c>
      <c r="AB323" s="11" t="s">
        <v>992</v>
      </c>
      <c r="AC323" s="11" t="s">
        <v>992</v>
      </c>
      <c r="AD323" s="11" t="s">
        <v>991</v>
      </c>
      <c r="AE323" s="11" t="s">
        <v>993</v>
      </c>
    </row>
    <row r="324">
      <c r="B324" s="24" t="s">
        <v>49</v>
      </c>
      <c r="C324" s="12" t="s">
        <v>1921</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2228</v>
      </c>
    </row>
    <row r="325">
      <c r="B325" s="24" t="s">
        <v>49</v>
      </c>
      <c r="C325" s="12" t="s">
        <v>1922</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2228</v>
      </c>
    </row>
    <row r="326">
      <c r="B326" s="24" t="s">
        <v>49</v>
      </c>
      <c r="C326" s="12" t="s">
        <v>1923</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2228</v>
      </c>
    </row>
    <row r="327">
      <c r="B327" s="24" t="s">
        <v>49</v>
      </c>
      <c r="C327" s="12" t="s">
        <v>1924</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2228</v>
      </c>
    </row>
    <row r="328">
      <c r="B328" s="24" t="s">
        <v>49</v>
      </c>
      <c r="C328" s="12" t="s">
        <v>1925</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2228</v>
      </c>
    </row>
    <row r="329">
      <c r="B329" s="24" t="s">
        <v>49</v>
      </c>
      <c r="C329" s="12" t="s">
        <v>1926</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2161</v>
      </c>
      <c r="W329" s="11" t="s">
        <v>992</v>
      </c>
      <c r="X329" s="11" t="s">
        <v>992</v>
      </c>
      <c r="Y329" s="11" t="s">
        <v>992</v>
      </c>
      <c r="Z329" s="11" t="s">
        <v>992</v>
      </c>
      <c r="AA329" s="11" t="s">
        <v>992</v>
      </c>
      <c r="AB329" s="11" t="s">
        <v>992</v>
      </c>
      <c r="AC329" s="11" t="s">
        <v>992</v>
      </c>
      <c r="AD329" s="11" t="s">
        <v>992</v>
      </c>
      <c r="AE329" s="11" t="s">
        <v>993</v>
      </c>
    </row>
    <row r="330">
      <c r="B330" s="24" t="s">
        <v>291</v>
      </c>
      <c r="C330" s="12" t="s">
        <v>1927</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2161</v>
      </c>
      <c r="W330" s="11" t="s">
        <v>992</v>
      </c>
      <c r="X330" s="11" t="s">
        <v>992</v>
      </c>
      <c r="Y330" s="11" t="s">
        <v>992</v>
      </c>
      <c r="Z330" s="11" t="s">
        <v>992</v>
      </c>
      <c r="AA330" s="11" t="s">
        <v>992</v>
      </c>
      <c r="AB330" s="11" t="s">
        <v>992</v>
      </c>
      <c r="AC330" s="11" t="s">
        <v>992</v>
      </c>
      <c r="AD330" s="11" t="s">
        <v>992</v>
      </c>
      <c r="AE330" s="11" t="s">
        <v>993</v>
      </c>
    </row>
    <row r="331">
      <c r="B331" s="24" t="s">
        <v>291</v>
      </c>
      <c r="C331" s="12" t="s">
        <v>1928</v>
      </c>
      <c r="D331" s="11" t="s">
        <v>1040</v>
      </c>
      <c r="E331" s="11" t="s">
        <v>93</v>
      </c>
      <c r="F331" s="12" t="s">
        <v>291</v>
      </c>
      <c r="G331" s="12" t="s">
        <v>246</v>
      </c>
      <c r="H331" s="12" t="s">
        <v>246</v>
      </c>
      <c r="I331" s="12" t="s">
        <v>430</v>
      </c>
      <c r="J331" s="12" t="s">
        <v>93</v>
      </c>
      <c r="K331" s="12" t="s">
        <v>1022</v>
      </c>
      <c r="L331" s="12" t="s">
        <v>247</v>
      </c>
      <c r="M331" s="12" t="s">
        <v>992</v>
      </c>
      <c r="N331" s="13" t="s">
        <v>2136</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2228</v>
      </c>
    </row>
    <row r="332">
      <c r="B332" s="24" t="s">
        <v>291</v>
      </c>
      <c r="C332" s="12" t="s">
        <v>1929</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2228</v>
      </c>
    </row>
    <row r="333">
      <c r="B333" s="24" t="s">
        <v>291</v>
      </c>
      <c r="C333" s="12" t="s">
        <v>1930</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2228</v>
      </c>
    </row>
    <row r="334">
      <c r="B334" s="24" t="s">
        <v>291</v>
      </c>
      <c r="C334" s="12" t="s">
        <v>1931</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2209</v>
      </c>
      <c r="AA334" s="11" t="s">
        <v>2209</v>
      </c>
      <c r="AB334" s="11" t="s">
        <v>30</v>
      </c>
      <c r="AC334" s="11" t="s">
        <v>1337</v>
      </c>
      <c r="AD334" s="11" t="s">
        <v>992</v>
      </c>
      <c r="AE334" s="11" t="s">
        <v>993</v>
      </c>
    </row>
    <row r="335">
      <c r="B335" s="24" t="s">
        <v>291</v>
      </c>
      <c r="C335" s="12" t="s">
        <v>1932</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2228</v>
      </c>
    </row>
    <row r="336">
      <c r="B336" s="24" t="s">
        <v>416</v>
      </c>
      <c r="C336" s="12" t="s">
        <v>1933</v>
      </c>
      <c r="D336" s="11" t="s">
        <v>1041</v>
      </c>
      <c r="E336" s="11" t="s">
        <v>93</v>
      </c>
      <c r="F336" s="12" t="s">
        <v>416</v>
      </c>
      <c r="G336" s="12" t="s">
        <v>246</v>
      </c>
      <c r="H336" s="12" t="s">
        <v>246</v>
      </c>
      <c r="I336" s="12" t="s">
        <v>430</v>
      </c>
      <c r="J336" s="12" t="s">
        <v>93</v>
      </c>
      <c r="K336" s="12" t="s">
        <v>1022</v>
      </c>
      <c r="L336" s="12" t="s">
        <v>247</v>
      </c>
      <c r="M336" s="12" t="s">
        <v>992</v>
      </c>
      <c r="N336" s="13" t="s">
        <v>1080</v>
      </c>
      <c r="O336" s="11" t="s">
        <v>532</v>
      </c>
      <c r="P336" s="11" t="s">
        <v>323</v>
      </c>
      <c r="Q336" s="11" t="s">
        <v>125</v>
      </c>
      <c r="R336" s="11" t="s">
        <v>150</v>
      </c>
      <c r="S336" s="11" t="s">
        <v>125</v>
      </c>
      <c r="T336" s="11" t="s">
        <v>126</v>
      </c>
      <c r="U336" s="11" t="s">
        <v>38</v>
      </c>
      <c r="V336" s="11" t="s">
        <v>2161</v>
      </c>
      <c r="W336" s="11" t="s">
        <v>992</v>
      </c>
      <c r="X336" s="11" t="s">
        <v>992</v>
      </c>
      <c r="Y336" s="11" t="s">
        <v>992</v>
      </c>
      <c r="Z336" s="11" t="s">
        <v>992</v>
      </c>
      <c r="AA336" s="11" t="s">
        <v>992</v>
      </c>
      <c r="AB336" s="11" t="s">
        <v>992</v>
      </c>
      <c r="AC336" s="11" t="s">
        <v>992</v>
      </c>
      <c r="AD336" s="11" t="s">
        <v>992</v>
      </c>
      <c r="AE336" s="11" t="s">
        <v>993</v>
      </c>
    </row>
    <row r="337">
      <c r="B337" s="24" t="s">
        <v>416</v>
      </c>
      <c r="C337" s="12" t="s">
        <v>1934</v>
      </c>
      <c r="D337" s="11" t="s">
        <v>1042</v>
      </c>
      <c r="E337" s="11" t="s">
        <v>661</v>
      </c>
      <c r="F337" s="12" t="s">
        <v>416</v>
      </c>
      <c r="G337" s="12" t="s">
        <v>246</v>
      </c>
      <c r="H337" s="12" t="s">
        <v>246</v>
      </c>
      <c r="I337" s="12" t="s">
        <v>430</v>
      </c>
      <c r="J337" s="12" t="s">
        <v>71</v>
      </c>
      <c r="K337" s="12" t="s">
        <v>1570</v>
      </c>
      <c r="L337" s="12" t="s">
        <v>247</v>
      </c>
      <c r="M337" s="12" t="s">
        <v>992</v>
      </c>
      <c r="N337" s="13" t="s">
        <v>1081</v>
      </c>
      <c r="O337" s="11" t="s">
        <v>118</v>
      </c>
      <c r="P337" s="11" t="s">
        <v>323</v>
      </c>
      <c r="Q337" s="11" t="s">
        <v>125</v>
      </c>
      <c r="R337" s="11" t="s">
        <v>150</v>
      </c>
      <c r="S337" s="11" t="s">
        <v>125</v>
      </c>
      <c r="T337" s="11" t="s">
        <v>125</v>
      </c>
      <c r="U337" s="11" t="s">
        <v>1014</v>
      </c>
      <c r="V337" s="11" t="s">
        <v>2161</v>
      </c>
      <c r="W337" s="11" t="s">
        <v>992</v>
      </c>
      <c r="X337" s="11" t="s">
        <v>992</v>
      </c>
      <c r="Y337" s="11" t="s">
        <v>992</v>
      </c>
      <c r="Z337" s="11" t="s">
        <v>2210</v>
      </c>
      <c r="AA337" s="11" t="s">
        <v>2210</v>
      </c>
      <c r="AB337" s="11" t="s">
        <v>30</v>
      </c>
      <c r="AC337" s="11" t="s">
        <v>1332</v>
      </c>
      <c r="AD337" s="11" t="s">
        <v>992</v>
      </c>
      <c r="AE337" s="11" t="s">
        <v>993</v>
      </c>
    </row>
    <row r="338">
      <c r="B338" s="24" t="s">
        <v>308</v>
      </c>
      <c r="C338" s="12" t="s">
        <v>1935</v>
      </c>
      <c r="D338" s="11" t="s">
        <v>1299</v>
      </c>
      <c r="E338" s="11" t="s">
        <v>1062</v>
      </c>
      <c r="F338" s="12" t="s">
        <v>308</v>
      </c>
      <c r="G338" s="12" t="s">
        <v>246</v>
      </c>
      <c r="H338" s="12" t="s">
        <v>246</v>
      </c>
      <c r="I338" s="12" t="s">
        <v>111</v>
      </c>
      <c r="J338" s="12" t="s">
        <v>1032</v>
      </c>
      <c r="K338" s="12" t="s">
        <v>118</v>
      </c>
      <c r="L338" s="12" t="s">
        <v>247</v>
      </c>
      <c r="M338" s="12" t="s">
        <v>992</v>
      </c>
      <c r="N338" s="13" t="s">
        <v>1300</v>
      </c>
      <c r="O338" s="11" t="s">
        <v>118</v>
      </c>
      <c r="P338" s="11" t="s">
        <v>323</v>
      </c>
      <c r="Q338" s="11" t="s">
        <v>126</v>
      </c>
      <c r="R338" s="11" t="s">
        <v>150</v>
      </c>
      <c r="S338" s="11" t="s">
        <v>992</v>
      </c>
      <c r="T338" s="11" t="s">
        <v>126</v>
      </c>
      <c r="U338" s="11" t="s">
        <v>992</v>
      </c>
      <c r="V338" s="11" t="s">
        <v>992</v>
      </c>
      <c r="W338" s="11" t="s">
        <v>992</v>
      </c>
      <c r="X338" s="11" t="s">
        <v>992</v>
      </c>
      <c r="Y338" s="11" t="s">
        <v>992</v>
      </c>
      <c r="Z338" s="11" t="s">
        <v>992</v>
      </c>
      <c r="AA338" s="11" t="s">
        <v>992</v>
      </c>
      <c r="AB338" s="11" t="s">
        <v>992</v>
      </c>
      <c r="AC338" s="11" t="s">
        <v>992</v>
      </c>
      <c r="AD338" s="11" t="s">
        <v>992</v>
      </c>
      <c r="AE338" s="11" t="s">
        <v>2228</v>
      </c>
    </row>
    <row r="339">
      <c r="B339" s="24" t="s">
        <v>314</v>
      </c>
      <c r="C339" s="12" t="s">
        <v>1936</v>
      </c>
      <c r="D339" s="11" t="s">
        <v>438</v>
      </c>
      <c r="E339" s="11" t="s">
        <v>429</v>
      </c>
      <c r="F339" s="12" t="s">
        <v>314</v>
      </c>
      <c r="G339" s="12" t="s">
        <v>246</v>
      </c>
      <c r="H339" s="12" t="s">
        <v>246</v>
      </c>
      <c r="I339" s="12" t="s">
        <v>430</v>
      </c>
      <c r="J339" s="12" t="s">
        <v>20</v>
      </c>
      <c r="K339" s="12" t="s">
        <v>1022</v>
      </c>
      <c r="L339" s="12" t="s">
        <v>247</v>
      </c>
      <c r="M339" s="12" t="s">
        <v>992</v>
      </c>
      <c r="N339" s="13" t="s">
        <v>440</v>
      </c>
      <c r="O339" s="11" t="s">
        <v>1087</v>
      </c>
      <c r="P339" s="11" t="s">
        <v>323</v>
      </c>
      <c r="Q339" s="11" t="s">
        <v>125</v>
      </c>
      <c r="R339" s="11" t="s">
        <v>150</v>
      </c>
      <c r="S339" s="11" t="s">
        <v>992</v>
      </c>
      <c r="T339" s="11" t="s">
        <v>125</v>
      </c>
      <c r="U339" s="11" t="s">
        <v>38</v>
      </c>
      <c r="V339" s="11" t="s">
        <v>1373</v>
      </c>
      <c r="W339" s="11" t="s">
        <v>992</v>
      </c>
      <c r="X339" s="11" t="s">
        <v>992</v>
      </c>
      <c r="Y339" s="11" t="s">
        <v>992</v>
      </c>
      <c r="Z339" s="11" t="s">
        <v>992</v>
      </c>
      <c r="AA339" s="11" t="s">
        <v>992</v>
      </c>
      <c r="AB339" s="11" t="s">
        <v>992</v>
      </c>
      <c r="AC339" s="11" t="s">
        <v>992</v>
      </c>
      <c r="AD339" s="11" t="s">
        <v>992</v>
      </c>
      <c r="AE339" s="11" t="s">
        <v>993</v>
      </c>
    </row>
    <row r="340">
      <c r="B340" s="24" t="s">
        <v>49</v>
      </c>
      <c r="C340" s="12" t="s">
        <v>1937</v>
      </c>
      <c r="D340" s="11" t="s">
        <v>1043</v>
      </c>
      <c r="E340" s="11" t="s">
        <v>1063</v>
      </c>
      <c r="F340" s="12" t="s">
        <v>49</v>
      </c>
      <c r="G340" s="12" t="s">
        <v>246</v>
      </c>
      <c r="H340" s="12" t="s">
        <v>246</v>
      </c>
      <c r="I340" s="12" t="s">
        <v>82</v>
      </c>
      <c r="J340" s="12" t="s">
        <v>1009</v>
      </c>
      <c r="K340" s="12" t="s">
        <v>118</v>
      </c>
      <c r="L340" s="12" t="s">
        <v>247</v>
      </c>
      <c r="M340" s="12" t="s">
        <v>992</v>
      </c>
      <c r="N340" s="13" t="s">
        <v>1082</v>
      </c>
      <c r="O340" s="11" t="s">
        <v>118</v>
      </c>
      <c r="P340" s="11" t="s">
        <v>323</v>
      </c>
      <c r="Q340" s="11" t="s">
        <v>126</v>
      </c>
      <c r="R340" s="11" t="s">
        <v>150</v>
      </c>
      <c r="S340" s="11" t="s">
        <v>125</v>
      </c>
      <c r="T340" s="11" t="s">
        <v>126</v>
      </c>
      <c r="U340" s="11" t="s">
        <v>38</v>
      </c>
      <c r="V340" s="11" t="s">
        <v>2161</v>
      </c>
      <c r="W340" s="11" t="s">
        <v>992</v>
      </c>
      <c r="X340" s="11" t="s">
        <v>992</v>
      </c>
      <c r="Y340" s="11" t="s">
        <v>992</v>
      </c>
      <c r="Z340" s="11" t="s">
        <v>992</v>
      </c>
      <c r="AA340" s="11" t="s">
        <v>992</v>
      </c>
      <c r="AB340" s="11" t="s">
        <v>992</v>
      </c>
      <c r="AC340" s="11" t="s">
        <v>992</v>
      </c>
      <c r="AD340" s="11" t="s">
        <v>992</v>
      </c>
      <c r="AE340" s="11" t="s">
        <v>993</v>
      </c>
    </row>
    <row r="341">
      <c r="B341" s="24" t="s">
        <v>49</v>
      </c>
      <c r="C341" s="12" t="s">
        <v>1938</v>
      </c>
      <c r="D341" s="11" t="s">
        <v>1044</v>
      </c>
      <c r="E341" s="11" t="s">
        <v>282</v>
      </c>
      <c r="F341" s="12" t="s">
        <v>49</v>
      </c>
      <c r="G341" s="12" t="s">
        <v>246</v>
      </c>
      <c r="H341" s="12" t="s">
        <v>246</v>
      </c>
      <c r="I341" s="12" t="s">
        <v>82</v>
      </c>
      <c r="J341" s="12" t="s">
        <v>1009</v>
      </c>
      <c r="K341" s="12" t="s">
        <v>118</v>
      </c>
      <c r="L341" s="12" t="s">
        <v>247</v>
      </c>
      <c r="M341" s="12" t="s">
        <v>992</v>
      </c>
      <c r="N341" s="13" t="s">
        <v>992</v>
      </c>
      <c r="O341" s="11" t="s">
        <v>1088</v>
      </c>
      <c r="P341" s="11" t="s">
        <v>249</v>
      </c>
      <c r="Q341" s="11" t="s">
        <v>125</v>
      </c>
      <c r="R341" s="11" t="s">
        <v>150</v>
      </c>
      <c r="S341" s="11" t="s">
        <v>125</v>
      </c>
      <c r="T341" s="11" t="s">
        <v>126</v>
      </c>
      <c r="U341" s="11" t="s">
        <v>38</v>
      </c>
      <c r="V341" s="11" t="s">
        <v>2161</v>
      </c>
      <c r="W341" s="11" t="s">
        <v>992</v>
      </c>
      <c r="X341" s="11" t="s">
        <v>992</v>
      </c>
      <c r="Y341" s="11" t="s">
        <v>992</v>
      </c>
      <c r="Z341" s="11" t="s">
        <v>992</v>
      </c>
      <c r="AA341" s="11" t="s">
        <v>992</v>
      </c>
      <c r="AB341" s="11" t="s">
        <v>992</v>
      </c>
      <c r="AC341" s="11" t="s">
        <v>992</v>
      </c>
      <c r="AD341" s="11" t="s">
        <v>992</v>
      </c>
      <c r="AE341" s="11" t="s">
        <v>993</v>
      </c>
    </row>
    <row r="342">
      <c r="B342" s="24" t="s">
        <v>311</v>
      </c>
      <c r="C342" s="12" t="s">
        <v>1939</v>
      </c>
      <c r="D342" s="11" t="s">
        <v>1045</v>
      </c>
      <c r="E342" s="11" t="s">
        <v>1064</v>
      </c>
      <c r="F342" s="12" t="s">
        <v>311</v>
      </c>
      <c r="G342" s="12" t="s">
        <v>246</v>
      </c>
      <c r="H342" s="12" t="s">
        <v>246</v>
      </c>
      <c r="I342" s="12" t="s">
        <v>82</v>
      </c>
      <c r="J342" s="12" t="s">
        <v>1009</v>
      </c>
      <c r="K342" s="12" t="s">
        <v>118</v>
      </c>
      <c r="L342" s="12" t="s">
        <v>247</v>
      </c>
      <c r="M342" s="12" t="s">
        <v>992</v>
      </c>
      <c r="N342" s="13" t="s">
        <v>1083</v>
      </c>
      <c r="O342" s="11" t="s">
        <v>1089</v>
      </c>
      <c r="P342" s="11" t="s">
        <v>1098</v>
      </c>
      <c r="Q342" s="11" t="s">
        <v>126</v>
      </c>
      <c r="R342" s="11" t="s">
        <v>150</v>
      </c>
      <c r="S342" s="11" t="s">
        <v>125</v>
      </c>
      <c r="T342" s="11" t="s">
        <v>125</v>
      </c>
      <c r="U342" s="11" t="s">
        <v>1014</v>
      </c>
      <c r="V342" s="11" t="s">
        <v>2164</v>
      </c>
      <c r="W342" s="11" t="s">
        <v>992</v>
      </c>
      <c r="X342" s="11" t="s">
        <v>992</v>
      </c>
      <c r="Y342" s="11" t="s">
        <v>2186</v>
      </c>
      <c r="Z342" s="11" t="s">
        <v>2211</v>
      </c>
      <c r="AA342" s="11" t="s">
        <v>2211</v>
      </c>
      <c r="AB342" s="11" t="s">
        <v>30</v>
      </c>
      <c r="AC342" s="11" t="s">
        <v>1342</v>
      </c>
      <c r="AD342" s="11" t="s">
        <v>992</v>
      </c>
      <c r="AE342" s="11" t="s">
        <v>993</v>
      </c>
    </row>
    <row r="343">
      <c r="B343" s="24" t="s">
        <v>283</v>
      </c>
      <c r="C343" s="12" t="s">
        <v>1940</v>
      </c>
      <c r="D343" s="11" t="s">
        <v>1046</v>
      </c>
      <c r="E343" s="11" t="s">
        <v>1301</v>
      </c>
      <c r="F343" s="12" t="s">
        <v>283</v>
      </c>
      <c r="G343" s="12" t="s">
        <v>246</v>
      </c>
      <c r="H343" s="12" t="s">
        <v>246</v>
      </c>
      <c r="I343" s="12" t="s">
        <v>82</v>
      </c>
      <c r="J343" s="12" t="s">
        <v>1009</v>
      </c>
      <c r="K343" s="12" t="s">
        <v>118</v>
      </c>
      <c r="L343" s="12" t="s">
        <v>247</v>
      </c>
      <c r="M343" s="12" t="s">
        <v>992</v>
      </c>
      <c r="N343" s="13" t="s">
        <v>992</v>
      </c>
      <c r="O343" s="11" t="s">
        <v>1090</v>
      </c>
      <c r="P343" s="11" t="s">
        <v>1098</v>
      </c>
      <c r="Q343" s="11" t="s">
        <v>125</v>
      </c>
      <c r="R343" s="11" t="s">
        <v>150</v>
      </c>
      <c r="S343" s="11" t="s">
        <v>125</v>
      </c>
      <c r="T343" s="11" t="s">
        <v>126</v>
      </c>
      <c r="U343" s="11" t="s">
        <v>38</v>
      </c>
      <c r="V343" s="11" t="s">
        <v>2161</v>
      </c>
      <c r="W343" s="11" t="s">
        <v>992</v>
      </c>
      <c r="X343" s="11" t="s">
        <v>992</v>
      </c>
      <c r="Y343" s="11" t="s">
        <v>992</v>
      </c>
      <c r="Z343" s="11" t="s">
        <v>992</v>
      </c>
      <c r="AA343" s="11" t="s">
        <v>992</v>
      </c>
      <c r="AB343" s="11" t="s">
        <v>992</v>
      </c>
      <c r="AC343" s="11" t="s">
        <v>992</v>
      </c>
      <c r="AD343" s="11" t="s">
        <v>992</v>
      </c>
      <c r="AE343" s="11" t="s">
        <v>993</v>
      </c>
    </row>
    <row r="344">
      <c r="B344" s="24" t="s">
        <v>49</v>
      </c>
      <c r="C344" s="12" t="s">
        <v>1941</v>
      </c>
      <c r="D344" s="11" t="s">
        <v>1047</v>
      </c>
      <c r="E344" s="11" t="s">
        <v>1065</v>
      </c>
      <c r="F344" s="12" t="s">
        <v>49</v>
      </c>
      <c r="G344" s="12" t="s">
        <v>246</v>
      </c>
      <c r="H344" s="12" t="s">
        <v>246</v>
      </c>
      <c r="I344" s="12" t="s">
        <v>82</v>
      </c>
      <c r="J344" s="12" t="s">
        <v>1009</v>
      </c>
      <c r="K344" s="12" t="s">
        <v>118</v>
      </c>
      <c r="L344" s="12" t="s">
        <v>247</v>
      </c>
      <c r="M344" s="12" t="s">
        <v>992</v>
      </c>
      <c r="N344" s="13" t="s">
        <v>992</v>
      </c>
      <c r="O344" s="11" t="s">
        <v>1091</v>
      </c>
      <c r="P344" s="11" t="s">
        <v>1098</v>
      </c>
      <c r="Q344" s="11" t="s">
        <v>125</v>
      </c>
      <c r="R344" s="11" t="s">
        <v>150</v>
      </c>
      <c r="S344" s="11" t="s">
        <v>125</v>
      </c>
      <c r="T344" s="11" t="s">
        <v>125</v>
      </c>
      <c r="U344" s="11" t="s">
        <v>132</v>
      </c>
      <c r="V344" s="11" t="s">
        <v>992</v>
      </c>
      <c r="W344" s="11" t="s">
        <v>992</v>
      </c>
      <c r="X344" s="11" t="s">
        <v>992</v>
      </c>
      <c r="Y344" s="11" t="s">
        <v>992</v>
      </c>
      <c r="Z344" s="11" t="s">
        <v>992</v>
      </c>
      <c r="AA344" s="11" t="s">
        <v>992</v>
      </c>
      <c r="AB344" s="11" t="s">
        <v>992</v>
      </c>
      <c r="AC344" s="11" t="s">
        <v>992</v>
      </c>
      <c r="AD344" s="11" t="s">
        <v>1258</v>
      </c>
      <c r="AE344" s="11" t="s">
        <v>993</v>
      </c>
    </row>
    <row r="345">
      <c r="B345" s="24" t="s">
        <v>49</v>
      </c>
      <c r="C345" s="12" t="s">
        <v>1942</v>
      </c>
      <c r="D345" s="11" t="s">
        <v>1048</v>
      </c>
      <c r="E345" s="11" t="s">
        <v>1066</v>
      </c>
      <c r="F345" s="12" t="s">
        <v>49</v>
      </c>
      <c r="G345" s="12" t="s">
        <v>246</v>
      </c>
      <c r="H345" s="12" t="s">
        <v>246</v>
      </c>
      <c r="I345" s="12" t="s">
        <v>111</v>
      </c>
      <c r="J345" s="12" t="s">
        <v>1032</v>
      </c>
      <c r="K345" s="12" t="s">
        <v>118</v>
      </c>
      <c r="L345" s="12" t="s">
        <v>247</v>
      </c>
      <c r="M345" s="12" t="s">
        <v>992</v>
      </c>
      <c r="N345" s="13" t="s">
        <v>1084</v>
      </c>
      <c r="O345" s="11" t="s">
        <v>992</v>
      </c>
      <c r="P345" s="11" t="s">
        <v>1098</v>
      </c>
      <c r="Q345" s="11" t="s">
        <v>126</v>
      </c>
      <c r="R345" s="11" t="s">
        <v>150</v>
      </c>
      <c r="S345" s="11" t="s">
        <v>125</v>
      </c>
      <c r="T345" s="11" t="s">
        <v>126</v>
      </c>
      <c r="U345" s="11" t="s">
        <v>38</v>
      </c>
      <c r="V345" s="11" t="s">
        <v>2161</v>
      </c>
      <c r="W345" s="11" t="s">
        <v>992</v>
      </c>
      <c r="X345" s="11" t="s">
        <v>992</v>
      </c>
      <c r="Y345" s="11" t="s">
        <v>992</v>
      </c>
      <c r="Z345" s="11" t="s">
        <v>992</v>
      </c>
      <c r="AA345" s="11" t="s">
        <v>992</v>
      </c>
      <c r="AB345" s="11" t="s">
        <v>992</v>
      </c>
      <c r="AC345" s="11" t="s">
        <v>992</v>
      </c>
      <c r="AD345" s="11" t="s">
        <v>992</v>
      </c>
      <c r="AE345" s="11" t="s">
        <v>993</v>
      </c>
    </row>
    <row r="346">
      <c r="B346" s="24" t="s">
        <v>314</v>
      </c>
      <c r="C346" s="12" t="s">
        <v>1943</v>
      </c>
      <c r="D346" s="11" t="s">
        <v>1049</v>
      </c>
      <c r="E346" s="11" t="s">
        <v>1067</v>
      </c>
      <c r="F346" s="12" t="s">
        <v>314</v>
      </c>
      <c r="G346" s="12" t="s">
        <v>246</v>
      </c>
      <c r="H346" s="12" t="s">
        <v>246</v>
      </c>
      <c r="I346" s="12" t="s">
        <v>37</v>
      </c>
      <c r="J346" s="12" t="s">
        <v>1013</v>
      </c>
      <c r="K346" s="12" t="s">
        <v>118</v>
      </c>
      <c r="L346" s="12" t="s">
        <v>247</v>
      </c>
      <c r="M346" s="12" t="s">
        <v>992</v>
      </c>
      <c r="N346" s="13" t="s">
        <v>992</v>
      </c>
      <c r="O346" s="11" t="s">
        <v>1092</v>
      </c>
      <c r="P346" s="11" t="s">
        <v>1098</v>
      </c>
      <c r="Q346" s="11" t="s">
        <v>125</v>
      </c>
      <c r="R346" s="11" t="s">
        <v>150</v>
      </c>
      <c r="S346" s="11" t="s">
        <v>125</v>
      </c>
      <c r="T346" s="11" t="s">
        <v>126</v>
      </c>
      <c r="U346" s="11" t="s">
        <v>38</v>
      </c>
      <c r="V346" s="11" t="s">
        <v>2161</v>
      </c>
      <c r="W346" s="11" t="s">
        <v>992</v>
      </c>
      <c r="X346" s="11" t="s">
        <v>992</v>
      </c>
      <c r="Y346" s="11" t="s">
        <v>992</v>
      </c>
      <c r="Z346" s="11" t="s">
        <v>992</v>
      </c>
      <c r="AA346" s="11" t="s">
        <v>992</v>
      </c>
      <c r="AB346" s="11" t="s">
        <v>992</v>
      </c>
      <c r="AC346" s="11" t="s">
        <v>992</v>
      </c>
      <c r="AD346" s="11" t="s">
        <v>992</v>
      </c>
      <c r="AE346" s="11" t="s">
        <v>993</v>
      </c>
    </row>
    <row r="347">
      <c r="B347" s="24" t="s">
        <v>283</v>
      </c>
      <c r="C347" s="12" t="s">
        <v>1944</v>
      </c>
      <c r="D347" s="11" t="s">
        <v>1050</v>
      </c>
      <c r="E347" s="11" t="s">
        <v>1068</v>
      </c>
      <c r="F347" s="12" t="s">
        <v>283</v>
      </c>
      <c r="G347" s="12" t="s">
        <v>246</v>
      </c>
      <c r="H347" s="12" t="s">
        <v>246</v>
      </c>
      <c r="I347" s="12" t="s">
        <v>37</v>
      </c>
      <c r="J347" s="12" t="s">
        <v>1013</v>
      </c>
      <c r="K347" s="12" t="s">
        <v>118</v>
      </c>
      <c r="L347" s="12" t="s">
        <v>247</v>
      </c>
      <c r="M347" s="12" t="s">
        <v>992</v>
      </c>
      <c r="N347" s="13" t="s">
        <v>992</v>
      </c>
      <c r="O347" s="11" t="s">
        <v>1093</v>
      </c>
      <c r="P347" s="11" t="s">
        <v>1098</v>
      </c>
      <c r="Q347" s="11" t="s">
        <v>125</v>
      </c>
      <c r="R347" s="11" t="s">
        <v>150</v>
      </c>
      <c r="S347" s="11" t="s">
        <v>125</v>
      </c>
      <c r="T347" s="11" t="s">
        <v>126</v>
      </c>
      <c r="U347" s="11" t="s">
        <v>38</v>
      </c>
      <c r="V347" s="11" t="s">
        <v>2161</v>
      </c>
      <c r="W347" s="11" t="s">
        <v>992</v>
      </c>
      <c r="X347" s="11" t="s">
        <v>992</v>
      </c>
      <c r="Y347" s="11" t="s">
        <v>992</v>
      </c>
      <c r="Z347" s="11" t="s">
        <v>992</v>
      </c>
      <c r="AA347" s="11" t="s">
        <v>992</v>
      </c>
      <c r="AB347" s="11" t="s">
        <v>992</v>
      </c>
      <c r="AC347" s="11" t="s">
        <v>992</v>
      </c>
      <c r="AD347" s="11" t="s">
        <v>992</v>
      </c>
      <c r="AE347" s="11" t="s">
        <v>993</v>
      </c>
    </row>
    <row r="348">
      <c r="B348" s="24" t="s">
        <v>49</v>
      </c>
      <c r="C348" s="12" t="s">
        <v>1945</v>
      </c>
      <c r="D348" s="11" t="s">
        <v>1051</v>
      </c>
      <c r="E348" s="11" t="s">
        <v>1069</v>
      </c>
      <c r="F348" s="12" t="s">
        <v>49</v>
      </c>
      <c r="G348" s="12" t="s">
        <v>246</v>
      </c>
      <c r="H348" s="12" t="s">
        <v>246</v>
      </c>
      <c r="I348" s="12" t="s">
        <v>111</v>
      </c>
      <c r="J348" s="12" t="s">
        <v>1032</v>
      </c>
      <c r="K348" s="12" t="s">
        <v>118</v>
      </c>
      <c r="L348" s="12" t="s">
        <v>247</v>
      </c>
      <c r="M348" s="12" t="s">
        <v>992</v>
      </c>
      <c r="N348" s="13" t="s">
        <v>992</v>
      </c>
      <c r="O348" s="11" t="s">
        <v>1094</v>
      </c>
      <c r="P348" s="11" t="s">
        <v>1098</v>
      </c>
      <c r="Q348" s="11" t="s">
        <v>125</v>
      </c>
      <c r="R348" s="11" t="s">
        <v>150</v>
      </c>
      <c r="S348" s="11" t="s">
        <v>125</v>
      </c>
      <c r="T348" s="11" t="s">
        <v>126</v>
      </c>
      <c r="U348" s="11" t="s">
        <v>38</v>
      </c>
      <c r="V348" s="11" t="s">
        <v>2161</v>
      </c>
      <c r="W348" s="11" t="s">
        <v>992</v>
      </c>
      <c r="X348" s="11" t="s">
        <v>992</v>
      </c>
      <c r="Y348" s="11" t="s">
        <v>992</v>
      </c>
      <c r="Z348" s="11" t="s">
        <v>992</v>
      </c>
      <c r="AA348" s="11" t="s">
        <v>992</v>
      </c>
      <c r="AB348" s="11" t="s">
        <v>992</v>
      </c>
      <c r="AC348" s="11" t="s">
        <v>992</v>
      </c>
      <c r="AD348" s="11" t="s">
        <v>992</v>
      </c>
      <c r="AE348" s="11" t="s">
        <v>993</v>
      </c>
    </row>
    <row r="349">
      <c r="B349" s="24" t="s">
        <v>49</v>
      </c>
      <c r="C349" s="12" t="s">
        <v>1946</v>
      </c>
      <c r="D349" s="11" t="s">
        <v>1052</v>
      </c>
      <c r="E349" s="11" t="s">
        <v>905</v>
      </c>
      <c r="F349" s="12" t="s">
        <v>49</v>
      </c>
      <c r="G349" s="12" t="s">
        <v>246</v>
      </c>
      <c r="H349" s="12" t="s">
        <v>246</v>
      </c>
      <c r="I349" s="12" t="s">
        <v>111</v>
      </c>
      <c r="J349" s="12" t="s">
        <v>1031</v>
      </c>
      <c r="K349" s="12" t="s">
        <v>118</v>
      </c>
      <c r="L349" s="12" t="s">
        <v>247</v>
      </c>
      <c r="M349" s="12" t="s">
        <v>992</v>
      </c>
      <c r="N349" s="13" t="s">
        <v>1085</v>
      </c>
      <c r="O349" s="11" t="s">
        <v>992</v>
      </c>
      <c r="P349" s="11" t="s">
        <v>1099</v>
      </c>
      <c r="Q349" s="11" t="s">
        <v>126</v>
      </c>
      <c r="R349" s="11" t="s">
        <v>150</v>
      </c>
      <c r="S349" s="11" t="s">
        <v>992</v>
      </c>
      <c r="T349" s="11" t="s">
        <v>126</v>
      </c>
      <c r="U349" s="11" t="s">
        <v>992</v>
      </c>
      <c r="V349" s="11" t="s">
        <v>992</v>
      </c>
      <c r="W349" s="11" t="s">
        <v>992</v>
      </c>
      <c r="X349" s="11" t="s">
        <v>992</v>
      </c>
      <c r="Y349" s="11" t="s">
        <v>992</v>
      </c>
      <c r="Z349" s="11" t="s">
        <v>992</v>
      </c>
      <c r="AA349" s="11" t="s">
        <v>992</v>
      </c>
      <c r="AB349" s="11" t="s">
        <v>992</v>
      </c>
      <c r="AC349" s="11" t="s">
        <v>992</v>
      </c>
      <c r="AD349" s="11" t="s">
        <v>992</v>
      </c>
      <c r="AE349" s="11" t="s">
        <v>2228</v>
      </c>
    </row>
    <row r="350">
      <c r="B350" s="24" t="s">
        <v>49</v>
      </c>
      <c r="C350" s="12" t="s">
        <v>1947</v>
      </c>
      <c r="D350" s="11" t="s">
        <v>1053</v>
      </c>
      <c r="E350" s="11" t="s">
        <v>1070</v>
      </c>
      <c r="F350" s="12" t="s">
        <v>49</v>
      </c>
      <c r="G350" s="12" t="s">
        <v>246</v>
      </c>
      <c r="H350" s="12" t="s">
        <v>246</v>
      </c>
      <c r="I350" s="12" t="s">
        <v>111</v>
      </c>
      <c r="J350" s="12" t="s">
        <v>1032</v>
      </c>
      <c r="K350" s="12" t="s">
        <v>118</v>
      </c>
      <c r="L350" s="12" t="s">
        <v>247</v>
      </c>
      <c r="M350" s="12" t="s">
        <v>992</v>
      </c>
      <c r="N350" s="13" t="s">
        <v>1086</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2228</v>
      </c>
    </row>
    <row r="351">
      <c r="B351" s="24" t="s">
        <v>49</v>
      </c>
      <c r="C351" s="12" t="s">
        <v>1948</v>
      </c>
      <c r="D351" s="11" t="s">
        <v>1054</v>
      </c>
      <c r="E351" s="11" t="s">
        <v>1071</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125</v>
      </c>
      <c r="U351" s="11" t="s">
        <v>1014</v>
      </c>
      <c r="V351" s="11" t="s">
        <v>2165</v>
      </c>
      <c r="W351" s="11" t="s">
        <v>992</v>
      </c>
      <c r="X351" s="11" t="s">
        <v>992</v>
      </c>
      <c r="Y351" s="11" t="s">
        <v>992</v>
      </c>
      <c r="Z351" s="11" t="s">
        <v>2212</v>
      </c>
      <c r="AA351" s="11" t="s">
        <v>2212</v>
      </c>
      <c r="AB351" s="11" t="s">
        <v>30</v>
      </c>
      <c r="AC351" s="11" t="s">
        <v>1329</v>
      </c>
      <c r="AD351" s="11" t="s">
        <v>1302</v>
      </c>
      <c r="AE351" s="11" t="s">
        <v>993</v>
      </c>
    </row>
    <row r="352">
      <c r="B352" s="24" t="s">
        <v>49</v>
      </c>
      <c r="C352" s="12" t="s">
        <v>1949</v>
      </c>
      <c r="D352" s="11" t="s">
        <v>1055</v>
      </c>
      <c r="E352" s="11" t="s">
        <v>1072</v>
      </c>
      <c r="F352" s="12" t="s">
        <v>49</v>
      </c>
      <c r="G352" s="12" t="s">
        <v>246</v>
      </c>
      <c r="H352" s="12" t="s">
        <v>246</v>
      </c>
      <c r="I352" s="12" t="s">
        <v>111</v>
      </c>
      <c r="J352" s="12" t="s">
        <v>1032</v>
      </c>
      <c r="K352" s="12" t="s">
        <v>118</v>
      </c>
      <c r="L352" s="12" t="s">
        <v>247</v>
      </c>
      <c r="M352" s="12" t="s">
        <v>992</v>
      </c>
      <c r="N352" s="13" t="s">
        <v>992</v>
      </c>
      <c r="O352" s="11" t="s">
        <v>1095</v>
      </c>
      <c r="P352" s="11" t="s">
        <v>1098</v>
      </c>
      <c r="Q352" s="11" t="s">
        <v>125</v>
      </c>
      <c r="R352" s="11" t="s">
        <v>150</v>
      </c>
      <c r="S352" s="11" t="s">
        <v>125</v>
      </c>
      <c r="T352" s="11" t="s">
        <v>126</v>
      </c>
      <c r="U352" s="11" t="s">
        <v>38</v>
      </c>
      <c r="V352" s="11" t="s">
        <v>2161</v>
      </c>
      <c r="W352" s="11" t="s">
        <v>992</v>
      </c>
      <c r="X352" s="11" t="s">
        <v>992</v>
      </c>
      <c r="Y352" s="11" t="s">
        <v>992</v>
      </c>
      <c r="Z352" s="11" t="s">
        <v>992</v>
      </c>
      <c r="AA352" s="11" t="s">
        <v>992</v>
      </c>
      <c r="AB352" s="11" t="s">
        <v>992</v>
      </c>
      <c r="AC352" s="11" t="s">
        <v>992</v>
      </c>
      <c r="AD352" s="11" t="s">
        <v>992</v>
      </c>
      <c r="AE352" s="11" t="s">
        <v>993</v>
      </c>
    </row>
    <row r="353">
      <c r="B353" s="24" t="s">
        <v>283</v>
      </c>
      <c r="C353" s="12" t="s">
        <v>1950</v>
      </c>
      <c r="D353" s="11" t="s">
        <v>1056</v>
      </c>
      <c r="E353" s="11" t="s">
        <v>1073</v>
      </c>
      <c r="F353" s="12" t="s">
        <v>283</v>
      </c>
      <c r="G353" s="12" t="s">
        <v>246</v>
      </c>
      <c r="H353" s="12" t="s">
        <v>246</v>
      </c>
      <c r="I353" s="12" t="s">
        <v>37</v>
      </c>
      <c r="J353" s="12" t="s">
        <v>1013</v>
      </c>
      <c r="K353" s="12" t="s">
        <v>118</v>
      </c>
      <c r="L353" s="12" t="s">
        <v>247</v>
      </c>
      <c r="M353" s="12" t="s">
        <v>992</v>
      </c>
      <c r="N353" s="13" t="s">
        <v>992</v>
      </c>
      <c r="O353" s="11" t="s">
        <v>1096</v>
      </c>
      <c r="P353" s="11" t="s">
        <v>1098</v>
      </c>
      <c r="Q353" s="11" t="s">
        <v>125</v>
      </c>
      <c r="R353" s="11" t="s">
        <v>150</v>
      </c>
      <c r="S353" s="11" t="s">
        <v>125</v>
      </c>
      <c r="T353" s="11" t="s">
        <v>126</v>
      </c>
      <c r="U353" s="11" t="s">
        <v>29</v>
      </c>
      <c r="V353" s="11" t="s">
        <v>2161</v>
      </c>
      <c r="W353" s="11" t="s">
        <v>2180</v>
      </c>
      <c r="X353" s="11" t="s">
        <v>992</v>
      </c>
      <c r="Y353" s="11" t="s">
        <v>992</v>
      </c>
      <c r="Z353" s="11" t="s">
        <v>992</v>
      </c>
      <c r="AA353" s="11" t="s">
        <v>992</v>
      </c>
      <c r="AB353" s="11" t="s">
        <v>992</v>
      </c>
      <c r="AC353" s="11" t="s">
        <v>992</v>
      </c>
      <c r="AD353" s="11" t="s">
        <v>1303</v>
      </c>
      <c r="AE353" s="11" t="s">
        <v>993</v>
      </c>
    </row>
    <row r="354">
      <c r="B354" s="24" t="s">
        <v>49</v>
      </c>
      <c r="C354" s="12" t="s">
        <v>1951</v>
      </c>
      <c r="D354" s="11" t="s">
        <v>1057</v>
      </c>
      <c r="E354" s="11" t="s">
        <v>1074</v>
      </c>
      <c r="F354" s="12" t="s">
        <v>49</v>
      </c>
      <c r="G354" s="12" t="s">
        <v>246</v>
      </c>
      <c r="H354" s="12" t="s">
        <v>246</v>
      </c>
      <c r="I354" s="12" t="s">
        <v>37</v>
      </c>
      <c r="J354" s="12" t="s">
        <v>1013</v>
      </c>
      <c r="K354" s="12" t="s">
        <v>118</v>
      </c>
      <c r="L354" s="12" t="s">
        <v>247</v>
      </c>
      <c r="M354" s="12" t="s">
        <v>992</v>
      </c>
      <c r="N354" s="13" t="s">
        <v>992</v>
      </c>
      <c r="O354" s="11" t="s">
        <v>1097</v>
      </c>
      <c r="P354" s="11" t="s">
        <v>1098</v>
      </c>
      <c r="Q354" s="11" t="s">
        <v>125</v>
      </c>
      <c r="R354" s="11" t="s">
        <v>150</v>
      </c>
      <c r="S354" s="11" t="s">
        <v>992</v>
      </c>
      <c r="T354" s="11" t="s">
        <v>126</v>
      </c>
      <c r="U354" s="11" t="s">
        <v>992</v>
      </c>
      <c r="V354" s="11" t="s">
        <v>992</v>
      </c>
      <c r="W354" s="11" t="s">
        <v>992</v>
      </c>
      <c r="X354" s="11" t="s">
        <v>992</v>
      </c>
      <c r="Y354" s="11" t="s">
        <v>992</v>
      </c>
      <c r="Z354" s="11" t="s">
        <v>992</v>
      </c>
      <c r="AA354" s="11" t="s">
        <v>992</v>
      </c>
      <c r="AB354" s="11" t="s">
        <v>992</v>
      </c>
      <c r="AC354" s="11" t="s">
        <v>992</v>
      </c>
      <c r="AD354" s="11" t="s">
        <v>992</v>
      </c>
      <c r="AE354" s="11" t="s">
        <v>2228</v>
      </c>
    </row>
    <row r="355">
      <c r="B355" s="24" t="s">
        <v>49</v>
      </c>
      <c r="C355" s="12" t="s">
        <v>1952</v>
      </c>
      <c r="D355" s="11" t="s">
        <v>1156</v>
      </c>
      <c r="E355" s="11" t="s">
        <v>1146</v>
      </c>
      <c r="F355" s="12" t="s">
        <v>49</v>
      </c>
      <c r="G355" s="12" t="s">
        <v>246</v>
      </c>
      <c r="H355" s="12" t="s">
        <v>246</v>
      </c>
      <c r="I355" s="12" t="s">
        <v>37</v>
      </c>
      <c r="J355" s="12" t="s">
        <v>1015</v>
      </c>
      <c r="K355" s="12" t="s">
        <v>1019</v>
      </c>
      <c r="L355" s="12" t="s">
        <v>247</v>
      </c>
      <c r="M355" s="12" t="s">
        <v>992</v>
      </c>
      <c r="N355" s="13" t="s">
        <v>992</v>
      </c>
      <c r="O355" s="11" t="s">
        <v>1157</v>
      </c>
      <c r="P355" s="11" t="s">
        <v>323</v>
      </c>
      <c r="Q355" s="11" t="s">
        <v>125</v>
      </c>
      <c r="R355" s="11" t="s">
        <v>150</v>
      </c>
      <c r="S355" s="11" t="s">
        <v>125</v>
      </c>
      <c r="T355" s="11" t="s">
        <v>126</v>
      </c>
      <c r="U355" s="11" t="s">
        <v>1246</v>
      </c>
      <c r="V355" s="11" t="s">
        <v>2161</v>
      </c>
      <c r="W355" s="11" t="s">
        <v>992</v>
      </c>
      <c r="X355" s="11" t="s">
        <v>992</v>
      </c>
      <c r="Y355" s="11" t="s">
        <v>992</v>
      </c>
      <c r="Z355" s="11" t="s">
        <v>992</v>
      </c>
      <c r="AA355" s="11" t="s">
        <v>992</v>
      </c>
      <c r="AB355" s="11" t="s">
        <v>992</v>
      </c>
      <c r="AC355" s="11" t="s">
        <v>992</v>
      </c>
      <c r="AD355" s="11" t="s">
        <v>992</v>
      </c>
      <c r="AE355" s="11" t="s">
        <v>993</v>
      </c>
    </row>
    <row r="356">
      <c r="B356" s="24" t="s">
        <v>295</v>
      </c>
      <c r="C356" s="12" t="s">
        <v>1953</v>
      </c>
      <c r="D356" s="11" t="s">
        <v>1158</v>
      </c>
      <c r="E356" s="11" t="s">
        <v>1159</v>
      </c>
      <c r="F356" s="12" t="s">
        <v>295</v>
      </c>
      <c r="G356" s="12" t="s">
        <v>246</v>
      </c>
      <c r="H356" s="12" t="s">
        <v>246</v>
      </c>
      <c r="I356" s="12" t="s">
        <v>60</v>
      </c>
      <c r="J356" s="12" t="s">
        <v>1015</v>
      </c>
      <c r="K356" s="12" t="s">
        <v>118</v>
      </c>
      <c r="L356" s="12" t="s">
        <v>247</v>
      </c>
      <c r="M356" s="12" t="s">
        <v>992</v>
      </c>
      <c r="N356" s="13" t="s">
        <v>992</v>
      </c>
      <c r="O356" s="11" t="s">
        <v>1160</v>
      </c>
      <c r="P356" s="11" t="s">
        <v>323</v>
      </c>
      <c r="Q356" s="11" t="s">
        <v>125</v>
      </c>
      <c r="R356" s="11" t="s">
        <v>150</v>
      </c>
      <c r="S356" s="11" t="s">
        <v>125</v>
      </c>
      <c r="T356" s="11" t="s">
        <v>126</v>
      </c>
      <c r="U356" s="11" t="s">
        <v>1246</v>
      </c>
      <c r="V356" s="11" t="s">
        <v>2161</v>
      </c>
      <c r="W356" s="11" t="s">
        <v>992</v>
      </c>
      <c r="X356" s="11" t="s">
        <v>992</v>
      </c>
      <c r="Y356" s="11" t="s">
        <v>992</v>
      </c>
      <c r="Z356" s="11" t="s">
        <v>992</v>
      </c>
      <c r="AA356" s="11" t="s">
        <v>992</v>
      </c>
      <c r="AB356" s="11" t="s">
        <v>992</v>
      </c>
      <c r="AC356" s="11" t="s">
        <v>992</v>
      </c>
      <c r="AD356" s="11" t="s">
        <v>992</v>
      </c>
      <c r="AE356" s="11" t="s">
        <v>993</v>
      </c>
    </row>
    <row r="357">
      <c r="B357" s="24" t="s">
        <v>49</v>
      </c>
      <c r="C357" s="12" t="s">
        <v>1954</v>
      </c>
      <c r="D357" s="11" t="s">
        <v>1161</v>
      </c>
      <c r="E357" s="11" t="s">
        <v>1162</v>
      </c>
      <c r="F357" s="12" t="s">
        <v>49</v>
      </c>
      <c r="G357" s="12" t="s">
        <v>246</v>
      </c>
      <c r="H357" s="12" t="s">
        <v>246</v>
      </c>
      <c r="I357" s="12" t="s">
        <v>60</v>
      </c>
      <c r="J357" s="12" t="s">
        <v>1015</v>
      </c>
      <c r="K357" s="12" t="s">
        <v>118</v>
      </c>
      <c r="L357" s="12" t="s">
        <v>247</v>
      </c>
      <c r="M357" s="12" t="s">
        <v>992</v>
      </c>
      <c r="N357" s="13" t="s">
        <v>992</v>
      </c>
      <c r="O357" s="11" t="s">
        <v>1163</v>
      </c>
      <c r="P357" s="11" t="s">
        <v>323</v>
      </c>
      <c r="Q357" s="11" t="s">
        <v>125</v>
      </c>
      <c r="R357" s="11" t="s">
        <v>150</v>
      </c>
      <c r="S357" s="11" t="s">
        <v>125</v>
      </c>
      <c r="T357" s="11" t="s">
        <v>125</v>
      </c>
      <c r="U357" s="11" t="s">
        <v>1014</v>
      </c>
      <c r="V357" s="11" t="s">
        <v>2161</v>
      </c>
      <c r="W357" s="11" t="s">
        <v>992</v>
      </c>
      <c r="X357" s="11" t="s">
        <v>992</v>
      </c>
      <c r="Y357" s="11" t="s">
        <v>992</v>
      </c>
      <c r="Z357" s="11" t="s">
        <v>2213</v>
      </c>
      <c r="AA357" s="11" t="s">
        <v>2213</v>
      </c>
      <c r="AB357" s="11" t="s">
        <v>30</v>
      </c>
      <c r="AC357" s="11" t="s">
        <v>1351</v>
      </c>
      <c r="AD357" s="11" t="s">
        <v>992</v>
      </c>
      <c r="AE357" s="11" t="s">
        <v>993</v>
      </c>
    </row>
    <row r="358">
      <c r="B358" s="24" t="s">
        <v>49</v>
      </c>
      <c r="C358" s="12" t="s">
        <v>1955</v>
      </c>
      <c r="D358" s="11" t="s">
        <v>1164</v>
      </c>
      <c r="E358" s="11" t="s">
        <v>1165</v>
      </c>
      <c r="F358" s="12" t="s">
        <v>49</v>
      </c>
      <c r="G358" s="12" t="s">
        <v>246</v>
      </c>
      <c r="H358" s="12" t="s">
        <v>246</v>
      </c>
      <c r="I358" s="12" t="s">
        <v>60</v>
      </c>
      <c r="J358" s="12" t="s">
        <v>1015</v>
      </c>
      <c r="K358" s="12" t="s">
        <v>118</v>
      </c>
      <c r="L358" s="12" t="s">
        <v>247</v>
      </c>
      <c r="M358" s="12" t="s">
        <v>992</v>
      </c>
      <c r="N358" s="13" t="s">
        <v>992</v>
      </c>
      <c r="O358" s="11" t="s">
        <v>1166</v>
      </c>
      <c r="P358" s="11" t="s">
        <v>323</v>
      </c>
      <c r="Q358" s="11" t="s">
        <v>125</v>
      </c>
      <c r="R358" s="11" t="s">
        <v>150</v>
      </c>
      <c r="S358" s="11" t="s">
        <v>125</v>
      </c>
      <c r="T358" s="11" t="s">
        <v>126</v>
      </c>
      <c r="U358" s="11" t="s">
        <v>1246</v>
      </c>
      <c r="V358" s="11" t="s">
        <v>2161</v>
      </c>
      <c r="W358" s="11" t="s">
        <v>992</v>
      </c>
      <c r="X358" s="11" t="s">
        <v>992</v>
      </c>
      <c r="Y358" s="11" t="s">
        <v>992</v>
      </c>
      <c r="Z358" s="11" t="s">
        <v>992</v>
      </c>
      <c r="AA358" s="11" t="s">
        <v>992</v>
      </c>
      <c r="AB358" s="11" t="s">
        <v>992</v>
      </c>
      <c r="AC358" s="11" t="s">
        <v>992</v>
      </c>
      <c r="AD358" s="11" t="s">
        <v>992</v>
      </c>
      <c r="AE358" s="11" t="s">
        <v>993</v>
      </c>
    </row>
    <row r="359">
      <c r="B359" s="24" t="s">
        <v>49</v>
      </c>
      <c r="C359" s="12" t="s">
        <v>1956</v>
      </c>
      <c r="D359" s="11" t="s">
        <v>1167</v>
      </c>
      <c r="E359" s="11" t="s">
        <v>1168</v>
      </c>
      <c r="F359" s="12" t="s">
        <v>286</v>
      </c>
      <c r="G359" s="12" t="s">
        <v>246</v>
      </c>
      <c r="H359" s="12" t="s">
        <v>246</v>
      </c>
      <c r="I359" s="12" t="s">
        <v>37</v>
      </c>
      <c r="J359" s="12" t="s">
        <v>1015</v>
      </c>
      <c r="K359" s="12" t="s">
        <v>1021</v>
      </c>
      <c r="L359" s="12" t="s">
        <v>247</v>
      </c>
      <c r="M359" s="12" t="s">
        <v>992</v>
      </c>
      <c r="N359" s="13" t="s">
        <v>992</v>
      </c>
      <c r="O359" s="11" t="s">
        <v>1169</v>
      </c>
      <c r="P359" s="11" t="s">
        <v>323</v>
      </c>
      <c r="Q359" s="11" t="s">
        <v>126</v>
      </c>
      <c r="R359" s="11" t="s">
        <v>150</v>
      </c>
      <c r="S359" s="11" t="s">
        <v>125</v>
      </c>
      <c r="T359" s="11" t="s">
        <v>126</v>
      </c>
      <c r="U359" s="11" t="s">
        <v>1246</v>
      </c>
      <c r="V359" s="11" t="s">
        <v>2161</v>
      </c>
      <c r="W359" s="11" t="s">
        <v>992</v>
      </c>
      <c r="X359" s="11" t="s">
        <v>992</v>
      </c>
      <c r="Y359" s="11" t="s">
        <v>992</v>
      </c>
      <c r="Z359" s="11" t="s">
        <v>992</v>
      </c>
      <c r="AA359" s="11" t="s">
        <v>992</v>
      </c>
      <c r="AB359" s="11" t="s">
        <v>992</v>
      </c>
      <c r="AC359" s="11" t="s">
        <v>992</v>
      </c>
      <c r="AD359" s="11" t="s">
        <v>992</v>
      </c>
      <c r="AE359" s="11" t="s">
        <v>993</v>
      </c>
    </row>
    <row r="360">
      <c r="B360" s="24" t="s">
        <v>49</v>
      </c>
      <c r="C360" s="12" t="s">
        <v>1957</v>
      </c>
      <c r="D360" s="11" t="s">
        <v>1170</v>
      </c>
      <c r="E360" s="11" t="s">
        <v>1171</v>
      </c>
      <c r="F360" s="12" t="s">
        <v>49</v>
      </c>
      <c r="G360" s="12" t="s">
        <v>246</v>
      </c>
      <c r="H360" s="12" t="s">
        <v>246</v>
      </c>
      <c r="I360" s="12" t="s">
        <v>37</v>
      </c>
      <c r="J360" s="12" t="s">
        <v>1015</v>
      </c>
      <c r="K360" s="12" t="s">
        <v>1021</v>
      </c>
      <c r="L360" s="12" t="s">
        <v>247</v>
      </c>
      <c r="M360" s="12" t="s">
        <v>992</v>
      </c>
      <c r="N360" s="13" t="s">
        <v>992</v>
      </c>
      <c r="O360" s="11" t="s">
        <v>1172</v>
      </c>
      <c r="P360" s="11" t="s">
        <v>323</v>
      </c>
      <c r="Q360" s="11" t="s">
        <v>126</v>
      </c>
      <c r="R360" s="11" t="s">
        <v>150</v>
      </c>
      <c r="S360" s="11" t="s">
        <v>125</v>
      </c>
      <c r="T360" s="11" t="s">
        <v>126</v>
      </c>
      <c r="U360" s="11" t="s">
        <v>1246</v>
      </c>
      <c r="V360" s="11" t="s">
        <v>2161</v>
      </c>
      <c r="W360" s="11" t="s">
        <v>992</v>
      </c>
      <c r="X360" s="11" t="s">
        <v>992</v>
      </c>
      <c r="Y360" s="11" t="s">
        <v>992</v>
      </c>
      <c r="Z360" s="11" t="s">
        <v>992</v>
      </c>
      <c r="AA360" s="11" t="s">
        <v>992</v>
      </c>
      <c r="AB360" s="11" t="s">
        <v>992</v>
      </c>
      <c r="AC360" s="11" t="s">
        <v>992</v>
      </c>
      <c r="AD360" s="11" t="s">
        <v>992</v>
      </c>
      <c r="AE360" s="11" t="s">
        <v>993</v>
      </c>
    </row>
    <row r="361">
      <c r="B361" s="24" t="s">
        <v>49</v>
      </c>
      <c r="C361" s="12" t="s">
        <v>1958</v>
      </c>
      <c r="D361" s="11" t="s">
        <v>1173</v>
      </c>
      <c r="E361" s="11" t="s">
        <v>1174</v>
      </c>
      <c r="F361" s="12" t="s">
        <v>49</v>
      </c>
      <c r="G361" s="12" t="s">
        <v>246</v>
      </c>
      <c r="H361" s="12" t="s">
        <v>246</v>
      </c>
      <c r="I361" s="12" t="s">
        <v>60</v>
      </c>
      <c r="J361" s="12" t="s">
        <v>1015</v>
      </c>
      <c r="K361" s="12" t="s">
        <v>118</v>
      </c>
      <c r="L361" s="12" t="s">
        <v>247</v>
      </c>
      <c r="M361" s="12" t="s">
        <v>992</v>
      </c>
      <c r="N361" s="13" t="s">
        <v>992</v>
      </c>
      <c r="O361" s="11" t="s">
        <v>1175</v>
      </c>
      <c r="P361" s="11" t="s">
        <v>323</v>
      </c>
      <c r="Q361" s="11" t="s">
        <v>126</v>
      </c>
      <c r="R361" s="11" t="s">
        <v>150</v>
      </c>
      <c r="S361" s="11" t="s">
        <v>125</v>
      </c>
      <c r="T361" s="11" t="s">
        <v>126</v>
      </c>
      <c r="U361" s="11" t="s">
        <v>1246</v>
      </c>
      <c r="V361" s="11" t="s">
        <v>2161</v>
      </c>
      <c r="W361" s="11" t="s">
        <v>992</v>
      </c>
      <c r="X361" s="11" t="s">
        <v>992</v>
      </c>
      <c r="Y361" s="11" t="s">
        <v>992</v>
      </c>
      <c r="Z361" s="11" t="s">
        <v>992</v>
      </c>
      <c r="AA361" s="11" t="s">
        <v>992</v>
      </c>
      <c r="AB361" s="11" t="s">
        <v>992</v>
      </c>
      <c r="AC361" s="11" t="s">
        <v>992</v>
      </c>
      <c r="AD361" s="11" t="s">
        <v>992</v>
      </c>
      <c r="AE361" s="11" t="s">
        <v>993</v>
      </c>
    </row>
    <row r="362">
      <c r="B362" s="24" t="s">
        <v>49</v>
      </c>
      <c r="C362" s="12" t="s">
        <v>1959</v>
      </c>
      <c r="D362" s="11" t="s">
        <v>1176</v>
      </c>
      <c r="E362" s="11" t="s">
        <v>1177</v>
      </c>
      <c r="F362" s="12" t="s">
        <v>49</v>
      </c>
      <c r="G362" s="12" t="s">
        <v>246</v>
      </c>
      <c r="H362" s="12" t="s">
        <v>246</v>
      </c>
      <c r="I362" s="12" t="s">
        <v>37</v>
      </c>
      <c r="J362" s="12" t="s">
        <v>1015</v>
      </c>
      <c r="K362" s="12" t="s">
        <v>1021</v>
      </c>
      <c r="L362" s="12" t="s">
        <v>247</v>
      </c>
      <c r="M362" s="12" t="s">
        <v>992</v>
      </c>
      <c r="N362" s="13" t="s">
        <v>992</v>
      </c>
      <c r="O362" s="11" t="s">
        <v>1178</v>
      </c>
      <c r="P362" s="11" t="s">
        <v>323</v>
      </c>
      <c r="Q362" s="11" t="s">
        <v>126</v>
      </c>
      <c r="R362" s="11" t="s">
        <v>150</v>
      </c>
      <c r="S362" s="11" t="s">
        <v>125</v>
      </c>
      <c r="T362" s="11" t="s">
        <v>126</v>
      </c>
      <c r="U362" s="11" t="s">
        <v>1246</v>
      </c>
      <c r="V362" s="11" t="s">
        <v>2162</v>
      </c>
      <c r="W362" s="11" t="s">
        <v>992</v>
      </c>
      <c r="X362" s="11" t="s">
        <v>992</v>
      </c>
      <c r="Y362" s="11" t="s">
        <v>992</v>
      </c>
      <c r="Z362" s="11" t="s">
        <v>992</v>
      </c>
      <c r="AA362" s="11" t="s">
        <v>992</v>
      </c>
      <c r="AB362" s="11" t="s">
        <v>992</v>
      </c>
      <c r="AC362" s="11" t="s">
        <v>992</v>
      </c>
      <c r="AD362" s="11" t="s">
        <v>992</v>
      </c>
      <c r="AE362" s="11" t="s">
        <v>993</v>
      </c>
    </row>
    <row r="363">
      <c r="B363" s="24" t="s">
        <v>49</v>
      </c>
      <c r="C363" s="12" t="s">
        <v>1960</v>
      </c>
      <c r="D363" s="11" t="s">
        <v>1179</v>
      </c>
      <c r="E363" s="11" t="s">
        <v>1180</v>
      </c>
      <c r="F363" s="12" t="s">
        <v>49</v>
      </c>
      <c r="G363" s="12" t="s">
        <v>246</v>
      </c>
      <c r="H363" s="12" t="s">
        <v>246</v>
      </c>
      <c r="I363" s="12" t="s">
        <v>60</v>
      </c>
      <c r="J363" s="12" t="s">
        <v>1015</v>
      </c>
      <c r="K363" s="12" t="s">
        <v>118</v>
      </c>
      <c r="L363" s="12" t="s">
        <v>247</v>
      </c>
      <c r="M363" s="12" t="s">
        <v>992</v>
      </c>
      <c r="N363" s="13" t="s">
        <v>992</v>
      </c>
      <c r="O363" s="11" t="s">
        <v>1181</v>
      </c>
      <c r="P363" s="11" t="s">
        <v>323</v>
      </c>
      <c r="Q363" s="11" t="s">
        <v>126</v>
      </c>
      <c r="R363" s="11" t="s">
        <v>150</v>
      </c>
      <c r="S363" s="11" t="s">
        <v>125</v>
      </c>
      <c r="T363" s="11" t="s">
        <v>126</v>
      </c>
      <c r="U363" s="11" t="s">
        <v>1246</v>
      </c>
      <c r="V363" s="11" t="s">
        <v>2166</v>
      </c>
      <c r="W363" s="11" t="s">
        <v>992</v>
      </c>
      <c r="X363" s="11" t="s">
        <v>992</v>
      </c>
      <c r="Y363" s="11" t="s">
        <v>992</v>
      </c>
      <c r="Z363" s="11" t="s">
        <v>992</v>
      </c>
      <c r="AA363" s="11" t="s">
        <v>992</v>
      </c>
      <c r="AB363" s="11" t="s">
        <v>992</v>
      </c>
      <c r="AC363" s="11" t="s">
        <v>992</v>
      </c>
      <c r="AD363" s="11" t="s">
        <v>992</v>
      </c>
      <c r="AE363" s="11" t="s">
        <v>993</v>
      </c>
    </row>
    <row r="364">
      <c r="B364" s="24" t="s">
        <v>49</v>
      </c>
      <c r="C364" s="12" t="s">
        <v>1961</v>
      </c>
      <c r="D364" s="11" t="s">
        <v>1182</v>
      </c>
      <c r="E364" s="11" t="s">
        <v>1183</v>
      </c>
      <c r="F364" s="12" t="s">
        <v>49</v>
      </c>
      <c r="G364" s="12" t="s">
        <v>246</v>
      </c>
      <c r="H364" s="12" t="s">
        <v>246</v>
      </c>
      <c r="I364" s="12" t="s">
        <v>37</v>
      </c>
      <c r="J364" s="12" t="s">
        <v>1015</v>
      </c>
      <c r="K364" s="12" t="s">
        <v>1021</v>
      </c>
      <c r="L364" s="12" t="s">
        <v>247</v>
      </c>
      <c r="M364" s="12" t="s">
        <v>992</v>
      </c>
      <c r="N364" s="13" t="s">
        <v>992</v>
      </c>
      <c r="O364" s="11" t="s">
        <v>1184</v>
      </c>
      <c r="P364" s="11" t="s">
        <v>323</v>
      </c>
      <c r="Q364" s="11" t="s">
        <v>126</v>
      </c>
      <c r="R364" s="11" t="s">
        <v>150</v>
      </c>
      <c r="S364" s="11" t="s">
        <v>992</v>
      </c>
      <c r="T364" s="11" t="s">
        <v>126</v>
      </c>
      <c r="U364" s="11" t="s">
        <v>992</v>
      </c>
      <c r="V364" s="11" t="s">
        <v>992</v>
      </c>
      <c r="W364" s="11" t="s">
        <v>992</v>
      </c>
      <c r="X364" s="11" t="s">
        <v>992</v>
      </c>
      <c r="Y364" s="11" t="s">
        <v>992</v>
      </c>
      <c r="Z364" s="11" t="s">
        <v>992</v>
      </c>
      <c r="AA364" s="11" t="s">
        <v>992</v>
      </c>
      <c r="AB364" s="11" t="s">
        <v>992</v>
      </c>
      <c r="AC364" s="11" t="s">
        <v>992</v>
      </c>
      <c r="AD364" s="11" t="s">
        <v>992</v>
      </c>
      <c r="AE364" s="11" t="s">
        <v>2228</v>
      </c>
    </row>
    <row r="365">
      <c r="B365" s="24" t="s">
        <v>49</v>
      </c>
      <c r="C365" s="12" t="s">
        <v>1962</v>
      </c>
      <c r="D365" s="11" t="s">
        <v>1185</v>
      </c>
      <c r="E365" s="11" t="s">
        <v>47</v>
      </c>
      <c r="F365" s="12" t="s">
        <v>49</v>
      </c>
      <c r="G365" s="12" t="s">
        <v>246</v>
      </c>
      <c r="H365" s="12" t="s">
        <v>246</v>
      </c>
      <c r="I365" s="12" t="s">
        <v>37</v>
      </c>
      <c r="J365" s="12" t="s">
        <v>1015</v>
      </c>
      <c r="K365" s="12" t="s">
        <v>1021</v>
      </c>
      <c r="L365" s="12" t="s">
        <v>247</v>
      </c>
      <c r="M365" s="12" t="s">
        <v>992</v>
      </c>
      <c r="N365" s="13" t="s">
        <v>992</v>
      </c>
      <c r="O365" s="11" t="s">
        <v>1186</v>
      </c>
      <c r="P365" s="11" t="s">
        <v>323</v>
      </c>
      <c r="Q365" s="11" t="s">
        <v>126</v>
      </c>
      <c r="R365" s="11" t="s">
        <v>150</v>
      </c>
      <c r="S365" s="11" t="s">
        <v>125</v>
      </c>
      <c r="T365" s="11" t="s">
        <v>126</v>
      </c>
      <c r="U365" s="11" t="s">
        <v>1246</v>
      </c>
      <c r="V365" s="11" t="s">
        <v>2166</v>
      </c>
      <c r="W365" s="11" t="s">
        <v>992</v>
      </c>
      <c r="X365" s="11" t="s">
        <v>992</v>
      </c>
      <c r="Y365" s="11" t="s">
        <v>992</v>
      </c>
      <c r="Z365" s="11" t="s">
        <v>992</v>
      </c>
      <c r="AA365" s="11" t="s">
        <v>992</v>
      </c>
      <c r="AB365" s="11" t="s">
        <v>992</v>
      </c>
      <c r="AC365" s="11" t="s">
        <v>992</v>
      </c>
      <c r="AD365" s="11" t="s">
        <v>992</v>
      </c>
      <c r="AE365" s="11" t="s">
        <v>993</v>
      </c>
    </row>
    <row r="366">
      <c r="B366" s="24" t="s">
        <v>49</v>
      </c>
      <c r="C366" s="12" t="s">
        <v>1963</v>
      </c>
      <c r="D366" s="11" t="s">
        <v>1273</v>
      </c>
      <c r="E366" s="11" t="s">
        <v>1275</v>
      </c>
      <c r="F366" s="12" t="s">
        <v>49</v>
      </c>
      <c r="G366" s="12" t="s">
        <v>246</v>
      </c>
      <c r="H366" s="12" t="s">
        <v>246</v>
      </c>
      <c r="I366" s="12" t="s">
        <v>111</v>
      </c>
      <c r="J366" s="12" t="s">
        <v>1032</v>
      </c>
      <c r="K366" s="12" t="s">
        <v>118</v>
      </c>
      <c r="L366" s="12" t="s">
        <v>247</v>
      </c>
      <c r="M366" s="12" t="s">
        <v>992</v>
      </c>
      <c r="N366" s="13" t="s">
        <v>992</v>
      </c>
      <c r="O366" s="11" t="s">
        <v>992</v>
      </c>
      <c r="P366" s="11" t="s">
        <v>992</v>
      </c>
      <c r="Q366" s="11" t="s">
        <v>992</v>
      </c>
      <c r="R366" s="11" t="s">
        <v>992</v>
      </c>
      <c r="S366" s="11" t="s">
        <v>992</v>
      </c>
      <c r="T366" s="11" t="s">
        <v>125</v>
      </c>
      <c r="U366" s="11" t="s">
        <v>1014</v>
      </c>
      <c r="V366" s="11" t="s">
        <v>992</v>
      </c>
      <c r="W366" s="11" t="s">
        <v>992</v>
      </c>
      <c r="X366" s="11" t="s">
        <v>992</v>
      </c>
      <c r="Y366" s="11" t="s">
        <v>992</v>
      </c>
      <c r="Z366" s="11" t="s">
        <v>2214</v>
      </c>
      <c r="AA366" s="11" t="s">
        <v>2214</v>
      </c>
      <c r="AB366" s="11" t="s">
        <v>30</v>
      </c>
      <c r="AC366" s="11" t="s">
        <v>1684</v>
      </c>
      <c r="AD366" s="11" t="s">
        <v>992</v>
      </c>
      <c r="AE366" s="11" t="s">
        <v>993</v>
      </c>
    </row>
    <row r="367">
      <c r="B367" s="24" t="s">
        <v>49</v>
      </c>
      <c r="C367" s="12" t="s">
        <v>1964</v>
      </c>
      <c r="D367" s="11" t="s">
        <v>1274</v>
      </c>
      <c r="E367" s="11" t="s">
        <v>80</v>
      </c>
      <c r="F367" s="12" t="s">
        <v>49</v>
      </c>
      <c r="G367" s="12" t="s">
        <v>246</v>
      </c>
      <c r="H367" s="12" t="s">
        <v>246</v>
      </c>
      <c r="I367" s="12" t="s">
        <v>82</v>
      </c>
      <c r="J367" s="12" t="s">
        <v>1009</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2215</v>
      </c>
      <c r="AA367" s="11" t="s">
        <v>2215</v>
      </c>
      <c r="AB367" s="11" t="s">
        <v>30</v>
      </c>
      <c r="AC367" s="11" t="s">
        <v>1370</v>
      </c>
      <c r="AD367" s="11" t="s">
        <v>992</v>
      </c>
      <c r="AE367" s="11" t="s">
        <v>993</v>
      </c>
    </row>
    <row r="368">
      <c r="B368" s="24" t="s">
        <v>49</v>
      </c>
      <c r="C368" s="12" t="s">
        <v>1965</v>
      </c>
      <c r="D368" s="11" t="s">
        <v>1242</v>
      </c>
      <c r="E368" s="11" t="s">
        <v>1244</v>
      </c>
      <c r="F368" s="12" t="s">
        <v>49</v>
      </c>
      <c r="G368" s="12" t="s">
        <v>246</v>
      </c>
      <c r="H368" s="12" t="s">
        <v>246</v>
      </c>
      <c r="I368" s="12" t="s">
        <v>37</v>
      </c>
      <c r="J368" s="12" t="s">
        <v>1015</v>
      </c>
      <c r="K368" s="12" t="s">
        <v>1021</v>
      </c>
      <c r="L368" s="12" t="s">
        <v>247</v>
      </c>
      <c r="M368" s="12" t="s">
        <v>992</v>
      </c>
      <c r="N368" s="13" t="s">
        <v>1245</v>
      </c>
      <c r="O368" s="11" t="s">
        <v>992</v>
      </c>
      <c r="P368" s="11" t="s">
        <v>323</v>
      </c>
      <c r="Q368" s="11" t="s">
        <v>126</v>
      </c>
      <c r="R368" s="11" t="s">
        <v>150</v>
      </c>
      <c r="S368" s="11" t="s">
        <v>992</v>
      </c>
      <c r="T368" s="11" t="s">
        <v>125</v>
      </c>
      <c r="U368" s="11" t="s">
        <v>1014</v>
      </c>
      <c r="V368" s="11" t="s">
        <v>992</v>
      </c>
      <c r="W368" s="11" t="s">
        <v>992</v>
      </c>
      <c r="X368" s="11" t="s">
        <v>992</v>
      </c>
      <c r="Y368" s="11" t="s">
        <v>992</v>
      </c>
      <c r="Z368" s="11" t="s">
        <v>2198</v>
      </c>
      <c r="AA368" s="11" t="s">
        <v>2198</v>
      </c>
      <c r="AB368" s="11" t="s">
        <v>30</v>
      </c>
      <c r="AC368" s="11" t="s">
        <v>1339</v>
      </c>
      <c r="AD368" s="11" t="s">
        <v>992</v>
      </c>
      <c r="AE368" s="11" t="s">
        <v>993</v>
      </c>
    </row>
    <row r="369">
      <c r="B369" s="24" t="s">
        <v>49</v>
      </c>
      <c r="C369" s="12" t="s">
        <v>1966</v>
      </c>
      <c r="D369" s="11" t="s">
        <v>1243</v>
      </c>
      <c r="E369" s="11" t="s">
        <v>69</v>
      </c>
      <c r="F369" s="12" t="s">
        <v>992</v>
      </c>
      <c r="G369" s="12" t="s">
        <v>246</v>
      </c>
      <c r="H369" s="12" t="s">
        <v>246</v>
      </c>
      <c r="I369" s="12" t="s">
        <v>992</v>
      </c>
      <c r="J369" s="12" t="s">
        <v>992</v>
      </c>
      <c r="K369" s="12" t="s">
        <v>992</v>
      </c>
      <c r="L369" s="12" t="s">
        <v>247</v>
      </c>
      <c r="M369" s="12" t="s">
        <v>992</v>
      </c>
      <c r="N369" s="13" t="s">
        <v>992</v>
      </c>
      <c r="O369" s="11" t="s">
        <v>992</v>
      </c>
      <c r="P369" s="11" t="s">
        <v>992</v>
      </c>
      <c r="Q369" s="11" t="s">
        <v>1304</v>
      </c>
      <c r="R369" s="11" t="s">
        <v>992</v>
      </c>
      <c r="S369" s="11" t="s">
        <v>1304</v>
      </c>
      <c r="T369" s="11" t="s">
        <v>1305</v>
      </c>
      <c r="U369" s="11" t="s">
        <v>1246</v>
      </c>
      <c r="V369" s="11" t="s">
        <v>2161</v>
      </c>
      <c r="W369" s="11" t="s">
        <v>992</v>
      </c>
      <c r="X369" s="11" t="s">
        <v>992</v>
      </c>
      <c r="Y369" s="11" t="s">
        <v>992</v>
      </c>
      <c r="Z369" s="11" t="s">
        <v>992</v>
      </c>
      <c r="AA369" s="11" t="s">
        <v>992</v>
      </c>
      <c r="AB369" s="11" t="s">
        <v>992</v>
      </c>
      <c r="AC369" s="11" t="s">
        <v>992</v>
      </c>
      <c r="AD369" s="11" t="s">
        <v>992</v>
      </c>
      <c r="AE369" s="11" t="s">
        <v>993</v>
      </c>
    </row>
    <row r="370">
      <c r="B370" s="24" t="s">
        <v>278</v>
      </c>
      <c r="C370" s="12" t="s">
        <v>1967</v>
      </c>
      <c r="D370" s="11" t="s">
        <v>1306</v>
      </c>
      <c r="E370" s="11" t="s">
        <v>245</v>
      </c>
      <c r="F370" s="12" t="s">
        <v>278</v>
      </c>
      <c r="G370" s="12" t="s">
        <v>246</v>
      </c>
      <c r="H370" s="12" t="s">
        <v>246</v>
      </c>
      <c r="I370" s="12" t="s">
        <v>82</v>
      </c>
      <c r="J370" s="12" t="s">
        <v>1009</v>
      </c>
      <c r="K370" s="12" t="s">
        <v>118</v>
      </c>
      <c r="L370" s="12" t="s">
        <v>247</v>
      </c>
      <c r="M370" s="12" t="s">
        <v>992</v>
      </c>
      <c r="N370" s="13" t="s">
        <v>1402</v>
      </c>
      <c r="O370" s="11" t="s">
        <v>992</v>
      </c>
      <c r="P370" s="11" t="s">
        <v>992</v>
      </c>
      <c r="Q370" s="11" t="s">
        <v>126</v>
      </c>
      <c r="R370" s="11" t="s">
        <v>150</v>
      </c>
      <c r="S370" s="11" t="s">
        <v>992</v>
      </c>
      <c r="T370" s="11" t="s">
        <v>125</v>
      </c>
      <c r="U370" s="11" t="s">
        <v>1014</v>
      </c>
      <c r="V370" s="11" t="s">
        <v>2167</v>
      </c>
      <c r="W370" s="11" t="s">
        <v>992</v>
      </c>
      <c r="X370" s="11" t="s">
        <v>992</v>
      </c>
      <c r="Y370" s="11" t="s">
        <v>2187</v>
      </c>
      <c r="Z370" s="11" t="s">
        <v>2216</v>
      </c>
      <c r="AA370" s="11" t="s">
        <v>2216</v>
      </c>
      <c r="AB370" s="11" t="s">
        <v>30</v>
      </c>
      <c r="AC370" s="11" t="s">
        <v>1674</v>
      </c>
      <c r="AD370" s="11" t="s">
        <v>1404</v>
      </c>
      <c r="AE370" s="11" t="s">
        <v>993</v>
      </c>
    </row>
    <row r="371">
      <c r="B371" s="24" t="s">
        <v>49</v>
      </c>
      <c r="C371" s="12" t="s">
        <v>1968</v>
      </c>
      <c r="D371" s="11" t="s">
        <v>1138</v>
      </c>
      <c r="E371" s="11" t="s">
        <v>47</v>
      </c>
      <c r="F371" s="12" t="s">
        <v>49</v>
      </c>
      <c r="G371" s="12" t="s">
        <v>992</v>
      </c>
      <c r="H371" s="12" t="s">
        <v>992</v>
      </c>
      <c r="I371" s="12" t="s">
        <v>37</v>
      </c>
      <c r="J371" s="12" t="s">
        <v>1015</v>
      </c>
      <c r="K371" s="12" t="s">
        <v>1021</v>
      </c>
      <c r="L371" s="12" t="s">
        <v>247</v>
      </c>
      <c r="M371" s="12" t="s">
        <v>992</v>
      </c>
      <c r="N371" s="13" t="s">
        <v>992</v>
      </c>
      <c r="O371" s="11" t="s">
        <v>992</v>
      </c>
      <c r="P371" s="11" t="s">
        <v>992</v>
      </c>
      <c r="Q371" s="11" t="s">
        <v>992</v>
      </c>
      <c r="R371" s="11" t="s">
        <v>992</v>
      </c>
      <c r="S371" s="11" t="s">
        <v>992</v>
      </c>
      <c r="T371" s="11" t="s">
        <v>125</v>
      </c>
      <c r="U371" s="11" t="s">
        <v>1014</v>
      </c>
      <c r="V371" s="11" t="s">
        <v>992</v>
      </c>
      <c r="W371" s="11" t="s">
        <v>992</v>
      </c>
      <c r="X371" s="11" t="s">
        <v>992</v>
      </c>
      <c r="Y371" s="11" t="s">
        <v>992</v>
      </c>
      <c r="Z371" s="11" t="s">
        <v>2217</v>
      </c>
      <c r="AA371" s="11" t="s">
        <v>2217</v>
      </c>
      <c r="AB371" s="11" t="s">
        <v>30</v>
      </c>
      <c r="AC371" s="11" t="s">
        <v>1343</v>
      </c>
      <c r="AD371" s="11" t="s">
        <v>992</v>
      </c>
      <c r="AE371" s="11" t="s">
        <v>993</v>
      </c>
    </row>
    <row r="372">
      <c r="B372" s="24" t="s">
        <v>49</v>
      </c>
      <c r="C372" s="12" t="s">
        <v>1969</v>
      </c>
      <c r="D372" s="11" t="s">
        <v>1307</v>
      </c>
      <c r="E372" s="11" t="s">
        <v>1308</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2217</v>
      </c>
      <c r="AA372" s="11" t="s">
        <v>2217</v>
      </c>
      <c r="AB372" s="11" t="s">
        <v>30</v>
      </c>
      <c r="AC372" s="11" t="s">
        <v>1359</v>
      </c>
      <c r="AD372" s="11" t="s">
        <v>992</v>
      </c>
      <c r="AE372" s="11" t="s">
        <v>993</v>
      </c>
    </row>
    <row r="373">
      <c r="B373" s="24" t="s">
        <v>49</v>
      </c>
      <c r="C373" s="12" t="s">
        <v>1970</v>
      </c>
      <c r="D373" s="11" t="s">
        <v>1399</v>
      </c>
      <c r="E373" s="11" t="s">
        <v>1401</v>
      </c>
      <c r="F373" s="12" t="s">
        <v>49</v>
      </c>
      <c r="G373" s="12" t="s">
        <v>992</v>
      </c>
      <c r="H373" s="12" t="s">
        <v>992</v>
      </c>
      <c r="I373" s="12" t="s">
        <v>82</v>
      </c>
      <c r="J373" s="12" t="s">
        <v>1009</v>
      </c>
      <c r="K373" s="12" t="s">
        <v>118</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2218</v>
      </c>
      <c r="AA373" s="11" t="s">
        <v>2218</v>
      </c>
      <c r="AB373" s="11" t="s">
        <v>30</v>
      </c>
      <c r="AC373" s="11" t="s">
        <v>1343</v>
      </c>
      <c r="AD373" s="11" t="s">
        <v>992</v>
      </c>
      <c r="AE373" s="11" t="s">
        <v>993</v>
      </c>
    </row>
    <row r="374">
      <c r="B374" s="24" t="s">
        <v>314</v>
      </c>
      <c r="C374" s="12" t="s">
        <v>1971</v>
      </c>
      <c r="D374" s="11" t="s">
        <v>1400</v>
      </c>
      <c r="E374" s="11" t="s">
        <v>429</v>
      </c>
      <c r="F374" s="12" t="s">
        <v>314</v>
      </c>
      <c r="G374" s="12" t="s">
        <v>992</v>
      </c>
      <c r="H374" s="12" t="s">
        <v>992</v>
      </c>
      <c r="I374" s="12" t="s">
        <v>430</v>
      </c>
      <c r="J374" s="12" t="s">
        <v>20</v>
      </c>
      <c r="K374" s="12" t="s">
        <v>1022</v>
      </c>
      <c r="L374" s="12" t="s">
        <v>247</v>
      </c>
      <c r="M374" s="12" t="s">
        <v>992</v>
      </c>
      <c r="N374" s="13" t="s">
        <v>1403</v>
      </c>
      <c r="O374" s="11" t="s">
        <v>992</v>
      </c>
      <c r="P374" s="11" t="s">
        <v>992</v>
      </c>
      <c r="Q374" s="11" t="s">
        <v>126</v>
      </c>
      <c r="R374" s="11" t="s">
        <v>150</v>
      </c>
      <c r="S374" s="11" t="s">
        <v>126</v>
      </c>
      <c r="T374" s="11" t="s">
        <v>125</v>
      </c>
      <c r="U374" s="11" t="s">
        <v>1014</v>
      </c>
      <c r="V374" s="11" t="s">
        <v>2168</v>
      </c>
      <c r="W374" s="11" t="s">
        <v>992</v>
      </c>
      <c r="X374" s="11" t="s">
        <v>992</v>
      </c>
      <c r="Y374" s="11" t="s">
        <v>992</v>
      </c>
      <c r="Z374" s="11" t="s">
        <v>2219</v>
      </c>
      <c r="AA374" s="11" t="s">
        <v>2219</v>
      </c>
      <c r="AB374" s="11" t="s">
        <v>30</v>
      </c>
      <c r="AC374" s="11" t="s">
        <v>1344</v>
      </c>
      <c r="AD374" s="11" t="s">
        <v>1405</v>
      </c>
      <c r="AE374" s="11" t="s">
        <v>993</v>
      </c>
    </row>
    <row r="375">
      <c r="B375" s="24" t="s">
        <v>295</v>
      </c>
      <c r="C375" s="12" t="s">
        <v>1972</v>
      </c>
      <c r="D375" s="11" t="s">
        <v>1408</v>
      </c>
      <c r="E375" s="11" t="s">
        <v>93</v>
      </c>
      <c r="F375" s="12" t="s">
        <v>295</v>
      </c>
      <c r="G375" s="12" t="s">
        <v>246</v>
      </c>
      <c r="H375" s="12" t="s">
        <v>246</v>
      </c>
      <c r="I375" s="12" t="s">
        <v>430</v>
      </c>
      <c r="J375" s="12" t="s">
        <v>93</v>
      </c>
      <c r="K375" s="12" t="s">
        <v>1022</v>
      </c>
      <c r="L375" s="12" t="s">
        <v>247</v>
      </c>
      <c r="M375" s="12" t="s">
        <v>992</v>
      </c>
      <c r="N375" s="13" t="s">
        <v>992</v>
      </c>
      <c r="O375" s="11" t="s">
        <v>992</v>
      </c>
      <c r="P375" s="11" t="s">
        <v>992</v>
      </c>
      <c r="Q375" s="11" t="s">
        <v>992</v>
      </c>
      <c r="R375" s="11" t="s">
        <v>992</v>
      </c>
      <c r="S375" s="11" t="s">
        <v>992</v>
      </c>
      <c r="T375" s="11" t="s">
        <v>125</v>
      </c>
      <c r="U375" s="11" t="s">
        <v>1014</v>
      </c>
      <c r="V375" s="11" t="s">
        <v>992</v>
      </c>
      <c r="W375" s="11" t="s">
        <v>992</v>
      </c>
      <c r="X375" s="11" t="s">
        <v>992</v>
      </c>
      <c r="Y375" s="11" t="s">
        <v>992</v>
      </c>
      <c r="Z375" s="11" t="s">
        <v>2220</v>
      </c>
      <c r="AA375" s="11" t="s">
        <v>2220</v>
      </c>
      <c r="AB375" s="11" t="s">
        <v>30</v>
      </c>
      <c r="AC375" s="11" t="s">
        <v>1348</v>
      </c>
      <c r="AD375" s="11" t="s">
        <v>992</v>
      </c>
      <c r="AE375" s="11" t="s">
        <v>993</v>
      </c>
    </row>
    <row r="376">
      <c r="B376" s="24" t="s">
        <v>283</v>
      </c>
      <c r="C376" s="12" t="s">
        <v>1973</v>
      </c>
      <c r="D376" s="11" t="s">
        <v>1409</v>
      </c>
      <c r="E376" s="11" t="s">
        <v>93</v>
      </c>
      <c r="F376" s="12" t="s">
        <v>283</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2209</v>
      </c>
      <c r="AA376" s="11" t="s">
        <v>2209</v>
      </c>
      <c r="AB376" s="11" t="s">
        <v>30</v>
      </c>
      <c r="AC376" s="11" t="s">
        <v>1343</v>
      </c>
      <c r="AD376" s="11" t="s">
        <v>992</v>
      </c>
      <c r="AE376" s="11" t="s">
        <v>993</v>
      </c>
    </row>
    <row r="377">
      <c r="B377" s="24" t="s">
        <v>295</v>
      </c>
      <c r="C377" s="12" t="s">
        <v>1974</v>
      </c>
      <c r="D377" s="11" t="s">
        <v>1410</v>
      </c>
      <c r="E377" s="11" t="s">
        <v>93</v>
      </c>
      <c r="F377" s="12" t="s">
        <v>295</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2221</v>
      </c>
      <c r="AA377" s="11" t="s">
        <v>2221</v>
      </c>
      <c r="AB377" s="11" t="s">
        <v>30</v>
      </c>
      <c r="AC377" s="11" t="s">
        <v>1686</v>
      </c>
      <c r="AD377" s="11" t="s">
        <v>992</v>
      </c>
      <c r="AE377" s="11" t="s">
        <v>993</v>
      </c>
    </row>
    <row r="378">
      <c r="B378" s="24" t="s">
        <v>283</v>
      </c>
      <c r="C378" s="12" t="s">
        <v>1975</v>
      </c>
      <c r="D378" s="11" t="s">
        <v>1413</v>
      </c>
      <c r="E378" s="11" t="s">
        <v>47</v>
      </c>
      <c r="F378" s="12" t="s">
        <v>283</v>
      </c>
      <c r="G378" s="12" t="s">
        <v>246</v>
      </c>
      <c r="H378" s="12" t="s">
        <v>246</v>
      </c>
      <c r="I378" s="12" t="s">
        <v>37</v>
      </c>
      <c r="J378" s="12" t="s">
        <v>1015</v>
      </c>
      <c r="K378" s="12" t="s">
        <v>1021</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2222</v>
      </c>
      <c r="AA378" s="11" t="s">
        <v>2222</v>
      </c>
      <c r="AB378" s="11" t="s">
        <v>30</v>
      </c>
      <c r="AC378" s="11" t="s">
        <v>1352</v>
      </c>
      <c r="AD378" s="11" t="s">
        <v>992</v>
      </c>
      <c r="AE378" s="11" t="s">
        <v>993</v>
      </c>
    </row>
    <row r="379">
      <c r="B379" s="24" t="s">
        <v>314</v>
      </c>
      <c r="C379" s="12" t="s">
        <v>1976</v>
      </c>
      <c r="D379" s="11" t="s">
        <v>1571</v>
      </c>
      <c r="E379" s="11" t="s">
        <v>93</v>
      </c>
      <c r="F379" s="12" t="s">
        <v>314</v>
      </c>
      <c r="G379" s="12" t="s">
        <v>246</v>
      </c>
      <c r="H379" s="12" t="s">
        <v>246</v>
      </c>
      <c r="I379" s="12" t="s">
        <v>430</v>
      </c>
      <c r="J379" s="12" t="s">
        <v>93</v>
      </c>
      <c r="K379" s="12" t="s">
        <v>1022</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2223</v>
      </c>
      <c r="AA379" s="11" t="s">
        <v>2223</v>
      </c>
      <c r="AB379" s="11" t="s">
        <v>30</v>
      </c>
      <c r="AC379" s="11" t="s">
        <v>1337</v>
      </c>
      <c r="AD379" s="11" t="s">
        <v>992</v>
      </c>
      <c r="AE379" s="11" t="s">
        <v>993</v>
      </c>
    </row>
    <row r="380">
      <c r="B380" s="24" t="s">
        <v>283</v>
      </c>
      <c r="C380" s="12" t="s">
        <v>1977</v>
      </c>
      <c r="D380" s="11" t="s">
        <v>1417</v>
      </c>
      <c r="E380" s="11" t="s">
        <v>1418</v>
      </c>
      <c r="F380" s="12" t="s">
        <v>283</v>
      </c>
      <c r="G380" s="12" t="s">
        <v>246</v>
      </c>
      <c r="H380" s="12" t="s">
        <v>246</v>
      </c>
      <c r="I380" s="12" t="s">
        <v>430</v>
      </c>
      <c r="J380" s="12" t="s">
        <v>71</v>
      </c>
      <c r="K380" s="12" t="s">
        <v>191</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2224</v>
      </c>
      <c r="AA380" s="11" t="s">
        <v>2224</v>
      </c>
      <c r="AB380" s="11" t="s">
        <v>30</v>
      </c>
      <c r="AC380" s="11" t="s">
        <v>1341</v>
      </c>
      <c r="AD380" s="11" t="s">
        <v>1555</v>
      </c>
      <c r="AE380" s="11" t="s">
        <v>993</v>
      </c>
    </row>
    <row r="381">
      <c r="B381" s="24" t="s">
        <v>278</v>
      </c>
      <c r="C381" s="12" t="s">
        <v>1978</v>
      </c>
      <c r="D381" s="11" t="s">
        <v>1421</v>
      </c>
      <c r="E381" s="11" t="s">
        <v>1422</v>
      </c>
      <c r="F381" s="12" t="s">
        <v>278</v>
      </c>
      <c r="G381" s="12" t="s">
        <v>246</v>
      </c>
      <c r="H381" s="12" t="s">
        <v>246</v>
      </c>
      <c r="I381" s="12" t="s">
        <v>60</v>
      </c>
      <c r="J381" s="12" t="s">
        <v>1030</v>
      </c>
      <c r="K381" s="12" t="s">
        <v>118</v>
      </c>
      <c r="L381" s="12" t="s">
        <v>247</v>
      </c>
      <c r="M381" s="12" t="s">
        <v>992</v>
      </c>
      <c r="N381" s="13" t="s">
        <v>1423</v>
      </c>
      <c r="O381" s="11" t="s">
        <v>992</v>
      </c>
      <c r="P381" s="11" t="s">
        <v>992</v>
      </c>
      <c r="Q381" s="11" t="s">
        <v>992</v>
      </c>
      <c r="R381" s="11" t="s">
        <v>992</v>
      </c>
      <c r="S381" s="11" t="s">
        <v>992</v>
      </c>
      <c r="T381" s="11" t="s">
        <v>992</v>
      </c>
      <c r="U381" s="11" t="s">
        <v>992</v>
      </c>
      <c r="V381" s="11" t="s">
        <v>992</v>
      </c>
      <c r="W381" s="11" t="s">
        <v>992</v>
      </c>
      <c r="X381" s="11" t="s">
        <v>992</v>
      </c>
      <c r="Y381" s="11" t="s">
        <v>992</v>
      </c>
      <c r="Z381" s="11" t="s">
        <v>992</v>
      </c>
      <c r="AA381" s="11" t="s">
        <v>992</v>
      </c>
      <c r="AB381" s="11" t="s">
        <v>992</v>
      </c>
      <c r="AC381" s="11" t="s">
        <v>992</v>
      </c>
      <c r="AD381" s="11" t="s">
        <v>992</v>
      </c>
      <c r="AE381" s="11" t="s">
        <v>2228</v>
      </c>
    </row>
    <row r="382">
      <c r="B382" s="24" t="s">
        <v>278</v>
      </c>
      <c r="C382" s="12" t="s">
        <v>1979</v>
      </c>
      <c r="D382" s="11" t="s">
        <v>1424</v>
      </c>
      <c r="E382" s="11" t="s">
        <v>1422</v>
      </c>
      <c r="F382" s="12" t="s">
        <v>278</v>
      </c>
      <c r="G382" s="12" t="s">
        <v>246</v>
      </c>
      <c r="H382" s="12" t="s">
        <v>246</v>
      </c>
      <c r="I382" s="12" t="s">
        <v>60</v>
      </c>
      <c r="J382" s="12" t="s">
        <v>1030</v>
      </c>
      <c r="K382" s="12" t="s">
        <v>118</v>
      </c>
      <c r="L382" s="12" t="s">
        <v>247</v>
      </c>
      <c r="M382" s="12" t="s">
        <v>992</v>
      </c>
      <c r="N382" s="13" t="s">
        <v>1425</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2228</v>
      </c>
    </row>
    <row r="383">
      <c r="B383" s="24" t="s">
        <v>291</v>
      </c>
      <c r="C383" s="12" t="s">
        <v>1980</v>
      </c>
      <c r="D383" s="11" t="s">
        <v>1428</v>
      </c>
      <c r="E383" s="11" t="s">
        <v>1441</v>
      </c>
      <c r="F383" s="12" t="s">
        <v>291</v>
      </c>
      <c r="G383" s="12" t="s">
        <v>246</v>
      </c>
      <c r="H383" s="12" t="s">
        <v>246</v>
      </c>
      <c r="I383" s="12" t="s">
        <v>60</v>
      </c>
      <c r="J383" s="12" t="s">
        <v>1030</v>
      </c>
      <c r="K383" s="12" t="s">
        <v>118</v>
      </c>
      <c r="L383" s="12" t="s">
        <v>247</v>
      </c>
      <c r="M383" s="12" t="s">
        <v>992</v>
      </c>
      <c r="N383" s="13" t="s">
        <v>1445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2228</v>
      </c>
    </row>
    <row r="384">
      <c r="B384" s="24" t="s">
        <v>308</v>
      </c>
      <c r="C384" s="12" t="s">
        <v>1981</v>
      </c>
      <c r="D384" s="11" t="s">
        <v>1429</v>
      </c>
      <c r="E384" s="11" t="s">
        <v>1442</v>
      </c>
      <c r="F384" s="12" t="s">
        <v>308</v>
      </c>
      <c r="G384" s="12" t="s">
        <v>246</v>
      </c>
      <c r="H384" s="12" t="s">
        <v>246</v>
      </c>
      <c r="I384" s="12" t="s">
        <v>60</v>
      </c>
      <c r="J384" s="12" t="s">
        <v>1030</v>
      </c>
      <c r="K384" s="12" t="s">
        <v>118</v>
      </c>
      <c r="L384" s="12" t="s">
        <v>247</v>
      </c>
      <c r="M384" s="12" t="s">
        <v>992</v>
      </c>
      <c r="N384" s="13" t="s">
        <v>1446</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2228</v>
      </c>
    </row>
    <row r="385">
      <c r="B385" s="24" t="s">
        <v>49</v>
      </c>
      <c r="C385" s="12" t="s">
        <v>1982</v>
      </c>
      <c r="D385" s="11" t="s">
        <v>1430</v>
      </c>
      <c r="E385" s="11" t="s">
        <v>1443</v>
      </c>
      <c r="F385" s="12" t="s">
        <v>286</v>
      </c>
      <c r="G385" s="12" t="s">
        <v>246</v>
      </c>
      <c r="H385" s="12" t="s">
        <v>246</v>
      </c>
      <c r="I385" s="12" t="s">
        <v>60</v>
      </c>
      <c r="J385" s="12" t="s">
        <v>1030</v>
      </c>
      <c r="K385" s="12" t="s">
        <v>118</v>
      </c>
      <c r="L385" s="12" t="s">
        <v>247</v>
      </c>
      <c r="M385" s="12" t="s">
        <v>992</v>
      </c>
      <c r="N385" s="13" t="s">
        <v>1447</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2228</v>
      </c>
    </row>
    <row r="386">
      <c r="B386" s="24" t="s">
        <v>295</v>
      </c>
      <c r="C386" s="12" t="s">
        <v>1983</v>
      </c>
      <c r="D386" s="11" t="s">
        <v>1431</v>
      </c>
      <c r="E386" s="11" t="s">
        <v>1444</v>
      </c>
      <c r="F386" s="12" t="s">
        <v>295</v>
      </c>
      <c r="G386" s="12" t="s">
        <v>246</v>
      </c>
      <c r="H386" s="12" t="s">
        <v>246</v>
      </c>
      <c r="I386" s="12" t="s">
        <v>60</v>
      </c>
      <c r="J386" s="12" t="s">
        <v>1030</v>
      </c>
      <c r="K386" s="12" t="s">
        <v>118</v>
      </c>
      <c r="L386" s="12" t="s">
        <v>247</v>
      </c>
      <c r="M386" s="12" t="s">
        <v>992</v>
      </c>
      <c r="N386" s="13" t="s">
        <v>2137</v>
      </c>
      <c r="O386" s="11" t="s">
        <v>992</v>
      </c>
      <c r="P386" s="11" t="s">
        <v>992</v>
      </c>
      <c r="Q386" s="11" t="s">
        <v>992</v>
      </c>
      <c r="R386" s="11" t="s">
        <v>992</v>
      </c>
      <c r="S386" s="11" t="s">
        <v>992</v>
      </c>
      <c r="T386" s="11" t="s">
        <v>992</v>
      </c>
      <c r="U386" s="11" t="s">
        <v>992</v>
      </c>
      <c r="V386" s="11" t="s">
        <v>2169</v>
      </c>
      <c r="W386" s="11" t="s">
        <v>992</v>
      </c>
      <c r="X386" s="11" t="s">
        <v>992</v>
      </c>
      <c r="Y386" s="11" t="s">
        <v>992</v>
      </c>
      <c r="Z386" s="11" t="s">
        <v>992</v>
      </c>
      <c r="AA386" s="11" t="s">
        <v>992</v>
      </c>
      <c r="AB386" s="11" t="s">
        <v>992</v>
      </c>
      <c r="AC386" s="11" t="s">
        <v>992</v>
      </c>
      <c r="AD386" s="11" t="s">
        <v>992</v>
      </c>
      <c r="AE386" s="11" t="s">
        <v>2228</v>
      </c>
    </row>
    <row r="387">
      <c r="B387" s="24" t="s">
        <v>295</v>
      </c>
      <c r="C387" s="12" t="s">
        <v>1984</v>
      </c>
      <c r="D387" s="11" t="s">
        <v>1432</v>
      </c>
      <c r="E387" s="11" t="s">
        <v>1444</v>
      </c>
      <c r="F387" s="12" t="s">
        <v>295</v>
      </c>
      <c r="G387" s="12" t="s">
        <v>246</v>
      </c>
      <c r="H387" s="12" t="s">
        <v>246</v>
      </c>
      <c r="I387" s="12" t="s">
        <v>60</v>
      </c>
      <c r="J387" s="12" t="s">
        <v>1030</v>
      </c>
      <c r="K387" s="12" t="s">
        <v>118</v>
      </c>
      <c r="L387" s="12" t="s">
        <v>247</v>
      </c>
      <c r="M387" s="12" t="s">
        <v>992</v>
      </c>
      <c r="N387" s="13" t="s">
        <v>2138</v>
      </c>
      <c r="O387" s="11" t="s">
        <v>992</v>
      </c>
      <c r="P387" s="11" t="s">
        <v>992</v>
      </c>
      <c r="Q387" s="11" t="s">
        <v>992</v>
      </c>
      <c r="R387" s="11" t="s">
        <v>992</v>
      </c>
      <c r="S387" s="11" t="s">
        <v>992</v>
      </c>
      <c r="T387" s="11" t="s">
        <v>992</v>
      </c>
      <c r="U387" s="11" t="s">
        <v>992</v>
      </c>
      <c r="V387" s="11" t="s">
        <v>992</v>
      </c>
      <c r="W387" s="11" t="s">
        <v>992</v>
      </c>
      <c r="X387" s="11" t="s">
        <v>992</v>
      </c>
      <c r="Y387" s="11" t="s">
        <v>992</v>
      </c>
      <c r="Z387" s="11" t="s">
        <v>992</v>
      </c>
      <c r="AA387" s="11" t="s">
        <v>992</v>
      </c>
      <c r="AB387" s="11" t="s">
        <v>992</v>
      </c>
      <c r="AC387" s="11" t="s">
        <v>992</v>
      </c>
      <c r="AD387" s="11" t="s">
        <v>992</v>
      </c>
      <c r="AE387" s="11" t="s">
        <v>2228</v>
      </c>
    </row>
    <row r="388">
      <c r="B388" s="24" t="s">
        <v>278</v>
      </c>
      <c r="C388" s="12" t="s">
        <v>1985</v>
      </c>
      <c r="D388" s="11" t="s">
        <v>1433</v>
      </c>
      <c r="E388" s="11" t="s">
        <v>1509</v>
      </c>
      <c r="F388" s="12" t="s">
        <v>278</v>
      </c>
      <c r="G388" s="12" t="s">
        <v>246</v>
      </c>
      <c r="H388" s="12" t="s">
        <v>246</v>
      </c>
      <c r="I388" s="12" t="s">
        <v>430</v>
      </c>
      <c r="J388" s="12" t="s">
        <v>90</v>
      </c>
      <c r="K388" s="12" t="s">
        <v>1022</v>
      </c>
      <c r="L388" s="12" t="s">
        <v>247</v>
      </c>
      <c r="M388" s="12" t="s">
        <v>992</v>
      </c>
      <c r="N388" s="13" t="s">
        <v>1448</v>
      </c>
      <c r="O388" s="11" t="s">
        <v>992</v>
      </c>
      <c r="P388" s="11" t="s">
        <v>992</v>
      </c>
      <c r="Q388" s="11" t="s">
        <v>992</v>
      </c>
      <c r="R388" s="11" t="s">
        <v>992</v>
      </c>
      <c r="S388" s="11" t="s">
        <v>992</v>
      </c>
      <c r="T388" s="11" t="s">
        <v>992</v>
      </c>
      <c r="U388" s="11" t="s">
        <v>992</v>
      </c>
      <c r="V388" s="11" t="s">
        <v>992</v>
      </c>
      <c r="W388" s="11" t="s">
        <v>992</v>
      </c>
      <c r="X388" s="11" t="s">
        <v>992</v>
      </c>
      <c r="Y388" s="11" t="s">
        <v>992</v>
      </c>
      <c r="Z388" s="11" t="s">
        <v>992</v>
      </c>
      <c r="AA388" s="11" t="s">
        <v>992</v>
      </c>
      <c r="AB388" s="11" t="s">
        <v>992</v>
      </c>
      <c r="AC388" s="11" t="s">
        <v>992</v>
      </c>
      <c r="AD388" s="11" t="s">
        <v>992</v>
      </c>
      <c r="AE388" s="11" t="s">
        <v>2228</v>
      </c>
    </row>
    <row r="389">
      <c r="B389" s="24" t="s">
        <v>278</v>
      </c>
      <c r="C389" s="12" t="s">
        <v>1986</v>
      </c>
      <c r="D389" s="11" t="s">
        <v>1434</v>
      </c>
      <c r="E389" s="11" t="s">
        <v>1572</v>
      </c>
      <c r="F389" s="12" t="s">
        <v>278</v>
      </c>
      <c r="G389" s="12" t="s">
        <v>246</v>
      </c>
      <c r="H389" s="12" t="s">
        <v>246</v>
      </c>
      <c r="I389" s="12" t="s">
        <v>60</v>
      </c>
      <c r="J389" s="12" t="s">
        <v>1030</v>
      </c>
      <c r="K389" s="12" t="s">
        <v>118</v>
      </c>
      <c r="L389" s="12" t="s">
        <v>247</v>
      </c>
      <c r="M389" s="12" t="s">
        <v>992</v>
      </c>
      <c r="N389" s="13" t="s">
        <v>1449</v>
      </c>
      <c r="O389" s="11" t="s">
        <v>992</v>
      </c>
      <c r="P389" s="11" t="s">
        <v>992</v>
      </c>
      <c r="Q389" s="11" t="s">
        <v>992</v>
      </c>
      <c r="R389" s="11" t="s">
        <v>992</v>
      </c>
      <c r="S389" s="11" t="s">
        <v>992</v>
      </c>
      <c r="T389" s="11" t="s">
        <v>992</v>
      </c>
      <c r="U389" s="11" t="s">
        <v>1014</v>
      </c>
      <c r="V389" s="11" t="s">
        <v>2169</v>
      </c>
      <c r="W389" s="11" t="s">
        <v>992</v>
      </c>
      <c r="X389" s="11" t="s">
        <v>992</v>
      </c>
      <c r="Y389" s="11" t="s">
        <v>992</v>
      </c>
      <c r="Z389" s="11" t="s">
        <v>2190</v>
      </c>
      <c r="AA389" s="11" t="s">
        <v>2190</v>
      </c>
      <c r="AB389" s="11" t="s">
        <v>30</v>
      </c>
      <c r="AC389" s="11" t="s">
        <v>1336</v>
      </c>
      <c r="AD389" s="11" t="s">
        <v>992</v>
      </c>
      <c r="AE389" s="11" t="s">
        <v>993</v>
      </c>
    </row>
    <row r="390">
      <c r="B390" s="24" t="s">
        <v>283</v>
      </c>
      <c r="C390" s="12" t="s">
        <v>1987</v>
      </c>
      <c r="D390" s="11" t="s">
        <v>1453</v>
      </c>
      <c r="E390" s="11" t="s">
        <v>1501</v>
      </c>
      <c r="F390" s="12" t="s">
        <v>283</v>
      </c>
      <c r="G390" s="12" t="s">
        <v>246</v>
      </c>
      <c r="H390" s="12" t="s">
        <v>246</v>
      </c>
      <c r="I390" s="12" t="s">
        <v>60</v>
      </c>
      <c r="J390" s="12" t="s">
        <v>1030</v>
      </c>
      <c r="K390" s="12" t="s">
        <v>118</v>
      </c>
      <c r="L390" s="12" t="s">
        <v>247</v>
      </c>
      <c r="M390" s="12" t="s">
        <v>992</v>
      </c>
      <c r="N390" s="13" t="s">
        <v>1511</v>
      </c>
      <c r="O390" s="11" t="s">
        <v>992</v>
      </c>
      <c r="P390" s="11" t="s">
        <v>992</v>
      </c>
      <c r="Q390" s="11" t="s">
        <v>992</v>
      </c>
      <c r="R390" s="11" t="s">
        <v>992</v>
      </c>
      <c r="S390" s="11" t="s">
        <v>992</v>
      </c>
      <c r="T390" s="11" t="s">
        <v>992</v>
      </c>
      <c r="U390" s="11" t="s">
        <v>992</v>
      </c>
      <c r="V390" s="11" t="s">
        <v>992</v>
      </c>
      <c r="W390" s="11" t="s">
        <v>992</v>
      </c>
      <c r="X390" s="11" t="s">
        <v>992</v>
      </c>
      <c r="Y390" s="11" t="s">
        <v>992</v>
      </c>
      <c r="Z390" s="11" t="s">
        <v>992</v>
      </c>
      <c r="AA390" s="11" t="s">
        <v>992</v>
      </c>
      <c r="AB390" s="11" t="s">
        <v>992</v>
      </c>
      <c r="AC390" s="11" t="s">
        <v>992</v>
      </c>
      <c r="AD390" s="11" t="s">
        <v>992</v>
      </c>
      <c r="AE390" s="11" t="s">
        <v>2228</v>
      </c>
    </row>
    <row r="391">
      <c r="B391" s="24" t="s">
        <v>283</v>
      </c>
      <c r="C391" s="12" t="s">
        <v>1988</v>
      </c>
      <c r="D391" s="11" t="s">
        <v>1454</v>
      </c>
      <c r="E391" s="11" t="s">
        <v>1501</v>
      </c>
      <c r="F391" s="12" t="s">
        <v>283</v>
      </c>
      <c r="G391" s="12" t="s">
        <v>246</v>
      </c>
      <c r="H391" s="12" t="s">
        <v>246</v>
      </c>
      <c r="I391" s="12" t="s">
        <v>60</v>
      </c>
      <c r="J391" s="12" t="s">
        <v>1030</v>
      </c>
      <c r="K391" s="12" t="s">
        <v>118</v>
      </c>
      <c r="L391" s="12" t="s">
        <v>247</v>
      </c>
      <c r="M391" s="12" t="s">
        <v>992</v>
      </c>
      <c r="N391" s="13" t="s">
        <v>1512</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2228</v>
      </c>
    </row>
    <row r="392">
      <c r="B392" s="24" t="s">
        <v>311</v>
      </c>
      <c r="C392" s="12" t="s">
        <v>1989</v>
      </c>
      <c r="D392" s="11" t="s">
        <v>1455</v>
      </c>
      <c r="E392" s="11" t="s">
        <v>1502</v>
      </c>
      <c r="F392" s="12" t="s">
        <v>311</v>
      </c>
      <c r="G392" s="12" t="s">
        <v>246</v>
      </c>
      <c r="H392" s="12" t="s">
        <v>246</v>
      </c>
      <c r="I392" s="12" t="s">
        <v>60</v>
      </c>
      <c r="J392" s="12" t="s">
        <v>1030</v>
      </c>
      <c r="K392" s="12" t="s">
        <v>118</v>
      </c>
      <c r="L392" s="12" t="s">
        <v>247</v>
      </c>
      <c r="M392" s="12" t="s">
        <v>992</v>
      </c>
      <c r="N392" s="13" t="s">
        <v>1513</v>
      </c>
      <c r="O392" s="11" t="s">
        <v>992</v>
      </c>
      <c r="P392" s="11" t="s">
        <v>992</v>
      </c>
      <c r="Q392" s="11" t="s">
        <v>992</v>
      </c>
      <c r="R392" s="11" t="s">
        <v>992</v>
      </c>
      <c r="S392" s="11" t="s">
        <v>992</v>
      </c>
      <c r="T392" s="11" t="s">
        <v>992</v>
      </c>
      <c r="U392" s="11" t="s">
        <v>992</v>
      </c>
      <c r="V392" s="11" t="s">
        <v>2169</v>
      </c>
      <c r="W392" s="11" t="s">
        <v>992</v>
      </c>
      <c r="X392" s="11" t="s">
        <v>992</v>
      </c>
      <c r="Y392" s="11" t="s">
        <v>992</v>
      </c>
      <c r="Z392" s="11" t="s">
        <v>992</v>
      </c>
      <c r="AA392" s="11" t="s">
        <v>992</v>
      </c>
      <c r="AB392" s="11" t="s">
        <v>992</v>
      </c>
      <c r="AC392" s="11" t="s">
        <v>992</v>
      </c>
      <c r="AD392" s="11" t="s">
        <v>992</v>
      </c>
      <c r="AE392" s="11" t="s">
        <v>2228</v>
      </c>
    </row>
    <row r="393">
      <c r="B393" s="24" t="s">
        <v>311</v>
      </c>
      <c r="C393" s="12" t="s">
        <v>1990</v>
      </c>
      <c r="D393" s="11" t="s">
        <v>1456</v>
      </c>
      <c r="E393" s="11" t="s">
        <v>93</v>
      </c>
      <c r="F393" s="12" t="s">
        <v>311</v>
      </c>
      <c r="G393" s="12" t="s">
        <v>246</v>
      </c>
      <c r="H393" s="12" t="s">
        <v>246</v>
      </c>
      <c r="I393" s="12" t="s">
        <v>60</v>
      </c>
      <c r="J393" s="12" t="s">
        <v>1030</v>
      </c>
      <c r="K393" s="12" t="s">
        <v>118</v>
      </c>
      <c r="L393" s="12" t="s">
        <v>247</v>
      </c>
      <c r="M393" s="12" t="s">
        <v>992</v>
      </c>
      <c r="N393" s="13" t="s">
        <v>1514</v>
      </c>
      <c r="O393" s="11" t="s">
        <v>992</v>
      </c>
      <c r="P393" s="11" t="s">
        <v>992</v>
      </c>
      <c r="Q393" s="11" t="s">
        <v>992</v>
      </c>
      <c r="R393" s="11" t="s">
        <v>992</v>
      </c>
      <c r="S393" s="11" t="s">
        <v>992</v>
      </c>
      <c r="T393" s="11" t="s">
        <v>992</v>
      </c>
      <c r="U393" s="11" t="s">
        <v>992</v>
      </c>
      <c r="V393" s="11" t="s">
        <v>992</v>
      </c>
      <c r="W393" s="11" t="s">
        <v>992</v>
      </c>
      <c r="X393" s="11" t="s">
        <v>992</v>
      </c>
      <c r="Y393" s="11" t="s">
        <v>992</v>
      </c>
      <c r="Z393" s="11" t="s">
        <v>992</v>
      </c>
      <c r="AA393" s="11" t="s">
        <v>992</v>
      </c>
      <c r="AB393" s="11" t="s">
        <v>992</v>
      </c>
      <c r="AC393" s="11" t="s">
        <v>992</v>
      </c>
      <c r="AD393" s="11" t="s">
        <v>992</v>
      </c>
      <c r="AE393" s="11" t="s">
        <v>2228</v>
      </c>
    </row>
    <row r="394">
      <c r="B394" s="24" t="s">
        <v>314</v>
      </c>
      <c r="C394" s="12" t="s">
        <v>1991</v>
      </c>
      <c r="D394" s="11" t="s">
        <v>1457</v>
      </c>
      <c r="E394" s="11" t="s">
        <v>1503</v>
      </c>
      <c r="F394" s="12" t="s">
        <v>314</v>
      </c>
      <c r="G394" s="12" t="s">
        <v>246</v>
      </c>
      <c r="H394" s="12" t="s">
        <v>246</v>
      </c>
      <c r="I394" s="12" t="s">
        <v>60</v>
      </c>
      <c r="J394" s="12" t="s">
        <v>1030</v>
      </c>
      <c r="K394" s="12" t="s">
        <v>118</v>
      </c>
      <c r="L394" s="12" t="s">
        <v>247</v>
      </c>
      <c r="M394" s="12" t="s">
        <v>992</v>
      </c>
      <c r="N394" s="13" t="s">
        <v>1515</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2228</v>
      </c>
    </row>
    <row r="395">
      <c r="B395" s="24" t="s">
        <v>416</v>
      </c>
      <c r="C395" s="12" t="s">
        <v>1992</v>
      </c>
      <c r="D395" s="11" t="s">
        <v>1458</v>
      </c>
      <c r="E395" s="11" t="s">
        <v>1504</v>
      </c>
      <c r="F395" s="12" t="s">
        <v>416</v>
      </c>
      <c r="G395" s="12" t="s">
        <v>246</v>
      </c>
      <c r="H395" s="12" t="s">
        <v>246</v>
      </c>
      <c r="I395" s="12" t="s">
        <v>60</v>
      </c>
      <c r="J395" s="12" t="s">
        <v>1030</v>
      </c>
      <c r="K395" s="12" t="s">
        <v>118</v>
      </c>
      <c r="L395" s="12" t="s">
        <v>247</v>
      </c>
      <c r="M395" s="12" t="s">
        <v>992</v>
      </c>
      <c r="N395" s="13" t="s">
        <v>1516</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2228</v>
      </c>
    </row>
    <row r="396">
      <c r="B396" s="24" t="s">
        <v>291</v>
      </c>
      <c r="C396" s="12" t="s">
        <v>1993</v>
      </c>
      <c r="D396" s="11" t="s">
        <v>1435</v>
      </c>
      <c r="E396" s="11" t="s">
        <v>1505</v>
      </c>
      <c r="F396" s="12" t="s">
        <v>291</v>
      </c>
      <c r="G396" s="12" t="s">
        <v>246</v>
      </c>
      <c r="H396" s="12" t="s">
        <v>246</v>
      </c>
      <c r="I396" s="12" t="s">
        <v>111</v>
      </c>
      <c r="J396" s="12" t="s">
        <v>1031</v>
      </c>
      <c r="K396" s="12" t="s">
        <v>118</v>
      </c>
      <c r="L396" s="12" t="s">
        <v>247</v>
      </c>
      <c r="M396" s="12" t="s">
        <v>992</v>
      </c>
      <c r="N396" s="13" t="s">
        <v>1517</v>
      </c>
      <c r="O396" s="11" t="s">
        <v>992</v>
      </c>
      <c r="P396" s="11" t="s">
        <v>992</v>
      </c>
      <c r="Q396" s="11" t="s">
        <v>126</v>
      </c>
      <c r="R396" s="11" t="s">
        <v>143</v>
      </c>
      <c r="S396" s="11" t="s">
        <v>992</v>
      </c>
      <c r="T396" s="11" t="s">
        <v>125</v>
      </c>
      <c r="U396" s="11" t="s">
        <v>131</v>
      </c>
      <c r="V396" s="11" t="s">
        <v>2170</v>
      </c>
      <c r="W396" s="11" t="s">
        <v>992</v>
      </c>
      <c r="X396" s="11" t="s">
        <v>992</v>
      </c>
      <c r="Y396" s="11" t="s">
        <v>2188</v>
      </c>
      <c r="Z396" s="11" t="s">
        <v>992</v>
      </c>
      <c r="AA396" s="11" t="s">
        <v>992</v>
      </c>
      <c r="AB396" s="11" t="s">
        <v>30</v>
      </c>
      <c r="AC396" s="11" t="s">
        <v>992</v>
      </c>
      <c r="AD396" s="11" t="s">
        <v>992</v>
      </c>
      <c r="AE396" s="11" t="s">
        <v>993</v>
      </c>
    </row>
    <row r="397">
      <c r="B397" s="24" t="s">
        <v>278</v>
      </c>
      <c r="C397" s="12" t="s">
        <v>1994</v>
      </c>
      <c r="D397" s="11" t="s">
        <v>1459</v>
      </c>
      <c r="E397" s="11" t="s">
        <v>1573</v>
      </c>
      <c r="F397" s="12" t="s">
        <v>278</v>
      </c>
      <c r="G397" s="12" t="s">
        <v>246</v>
      </c>
      <c r="H397" s="12" t="s">
        <v>246</v>
      </c>
      <c r="I397" s="12" t="s">
        <v>111</v>
      </c>
      <c r="J397" s="12" t="s">
        <v>1031</v>
      </c>
      <c r="K397" s="12" t="s">
        <v>118</v>
      </c>
      <c r="L397" s="12" t="s">
        <v>247</v>
      </c>
      <c r="M397" s="12" t="s">
        <v>992</v>
      </c>
      <c r="N397" s="13" t="s">
        <v>1518</v>
      </c>
      <c r="O397" s="11" t="s">
        <v>992</v>
      </c>
      <c r="P397" s="11" t="s">
        <v>992</v>
      </c>
      <c r="Q397" s="11" t="s">
        <v>126</v>
      </c>
      <c r="R397" s="11" t="s">
        <v>143</v>
      </c>
      <c r="S397" s="11" t="s">
        <v>992</v>
      </c>
      <c r="T397" s="11" t="s">
        <v>125</v>
      </c>
      <c r="U397" s="11" t="s">
        <v>1014</v>
      </c>
      <c r="V397" s="11" t="s">
        <v>2170</v>
      </c>
      <c r="W397" s="11" t="s">
        <v>992</v>
      </c>
      <c r="X397" s="11" t="s">
        <v>992</v>
      </c>
      <c r="Y397" s="11" t="s">
        <v>2189</v>
      </c>
      <c r="Z397" s="11" t="s">
        <v>2225</v>
      </c>
      <c r="AA397" s="11" t="s">
        <v>2225</v>
      </c>
      <c r="AB397" s="11" t="s">
        <v>30</v>
      </c>
      <c r="AC397" s="11" t="s">
        <v>1333</v>
      </c>
      <c r="AD397" s="11" t="s">
        <v>992</v>
      </c>
      <c r="AE397" s="11" t="s">
        <v>993</v>
      </c>
    </row>
    <row r="398">
      <c r="B398" s="24" t="s">
        <v>311</v>
      </c>
      <c r="C398" s="12" t="s">
        <v>1995</v>
      </c>
      <c r="D398" s="11" t="s">
        <v>1436</v>
      </c>
      <c r="E398" s="11" t="s">
        <v>992</v>
      </c>
      <c r="F398" s="12" t="s">
        <v>311</v>
      </c>
      <c r="G398" s="12" t="s">
        <v>246</v>
      </c>
      <c r="H398" s="12" t="s">
        <v>246</v>
      </c>
      <c r="I398" s="12" t="s">
        <v>111</v>
      </c>
      <c r="J398" s="12" t="s">
        <v>992</v>
      </c>
      <c r="K398" s="12" t="s">
        <v>118</v>
      </c>
      <c r="L398" s="12" t="s">
        <v>247</v>
      </c>
      <c r="M398" s="12" t="s">
        <v>992</v>
      </c>
      <c r="N398" s="13" t="s">
        <v>1450</v>
      </c>
      <c r="O398" s="11" t="s">
        <v>992</v>
      </c>
      <c r="P398" s="11" t="s">
        <v>992</v>
      </c>
      <c r="Q398" s="11" t="s">
        <v>126</v>
      </c>
      <c r="R398" s="11" t="s">
        <v>143</v>
      </c>
      <c r="S398" s="11" t="s">
        <v>992</v>
      </c>
      <c r="T398" s="11" t="s">
        <v>125</v>
      </c>
      <c r="U398" s="11" t="s">
        <v>131</v>
      </c>
      <c r="V398" s="11" t="s">
        <v>2170</v>
      </c>
      <c r="W398" s="11" t="s">
        <v>992</v>
      </c>
      <c r="X398" s="11" t="s">
        <v>992</v>
      </c>
      <c r="Y398" s="11" t="s">
        <v>992</v>
      </c>
      <c r="Z398" s="11" t="s">
        <v>992</v>
      </c>
      <c r="AA398" s="11" t="s">
        <v>992</v>
      </c>
      <c r="AB398" s="11" t="s">
        <v>992</v>
      </c>
      <c r="AC398" s="11" t="s">
        <v>992</v>
      </c>
      <c r="AD398" s="11" t="s">
        <v>1568</v>
      </c>
      <c r="AE398" s="11" t="s">
        <v>993</v>
      </c>
    </row>
    <row r="399">
      <c r="B399" s="24" t="s">
        <v>308</v>
      </c>
      <c r="C399" s="12" t="s">
        <v>1996</v>
      </c>
      <c r="D399" s="11" t="s">
        <v>1437</v>
      </c>
      <c r="E399" s="11" t="s">
        <v>992</v>
      </c>
      <c r="F399" s="12" t="s">
        <v>308</v>
      </c>
      <c r="G399" s="12" t="s">
        <v>246</v>
      </c>
      <c r="H399" s="12" t="s">
        <v>246</v>
      </c>
      <c r="I399" s="12" t="s">
        <v>111</v>
      </c>
      <c r="J399" s="12" t="s">
        <v>992</v>
      </c>
      <c r="K399" s="12" t="s">
        <v>118</v>
      </c>
      <c r="L399" s="12" t="s">
        <v>247</v>
      </c>
      <c r="M399" s="12" t="s">
        <v>992</v>
      </c>
      <c r="N399" s="13" t="s">
        <v>1574</v>
      </c>
      <c r="O399" s="11" t="s">
        <v>992</v>
      </c>
      <c r="P399" s="11" t="s">
        <v>992</v>
      </c>
      <c r="Q399" s="11" t="s">
        <v>126</v>
      </c>
      <c r="R399" s="11" t="s">
        <v>143</v>
      </c>
      <c r="S399" s="11" t="s">
        <v>992</v>
      </c>
      <c r="T399" s="11" t="s">
        <v>125</v>
      </c>
      <c r="U399" s="11" t="s">
        <v>131</v>
      </c>
      <c r="V399" s="11" t="s">
        <v>2170</v>
      </c>
      <c r="W399" s="11" t="s">
        <v>992</v>
      </c>
      <c r="X399" s="11" t="s">
        <v>992</v>
      </c>
      <c r="Y399" s="11" t="s">
        <v>2190</v>
      </c>
      <c r="Z399" s="11" t="s">
        <v>992</v>
      </c>
      <c r="AA399" s="11" t="s">
        <v>992</v>
      </c>
      <c r="AB399" s="11" t="s">
        <v>30</v>
      </c>
      <c r="AC399" s="11" t="s">
        <v>992</v>
      </c>
      <c r="AD399" s="11" t="s">
        <v>992</v>
      </c>
      <c r="AE399" s="11" t="s">
        <v>993</v>
      </c>
    </row>
    <row r="400">
      <c r="B400" s="24" t="s">
        <v>308</v>
      </c>
      <c r="C400" s="12" t="s">
        <v>1997</v>
      </c>
      <c r="D400" s="11" t="s">
        <v>1438</v>
      </c>
      <c r="E400" s="11" t="s">
        <v>1506</v>
      </c>
      <c r="F400" s="12" t="s">
        <v>308</v>
      </c>
      <c r="G400" s="12" t="s">
        <v>246</v>
      </c>
      <c r="H400" s="12" t="s">
        <v>246</v>
      </c>
      <c r="I400" s="12" t="s">
        <v>111</v>
      </c>
      <c r="J400" s="12" t="s">
        <v>1032</v>
      </c>
      <c r="K400" s="12" t="s">
        <v>118</v>
      </c>
      <c r="L400" s="12" t="s">
        <v>247</v>
      </c>
      <c r="M400" s="12" t="s">
        <v>992</v>
      </c>
      <c r="N400" s="13" t="s">
        <v>1451</v>
      </c>
      <c r="O400" s="11" t="s">
        <v>992</v>
      </c>
      <c r="P400" s="11" t="s">
        <v>992</v>
      </c>
      <c r="Q400" s="11" t="s">
        <v>126</v>
      </c>
      <c r="R400" s="11" t="s">
        <v>143</v>
      </c>
      <c r="S400" s="11" t="s">
        <v>992</v>
      </c>
      <c r="T400" s="11" t="s">
        <v>125</v>
      </c>
      <c r="U400" s="11" t="s">
        <v>38</v>
      </c>
      <c r="V400" s="11" t="s">
        <v>2170</v>
      </c>
      <c r="W400" s="11" t="s">
        <v>992</v>
      </c>
      <c r="X400" s="11" t="s">
        <v>992</v>
      </c>
      <c r="Y400" s="11" t="s">
        <v>992</v>
      </c>
      <c r="Z400" s="11" t="s">
        <v>992</v>
      </c>
      <c r="AA400" s="11" t="s">
        <v>992</v>
      </c>
      <c r="AB400" s="11" t="s">
        <v>992</v>
      </c>
      <c r="AC400" s="11" t="s">
        <v>992</v>
      </c>
      <c r="AD400" s="11" t="s">
        <v>992</v>
      </c>
      <c r="AE400" s="11" t="s">
        <v>993</v>
      </c>
    </row>
    <row r="401">
      <c r="B401" s="24" t="s">
        <v>314</v>
      </c>
      <c r="C401" s="12" t="s">
        <v>1998</v>
      </c>
      <c r="D401" s="11" t="s">
        <v>1575</v>
      </c>
      <c r="E401" s="11" t="s">
        <v>1576</v>
      </c>
      <c r="F401" s="12" t="s">
        <v>314</v>
      </c>
      <c r="G401" s="12" t="s">
        <v>246</v>
      </c>
      <c r="H401" s="12" t="s">
        <v>246</v>
      </c>
      <c r="I401" s="12" t="s">
        <v>111</v>
      </c>
      <c r="J401" s="12" t="s">
        <v>1031</v>
      </c>
      <c r="K401" s="12" t="s">
        <v>118</v>
      </c>
      <c r="L401" s="12" t="s">
        <v>247</v>
      </c>
      <c r="M401" s="12" t="s">
        <v>992</v>
      </c>
      <c r="N401" s="13" t="s">
        <v>1519</v>
      </c>
      <c r="O401" s="11" t="s">
        <v>992</v>
      </c>
      <c r="P401" s="11" t="s">
        <v>992</v>
      </c>
      <c r="Q401" s="11" t="s">
        <v>126</v>
      </c>
      <c r="R401" s="11" t="s">
        <v>143</v>
      </c>
      <c r="S401" s="11" t="s">
        <v>992</v>
      </c>
      <c r="T401" s="11" t="s">
        <v>125</v>
      </c>
      <c r="U401" s="11" t="s">
        <v>1014</v>
      </c>
      <c r="V401" s="11" t="s">
        <v>2170</v>
      </c>
      <c r="W401" s="11" t="s">
        <v>992</v>
      </c>
      <c r="X401" s="11" t="s">
        <v>992</v>
      </c>
      <c r="Y401" s="11" t="s">
        <v>2191</v>
      </c>
      <c r="Z401" s="11" t="s">
        <v>2191</v>
      </c>
      <c r="AA401" s="11" t="s">
        <v>2191</v>
      </c>
      <c r="AB401" s="11" t="s">
        <v>30</v>
      </c>
      <c r="AC401" s="11" t="s">
        <v>1352</v>
      </c>
      <c r="AD401" s="11" t="s">
        <v>992</v>
      </c>
      <c r="AE401" s="11" t="s">
        <v>993</v>
      </c>
    </row>
    <row r="402">
      <c r="B402" s="24" t="s">
        <v>283</v>
      </c>
      <c r="C402" s="12" t="s">
        <v>1999</v>
      </c>
      <c r="D402" s="11" t="s">
        <v>1439</v>
      </c>
      <c r="E402" s="11" t="s">
        <v>1507</v>
      </c>
      <c r="F402" s="12" t="s">
        <v>283</v>
      </c>
      <c r="G402" s="12" t="s">
        <v>246</v>
      </c>
      <c r="H402" s="12" t="s">
        <v>246</v>
      </c>
      <c r="I402" s="12" t="s">
        <v>111</v>
      </c>
      <c r="J402" s="12" t="s">
        <v>1031</v>
      </c>
      <c r="K402" s="12" t="s">
        <v>118</v>
      </c>
      <c r="L402" s="12" t="s">
        <v>247</v>
      </c>
      <c r="M402" s="12" t="s">
        <v>992</v>
      </c>
      <c r="N402" s="13" t="s">
        <v>1520</v>
      </c>
      <c r="O402" s="11" t="s">
        <v>992</v>
      </c>
      <c r="P402" s="11" t="s">
        <v>992</v>
      </c>
      <c r="Q402" s="11" t="s">
        <v>126</v>
      </c>
      <c r="R402" s="11" t="s">
        <v>143</v>
      </c>
      <c r="S402" s="11" t="s">
        <v>992</v>
      </c>
      <c r="T402" s="11" t="s">
        <v>125</v>
      </c>
      <c r="U402" s="11" t="s">
        <v>1014</v>
      </c>
      <c r="V402" s="11" t="s">
        <v>2170</v>
      </c>
      <c r="W402" s="11" t="s">
        <v>992</v>
      </c>
      <c r="X402" s="11" t="s">
        <v>992</v>
      </c>
      <c r="Y402" s="11" t="s">
        <v>2192</v>
      </c>
      <c r="Z402" s="11" t="s">
        <v>2192</v>
      </c>
      <c r="AA402" s="11" t="s">
        <v>2192</v>
      </c>
      <c r="AB402" s="11" t="s">
        <v>30</v>
      </c>
      <c r="AC402" s="11" t="s">
        <v>1344</v>
      </c>
      <c r="AD402" s="11" t="s">
        <v>1556</v>
      </c>
      <c r="AE402" s="11" t="s">
        <v>993</v>
      </c>
    </row>
    <row r="403">
      <c r="B403" s="24" t="s">
        <v>283</v>
      </c>
      <c r="C403" s="12" t="s">
        <v>2000</v>
      </c>
      <c r="D403" s="11" t="s">
        <v>1440</v>
      </c>
      <c r="E403" s="11" t="s">
        <v>992</v>
      </c>
      <c r="F403" s="12" t="s">
        <v>283</v>
      </c>
      <c r="G403" s="12" t="s">
        <v>246</v>
      </c>
      <c r="H403" s="12" t="s">
        <v>246</v>
      </c>
      <c r="I403" s="12" t="s">
        <v>111</v>
      </c>
      <c r="J403" s="12" t="s">
        <v>992</v>
      </c>
      <c r="K403" s="12" t="s">
        <v>118</v>
      </c>
      <c r="L403" s="12" t="s">
        <v>247</v>
      </c>
      <c r="M403" s="12" t="s">
        <v>992</v>
      </c>
      <c r="N403" s="13" t="s">
        <v>1452</v>
      </c>
      <c r="O403" s="11" t="s">
        <v>992</v>
      </c>
      <c r="P403" s="11" t="s">
        <v>992</v>
      </c>
      <c r="Q403" s="11" t="s">
        <v>126</v>
      </c>
      <c r="R403" s="11" t="s">
        <v>143</v>
      </c>
      <c r="S403" s="11" t="s">
        <v>992</v>
      </c>
      <c r="T403" s="11" t="s">
        <v>125</v>
      </c>
      <c r="U403" s="11" t="s">
        <v>132</v>
      </c>
      <c r="V403" s="11" t="s">
        <v>2170</v>
      </c>
      <c r="W403" s="11" t="s">
        <v>992</v>
      </c>
      <c r="X403" s="11" t="s">
        <v>992</v>
      </c>
      <c r="Y403" s="11" t="s">
        <v>992</v>
      </c>
      <c r="Z403" s="11" t="s">
        <v>992</v>
      </c>
      <c r="AA403" s="11" t="s">
        <v>992</v>
      </c>
      <c r="AB403" s="11" t="s">
        <v>992</v>
      </c>
      <c r="AC403" s="11" t="s">
        <v>992</v>
      </c>
      <c r="AD403" s="11" t="s">
        <v>992</v>
      </c>
      <c r="AE403" s="11" t="s">
        <v>993</v>
      </c>
    </row>
    <row r="404">
      <c r="B404" s="24" t="s">
        <v>992</v>
      </c>
      <c r="C404" s="12" t="s">
        <v>2001</v>
      </c>
      <c r="D404" s="11" t="s">
        <v>1460</v>
      </c>
      <c r="E404" s="11" t="s">
        <v>415</v>
      </c>
      <c r="F404" s="12" t="s">
        <v>314</v>
      </c>
      <c r="G404" s="12" t="s">
        <v>246</v>
      </c>
      <c r="H404" s="12" t="s">
        <v>246</v>
      </c>
      <c r="I404" s="12" t="s">
        <v>60</v>
      </c>
      <c r="J404" s="12" t="s">
        <v>1025</v>
      </c>
      <c r="K404" s="12" t="s">
        <v>118</v>
      </c>
      <c r="L404" s="12" t="s">
        <v>247</v>
      </c>
      <c r="M404" s="12" t="s">
        <v>992</v>
      </c>
      <c r="N404" s="13" t="s">
        <v>1521</v>
      </c>
      <c r="O404" s="11" t="s">
        <v>118</v>
      </c>
      <c r="P404" s="11" t="s">
        <v>992</v>
      </c>
      <c r="Q404" s="11" t="s">
        <v>126</v>
      </c>
      <c r="R404" s="11" t="s">
        <v>150</v>
      </c>
      <c r="S404" s="11" t="s">
        <v>126</v>
      </c>
      <c r="T404" s="11" t="s">
        <v>125</v>
      </c>
      <c r="U404" s="11" t="s">
        <v>131</v>
      </c>
      <c r="V404" s="11" t="s">
        <v>2171</v>
      </c>
      <c r="W404" s="11" t="s">
        <v>2170</v>
      </c>
      <c r="X404" s="11" t="s">
        <v>992</v>
      </c>
      <c r="Y404" s="11" t="s">
        <v>2193</v>
      </c>
      <c r="Z404" s="11" t="s">
        <v>992</v>
      </c>
      <c r="AA404" s="11" t="s">
        <v>992</v>
      </c>
      <c r="AB404" s="11" t="s">
        <v>30</v>
      </c>
      <c r="AC404" s="11" t="s">
        <v>992</v>
      </c>
      <c r="AD404" s="11" t="s">
        <v>1557</v>
      </c>
      <c r="AE404" s="11" t="s">
        <v>993</v>
      </c>
    </row>
    <row r="405">
      <c r="B405" s="24" t="s">
        <v>308</v>
      </c>
      <c r="C405" s="12" t="s">
        <v>2002</v>
      </c>
      <c r="D405" s="11" t="s">
        <v>1461</v>
      </c>
      <c r="E405" s="11" t="s">
        <v>1508</v>
      </c>
      <c r="F405" s="12" t="s">
        <v>308</v>
      </c>
      <c r="G405" s="12" t="s">
        <v>246</v>
      </c>
      <c r="H405" s="12" t="s">
        <v>246</v>
      </c>
      <c r="I405" s="12" t="s">
        <v>37</v>
      </c>
      <c r="J405" s="12" t="s">
        <v>1015</v>
      </c>
      <c r="K405" s="12" t="s">
        <v>1016</v>
      </c>
      <c r="L405" s="12" t="s">
        <v>247</v>
      </c>
      <c r="M405" s="12" t="s">
        <v>992</v>
      </c>
      <c r="N405" s="13" t="s">
        <v>992</v>
      </c>
      <c r="O405" s="11" t="s">
        <v>992</v>
      </c>
      <c r="P405" s="11" t="s">
        <v>992</v>
      </c>
      <c r="Q405" s="11" t="s">
        <v>992</v>
      </c>
      <c r="R405" s="11" t="s">
        <v>992</v>
      </c>
      <c r="S405" s="11" t="s">
        <v>992</v>
      </c>
      <c r="T405" s="11" t="s">
        <v>125</v>
      </c>
      <c r="U405" s="11" t="s">
        <v>1014</v>
      </c>
      <c r="V405" s="11" t="s">
        <v>992</v>
      </c>
      <c r="W405" s="11" t="s">
        <v>992</v>
      </c>
      <c r="X405" s="11" t="s">
        <v>992</v>
      </c>
      <c r="Y405" s="11" t="s">
        <v>992</v>
      </c>
      <c r="Z405" s="11" t="s">
        <v>2226</v>
      </c>
      <c r="AA405" s="11" t="s">
        <v>2226</v>
      </c>
      <c r="AB405" s="11" t="s">
        <v>30</v>
      </c>
      <c r="AC405" s="11" t="s">
        <v>1340</v>
      </c>
      <c r="AD405" s="11" t="s">
        <v>992</v>
      </c>
      <c r="AE405" s="11" t="s">
        <v>993</v>
      </c>
    </row>
    <row r="406">
      <c r="B406" s="24" t="s">
        <v>278</v>
      </c>
      <c r="C406" s="12" t="s">
        <v>2003</v>
      </c>
      <c r="D406" s="11" t="s">
        <v>1462</v>
      </c>
      <c r="E406" s="11" t="s">
        <v>1509</v>
      </c>
      <c r="F406" s="12" t="s">
        <v>278</v>
      </c>
      <c r="G406" s="12" t="s">
        <v>246</v>
      </c>
      <c r="H406" s="12" t="s">
        <v>246</v>
      </c>
      <c r="I406" s="12" t="s">
        <v>430</v>
      </c>
      <c r="J406" s="12" t="s">
        <v>90</v>
      </c>
      <c r="K406" s="12" t="s">
        <v>1022</v>
      </c>
      <c r="L406" s="12" t="s">
        <v>247</v>
      </c>
      <c r="M406" s="12" t="s">
        <v>992</v>
      </c>
      <c r="N406" s="13" t="s">
        <v>1522</v>
      </c>
      <c r="O406" s="11" t="s">
        <v>992</v>
      </c>
      <c r="P406" s="11" t="s">
        <v>992</v>
      </c>
      <c r="Q406" s="11" t="s">
        <v>992</v>
      </c>
      <c r="R406" s="11" t="s">
        <v>992</v>
      </c>
      <c r="S406" s="11" t="s">
        <v>992</v>
      </c>
      <c r="T406" s="11" t="s">
        <v>992</v>
      </c>
      <c r="U406" s="11" t="s">
        <v>992</v>
      </c>
      <c r="V406" s="11" t="s">
        <v>992</v>
      </c>
      <c r="W406" s="11" t="s">
        <v>992</v>
      </c>
      <c r="X406" s="11" t="s">
        <v>992</v>
      </c>
      <c r="Y406" s="11" t="s">
        <v>992</v>
      </c>
      <c r="Z406" s="11" t="s">
        <v>992</v>
      </c>
      <c r="AA406" s="11" t="s">
        <v>992</v>
      </c>
      <c r="AB406" s="11" t="s">
        <v>992</v>
      </c>
      <c r="AC406" s="11" t="s">
        <v>992</v>
      </c>
      <c r="AD406" s="11" t="s">
        <v>992</v>
      </c>
      <c r="AE406" s="11" t="s">
        <v>2228</v>
      </c>
    </row>
    <row r="407">
      <c r="B407" s="24" t="s">
        <v>278</v>
      </c>
      <c r="C407" s="12" t="s">
        <v>2004</v>
      </c>
      <c r="D407" s="11" t="s">
        <v>1463</v>
      </c>
      <c r="E407" s="11" t="s">
        <v>1509</v>
      </c>
      <c r="F407" s="12" t="s">
        <v>278</v>
      </c>
      <c r="G407" s="12" t="s">
        <v>246</v>
      </c>
      <c r="H407" s="12" t="s">
        <v>246</v>
      </c>
      <c r="I407" s="12" t="s">
        <v>430</v>
      </c>
      <c r="J407" s="12" t="s">
        <v>90</v>
      </c>
      <c r="K407" s="12" t="s">
        <v>1022</v>
      </c>
      <c r="L407" s="12" t="s">
        <v>247</v>
      </c>
      <c r="M407" s="12" t="s">
        <v>992</v>
      </c>
      <c r="N407" s="13" t="s">
        <v>1523</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2228</v>
      </c>
    </row>
    <row r="408">
      <c r="B408" s="24" t="s">
        <v>278</v>
      </c>
      <c r="C408" s="12" t="s">
        <v>2005</v>
      </c>
      <c r="D408" s="11" t="s">
        <v>1464</v>
      </c>
      <c r="E408" s="11" t="s">
        <v>1422</v>
      </c>
      <c r="F408" s="12" t="s">
        <v>278</v>
      </c>
      <c r="G408" s="12" t="s">
        <v>246</v>
      </c>
      <c r="H408" s="12" t="s">
        <v>246</v>
      </c>
      <c r="I408" s="12" t="s">
        <v>60</v>
      </c>
      <c r="J408" s="12" t="s">
        <v>1030</v>
      </c>
      <c r="K408" s="12" t="s">
        <v>118</v>
      </c>
      <c r="L408" s="12" t="s">
        <v>247</v>
      </c>
      <c r="M408" s="12" t="s">
        <v>992</v>
      </c>
      <c r="N408" s="13" t="s">
        <v>1524</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2228</v>
      </c>
    </row>
    <row r="409">
      <c r="B409" s="24" t="s">
        <v>278</v>
      </c>
      <c r="C409" s="12" t="s">
        <v>2006</v>
      </c>
      <c r="D409" s="11" t="s">
        <v>1465</v>
      </c>
      <c r="E409" s="11" t="s">
        <v>1422</v>
      </c>
      <c r="F409" s="12" t="s">
        <v>278</v>
      </c>
      <c r="G409" s="12" t="s">
        <v>246</v>
      </c>
      <c r="H409" s="12" t="s">
        <v>246</v>
      </c>
      <c r="I409" s="12" t="s">
        <v>60</v>
      </c>
      <c r="J409" s="12" t="s">
        <v>1030</v>
      </c>
      <c r="K409" s="12" t="s">
        <v>118</v>
      </c>
      <c r="L409" s="12" t="s">
        <v>247</v>
      </c>
      <c r="M409" s="12" t="s">
        <v>992</v>
      </c>
      <c r="N409" s="13" t="s">
        <v>1525</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2228</v>
      </c>
    </row>
    <row r="410">
      <c r="B410" s="24" t="s">
        <v>278</v>
      </c>
      <c r="C410" s="12" t="s">
        <v>2007</v>
      </c>
      <c r="D410" s="11" t="s">
        <v>1466</v>
      </c>
      <c r="E410" s="11" t="s">
        <v>1422</v>
      </c>
      <c r="F410" s="12" t="s">
        <v>278</v>
      </c>
      <c r="G410" s="12" t="s">
        <v>246</v>
      </c>
      <c r="H410" s="12" t="s">
        <v>246</v>
      </c>
      <c r="I410" s="12" t="s">
        <v>60</v>
      </c>
      <c r="J410" s="12" t="s">
        <v>1030</v>
      </c>
      <c r="K410" s="12" t="s">
        <v>118</v>
      </c>
      <c r="L410" s="12" t="s">
        <v>247</v>
      </c>
      <c r="M410" s="12" t="s">
        <v>992</v>
      </c>
      <c r="N410" s="13" t="s">
        <v>1526</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2228</v>
      </c>
    </row>
    <row r="411">
      <c r="B411" s="24" t="s">
        <v>278</v>
      </c>
      <c r="C411" s="12" t="s">
        <v>2008</v>
      </c>
      <c r="D411" s="11" t="s">
        <v>1467</v>
      </c>
      <c r="E411" s="11" t="s">
        <v>1422</v>
      </c>
      <c r="F411" s="12" t="s">
        <v>278</v>
      </c>
      <c r="G411" s="12" t="s">
        <v>246</v>
      </c>
      <c r="H411" s="12" t="s">
        <v>246</v>
      </c>
      <c r="I411" s="12" t="s">
        <v>60</v>
      </c>
      <c r="J411" s="12" t="s">
        <v>1030</v>
      </c>
      <c r="K411" s="12" t="s">
        <v>118</v>
      </c>
      <c r="L411" s="12" t="s">
        <v>247</v>
      </c>
      <c r="M411" s="12" t="s">
        <v>992</v>
      </c>
      <c r="N411" s="13" t="s">
        <v>1527</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2228</v>
      </c>
    </row>
    <row r="412">
      <c r="B412" s="24" t="s">
        <v>278</v>
      </c>
      <c r="C412" s="12" t="s">
        <v>2009</v>
      </c>
      <c r="D412" s="11" t="s">
        <v>1468</v>
      </c>
      <c r="E412" s="11" t="s">
        <v>1422</v>
      </c>
      <c r="F412" s="12" t="s">
        <v>278</v>
      </c>
      <c r="G412" s="12" t="s">
        <v>246</v>
      </c>
      <c r="H412" s="12" t="s">
        <v>246</v>
      </c>
      <c r="I412" s="12" t="s">
        <v>60</v>
      </c>
      <c r="J412" s="12" t="s">
        <v>1030</v>
      </c>
      <c r="K412" s="12" t="s">
        <v>118</v>
      </c>
      <c r="L412" s="12" t="s">
        <v>247</v>
      </c>
      <c r="M412" s="12" t="s">
        <v>992</v>
      </c>
      <c r="N412" s="13" t="s">
        <v>1528</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2228</v>
      </c>
    </row>
    <row r="413">
      <c r="B413" s="24" t="s">
        <v>278</v>
      </c>
      <c r="C413" s="12" t="s">
        <v>2010</v>
      </c>
      <c r="D413" s="11" t="s">
        <v>1469</v>
      </c>
      <c r="E413" s="11" t="s">
        <v>1422</v>
      </c>
      <c r="F413" s="12" t="s">
        <v>278</v>
      </c>
      <c r="G413" s="12" t="s">
        <v>246</v>
      </c>
      <c r="H413" s="12" t="s">
        <v>246</v>
      </c>
      <c r="I413" s="12" t="s">
        <v>60</v>
      </c>
      <c r="J413" s="12" t="s">
        <v>1030</v>
      </c>
      <c r="K413" s="12" t="s">
        <v>118</v>
      </c>
      <c r="L413" s="12" t="s">
        <v>247</v>
      </c>
      <c r="M413" s="12" t="s">
        <v>992</v>
      </c>
      <c r="N413" s="13" t="s">
        <v>1529</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2228</v>
      </c>
    </row>
    <row r="414">
      <c r="B414" s="24" t="s">
        <v>278</v>
      </c>
      <c r="C414" s="12" t="s">
        <v>2011</v>
      </c>
      <c r="D414" s="11" t="s">
        <v>1470</v>
      </c>
      <c r="E414" s="11" t="s">
        <v>93</v>
      </c>
      <c r="F414" s="12" t="s">
        <v>278</v>
      </c>
      <c r="G414" s="12" t="s">
        <v>246</v>
      </c>
      <c r="H414" s="12" t="s">
        <v>246</v>
      </c>
      <c r="I414" s="12" t="s">
        <v>430</v>
      </c>
      <c r="J414" s="12" t="s">
        <v>93</v>
      </c>
      <c r="K414" s="12" t="s">
        <v>1022</v>
      </c>
      <c r="L414" s="12" t="s">
        <v>247</v>
      </c>
      <c r="M414" s="12" t="s">
        <v>992</v>
      </c>
      <c r="N414" s="13" t="s">
        <v>1530</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2228</v>
      </c>
    </row>
    <row r="415">
      <c r="B415" s="24" t="s">
        <v>278</v>
      </c>
      <c r="C415" s="12" t="s">
        <v>2012</v>
      </c>
      <c r="D415" s="11" t="s">
        <v>1471</v>
      </c>
      <c r="E415" s="11" t="s">
        <v>93</v>
      </c>
      <c r="F415" s="12" t="s">
        <v>278</v>
      </c>
      <c r="G415" s="12" t="s">
        <v>246</v>
      </c>
      <c r="H415" s="12" t="s">
        <v>246</v>
      </c>
      <c r="I415" s="12" t="s">
        <v>430</v>
      </c>
      <c r="J415" s="12" t="s">
        <v>93</v>
      </c>
      <c r="K415" s="12" t="s">
        <v>1022</v>
      </c>
      <c r="L415" s="12" t="s">
        <v>247</v>
      </c>
      <c r="M415" s="12" t="s">
        <v>992</v>
      </c>
      <c r="N415" s="13" t="s">
        <v>1531</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2228</v>
      </c>
    </row>
    <row r="416">
      <c r="B416" s="24" t="s">
        <v>278</v>
      </c>
      <c r="C416" s="12" t="s">
        <v>2013</v>
      </c>
      <c r="D416" s="11" t="s">
        <v>1472</v>
      </c>
      <c r="E416" s="11" t="s">
        <v>429</v>
      </c>
      <c r="F416" s="12" t="s">
        <v>278</v>
      </c>
      <c r="G416" s="12" t="s">
        <v>246</v>
      </c>
      <c r="H416" s="12" t="s">
        <v>246</v>
      </c>
      <c r="I416" s="12" t="s">
        <v>430</v>
      </c>
      <c r="J416" s="12" t="s">
        <v>20</v>
      </c>
      <c r="K416" s="12" t="s">
        <v>1022</v>
      </c>
      <c r="L416" s="12" t="s">
        <v>247</v>
      </c>
      <c r="M416" s="12" t="s">
        <v>992</v>
      </c>
      <c r="N416" s="13" t="s">
        <v>1532</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2228</v>
      </c>
    </row>
    <row r="417">
      <c r="B417" s="24" t="s">
        <v>278</v>
      </c>
      <c r="C417" s="12" t="s">
        <v>2014</v>
      </c>
      <c r="D417" s="11" t="s">
        <v>1473</v>
      </c>
      <c r="E417" s="11" t="s">
        <v>429</v>
      </c>
      <c r="F417" s="12" t="s">
        <v>278</v>
      </c>
      <c r="G417" s="12" t="s">
        <v>246</v>
      </c>
      <c r="H417" s="12" t="s">
        <v>246</v>
      </c>
      <c r="I417" s="12" t="s">
        <v>430</v>
      </c>
      <c r="J417" s="12" t="s">
        <v>20</v>
      </c>
      <c r="K417" s="12" t="s">
        <v>1022</v>
      </c>
      <c r="L417" s="12" t="s">
        <v>247</v>
      </c>
      <c r="M417" s="12" t="s">
        <v>992</v>
      </c>
      <c r="N417" s="13" t="s">
        <v>1533</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2228</v>
      </c>
    </row>
    <row r="418">
      <c r="B418" s="24" t="s">
        <v>278</v>
      </c>
      <c r="C418" s="12" t="s">
        <v>2015</v>
      </c>
      <c r="D418" s="11" t="s">
        <v>1474</v>
      </c>
      <c r="E418" s="11" t="s">
        <v>1510</v>
      </c>
      <c r="F418" s="12" t="s">
        <v>278</v>
      </c>
      <c r="G418" s="12" t="s">
        <v>246</v>
      </c>
      <c r="H418" s="12" t="s">
        <v>246</v>
      </c>
      <c r="I418" s="12" t="s">
        <v>430</v>
      </c>
      <c r="J418" s="12" t="s">
        <v>71</v>
      </c>
      <c r="K418" s="12" t="s">
        <v>1570</v>
      </c>
      <c r="L418" s="12" t="s">
        <v>247</v>
      </c>
      <c r="M418" s="12" t="s">
        <v>992</v>
      </c>
      <c r="N418" s="13" t="s">
        <v>1534</v>
      </c>
      <c r="O418" s="11" t="s">
        <v>992</v>
      </c>
      <c r="P418" s="11" t="s">
        <v>992</v>
      </c>
      <c r="Q418" s="11" t="s">
        <v>992</v>
      </c>
      <c r="R418" s="11" t="s">
        <v>992</v>
      </c>
      <c r="S418" s="11" t="s">
        <v>992</v>
      </c>
      <c r="T418" s="11" t="s">
        <v>992</v>
      </c>
      <c r="U418" s="11" t="s">
        <v>992</v>
      </c>
      <c r="V418" s="11" t="s">
        <v>992</v>
      </c>
      <c r="W418" s="11" t="s">
        <v>992</v>
      </c>
      <c r="X418" s="11" t="s">
        <v>992</v>
      </c>
      <c r="Y418" s="11" t="s">
        <v>992</v>
      </c>
      <c r="Z418" s="11" t="s">
        <v>992</v>
      </c>
      <c r="AA418" s="11" t="s">
        <v>992</v>
      </c>
      <c r="AB418" s="11" t="s">
        <v>992</v>
      </c>
      <c r="AC418" s="11" t="s">
        <v>992</v>
      </c>
      <c r="AD418" s="11" t="s">
        <v>992</v>
      </c>
      <c r="AE418" s="11" t="s">
        <v>2228</v>
      </c>
    </row>
    <row r="419">
      <c r="B419" s="24" t="s">
        <v>278</v>
      </c>
      <c r="C419" s="12" t="s">
        <v>2016</v>
      </c>
      <c r="D419" s="11" t="s">
        <v>1475</v>
      </c>
      <c r="E419" s="11" t="s">
        <v>1510</v>
      </c>
      <c r="F419" s="12" t="s">
        <v>278</v>
      </c>
      <c r="G419" s="12" t="s">
        <v>246</v>
      </c>
      <c r="H419" s="12" t="s">
        <v>246</v>
      </c>
      <c r="I419" s="12" t="s">
        <v>430</v>
      </c>
      <c r="J419" s="12" t="s">
        <v>71</v>
      </c>
      <c r="K419" s="12" t="s">
        <v>1570</v>
      </c>
      <c r="L419" s="12" t="s">
        <v>247</v>
      </c>
      <c r="M419" s="12" t="s">
        <v>992</v>
      </c>
      <c r="N419" s="13" t="s">
        <v>1535</v>
      </c>
      <c r="O419" s="11" t="s">
        <v>992</v>
      </c>
      <c r="P419" s="11" t="s">
        <v>992</v>
      </c>
      <c r="Q419" s="11" t="s">
        <v>992</v>
      </c>
      <c r="R419" s="11" t="s">
        <v>992</v>
      </c>
      <c r="S419" s="11" t="s">
        <v>992</v>
      </c>
      <c r="T419" s="11" t="s">
        <v>992</v>
      </c>
      <c r="U419" s="11" t="s">
        <v>992</v>
      </c>
      <c r="V419" s="11" t="s">
        <v>992</v>
      </c>
      <c r="W419" s="11" t="s">
        <v>992</v>
      </c>
      <c r="X419" s="11" t="s">
        <v>992</v>
      </c>
      <c r="Y419" s="11" t="s">
        <v>992</v>
      </c>
      <c r="Z419" s="11" t="s">
        <v>992</v>
      </c>
      <c r="AA419" s="11" t="s">
        <v>992</v>
      </c>
      <c r="AB419" s="11" t="s">
        <v>992</v>
      </c>
      <c r="AC419" s="11" t="s">
        <v>992</v>
      </c>
      <c r="AD419" s="11" t="s">
        <v>992</v>
      </c>
      <c r="AE419" s="11" t="s">
        <v>2228</v>
      </c>
    </row>
    <row r="420">
      <c r="B420" s="24" t="s">
        <v>278</v>
      </c>
      <c r="C420" s="12" t="s">
        <v>2017</v>
      </c>
      <c r="D420" s="11" t="s">
        <v>1476</v>
      </c>
      <c r="E420" s="11" t="s">
        <v>77</v>
      </c>
      <c r="F420" s="12" t="s">
        <v>278</v>
      </c>
      <c r="G420" s="12" t="s">
        <v>246</v>
      </c>
      <c r="H420" s="12" t="s">
        <v>246</v>
      </c>
      <c r="I420" s="12" t="s">
        <v>430</v>
      </c>
      <c r="J420" s="12" t="s">
        <v>71</v>
      </c>
      <c r="K420" s="12" t="s">
        <v>77</v>
      </c>
      <c r="L420" s="12" t="s">
        <v>247</v>
      </c>
      <c r="M420" s="12" t="s">
        <v>992</v>
      </c>
      <c r="N420" s="13" t="s">
        <v>1536</v>
      </c>
      <c r="O420" s="11" t="s">
        <v>992</v>
      </c>
      <c r="P420" s="11" t="s">
        <v>992</v>
      </c>
      <c r="Q420" s="11" t="s">
        <v>992</v>
      </c>
      <c r="R420" s="11" t="s">
        <v>992</v>
      </c>
      <c r="S420" s="11" t="s">
        <v>992</v>
      </c>
      <c r="T420" s="11" t="s">
        <v>992</v>
      </c>
      <c r="U420" s="11" t="s">
        <v>992</v>
      </c>
      <c r="V420" s="11" t="s">
        <v>992</v>
      </c>
      <c r="W420" s="11" t="s">
        <v>992</v>
      </c>
      <c r="X420" s="11" t="s">
        <v>992</v>
      </c>
      <c r="Y420" s="11" t="s">
        <v>992</v>
      </c>
      <c r="Z420" s="11" t="s">
        <v>992</v>
      </c>
      <c r="AA420" s="11" t="s">
        <v>992</v>
      </c>
      <c r="AB420" s="11" t="s">
        <v>992</v>
      </c>
      <c r="AC420" s="11" t="s">
        <v>992</v>
      </c>
      <c r="AD420" s="11" t="s">
        <v>992</v>
      </c>
      <c r="AE420" s="11" t="s">
        <v>2228</v>
      </c>
    </row>
    <row r="421">
      <c r="B421" s="24" t="s">
        <v>278</v>
      </c>
      <c r="C421" s="12" t="s">
        <v>2018</v>
      </c>
      <c r="D421" s="11" t="s">
        <v>1477</v>
      </c>
      <c r="E421" s="11" t="s">
        <v>77</v>
      </c>
      <c r="F421" s="12" t="s">
        <v>278</v>
      </c>
      <c r="G421" s="12" t="s">
        <v>246</v>
      </c>
      <c r="H421" s="12" t="s">
        <v>246</v>
      </c>
      <c r="I421" s="12" t="s">
        <v>430</v>
      </c>
      <c r="J421" s="12" t="s">
        <v>71</v>
      </c>
      <c r="K421" s="12" t="s">
        <v>77</v>
      </c>
      <c r="L421" s="12" t="s">
        <v>247</v>
      </c>
      <c r="M421" s="12" t="s">
        <v>992</v>
      </c>
      <c r="N421" s="13" t="s">
        <v>1537</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2228</v>
      </c>
    </row>
    <row r="422">
      <c r="B422" s="24" t="s">
        <v>291</v>
      </c>
      <c r="C422" s="12" t="s">
        <v>2019</v>
      </c>
      <c r="D422" s="11" t="s">
        <v>1478</v>
      </c>
      <c r="E422" s="11" t="s">
        <v>1441</v>
      </c>
      <c r="F422" s="12" t="s">
        <v>291</v>
      </c>
      <c r="G422" s="12" t="s">
        <v>246</v>
      </c>
      <c r="H422" s="12" t="s">
        <v>246</v>
      </c>
      <c r="I422" s="12" t="s">
        <v>60</v>
      </c>
      <c r="J422" s="12" t="s">
        <v>1030</v>
      </c>
      <c r="K422" s="12" t="s">
        <v>118</v>
      </c>
      <c r="L422" s="12" t="s">
        <v>247</v>
      </c>
      <c r="M422" s="12" t="s">
        <v>992</v>
      </c>
      <c r="N422" s="13" t="s">
        <v>1538</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2228</v>
      </c>
    </row>
    <row r="423">
      <c r="B423" s="24" t="s">
        <v>291</v>
      </c>
      <c r="C423" s="12" t="s">
        <v>2020</v>
      </c>
      <c r="D423" s="11" t="s">
        <v>1479</v>
      </c>
      <c r="E423" s="11" t="s">
        <v>1441</v>
      </c>
      <c r="F423" s="12" t="s">
        <v>291</v>
      </c>
      <c r="G423" s="12" t="s">
        <v>246</v>
      </c>
      <c r="H423" s="12" t="s">
        <v>246</v>
      </c>
      <c r="I423" s="12" t="s">
        <v>60</v>
      </c>
      <c r="J423" s="12" t="s">
        <v>1030</v>
      </c>
      <c r="K423" s="12" t="s">
        <v>118</v>
      </c>
      <c r="L423" s="12" t="s">
        <v>247</v>
      </c>
      <c r="M423" s="12" t="s">
        <v>992</v>
      </c>
      <c r="N423" s="13" t="s">
        <v>1539</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2228</v>
      </c>
    </row>
    <row r="424">
      <c r="B424" s="24" t="s">
        <v>291</v>
      </c>
      <c r="C424" s="12" t="s">
        <v>2021</v>
      </c>
      <c r="D424" s="11" t="s">
        <v>1480</v>
      </c>
      <c r="E424" s="11" t="s">
        <v>1441</v>
      </c>
      <c r="F424" s="12" t="s">
        <v>291</v>
      </c>
      <c r="G424" s="12" t="s">
        <v>246</v>
      </c>
      <c r="H424" s="12" t="s">
        <v>246</v>
      </c>
      <c r="I424" s="12" t="s">
        <v>60</v>
      </c>
      <c r="J424" s="12" t="s">
        <v>1030</v>
      </c>
      <c r="K424" s="12" t="s">
        <v>118</v>
      </c>
      <c r="L424" s="12" t="s">
        <v>247</v>
      </c>
      <c r="M424" s="12" t="s">
        <v>992</v>
      </c>
      <c r="N424" s="13" t="s">
        <v>1540</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2228</v>
      </c>
    </row>
    <row r="425">
      <c r="B425" s="24" t="s">
        <v>291</v>
      </c>
      <c r="C425" s="12" t="s">
        <v>2022</v>
      </c>
      <c r="D425" s="11" t="s">
        <v>1481</v>
      </c>
      <c r="E425" s="11" t="s">
        <v>1509</v>
      </c>
      <c r="F425" s="12" t="s">
        <v>291</v>
      </c>
      <c r="G425" s="12" t="s">
        <v>246</v>
      </c>
      <c r="H425" s="12" t="s">
        <v>246</v>
      </c>
      <c r="I425" s="12" t="s">
        <v>430</v>
      </c>
      <c r="J425" s="12" t="s">
        <v>90</v>
      </c>
      <c r="K425" s="12" t="s">
        <v>1022</v>
      </c>
      <c r="L425" s="12" t="s">
        <v>247</v>
      </c>
      <c r="M425" s="12" t="s">
        <v>992</v>
      </c>
      <c r="N425" s="13" t="s">
        <v>1541</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2228</v>
      </c>
    </row>
    <row r="426">
      <c r="B426" s="24" t="s">
        <v>291</v>
      </c>
      <c r="C426" s="12" t="s">
        <v>2023</v>
      </c>
      <c r="D426" s="11" t="s">
        <v>1482</v>
      </c>
      <c r="E426" s="11" t="s">
        <v>93</v>
      </c>
      <c r="F426" s="12" t="s">
        <v>291</v>
      </c>
      <c r="G426" s="12" t="s">
        <v>246</v>
      </c>
      <c r="H426" s="12" t="s">
        <v>246</v>
      </c>
      <c r="I426" s="12" t="s">
        <v>430</v>
      </c>
      <c r="J426" s="12" t="s">
        <v>93</v>
      </c>
      <c r="K426" s="12" t="s">
        <v>1022</v>
      </c>
      <c r="L426" s="12" t="s">
        <v>247</v>
      </c>
      <c r="M426" s="12" t="s">
        <v>992</v>
      </c>
      <c r="N426" s="13" t="s">
        <v>1542</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2228</v>
      </c>
    </row>
    <row r="427">
      <c r="B427" s="24" t="s">
        <v>291</v>
      </c>
      <c r="C427" s="12" t="s">
        <v>2024</v>
      </c>
      <c r="D427" s="11" t="s">
        <v>1483</v>
      </c>
      <c r="E427" s="11" t="s">
        <v>429</v>
      </c>
      <c r="F427" s="12" t="s">
        <v>291</v>
      </c>
      <c r="G427" s="12" t="s">
        <v>246</v>
      </c>
      <c r="H427" s="12" t="s">
        <v>246</v>
      </c>
      <c r="I427" s="12" t="s">
        <v>430</v>
      </c>
      <c r="J427" s="12" t="s">
        <v>20</v>
      </c>
      <c r="K427" s="12" t="s">
        <v>1022</v>
      </c>
      <c r="L427" s="12" t="s">
        <v>247</v>
      </c>
      <c r="M427" s="12" t="s">
        <v>992</v>
      </c>
      <c r="N427" s="13" t="s">
        <v>1543</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2228</v>
      </c>
    </row>
    <row r="428">
      <c r="B428" s="24" t="s">
        <v>291</v>
      </c>
      <c r="C428" s="12" t="s">
        <v>2025</v>
      </c>
      <c r="D428" s="11" t="s">
        <v>1484</v>
      </c>
      <c r="E428" s="11" t="s">
        <v>1510</v>
      </c>
      <c r="F428" s="12" t="s">
        <v>291</v>
      </c>
      <c r="G428" s="12" t="s">
        <v>246</v>
      </c>
      <c r="H428" s="12" t="s">
        <v>246</v>
      </c>
      <c r="I428" s="12" t="s">
        <v>430</v>
      </c>
      <c r="J428" s="12" t="s">
        <v>71</v>
      </c>
      <c r="K428" s="12" t="s">
        <v>1570</v>
      </c>
      <c r="L428" s="12" t="s">
        <v>247</v>
      </c>
      <c r="M428" s="12" t="s">
        <v>992</v>
      </c>
      <c r="N428" s="13" t="s">
        <v>1544</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2228</v>
      </c>
    </row>
    <row r="429">
      <c r="B429" s="24" t="s">
        <v>291</v>
      </c>
      <c r="C429" s="12" t="s">
        <v>2026</v>
      </c>
      <c r="D429" s="11" t="s">
        <v>1485</v>
      </c>
      <c r="E429" s="11" t="s">
        <v>77</v>
      </c>
      <c r="F429" s="12" t="s">
        <v>291</v>
      </c>
      <c r="G429" s="12" t="s">
        <v>246</v>
      </c>
      <c r="H429" s="12" t="s">
        <v>246</v>
      </c>
      <c r="I429" s="12" t="s">
        <v>430</v>
      </c>
      <c r="J429" s="12" t="s">
        <v>71</v>
      </c>
      <c r="K429" s="12" t="s">
        <v>77</v>
      </c>
      <c r="L429" s="12" t="s">
        <v>247</v>
      </c>
      <c r="M429" s="12" t="s">
        <v>992</v>
      </c>
      <c r="N429" s="13" t="s">
        <v>1545</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2228</v>
      </c>
    </row>
    <row r="430">
      <c r="B430" s="24" t="s">
        <v>308</v>
      </c>
      <c r="C430" s="12" t="s">
        <v>2027</v>
      </c>
      <c r="D430" s="11" t="s">
        <v>1486</v>
      </c>
      <c r="E430" s="11" t="s">
        <v>1510</v>
      </c>
      <c r="F430" s="12" t="s">
        <v>308</v>
      </c>
      <c r="G430" s="12" t="s">
        <v>246</v>
      </c>
      <c r="H430" s="12" t="s">
        <v>246</v>
      </c>
      <c r="I430" s="12" t="s">
        <v>430</v>
      </c>
      <c r="J430" s="12" t="s">
        <v>71</v>
      </c>
      <c r="K430" s="12" t="s">
        <v>1570</v>
      </c>
      <c r="L430" s="12" t="s">
        <v>247</v>
      </c>
      <c r="M430" s="12" t="s">
        <v>992</v>
      </c>
      <c r="N430" s="13" t="s">
        <v>1546</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2228</v>
      </c>
    </row>
    <row r="431">
      <c r="B431" s="24" t="s">
        <v>308</v>
      </c>
      <c r="C431" s="12" t="s">
        <v>2028</v>
      </c>
      <c r="D431" s="11" t="s">
        <v>1487</v>
      </c>
      <c r="E431" s="11" t="s">
        <v>1442</v>
      </c>
      <c r="F431" s="12" t="s">
        <v>308</v>
      </c>
      <c r="G431" s="12" t="s">
        <v>246</v>
      </c>
      <c r="H431" s="12" t="s">
        <v>246</v>
      </c>
      <c r="I431" s="12" t="s">
        <v>60</v>
      </c>
      <c r="J431" s="12" t="s">
        <v>1030</v>
      </c>
      <c r="K431" s="12" t="s">
        <v>118</v>
      </c>
      <c r="L431" s="12" t="s">
        <v>247</v>
      </c>
      <c r="M431" s="12" t="s">
        <v>992</v>
      </c>
      <c r="N431" s="13" t="s">
        <v>1547</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2228</v>
      </c>
    </row>
    <row r="432">
      <c r="B432" s="24" t="s">
        <v>308</v>
      </c>
      <c r="C432" s="12" t="s">
        <v>2029</v>
      </c>
      <c r="D432" s="11" t="s">
        <v>1488</v>
      </c>
      <c r="E432" s="11" t="s">
        <v>1442</v>
      </c>
      <c r="F432" s="12" t="s">
        <v>308</v>
      </c>
      <c r="G432" s="12" t="s">
        <v>246</v>
      </c>
      <c r="H432" s="12" t="s">
        <v>246</v>
      </c>
      <c r="I432" s="12" t="s">
        <v>60</v>
      </c>
      <c r="J432" s="12" t="s">
        <v>1030</v>
      </c>
      <c r="K432" s="12" t="s">
        <v>118</v>
      </c>
      <c r="L432" s="12" t="s">
        <v>247</v>
      </c>
      <c r="M432" s="12" t="s">
        <v>992</v>
      </c>
      <c r="N432" s="13" t="s">
        <v>1548</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2228</v>
      </c>
    </row>
    <row r="433">
      <c r="B433" s="24" t="s">
        <v>308</v>
      </c>
      <c r="C433" s="12" t="s">
        <v>2030</v>
      </c>
      <c r="D433" s="11" t="s">
        <v>1489</v>
      </c>
      <c r="E433" s="11" t="s">
        <v>93</v>
      </c>
      <c r="F433" s="12" t="s">
        <v>308</v>
      </c>
      <c r="G433" s="12" t="s">
        <v>246</v>
      </c>
      <c r="H433" s="12" t="s">
        <v>246</v>
      </c>
      <c r="I433" s="12" t="s">
        <v>430</v>
      </c>
      <c r="J433" s="12" t="s">
        <v>93</v>
      </c>
      <c r="K433" s="12" t="s">
        <v>1022</v>
      </c>
      <c r="L433" s="12" t="s">
        <v>247</v>
      </c>
      <c r="M433" s="12" t="s">
        <v>992</v>
      </c>
      <c r="N433" s="13" t="s">
        <v>1549</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2228</v>
      </c>
    </row>
    <row r="434">
      <c r="B434" s="24" t="s">
        <v>308</v>
      </c>
      <c r="C434" s="12" t="s">
        <v>2031</v>
      </c>
      <c r="D434" s="11" t="s">
        <v>1490</v>
      </c>
      <c r="E434" s="11" t="s">
        <v>429</v>
      </c>
      <c r="F434" s="12" t="s">
        <v>308</v>
      </c>
      <c r="G434" s="12" t="s">
        <v>246</v>
      </c>
      <c r="H434" s="12" t="s">
        <v>246</v>
      </c>
      <c r="I434" s="12" t="s">
        <v>430</v>
      </c>
      <c r="J434" s="12" t="s">
        <v>20</v>
      </c>
      <c r="K434" s="12" t="s">
        <v>1022</v>
      </c>
      <c r="L434" s="12" t="s">
        <v>247</v>
      </c>
      <c r="M434" s="12" t="s">
        <v>992</v>
      </c>
      <c r="N434" s="13" t="s">
        <v>1550</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2228</v>
      </c>
    </row>
    <row r="435">
      <c r="B435" s="24" t="s">
        <v>308</v>
      </c>
      <c r="C435" s="12" t="s">
        <v>2032</v>
      </c>
      <c r="D435" s="11" t="s">
        <v>1491</v>
      </c>
      <c r="E435" s="11" t="s">
        <v>77</v>
      </c>
      <c r="F435" s="12" t="s">
        <v>308</v>
      </c>
      <c r="G435" s="12" t="s">
        <v>246</v>
      </c>
      <c r="H435" s="12" t="s">
        <v>246</v>
      </c>
      <c r="I435" s="12" t="s">
        <v>430</v>
      </c>
      <c r="J435" s="12" t="s">
        <v>71</v>
      </c>
      <c r="K435" s="12" t="s">
        <v>77</v>
      </c>
      <c r="L435" s="12" t="s">
        <v>247</v>
      </c>
      <c r="M435" s="12" t="s">
        <v>992</v>
      </c>
      <c r="N435" s="13" t="s">
        <v>1551</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2228</v>
      </c>
    </row>
    <row r="436">
      <c r="B436" s="24" t="s">
        <v>308</v>
      </c>
      <c r="C436" s="12" t="s">
        <v>2033</v>
      </c>
      <c r="D436" s="11" t="s">
        <v>825</v>
      </c>
      <c r="E436" s="11" t="s">
        <v>1442</v>
      </c>
      <c r="F436" s="12" t="s">
        <v>308</v>
      </c>
      <c r="G436" s="12" t="s">
        <v>246</v>
      </c>
      <c r="H436" s="12" t="s">
        <v>246</v>
      </c>
      <c r="I436" s="12" t="s">
        <v>60</v>
      </c>
      <c r="J436" s="12" t="s">
        <v>1030</v>
      </c>
      <c r="K436" s="12" t="s">
        <v>118</v>
      </c>
      <c r="L436" s="12" t="s">
        <v>247</v>
      </c>
      <c r="M436" s="12" t="s">
        <v>992</v>
      </c>
      <c r="N436" s="13" t="s">
        <v>1552</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2228</v>
      </c>
    </row>
    <row r="437">
      <c r="B437" s="24" t="s">
        <v>308</v>
      </c>
      <c r="C437" s="12" t="s">
        <v>2034</v>
      </c>
      <c r="D437" s="11" t="s">
        <v>1492</v>
      </c>
      <c r="E437" s="11" t="s">
        <v>1509</v>
      </c>
      <c r="F437" s="12" t="s">
        <v>308</v>
      </c>
      <c r="G437" s="12" t="s">
        <v>246</v>
      </c>
      <c r="H437" s="12" t="s">
        <v>246</v>
      </c>
      <c r="I437" s="12" t="s">
        <v>430</v>
      </c>
      <c r="J437" s="12" t="s">
        <v>90</v>
      </c>
      <c r="K437" s="12" t="s">
        <v>1022</v>
      </c>
      <c r="L437" s="12" t="s">
        <v>247</v>
      </c>
      <c r="M437" s="12" t="s">
        <v>992</v>
      </c>
      <c r="N437" s="13" t="s">
        <v>1553</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2228</v>
      </c>
    </row>
    <row r="438">
      <c r="B438" s="24" t="s">
        <v>295</v>
      </c>
      <c r="C438" s="12" t="s">
        <v>2035</v>
      </c>
      <c r="D438" s="11" t="s">
        <v>1493</v>
      </c>
      <c r="E438" s="11" t="s">
        <v>1444</v>
      </c>
      <c r="F438" s="12" t="s">
        <v>295</v>
      </c>
      <c r="G438" s="12" t="s">
        <v>246</v>
      </c>
      <c r="H438" s="12" t="s">
        <v>246</v>
      </c>
      <c r="I438" s="12" t="s">
        <v>60</v>
      </c>
      <c r="J438" s="12" t="s">
        <v>1030</v>
      </c>
      <c r="K438" s="12" t="s">
        <v>118</v>
      </c>
      <c r="L438" s="12" t="s">
        <v>247</v>
      </c>
      <c r="M438" s="12" t="s">
        <v>992</v>
      </c>
      <c r="N438" s="13" t="s">
        <v>2139</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2228</v>
      </c>
    </row>
    <row r="439">
      <c r="B439" s="24" t="s">
        <v>295</v>
      </c>
      <c r="C439" s="12" t="s">
        <v>2036</v>
      </c>
      <c r="D439" s="11" t="s">
        <v>1494</v>
      </c>
      <c r="E439" s="11" t="s">
        <v>1444</v>
      </c>
      <c r="F439" s="12" t="s">
        <v>295</v>
      </c>
      <c r="G439" s="12" t="s">
        <v>246</v>
      </c>
      <c r="H439" s="12" t="s">
        <v>246</v>
      </c>
      <c r="I439" s="12" t="s">
        <v>60</v>
      </c>
      <c r="J439" s="12" t="s">
        <v>1030</v>
      </c>
      <c r="K439" s="12" t="s">
        <v>118</v>
      </c>
      <c r="L439" s="12" t="s">
        <v>247</v>
      </c>
      <c r="M439" s="12" t="s">
        <v>992</v>
      </c>
      <c r="N439" s="13" t="s">
        <v>2140</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2228</v>
      </c>
    </row>
    <row r="440">
      <c r="B440" s="24" t="s">
        <v>295</v>
      </c>
      <c r="C440" s="12" t="s">
        <v>2037</v>
      </c>
      <c r="D440" s="11" t="s">
        <v>1495</v>
      </c>
      <c r="E440" s="11" t="s">
        <v>1444</v>
      </c>
      <c r="F440" s="12" t="s">
        <v>295</v>
      </c>
      <c r="G440" s="12" t="s">
        <v>246</v>
      </c>
      <c r="H440" s="12" t="s">
        <v>246</v>
      </c>
      <c r="I440" s="12" t="s">
        <v>60</v>
      </c>
      <c r="J440" s="12" t="s">
        <v>1030</v>
      </c>
      <c r="K440" s="12" t="s">
        <v>118</v>
      </c>
      <c r="L440" s="12" t="s">
        <v>247</v>
      </c>
      <c r="M440" s="12" t="s">
        <v>992</v>
      </c>
      <c r="N440" s="13" t="s">
        <v>2141</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2228</v>
      </c>
    </row>
    <row r="441">
      <c r="B441" s="24" t="s">
        <v>295</v>
      </c>
      <c r="C441" s="12" t="s">
        <v>2038</v>
      </c>
      <c r="D441" s="11" t="s">
        <v>1496</v>
      </c>
      <c r="E441" s="11" t="s">
        <v>1444</v>
      </c>
      <c r="F441" s="12" t="s">
        <v>295</v>
      </c>
      <c r="G441" s="12" t="s">
        <v>246</v>
      </c>
      <c r="H441" s="12" t="s">
        <v>246</v>
      </c>
      <c r="I441" s="12" t="s">
        <v>60</v>
      </c>
      <c r="J441" s="12" t="s">
        <v>1030</v>
      </c>
      <c r="K441" s="12" t="s">
        <v>118</v>
      </c>
      <c r="L441" s="12" t="s">
        <v>247</v>
      </c>
      <c r="M441" s="12" t="s">
        <v>992</v>
      </c>
      <c r="N441" s="13" t="s">
        <v>2142</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2228</v>
      </c>
    </row>
    <row r="442">
      <c r="B442" s="24" t="s">
        <v>295</v>
      </c>
      <c r="C442" s="12" t="s">
        <v>2039</v>
      </c>
      <c r="D442" s="11" t="s">
        <v>1497</v>
      </c>
      <c r="E442" s="11" t="s">
        <v>1444</v>
      </c>
      <c r="F442" s="12" t="s">
        <v>295</v>
      </c>
      <c r="G442" s="12" t="s">
        <v>246</v>
      </c>
      <c r="H442" s="12" t="s">
        <v>246</v>
      </c>
      <c r="I442" s="12" t="s">
        <v>60</v>
      </c>
      <c r="J442" s="12" t="s">
        <v>1030</v>
      </c>
      <c r="K442" s="12" t="s">
        <v>118</v>
      </c>
      <c r="L442" s="12" t="s">
        <v>247</v>
      </c>
      <c r="M442" s="12" t="s">
        <v>992</v>
      </c>
      <c r="N442" s="13" t="s">
        <v>2143</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2228</v>
      </c>
    </row>
    <row r="443">
      <c r="B443" s="24" t="s">
        <v>295</v>
      </c>
      <c r="C443" s="12" t="s">
        <v>2040</v>
      </c>
      <c r="D443" s="11" t="s">
        <v>1498</v>
      </c>
      <c r="E443" s="11" t="s">
        <v>1444</v>
      </c>
      <c r="F443" s="12" t="s">
        <v>295</v>
      </c>
      <c r="G443" s="12" t="s">
        <v>246</v>
      </c>
      <c r="H443" s="12" t="s">
        <v>246</v>
      </c>
      <c r="I443" s="12" t="s">
        <v>60</v>
      </c>
      <c r="J443" s="12" t="s">
        <v>1030</v>
      </c>
      <c r="K443" s="12" t="s">
        <v>118</v>
      </c>
      <c r="L443" s="12" t="s">
        <v>247</v>
      </c>
      <c r="M443" s="12" t="s">
        <v>992</v>
      </c>
      <c r="N443" s="13" t="s">
        <v>2144</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2228</v>
      </c>
    </row>
    <row r="444">
      <c r="B444" s="24" t="s">
        <v>295</v>
      </c>
      <c r="C444" s="12" t="s">
        <v>2041</v>
      </c>
      <c r="D444" s="11" t="s">
        <v>1499</v>
      </c>
      <c r="E444" s="11" t="s">
        <v>429</v>
      </c>
      <c r="F444" s="12" t="s">
        <v>295</v>
      </c>
      <c r="G444" s="12" t="s">
        <v>246</v>
      </c>
      <c r="H444" s="12" t="s">
        <v>246</v>
      </c>
      <c r="I444" s="12" t="s">
        <v>430</v>
      </c>
      <c r="J444" s="12" t="s">
        <v>20</v>
      </c>
      <c r="K444" s="12" t="s">
        <v>1022</v>
      </c>
      <c r="L444" s="12" t="s">
        <v>247</v>
      </c>
      <c r="M444" s="12" t="s">
        <v>992</v>
      </c>
      <c r="N444" s="13" t="s">
        <v>2145</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2228</v>
      </c>
    </row>
    <row r="445">
      <c r="B445" s="24" t="s">
        <v>311</v>
      </c>
      <c r="C445" s="12" t="s">
        <v>2042</v>
      </c>
      <c r="D445" s="11" t="s">
        <v>1500</v>
      </c>
      <c r="E445" s="11" t="s">
        <v>1502</v>
      </c>
      <c r="F445" s="12" t="s">
        <v>311</v>
      </c>
      <c r="G445" s="12" t="s">
        <v>246</v>
      </c>
      <c r="H445" s="12" t="s">
        <v>246</v>
      </c>
      <c r="I445" s="12" t="s">
        <v>60</v>
      </c>
      <c r="J445" s="12" t="s">
        <v>1030</v>
      </c>
      <c r="K445" s="12" t="s">
        <v>118</v>
      </c>
      <c r="L445" s="12" t="s">
        <v>247</v>
      </c>
      <c r="M445" s="12" t="s">
        <v>992</v>
      </c>
      <c r="N445" s="13" t="s">
        <v>1554</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2228</v>
      </c>
    </row>
    <row r="446">
      <c r="B446" s="24" t="s">
        <v>283</v>
      </c>
      <c r="C446" s="12" t="s">
        <v>2043</v>
      </c>
      <c r="D446" s="11" t="s">
        <v>1558</v>
      </c>
      <c r="E446" s="11" t="s">
        <v>1561</v>
      </c>
      <c r="F446" s="12" t="s">
        <v>283</v>
      </c>
      <c r="G446" s="12" t="s">
        <v>246</v>
      </c>
      <c r="H446" s="12" t="s">
        <v>246</v>
      </c>
      <c r="I446" s="12" t="s">
        <v>430</v>
      </c>
      <c r="J446" s="12" t="s">
        <v>93</v>
      </c>
      <c r="K446" s="12" t="s">
        <v>992</v>
      </c>
      <c r="L446" s="12" t="s">
        <v>247</v>
      </c>
      <c r="M446" s="12" t="s">
        <v>992</v>
      </c>
      <c r="N446" s="13" t="s">
        <v>1564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1567</v>
      </c>
      <c r="AE446" s="11" t="s">
        <v>2228</v>
      </c>
    </row>
    <row r="447">
      <c r="B447" s="24" t="s">
        <v>278</v>
      </c>
      <c r="C447" s="12" t="s">
        <v>2044</v>
      </c>
      <c r="D447" s="11" t="s">
        <v>1559</v>
      </c>
      <c r="E447" s="11" t="s">
        <v>1562</v>
      </c>
      <c r="F447" s="12" t="s">
        <v>278</v>
      </c>
      <c r="G447" s="12" t="s">
        <v>247</v>
      </c>
      <c r="H447" s="12" t="s">
        <v>125</v>
      </c>
      <c r="I447" s="12" t="s">
        <v>992</v>
      </c>
      <c r="J447" s="12" t="s">
        <v>992</v>
      </c>
      <c r="K447" s="12" t="s">
        <v>992</v>
      </c>
      <c r="L447" s="12" t="s">
        <v>247</v>
      </c>
      <c r="M447" s="12" t="s">
        <v>992</v>
      </c>
      <c r="N447" s="13" t="s">
        <v>1565</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2228</v>
      </c>
    </row>
    <row r="448">
      <c r="B448" s="24" t="s">
        <v>283</v>
      </c>
      <c r="C448" s="12" t="s">
        <v>2045</v>
      </c>
      <c r="D448" s="11" t="s">
        <v>1560</v>
      </c>
      <c r="E448" s="11" t="s">
        <v>1563</v>
      </c>
      <c r="F448" s="12" t="s">
        <v>283</v>
      </c>
      <c r="G448" s="12" t="s">
        <v>246</v>
      </c>
      <c r="H448" s="12" t="s">
        <v>246</v>
      </c>
      <c r="I448" s="12" t="s">
        <v>430</v>
      </c>
      <c r="J448" s="12" t="s">
        <v>71</v>
      </c>
      <c r="K448" s="12" t="s">
        <v>1018</v>
      </c>
      <c r="L448" s="12" t="s">
        <v>247</v>
      </c>
      <c r="M448" s="12" t="s">
        <v>992</v>
      </c>
      <c r="N448" s="13" t="s">
        <v>1566</v>
      </c>
      <c r="O448" s="11" t="s">
        <v>992</v>
      </c>
      <c r="P448" s="11" t="s">
        <v>992</v>
      </c>
      <c r="Q448" s="11" t="s">
        <v>992</v>
      </c>
      <c r="R448" s="11" t="s">
        <v>992</v>
      </c>
      <c r="S448" s="11" t="s">
        <v>992</v>
      </c>
      <c r="T448" s="11" t="s">
        <v>125</v>
      </c>
      <c r="U448" s="11" t="s">
        <v>1014</v>
      </c>
      <c r="V448" s="11" t="s">
        <v>992</v>
      </c>
      <c r="W448" s="11" t="s">
        <v>992</v>
      </c>
      <c r="X448" s="11" t="s">
        <v>992</v>
      </c>
      <c r="Y448" s="11" t="s">
        <v>992</v>
      </c>
      <c r="Z448" s="11" t="s">
        <v>2191</v>
      </c>
      <c r="AA448" s="11" t="s">
        <v>2191</v>
      </c>
      <c r="AB448" s="11" t="s">
        <v>30</v>
      </c>
      <c r="AC448" s="11" t="s">
        <v>1336</v>
      </c>
      <c r="AD448" s="11" t="s">
        <v>1567</v>
      </c>
      <c r="AE448" s="11" t="s">
        <v>993</v>
      </c>
    </row>
    <row r="449">
      <c r="B449" s="24" t="s">
        <v>278</v>
      </c>
      <c r="C449" s="12" t="s">
        <v>2046</v>
      </c>
      <c r="D449" s="11" t="s">
        <v>1577</v>
      </c>
      <c r="E449" s="11" t="s">
        <v>1509</v>
      </c>
      <c r="F449" s="12" t="s">
        <v>278</v>
      </c>
      <c r="G449" s="12" t="s">
        <v>246</v>
      </c>
      <c r="H449" s="12" t="s">
        <v>246</v>
      </c>
      <c r="I449" s="12" t="s">
        <v>430</v>
      </c>
      <c r="J449" s="12" t="s">
        <v>90</v>
      </c>
      <c r="K449" s="12" t="s">
        <v>1022</v>
      </c>
      <c r="L449" s="12" t="s">
        <v>247</v>
      </c>
      <c r="M449" s="12" t="s">
        <v>992</v>
      </c>
      <c r="N449" s="13" t="s">
        <v>1578</v>
      </c>
      <c r="O449" s="11" t="s">
        <v>992</v>
      </c>
      <c r="P449" s="11" t="s">
        <v>992</v>
      </c>
      <c r="Q449" s="11" t="s">
        <v>992</v>
      </c>
      <c r="R449" s="11" t="s">
        <v>992</v>
      </c>
      <c r="S449" s="11" t="s">
        <v>992</v>
      </c>
      <c r="T449" s="11" t="s">
        <v>992</v>
      </c>
      <c r="U449" s="11" t="s">
        <v>992</v>
      </c>
      <c r="V449" s="11" t="s">
        <v>992</v>
      </c>
      <c r="W449" s="11" t="s">
        <v>992</v>
      </c>
      <c r="X449" s="11" t="s">
        <v>992</v>
      </c>
      <c r="Y449" s="11" t="s">
        <v>992</v>
      </c>
      <c r="Z449" s="11" t="s">
        <v>992</v>
      </c>
      <c r="AA449" s="11" t="s">
        <v>992</v>
      </c>
      <c r="AB449" s="11" t="s">
        <v>992</v>
      </c>
      <c r="AC449" s="11" t="s">
        <v>992</v>
      </c>
      <c r="AD449" s="11" t="s">
        <v>992</v>
      </c>
      <c r="AE449" s="11" t="s">
        <v>2228</v>
      </c>
    </row>
    <row r="450">
      <c r="B450" s="24" t="s">
        <v>278</v>
      </c>
      <c r="C450" s="12" t="s">
        <v>2047</v>
      </c>
      <c r="D450" s="11" t="s">
        <v>1579</v>
      </c>
      <c r="E450" s="11" t="s">
        <v>1572</v>
      </c>
      <c r="F450" s="12" t="s">
        <v>278</v>
      </c>
      <c r="G450" s="12" t="s">
        <v>246</v>
      </c>
      <c r="H450" s="12" t="s">
        <v>246</v>
      </c>
      <c r="I450" s="12" t="s">
        <v>60</v>
      </c>
      <c r="J450" s="12" t="s">
        <v>1030</v>
      </c>
      <c r="K450" s="12" t="s">
        <v>118</v>
      </c>
      <c r="L450" s="12" t="s">
        <v>247</v>
      </c>
      <c r="M450" s="12" t="s">
        <v>992</v>
      </c>
      <c r="N450" s="13" t="s">
        <v>1580</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2228</v>
      </c>
    </row>
    <row r="451">
      <c r="B451" s="24" t="s">
        <v>278</v>
      </c>
      <c r="C451" s="12" t="s">
        <v>2048</v>
      </c>
      <c r="D451" s="11" t="s">
        <v>1581</v>
      </c>
      <c r="E451" s="11" t="s">
        <v>1572</v>
      </c>
      <c r="F451" s="12" t="s">
        <v>278</v>
      </c>
      <c r="G451" s="12" t="s">
        <v>246</v>
      </c>
      <c r="H451" s="12" t="s">
        <v>246</v>
      </c>
      <c r="I451" s="12" t="s">
        <v>60</v>
      </c>
      <c r="J451" s="12" t="s">
        <v>1030</v>
      </c>
      <c r="K451" s="12" t="s">
        <v>118</v>
      </c>
      <c r="L451" s="12" t="s">
        <v>247</v>
      </c>
      <c r="M451" s="12" t="s">
        <v>992</v>
      </c>
      <c r="N451" s="13" t="s">
        <v>1582</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2228</v>
      </c>
    </row>
    <row r="452">
      <c r="B452" s="24" t="s">
        <v>278</v>
      </c>
      <c r="C452" s="12" t="s">
        <v>2049</v>
      </c>
      <c r="D452" s="11" t="s">
        <v>1583</v>
      </c>
      <c r="E452" s="11" t="s">
        <v>1572</v>
      </c>
      <c r="F452" s="12" t="s">
        <v>278</v>
      </c>
      <c r="G452" s="12" t="s">
        <v>246</v>
      </c>
      <c r="H452" s="12" t="s">
        <v>246</v>
      </c>
      <c r="I452" s="12" t="s">
        <v>60</v>
      </c>
      <c r="J452" s="12" t="s">
        <v>1030</v>
      </c>
      <c r="K452" s="12" t="s">
        <v>118</v>
      </c>
      <c r="L452" s="12" t="s">
        <v>247</v>
      </c>
      <c r="M452" s="12" t="s">
        <v>992</v>
      </c>
      <c r="N452" s="13" t="s">
        <v>1584</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2228</v>
      </c>
    </row>
    <row r="453">
      <c r="B453" s="24" t="s">
        <v>278</v>
      </c>
      <c r="C453" s="12" t="s">
        <v>2050</v>
      </c>
      <c r="D453" s="11" t="s">
        <v>1585</v>
      </c>
      <c r="E453" s="11" t="s">
        <v>1572</v>
      </c>
      <c r="F453" s="12" t="s">
        <v>278</v>
      </c>
      <c r="G453" s="12" t="s">
        <v>246</v>
      </c>
      <c r="H453" s="12" t="s">
        <v>246</v>
      </c>
      <c r="I453" s="12" t="s">
        <v>60</v>
      </c>
      <c r="J453" s="12" t="s">
        <v>1030</v>
      </c>
      <c r="K453" s="12" t="s">
        <v>118</v>
      </c>
      <c r="L453" s="12" t="s">
        <v>247</v>
      </c>
      <c r="M453" s="12" t="s">
        <v>992</v>
      </c>
      <c r="N453" s="13" t="s">
        <v>1586</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2228</v>
      </c>
    </row>
    <row r="454">
      <c r="B454" s="24" t="s">
        <v>278</v>
      </c>
      <c r="C454" s="12" t="s">
        <v>2051</v>
      </c>
      <c r="D454" s="11" t="s">
        <v>1587</v>
      </c>
      <c r="E454" s="11" t="s">
        <v>1572</v>
      </c>
      <c r="F454" s="12" t="s">
        <v>278</v>
      </c>
      <c r="G454" s="12" t="s">
        <v>246</v>
      </c>
      <c r="H454" s="12" t="s">
        <v>246</v>
      </c>
      <c r="I454" s="12" t="s">
        <v>60</v>
      </c>
      <c r="J454" s="12" t="s">
        <v>1030</v>
      </c>
      <c r="K454" s="12" t="s">
        <v>118</v>
      </c>
      <c r="L454" s="12" t="s">
        <v>247</v>
      </c>
      <c r="M454" s="12" t="s">
        <v>992</v>
      </c>
      <c r="N454" s="13" t="s">
        <v>1588</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2228</v>
      </c>
    </row>
    <row r="455">
      <c r="B455" s="24" t="s">
        <v>278</v>
      </c>
      <c r="C455" s="12" t="s">
        <v>2052</v>
      </c>
      <c r="D455" s="11" t="s">
        <v>1589</v>
      </c>
      <c r="E455" s="11" t="s">
        <v>661</v>
      </c>
      <c r="F455" s="12" t="s">
        <v>278</v>
      </c>
      <c r="G455" s="12" t="s">
        <v>246</v>
      </c>
      <c r="H455" s="12" t="s">
        <v>246</v>
      </c>
      <c r="I455" s="12" t="s">
        <v>430</v>
      </c>
      <c r="J455" s="12" t="s">
        <v>71</v>
      </c>
      <c r="K455" s="12" t="s">
        <v>1570</v>
      </c>
      <c r="L455" s="12" t="s">
        <v>247</v>
      </c>
      <c r="M455" s="12" t="s">
        <v>992</v>
      </c>
      <c r="N455" s="13" t="s">
        <v>1590</v>
      </c>
      <c r="O455" s="11" t="s">
        <v>992</v>
      </c>
      <c r="P455" s="11" t="s">
        <v>992</v>
      </c>
      <c r="Q455" s="11" t="s">
        <v>992</v>
      </c>
      <c r="R455" s="11" t="s">
        <v>992</v>
      </c>
      <c r="S455" s="11" t="s">
        <v>992</v>
      </c>
      <c r="T455" s="11" t="s">
        <v>992</v>
      </c>
      <c r="U455" s="11" t="s">
        <v>992</v>
      </c>
      <c r="V455" s="11" t="s">
        <v>992</v>
      </c>
      <c r="W455" s="11" t="s">
        <v>992</v>
      </c>
      <c r="X455" s="11" t="s">
        <v>992</v>
      </c>
      <c r="Y455" s="11" t="s">
        <v>992</v>
      </c>
      <c r="Z455" s="11" t="s">
        <v>992</v>
      </c>
      <c r="AA455" s="11" t="s">
        <v>992</v>
      </c>
      <c r="AB455" s="11" t="s">
        <v>992</v>
      </c>
      <c r="AC455" s="11" t="s">
        <v>992</v>
      </c>
      <c r="AD455" s="11" t="s">
        <v>992</v>
      </c>
      <c r="AE455" s="11" t="s">
        <v>2228</v>
      </c>
    </row>
    <row r="456">
      <c r="B456" s="24" t="s">
        <v>278</v>
      </c>
      <c r="C456" s="12" t="s">
        <v>2053</v>
      </c>
      <c r="D456" s="11" t="s">
        <v>1591</v>
      </c>
      <c r="E456" s="11" t="s">
        <v>661</v>
      </c>
      <c r="F456" s="12" t="s">
        <v>278</v>
      </c>
      <c r="G456" s="12" t="s">
        <v>246</v>
      </c>
      <c r="H456" s="12" t="s">
        <v>246</v>
      </c>
      <c r="I456" s="12" t="s">
        <v>430</v>
      </c>
      <c r="J456" s="12" t="s">
        <v>71</v>
      </c>
      <c r="K456" s="12" t="s">
        <v>1570</v>
      </c>
      <c r="L456" s="12" t="s">
        <v>247</v>
      </c>
      <c r="M456" s="12" t="s">
        <v>992</v>
      </c>
      <c r="N456" s="13" t="s">
        <v>1592</v>
      </c>
      <c r="O456" s="11" t="s">
        <v>992</v>
      </c>
      <c r="P456" s="11" t="s">
        <v>992</v>
      </c>
      <c r="Q456" s="11" t="s">
        <v>992</v>
      </c>
      <c r="R456" s="11" t="s">
        <v>992</v>
      </c>
      <c r="S456" s="11" t="s">
        <v>992</v>
      </c>
      <c r="T456" s="11" t="s">
        <v>992</v>
      </c>
      <c r="U456" s="11" t="s">
        <v>992</v>
      </c>
      <c r="V456" s="11" t="s">
        <v>992</v>
      </c>
      <c r="W456" s="11" t="s">
        <v>992</v>
      </c>
      <c r="X456" s="11" t="s">
        <v>992</v>
      </c>
      <c r="Y456" s="11" t="s">
        <v>992</v>
      </c>
      <c r="Z456" s="11" t="s">
        <v>992</v>
      </c>
      <c r="AA456" s="11" t="s">
        <v>992</v>
      </c>
      <c r="AB456" s="11" t="s">
        <v>992</v>
      </c>
      <c r="AC456" s="11" t="s">
        <v>992</v>
      </c>
      <c r="AD456" s="11" t="s">
        <v>992</v>
      </c>
      <c r="AE456" s="11" t="s">
        <v>2228</v>
      </c>
    </row>
    <row r="457">
      <c r="B457" s="24" t="s">
        <v>278</v>
      </c>
      <c r="C457" s="12" t="s">
        <v>2054</v>
      </c>
      <c r="D457" s="11" t="s">
        <v>1593</v>
      </c>
      <c r="E457" s="11" t="s">
        <v>1509</v>
      </c>
      <c r="F457" s="12" t="s">
        <v>278</v>
      </c>
      <c r="G457" s="12" t="s">
        <v>246</v>
      </c>
      <c r="H457" s="12" t="s">
        <v>246</v>
      </c>
      <c r="I457" s="12" t="s">
        <v>430</v>
      </c>
      <c r="J457" s="12" t="s">
        <v>90</v>
      </c>
      <c r="K457" s="12" t="s">
        <v>1022</v>
      </c>
      <c r="L457" s="12" t="s">
        <v>247</v>
      </c>
      <c r="M457" s="12" t="s">
        <v>992</v>
      </c>
      <c r="N457" s="13" t="s">
        <v>1594</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2228</v>
      </c>
    </row>
    <row r="458">
      <c r="B458" s="24" t="s">
        <v>278</v>
      </c>
      <c r="C458" s="12" t="s">
        <v>2055</v>
      </c>
      <c r="D458" s="11" t="s">
        <v>1595</v>
      </c>
      <c r="E458" s="11" t="s">
        <v>1509</v>
      </c>
      <c r="F458" s="12" t="s">
        <v>278</v>
      </c>
      <c r="G458" s="12" t="s">
        <v>246</v>
      </c>
      <c r="H458" s="12" t="s">
        <v>246</v>
      </c>
      <c r="I458" s="12" t="s">
        <v>430</v>
      </c>
      <c r="J458" s="12" t="s">
        <v>90</v>
      </c>
      <c r="K458" s="12" t="s">
        <v>1022</v>
      </c>
      <c r="L458" s="12" t="s">
        <v>247</v>
      </c>
      <c r="M458" s="12" t="s">
        <v>992</v>
      </c>
      <c r="N458" s="13" t="s">
        <v>1594</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2228</v>
      </c>
    </row>
    <row r="459">
      <c r="B459" s="24" t="s">
        <v>278</v>
      </c>
      <c r="C459" s="12" t="s">
        <v>2056</v>
      </c>
      <c r="D459" s="11" t="s">
        <v>1596</v>
      </c>
      <c r="E459" s="11" t="s">
        <v>1572</v>
      </c>
      <c r="F459" s="12" t="s">
        <v>278</v>
      </c>
      <c r="G459" s="12" t="s">
        <v>246</v>
      </c>
      <c r="H459" s="12" t="s">
        <v>246</v>
      </c>
      <c r="I459" s="12" t="s">
        <v>60</v>
      </c>
      <c r="J459" s="12" t="s">
        <v>1030</v>
      </c>
      <c r="K459" s="12" t="s">
        <v>118</v>
      </c>
      <c r="L459" s="12" t="s">
        <v>247</v>
      </c>
      <c r="M459" s="12" t="s">
        <v>992</v>
      </c>
      <c r="N459" s="13" t="s">
        <v>2146</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2228</v>
      </c>
    </row>
    <row r="460">
      <c r="B460" s="24" t="s">
        <v>278</v>
      </c>
      <c r="C460" s="12" t="s">
        <v>2057</v>
      </c>
      <c r="D460" s="11" t="s">
        <v>1597</v>
      </c>
      <c r="E460" s="11" t="s">
        <v>93</v>
      </c>
      <c r="F460" s="12" t="s">
        <v>278</v>
      </c>
      <c r="G460" s="12" t="s">
        <v>246</v>
      </c>
      <c r="H460" s="12" t="s">
        <v>246</v>
      </c>
      <c r="I460" s="12" t="s">
        <v>430</v>
      </c>
      <c r="J460" s="12" t="s">
        <v>93</v>
      </c>
      <c r="K460" s="12" t="s">
        <v>1022</v>
      </c>
      <c r="L460" s="12" t="s">
        <v>247</v>
      </c>
      <c r="M460" s="12" t="s">
        <v>992</v>
      </c>
      <c r="N460" s="13" t="s">
        <v>1598</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2228</v>
      </c>
    </row>
    <row r="461">
      <c r="B461" s="24" t="s">
        <v>278</v>
      </c>
      <c r="C461" s="12" t="s">
        <v>2058</v>
      </c>
      <c r="D461" s="11" t="s">
        <v>1599</v>
      </c>
      <c r="E461" s="11" t="s">
        <v>93</v>
      </c>
      <c r="F461" s="12" t="s">
        <v>278</v>
      </c>
      <c r="G461" s="12" t="s">
        <v>246</v>
      </c>
      <c r="H461" s="12" t="s">
        <v>246</v>
      </c>
      <c r="I461" s="12" t="s">
        <v>430</v>
      </c>
      <c r="J461" s="12" t="s">
        <v>93</v>
      </c>
      <c r="K461" s="12" t="s">
        <v>1022</v>
      </c>
      <c r="L461" s="12" t="s">
        <v>247</v>
      </c>
      <c r="M461" s="12" t="s">
        <v>992</v>
      </c>
      <c r="N461" s="13" t="s">
        <v>1600</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2228</v>
      </c>
    </row>
    <row r="462">
      <c r="B462" s="24" t="s">
        <v>278</v>
      </c>
      <c r="C462" s="12" t="s">
        <v>2059</v>
      </c>
      <c r="D462" s="11" t="s">
        <v>1601</v>
      </c>
      <c r="E462" s="11" t="s">
        <v>1602</v>
      </c>
      <c r="F462" s="12" t="s">
        <v>278</v>
      </c>
      <c r="G462" s="12" t="s">
        <v>246</v>
      </c>
      <c r="H462" s="12" t="s">
        <v>246</v>
      </c>
      <c r="I462" s="12" t="s">
        <v>430</v>
      </c>
      <c r="J462" s="12" t="s">
        <v>71</v>
      </c>
      <c r="K462" s="12" t="s">
        <v>1018</v>
      </c>
      <c r="L462" s="12" t="s">
        <v>247</v>
      </c>
      <c r="M462" s="12" t="s">
        <v>992</v>
      </c>
      <c r="N462" s="13" t="s">
        <v>1603</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2228</v>
      </c>
    </row>
    <row r="463">
      <c r="B463" s="24" t="s">
        <v>278</v>
      </c>
      <c r="C463" s="12" t="s">
        <v>2060</v>
      </c>
      <c r="D463" s="11" t="s">
        <v>1604</v>
      </c>
      <c r="E463" s="11" t="s">
        <v>1602</v>
      </c>
      <c r="F463" s="12" t="s">
        <v>278</v>
      </c>
      <c r="G463" s="12" t="s">
        <v>246</v>
      </c>
      <c r="H463" s="12" t="s">
        <v>246</v>
      </c>
      <c r="I463" s="12" t="s">
        <v>430</v>
      </c>
      <c r="J463" s="12" t="s">
        <v>71</v>
      </c>
      <c r="K463" s="12" t="s">
        <v>1018</v>
      </c>
      <c r="L463" s="12" t="s">
        <v>247</v>
      </c>
      <c r="M463" s="12" t="s">
        <v>992</v>
      </c>
      <c r="N463" s="13" t="s">
        <v>1605</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2228</v>
      </c>
    </row>
    <row r="464">
      <c r="B464" s="24" t="s">
        <v>278</v>
      </c>
      <c r="C464" s="12" t="s">
        <v>2061</v>
      </c>
      <c r="D464" s="11" t="s">
        <v>1606</v>
      </c>
      <c r="E464" s="11" t="s">
        <v>1572</v>
      </c>
      <c r="F464" s="12" t="s">
        <v>278</v>
      </c>
      <c r="G464" s="12" t="s">
        <v>246</v>
      </c>
      <c r="H464" s="12" t="s">
        <v>246</v>
      </c>
      <c r="I464" s="12" t="s">
        <v>60</v>
      </c>
      <c r="J464" s="12" t="s">
        <v>1030</v>
      </c>
      <c r="K464" s="12" t="s">
        <v>118</v>
      </c>
      <c r="L464" s="12" t="s">
        <v>247</v>
      </c>
      <c r="M464" s="12" t="s">
        <v>992</v>
      </c>
      <c r="N464" s="13" t="s">
        <v>1607</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2228</v>
      </c>
    </row>
    <row r="465">
      <c r="B465" s="24" t="s">
        <v>308</v>
      </c>
      <c r="C465" s="12" t="s">
        <v>2062</v>
      </c>
      <c r="D465" s="11" t="s">
        <v>1608</v>
      </c>
      <c r="E465" s="11" t="s">
        <v>1442</v>
      </c>
      <c r="F465" s="12" t="s">
        <v>308</v>
      </c>
      <c r="G465" s="12" t="s">
        <v>246</v>
      </c>
      <c r="H465" s="12" t="s">
        <v>246</v>
      </c>
      <c r="I465" s="12" t="s">
        <v>60</v>
      </c>
      <c r="J465" s="12" t="s">
        <v>1030</v>
      </c>
      <c r="K465" s="12" t="s">
        <v>118</v>
      </c>
      <c r="L465" s="12" t="s">
        <v>247</v>
      </c>
      <c r="M465" s="12" t="s">
        <v>992</v>
      </c>
      <c r="N465" s="13" t="s">
        <v>1609</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2228</v>
      </c>
    </row>
    <row r="466">
      <c r="B466" s="24" t="s">
        <v>308</v>
      </c>
      <c r="C466" s="12" t="s">
        <v>2063</v>
      </c>
      <c r="D466" s="11" t="s">
        <v>1610</v>
      </c>
      <c r="E466" s="11" t="s">
        <v>1442</v>
      </c>
      <c r="F466" s="12" t="s">
        <v>308</v>
      </c>
      <c r="G466" s="12" t="s">
        <v>246</v>
      </c>
      <c r="H466" s="12" t="s">
        <v>246</v>
      </c>
      <c r="I466" s="12" t="s">
        <v>60</v>
      </c>
      <c r="J466" s="12" t="s">
        <v>1030</v>
      </c>
      <c r="K466" s="12" t="s">
        <v>118</v>
      </c>
      <c r="L466" s="12" t="s">
        <v>247</v>
      </c>
      <c r="M466" s="12" t="s">
        <v>992</v>
      </c>
      <c r="N466" s="13" t="s">
        <v>1611</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2228</v>
      </c>
    </row>
    <row r="467">
      <c r="B467" s="24" t="s">
        <v>308</v>
      </c>
      <c r="C467" s="12" t="s">
        <v>2064</v>
      </c>
      <c r="D467" s="11" t="s">
        <v>1612</v>
      </c>
      <c r="E467" s="11" t="s">
        <v>1442</v>
      </c>
      <c r="F467" s="12" t="s">
        <v>308</v>
      </c>
      <c r="G467" s="12" t="s">
        <v>246</v>
      </c>
      <c r="H467" s="12" t="s">
        <v>246</v>
      </c>
      <c r="I467" s="12" t="s">
        <v>60</v>
      </c>
      <c r="J467" s="12" t="s">
        <v>1030</v>
      </c>
      <c r="K467" s="12" t="s">
        <v>118</v>
      </c>
      <c r="L467" s="12" t="s">
        <v>247</v>
      </c>
      <c r="M467" s="12" t="s">
        <v>992</v>
      </c>
      <c r="N467" s="13" t="s">
        <v>1613</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2228</v>
      </c>
    </row>
    <row r="468">
      <c r="B468" s="24" t="s">
        <v>308</v>
      </c>
      <c r="C468" s="12" t="s">
        <v>2065</v>
      </c>
      <c r="D468" s="11" t="s">
        <v>1614</v>
      </c>
      <c r="E468" s="11" t="s">
        <v>661</v>
      </c>
      <c r="F468" s="12" t="s">
        <v>308</v>
      </c>
      <c r="G468" s="12" t="s">
        <v>246</v>
      </c>
      <c r="H468" s="12" t="s">
        <v>246</v>
      </c>
      <c r="I468" s="12" t="s">
        <v>430</v>
      </c>
      <c r="J468" s="12" t="s">
        <v>71</v>
      </c>
      <c r="K468" s="12" t="s">
        <v>1570</v>
      </c>
      <c r="L468" s="12" t="s">
        <v>247</v>
      </c>
      <c r="M468" s="12" t="s">
        <v>992</v>
      </c>
      <c r="N468" s="13" t="s">
        <v>1615</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2228</v>
      </c>
    </row>
    <row r="469">
      <c r="B469" s="24" t="s">
        <v>283</v>
      </c>
      <c r="C469" s="12" t="s">
        <v>2066</v>
      </c>
      <c r="D469" s="11" t="s">
        <v>1616</v>
      </c>
      <c r="E469" s="11" t="s">
        <v>1501</v>
      </c>
      <c r="F469" s="12" t="s">
        <v>283</v>
      </c>
      <c r="G469" s="12" t="s">
        <v>246</v>
      </c>
      <c r="H469" s="12" t="s">
        <v>246</v>
      </c>
      <c r="I469" s="12" t="s">
        <v>60</v>
      </c>
      <c r="J469" s="12" t="s">
        <v>1030</v>
      </c>
      <c r="K469" s="12" t="s">
        <v>118</v>
      </c>
      <c r="L469" s="12" t="s">
        <v>247</v>
      </c>
      <c r="M469" s="12" t="s">
        <v>992</v>
      </c>
      <c r="N469" s="13" t="s">
        <v>1617</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2228</v>
      </c>
    </row>
    <row r="470">
      <c r="B470" s="24" t="s">
        <v>283</v>
      </c>
      <c r="C470" s="12" t="s">
        <v>2067</v>
      </c>
      <c r="D470" s="11" t="s">
        <v>1618</v>
      </c>
      <c r="E470" s="11" t="s">
        <v>1501</v>
      </c>
      <c r="F470" s="12" t="s">
        <v>283</v>
      </c>
      <c r="G470" s="12" t="s">
        <v>246</v>
      </c>
      <c r="H470" s="12" t="s">
        <v>246</v>
      </c>
      <c r="I470" s="12" t="s">
        <v>60</v>
      </c>
      <c r="J470" s="12" t="s">
        <v>1030</v>
      </c>
      <c r="K470" s="12" t="s">
        <v>118</v>
      </c>
      <c r="L470" s="12" t="s">
        <v>247</v>
      </c>
      <c r="M470" s="12" t="s">
        <v>992</v>
      </c>
      <c r="N470" s="13" t="s">
        <v>1619</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2228</v>
      </c>
    </row>
    <row r="471">
      <c r="B471" s="24" t="s">
        <v>283</v>
      </c>
      <c r="C471" s="12" t="s">
        <v>2068</v>
      </c>
      <c r="D471" s="11" t="s">
        <v>1620</v>
      </c>
      <c r="E471" s="11" t="s">
        <v>1501</v>
      </c>
      <c r="F471" s="12" t="s">
        <v>283</v>
      </c>
      <c r="G471" s="12" t="s">
        <v>246</v>
      </c>
      <c r="H471" s="12" t="s">
        <v>246</v>
      </c>
      <c r="I471" s="12" t="s">
        <v>60</v>
      </c>
      <c r="J471" s="12" t="s">
        <v>1030</v>
      </c>
      <c r="K471" s="12" t="s">
        <v>118</v>
      </c>
      <c r="L471" s="12" t="s">
        <v>247</v>
      </c>
      <c r="M471" s="12" t="s">
        <v>992</v>
      </c>
      <c r="N471" s="13" t="s">
        <v>1621</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2228</v>
      </c>
    </row>
    <row r="472">
      <c r="B472" s="24" t="s">
        <v>283</v>
      </c>
      <c r="C472" s="12" t="s">
        <v>2069</v>
      </c>
      <c r="D472" s="11" t="s">
        <v>1622</v>
      </c>
      <c r="E472" s="11" t="s">
        <v>1501</v>
      </c>
      <c r="F472" s="12" t="s">
        <v>283</v>
      </c>
      <c r="G472" s="12" t="s">
        <v>246</v>
      </c>
      <c r="H472" s="12" t="s">
        <v>246</v>
      </c>
      <c r="I472" s="12" t="s">
        <v>60</v>
      </c>
      <c r="J472" s="12" t="s">
        <v>1030</v>
      </c>
      <c r="K472" s="12" t="s">
        <v>118</v>
      </c>
      <c r="L472" s="12" t="s">
        <v>247</v>
      </c>
      <c r="M472" s="12" t="s">
        <v>992</v>
      </c>
      <c r="N472" s="13" t="s">
        <v>1623</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2228</v>
      </c>
    </row>
    <row r="473">
      <c r="B473" s="24" t="s">
        <v>283</v>
      </c>
      <c r="C473" s="12" t="s">
        <v>2070</v>
      </c>
      <c r="D473" s="11" t="s">
        <v>1624</v>
      </c>
      <c r="E473" s="11" t="s">
        <v>77</v>
      </c>
      <c r="F473" s="12" t="s">
        <v>283</v>
      </c>
      <c r="G473" s="12" t="s">
        <v>246</v>
      </c>
      <c r="H473" s="12" t="s">
        <v>246</v>
      </c>
      <c r="I473" s="12" t="s">
        <v>430</v>
      </c>
      <c r="J473" s="12" t="s">
        <v>71</v>
      </c>
      <c r="K473" s="12" t="s">
        <v>77</v>
      </c>
      <c r="L473" s="12" t="s">
        <v>247</v>
      </c>
      <c r="M473" s="12" t="s">
        <v>992</v>
      </c>
      <c r="N473" s="13" t="s">
        <v>1625</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2228</v>
      </c>
    </row>
    <row r="474">
      <c r="B474" s="24" t="s">
        <v>283</v>
      </c>
      <c r="C474" s="12" t="s">
        <v>2071</v>
      </c>
      <c r="D474" s="11" t="s">
        <v>1626</v>
      </c>
      <c r="E474" s="11" t="s">
        <v>93</v>
      </c>
      <c r="F474" s="12" t="s">
        <v>283</v>
      </c>
      <c r="G474" s="12" t="s">
        <v>246</v>
      </c>
      <c r="H474" s="12" t="s">
        <v>246</v>
      </c>
      <c r="I474" s="12" t="s">
        <v>430</v>
      </c>
      <c r="J474" s="12" t="s">
        <v>93</v>
      </c>
      <c r="K474" s="12" t="s">
        <v>1022</v>
      </c>
      <c r="L474" s="12" t="s">
        <v>247</v>
      </c>
      <c r="M474" s="12" t="s">
        <v>992</v>
      </c>
      <c r="N474" s="13" t="s">
        <v>548</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2228</v>
      </c>
    </row>
    <row r="475">
      <c r="B475" s="24" t="s">
        <v>283</v>
      </c>
      <c r="C475" s="12" t="s">
        <v>2072</v>
      </c>
      <c r="D475" s="11" t="s">
        <v>1627</v>
      </c>
      <c r="E475" s="11" t="s">
        <v>80</v>
      </c>
      <c r="F475" s="12" t="s">
        <v>283</v>
      </c>
      <c r="G475" s="12" t="s">
        <v>246</v>
      </c>
      <c r="H475" s="12" t="s">
        <v>246</v>
      </c>
      <c r="I475" s="12" t="s">
        <v>430</v>
      </c>
      <c r="J475" s="12" t="s">
        <v>90</v>
      </c>
      <c r="K475" s="12" t="s">
        <v>1022</v>
      </c>
      <c r="L475" s="12" t="s">
        <v>247</v>
      </c>
      <c r="M475" s="12" t="s">
        <v>992</v>
      </c>
      <c r="N475" s="13" t="s">
        <v>1628</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2228</v>
      </c>
    </row>
    <row r="476">
      <c r="B476" s="24" t="s">
        <v>283</v>
      </c>
      <c r="C476" s="12" t="s">
        <v>2073</v>
      </c>
      <c r="D476" s="11" t="s">
        <v>1629</v>
      </c>
      <c r="E476" s="11" t="s">
        <v>1501</v>
      </c>
      <c r="F476" s="12" t="s">
        <v>283</v>
      </c>
      <c r="G476" s="12" t="s">
        <v>246</v>
      </c>
      <c r="H476" s="12" t="s">
        <v>246</v>
      </c>
      <c r="I476" s="12" t="s">
        <v>60</v>
      </c>
      <c r="J476" s="12" t="s">
        <v>1030</v>
      </c>
      <c r="K476" s="12" t="s">
        <v>118</v>
      </c>
      <c r="L476" s="12" t="s">
        <v>247</v>
      </c>
      <c r="M476" s="12" t="s">
        <v>992</v>
      </c>
      <c r="N476" s="13" t="s">
        <v>1630</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2228</v>
      </c>
    </row>
    <row r="477">
      <c r="B477" s="24" t="s">
        <v>311</v>
      </c>
      <c r="C477" s="12" t="s">
        <v>2074</v>
      </c>
      <c r="D477" s="11" t="s">
        <v>1455</v>
      </c>
      <c r="E477" s="11" t="s">
        <v>1509</v>
      </c>
      <c r="F477" s="12" t="s">
        <v>311</v>
      </c>
      <c r="G477" s="12" t="s">
        <v>246</v>
      </c>
      <c r="H477" s="12" t="s">
        <v>246</v>
      </c>
      <c r="I477" s="12" t="s">
        <v>430</v>
      </c>
      <c r="J477" s="12" t="s">
        <v>90</v>
      </c>
      <c r="K477" s="12" t="s">
        <v>1022</v>
      </c>
      <c r="L477" s="12" t="s">
        <v>247</v>
      </c>
      <c r="M477" s="12" t="s">
        <v>992</v>
      </c>
      <c r="N477" s="13" t="s">
        <v>1513</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2228</v>
      </c>
    </row>
    <row r="478">
      <c r="B478" s="24" t="s">
        <v>311</v>
      </c>
      <c r="C478" s="12" t="s">
        <v>2075</v>
      </c>
      <c r="D478" s="11" t="s">
        <v>1456</v>
      </c>
      <c r="E478" s="11" t="s">
        <v>93</v>
      </c>
      <c r="F478" s="12" t="s">
        <v>311</v>
      </c>
      <c r="G478" s="12" t="s">
        <v>246</v>
      </c>
      <c r="H478" s="12" t="s">
        <v>246</v>
      </c>
      <c r="I478" s="12" t="s">
        <v>430</v>
      </c>
      <c r="J478" s="12" t="s">
        <v>93</v>
      </c>
      <c r="K478" s="12" t="s">
        <v>1022</v>
      </c>
      <c r="L478" s="12" t="s">
        <v>247</v>
      </c>
      <c r="M478" s="12" t="s">
        <v>992</v>
      </c>
      <c r="N478" s="13" t="s">
        <v>1514</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2228</v>
      </c>
    </row>
    <row r="479">
      <c r="B479" s="24" t="s">
        <v>311</v>
      </c>
      <c r="C479" s="12" t="s">
        <v>2076</v>
      </c>
      <c r="D479" s="11" t="s">
        <v>1631</v>
      </c>
      <c r="E479" s="11" t="s">
        <v>307</v>
      </c>
      <c r="F479" s="12" t="s">
        <v>311</v>
      </c>
      <c r="G479" s="12" t="s">
        <v>246</v>
      </c>
      <c r="H479" s="12" t="s">
        <v>246</v>
      </c>
      <c r="I479" s="12" t="s">
        <v>430</v>
      </c>
      <c r="J479" s="12" t="s">
        <v>71</v>
      </c>
      <c r="K479" s="12" t="s">
        <v>191</v>
      </c>
      <c r="L479" s="12" t="s">
        <v>247</v>
      </c>
      <c r="M479" s="12" t="s">
        <v>992</v>
      </c>
      <c r="N479" s="13" t="s">
        <v>1632</v>
      </c>
      <c r="O479" s="11" t="s">
        <v>992</v>
      </c>
      <c r="P479" s="11" t="s">
        <v>992</v>
      </c>
      <c r="Q479" s="11" t="s">
        <v>992</v>
      </c>
      <c r="R479" s="11" t="s">
        <v>992</v>
      </c>
      <c r="S479" s="11" t="s">
        <v>992</v>
      </c>
      <c r="T479" s="11" t="s">
        <v>992</v>
      </c>
      <c r="U479" s="11" t="s">
        <v>992</v>
      </c>
      <c r="V479" s="11" t="s">
        <v>992</v>
      </c>
      <c r="W479" s="11" t="s">
        <v>992</v>
      </c>
      <c r="X479" s="11" t="s">
        <v>992</v>
      </c>
      <c r="Y479" s="11" t="s">
        <v>992</v>
      </c>
      <c r="Z479" s="11" t="s">
        <v>992</v>
      </c>
      <c r="AA479" s="11" t="s">
        <v>992</v>
      </c>
      <c r="AB479" s="11" t="s">
        <v>992</v>
      </c>
      <c r="AC479" s="11" t="s">
        <v>992</v>
      </c>
      <c r="AD479" s="11" t="s">
        <v>992</v>
      </c>
      <c r="AE479" s="11" t="s">
        <v>2228</v>
      </c>
    </row>
    <row r="480">
      <c r="B480" s="24" t="s">
        <v>283</v>
      </c>
      <c r="C480" s="12" t="s">
        <v>2077</v>
      </c>
      <c r="D480" s="11" t="s">
        <v>1633</v>
      </c>
      <c r="E480" s="11" t="s">
        <v>1634</v>
      </c>
      <c r="F480" s="12" t="s">
        <v>283</v>
      </c>
      <c r="G480" s="12" t="s">
        <v>246</v>
      </c>
      <c r="H480" s="12" t="s">
        <v>246</v>
      </c>
      <c r="I480" s="12" t="s">
        <v>430</v>
      </c>
      <c r="J480" s="12" t="s">
        <v>71</v>
      </c>
      <c r="K480" s="12" t="s">
        <v>1570</v>
      </c>
      <c r="L480" s="12" t="s">
        <v>247</v>
      </c>
      <c r="M480" s="12" t="s">
        <v>992</v>
      </c>
      <c r="N480" s="13" t="s">
        <v>992</v>
      </c>
      <c r="O480" s="11" t="s">
        <v>992</v>
      </c>
      <c r="P480" s="11" t="s">
        <v>992</v>
      </c>
      <c r="Q480" s="11" t="s">
        <v>992</v>
      </c>
      <c r="R480" s="11" t="s">
        <v>992</v>
      </c>
      <c r="S480" s="11" t="s">
        <v>992</v>
      </c>
      <c r="T480" s="11" t="s">
        <v>125</v>
      </c>
      <c r="U480" s="11" t="s">
        <v>1014</v>
      </c>
      <c r="V480" s="11" t="s">
        <v>992</v>
      </c>
      <c r="W480" s="11" t="s">
        <v>992</v>
      </c>
      <c r="X480" s="11" t="s">
        <v>992</v>
      </c>
      <c r="Y480" s="11" t="s">
        <v>992</v>
      </c>
      <c r="Z480" s="11" t="s">
        <v>2225</v>
      </c>
      <c r="AA480" s="11" t="s">
        <v>2225</v>
      </c>
      <c r="AB480" s="11" t="s">
        <v>30</v>
      </c>
      <c r="AC480" s="11" t="s">
        <v>1342</v>
      </c>
      <c r="AD480" s="11" t="s">
        <v>992</v>
      </c>
      <c r="AE480" s="11" t="s">
        <v>993</v>
      </c>
    </row>
    <row r="481">
      <c r="B481" s="24" t="s">
        <v>311</v>
      </c>
      <c r="C481" s="12" t="s">
        <v>2078</v>
      </c>
      <c r="D481" s="11" t="s">
        <v>1635</v>
      </c>
      <c r="E481" s="11" t="s">
        <v>1634</v>
      </c>
      <c r="F481" s="12" t="s">
        <v>311</v>
      </c>
      <c r="G481" s="12" t="s">
        <v>246</v>
      </c>
      <c r="H481" s="12" t="s">
        <v>246</v>
      </c>
      <c r="I481" s="12" t="s">
        <v>430</v>
      </c>
      <c r="J481" s="12" t="s">
        <v>71</v>
      </c>
      <c r="K481" s="12" t="s">
        <v>1570</v>
      </c>
      <c r="L481" s="12" t="s">
        <v>247</v>
      </c>
      <c r="M481" s="12" t="s">
        <v>992</v>
      </c>
      <c r="N481" s="13" t="s">
        <v>1636</v>
      </c>
      <c r="O481" s="11" t="s">
        <v>992</v>
      </c>
      <c r="P481" s="11" t="s">
        <v>992</v>
      </c>
      <c r="Q481" s="11" t="s">
        <v>992</v>
      </c>
      <c r="R481" s="11" t="s">
        <v>992</v>
      </c>
      <c r="S481" s="11" t="s">
        <v>992</v>
      </c>
      <c r="T481" s="11" t="s">
        <v>992</v>
      </c>
      <c r="U481" s="11" t="s">
        <v>992</v>
      </c>
      <c r="V481" s="11" t="s">
        <v>992</v>
      </c>
      <c r="W481" s="11" t="s">
        <v>992</v>
      </c>
      <c r="X481" s="11" t="s">
        <v>992</v>
      </c>
      <c r="Y481" s="11" t="s">
        <v>992</v>
      </c>
      <c r="Z481" s="11" t="s">
        <v>992</v>
      </c>
      <c r="AA481" s="11" t="s">
        <v>992</v>
      </c>
      <c r="AB481" s="11" t="s">
        <v>992</v>
      </c>
      <c r="AC481" s="11" t="s">
        <v>992</v>
      </c>
      <c r="AD481" s="11" t="s">
        <v>992</v>
      </c>
      <c r="AE481" s="11" t="s">
        <v>2228</v>
      </c>
    </row>
    <row r="482">
      <c r="B482" s="24" t="s">
        <v>278</v>
      </c>
      <c r="C482" s="12" t="s">
        <v>2079</v>
      </c>
      <c r="D482" s="11" t="s">
        <v>1637</v>
      </c>
      <c r="E482" s="11" t="s">
        <v>354</v>
      </c>
      <c r="F482" s="12" t="s">
        <v>278</v>
      </c>
      <c r="G482" s="12" t="s">
        <v>246</v>
      </c>
      <c r="H482" s="12" t="s">
        <v>246</v>
      </c>
      <c r="I482" s="12" t="s">
        <v>430</v>
      </c>
      <c r="J482" s="12" t="s">
        <v>71</v>
      </c>
      <c r="K482" s="12" t="s">
        <v>1020</v>
      </c>
      <c r="L482" s="12" t="s">
        <v>247</v>
      </c>
      <c r="M482" s="12" t="s">
        <v>992</v>
      </c>
      <c r="N482" s="13" t="s">
        <v>1638</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2228</v>
      </c>
    </row>
    <row r="483">
      <c r="B483" s="24" t="s">
        <v>308</v>
      </c>
      <c r="C483" s="12" t="s">
        <v>2080</v>
      </c>
      <c r="D483" s="11" t="s">
        <v>1639</v>
      </c>
      <c r="E483" s="11" t="s">
        <v>354</v>
      </c>
      <c r="F483" s="12" t="s">
        <v>308</v>
      </c>
      <c r="G483" s="12" t="s">
        <v>246</v>
      </c>
      <c r="H483" s="12" t="s">
        <v>246</v>
      </c>
      <c r="I483" s="12" t="s">
        <v>430</v>
      </c>
      <c r="J483" s="12" t="s">
        <v>71</v>
      </c>
      <c r="K483" s="12" t="s">
        <v>1020</v>
      </c>
      <c r="L483" s="12" t="s">
        <v>247</v>
      </c>
      <c r="M483" s="12" t="s">
        <v>992</v>
      </c>
      <c r="N483" s="13" t="s">
        <v>1640</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2228</v>
      </c>
    </row>
    <row r="484">
      <c r="B484" s="24" t="s">
        <v>308</v>
      </c>
      <c r="C484" s="12" t="s">
        <v>2081</v>
      </c>
      <c r="D484" s="11" t="s">
        <v>1641</v>
      </c>
      <c r="E484" s="11" t="s">
        <v>354</v>
      </c>
      <c r="F484" s="12" t="s">
        <v>308</v>
      </c>
      <c r="G484" s="12" t="s">
        <v>246</v>
      </c>
      <c r="H484" s="12" t="s">
        <v>246</v>
      </c>
      <c r="I484" s="12" t="s">
        <v>430</v>
      </c>
      <c r="J484" s="12" t="s">
        <v>71</v>
      </c>
      <c r="K484" s="12" t="s">
        <v>1020</v>
      </c>
      <c r="L484" s="12" t="s">
        <v>247</v>
      </c>
      <c r="M484" s="12" t="s">
        <v>992</v>
      </c>
      <c r="N484" s="13" t="s">
        <v>1642</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2228</v>
      </c>
    </row>
    <row r="485">
      <c r="B485" s="24" t="s">
        <v>308</v>
      </c>
      <c r="C485" s="12" t="s">
        <v>2082</v>
      </c>
      <c r="D485" s="11" t="s">
        <v>1643</v>
      </c>
      <c r="E485" s="11" t="s">
        <v>354</v>
      </c>
      <c r="F485" s="12" t="s">
        <v>308</v>
      </c>
      <c r="G485" s="12" t="s">
        <v>246</v>
      </c>
      <c r="H485" s="12" t="s">
        <v>246</v>
      </c>
      <c r="I485" s="12" t="s">
        <v>430</v>
      </c>
      <c r="J485" s="12" t="s">
        <v>71</v>
      </c>
      <c r="K485" s="12" t="s">
        <v>1020</v>
      </c>
      <c r="L485" s="12" t="s">
        <v>247</v>
      </c>
      <c r="M485" s="12" t="s">
        <v>992</v>
      </c>
      <c r="N485" s="13" t="s">
        <v>1644</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2228</v>
      </c>
    </row>
    <row r="486">
      <c r="B486" s="24" t="s">
        <v>308</v>
      </c>
      <c r="C486" s="12" t="s">
        <v>2083</v>
      </c>
      <c r="D486" s="11" t="s">
        <v>1645</v>
      </c>
      <c r="E486" s="11" t="s">
        <v>354</v>
      </c>
      <c r="F486" s="12" t="s">
        <v>308</v>
      </c>
      <c r="G486" s="12" t="s">
        <v>246</v>
      </c>
      <c r="H486" s="12" t="s">
        <v>246</v>
      </c>
      <c r="I486" s="12" t="s">
        <v>430</v>
      </c>
      <c r="J486" s="12" t="s">
        <v>71</v>
      </c>
      <c r="K486" s="12" t="s">
        <v>1020</v>
      </c>
      <c r="L486" s="12" t="s">
        <v>247</v>
      </c>
      <c r="M486" s="12" t="s">
        <v>992</v>
      </c>
      <c r="N486" s="13" t="s">
        <v>1646</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2228</v>
      </c>
    </row>
    <row r="487">
      <c r="B487" s="24" t="s">
        <v>308</v>
      </c>
      <c r="C487" s="12" t="s">
        <v>2084</v>
      </c>
      <c r="D487" s="11" t="s">
        <v>1647</v>
      </c>
      <c r="E487" s="11" t="s">
        <v>354</v>
      </c>
      <c r="F487" s="12" t="s">
        <v>308</v>
      </c>
      <c r="G487" s="12" t="s">
        <v>246</v>
      </c>
      <c r="H487" s="12" t="s">
        <v>246</v>
      </c>
      <c r="I487" s="12" t="s">
        <v>430</v>
      </c>
      <c r="J487" s="12" t="s">
        <v>71</v>
      </c>
      <c r="K487" s="12" t="s">
        <v>1020</v>
      </c>
      <c r="L487" s="12" t="s">
        <v>247</v>
      </c>
      <c r="M487" s="12" t="s">
        <v>992</v>
      </c>
      <c r="N487" s="13" t="s">
        <v>1648</v>
      </c>
      <c r="O487" s="11" t="s">
        <v>992</v>
      </c>
      <c r="P487" s="11" t="s">
        <v>992</v>
      </c>
      <c r="Q487" s="11" t="s">
        <v>992</v>
      </c>
      <c r="R487" s="11" t="s">
        <v>992</v>
      </c>
      <c r="S487" s="11" t="s">
        <v>992</v>
      </c>
      <c r="T487" s="11" t="s">
        <v>992</v>
      </c>
      <c r="U487" s="11" t="s">
        <v>992</v>
      </c>
      <c r="V487" s="11" t="s">
        <v>992</v>
      </c>
      <c r="W487" s="11" t="s">
        <v>992</v>
      </c>
      <c r="X487" s="11" t="s">
        <v>992</v>
      </c>
      <c r="Y487" s="11" t="s">
        <v>992</v>
      </c>
      <c r="Z487" s="11" t="s">
        <v>992</v>
      </c>
      <c r="AA487" s="11" t="s">
        <v>992</v>
      </c>
      <c r="AB487" s="11" t="s">
        <v>992</v>
      </c>
      <c r="AC487" s="11" t="s">
        <v>992</v>
      </c>
      <c r="AD487" s="11" t="s">
        <v>992</v>
      </c>
      <c r="AE487" s="11" t="s">
        <v>2228</v>
      </c>
    </row>
    <row r="488">
      <c r="B488" s="24" t="s">
        <v>308</v>
      </c>
      <c r="C488" s="12" t="s">
        <v>2085</v>
      </c>
      <c r="D488" s="11" t="s">
        <v>1649</v>
      </c>
      <c r="E488" s="11" t="s">
        <v>354</v>
      </c>
      <c r="F488" s="12" t="s">
        <v>308</v>
      </c>
      <c r="G488" s="12" t="s">
        <v>246</v>
      </c>
      <c r="H488" s="12" t="s">
        <v>246</v>
      </c>
      <c r="I488" s="12" t="s">
        <v>430</v>
      </c>
      <c r="J488" s="12" t="s">
        <v>71</v>
      </c>
      <c r="K488" s="12" t="s">
        <v>1020</v>
      </c>
      <c r="L488" s="12" t="s">
        <v>247</v>
      </c>
      <c r="M488" s="12" t="s">
        <v>992</v>
      </c>
      <c r="N488" s="13" t="s">
        <v>1650</v>
      </c>
      <c r="O488" s="11" t="s">
        <v>992</v>
      </c>
      <c r="P488" s="11" t="s">
        <v>992</v>
      </c>
      <c r="Q488" s="11" t="s">
        <v>992</v>
      </c>
      <c r="R488" s="11" t="s">
        <v>992</v>
      </c>
      <c r="S488" s="11" t="s">
        <v>992</v>
      </c>
      <c r="T488" s="11" t="s">
        <v>992</v>
      </c>
      <c r="U488" s="11" t="s">
        <v>992</v>
      </c>
      <c r="V488" s="11" t="s">
        <v>992</v>
      </c>
      <c r="W488" s="11" t="s">
        <v>992</v>
      </c>
      <c r="X488" s="11" t="s">
        <v>992</v>
      </c>
      <c r="Y488" s="11" t="s">
        <v>992</v>
      </c>
      <c r="Z488" s="11" t="s">
        <v>992</v>
      </c>
      <c r="AA488" s="11" t="s">
        <v>992</v>
      </c>
      <c r="AB488" s="11" t="s">
        <v>992</v>
      </c>
      <c r="AC488" s="11" t="s">
        <v>992</v>
      </c>
      <c r="AD488" s="11" t="s">
        <v>992</v>
      </c>
      <c r="AE488" s="11" t="s">
        <v>2228</v>
      </c>
    </row>
    <row r="489">
      <c r="B489" s="24" t="s">
        <v>308</v>
      </c>
      <c r="C489" s="12" t="s">
        <v>2086</v>
      </c>
      <c r="D489" s="11" t="s">
        <v>1651</v>
      </c>
      <c r="E489" s="11" t="s">
        <v>354</v>
      </c>
      <c r="F489" s="12" t="s">
        <v>308</v>
      </c>
      <c r="G489" s="12" t="s">
        <v>246</v>
      </c>
      <c r="H489" s="12" t="s">
        <v>246</v>
      </c>
      <c r="I489" s="12" t="s">
        <v>430</v>
      </c>
      <c r="J489" s="12" t="s">
        <v>71</v>
      </c>
      <c r="K489" s="12" t="s">
        <v>1020</v>
      </c>
      <c r="L489" s="12" t="s">
        <v>247</v>
      </c>
      <c r="M489" s="12" t="s">
        <v>992</v>
      </c>
      <c r="N489" s="13" t="s">
        <v>1652</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2228</v>
      </c>
    </row>
    <row r="490">
      <c r="B490" s="24" t="s">
        <v>308</v>
      </c>
      <c r="C490" s="12" t="s">
        <v>2087</v>
      </c>
      <c r="D490" s="11" t="s">
        <v>1653</v>
      </c>
      <c r="E490" s="11" t="s">
        <v>354</v>
      </c>
      <c r="F490" s="12" t="s">
        <v>308</v>
      </c>
      <c r="G490" s="12" t="s">
        <v>246</v>
      </c>
      <c r="H490" s="12" t="s">
        <v>246</v>
      </c>
      <c r="I490" s="12" t="s">
        <v>430</v>
      </c>
      <c r="J490" s="12" t="s">
        <v>71</v>
      </c>
      <c r="K490" s="12" t="s">
        <v>1020</v>
      </c>
      <c r="L490" s="12" t="s">
        <v>247</v>
      </c>
      <c r="M490" s="12" t="s">
        <v>992</v>
      </c>
      <c r="N490" s="13" t="s">
        <v>1654</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2228</v>
      </c>
    </row>
    <row r="491">
      <c r="B491" s="24" t="s">
        <v>308</v>
      </c>
      <c r="C491" s="12" t="s">
        <v>2088</v>
      </c>
      <c r="D491" s="11" t="s">
        <v>1655</v>
      </c>
      <c r="E491" s="11" t="s">
        <v>354</v>
      </c>
      <c r="F491" s="12" t="s">
        <v>308</v>
      </c>
      <c r="G491" s="12" t="s">
        <v>246</v>
      </c>
      <c r="H491" s="12" t="s">
        <v>246</v>
      </c>
      <c r="I491" s="12" t="s">
        <v>430</v>
      </c>
      <c r="J491" s="12" t="s">
        <v>71</v>
      </c>
      <c r="K491" s="12" t="s">
        <v>1020</v>
      </c>
      <c r="L491" s="12" t="s">
        <v>247</v>
      </c>
      <c r="M491" s="12" t="s">
        <v>992</v>
      </c>
      <c r="N491" s="13" t="s">
        <v>1656</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2228</v>
      </c>
    </row>
    <row r="492">
      <c r="B492" s="24" t="s">
        <v>308</v>
      </c>
      <c r="C492" s="12" t="s">
        <v>2089</v>
      </c>
      <c r="D492" s="11" t="s">
        <v>1657</v>
      </c>
      <c r="E492" s="11" t="s">
        <v>354</v>
      </c>
      <c r="F492" s="12" t="s">
        <v>308</v>
      </c>
      <c r="G492" s="12" t="s">
        <v>246</v>
      </c>
      <c r="H492" s="12" t="s">
        <v>246</v>
      </c>
      <c r="I492" s="12" t="s">
        <v>430</v>
      </c>
      <c r="J492" s="12" t="s">
        <v>71</v>
      </c>
      <c r="K492" s="12" t="s">
        <v>1020</v>
      </c>
      <c r="L492" s="12" t="s">
        <v>247</v>
      </c>
      <c r="M492" s="12" t="s">
        <v>992</v>
      </c>
      <c r="N492" s="13" t="s">
        <v>1658</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2228</v>
      </c>
    </row>
    <row r="493">
      <c r="B493" s="24" t="s">
        <v>308</v>
      </c>
      <c r="C493" s="12" t="s">
        <v>2090</v>
      </c>
      <c r="D493" s="11" t="s">
        <v>1659</v>
      </c>
      <c r="E493" s="11" t="s">
        <v>354</v>
      </c>
      <c r="F493" s="12" t="s">
        <v>308</v>
      </c>
      <c r="G493" s="12" t="s">
        <v>246</v>
      </c>
      <c r="H493" s="12" t="s">
        <v>246</v>
      </c>
      <c r="I493" s="12" t="s">
        <v>430</v>
      </c>
      <c r="J493" s="12" t="s">
        <v>71</v>
      </c>
      <c r="K493" s="12" t="s">
        <v>1020</v>
      </c>
      <c r="L493" s="12" t="s">
        <v>247</v>
      </c>
      <c r="M493" s="12" t="s">
        <v>992</v>
      </c>
      <c r="N493" s="13" t="s">
        <v>1660</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2228</v>
      </c>
    </row>
    <row r="494">
      <c r="B494" s="24" t="s">
        <v>308</v>
      </c>
      <c r="C494" s="12" t="s">
        <v>2091</v>
      </c>
      <c r="D494" s="11" t="s">
        <v>1661</v>
      </c>
      <c r="E494" s="11" t="s">
        <v>354</v>
      </c>
      <c r="F494" s="12" t="s">
        <v>308</v>
      </c>
      <c r="G494" s="12" t="s">
        <v>246</v>
      </c>
      <c r="H494" s="12" t="s">
        <v>246</v>
      </c>
      <c r="I494" s="12" t="s">
        <v>430</v>
      </c>
      <c r="J494" s="12" t="s">
        <v>71</v>
      </c>
      <c r="K494" s="12" t="s">
        <v>1020</v>
      </c>
      <c r="L494" s="12" t="s">
        <v>247</v>
      </c>
      <c r="M494" s="12" t="s">
        <v>992</v>
      </c>
      <c r="N494" s="13" t="s">
        <v>1662</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2228</v>
      </c>
    </row>
    <row r="495">
      <c r="B495" s="24" t="s">
        <v>308</v>
      </c>
      <c r="C495" s="12" t="s">
        <v>2092</v>
      </c>
      <c r="D495" s="11" t="s">
        <v>1663</v>
      </c>
      <c r="E495" s="11" t="s">
        <v>354</v>
      </c>
      <c r="F495" s="12" t="s">
        <v>308</v>
      </c>
      <c r="G495" s="12" t="s">
        <v>246</v>
      </c>
      <c r="H495" s="12" t="s">
        <v>246</v>
      </c>
      <c r="I495" s="12" t="s">
        <v>430</v>
      </c>
      <c r="J495" s="12" t="s">
        <v>71</v>
      </c>
      <c r="K495" s="12" t="s">
        <v>1020</v>
      </c>
      <c r="L495" s="12" t="s">
        <v>247</v>
      </c>
      <c r="M495" s="12" t="s">
        <v>992</v>
      </c>
      <c r="N495" s="13" t="s">
        <v>1664</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2228</v>
      </c>
    </row>
    <row r="496">
      <c r="B496" s="24" t="s">
        <v>308</v>
      </c>
      <c r="C496" s="12" t="s">
        <v>2093</v>
      </c>
      <c r="D496" s="11" t="s">
        <v>1665</v>
      </c>
      <c r="E496" s="11" t="s">
        <v>354</v>
      </c>
      <c r="F496" s="12" t="s">
        <v>308</v>
      </c>
      <c r="G496" s="12" t="s">
        <v>246</v>
      </c>
      <c r="H496" s="12" t="s">
        <v>246</v>
      </c>
      <c r="I496" s="12" t="s">
        <v>430</v>
      </c>
      <c r="J496" s="12" t="s">
        <v>71</v>
      </c>
      <c r="K496" s="12" t="s">
        <v>1020</v>
      </c>
      <c r="L496" s="12" t="s">
        <v>247</v>
      </c>
      <c r="M496" s="12" t="s">
        <v>992</v>
      </c>
      <c r="N496" s="13" t="s">
        <v>1666</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2228</v>
      </c>
    </row>
    <row r="497">
      <c r="B497" s="24" t="s">
        <v>308</v>
      </c>
      <c r="C497" s="12" t="s">
        <v>2094</v>
      </c>
      <c r="D497" s="11" t="s">
        <v>1667</v>
      </c>
      <c r="E497" s="11" t="s">
        <v>354</v>
      </c>
      <c r="F497" s="12" t="s">
        <v>308</v>
      </c>
      <c r="G497" s="12" t="s">
        <v>246</v>
      </c>
      <c r="H497" s="12" t="s">
        <v>246</v>
      </c>
      <c r="I497" s="12" t="s">
        <v>430</v>
      </c>
      <c r="J497" s="12" t="s">
        <v>71</v>
      </c>
      <c r="K497" s="12" t="s">
        <v>1020</v>
      </c>
      <c r="L497" s="12" t="s">
        <v>247</v>
      </c>
      <c r="M497" s="12" t="s">
        <v>992</v>
      </c>
      <c r="N497" s="13" t="s">
        <v>1668</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2228</v>
      </c>
    </row>
    <row r="498">
      <c r="B498" s="24" t="s">
        <v>283</v>
      </c>
      <c r="C498" s="12" t="s">
        <v>2095</v>
      </c>
      <c r="D498" s="11" t="s">
        <v>1669</v>
      </c>
      <c r="E498" s="11" t="s">
        <v>1670</v>
      </c>
      <c r="F498" s="12" t="s">
        <v>283</v>
      </c>
      <c r="G498" s="12" t="s">
        <v>246</v>
      </c>
      <c r="H498" s="12" t="s">
        <v>246</v>
      </c>
      <c r="I498" s="12" t="s">
        <v>37</v>
      </c>
      <c r="J498" s="12" t="s">
        <v>1013</v>
      </c>
      <c r="K498" s="12" t="s">
        <v>118</v>
      </c>
      <c r="L498" s="12" t="s">
        <v>247</v>
      </c>
      <c r="M498" s="12" t="s">
        <v>992</v>
      </c>
      <c r="N498" s="13" t="s">
        <v>2147</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2228</v>
      </c>
    </row>
    <row r="499">
      <c r="B499" s="24" t="s">
        <v>992</v>
      </c>
      <c r="C499" s="12" t="s">
        <v>992</v>
      </c>
      <c r="D499" s="11" t="s">
        <v>992</v>
      </c>
      <c r="E499" s="11" t="s">
        <v>992</v>
      </c>
      <c r="F499" s="12" t="s">
        <v>992</v>
      </c>
      <c r="G499" s="12" t="s">
        <v>992</v>
      </c>
      <c r="H499" s="12" t="s">
        <v>992</v>
      </c>
      <c r="I499" s="12" t="s">
        <v>992</v>
      </c>
      <c r="J499" s="12" t="s">
        <v>992</v>
      </c>
      <c r="K499" s="12" t="s">
        <v>992</v>
      </c>
      <c r="L499" s="12" t="s">
        <v>992</v>
      </c>
      <c r="M499" s="12" t="s">
        <v>992</v>
      </c>
      <c r="N499" s="13" t="s">
        <v>992</v>
      </c>
      <c r="O499" s="11" t="s">
        <v>992</v>
      </c>
      <c r="P499" s="11" t="s">
        <v>992</v>
      </c>
      <c r="Q499" s="11" t="s">
        <v>992</v>
      </c>
      <c r="R499" s="11" t="s">
        <v>992</v>
      </c>
      <c r="S499" s="11" t="s">
        <v>992</v>
      </c>
      <c r="T499" s="11" t="s">
        <v>992</v>
      </c>
      <c r="U499" s="11" t="s">
        <v>992</v>
      </c>
      <c r="V499" s="11" t="s">
        <v>992</v>
      </c>
      <c r="W499" s="11" t="s">
        <v>992</v>
      </c>
      <c r="X499" s="11" t="s">
        <v>992</v>
      </c>
      <c r="Y499" s="11" t="s">
        <v>992</v>
      </c>
      <c r="Z499" s="11" t="s">
        <v>992</v>
      </c>
      <c r="AA499" s="11" t="s">
        <v>992</v>
      </c>
      <c r="AB499" s="11" t="s">
        <v>992</v>
      </c>
      <c r="AC499" s="11" t="s">
        <v>992</v>
      </c>
      <c r="AD499" s="11" t="s">
        <v>992</v>
      </c>
      <c r="AE499" s="11" t="s">
        <v>992</v>
      </c>
    </row>
    <row r="500">
      <c r="B500" s="24" t="s">
        <v>992</v>
      </c>
      <c r="C500" s="12" t="s">
        <v>992</v>
      </c>
      <c r="D500" s="11" t="s">
        <v>992</v>
      </c>
      <c r="E500" s="11" t="s">
        <v>992</v>
      </c>
      <c r="F500" s="12" t="s">
        <v>992</v>
      </c>
      <c r="G500" s="12" t="s">
        <v>992</v>
      </c>
      <c r="H500" s="12" t="s">
        <v>992</v>
      </c>
      <c r="I500" s="12" t="s">
        <v>992</v>
      </c>
      <c r="J500" s="12" t="s">
        <v>992</v>
      </c>
      <c r="K500" s="12" t="s">
        <v>992</v>
      </c>
      <c r="L500" s="12" t="s">
        <v>992</v>
      </c>
      <c r="M500" s="12" t="s">
        <v>992</v>
      </c>
      <c r="N500" s="13" t="s">
        <v>992</v>
      </c>
      <c r="O500" s="11" t="s">
        <v>992</v>
      </c>
      <c r="P500" s="11" t="s">
        <v>992</v>
      </c>
      <c r="Q500" s="11" t="s">
        <v>992</v>
      </c>
      <c r="R500" s="11" t="s">
        <v>992</v>
      </c>
      <c r="S500" s="11" t="s">
        <v>992</v>
      </c>
      <c r="T500" s="11" t="s">
        <v>992</v>
      </c>
      <c r="U500" s="11" t="s">
        <v>992</v>
      </c>
      <c r="V500" s="11" t="s">
        <v>992</v>
      </c>
      <c r="W500" s="11" t="s">
        <v>992</v>
      </c>
      <c r="X500" s="11" t="s">
        <v>992</v>
      </c>
      <c r="Y500" s="11" t="s">
        <v>992</v>
      </c>
      <c r="Z500" s="11" t="s">
        <v>992</v>
      </c>
      <c r="AA500" s="11" t="s">
        <v>992</v>
      </c>
      <c r="AB500" s="11" t="s">
        <v>992</v>
      </c>
      <c r="AC500" s="11" t="s">
        <v>992</v>
      </c>
      <c r="AD500" s="11" t="s">
        <v>992</v>
      </c>
      <c r="AE500" s="11" t="s">
        <v>992</v>
      </c>
    </row>
    <row r="501">
      <c r="B501" s="24" t="s">
        <v>992</v>
      </c>
      <c r="C501" s="12" t="s">
        <v>992</v>
      </c>
      <c r="D501" s="11" t="s">
        <v>992</v>
      </c>
      <c r="E501" s="11" t="s">
        <v>992</v>
      </c>
      <c r="F501" s="12" t="s">
        <v>992</v>
      </c>
      <c r="G501" s="12" t="s">
        <v>992</v>
      </c>
      <c r="H501" s="12" t="s">
        <v>992</v>
      </c>
      <c r="I501" s="12" t="s">
        <v>992</v>
      </c>
      <c r="J501" s="12" t="s">
        <v>992</v>
      </c>
      <c r="K501" s="12" t="s">
        <v>992</v>
      </c>
      <c r="L501" s="12" t="s">
        <v>992</v>
      </c>
      <c r="M501" s="12" t="s">
        <v>992</v>
      </c>
      <c r="N501" s="13" t="s">
        <v>992</v>
      </c>
      <c r="O501" s="11" t="s">
        <v>992</v>
      </c>
      <c r="P501" s="11" t="s">
        <v>992</v>
      </c>
      <c r="Q501" s="11" t="s">
        <v>992</v>
      </c>
      <c r="R501" s="11" t="s">
        <v>992</v>
      </c>
      <c r="S501" s="11" t="s">
        <v>992</v>
      </c>
      <c r="T501" s="11" t="s">
        <v>992</v>
      </c>
      <c r="U501" s="11" t="s">
        <v>992</v>
      </c>
      <c r="V501" s="11" t="s">
        <v>992</v>
      </c>
      <c r="W501" s="11" t="s">
        <v>992</v>
      </c>
      <c r="X501" s="11" t="s">
        <v>992</v>
      </c>
      <c r="Y501" s="11" t="s">
        <v>992</v>
      </c>
      <c r="Z501" s="11" t="s">
        <v>992</v>
      </c>
      <c r="AA501" s="11" t="s">
        <v>992</v>
      </c>
      <c r="AB501" s="11" t="s">
        <v>992</v>
      </c>
      <c r="AC501" s="11" t="s">
        <v>992</v>
      </c>
      <c r="AD501" s="11" t="s">
        <v>992</v>
      </c>
      <c r="AE501" s="11" t="s">
        <v>992</v>
      </c>
    </row>
  </sheetData>
  <autoFilter ref="B1:AE380"/>
  <conditionalFormatting sqref="C51 J51:K51 C71:C72 J71:K72 U72:U75 J404:K404">
    <cfRule type="expression" dxfId="295" priority="172">
      <formula>$Q51:$Q365="APOYO"</formula>
    </cfRule>
    <cfRule type="expression" dxfId="296" priority="173">
      <formula>$G51:$G365="Sí"</formula>
    </cfRule>
  </conditionalFormatting>
  <conditionalFormatting sqref="C67:C70 J67:K70 U70:U71 U404">
    <cfRule type="expression" dxfId="293" priority="39">
      <formula>$Q67:$Q382="APOYO"</formula>
    </cfRule>
    <cfRule type="expression" dxfId="294" priority="40">
      <formula>$G67:$G382="Sí"</formula>
    </cfRule>
  </conditionalFormatting>
  <conditionalFormatting sqref="C73:C76 J73:K76">
    <cfRule type="expression" dxfId="292" priority="222">
      <formula>$Q73:$Q386="APOYO"</formula>
    </cfRule>
    <cfRule type="expression" dxfId="291" priority="223">
      <formula>$G73:$G386="Sí"</formula>
    </cfRule>
  </conditionalFormatting>
  <conditionalFormatting sqref="C77:C162 J77:K162 U162:U178 J366:J367 J370 J373 V396:V403">
    <cfRule type="expression" dxfId="289" priority="35">
      <formula>$Q77:$Q396="APOYO"</formula>
    </cfRule>
    <cfRule type="expression" dxfId="290" priority="36">
      <formula>$G77:$G396="Sí"</formula>
    </cfRule>
  </conditionalFormatting>
  <conditionalFormatting sqref="C33:G33 J33:S33 U33:AD33 P365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288" priority="115">
      <formula>$Q33:$Q354="APOYO"</formula>
    </cfRule>
    <cfRule type="expression" dxfId="287" priority="116">
      <formula>$G33:$G354="Sí"</formula>
    </cfRule>
  </conditionalFormatting>
  <conditionalFormatting sqref="C34:H34 J34:S34 V34:AD34 U76:U161 U349:U354 P355:P364 U357 AB398 AB400 AB403">
    <cfRule type="expression" dxfId="285" priority="119">
      <formula>$Q34:$Q354="APOYO"</formula>
    </cfRule>
    <cfRule type="expression" dxfId="286" priority="120">
      <formula>$G34:$G354="Sí"</formula>
    </cfRule>
  </conditionalFormatting>
  <conditionalFormatting sqref="C6:S6 W6:Y6 AB6:AD6 U6:U10 C25:H25 J25:S25 U25:AD25 U26:U31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D477 F477:H477 L477:O477 G478:H480 N478:O480 D478:F481 G481:J481">
    <cfRule type="expression" dxfId="284" priority="178">
      <formula>$Q6:$Q329="APOYO"</formula>
    </cfRule>
    <cfRule type="expression" dxfId="283" priority="179">
      <formula>$G6:$G329="Sí"</formula>
    </cfRule>
  </conditionalFormatting>
  <conditionalFormatting sqref="C45:T46 V45:AD46 T396:T403">
    <cfRule type="expression" dxfId="281" priority="190">
      <formula>$G45:$G363="Sí"</formula>
    </cfRule>
    <cfRule type="expression" dxfId="282" priority="191">
      <formula>$Q45:$Q363="APOYO"</formula>
    </cfRule>
  </conditionalFormatting>
  <conditionalFormatting sqref="C47:T47 V47:AD48 C48:S48 U51:U65 J180:K180 C180:C181 U181:U218 J219:K260 C220:C340 O330 J330:J340 N330:N340 Q330:T340 V341:AD341 C341:J348 L341:T348 V342:AA342 AC342:AD342 V343:AD348 C349:C356 T351 P352:P354 T357 T366:U367 C368:C377 Q370:R370 T370:T373 T375:T380 C379:C403 D396:O403 Q396:S403 W396:AA403 AC396:AD403 F404 T405:T407 C405:C498">
    <cfRule type="expression" dxfId="279" priority="192">
      <formula>$Q47:$Q364="APOYO"</formula>
    </cfRule>
    <cfRule type="expression" dxfId="280" priority="193">
      <formula>$G47:$G364="Sí"</formula>
    </cfRule>
  </conditionalFormatting>
  <conditionalFormatting sqref="D85:E86 G85:I86 L85:T86 V85:AD86 Z93:AA93 F101 F171:F172 G404:H404 L404">
    <cfRule type="expression" dxfId="278" priority="142">
      <formula>$Q85:$Q347="APOYO"</formula>
    </cfRule>
    <cfRule type="expression" dxfId="277" priority="143">
      <formula>$G85:$G347="Sí"</formula>
    </cfRule>
  </conditionalFormatting>
  <conditionalFormatting sqref="D111:E112 D129:I132 L129:T132 V129:AD132">
    <cfRule type="expression" dxfId="275" priority="194">
      <formula>$G111:$G364="Sí"</formula>
    </cfRule>
    <cfRule type="expression" dxfId="276" priority="195">
      <formula>$Q111:$Q364="APOYO"</formula>
    </cfRule>
  </conditionalFormatting>
  <conditionalFormatting sqref="D113:E113 G113 I113 L113:S113 V113:AD113">
    <cfRule type="expression" dxfId="274" priority="162">
      <formula>$Q113:$Q365="APOYO"</formula>
    </cfRule>
    <cfRule type="expression" dxfId="273" priority="163">
      <formula>$G113:$G365="Sí"</formula>
    </cfRule>
  </conditionalFormatting>
  <conditionalFormatting sqref="D171:E171 G171:I171 L171:T171 V171:AD171">
    <cfRule type="expression" dxfId="272" priority="138">
      <formula>$Q171:$Q354="APOYO"</formula>
    </cfRule>
    <cfRule type="expression" dxfId="271" priority="139">
      <formula>$G171:$G354="Sí"</formula>
    </cfRule>
  </conditionalFormatting>
  <conditionalFormatting sqref="D172:E172 G172:I172 L172:T179 V172:AD179 D173:I180 L180:S180 V180:AA180 AC180:AD180">
    <cfRule type="expression" dxfId="270" priority="196">
      <formula>$Q172:$Q354="APOYO"</formula>
    </cfRule>
    <cfRule type="expression" dxfId="269" priority="197">
      <formula>$G172:$G354="Sí"</formula>
    </cfRule>
  </conditionalFormatting>
  <conditionalFormatting sqref="D97:F100 G97:I106 L97:T106 V97:AD106 D101:E101 D102:F106 G111:G112 I111:I112 L111:T112 V111:AD112 D139:I139 L139:T139 V139:AD139">
    <cfRule type="expression" dxfId="268" priority="148">
      <formula>$G97:$G354="Sí"</formula>
    </cfRule>
    <cfRule type="expression" dxfId="267" priority="149">
      <formula>$Q97:$Q354="APOYO"</formula>
    </cfRule>
  </conditionalFormatting>
  <conditionalFormatting sqref="D114:F119 V114:AD120 G114:I126 L114:T128 D120:E120 V121:AA121 AC121:AD121 D121:F125 V122:AD128 D126:E126 D127:I128">
    <cfRule type="expression" dxfId="265" priority="181">
      <formula>$Q114:$Q368="APOYO"</formula>
    </cfRule>
    <cfRule type="expression" dxfId="266" priority="182">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264" priority="229">
      <formula>$Q286:$Q396="APOYO"</formula>
    </cfRule>
  </conditionalFormatting>
  <conditionalFormatting sqref="D35:G35 C35:C44 V35:AD44 D36:S37 J38 L38:S38 D38:H41 J39:S40 J41:T41 D42:T42 D43:S43 D44:T44 U44:U45 V49:AA49 AC49:AD49 C49:T50 V50:AD50 J35:S35">
    <cfRule type="expression" dxfId="263" priority="131">
      <formula>$G35:$G354="Sí"</formula>
    </cfRule>
  </conditionalFormatting>
  <conditionalFormatting sqref="D35:G35 C35:C44 V35:AD44 D36:S37 J38 L38:S38 D38:H41 J39:S40 J41:T41 D42:T42 D43:S43 D44:T44 U44:U45 V49:AA49 AC49:AD49 C49:T50 V50:AD50">
    <cfRule type="expression" dxfId="262" priority="118">
      <formula>$Q35:$Q354="APOYO"</formula>
    </cfRule>
  </conditionalFormatting>
  <conditionalFormatting sqref="D26:H26 J26:T26 V26:AD31 C26:C32 D27:F27 D28:H28 J28 L28:T28 D29:T29 D30:H32 J30:S32 U32:AA32 AC32:AD32 T63:T64 T368:T369 T374 T381:T385 T408:T437 T444 T457:T458 T460:T461 T465:T467 T475">
    <cfRule type="expression" dxfId="261" priority="198">
      <formula>$G26:$G348="Sí"</formula>
    </cfRule>
    <cfRule type="expression" dxfId="260" priority="203">
      <formula>$Q26:$Q348="APOYO"</formula>
    </cfRule>
  </conditionalFormatting>
  <conditionalFormatting sqref="D51:I51 L51:T51 V51:AD51">
    <cfRule type="expression" dxfId="258" priority="95">
      <formula>$Q51:$Q329="APOYO"</formula>
    </cfRule>
    <cfRule type="expression" dxfId="259" priority="96">
      <formula>$G51:$G329="Sí"</formula>
    </cfRule>
  </conditionalFormatting>
  <conditionalFormatting sqref="D59:I59 L59:T59 V59:AD59">
    <cfRule type="expression" dxfId="256" priority="80">
      <formula>$Q59:$Q329="APOYO"</formula>
    </cfRule>
    <cfRule type="expression" dxfId="257" priority="81">
      <formula>$G59:$G329="Sí"</formula>
    </cfRule>
  </conditionalFormatting>
  <conditionalFormatting sqref="D60:I60 L60:T60 V60:AD60">
    <cfRule type="expression" dxfId="255" priority="87">
      <formula>$Q60:$Q329="APOYO"</formula>
    </cfRule>
    <cfRule type="expression" dxfId="254" priority="88">
      <formula>$G60:$G329="Sí"</formula>
    </cfRule>
  </conditionalFormatting>
  <conditionalFormatting sqref="D61:I61 L61:T62 V61:AD63 D62:H62 D63:I63 L63:S63 T149 T151 AB269 AB318 AB337 AB366:AB369 AB372 AB405:AB407">
    <cfRule type="expression" dxfId="252" priority="146">
      <formula>$Q61:$Q329="APOYO"</formula>
    </cfRule>
    <cfRule type="expression" dxfId="253" priority="147">
      <formula>$G61:$G329="Sí"</formula>
    </cfRule>
  </conditionalFormatting>
  <conditionalFormatting sqref="D64:I64 L64:S64 V64:AD64 F84:F86">
    <cfRule type="expression" dxfId="251" priority="82">
      <formula>$Q64:$Q329="APOYO"</formula>
    </cfRule>
    <cfRule type="expression" dxfId="250" priority="83">
      <formula>$G64:$G329="Sí"</formula>
    </cfRule>
  </conditionalFormatting>
  <conditionalFormatting sqref="D65:I65 L65:T65 V65:AD65">
    <cfRule type="expression" dxfId="249" priority="89">
      <formula>$Q65:$Q329="APOYO"</formula>
    </cfRule>
    <cfRule type="expression" dxfId="248" priority="90">
      <formula>$G65:$G329="Sí"</formula>
    </cfRule>
  </conditionalFormatting>
  <conditionalFormatting sqref="D87:I87 L87:T87 V87:AD87">
    <cfRule type="expression" dxfId="247" priority="103">
      <formula>$G87:$G348="Sí"</formula>
    </cfRule>
    <cfRule type="expression" dxfId="246" priority="110">
      <formula>$Q87:$Q348="APOYO"</formula>
    </cfRule>
  </conditionalFormatting>
  <conditionalFormatting sqref="D95:I95 L95:T95 V95:AD95">
    <cfRule type="expression" dxfId="245" priority="125">
      <formula>$G95:$G354="Sí"</formula>
    </cfRule>
    <cfRule type="expression" dxfId="244" priority="126">
      <formula>$Q95:$Q354="APOYO"</formula>
    </cfRule>
  </conditionalFormatting>
  <conditionalFormatting sqref="D96:I96 L96:T96 V96:AD96">
    <cfRule type="expression" dxfId="242" priority="136">
      <formula>$G96:$G354="Sí"</formula>
    </cfRule>
    <cfRule type="expression" dxfId="243" priority="137">
      <formula>$Q96:$Q354="APOYO"</formula>
    </cfRule>
  </conditionalFormatting>
  <conditionalFormatting sqref="D107:I108 L107:T108 V107:AD108">
    <cfRule type="expression" dxfId="240" priority="199">
      <formula>$G107:$G363="Sí"</formula>
    </cfRule>
    <cfRule type="expression" dxfId="241" priority="200">
      <formula>$Q107:$Q363="APOYO"</formula>
    </cfRule>
  </conditionalFormatting>
  <conditionalFormatting sqref="D109:I110 L109:T110 V109:AD110 O331 O336:O340">
    <cfRule type="expression" dxfId="238" priority="154">
      <formula>$G109:$G364="Sí"</formula>
    </cfRule>
    <cfRule type="expression" dxfId="239" priority="155">
      <formula>$Q109:$Q364="APOYO"</formula>
    </cfRule>
  </conditionalFormatting>
  <conditionalFormatting sqref="D133:I134 L133:T134 V133:AD134">
    <cfRule type="expression" dxfId="236" priority="218">
      <formula>$G133:$G385="Sí"</formula>
    </cfRule>
    <cfRule type="expression" dxfId="237" priority="219">
      <formula>$Q133:$Q385="APOYO"</formula>
    </cfRule>
  </conditionalFormatting>
  <conditionalFormatting sqref="D135:I138 L135:T138 V135:AD138">
    <cfRule type="expression" dxfId="234" priority="216">
      <formula>$G135:$G386="Sí"</formula>
    </cfRule>
    <cfRule type="expression" dxfId="235" priority="217">
      <formula>$Q135:$Q386="APOYO"</formula>
    </cfRule>
  </conditionalFormatting>
  <conditionalFormatting sqref="D140:I140 L140:T140 V140:AD140">
    <cfRule type="expression" dxfId="232" priority="91">
      <formula>$Q140:$Q329="APOYO"</formula>
    </cfRule>
    <cfRule type="expression" dxfId="233" priority="92">
      <formula>$G140:$G329="Sí"</formula>
    </cfRule>
  </conditionalFormatting>
  <conditionalFormatting sqref="D160:I161 L160:S161 W160:AD161">
    <cfRule type="expression" dxfId="231" priority="71">
      <formula>$Q160:$Q347="APOYO"</formula>
    </cfRule>
    <cfRule type="expression" dxfId="230" priority="72">
      <formula>$G160:$G347="Sí"</formula>
    </cfRule>
  </conditionalFormatting>
  <conditionalFormatting sqref="D162:I162">
    <cfRule type="expression" dxfId="228" priority="111">
      <formula>$Q162:$Q348="APOYO"</formula>
    </cfRule>
    <cfRule type="expression" dxfId="229" priority="112">
      <formula>$G162:$G348="Sí"</formula>
    </cfRule>
  </conditionalFormatting>
  <conditionalFormatting sqref="D170:I170 L170:T170 V170:AD170">
    <cfRule type="expression" dxfId="226" priority="127">
      <formula>$Q170:$Q354="APOYO"</formula>
    </cfRule>
    <cfRule type="expression" dxfId="227" priority="128">
      <formula>$G170:$G354="Sí"</formula>
    </cfRule>
  </conditionalFormatting>
  <conditionalFormatting sqref="D181:I182 L181:T182 V181:AD182 D187:G187 I187 L187:T188 V187:AD188 D188:I188 I265:I273">
    <cfRule type="expression" dxfId="224" priority="150">
      <formula>$Q181:$Q362="APOYO"</formula>
    </cfRule>
    <cfRule type="expression" dxfId="225" priority="151">
      <formula>$G181:$G362="Sí"</formula>
    </cfRule>
  </conditionalFormatting>
  <conditionalFormatting sqref="D183:I184 L183:T184 V183:AD184 I301:I303 I308 I310:I311">
    <cfRule type="expression" dxfId="222" priority="156">
      <formula>$Q183:$Q363="APOYO"</formula>
    </cfRule>
    <cfRule type="expression" dxfId="223" priority="157">
      <formula>$G183:$G363="Sí"</formula>
    </cfRule>
  </conditionalFormatting>
  <conditionalFormatting sqref="D185:I186 L185:T186 V185:AD186">
    <cfRule type="expression" dxfId="221" priority="166">
      <formula>$Q185:$Q364="APOYO"</formula>
    </cfRule>
    <cfRule type="expression" dxfId="220" priority="167">
      <formula>$G185:$G364="Sí"</formula>
    </cfRule>
  </conditionalFormatting>
  <conditionalFormatting sqref="D189:I189 V189:AD189 L209:S209 D209:I210 V209:AD210">
    <cfRule type="expression" dxfId="219" priority="55">
      <formula>$Q189:$Q365="APOYO"</formula>
    </cfRule>
    <cfRule type="expression" dxfId="218" priority="56">
      <formula>$G189:$G365="Sí"</formula>
    </cfRule>
  </conditionalFormatting>
  <conditionalFormatting sqref="D212:I212 L212:T212 V212:AD212 V219:AA220 AC219:AD220 D219:I230 L219:T230 V221:AD230">
    <cfRule type="expression" dxfId="216" priority="84">
      <formula>$Q212:$Q329="APOYO"</formula>
    </cfRule>
    <cfRule type="expression" dxfId="217" priority="85">
      <formula>$G212:$G329="Sí"</formula>
    </cfRule>
  </conditionalFormatting>
  <conditionalFormatting sqref="D213:I218 L213:T218 V213:AD218 D231:I232 L231:T232 V231:AD232">
    <cfRule type="expression" dxfId="215" priority="101">
      <formula>$Q213:$Q329="APOYO"</formula>
    </cfRule>
    <cfRule type="expression" dxfId="214" priority="102">
      <formula>$G213:$G329="Sí"</formula>
    </cfRule>
  </conditionalFormatting>
  <conditionalFormatting sqref="D233:I233 L233:T233 V233:AD233">
    <cfRule type="expression" dxfId="213" priority="106">
      <formula>$Q233:$Q348="APOYO"</formula>
    </cfRule>
    <cfRule type="expression" dxfId="212" priority="107">
      <formula>$G233:$G348="Sí"</formula>
    </cfRule>
  </conditionalFormatting>
  <conditionalFormatting sqref="D241:I241 L241:T241 V241:AD241">
    <cfRule type="expression" dxfId="211" priority="73">
      <formula>$Q241:$Q354="APOYO"</formula>
    </cfRule>
    <cfRule type="expression" dxfId="210" priority="74">
      <formula>$G241:$G354="Sí"</formula>
    </cfRule>
  </conditionalFormatting>
  <conditionalFormatting sqref="D242:I242 L242:T242 V242:AD242 Y370">
    <cfRule type="expression" dxfId="208" priority="129">
      <formula>$Q242:$Q354="APOYO"</formula>
    </cfRule>
    <cfRule type="expression" dxfId="209" priority="130">
      <formula>$G242:$G354="Sí"</formula>
    </cfRule>
  </conditionalFormatting>
  <conditionalFormatting sqref="D243:I252 L243:T252 V243:AD252 L257:S257 D257:I258 V257:AD258 L258:T258">
    <cfRule type="expression" dxfId="207" priority="140">
      <formula>$Q243:$Q354="APOYO"</formula>
    </cfRule>
    <cfRule type="expression" dxfId="206" priority="141">
      <formula>$G243:$G354="Sí"</formula>
    </cfRule>
  </conditionalFormatting>
  <conditionalFormatting sqref="D255:I256 L255:T256 V255:AD256">
    <cfRule type="expression" dxfId="205" priority="168">
      <formula>$Q255:$Q364="APOYO"</formula>
    </cfRule>
    <cfRule type="expression" dxfId="204" priority="169">
      <formula>$G255:$G364="Sí"</formula>
    </cfRule>
  </conditionalFormatting>
  <conditionalFormatting sqref="D259:I259 L259:T259 V259:AD259">
    <cfRule type="expression" dxfId="203" priority="160">
      <formula>$Q259:$Q365="APOYO"</formula>
    </cfRule>
    <cfRule type="expression" dxfId="202" priority="161">
      <formula>$G259:$G365="Sí"</formula>
    </cfRule>
  </conditionalFormatting>
  <conditionalFormatting sqref="D260:I260 L260:T260 V260:AD260">
    <cfRule type="expression" dxfId="200" priority="183">
      <formula>$Q260:$Q368="APOYO"</formula>
    </cfRule>
    <cfRule type="expression" dxfId="201" priority="184">
      <formula>$G260:$G368="Sí"</formula>
    </cfRule>
  </conditionalFormatting>
  <conditionalFormatting sqref="D276:I279 L276:T279 V276:AD279">
    <cfRule type="expression" dxfId="198" priority="212">
      <formula>$G276:$G382="Sí"</formula>
    </cfRule>
    <cfRule type="expression" dxfId="199" priority="213">
      <formula>$Q276:$Q382="APOYO"</formula>
    </cfRule>
  </conditionalFormatting>
  <conditionalFormatting sqref="D280:I281 L280:T281 V280:AD281">
    <cfRule type="expression" dxfId="197" priority="77">
      <formula>$G280:$G385="Sí"</formula>
    </cfRule>
    <cfRule type="expression" dxfId="196" priority="209">
      <formula>$Q280:$Q385="APOYO"</formula>
    </cfRule>
  </conditionalFormatting>
  <conditionalFormatting sqref="D282:I285 L282:T285 V282:AD285">
    <cfRule type="expression" dxfId="194" priority="224">
      <formula>$G282:$G386="Sí"</formula>
    </cfRule>
    <cfRule type="expression" dxfId="195" priority="225">
      <formula>$Q282:$Q386="APOYO"</formula>
    </cfRule>
  </conditionalFormatting>
  <conditionalFormatting sqref="F111:F113 F120 F287">
    <cfRule type="expression" dxfId="193" priority="201">
      <formula>$Q111:$Q370="APOYO"</formula>
    </cfRule>
    <cfRule type="expression" dxfId="192" priority="202">
      <formula>$G111:$G370="Sí"</formula>
    </cfRule>
  </conditionalFormatting>
  <conditionalFormatting sqref="F126">
    <cfRule type="expression" dxfId="191" priority="170">
      <formula>$Q126:$Q384="APOYO"</formula>
    </cfRule>
    <cfRule type="expression" dxfId="190" priority="171">
      <formula>$G126:$G384="Sí"</formula>
    </cfRule>
  </conditionalFormatting>
  <conditionalFormatting sqref="F192">
    <cfRule type="expression" dxfId="189" priority="230">
      <formula>$Q192:$Q453="APOYO"</formula>
    </cfRule>
    <cfRule type="expression" dxfId="188" priority="231">
      <formula>$G192:$G453="Sí"</formula>
    </cfRule>
  </conditionalFormatting>
  <conditionalFormatting sqref="G27">
    <cfRule type="expression" dxfId="186" priority="7">
      <formula>$G27:$G284="Sí"</formula>
    </cfRule>
    <cfRule type="expression" dxfId="187" priority="8">
      <formula>$Q27:$Q284="APOYO"</formula>
    </cfRule>
  </conditionalFormatting>
  <conditionalFormatting sqref="G190">
    <cfRule type="expression" dxfId="184" priority="11">
      <formula>$Q190:$Q371="APOYO"</formula>
    </cfRule>
    <cfRule type="expression" dxfId="185" priority="12">
      <formula>$G190:$G371="Sí"</formula>
    </cfRule>
  </conditionalFormatting>
  <conditionalFormatting sqref="H33">
    <cfRule type="expression" dxfId="182" priority="19">
      <formula>$G33:$G355="Sí"</formula>
    </cfRule>
    <cfRule type="expression" dxfId="183" priority="20">
      <formula>$Q33:$Q355="APOYO"</formula>
    </cfRule>
  </conditionalFormatting>
  <conditionalFormatting sqref="H35">
    <cfRule type="expression" dxfId="180" priority="17">
      <formula>$G35:$G357="Sí"</formula>
    </cfRule>
    <cfRule type="expression" dxfId="181" priority="18">
      <formula>$Q35:$Q357="APOYO"</formula>
    </cfRule>
  </conditionalFormatting>
  <conditionalFormatting sqref="H111:H113">
    <cfRule type="expression" dxfId="178" priority="15">
      <formula>$G111:$G433="Sí"</formula>
    </cfRule>
    <cfRule type="expression" dxfId="179" priority="16">
      <formula>$Q111:$Q433="APOYO"</formula>
    </cfRule>
  </conditionalFormatting>
  <conditionalFormatting sqref="H187">
    <cfRule type="expression" dxfId="176" priority="13">
      <formula>$G187:$G509="Sí"</formula>
    </cfRule>
    <cfRule type="expression" dxfId="177" priority="14">
      <formula>$Q187:$Q509="APOYO"</formula>
    </cfRule>
  </conditionalFormatting>
  <conditionalFormatting sqref="H190">
    <cfRule type="expression" dxfId="174" priority="9">
      <formula>$G190:$G512="Sí"</formula>
    </cfRule>
    <cfRule type="expression" dxfId="175" priority="10">
      <formula>$Q190:$Q512="APOYO"</formula>
    </cfRule>
  </conditionalFormatting>
  <conditionalFormatting sqref="H27:T27">
    <cfRule type="expression" dxfId="172" priority="5">
      <formula>$G27:$G349="Sí"</formula>
    </cfRule>
    <cfRule type="expression" dxfId="173" priority="6">
      <formula>$Q27:$Q349="APOYO"</formula>
    </cfRule>
  </conditionalFormatting>
  <conditionalFormatting sqref="I25:I26 I28 L205:T207 D205:I208 V205:AD208 L208:S208">
    <cfRule type="expression" dxfId="170" priority="53">
      <formula>$Q25:$Q202="APOYO"</formula>
    </cfRule>
    <cfRule type="expression" dxfId="171" priority="54">
      <formula>$G25:$G202="Sí"</formula>
    </cfRule>
  </conditionalFormatting>
  <conditionalFormatting sqref="I41">
    <cfRule type="expression" dxfId="168" priority="187">
      <formula>$Q41:$Q368="APOYO"</formula>
    </cfRule>
    <cfRule type="expression" dxfId="169" priority="188">
      <formula>$G41:$G368="Sí"</formula>
    </cfRule>
  </conditionalFormatting>
  <conditionalFormatting sqref="I62">
    <cfRule type="expression" dxfId="166" priority="43">
      <formula>$Q62:$Q239="APOYO"</formula>
    </cfRule>
    <cfRule type="expression" dxfId="167" priority="44">
      <formula>$G62:$G239="Sí"</formula>
    </cfRule>
  </conditionalFormatting>
  <conditionalFormatting sqref="I190 D190:F191 L190:S197 V190:AD204 G191:I192 D192:E192 D193:I204 L198:T204">
    <cfRule type="expression" dxfId="164" priority="57">
      <formula>$Q190:$Q368="APOYO"</formula>
    </cfRule>
    <cfRule type="expression" dxfId="165" priority="58">
      <formula>$G190:$G368="Sí"</formula>
    </cfRule>
  </conditionalFormatting>
  <conditionalFormatting sqref="J13 U22:U23 I23:I24 I30:I35 I38:I40">
    <cfRule type="expression" dxfId="163" priority="75">
      <formula>$Q13:$Q338="APOYO"</formula>
    </cfRule>
    <cfRule type="expression" dxfId="162" priority="76">
      <formula>$G13:$G338="Sí"</formula>
    </cfRule>
  </conditionalFormatting>
  <conditionalFormatting sqref="J52:K61 C52:C66 J63:K66 U66:U69 J181:K218 C182:C219 K330:K340 U368:U385 U405:U437 K418:K419 K428 K430 U444 U448 K455:K456 U457:U458 U460:U461 U465:U467 K468 U475 U480 K480:K498">
    <cfRule type="expression" dxfId="161" priority="135">
      <formula>$G52:$G368="Sí"</formula>
    </cfRule>
  </conditionalFormatting>
  <conditionalFormatting sqref="J52:K61 C52:C66 J63:K66 U66:U69 J181:K218 C182:C219 K337 U368:U385 U405:U437 K418:K419 K428 K430 U444 U448 K455:K456 U457:U458 U460:U461 U465:U467 K468 U475 U480 K480:K498">
    <cfRule type="expression" dxfId="160" priority="134">
      <formula>$Q52:$Q368="APOYO"</formula>
    </cfRule>
  </conditionalFormatting>
  <conditionalFormatting sqref="J62:K62 P386:P395 P438:P443 P445:P456 P459 P462:P464 P468:P474 P476:P498">
    <cfRule type="expression" dxfId="159" priority="176">
      <formula>$G62:$G383="Sí"</formula>
    </cfRule>
    <cfRule type="expression" dxfId="158" priority="177">
      <formula>$Q62:$Q383="APOYO"</formula>
    </cfRule>
  </conditionalFormatting>
  <conditionalFormatting sqref="J261:K329 K330:K336 K338:K340">
    <cfRule type="expression" dxfId="157" priority="235">
      <formula>$Q261:$Q577="APOYO"</formula>
    </cfRule>
  </conditionalFormatting>
  <conditionalFormatting sqref="J261:K329">
    <cfRule type="expression" dxfId="156" priority="234">
      <formula>$G261:$G577="Sí"</formula>
    </cfRule>
  </conditionalFormatting>
  <conditionalFormatting sqref="J35:S35">
    <cfRule type="expression" dxfId="155" priority="117">
      <formula>$Q35:$Q354="APOYO"</formula>
    </cfRule>
  </conditionalFormatting>
  <conditionalFormatting sqref="J23:T23 V11:AA11 AC11:AD11 D11:J12 L12:T20 V12:AD20 D13:I13 C13:C20 D14:J20 C23:H24 V23:AD24 J24:S24 U24">
    <cfRule type="expression" dxfId="154" priority="109">
      <formula>$G11:$G335="Sí"</formula>
    </cfRule>
  </conditionalFormatting>
  <conditionalFormatting sqref="J23:T23">
    <cfRule type="expression" dxfId="153" priority="108">
      <formula>$Q23:$Q347="APOYO"</formula>
    </cfRule>
  </conditionalFormatting>
  <conditionalFormatting sqref="K7:K10 K28">
    <cfRule type="expression" dxfId="152" priority="132">
      <formula>$Q6:$Q329="APOYO"</formula>
    </cfRule>
    <cfRule type="expression" dxfId="151" priority="133">
      <formula>$G6:$G329="Sí"</formula>
    </cfRule>
  </conditionalFormatting>
  <conditionalFormatting sqref="K11">
    <cfRule type="expression" dxfId="150" priority="180">
      <formula>$G11:$G335="Sí"</formula>
    </cfRule>
  </conditionalFormatting>
  <conditionalFormatting sqref="K12:K20">
    <cfRule type="expression" dxfId="148" priority="204">
      <formula>$Q11:$Q336="APOYO"</formula>
    </cfRule>
    <cfRule type="expression" dxfId="149" priority="205">
      <formula>$G11:$G336="Sí"</formula>
    </cfRule>
  </conditionalFormatting>
  <conditionalFormatting sqref="K38">
    <cfRule type="expression" dxfId="147" priority="174">
      <formula>$Q37:$Q357="APOYO"</formula>
    </cfRule>
    <cfRule type="expression" dxfId="146" priority="175">
      <formula>$G37:$G357="Sí"</formula>
    </cfRule>
  </conditionalFormatting>
  <conditionalFormatting sqref="K341:K348">
    <cfRule type="expression" dxfId="144" priority="240">
      <formula>$Q340:$Q658="APOYO"</formula>
    </cfRule>
    <cfRule type="expression" dxfId="145" priority="241">
      <formula>$G340:$G658="Sí"</formula>
    </cfRule>
  </conditionalFormatting>
  <conditionalFormatting sqref="K370 K373">
    <cfRule type="expression" dxfId="142" priority="242">
      <formula>$Q370:$Q692="APOYO"</formula>
    </cfRule>
    <cfRule type="expression" dxfId="141" priority="243">
      <formula>$G370:$G692="Sí"</formula>
    </cfRule>
    <cfRule type="expression" dxfId="140" priority="244">
      <formula>$Q370:$Q692="APOYO"</formula>
    </cfRule>
    <cfRule type="expression" dxfId="143" priority="245">
      <formula>$G370:$G692="Sí"</formula>
    </cfRule>
  </conditionalFormatting>
  <conditionalFormatting sqref="K11:S11">
    <cfRule type="expression" dxfId="139" priority="153">
      <formula>$Q11:$Q335="APOYO"</formula>
    </cfRule>
  </conditionalFormatting>
  <conditionalFormatting sqref="L11:S11">
    <cfRule type="expression" dxfId="138" priority="152">
      <formula>$G11:$G335="Sí"</formula>
    </cfRule>
  </conditionalFormatting>
  <conditionalFormatting sqref="L88:S89 V88:AD92 D88:I94 L90:T94 V93:Y93 AB93:AD93 V94:AD94">
    <cfRule type="expression" dxfId="137" priority="123">
      <formula>$G88:$G348="Sí"</formula>
    </cfRule>
    <cfRule type="expression" dxfId="136" priority="124">
      <formula>$Q88:$Q348="APOYO"</formula>
    </cfRule>
  </conditionalFormatting>
  <conditionalFormatting sqref="L162:S162 W162:AD162">
    <cfRule type="expression" dxfId="135" priority="104">
      <formula>$Q162:$Q348="APOYO"</formula>
    </cfRule>
    <cfRule type="expression" dxfId="134" priority="105">
      <formula>$G162:$G348="Sí"</formula>
    </cfRule>
  </conditionalFormatting>
  <conditionalFormatting sqref="L261:S261 G261:I264 V261:AD268 D261:F275 L262:T264 G265:H273 L265:S273 V269:AA269 AC269:AD269 V270:AD275 G274:I275 L274:T275">
    <cfRule type="expression" dxfId="133" priority="93">
      <formula>$Q261:$Q368="APOYO"</formula>
    </cfRule>
    <cfRule type="expression" dxfId="132" priority="94">
      <formula>$G261:$G368="Sí"</formula>
    </cfRule>
  </conditionalFormatting>
  <conditionalFormatting sqref="L52:T53 D52:I58 V52:AD58 L54:S54 L55:T57 L58:S58">
    <cfRule type="expression" dxfId="131" priority="144">
      <formula>$Q52:$Q329="APOYO"</formula>
    </cfRule>
    <cfRule type="expression" dxfId="130" priority="145">
      <formula>$G52:$G329="Sí"</formula>
    </cfRule>
  </conditionalFormatting>
  <conditionalFormatting sqref="L66:T69 D66:F83 G66:I84 V66:AD84 L70:S70 L71:T80 L81:S81 L82:T84 D84:E84 T88:T89 S404">
    <cfRule type="expression" dxfId="128" priority="97">
      <formula>$Q66:$Q329="APOYO"</formula>
    </cfRule>
    <cfRule type="expression" dxfId="129" priority="98">
      <formula>$G66:$G329="Sí"</formula>
    </cfRule>
  </conditionalFormatting>
  <conditionalFormatting sqref="L141:T148 D141:I159 V141:AD159 L149:S149 L150:T150 L151:S154 L155:T155 L156:S159 V160:V166">
    <cfRule type="expression" dxfId="127" priority="99">
      <formula>$Q141:$Q329="APOYO"</formula>
    </cfRule>
    <cfRule type="expression" dxfId="126" priority="100">
      <formula>$G141:$G329="Sí"</formula>
    </cfRule>
  </conditionalFormatting>
  <conditionalFormatting sqref="L189:T189">
    <cfRule type="expression" dxfId="125" priority="164">
      <formula>$Q189:$Q365="APOYO"</formula>
    </cfRule>
    <cfRule type="expression" dxfId="124" priority="165">
      <formula>$G189:$G365="Sí"</formula>
    </cfRule>
  </conditionalFormatting>
  <conditionalFormatting sqref="L210:T211 D211:I211 V211:AD211">
    <cfRule type="expression" dxfId="123" priority="220">
      <formula>$Q210:$Q385="APOYO"</formula>
    </cfRule>
    <cfRule type="expression" dxfId="122" priority="221">
      <formula>$G210:$G385="Sí"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121" priority="228">
      <formula>$G286:$G396="Sí"</formula>
    </cfRule>
  </conditionalFormatting>
  <conditionalFormatting sqref="P366:P367 T404">
    <cfRule type="expression" dxfId="120" priority="214">
      <formula>$G366:$G686="Sí"</formula>
    </cfRule>
    <cfRule type="expression" dxfId="119" priority="215">
      <formula>$Q366:$Q686="APOYO"</formula>
    </cfRule>
  </conditionalFormatting>
  <conditionalFormatting sqref="P396:P403">
    <cfRule type="expression" dxfId="117" priority="246">
      <formula>$G396:$G711="Sí"</formula>
    </cfRule>
    <cfRule type="expression" dxfId="118" priority="247">
      <formula>$Q396:$Q711="APOYO"</formula>
    </cfRule>
  </conditionalFormatting>
  <conditionalFormatting sqref="Q357:S357">
    <cfRule type="expression" dxfId="115" priority="210">
      <formula>$Q357:$Q679="APOYO"</formula>
    </cfRule>
    <cfRule type="expression" dxfId="116" priority="211">
      <formula>$G357:$G679="Sí"</formula>
    </cfRule>
  </conditionalFormatting>
  <conditionalFormatting sqref="Q476:S498 W476:AA498 AC476:AD498 L481:O498 D482:J498">
    <cfRule type="expression" dxfId="114" priority="23">
      <formula>$Q476:$Q799="APOYO"</formula>
    </cfRule>
    <cfRule type="expression" dxfId="113" priority="24">
      <formula>$G476:$G799="Sí"</formula>
    </cfRule>
  </conditionalFormatting>
  <conditionalFormatting sqref="Q349:T350 V349:AD350 D349:O354 Q351:S351 V351:AA351 AC351:AD351 Q352:T354 V352:AD354 C357:C365 P368:P377 C378 P379:P385 P405:P437 P444 P457:P458 P460:P461 P465:P467 P475">
    <cfRule type="expression" dxfId="112" priority="236">
      <formula>$G349:$G668="Sí"</formula>
    </cfRule>
    <cfRule type="expression" dxfId="111" priority="237">
      <formula>$Q349:$Q668="APOYO"</formula>
    </cfRule>
  </conditionalFormatting>
  <conditionalFormatting sqref="Q355:T356 V355:AD356 D355:O364 V357:AA357 AC357:AD357 V358:AD358 Q358:T364 W359:AD359 V360:AD362 W363:AD363 V364:AD364 D366:F367 I366:I367 K366:K367 M366:O367 Q366:S367 W366:AA367 AC366:AD367">
    <cfRule type="expression" dxfId="110" priority="232">
      <formula>$G355:$G677="Sí"</formula>
    </cfRule>
    <cfRule type="expression" dxfId="109" priority="233">
      <formula>$Q355:$Q677="APOYO"</formula>
    </cfRule>
  </conditionalFormatting>
  <conditionalFormatting sqref="T6 C7:J10 L7:T10 V7:AD10 C11:C12 T21:T22 T24:T25 T30:T40">
    <cfRule type="expression" dxfId="108" priority="65">
      <formula>$G6:$G328="Sí"</formula>
    </cfRule>
    <cfRule type="expression" dxfId="107" priority="66">
      <formula>$Q6:$Q328="APOYO"</formula>
    </cfRule>
  </conditionalFormatting>
  <conditionalFormatting sqref="T11">
    <cfRule type="expression" dxfId="106" priority="63">
      <formula>$G11:$G333="Sí"</formula>
    </cfRule>
    <cfRule type="expression" dxfId="105" priority="64">
      <formula>$Q11:$Q333="APOYO"</formula>
    </cfRule>
  </conditionalFormatting>
  <conditionalFormatting sqref="T43">
    <cfRule type="expression" dxfId="104" priority="61">
      <formula>$G43:$G365="Sí"</formula>
    </cfRule>
    <cfRule type="expression" dxfId="103" priority="62">
      <formula>$Q43:$Q365="APOYO"</formula>
    </cfRule>
  </conditionalFormatting>
  <conditionalFormatting sqref="T48 T54 T58 T190:T197 T208:T209 T257 T261 T265:T273 T308 T310:T311 T386:T395 T438:T443 T445:T456 T459 T462:T464 T468:T474 T476:T498">
    <cfRule type="expression" dxfId="101" priority="59">
      <formula>$G48:$G372="Sí"</formula>
    </cfRule>
    <cfRule type="expression" dxfId="102" priority="60">
      <formula>$Q48:$Q372="APOYO"</formula>
    </cfRule>
  </conditionalFormatting>
  <conditionalFormatting sqref="T70 T81">
    <cfRule type="expression" dxfId="100" priority="226">
      <formula>$G70:$G397="Sí"</formula>
    </cfRule>
    <cfRule type="expression" dxfId="99" priority="227">
      <formula>$Q70:$Q397="APOYO"</formula>
    </cfRule>
  </conditionalFormatting>
  <conditionalFormatting sqref="T113">
    <cfRule type="expression" dxfId="98" priority="67">
      <formula>$Q113:$Q378="APOYO"</formula>
    </cfRule>
    <cfRule type="expression" dxfId="97" priority="68">
      <formula>$G113:$G378="Sí"</formula>
    </cfRule>
  </conditionalFormatting>
  <conditionalFormatting sqref="T152:T154 T156:T162 W163:AD166 D163:I169 L163:T169 V167:AD169">
    <cfRule type="expression" dxfId="95" priority="206">
      <formula>$Q152:$Q337="APOYO"</formula>
    </cfRule>
    <cfRule type="expression" dxfId="96" priority="207">
      <formula>$G152:$G337="Sí"</formula>
    </cfRule>
  </conditionalFormatting>
  <conditionalFormatting sqref="T180">
    <cfRule type="expression" dxfId="94" priority="41">
      <formula>$Q180:$Q365="APOYO"</formula>
    </cfRule>
    <cfRule type="expression" dxfId="93" priority="42">
      <formula>$G180:$G365="Sí"</formula>
    </cfRule>
  </conditionalFormatting>
  <conditionalFormatting sqref="U11:U20 C21:S22 V21:AD22">
    <cfRule type="expression" dxfId="91" priority="189">
      <formula>$Q11:$Q336="APOYO"</formula>
    </cfRule>
    <cfRule type="expression" dxfId="92" priority="208">
      <formula>$G11:$G336="Sí"</formula>
    </cfRule>
  </conditionalFormatting>
  <conditionalFormatting sqref="U21 AB386:AB388 AB390:AB395 AB438:AB443 AB445:AB447 AB449:AB456 AB459 AB462:AB464 AB468:AB474 AB476:AB479 AB481:AB498">
    <cfRule type="expression" dxfId="90" priority="78">
      <formula>$Q21:$Q347="APOYO"</formula>
    </cfRule>
    <cfRule type="expression" dxfId="89" priority="79">
      <formula>$G21:$G347="Sí"</formula>
    </cfRule>
  </conditionalFormatting>
  <conditionalFormatting sqref="U34:U43 U48:U49">
    <cfRule type="expression" dxfId="88" priority="69">
      <formula>$Q34:$Q354="APOYO"</formula>
    </cfRule>
    <cfRule type="expression" dxfId="87" priority="70">
      <formula>$G34:$G354="Sí"</formula>
    </cfRule>
  </conditionalFormatting>
  <conditionalFormatting sqref="U46:U47 C163:C179 J163:K179 U179:U180 U219:U348 C366:C367 U386:U388 U390:U395 U438:U443 U445:U447 U449:U456 U459 U462:U464 U468:U474 U476:U479 U481:U498">
    <cfRule type="expression" dxfId="85" priority="51">
      <formula>$Q46:$Q364="APOYO"</formula>
    </cfRule>
    <cfRule type="expression" dxfId="86" priority="52">
      <formula>$G46:$G364="Sí"</formula>
    </cfRule>
  </conditionalFormatting>
  <conditionalFormatting sqref="U50">
    <cfRule type="expression" dxfId="83" priority="185">
      <formula>$Q50:$Q365="APOYO"</formula>
    </cfRule>
    <cfRule type="expression" dxfId="84" priority="186">
      <formula>$G50:$G365="Sí"</formula>
    </cfRule>
  </conditionalFormatting>
  <conditionalFormatting sqref="U389">
    <cfRule type="expression" dxfId="81" priority="3">
      <formula>$Q389:$Q705="APOYO"</formula>
    </cfRule>
    <cfRule type="expression" dxfId="82" priority="4">
      <formula>$G389:$G705="Sí"</formula>
    </cfRule>
  </conditionalFormatting>
  <conditionalFormatting sqref="U396:U403">
    <cfRule type="expression" dxfId="80" priority="238">
      <formula>$Q396:$Q708="APOYO"</formula>
    </cfRule>
    <cfRule type="expression" dxfId="79" priority="239">
      <formula>$G396:$G708="Sí"</formula>
    </cfRule>
  </conditionalFormatting>
  <conditionalFormatting sqref="V6 D234:I240 L234:T240 V234:AD240">
    <cfRule type="expression" dxfId="78" priority="113">
      <formula>$Q6:$Q120="APOYO"</formula>
    </cfRule>
    <cfRule type="expression" dxfId="77" priority="114">
      <formula>$G6:$G120="Sí"</formula>
    </cfRule>
  </conditionalFormatting>
  <conditionalFormatting sqref="V253:Y253 AB253:AD253 D253:I254 L253:T254 V254:AD254 P349:P351">
    <cfRule type="expression" dxfId="75" priority="158">
      <formula>$Q253:$Q363="APOYO"</formula>
    </cfRule>
    <cfRule type="expression" dxfId="76" priority="159">
      <formula>$G253:$G363="Sí"</formula>
    </cfRule>
  </conditionalFormatting>
  <conditionalFormatting sqref="V11:AA11 AC11:AD11 D11:J12 L12:T20 V12:AD20 D13:I13 C13:C20 D14:J20 C23:H24 V23:AD24 J24:S24 U24">
    <cfRule type="expression" dxfId="74" priority="86">
      <formula>$Q11:$Q335="APOYO"</formula>
    </cfRule>
  </conditionalFormatting>
  <conditionalFormatting sqref="Z6:AA6">
    <cfRule type="expression" dxfId="72" priority="27">
      <formula>$Q6:$Q330="APOYO"</formula>
    </cfRule>
    <cfRule type="expression" dxfId="73" priority="28">
      <formula>$G6:$G330="Sí"</formula>
    </cfRule>
  </conditionalFormatting>
  <conditionalFormatting sqref="Z253:AA253">
    <cfRule type="expression" dxfId="70" priority="25">
      <formula>$Q253:$Q370="APOYO"</formula>
    </cfRule>
    <cfRule type="expression" dxfId="71" priority="26">
      <formula>$G253:$G370="Sí"</formula>
    </cfRule>
  </conditionalFormatting>
  <conditionalFormatting sqref="AB11">
    <cfRule type="expression" dxfId="69" priority="45">
      <formula>$Q11:$Q279="APOYO"</formula>
    </cfRule>
    <cfRule type="expression" dxfId="68" priority="46">
      <formula>$G11:$G279="Sí"</formula>
    </cfRule>
  </conditionalFormatting>
  <conditionalFormatting sqref="AB32">
    <cfRule type="expression" dxfId="67" priority="47">
      <formula>$Q32:$Q300="APOYO"</formula>
    </cfRule>
    <cfRule type="expression" dxfId="66" priority="48">
      <formula>$G32:$G300="Sí"</formula>
    </cfRule>
  </conditionalFormatting>
  <conditionalFormatting sqref="AB49">
    <cfRule type="expression" dxfId="65" priority="49">
      <formula>$Q49:$Q317="APOYO"</formula>
    </cfRule>
    <cfRule type="expression" dxfId="64" priority="50">
      <formula>$G49:$G317="Sí"</formula>
    </cfRule>
  </conditionalFormatting>
  <conditionalFormatting sqref="AB121">
    <cfRule type="expression" dxfId="63" priority="29">
      <formula>$Q121:$Q389="APOYO"</formula>
    </cfRule>
    <cfRule type="expression" dxfId="62" priority="30">
      <formula>$G121:$G389="Sí"</formula>
    </cfRule>
  </conditionalFormatting>
  <conditionalFormatting sqref="AB180 AB342 AB351 AB357 AB370:AB371 AB373:AB385 AB396:AB397 AB399 AB401:AB402 AB404 AB408:AB437 AB444 AB457:AB458 AB460:AB461 AB465:AB467 AB475">
    <cfRule type="expression" dxfId="61" priority="121">
      <formula>$Q180:$Q504="APOYO"</formula>
    </cfRule>
    <cfRule type="expression" dxfId="60" priority="122">
      <formula>$G180:$G504="Sí"</formula>
    </cfRule>
  </conditionalFormatting>
  <conditionalFormatting sqref="AB219 AB334 V386:V395 V438:V443 V445:V456 V459 V462:V464 V468:V474 V476:V498">
    <cfRule type="expression" dxfId="58" priority="37">
      <formula>$Q219:$Q544="APOYO"</formula>
    </cfRule>
    <cfRule type="expression" dxfId="59" priority="38">
      <formula>$G219:$G544="Sí"</formula>
    </cfRule>
  </conditionalFormatting>
  <conditionalFormatting sqref="AB220">
    <cfRule type="expression" dxfId="56" priority="21">
      <formula>$Q220:$Q330="APOYO"</formula>
    </cfRule>
    <cfRule type="expression" dxfId="57" priority="22">
      <formula>$G220:$G330="Sí"</formula>
    </cfRule>
  </conditionalFormatting>
  <conditionalFormatting sqref="AB389">
    <cfRule type="expression" dxfId="54" priority="1">
      <formula>$Q389:$Q713="APOYO"</formula>
    </cfRule>
    <cfRule type="expression" dxfId="55" priority="2">
      <formula>$G389:$G713="Sí"</formula>
    </cfRule>
  </conditionalFormatting>
  <conditionalFormatting sqref="AB448">
    <cfRule type="expression" dxfId="53" priority="33">
      <formula>$Q448:$Q716="APOYO"</formula>
    </cfRule>
    <cfRule type="expression" dxfId="52" priority="34">
      <formula>$G448:$G716="Sí"</formula>
    </cfRule>
  </conditionalFormatting>
  <conditionalFormatting sqref="AB480">
    <cfRule type="expression" dxfId="50" priority="31">
      <formula>$Q480:$Q748="APOYO"</formula>
    </cfRule>
    <cfRule type="expression" dxfId="51" priority="32">
      <formula>$G480:$G748="Sí"</formula>
    </cfRule>
  </conditionalFormatting>
  <conditionalFormatting sqref="AD404">
    <cfRule type="expression" dxfId="48" priority="248">
      <formula>$Q404:$Q670="APOYO"</formula>
    </cfRule>
    <cfRule type="expression" dxfId="49" priority="249">
      <formula>$G404:$G670="Sí"</formula>
    </cfRule>
  </conditionalFormatting>
  <dataValidations count="1">
    <dataValidation type="date" showInputMessage="true" showErrorMessage="true" sqref="Y370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82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82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82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82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82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82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82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82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410" priority="396">
      <formula>$G7:$G372="Sí"</formula>
    </cfRule>
    <cfRule type="expression" dxfId="409" priority="395">
      <formula>$P7:$P372="APOYO"</formula>
    </cfRule>
  </conditionalFormatting>
  <conditionalFormatting sqref="B21:B71">
    <cfRule type="expression" dxfId="408" priority="379">
      <formula>$P21:$P385="APOYO"</formula>
    </cfRule>
    <cfRule type="expression" dxfId="407" priority="380">
      <formula>$G21:$G385="Sí"</formula>
    </cfRule>
  </conditionalFormatting>
  <conditionalFormatting sqref="C7:AD8 C9:K9 M9:AD9 C10:AD10 C11:S11 U11:AD11 D12:K12 M12:S12 U12:W12 Y12:AD12 C12:C74">
    <cfRule type="expression" dxfId="406" priority="93">
      <formula>$P7:$P375="APOYO"</formula>
    </cfRule>
    <cfRule type="expression" dxfId="405" priority="94">
      <formula>$G7:$G375="Sí"</formula>
    </cfRule>
  </conditionalFormatting>
  <conditionalFormatting sqref="D72:D74 N72:N74">
    <cfRule type="expression" dxfId="404" priority="97">
      <formula>$G72:$G394="Sí"</formula>
    </cfRule>
    <cfRule type="expression" dxfId="403" priority="98">
      <formula>$Q72:$Q394="APOYO"</formula>
    </cfRule>
  </conditionalFormatting>
  <conditionalFormatting sqref="D51:F51 M51">
    <cfRule type="expression" dxfId="402" priority="89">
      <formula>$Q51:$Q372="APOYO"</formula>
    </cfRule>
    <cfRule type="expression" dxfId="401" priority="90">
      <formula>$G51:$G372="Sí"</formula>
    </cfRule>
  </conditionalFormatting>
  <conditionalFormatting sqref="D58:F59 I58:I59 M58:M71 E60:E71">
    <cfRule type="expression" dxfId="400" priority="95">
      <formula>$Q58:$Q378="APOYO"</formula>
    </cfRule>
    <cfRule type="expression" dxfId="399" priority="96">
      <formula>$G58:$G378="Sí"</formula>
    </cfRule>
  </conditionalFormatting>
  <conditionalFormatting sqref="D33:J33">
    <cfRule type="expression" dxfId="398" priority="82">
      <formula>$G33:$G398="Sí"</formula>
    </cfRule>
    <cfRule type="expression" dxfId="397" priority="81">
      <formula>$P33:$P398="APOYO"</formula>
    </cfRule>
  </conditionalFormatting>
  <conditionalFormatting sqref="D42:AC42 D43:J44 L43:AA44 AC43:AD44 D45:AD45 D46:J47 L46:AA47 AC46:AD47 X48:X49 J49 G49:G52 D50:F50 L50:N50 H50:J51 Q50:W51 Y50:AA51 AC50:AD51 N51 L51:L56 Q52 R53:R56 T61:T62">
    <cfRule type="expression" dxfId="396" priority="78">
      <formula>$G42:$G405="Sí"</formula>
    </cfRule>
    <cfRule type="expression" dxfId="395" priority="77">
      <formula>$P42:$P405="APOYO"</formula>
    </cfRule>
  </conditionalFormatting>
  <conditionalFormatting sqref="D13:AD14 D15:K15 M15:AA15 AC15:AD15 D16:AD21 K25 K32:K33 K40:K41">
    <cfRule type="expression" dxfId="394" priority="55">
      <formula>$P13:$P380="APOYO"</formula>
    </cfRule>
    <cfRule type="expression" dxfId="393" priority="56">
      <formula>$G13:$G380="Sí"</formula>
    </cfRule>
  </conditionalFormatting>
  <conditionalFormatting sqref="D22:AD24 D25:J25 M25:AA25 AC25:AD25 D26:AD29 D30:S30 U30:AA30 AC30:AD31 D31:AA31 D32:F32 I32:J32 L32:AD32">
    <cfRule type="expression" dxfId="392" priority="75">
      <formula>$P22:$P388="APOYO"</formula>
    </cfRule>
    <cfRule type="expression" dxfId="391" priority="76">
      <formula>$G22:$G388="Sí"</formula>
    </cfRule>
  </conditionalFormatting>
  <conditionalFormatting sqref="D39:AD39 D40:J41 L40:AA41 AC40:AD41 D48:W48 Y48:AC49 D49:F49 H49:I49 K49:N49 Q49:W49">
    <cfRule type="expression" dxfId="390" priority="80">
      <formula>$G39:$G403="Sí"</formula>
    </cfRule>
    <cfRule type="expression" dxfId="389" priority="79">
      <formula>$P39:$P403="APOYO"</formula>
    </cfRule>
  </conditionalFormatting>
  <conditionalFormatting sqref="E72:E74 M72:M74">
    <cfRule type="expression" dxfId="388" priority="84">
      <formula>$G72:$G391="Sí"</formula>
    </cfRule>
    <cfRule type="expression" dxfId="387" priority="83">
      <formula>$Q72:$Q391="APOYO"</formula>
    </cfRule>
  </conditionalFormatting>
  <conditionalFormatting sqref="F71">
    <cfRule type="expression" dxfId="386" priority="8">
      <formula>$G71:$G435="Sí"</formula>
    </cfRule>
    <cfRule type="expression" dxfId="385" priority="7">
      <formula>$P71:$P435="APOYO"</formula>
    </cfRule>
  </conditionalFormatting>
  <conditionalFormatting sqref="F60:I60 D60:D71 N60:N71">
    <cfRule type="expression" dxfId="384" priority="88">
      <formula>$Q60:$Q383="APOYO"</formula>
    </cfRule>
    <cfRule type="expression" dxfId="383" priority="87">
      <formula>$G60:$G383="Sí"</formula>
    </cfRule>
  </conditionalFormatting>
  <conditionalFormatting sqref="F72:K74 O72:P74 S72:AD74">
    <cfRule type="expression" dxfId="382" priority="67">
      <formula>$P72:$P432="APOYO"</formula>
    </cfRule>
    <cfRule type="expression" dxfId="381" priority="68">
      <formula>$G72:$G432="Sí"</formula>
    </cfRule>
  </conditionalFormatting>
  <conditionalFormatting sqref="G32:H32">
    <cfRule type="expression" dxfId="380" priority="69">
      <formula>$P32:$P397="APOYO"</formula>
    </cfRule>
    <cfRule type="expression" dxfId="379" priority="70">
      <formula>$G32:$G397="Sí"</formula>
    </cfRule>
  </conditionalFormatting>
  <conditionalFormatting sqref="G61:I61">
    <cfRule type="expression" dxfId="378" priority="66">
      <formula>$G61:$G425="Sí"</formula>
    </cfRule>
    <cfRule type="expression" dxfId="377" priority="65">
      <formula>$P61:$P425="APOYO"</formula>
    </cfRule>
  </conditionalFormatting>
  <conditionalFormatting sqref="K43">
    <cfRule type="expression" dxfId="376" priority="53">
      <formula>$P43:$P409="APOYO"</formula>
    </cfRule>
    <cfRule type="expression" dxfId="375" priority="54">
      <formula>$G43:$G409="Sí"</formula>
    </cfRule>
  </conditionalFormatting>
  <conditionalFormatting sqref="K44">
    <cfRule type="expression" dxfId="374" priority="64">
      <formula>$G44:$G409="Sí"</formula>
    </cfRule>
    <cfRule type="expression" dxfId="373" priority="63">
      <formula>$P44:$P409="APOYO"</formula>
    </cfRule>
  </conditionalFormatting>
  <conditionalFormatting sqref="K46">
    <cfRule type="expression" dxfId="372" priority="62">
      <formula>$G46:$G411="Sí"</formula>
    </cfRule>
    <cfRule type="expression" dxfId="371" priority="61">
      <formula>$P46:$P411="APOYO"</formula>
    </cfRule>
  </conditionalFormatting>
  <conditionalFormatting sqref="K47">
    <cfRule type="expression" dxfId="370" priority="52">
      <formula>$G47:$G413="Sí"</formula>
    </cfRule>
    <cfRule type="expression" dxfId="369" priority="51">
      <formula>$P47:$P413="APOYO"</formula>
    </cfRule>
  </conditionalFormatting>
  <conditionalFormatting sqref="K50">
    <cfRule type="expression" dxfId="368" priority="60">
      <formula>$G50:$G415="Sí"</formula>
    </cfRule>
    <cfRule type="expression" dxfId="367" priority="59">
      <formula>$P50:$P415="APOYO"</formula>
    </cfRule>
  </conditionalFormatting>
  <conditionalFormatting sqref="K51">
    <cfRule type="expression" dxfId="366" priority="50">
      <formula>$G51:$G417="Sí"</formula>
    </cfRule>
    <cfRule type="expression" dxfId="365" priority="49">
      <formula>$P51:$P417="APOYO"</formula>
    </cfRule>
  </conditionalFormatting>
  <conditionalFormatting sqref="K56:K57">
    <cfRule type="expression" dxfId="364" priority="57">
      <formula>$P56:$P422="APOYO"</formula>
    </cfRule>
    <cfRule type="expression" dxfId="363" priority="58">
      <formula>$G56:$G422="Sí"</formula>
    </cfRule>
  </conditionalFormatting>
  <conditionalFormatting sqref="L9">
    <cfRule type="expression" dxfId="362" priority="36">
      <formula>$G9:$G373="Sí"</formula>
    </cfRule>
    <cfRule type="expression" dxfId="361" priority="35">
      <formula>$P9:$P373="APOYO"</formula>
    </cfRule>
  </conditionalFormatting>
  <conditionalFormatting sqref="L12">
    <cfRule type="expression" dxfId="360" priority="30">
      <formula>$G12:$G376="Sí"</formula>
    </cfRule>
    <cfRule type="expression" dxfId="359" priority="29">
      <formula>$P12:$P376="APOYO"</formula>
    </cfRule>
  </conditionalFormatting>
  <conditionalFormatting sqref="L15">
    <cfRule type="expression" dxfId="358" priority="27">
      <formula>$P15:$P379="APOYO"</formula>
    </cfRule>
    <cfRule type="expression" dxfId="357" priority="28">
      <formula>$G15:$G379="Sí"</formula>
    </cfRule>
  </conditionalFormatting>
  <conditionalFormatting sqref="L25">
    <cfRule type="expression" dxfId="356" priority="32">
      <formula>$G25:$G389="Sí"</formula>
    </cfRule>
    <cfRule type="expression" dxfId="355" priority="31">
      <formula>$P25:$P389="APOYO"</formula>
    </cfRule>
  </conditionalFormatting>
  <conditionalFormatting sqref="L71">
    <cfRule type="expression" dxfId="354" priority="33">
      <formula>$P71:$P434="APOYO"</formula>
    </cfRule>
    <cfRule type="expression" dxfId="353" priority="34">
      <formula>$G71:$G434="Sí"</formula>
    </cfRule>
  </conditionalFormatting>
  <conditionalFormatting sqref="L33:AD33 D34:AD37 D38:R38 T38:AD38 AD42 AD48:AD49 K61:K62">
    <cfRule type="expression" dxfId="352" priority="91">
      <formula>$P33:$P398="APOYO"</formula>
    </cfRule>
    <cfRule type="expression" dxfId="351" priority="92">
      <formula>$G33:$G398="Sí"</formula>
    </cfRule>
  </conditionalFormatting>
  <conditionalFormatting sqref="O49:P52 X50:X51 D52:F52 H52:K52 M52:N52 R52:S52 U52:AA52 AC52:AD52 D53:K55 S53:AD55 M53:Q56 D56:J56 U56:W56 Y56:AD56 T56:T57 R57 L57:L70 R59:R71 Q61:Q71">
    <cfRule type="expression" dxfId="350" priority="73">
      <formula>$P49:$P411="APOYO"</formula>
    </cfRule>
    <cfRule type="expression" dxfId="349" priority="74">
      <formula>$G49:$G411="Sí"</formula>
    </cfRule>
  </conditionalFormatting>
  <conditionalFormatting sqref="S38">
    <cfRule type="expression" dxfId="348" priority="48">
      <formula>$G38:$G404="Sí"</formula>
    </cfRule>
    <cfRule type="expression" dxfId="347" priority="47">
      <formula>$P38:$P404="APOYO"</formula>
    </cfRule>
  </conditionalFormatting>
  <conditionalFormatting sqref="S56">
    <cfRule type="expression" dxfId="346" priority="45">
      <formula>$P56:$P421="APOYO"</formula>
    </cfRule>
    <cfRule type="expression" dxfId="345" priority="46">
      <formula>$G56:$G421="Sí"</formula>
    </cfRule>
  </conditionalFormatting>
  <conditionalFormatting sqref="S71">
    <cfRule type="expression" dxfId="344" priority="2">
      <formula>$G71:$G435="Sí"</formula>
    </cfRule>
    <cfRule type="expression" dxfId="343" priority="1">
      <formula>$P71:$P435="APOYO"</formula>
    </cfRule>
  </conditionalFormatting>
  <conditionalFormatting sqref="T11:T12">
    <cfRule type="expression" dxfId="342" priority="42">
      <formula>$G11:$G378="Sí"</formula>
    </cfRule>
    <cfRule type="expression" dxfId="341" priority="41">
      <formula>$P11:$P378="APOYO"</formula>
    </cfRule>
  </conditionalFormatting>
  <conditionalFormatting sqref="T30">
    <cfRule type="expression" dxfId="340" priority="5">
      <formula>$P30:$P394="APOYO"</formula>
    </cfRule>
    <cfRule type="expression" dxfId="339" priority="6">
      <formula>$G30:$G394="Sí"</formula>
    </cfRule>
  </conditionalFormatting>
  <conditionalFormatting sqref="T52">
    <cfRule type="expression" dxfId="338" priority="38">
      <formula>$G52:$G415="Sí"</formula>
    </cfRule>
    <cfRule type="expression" dxfId="337" priority="37">
      <formula>$P52:$P415="APOYO"</formula>
    </cfRule>
  </conditionalFormatting>
  <conditionalFormatting sqref="T65">
    <cfRule type="expression" dxfId="336" priority="71">
      <formula>$P65:$P427="APOYO"</formula>
    </cfRule>
    <cfRule type="expression" dxfId="335" priority="72">
      <formula>$G65:$G427="Sí"</formula>
    </cfRule>
  </conditionalFormatting>
  <conditionalFormatting sqref="T71">
    <cfRule type="expression" dxfId="334" priority="40">
      <formula>$G71:$G433="Sí"</formula>
    </cfRule>
    <cfRule type="expression" dxfId="333" priority="39">
      <formula>$P71:$P433="APOYO"</formula>
    </cfRule>
  </conditionalFormatting>
  <conditionalFormatting sqref="X12">
    <cfRule type="expression" dxfId="332" priority="44">
      <formula>$G12:$G379="Sí"</formula>
    </cfRule>
    <cfRule type="expression" dxfId="331"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30" priority="85">
      <formula>$P56:$P417="APOYO"</formula>
    </cfRule>
    <cfRule type="expression" dxfId="329" priority="86">
      <formula>$G56:$G417="Sí"</formula>
    </cfRule>
  </conditionalFormatting>
  <conditionalFormatting sqref="AB15">
    <cfRule type="expression" dxfId="328" priority="26">
      <formula>$G15:$G383="Sí"</formula>
    </cfRule>
    <cfRule type="expression" dxfId="327" priority="25">
      <formula>$P15:$P383="APOYO"</formula>
    </cfRule>
  </conditionalFormatting>
  <conditionalFormatting sqref="AB25">
    <cfRule type="expression" dxfId="326" priority="24">
      <formula>$G25:$G393="Sí"</formula>
    </cfRule>
    <cfRule type="expression" dxfId="325" priority="23">
      <formula>$P25:$P393="APOYO"</formula>
    </cfRule>
  </conditionalFormatting>
  <conditionalFormatting sqref="AB30:AB31">
    <cfRule type="expression" dxfId="324" priority="4">
      <formula>$G30:$G398="Sí"</formula>
    </cfRule>
    <cfRule type="expression" dxfId="323" priority="3">
      <formula>$P30:$P398="APOYO"</formula>
    </cfRule>
  </conditionalFormatting>
  <conditionalFormatting sqref="AB40:AB41">
    <cfRule type="expression" dxfId="322" priority="19">
      <formula>$P40:$P408="APOYO"</formula>
    </cfRule>
    <cfRule type="expression" dxfId="321" priority="20">
      <formula>$G40:$G408="Sí"</formula>
    </cfRule>
  </conditionalFormatting>
  <conditionalFormatting sqref="AB43:AB44">
    <cfRule type="expression" dxfId="320" priority="18">
      <formula>$G43:$G411="Sí"</formula>
    </cfRule>
    <cfRule type="expression" dxfId="319" priority="17">
      <formula>$P43:$P411="APOYO"</formula>
    </cfRule>
  </conditionalFormatting>
  <conditionalFormatting sqref="AB46:AB47">
    <cfRule type="expression" dxfId="318" priority="16">
      <formula>$G46:$G414="Sí"</formula>
    </cfRule>
    <cfRule type="expression" dxfId="317" priority="15">
      <formula>$P46:$P414="APOYO"</formula>
    </cfRule>
  </conditionalFormatting>
  <conditionalFormatting sqref="AB50:AB52">
    <cfRule type="expression" dxfId="316" priority="14">
      <formula>$G50:$G418="Sí"</formula>
    </cfRule>
    <cfRule type="expression" dxfId="315" priority="13">
      <formula>$P50:$P418="APOYO"</formula>
    </cfRule>
  </conditionalFormatting>
  <conditionalFormatting sqref="AB61:AB62">
    <cfRule type="expression" dxfId="314" priority="12">
      <formula>$G61:$G429="Sí"</formula>
    </cfRule>
    <cfRule type="expression" dxfId="313" priority="11">
      <formula>$P61:$P429="APOYO"</formula>
    </cfRule>
  </conditionalFormatting>
  <conditionalFormatting sqref="AB71">
    <cfRule type="expression" dxfId="312" priority="10">
      <formula>$G71:$G439="Sí"</formula>
    </cfRule>
    <cfRule type="expression" dxfId="311"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9"/>
  <sheetViews>
    <sheetView zoomScale="101" workbookViewId="0">
      <selection sqref="A1:T9"/>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c r="B5" t="s">
        <v>49</v>
      </c>
      <c r="C5" t="s">
        <v>1037</v>
      </c>
      <c r="D5" t="s">
        <v>1108</v>
      </c>
      <c r="E5" t="s">
        <v>694</v>
      </c>
      <c r="F5" t="s">
        <v>1112</v>
      </c>
      <c r="G5" t="s">
        <v>167</v>
      </c>
      <c r="H5" t="s">
        <v>2229</v>
      </c>
      <c r="I5" t="s">
        <v>992</v>
      </c>
      <c r="J5" t="s">
        <v>126</v>
      </c>
      <c r="K5" t="s">
        <v>29</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2230</v>
      </c>
      <c r="I9" t="s">
        <v>143</v>
      </c>
      <c r="J9" t="s">
        <v>125</v>
      </c>
      <c r="K9" t="s">
        <v>992</v>
      </c>
      <c r="L9" t="s">
        <v>992</v>
      </c>
      <c r="M9" t="s">
        <v>992</v>
      </c>
      <c r="N9" t="s">
        <v>992</v>
      </c>
      <c r="O9" t="s">
        <v>992</v>
      </c>
      <c r="P9" t="s">
        <v>992</v>
      </c>
      <c r="Q9" t="s">
        <v>992</v>
      </c>
      <c r="R9" t="s">
        <v>992</v>
      </c>
      <c r="S9" t="s">
        <v>992</v>
      </c>
      <c r="T9" t="s">
        <v>992</v>
      </c>
      <c r="U9" t="s">
        <v>1420</v>
      </c>
    </row>
  </sheetData>
  <phoneticPr fontId="6" type="noConversion"/>
  <conditionalFormatting sqref="B10:P17">
    <cfRule type="expression" dxfId="310" priority="43">
      <formula>$F10:$F34="APOYO"</formula>
    </cfRule>
    <cfRule type="expression" dxfId="309" priority="44">
      <formula>#REF!="Sí"</formula>
    </cfRule>
  </conditionalFormatting>
  <conditionalFormatting sqref="B2:B9">
    <cfRule type="expression" dxfId="15" priority="15">
      <formula>$H2:$H3="APOYO"</formula>
    </cfRule>
    <cfRule type="expression" dxfId="14" priority="16">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tabSelected="true" zoomScale="89" zoomScaleNormal="64" workbookViewId="0">
      <selection activeCell="Q215" sqref="Q215"/>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cm="1">
        <f t="array" ref="I2:I995">+IF('Seguimiento entrevistas'!V6:V999&lt;&gt;"",'Seguimiento entrevistas'!V6:V999,"")</f>
        <v>46120</v>
      </c>
      <c r="J2" s="2" cm="1">
        <f t="array" ref="J2:J995">+IF('Seguimiento entrevistas'!W6:W999&lt;&gt;"",'Seguimiento entrevistas'!W6:W999,"")</f>
        <v>46184</v>
      </c>
      <c r="K2" s="2" t="str" cm="1">
        <f t="array" ref="K2:K995">+IF('Seguimiento entrevistas'!X6:X999&lt;&gt;"",'Seguimiento entrevistas'!X6:X999,"")</f>
        <v/>
      </c>
      <c r="L2" s="1" t="str" cm="1">
        <f t="array" ref="L2:L995">+IF('Seguimiento entrevistas'!U6:U999&lt;&gt;"",'Seguimiento entrevistas'!U6:U999,"")</f>
        <v>Realizada completa</v>
      </c>
      <c r="M2" s="2" cm="1">
        <f t="array" ref="M2:M995">+IF('Seguimiento entrevistas'!Z6:Z999&lt;&gt;"",'Seguimiento entrevistas'!Z6:Z999,"")</f>
        <v>46188</v>
      </c>
      <c r="N2" s="2" cm="1">
        <f t="array" ref="N2:N995">+IF('Seguimiento entrevistas'!AA6:AA999&lt;&gt;"",'Seguimiento entrevistas'!AA6:AA999,"")</f>
        <v>46188</v>
      </c>
      <c r="O2" s="1" t="str" cm="1">
        <f t="array" ref="O2:O995">+IF('Seguimiento entrevistas'!U6:U999&lt;&gt;"",'Seguimiento entrevistas'!U6:U999,"")</f>
        <v>Realizada completa</v>
      </c>
      <c r="P2" s="1"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v>2</v>
      </c>
      <c r="B3" s="1" t="str">
        <v>Isabel López Meza</v>
      </c>
      <c r="C3" s="1" t="str">
        <v>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v>3</v>
      </c>
      <c r="B4" s="1" t="str">
        <v>Víctor García</v>
      </c>
      <c r="C4" s="1" t="str">
        <v>Plan International</v>
      </c>
      <c r="D4" s="1" t="str">
        <v>Entrevista de actores clave</v>
      </c>
      <c r="E4" s="1" t="str">
        <v>Multilaterales</v>
      </c>
      <c r="F4" s="1" t="str">
        <v>Nacional</v>
      </c>
      <c r="G4" s="1" t="str">
        <v>IJM</v>
      </c>
      <c r="H4" s="1" t="str">
        <v>Sí</v>
      </c>
      <c r="I4" s="2">
        <v>46147</v>
      </c>
      <c r="J4" s="2">
        <v>46184</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v>4</v>
      </c>
      <c r="B5" s="1" t="str">
        <v>Marlene Molero Suárez</v>
      </c>
      <c r="C5" s="1" t="str">
        <v>Care Perú</v>
      </c>
      <c r="D5" s="1" t="str">
        <v>Entrevista de actores clave</v>
      </c>
      <c r="E5" s="1" t="str">
        <v>Multilaterales</v>
      </c>
      <c r="F5" s="1" t="str">
        <v>Nacional</v>
      </c>
      <c r="G5" s="1" t="str">
        <v>IJM</v>
      </c>
      <c r="H5" s="1" t="str">
        <v>No</v>
      </c>
      <c r="I5" s="2">
        <v>46100</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v>5</v>
      </c>
      <c r="B6" s="1" t="str">
        <v>Marilú Martens Cortés</v>
      </c>
      <c r="C6" s="1" t="str">
        <v>Care Perú</v>
      </c>
      <c r="D6" s="1" t="str">
        <v>Entrevista de actores clave</v>
      </c>
      <c r="E6" s="1" t="str">
        <v>Multilaterales</v>
      </c>
      <c r="F6" s="1" t="str">
        <v>Nacional</v>
      </c>
      <c r="G6" s="1" t="str">
        <v>IJM</v>
      </c>
      <c r="H6" s="1" t="str">
        <v>Sí</v>
      </c>
      <c r="I6" s="2">
        <v>46100</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v>6</v>
      </c>
      <c r="B7" s="1" t="str">
        <v>Rafael Casas</v>
      </c>
      <c r="C7" s="1" t="str">
        <v>Aldeas Infantiles SOS</v>
      </c>
      <c r="D7" s="1" t="str">
        <v>Entrevista de actores clave</v>
      </c>
      <c r="E7" s="1" t="str">
        <v>Multilaterales</v>
      </c>
      <c r="F7" s="1" t="str">
        <v>Nacional</v>
      </c>
      <c r="G7" s="1" t="str">
        <v>IJM</v>
      </c>
      <c r="H7" s="1" t="str">
        <v>Sí</v>
      </c>
      <c r="I7" s="2">
        <v>46100</v>
      </c>
      <c r="J7" s="2">
        <v>46104</v>
      </c>
      <c r="K7" s="2" t="str">
        <v/>
      </c>
      <c r="L7" s="1" t="str">
        <v>Realizada completa</v>
      </c>
      <c r="M7" s="2">
        <v>46150</v>
      </c>
      <c r="N7" s="2">
        <v>46150</v>
      </c>
      <c r="O7" s="1" t="str">
        <v>Realizada completa</v>
      </c>
      <c r="P7" s="1">
        <v>45</v>
      </c>
      <c r="Q7" s="1" t="str">
        <v>A distancia asistido</v>
      </c>
      <c r="R7" s="1">
        <f t="shared" si="0"/>
        <v>1</v>
      </c>
      <c r="S7" s="1">
        <f t="shared" si="1"/>
        <v>0</v>
      </c>
      <c r="T7" s="1">
        <f t="shared" si="2"/>
        <v>0</v>
      </c>
      <c r="U7" s="1">
        <f t="shared" si="3"/>
        <v>1</v>
      </c>
      <c r="V7" s="1">
        <f t="shared" si="4"/>
        <v>0</v>
      </c>
    </row>
    <row r="8" x14ac:dyDescent="0.25">
      <c r="A8" s="1">
        <v>7</v>
      </c>
      <c r="B8" s="1" t="str">
        <v>Sonia Gleci Frisancho Pacheco</v>
      </c>
      <c r="C8" s="1" t="str">
        <v>Aldeas Infantiles SOS</v>
      </c>
      <c r="D8" s="1" t="str">
        <v>Entrevista de actores clave</v>
      </c>
      <c r="E8" s="1" t="str">
        <v>Multilaterales</v>
      </c>
      <c r="F8" s="1" t="str">
        <v>Nacional</v>
      </c>
      <c r="G8" s="1" t="str">
        <v>IJM</v>
      </c>
      <c r="H8" s="1" t="str">
        <v>No</v>
      </c>
      <c r="I8" s="2">
        <v>46100</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v>46104</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v>12</v>
      </c>
      <c r="B13" s="1" t="str">
        <v>Esteban Caballero</v>
      </c>
      <c r="C13" s="1" t="str">
        <v>UNFPA</v>
      </c>
      <c r="D13" s="1" t="str">
        <v>Entrevista de actores clave</v>
      </c>
      <c r="E13" s="1" t="str">
        <v>Multilaterales</v>
      </c>
      <c r="F13" s="1" t="str">
        <v>Distrito Judicial: Ucayali</v>
      </c>
      <c r="G13" s="1" t="str">
        <v>IJM</v>
      </c>
      <c r="H13" s="1" t="str">
        <v>No</v>
      </c>
      <c r="I13" s="2">
        <v>46104</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v>14</v>
      </c>
      <c r="B15" s="1" t="str">
        <v>Tomás Lopes-Teixeira</v>
      </c>
      <c r="C15" s="1" t="str">
        <v>Banco Interamericano de Desarrollo</v>
      </c>
      <c r="D15" s="1" t="str">
        <v>Entrevista de actores clave</v>
      </c>
      <c r="E15" s="1" t="str">
        <v>Multilaterales</v>
      </c>
      <c r="F15" s="1" t="str">
        <v>Nacional</v>
      </c>
      <c r="G15" s="1" t="str">
        <v>IJM</v>
      </c>
      <c r="H15" s="1" t="str">
        <v>No</v>
      </c>
      <c r="I15" s="2">
        <v>46104</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v>16</v>
      </c>
      <c r="B17" s="1" t="str">
        <v>Carlos Jesús Vilela</v>
      </c>
      <c r="C17" s="1" t="str">
        <v>Jurado Nacional de Elecciones</v>
      </c>
      <c r="D17" s="1" t="str">
        <v>Entrevista de actores clave</v>
      </c>
      <c r="E17" s="1" t="str">
        <v>Funcionarios del Sistema</v>
      </c>
      <c r="F17" s="1" t="str">
        <v>Nacional</v>
      </c>
      <c r="G17" s="1" t="str">
        <v>IJM</v>
      </c>
      <c r="H17" s="1" t="str">
        <v>Sí</v>
      </c>
      <c r="I17" s="2">
        <v>46101</v>
      </c>
      <c r="J17" s="2">
        <v>46122</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v>46147</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v>46126</v>
      </c>
      <c r="J19" s="2" t="str">
        <v/>
      </c>
      <c r="K19" s="2" t="str">
        <v/>
      </c>
      <c r="L19" s="1" t="str">
        <v>En coordinación</v>
      </c>
      <c r="M19" s="2" t="str">
        <v/>
      </c>
      <c r="N19" s="2" t="str">
        <v/>
      </c>
      <c r="O19" s="1" t="str">
        <v>En coordinación</v>
      </c>
      <c r="P19" s="1" t="str">
        <v/>
      </c>
      <c r="Q19" s="1" t="str">
        <v/>
      </c>
      <c r="R19" s="1">
        <f t="shared" si="0"/>
        <v>1</v>
      </c>
      <c r="S19" s="1">
        <f t="shared" si="1"/>
        <v>1</v>
      </c>
      <c r="T19" s="1">
        <f t="shared" si="2"/>
        <v>0</v>
      </c>
      <c r="U19" s="1">
        <f t="shared" si="3"/>
        <v>0</v>
      </c>
      <c r="V19" s="1">
        <f t="shared" si="4"/>
        <v>0</v>
      </c>
    </row>
    <row r="20" x14ac:dyDescent="0.25">
      <c r="A20" s="1">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v>46147</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v>20</v>
      </c>
      <c r="B21" s="1" t="str">
        <v>Doris Godoy Cortez</v>
      </c>
      <c r="C21" s="1" t="str">
        <v>Psicólogos</v>
      </c>
      <c r="D21" s="1" t="str">
        <v>Entrevista de actores clave</v>
      </c>
      <c r="E21" s="1" t="str">
        <v>Acompañantes</v>
      </c>
      <c r="F21" s="1" t="str">
        <v>Distrito Judicial: Huánuco</v>
      </c>
      <c r="G21" s="1" t="str">
        <v>IJM</v>
      </c>
      <c r="H21" s="1" t="str">
        <v>Sí</v>
      </c>
      <c r="I21" s="2">
        <v>46101</v>
      </c>
      <c r="J21" s="2" t="str">
        <v/>
      </c>
      <c r="K21" s="2" t="str">
        <v/>
      </c>
      <c r="L21" s="1" t="str">
        <v>Realizada completa</v>
      </c>
      <c r="M21" s="2">
        <v>46112</v>
      </c>
      <c r="N21" s="2">
        <v>46112</v>
      </c>
      <c r="O21" s="1" t="str">
        <v>Realizada completa</v>
      </c>
      <c r="P21" s="1">
        <v>60</v>
      </c>
      <c r="Q21" s="1" t="str">
        <v>A distancia asistido</v>
      </c>
      <c r="R21" s="1">
        <f t="shared" si="0"/>
        <v>1</v>
      </c>
      <c r="S21" s="1">
        <f t="shared" si="1"/>
        <v>0</v>
      </c>
      <c r="T21" s="1">
        <f t="shared" si="2"/>
        <v>0</v>
      </c>
      <c r="U21" s="1">
        <f t="shared" si="3"/>
        <v>1</v>
      </c>
      <c r="V21" s="1">
        <f t="shared" si="4"/>
        <v>0</v>
      </c>
    </row>
    <row r="22" x14ac:dyDescent="0.25">
      <c r="A22" s="1">
        <v>21</v>
      </c>
      <c r="B22" s="1" t="str">
        <v>Rosa Peña</v>
      </c>
      <c r="C22" s="1" t="str">
        <v>ONG: Kids Alive</v>
      </c>
      <c r="D22" s="1" t="str">
        <v>Entrevista de actores clave</v>
      </c>
      <c r="E22" s="1" t="str">
        <v>Actores locales</v>
      </c>
      <c r="F22" s="1" t="str">
        <v>Distrito Judicial: Ucayali</v>
      </c>
      <c r="G22" s="1" t="str">
        <v>IJM</v>
      </c>
      <c r="H22" s="1" t="str">
        <v>Sí</v>
      </c>
      <c r="I22" s="2">
        <v>46104</v>
      </c>
      <c r="J22" s="2" t="str">
        <v/>
      </c>
      <c r="K22" s="2" t="str">
        <v/>
      </c>
      <c r="L22" s="1" t="str">
        <v>Realizada completa</v>
      </c>
      <c r="M22" s="2">
        <v>46105</v>
      </c>
      <c r="N22" s="2">
        <v>46105</v>
      </c>
      <c r="O22" s="1" t="str">
        <v>Realizada completa</v>
      </c>
      <c r="P22" s="1">
        <v>42</v>
      </c>
      <c r="Q22" s="1" t="str">
        <v>A distancia asistido</v>
      </c>
      <c r="R22" s="1">
        <f t="shared" si="0"/>
        <v>1</v>
      </c>
      <c r="S22" s="1">
        <f t="shared" si="1"/>
        <v>0</v>
      </c>
      <c r="T22" s="1">
        <f t="shared" si="2"/>
        <v>0</v>
      </c>
      <c r="U22" s="1">
        <f t="shared" si="3"/>
        <v>1</v>
      </c>
      <c r="V22" s="1">
        <f t="shared" si="4"/>
        <v>0</v>
      </c>
    </row>
    <row r="23" x14ac:dyDescent="0.25">
      <c r="A23" s="1">
        <v>22</v>
      </c>
      <c r="B23" s="1" t="str">
        <v>Angie Vargas</v>
      </c>
      <c r="C23" s="1" t="str">
        <v>ONG: Movimiento Manuela Ramos</v>
      </c>
      <c r="D23" s="1" t="str">
        <v>Entrevista de actores clave</v>
      </c>
      <c r="E23" s="1" t="str">
        <v>Actores locales</v>
      </c>
      <c r="F23" s="1" t="str">
        <v>Nacional</v>
      </c>
      <c r="G23" s="1" t="str">
        <v>IJM</v>
      </c>
      <c r="H23" s="1" t="str">
        <v>Sí</v>
      </c>
      <c r="I23" s="2">
        <v>46104</v>
      </c>
      <c r="J23" s="2">
        <v>46105</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v>46104</v>
      </c>
      <c r="J24" s="2">
        <v>46147</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v>46104</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v>25</v>
      </c>
      <c r="B26" s="1" t="str">
        <v>Augusto Altamirano Vega</v>
      </c>
      <c r="C26" s="1" t="str">
        <v>Centros de Acogida Residencial</v>
      </c>
      <c r="D26" s="1" t="str">
        <v>Entrevista de actores clave</v>
      </c>
      <c r="E26" s="1" t="str">
        <v>Funcionarios del Sistema</v>
      </c>
      <c r="F26" s="1" t="str">
        <v>Distrito Judicial: Lima Norte</v>
      </c>
      <c r="G26" s="1" t="str">
        <v>IJM</v>
      </c>
      <c r="H26" s="1" t="str">
        <v>Sí</v>
      </c>
      <c r="I26" s="2">
        <v>46104</v>
      </c>
      <c r="J26" s="2">
        <v>46147</v>
      </c>
      <c r="K26" s="2">
        <v>46164</v>
      </c>
      <c r="L26" s="1" t="str">
        <v>Rechazada</v>
      </c>
      <c r="M26" s="2" t="str">
        <v/>
      </c>
      <c r="N26" s="2" t="str">
        <v/>
      </c>
      <c r="O26" s="1" t="str">
        <v>Rechazada</v>
      </c>
      <c r="P26" s="1" t="str">
        <v/>
      </c>
      <c r="Q26" s="1" t="str">
        <v/>
      </c>
      <c r="R26" s="1">
        <f t="shared" si="0"/>
        <v>1</v>
      </c>
      <c r="S26" s="1">
        <f t="shared" si="1"/>
        <v>0</v>
      </c>
      <c r="T26" s="1">
        <f t="shared" si="2"/>
        <v>0</v>
      </c>
      <c r="U26" s="1">
        <f t="shared" si="3"/>
        <v>0</v>
      </c>
      <c r="V26" s="1">
        <f t="shared" si="4"/>
        <v>0</v>
      </c>
    </row>
    <row r="27" x14ac:dyDescent="0.25">
      <c r="A27" s="1">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v>46147</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v>46147</v>
      </c>
      <c r="J28" s="2" t="str">
        <v/>
      </c>
      <c r="K28" s="2" t="str">
        <v/>
      </c>
      <c r="L28" s="1" t="str">
        <v>Realizada completa</v>
      </c>
      <c r="M28" s="2">
        <v>46167</v>
      </c>
      <c r="N28" s="2">
        <v>46167</v>
      </c>
      <c r="O28" s="1" t="str">
        <v>Realizada completa</v>
      </c>
      <c r="P28" s="1">
        <v>52</v>
      </c>
      <c r="Q28" s="1" t="str">
        <v>A distancia asistido</v>
      </c>
      <c r="R28" s="1">
        <f t="shared" si="0"/>
        <v>1</v>
      </c>
      <c r="S28" s="1">
        <f t="shared" si="1"/>
        <v>0</v>
      </c>
      <c r="T28" s="1">
        <f t="shared" si="2"/>
        <v>0</v>
      </c>
      <c r="U28" s="1">
        <f t="shared" si="3"/>
        <v>1</v>
      </c>
      <c r="V28" s="1">
        <f t="shared" si="4"/>
        <v>0</v>
      </c>
    </row>
    <row r="29" x14ac:dyDescent="0.25">
      <c r="A29" s="1">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v>46147</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v>29</v>
      </c>
      <c r="B30" s="1" t="str">
        <v>Israel Mendez Miguel</v>
      </c>
      <c r="C30" s="1" t="str">
        <v>Centros de Acogida Residencial</v>
      </c>
      <c r="D30" s="1" t="str">
        <v>Entrevista de actores clave</v>
      </c>
      <c r="E30" s="1" t="str">
        <v>Funcionarios del Sistema</v>
      </c>
      <c r="F30" s="1" t="str">
        <v>Nacional</v>
      </c>
      <c r="G30" s="1" t="str">
        <v>IJM</v>
      </c>
      <c r="H30" s="1" t="str">
        <v>Sí</v>
      </c>
      <c r="I30" s="2">
        <v>46147</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v>46147</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v>46147</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v>32</v>
      </c>
      <c r="B33" s="1" t="str">
        <v>Rocío Roncal Rojas</v>
      </c>
      <c r="C33" s="1" t="str">
        <v>Asociación Kallpa</v>
      </c>
      <c r="D33" s="1" t="str">
        <v>Entrevista de actores clave</v>
      </c>
      <c r="E33" s="1" t="str">
        <v>Actores locales</v>
      </c>
      <c r="F33" s="1" t="str">
        <v>Nacional</v>
      </c>
      <c r="G33" s="1" t="str">
        <v>IJM</v>
      </c>
      <c r="H33" s="1" t="str">
        <v>Sí</v>
      </c>
      <c r="I33" s="2">
        <v>46147</v>
      </c>
      <c r="J33" s="2">
        <v>46162</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v>46147</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v>34</v>
      </c>
      <c r="B35" s="1" t="str">
        <v>Coronel Ernesto Peña</v>
      </c>
      <c r="C35" s="1" t="str">
        <v>Jueces de Paz</v>
      </c>
      <c r="D35" s="1" t="str">
        <v>Entrevista de actores clave</v>
      </c>
      <c r="E35" s="1" t="str">
        <v>Funcionarios del Sistema</v>
      </c>
      <c r="F35" s="1" t="str">
        <v>Nacional</v>
      </c>
      <c r="G35" s="1" t="str">
        <v>IJM</v>
      </c>
      <c r="H35" s="1" t="str">
        <v>Sí</v>
      </c>
      <c r="I35" s="2">
        <v>46104</v>
      </c>
      <c r="J35" s="2">
        <v>46147</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v>35</v>
      </c>
      <c r="B36" s="1" t="str">
        <v>Fátima Joyo Zaga</v>
      </c>
      <c r="C36" s="1" t="str">
        <v>Jueces de Paz</v>
      </c>
      <c r="D36" s="1" t="str">
        <v>Entrevista de actores clave</v>
      </c>
      <c r="E36" s="1" t="str">
        <v>Funcionarios del Sistema</v>
      </c>
      <c r="F36" s="1" t="str">
        <v>Distrito Judicial: Cajamarca</v>
      </c>
      <c r="G36" s="1" t="str">
        <v>IJM</v>
      </c>
      <c r="H36" s="1" t="str">
        <v>Sí</v>
      </c>
      <c r="I36" s="2">
        <v>46147</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v>36</v>
      </c>
      <c r="B37" s="1" t="str">
        <v>Epifania Chagua Timoteo</v>
      </c>
      <c r="C37" s="1" t="str">
        <v>Jueces de Paz</v>
      </c>
      <c r="D37" s="1" t="str">
        <v>Entrevista de actores clave</v>
      </c>
      <c r="E37" s="1" t="str">
        <v>Funcionarios del Sistema</v>
      </c>
      <c r="F37" s="1" t="str">
        <v>Distrito Judicial: Apurímac</v>
      </c>
      <c r="G37" s="1" t="str">
        <v>IJM</v>
      </c>
      <c r="H37" s="1" t="str">
        <v>Sí</v>
      </c>
      <c r="I37" s="2">
        <v>46147</v>
      </c>
      <c r="J37" s="2">
        <v>46148</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v>37</v>
      </c>
      <c r="B38" s="1" t="str">
        <v>Banesa Farfan Saravia</v>
      </c>
      <c r="C38" s="1" t="str">
        <v>Asociación Sin Fines de Lucro Ñañaykuna</v>
      </c>
      <c r="D38" s="1" t="str">
        <v>Entrevista de actores clave</v>
      </c>
      <c r="E38" s="1" t="str">
        <v>Actores locales</v>
      </c>
      <c r="F38" s="1" t="str">
        <v>Nacional</v>
      </c>
      <c r="G38" s="1" t="str">
        <v>APOYO</v>
      </c>
      <c r="H38" s="1" t="str">
        <v>Sí</v>
      </c>
      <c r="I38" s="2">
        <v>46105</v>
      </c>
      <c r="J38" s="2" t="str">
        <v/>
      </c>
      <c r="K38" s="2" t="str">
        <v/>
      </c>
      <c r="L38" s="1" t="str">
        <v>Realizada completa</v>
      </c>
      <c r="M38" s="2">
        <v>46112</v>
      </c>
      <c r="N38" s="2">
        <v>46112</v>
      </c>
      <c r="O38" s="1" t="str">
        <v>Realizada completa</v>
      </c>
      <c r="P38" s="1">
        <v>55</v>
      </c>
      <c r="Q38" s="1" t="str">
        <v>A distancia asistido</v>
      </c>
      <c r="R38" s="1">
        <f t="shared" si="0"/>
        <v>1</v>
      </c>
      <c r="S38" s="1">
        <f t="shared" si="1"/>
        <v>0</v>
      </c>
      <c r="T38" s="1">
        <f t="shared" si="2"/>
        <v>0</v>
      </c>
      <c r="U38" s="1">
        <f t="shared" si="3"/>
        <v>1</v>
      </c>
      <c r="V38" s="1">
        <f t="shared" si="4"/>
        <v>0</v>
      </c>
    </row>
    <row r="39" x14ac:dyDescent="0.25">
      <c r="A39" s="1">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v>46147</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v>39</v>
      </c>
      <c r="B40" s="1" t="str">
        <v>Magali Aguilar</v>
      </c>
      <c r="C40" s="1" t="str">
        <v>Asociación Madres Luchando por Justicia</v>
      </c>
      <c r="D40" s="1" t="str">
        <v>Entrevista de actores clave</v>
      </c>
      <c r="E40" s="1" t="str">
        <v>Actores locales</v>
      </c>
      <c r="F40" s="1" t="str">
        <v>Nacional</v>
      </c>
      <c r="G40" s="1" t="str">
        <v>IJM</v>
      </c>
      <c r="H40" s="1" t="str">
        <v>Sí</v>
      </c>
      <c r="I40" s="2">
        <v>46104</v>
      </c>
      <c r="J40" s="2" t="str">
        <v/>
      </c>
      <c r="K40" s="2" t="str">
        <v/>
      </c>
      <c r="L40" s="1" t="str">
        <v>Realizada completa</v>
      </c>
      <c r="M40" s="2">
        <v>46105</v>
      </c>
      <c r="N40" s="2">
        <v>46105</v>
      </c>
      <c r="O40" s="1" t="str">
        <v>Realizada completa</v>
      </c>
      <c r="P40" s="1">
        <v>72</v>
      </c>
      <c r="Q40" s="1" t="str">
        <v>A distancia asistido</v>
      </c>
      <c r="R40" s="1">
        <f t="shared" si="0"/>
        <v>1</v>
      </c>
      <c r="S40" s="1">
        <f t="shared" si="1"/>
        <v>0</v>
      </c>
      <c r="T40" s="1">
        <f t="shared" si="2"/>
        <v>0</v>
      </c>
      <c r="U40" s="1">
        <f t="shared" si="3"/>
        <v>1</v>
      </c>
      <c r="V40" s="1">
        <f t="shared" si="4"/>
        <v>0</v>
      </c>
    </row>
    <row r="41" x14ac:dyDescent="0.25">
      <c r="A41" s="1">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v>41</v>
      </c>
      <c r="B42" s="1" t="str">
        <v>Flavia Martinez Tarazona</v>
      </c>
      <c r="C42" s="1" t="str">
        <v>Hablemos sin Tabúes</v>
      </c>
      <c r="D42" s="1" t="str">
        <v>Entrevista de actores clave</v>
      </c>
      <c r="E42" s="1" t="str">
        <v>Actores locales</v>
      </c>
      <c r="F42" s="1" t="str">
        <v>Nacional</v>
      </c>
      <c r="G42" s="1" t="str">
        <v>IJM</v>
      </c>
      <c r="H42" s="1" t="str">
        <v>Sí</v>
      </c>
      <c r="I42" s="2">
        <v>46118</v>
      </c>
      <c r="J42" s="2">
        <v>46147</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v>42</v>
      </c>
      <c r="B43" s="1" t="str">
        <v>Lorena Farroñan</v>
      </c>
      <c r="C43" s="1" t="str">
        <v>Tukuy Sunquywan Yanapsqayki</v>
      </c>
      <c r="D43" s="1" t="str">
        <v>Entrevista de actores clave</v>
      </c>
      <c r="E43" s="1" t="str">
        <v>Actores locales</v>
      </c>
      <c r="F43" s="1" t="str">
        <v>Nacional</v>
      </c>
      <c r="G43" s="1" t="str">
        <v>IJM</v>
      </c>
      <c r="H43" s="1" t="str">
        <v>Sí</v>
      </c>
      <c r="I43" s="2">
        <v>46104</v>
      </c>
      <c r="J43" s="2">
        <v>46129</v>
      </c>
      <c r="K43" s="2">
        <v>46147</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v>43</v>
      </c>
      <c r="B44" s="1" t="str">
        <v>Cecilia Ancajima</v>
      </c>
      <c r="C44" s="1" t="str">
        <v>Asociación La Casa de la Mujer</v>
      </c>
      <c r="D44" s="1" t="str">
        <v>Entrevista de actores clave</v>
      </c>
      <c r="E44" s="1" t="str">
        <v>Actores locales</v>
      </c>
      <c r="F44" s="1" t="str">
        <v>Nacional</v>
      </c>
      <c r="G44" s="1" t="str">
        <v>IJM</v>
      </c>
      <c r="H44" s="1" t="str">
        <v>Sí</v>
      </c>
      <c r="I44" s="2">
        <v>46147</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v>44</v>
      </c>
      <c r="B45" s="1" t="str">
        <v>Estrelia Nizama Ruiz</v>
      </c>
      <c r="C45" s="1" t="str">
        <v>Inppares</v>
      </c>
      <c r="D45" s="1" t="str">
        <v>Entrevista de actores clave</v>
      </c>
      <c r="E45" s="1" t="str">
        <v>Actores locales</v>
      </c>
      <c r="F45" s="1" t="str">
        <v>Nacional</v>
      </c>
      <c r="G45" s="1" t="str">
        <v>IJM</v>
      </c>
      <c r="H45" s="1" t="str">
        <v>Sí</v>
      </c>
      <c r="I45" s="2">
        <v>46129</v>
      </c>
      <c r="J45" s="2">
        <v>46147</v>
      </c>
      <c r="K45" s="2" t="str">
        <v/>
      </c>
      <c r="L45" s="1" t="str">
        <v>Realizada completa</v>
      </c>
      <c r="M45" s="2">
        <v>46163</v>
      </c>
      <c r="N45" s="2">
        <v>46163</v>
      </c>
      <c r="O45" s="1" t="str">
        <v>Realizada completa</v>
      </c>
      <c r="P45" s="1">
        <v>43</v>
      </c>
      <c r="Q45" s="1" t="str">
        <v>A distancia asistido</v>
      </c>
      <c r="R45" s="1">
        <f t="shared" si="0"/>
        <v>1</v>
      </c>
      <c r="S45" s="1">
        <f t="shared" si="1"/>
        <v>0</v>
      </c>
      <c r="T45" s="1">
        <f t="shared" si="2"/>
        <v>0</v>
      </c>
      <c r="U45" s="1">
        <f t="shared" si="3"/>
        <v>1</v>
      </c>
      <c r="V45" s="1">
        <f t="shared" si="4"/>
        <v>0</v>
      </c>
    </row>
    <row r="46" x14ac:dyDescent="0.25">
      <c r="A46" s="1">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v>46105</v>
      </c>
      <c r="J47" s="2" t="str">
        <v/>
      </c>
      <c r="K47" s="2" t="str">
        <v/>
      </c>
      <c r="L47" s="1" t="str">
        <v>Realizada completa</v>
      </c>
      <c r="M47" s="2">
        <v>46105</v>
      </c>
      <c r="N47" s="2">
        <v>46105</v>
      </c>
      <c r="O47" s="1" t="str">
        <v>Realizada completa</v>
      </c>
      <c r="P47" s="1">
        <v>43</v>
      </c>
      <c r="Q47" s="1" t="str">
        <v>A distancia asistido</v>
      </c>
      <c r="R47" s="1">
        <f t="shared" si="0"/>
        <v>1</v>
      </c>
      <c r="S47" s="1">
        <f t="shared" si="1"/>
        <v>0</v>
      </c>
      <c r="T47" s="1">
        <f t="shared" si="2"/>
        <v>0</v>
      </c>
      <c r="U47" s="1">
        <f t="shared" si="3"/>
        <v>1</v>
      </c>
      <c r="V47" s="1">
        <f t="shared" si="4"/>
        <v>0</v>
      </c>
    </row>
    <row r="48" x14ac:dyDescent="0.25">
      <c r="A48" s="1">
        <v>47</v>
      </c>
      <c r="B48" s="1" t="str">
        <v>Mendoza Barrantes Mericia</v>
      </c>
      <c r="C48" s="1" t="str">
        <v>Estrategias Rurales </v>
      </c>
      <c r="D48" s="1" t="str">
        <v>Entrevista de actores clave</v>
      </c>
      <c r="E48" s="1" t="str">
        <v>Actores locales</v>
      </c>
      <c r="F48" s="1" t="str">
        <v>Nacional</v>
      </c>
      <c r="G48" s="1" t="str">
        <v>IJM</v>
      </c>
      <c r="H48" s="1" t="str">
        <v>Sí</v>
      </c>
      <c r="I48" s="2">
        <v>46105</v>
      </c>
      <c r="J48" s="2">
        <v>46111</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v>48</v>
      </c>
      <c r="B49" s="1" t="str">
        <v>Calizaya Cruz Nicanor Efrain</v>
      </c>
      <c r="C49" s="1" t="str">
        <v>Estrategias Rurales </v>
      </c>
      <c r="D49" s="1" t="str">
        <v>Entrevista de actores clave</v>
      </c>
      <c r="E49" s="1" t="str">
        <v>Actores locales</v>
      </c>
      <c r="F49" s="1" t="str">
        <v>Nacional</v>
      </c>
      <c r="G49" s="1" t="str">
        <v>IJM</v>
      </c>
      <c r="H49" s="1" t="str">
        <v>Sí</v>
      </c>
      <c r="I49" s="2">
        <v>46105</v>
      </c>
      <c r="J49" s="2">
        <v>46111</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v>46147</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v>51</v>
      </c>
      <c r="B52" s="1" t="str">
        <v>Kathia Villar</v>
      </c>
      <c r="C52" s="1" t="str">
        <v>Asociación Amar C</v>
      </c>
      <c r="D52" s="1" t="str">
        <v>Entrevista de actores clave</v>
      </c>
      <c r="E52" s="1" t="str">
        <v>Actores locales</v>
      </c>
      <c r="F52" s="1" t="str">
        <v>Distrito Judicial: Lima Norte</v>
      </c>
      <c r="G52" s="1" t="str">
        <v>IJM</v>
      </c>
      <c r="H52" s="1" t="str">
        <v>Sí</v>
      </c>
      <c r="I52" s="2">
        <v>46105</v>
      </c>
      <c r="J52" s="2">
        <v>46107</v>
      </c>
      <c r="K52" s="2">
        <v>46147</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v>46105</v>
      </c>
      <c r="J53" s="2">
        <v>46118</v>
      </c>
      <c r="K53" s="2">
        <v>46119</v>
      </c>
      <c r="L53" s="1" t="str">
        <v>Realizada completa</v>
      </c>
      <c r="M53" s="2">
        <v>46119</v>
      </c>
      <c r="N53" s="2">
        <v>46119</v>
      </c>
      <c r="O53" s="1" t="str">
        <v>Realizada completa</v>
      </c>
      <c r="P53" s="1">
        <v>58</v>
      </c>
      <c r="Q53" s="1" t="str">
        <v>A distancia asistido</v>
      </c>
      <c r="R53" s="1">
        <f t="shared" si="0"/>
        <v>1</v>
      </c>
      <c r="S53" s="1">
        <f t="shared" si="1"/>
        <v>0</v>
      </c>
      <c r="T53" s="1">
        <f t="shared" si="2"/>
        <v>0</v>
      </c>
      <c r="U53" s="1">
        <f t="shared" si="3"/>
        <v>1</v>
      </c>
      <c r="V53" s="1">
        <f t="shared" si="4"/>
        <v>0</v>
      </c>
    </row>
    <row r="54" x14ac:dyDescent="0.25">
      <c r="A54" s="1">
        <v>53</v>
      </c>
      <c r="B54" s="1" t="str">
        <v>Alejandra Ballón-Gutiérrez</v>
      </c>
      <c r="C54" s="1" t="str">
        <v>Alfombra Roja</v>
      </c>
      <c r="D54" s="1" t="str">
        <v>Entrevista de actores clave</v>
      </c>
      <c r="E54" s="1" t="str">
        <v>Actores locales</v>
      </c>
      <c r="F54" s="1" t="str">
        <v>Distrito Judicial: Ucayali</v>
      </c>
      <c r="G54" s="1" t="str">
        <v>IJM</v>
      </c>
      <c r="H54" s="1" t="str">
        <v>Sí</v>
      </c>
      <c r="I54" s="2">
        <v>46147</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v>56</v>
      </c>
      <c r="B57" s="1" t="str">
        <v>Henry Mercado</v>
      </c>
      <c r="C57" s="1" t="str">
        <v>Abogados</v>
      </c>
      <c r="D57" s="1" t="str">
        <v>Entrevista de actores clave</v>
      </c>
      <c r="E57" s="1" t="str">
        <v>Acompañantes</v>
      </c>
      <c r="F57" s="1" t="str">
        <v>Distrito Judicial: Ayacucho</v>
      </c>
      <c r="G57" s="1" t="str">
        <v>IJM</v>
      </c>
      <c r="H57" s="1" t="str">
        <v>Sí</v>
      </c>
      <c r="I57" s="2">
        <v>46105</v>
      </c>
      <c r="J57" s="2">
        <v>46106</v>
      </c>
      <c r="K57" s="2" t="str">
        <v/>
      </c>
      <c r="L57" s="1" t="str">
        <v>Realizada completa</v>
      </c>
      <c r="M57" s="2">
        <v>46113</v>
      </c>
      <c r="N57" s="2">
        <v>46113</v>
      </c>
      <c r="O57" s="1" t="str">
        <v>Realizada completa</v>
      </c>
      <c r="P57" s="1">
        <v>34</v>
      </c>
      <c r="Q57" s="1" t="str">
        <v>A distancia asistido</v>
      </c>
      <c r="R57" s="1">
        <f t="shared" si="0"/>
        <v>1</v>
      </c>
      <c r="S57" s="1">
        <f t="shared" si="1"/>
        <v>0</v>
      </c>
      <c r="T57" s="1">
        <f t="shared" si="2"/>
        <v>0</v>
      </c>
      <c r="U57" s="1">
        <f t="shared" si="3"/>
        <v>1</v>
      </c>
      <c r="V57" s="1">
        <f t="shared" si="4"/>
        <v>0</v>
      </c>
    </row>
    <row r="58" x14ac:dyDescent="0.25">
      <c r="A58" s="1">
        <v>57</v>
      </c>
      <c r="B58" s="1" t="str">
        <v>Lorena Ruiz</v>
      </c>
      <c r="C58" s="1" t="str">
        <v>ONG: Kids Alive</v>
      </c>
      <c r="D58" s="1" t="str">
        <v>Entrevista de actores clave</v>
      </c>
      <c r="E58" s="1" t="str">
        <v>Actores locales</v>
      </c>
      <c r="F58" s="1" t="str">
        <v>Nacional</v>
      </c>
      <c r="G58" s="1" t="str">
        <v>IJM</v>
      </c>
      <c r="H58" s="1" t="str">
        <v>Sí</v>
      </c>
      <c r="I58" s="2">
        <v>46106</v>
      </c>
      <c r="J58" s="2" t="str">
        <v/>
      </c>
      <c r="K58" s="2" t="str">
        <v/>
      </c>
      <c r="L58" s="1" t="str">
        <v>Realizada completa</v>
      </c>
      <c r="M58" s="2">
        <v>46136</v>
      </c>
      <c r="N58" s="2">
        <v>46136</v>
      </c>
      <c r="O58" s="1" t="str">
        <v>Realizada completa</v>
      </c>
      <c r="P58" s="1">
        <v>42</v>
      </c>
      <c r="Q58" s="1" t="str">
        <v>A distancia asistido</v>
      </c>
      <c r="R58" s="1">
        <f t="shared" si="0"/>
        <v>1</v>
      </c>
      <c r="S58" s="1">
        <f t="shared" si="1"/>
        <v>0</v>
      </c>
      <c r="T58" s="1">
        <f t="shared" si="2"/>
        <v>0</v>
      </c>
      <c r="U58" s="1">
        <f t="shared" si="3"/>
        <v>1</v>
      </c>
      <c r="V58" s="1">
        <f t="shared" si="4"/>
        <v>0</v>
      </c>
    </row>
    <row r="59" x14ac:dyDescent="0.25">
      <c r="A59" s="1">
        <v>58</v>
      </c>
      <c r="B59" s="1" t="str">
        <v>María Ysabel Cedano</v>
      </c>
      <c r="C59" s="1" t="str">
        <v>Abogados</v>
      </c>
      <c r="D59" s="1" t="str">
        <v>Entrevista de actores clave</v>
      </c>
      <c r="E59" s="1" t="str">
        <v>Actores locales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v>46105</v>
      </c>
      <c r="J62" s="2">
        <v>46164</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v>46147</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v>46105</v>
      </c>
      <c r="J64" s="2">
        <v>46147</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v>46101</v>
      </c>
      <c r="J65" s="2">
        <v>46105</v>
      </c>
      <c r="K65" s="2" t="str">
        <v/>
      </c>
      <c r="L65" s="1" t="str">
        <v>En coordinación</v>
      </c>
      <c r="M65" s="2" t="str">
        <v/>
      </c>
      <c r="N65" s="2" t="str">
        <v/>
      </c>
      <c r="O65" s="1" t="str">
        <v>En coordinación</v>
      </c>
      <c r="P65" s="1" t="str">
        <v/>
      </c>
      <c r="Q65" s="1" t="str">
        <v/>
      </c>
      <c r="R65" s="1">
        <f t="shared" si="0"/>
        <v>1</v>
      </c>
      <c r="S65" s="1">
        <f t="shared" si="1"/>
        <v>1</v>
      </c>
      <c r="T65" s="1">
        <f t="shared" si="2"/>
        <v>0</v>
      </c>
      <c r="U65" s="1">
        <f t="shared" si="3"/>
        <v>0</v>
      </c>
      <c r="V65" s="1">
        <f t="shared" si="4"/>
        <v>0</v>
      </c>
    </row>
    <row r="66" x14ac:dyDescent="0.25">
      <c r="A66" s="1">
        <v>65</v>
      </c>
      <c r="B66" s="1" t="str">
        <v>Juan Carlos Villena Campana</v>
      </c>
      <c r="C66" s="1" t="str">
        <v>Ministerio Público (Fiscalía)</v>
      </c>
      <c r="D66" s="1" t="str">
        <v>Entrevista de actores clave</v>
      </c>
      <c r="E66" s="1" t="str">
        <v>Funcionarios del Sistema</v>
      </c>
      <c r="F66" s="1" t="str">
        <v>Nacional</v>
      </c>
      <c r="G66" s="1" t="str">
        <v>IJM</v>
      </c>
      <c r="H66" s="1" t="str">
        <v>Sí</v>
      </c>
      <c r="I66" s="2">
        <v>46147</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v>46147</v>
      </c>
      <c r="J67" s="2">
        <v>46162</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v>46147</v>
      </c>
      <c r="J68" s="2">
        <v>46162</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v>68</v>
      </c>
      <c r="B69" s="1" t="str">
        <v>Sofia Milla Meza</v>
      </c>
      <c r="C69" s="1" t="str">
        <v>Ministerio Público (Fiscalía)</v>
      </c>
      <c r="D69" s="1" t="str">
        <v>Entrevista de actores clave</v>
      </c>
      <c r="E69" s="1" t="str">
        <v>Funcionarios del Sistema</v>
      </c>
      <c r="F69" s="1" t="str">
        <v>Nacional</v>
      </c>
      <c r="G69" s="1" t="str">
        <v>IJM</v>
      </c>
      <c r="H69" s="1" t="str">
        <v>Sí</v>
      </c>
      <c r="I69" s="2">
        <v>46147</v>
      </c>
      <c r="J69" s="2">
        <v>46162</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v>46147</v>
      </c>
      <c r="J70" s="2">
        <v>46162</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v>46147</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v>46147</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v>46101</v>
      </c>
      <c r="J73" s="2">
        <v>46147</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v>46147</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v>46147</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v>46106</v>
      </c>
      <c r="J77" s="2">
        <v>46147</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v>46147</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v>46147</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v>46147</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v>46107</v>
      </c>
      <c r="J83" s="2">
        <v>46147</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v>46147</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v>46147</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v>46107</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v>46107</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v>46107</v>
      </c>
      <c r="J89" s="2" t="str">
        <v/>
      </c>
      <c r="K89" s="2" t="str">
        <v/>
      </c>
      <c r="L89" s="1" t="str">
        <v>Realizada completa</v>
      </c>
      <c r="M89" s="2">
        <v>46113</v>
      </c>
      <c r="N89" s="2">
        <v>46113</v>
      </c>
      <c r="O89" s="1" t="str">
        <v>Realizada completa</v>
      </c>
      <c r="P89" s="1">
        <v>42</v>
      </c>
      <c r="Q89" s="1" t="str">
        <v>A distancia asistido</v>
      </c>
      <c r="R89" s="1">
        <f t="shared" si="5"/>
        <v>1</v>
      </c>
      <c r="S89" s="1">
        <f t="shared" si="6"/>
        <v>0</v>
      </c>
      <c r="T89" s="1">
        <f t="shared" si="7"/>
        <v>0</v>
      </c>
      <c r="U89" s="1">
        <f t="shared" si="8"/>
        <v>1</v>
      </c>
      <c r="V89" s="1">
        <f t="shared" si="9"/>
        <v>0</v>
      </c>
    </row>
    <row r="90" x14ac:dyDescent="0.25">
      <c r="A90" s="1">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v>46107</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v>46107</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v>95</v>
      </c>
      <c r="B96" s="1" t="str">
        <v>Abilio Escobar Quispe</v>
      </c>
      <c r="C96" s="1" t="str">
        <v>Ministerio Público (Fiscalía)</v>
      </c>
      <c r="D96" s="1" t="str">
        <v>Entrevista de actores clave</v>
      </c>
      <c r="E96" s="1" t="str">
        <v>Funcionarios del Sistema</v>
      </c>
      <c r="F96" s="1" t="str">
        <v>Nacional</v>
      </c>
      <c r="G96" s="1" t="str">
        <v>IJM</v>
      </c>
      <c r="H96" s="1" t="str">
        <v>Sí</v>
      </c>
      <c r="I96" s="2">
        <v>46107</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v>46101</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v>46107</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v>46107</v>
      </c>
      <c r="J101" s="2" t="str">
        <v/>
      </c>
      <c r="K101" s="2" t="str">
        <v/>
      </c>
      <c r="L101" s="1" t="str">
        <v>En coordinación</v>
      </c>
      <c r="M101" s="2" t="str">
        <v/>
      </c>
      <c r="N101" s="2" t="str">
        <v/>
      </c>
      <c r="O101" s="1" t="str">
        <v>En coordinación</v>
      </c>
      <c r="P101" s="1" t="str">
        <v/>
      </c>
      <c r="Q101" s="1" t="str">
        <v/>
      </c>
      <c r="R101" s="1">
        <f t="shared" si="5"/>
        <v>1</v>
      </c>
      <c r="S101" s="1">
        <f t="shared" si="6"/>
        <v>1</v>
      </c>
      <c r="T101" s="1">
        <f t="shared" si="7"/>
        <v>0</v>
      </c>
      <c r="U101" s="1">
        <f t="shared" si="8"/>
        <v>0</v>
      </c>
      <c r="V101" s="1">
        <f t="shared" si="9"/>
        <v>0</v>
      </c>
    </row>
    <row r="102" x14ac:dyDescent="0.25">
      <c r="A102" s="1">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v>46107</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v>46101</v>
      </c>
      <c r="J105" s="2">
        <v>46107</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v>46147</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v>116</v>
      </c>
      <c r="B117" s="1" t="str">
        <v>Hermogenes Lima Chayña</v>
      </c>
      <c r="C117" s="1" t="str">
        <v>Poder Judicial</v>
      </c>
      <c r="D117" s="1" t="str">
        <v>Entrevista de actores clave</v>
      </c>
      <c r="E117" s="1" t="str">
        <v>Funcionarios del Sistema</v>
      </c>
      <c r="F117" s="1" t="str">
        <v>Nacional</v>
      </c>
      <c r="G117" s="1" t="str">
        <v>IJM</v>
      </c>
      <c r="H117" s="1" t="str">
        <v>Sí</v>
      </c>
      <c r="I117" s="2" t="str">
        <v/>
      </c>
      <c r="J117" s="2" t="str">
        <v/>
      </c>
      <c r="K117" s="2" t="str">
        <v/>
      </c>
      <c r="L117" s="1" t="str">
        <v>Realizada completa</v>
      </c>
      <c r="M117" s="2">
        <v>46214</v>
      </c>
      <c r="N117" s="2">
        <v>46214</v>
      </c>
      <c r="O117" s="1" t="str">
        <v>Realizada completa</v>
      </c>
      <c r="P117" s="1">
        <v>36</v>
      </c>
      <c r="Q117" s="1" t="str">
        <v>A distancia asistido</v>
      </c>
      <c r="R117" s="1">
        <f t="shared" si="5"/>
        <v>1</v>
      </c>
      <c r="S117" s="1">
        <f t="shared" si="6"/>
        <v>0</v>
      </c>
      <c r="T117" s="1">
        <f t="shared" si="7"/>
        <v>0</v>
      </c>
      <c r="U117" s="1">
        <f t="shared" si="8"/>
        <v>1</v>
      </c>
      <c r="V117" s="1">
        <f t="shared" si="9"/>
        <v>0</v>
      </c>
    </row>
    <row r="118" x14ac:dyDescent="0.25">
      <c r="A118" s="1">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v>46107</v>
      </c>
      <c r="J141" s="2">
        <v>46147</v>
      </c>
      <c r="K141" s="2">
        <v>46164</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v>46087</v>
      </c>
      <c r="J144" s="2">
        <v>46107</v>
      </c>
      <c r="K144" s="2">
        <v>46164</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v>46147</v>
      </c>
      <c r="J145" s="2">
        <v>46164</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v>46147</v>
      </c>
      <c r="J146" s="2">
        <v>46164</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v>46147</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v>46147</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v>46147</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v>46147</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v>46147</v>
      </c>
      <c r="J151" s="2" t="str">
        <v/>
      </c>
      <c r="K151" s="2" t="str">
        <v/>
      </c>
      <c r="L151" s="1" t="str">
        <v>En coordinación</v>
      </c>
      <c r="M151" s="2" t="str">
        <v/>
      </c>
      <c r="N151" s="2" t="str">
        <v/>
      </c>
      <c r="O151" s="1" t="str">
        <v>En coordinación</v>
      </c>
      <c r="P151" s="1" t="str">
        <v/>
      </c>
      <c r="Q151" s="1" t="str">
        <v/>
      </c>
      <c r="R151" s="1">
        <f t="shared" si="10"/>
        <v>1</v>
      </c>
      <c r="S151" s="1">
        <f t="shared" si="11"/>
        <v>1</v>
      </c>
      <c r="T151" s="1">
        <f t="shared" si="12"/>
        <v>0</v>
      </c>
      <c r="U151" s="1">
        <f t="shared" si="13"/>
        <v>0</v>
      </c>
      <c r="V151" s="1">
        <f t="shared" si="14"/>
        <v>0</v>
      </c>
    </row>
    <row r="152" x14ac:dyDescent="0.25">
      <c r="A152" s="1">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v>46147</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v>46147</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v>46147</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v>46147</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v>46147</v>
      </c>
      <c r="J156" s="2" t="str">
        <v/>
      </c>
      <c r="K156" s="2" t="str">
        <v/>
      </c>
      <c r="L156" s="1" t="str">
        <v>Realizada completa</v>
      </c>
      <c r="M156" s="2">
        <v>46154</v>
      </c>
      <c r="N156" s="2">
        <v>46154</v>
      </c>
      <c r="O156" s="1" t="str">
        <v>Realizada completa</v>
      </c>
      <c r="P156" s="1">
        <v>43</v>
      </c>
      <c r="Q156" s="1" t="str">
        <v>A distancia asistido</v>
      </c>
      <c r="R156" s="1">
        <f t="shared" si="10"/>
        <v>1</v>
      </c>
      <c r="S156" s="1">
        <f t="shared" si="11"/>
        <v>0</v>
      </c>
      <c r="T156" s="1">
        <f t="shared" si="12"/>
        <v>0</v>
      </c>
      <c r="U156" s="1">
        <f t="shared" si="13"/>
        <v>1</v>
      </c>
      <c r="V156" s="1">
        <f t="shared" si="14"/>
        <v>0</v>
      </c>
    </row>
    <row r="157" x14ac:dyDescent="0.25">
      <c r="A157" s="1">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v>46147</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v>46147</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v>46147</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v>46147</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v>46147</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v>46147</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v>46147</v>
      </c>
      <c r="J163" s="2">
        <v>46161</v>
      </c>
      <c r="K163" s="2" t="str">
        <v/>
      </c>
      <c r="L163" s="1" t="str">
        <v>En coordinación</v>
      </c>
      <c r="M163" s="2" t="str">
        <v/>
      </c>
      <c r="N163" s="2" t="str">
        <v/>
      </c>
      <c r="O163" s="1" t="str">
        <v>En coordinación</v>
      </c>
      <c r="P163" s="1" t="str">
        <v/>
      </c>
      <c r="Q163" s="1" t="str">
        <v/>
      </c>
      <c r="R163" s="1">
        <f t="shared" si="10"/>
        <v>1</v>
      </c>
      <c r="S163" s="1">
        <f t="shared" si="11"/>
        <v>1</v>
      </c>
      <c r="T163" s="1">
        <f t="shared" si="12"/>
        <v>0</v>
      </c>
      <c r="U163" s="1">
        <f t="shared" si="13"/>
        <v>0</v>
      </c>
      <c r="V163" s="1">
        <f t="shared" si="14"/>
        <v>0</v>
      </c>
    </row>
    <row r="164" x14ac:dyDescent="0.25">
      <c r="A164" s="1">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v>46147</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v>46188</v>
      </c>
      <c r="N176" s="2">
        <v>46188</v>
      </c>
      <c r="O176" s="1" t="str">
        <v>Realizada completa</v>
      </c>
      <c r="P176" s="1">
        <v>36</v>
      </c>
      <c r="Q176" s="1" t="str">
        <v>A distancia asistido</v>
      </c>
      <c r="R176" s="1">
        <f t="shared" si="10"/>
        <v>1</v>
      </c>
      <c r="S176" s="1">
        <f t="shared" si="11"/>
        <v>0</v>
      </c>
      <c r="T176" s="1">
        <f t="shared" si="12"/>
        <v>0</v>
      </c>
      <c r="U176" s="1">
        <f t="shared" si="13"/>
        <v>1</v>
      </c>
      <c r="V176" s="1">
        <f t="shared" si="14"/>
        <v>0</v>
      </c>
    </row>
    <row r="177" x14ac:dyDescent="0.25">
      <c r="A177" s="1">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v>46147</v>
      </c>
      <c r="J186" s="2">
        <v>46164</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v>46147</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v>46147</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v>188</v>
      </c>
      <c r="B189" s="1" t="str">
        <v>Felipe Vara Marquez</v>
      </c>
      <c r="C189" s="1" t="str">
        <v>Centros de Emergencia Mujer</v>
      </c>
      <c r="D189" s="1" t="str">
        <v>Entrevista de actores clave</v>
      </c>
      <c r="E189" s="1" t="str">
        <v>Funcionarios del Sistema</v>
      </c>
      <c r="F189" s="1" t="str">
        <v>Nacional</v>
      </c>
      <c r="G189" s="1" t="str">
        <v>IJM</v>
      </c>
      <c r="H189" s="1" t="str">
        <v>Sí</v>
      </c>
      <c r="I189" s="2">
        <v>46147</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v>46147</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v>46147</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v>46147</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v>46147</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v>203</v>
      </c>
      <c r="B204" s="1" t="str">
        <v>Melchora Milagros Ríos García</v>
      </c>
      <c r="C204" s="1" t="str">
        <v>Aurora</v>
      </c>
      <c r="D204" s="1" t="str">
        <v>Entrevista de actores clave</v>
      </c>
      <c r="E204" s="1" t="str">
        <v>Funcionarios del Sistema</v>
      </c>
      <c r="F204" s="1" t="str">
        <v>Nacional</v>
      </c>
      <c r="G204" s="1" t="str">
        <v>IJM</v>
      </c>
      <c r="H204" s="1" t="str">
        <v>Sí</v>
      </c>
      <c r="I204" s="2">
        <v>46147</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v>46147</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v>205</v>
      </c>
      <c r="B206" s="1" t="str">
        <v>Gerardo Alfonso Marín Lopez</v>
      </c>
      <c r="C206" s="1" t="str">
        <v>Aurora</v>
      </c>
      <c r="D206" s="1" t="str">
        <v>Entrevista de actores clave</v>
      </c>
      <c r="E206" s="1" t="str">
        <v>Funcionarios del Sistema</v>
      </c>
      <c r="F206" s="1" t="str">
        <v>Nacional</v>
      </c>
      <c r="G206" s="1" t="str">
        <v>IJM</v>
      </c>
      <c r="H206" s="1" t="str">
        <v>Sí</v>
      </c>
      <c r="I206" s="2">
        <v>46147</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v>46107</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v>46111</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v>46111</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v>214</v>
      </c>
      <c r="B215" s="1" t="str">
        <v>Mercedes Arce</v>
      </c>
      <c r="C215" s="1" t="str">
        <v>CHS Alternativo</v>
      </c>
      <c r="D215" s="1" t="str">
        <v>Entrevista de actores clave</v>
      </c>
      <c r="E215" s="1" t="str">
        <v>Actores locales</v>
      </c>
      <c r="F215" s="1" t="str">
        <v>Distrito Judicial: Loreto</v>
      </c>
      <c r="G215" s="1" t="str">
        <v>IJM</v>
      </c>
      <c r="H215" s="1" t="str">
        <v>Sí</v>
      </c>
      <c r="I215" s="2">
        <v>46198</v>
      </c>
      <c r="J215" s="2" t="str">
        <v/>
      </c>
      <c r="K215" s="2" t="str">
        <v/>
      </c>
      <c r="L215" s="1" t="str">
        <v>Realizada completa</v>
      </c>
      <c r="M215" s="2">
        <v>46203</v>
      </c>
      <c r="N215" s="2">
        <v>46203</v>
      </c>
      <c r="O215" s="1" t="str">
        <v>Realizada completa</v>
      </c>
      <c r="P215" s="1">
        <v>45</v>
      </c>
      <c r="Q215" s="1" t="str">
        <v>A distancia asistido</v>
      </c>
      <c r="R215" s="1">
        <f t="shared" si="15"/>
        <v>1</v>
      </c>
      <c r="S215" s="1">
        <f t="shared" si="16"/>
        <v>0</v>
      </c>
      <c r="T215" s="1">
        <f t="shared" si="17"/>
        <v>0</v>
      </c>
      <c r="U215" s="1">
        <f t="shared" si="18"/>
        <v>1</v>
      </c>
      <c r="V215" s="1">
        <f t="shared" si="19"/>
        <v>0</v>
      </c>
    </row>
    <row r="216" x14ac:dyDescent="0.25">
      <c r="A216" s="1">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v>46210</v>
      </c>
      <c r="N216" s="2">
        <v>46210</v>
      </c>
      <c r="O216" s="1" t="str">
        <v>Realizada completa</v>
      </c>
      <c r="P216" s="1">
        <v>41</v>
      </c>
      <c r="Q216" s="1" t="str">
        <v>A distancia asistido</v>
      </c>
      <c r="R216" s="1">
        <f t="shared" si="15"/>
        <v>1</v>
      </c>
      <c r="S216" s="1">
        <f t="shared" si="16"/>
        <v>0</v>
      </c>
      <c r="T216" s="1">
        <f t="shared" si="17"/>
        <v>0</v>
      </c>
      <c r="U216" s="1">
        <f t="shared" si="18"/>
        <v>1</v>
      </c>
      <c r="V216" s="1">
        <f t="shared" si="19"/>
        <v>0</v>
      </c>
    </row>
    <row r="217" x14ac:dyDescent="0.25">
      <c r="A217" s="1">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v>46120</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v>46120</v>
      </c>
      <c r="J249" s="2" t="str">
        <v/>
      </c>
      <c r="K249" s="2" t="str">
        <v/>
      </c>
      <c r="L249" s="1" t="str">
        <v>Realizada completa</v>
      </c>
      <c r="M249" s="2">
        <v>46121</v>
      </c>
      <c r="N249" s="2">
        <v>46121</v>
      </c>
      <c r="O249" s="1" t="str">
        <v>Realizada completa</v>
      </c>
      <c r="P249" s="1">
        <v>44</v>
      </c>
      <c r="Q249" s="1" t="str">
        <v>A distancia asistido</v>
      </c>
      <c r="R249" s="1">
        <f t="shared" si="15"/>
        <v>1</v>
      </c>
      <c r="S249" s="1">
        <f t="shared" si="16"/>
        <v>0</v>
      </c>
      <c r="T249" s="1">
        <f t="shared" si="17"/>
        <v>0</v>
      </c>
      <c r="U249" s="1">
        <f t="shared" si="18"/>
        <v>1</v>
      </c>
      <c r="V249" s="1">
        <f t="shared" si="19"/>
        <v>0</v>
      </c>
    </row>
    <row r="250" x14ac:dyDescent="0.25">
      <c r="A250" s="1">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v>46120</v>
      </c>
      <c r="J253" s="2" t="str">
        <v/>
      </c>
      <c r="K253" s="2" t="str">
        <v/>
      </c>
      <c r="L253" s="1" t="str">
        <v>Realizada completa</v>
      </c>
      <c r="M253" s="2">
        <v>46122</v>
      </c>
      <c r="N253" s="2">
        <v>46122</v>
      </c>
      <c r="O253" s="1" t="str">
        <v>Realizada completa</v>
      </c>
      <c r="P253" s="1">
        <v>52</v>
      </c>
      <c r="Q253" s="1" t="str">
        <v>A distancia asistido</v>
      </c>
      <c r="R253" s="1">
        <f t="shared" si="15"/>
        <v>1</v>
      </c>
      <c r="S253" s="1">
        <f t="shared" si="16"/>
        <v>0</v>
      </c>
      <c r="T253" s="1">
        <f t="shared" si="17"/>
        <v>0</v>
      </c>
      <c r="U253" s="1">
        <f t="shared" si="18"/>
        <v>1</v>
      </c>
      <c r="V253" s="1">
        <f t="shared" si="19"/>
        <v>0</v>
      </c>
    </row>
    <row r="254" x14ac:dyDescent="0.25">
      <c r="A254" s="1">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v>46122</v>
      </c>
      <c r="N256" s="2">
        <v>46122</v>
      </c>
      <c r="O256" s="1" t="str">
        <v>Realizada completa</v>
      </c>
      <c r="P256" s="1">
        <v>48</v>
      </c>
      <c r="Q256" s="1" t="str">
        <v>A distancia asistido</v>
      </c>
      <c r="R256" s="1">
        <f t="shared" si="15"/>
        <v>1</v>
      </c>
      <c r="S256" s="1">
        <f t="shared" si="16"/>
        <v>0</v>
      </c>
      <c r="T256" s="1">
        <f t="shared" si="17"/>
        <v>0</v>
      </c>
      <c r="U256" s="1">
        <f t="shared" si="18"/>
        <v>1</v>
      </c>
      <c r="V256" s="1">
        <f t="shared" si="19"/>
        <v>0</v>
      </c>
    </row>
    <row r="257" x14ac:dyDescent="0.25">
      <c r="A257" s="1">
        <v>256</v>
      </c>
      <c r="B257" s="1" t="str">
        <v>Leyden María Capa Barrios</v>
      </c>
      <c r="C257" s="1" t="str">
        <v>Orientadoras Judiciales</v>
      </c>
      <c r="D257" s="1" t="str">
        <v>Entrevista de actores clave</v>
      </c>
      <c r="E257" s="1" t="str">
        <v>Acompañantes</v>
      </c>
      <c r="F257" s="1" t="str">
        <v>Nacional</v>
      </c>
      <c r="G257" s="1" t="str">
        <v>IJM</v>
      </c>
      <c r="H257" s="1" t="str">
        <v>Sí</v>
      </c>
      <c r="I257" s="2">
        <v>46120</v>
      </c>
      <c r="J257" s="2" t="str">
        <v/>
      </c>
      <c r="K257" s="2" t="str">
        <v/>
      </c>
      <c r="L257" s="1" t="str">
        <v>Realizada completa</v>
      </c>
      <c r="M257" s="2">
        <v>46126</v>
      </c>
      <c r="N257" s="2">
        <v>46126</v>
      </c>
      <c r="O257" s="1" t="str">
        <v>Realizada completa</v>
      </c>
      <c r="P257" s="1">
        <v>45</v>
      </c>
      <c r="Q257" s="1" t="str">
        <v>A distancia asistido</v>
      </c>
      <c r="R257" s="1">
        <f t="shared" si="15"/>
        <v>1</v>
      </c>
      <c r="S257" s="1">
        <f t="shared" si="16"/>
        <v>0</v>
      </c>
      <c r="T257" s="1">
        <f t="shared" si="17"/>
        <v>0</v>
      </c>
      <c r="U257" s="1">
        <f t="shared" si="18"/>
        <v>1</v>
      </c>
      <c r="V257" s="1">
        <f t="shared" si="19"/>
        <v>0</v>
      </c>
    </row>
    <row r="258" x14ac:dyDescent="0.25">
      <c r="A258" s="1">
        <v>257</v>
      </c>
      <c r="B258" s="1" t="str">
        <v>Nancy Navarro</v>
      </c>
      <c r="C258" s="1" t="str">
        <v>Orientadoras Judiciales</v>
      </c>
      <c r="D258" s="1" t="str">
        <v>Entrevista de actores clave</v>
      </c>
      <c r="E258" s="1" t="str">
        <v>Acompañantes</v>
      </c>
      <c r="F258" s="1" t="str">
        <v>Nacional</v>
      </c>
      <c r="G258" s="1" t="str">
        <v>IJM</v>
      </c>
      <c r="H258" s="1" t="str">
        <v>No</v>
      </c>
      <c r="I258" s="2">
        <v>46171</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v>260</v>
      </c>
      <c r="B261" s="1" t="str">
        <v>Walter Eleodoro Martinez Laura</v>
      </c>
      <c r="C261" s="1" t="str">
        <v>Defensa Pública</v>
      </c>
      <c r="D261" s="1" t="str">
        <v>Entrevista de actores clave</v>
      </c>
      <c r="E261" s="1" t="str">
        <v>Funcionarios del Sistema</v>
      </c>
      <c r="F261" s="1" t="str">
        <v>Nacional</v>
      </c>
      <c r="G261" s="1" t="str">
        <v>IJM</v>
      </c>
      <c r="H261" s="1" t="str">
        <v>Sí</v>
      </c>
      <c r="I261" s="2">
        <v>46147</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v>261</v>
      </c>
      <c r="B262" s="1" t="str">
        <v>Julio Cesar Zumaeta Hernandez</v>
      </c>
      <c r="C262" s="1" t="str">
        <v>Defensa Pública</v>
      </c>
      <c r="D262" s="1" t="str">
        <v>Entrevista de actores clave</v>
      </c>
      <c r="E262" s="1" t="str">
        <v>Funcionarios del Sistema</v>
      </c>
      <c r="F262" s="1" t="str">
        <v>Nacional</v>
      </c>
      <c r="G262" s="1" t="str">
        <v>IJM</v>
      </c>
      <c r="H262" s="1" t="str">
        <v>Sí</v>
      </c>
      <c r="I262" s="2">
        <v>46147</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v>46147</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v>46147</v>
      </c>
      <c r="J264" s="2">
        <v>46179</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v>264</v>
      </c>
      <c r="B265" s="1" t="str">
        <v>Elena Zoila Villegas Portilla</v>
      </c>
      <c r="C265" s="1" t="str">
        <v>Defensa Pública</v>
      </c>
      <c r="D265" s="1" t="str">
        <v>Entrevista de actores clave</v>
      </c>
      <c r="E265" s="1" t="str">
        <v>Funcionarios del Sistema</v>
      </c>
      <c r="F265" s="1" t="str">
        <v>Nacional</v>
      </c>
      <c r="G265" s="1" t="str">
        <v>IJM</v>
      </c>
      <c r="H265" s="1" t="str">
        <v>Sí</v>
      </c>
      <c r="I265" s="2">
        <v>46147</v>
      </c>
      <c r="J265" s="2" t="str">
        <v/>
      </c>
      <c r="K265" s="2" t="str">
        <v/>
      </c>
      <c r="L265" s="1" t="str">
        <v>Realizada completa</v>
      </c>
      <c r="M265" s="2">
        <v>46136</v>
      </c>
      <c r="N265" s="2">
        <v>46136</v>
      </c>
      <c r="O265" s="1" t="str">
        <v>Realizada completa</v>
      </c>
      <c r="P265" s="1">
        <v>30</v>
      </c>
      <c r="Q265" s="1" t="str">
        <v>A distancia asistido</v>
      </c>
      <c r="R265" s="1">
        <f t="shared" si="20"/>
        <v>1</v>
      </c>
      <c r="S265" s="1">
        <f t="shared" si="21"/>
        <v>0</v>
      </c>
      <c r="T265" s="1">
        <f t="shared" si="22"/>
        <v>0</v>
      </c>
      <c r="U265" s="1">
        <f t="shared" si="23"/>
        <v>1</v>
      </c>
      <c r="V265" s="1">
        <f t="shared" si="24"/>
        <v>0</v>
      </c>
    </row>
    <row r="266" x14ac:dyDescent="0.25">
      <c r="A266" s="1">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v>46147</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v>46147</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v>46147</v>
      </c>
      <c r="J268" s="2">
        <v>46176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v>268</v>
      </c>
      <c r="B269" s="1" t="str">
        <v>Karla Lisseth Medina Grimaldo</v>
      </c>
      <c r="C269" s="1" t="str">
        <v>Defensa Pública</v>
      </c>
      <c r="D269" s="1" t="str">
        <v>Entrevista de actores clave</v>
      </c>
      <c r="E269" s="1" t="str">
        <v>Funcionarios del Sistema</v>
      </c>
      <c r="F269" s="1" t="str">
        <v>Nacional</v>
      </c>
      <c r="G269" s="1" t="str">
        <v>IJM</v>
      </c>
      <c r="H269" s="1" t="str">
        <v>Sí</v>
      </c>
      <c r="I269" s="2">
        <v>46147</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v>275</v>
      </c>
      <c r="B276" s="1" t="str">
        <v>Samuel Diaz Gonzales</v>
      </c>
      <c r="C276" s="1" t="str">
        <v>Defensa Pública</v>
      </c>
      <c r="D276" s="1" t="str">
        <v>Entrevista de actores clave</v>
      </c>
      <c r="E276" s="1" t="str">
        <v>Acompañantes</v>
      </c>
      <c r="F276" s="1" t="str">
        <v>Nacional</v>
      </c>
      <c r="G276" s="1" t="str">
        <v>IJM</v>
      </c>
      <c r="H276" s="1" t="str">
        <v>No</v>
      </c>
      <c r="I276" s="2">
        <v>46171</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v>276</v>
      </c>
      <c r="B277" s="1" t="str">
        <v>Jorge Manuel Puicon Uceda</v>
      </c>
      <c r="C277" s="1" t="str">
        <v>Defensa Pública</v>
      </c>
      <c r="D277" s="1" t="str">
        <v>Entrevista de actores clave</v>
      </c>
      <c r="E277" s="1" t="str">
        <v>Acompañantes</v>
      </c>
      <c r="F277" s="1" t="str">
        <v>Nacional</v>
      </c>
      <c r="G277" s="1" t="str">
        <v>IJM</v>
      </c>
      <c r="H277" s="1" t="str">
        <v>No</v>
      </c>
      <c r="I277" s="2">
        <v>46171</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v>46171</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v>46171</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v>46171</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v>46171</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v>282</v>
      </c>
      <c r="B283" s="1" t="str">
        <v>Cesar Arque Meza</v>
      </c>
      <c r="C283" s="1" t="str">
        <v>Defensa Pública</v>
      </c>
      <c r="D283" s="1" t="str">
        <v>Entrevista de actores clave</v>
      </c>
      <c r="E283" s="1" t="str">
        <v>Acompañantes</v>
      </c>
      <c r="F283" s="1" t="str">
        <v>Nacional</v>
      </c>
      <c r="G283" s="1" t="str">
        <v>IJM</v>
      </c>
      <c r="H283" s="1" t="str">
        <v>Sí</v>
      </c>
      <c r="I283" s="2">
        <v>46202</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v>283</v>
      </c>
      <c r="B284" s="1" t="str">
        <v>Ruth Omaira Valdivia Castillo De Mercado</v>
      </c>
      <c r="C284" s="1" t="str">
        <v>Defensa Pública</v>
      </c>
      <c r="D284" s="1" t="str">
        <v>Entrevista de actores clave</v>
      </c>
      <c r="E284" s="1" t="str">
        <v>Acompañantes</v>
      </c>
      <c r="F284" s="1" t="str">
        <v>Nacional</v>
      </c>
      <c r="G284" s="1" t="str">
        <v>IJM</v>
      </c>
      <c r="H284" s="1" t="str">
        <v>No</v>
      </c>
      <c r="I284" s="2">
        <v>46171</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v>284</v>
      </c>
      <c r="B285" s="1" t="str">
        <v>Joseph Pasco Campana Porras</v>
      </c>
      <c r="C285" s="1" t="str">
        <v>Defensa Pública</v>
      </c>
      <c r="D285" s="1" t="str">
        <v>Entrevista de actores clave</v>
      </c>
      <c r="E285" s="1" t="str">
        <v>Acompañantes</v>
      </c>
      <c r="F285" s="1" t="str">
        <v>Nacional</v>
      </c>
      <c r="G285" s="1" t="str">
        <v>IJM</v>
      </c>
      <c r="H285" s="1" t="str">
        <v>No</v>
      </c>
      <c r="I285" s="2">
        <v>46171</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v>285</v>
      </c>
      <c r="B286" s="1" t="str">
        <v>Pierr Abisai Adrianzen Roman</v>
      </c>
      <c r="C286" s="1" t="str">
        <v>Defensa Pública</v>
      </c>
      <c r="D286" s="1" t="str">
        <v>Entrevista de actores clave</v>
      </c>
      <c r="E286" s="1" t="str">
        <v>Acompañantes</v>
      </c>
      <c r="F286" s="1" t="str">
        <v>Nacional</v>
      </c>
      <c r="G286" s="1" t="str">
        <v>IJM</v>
      </c>
      <c r="H286" s="1" t="str">
        <v>No</v>
      </c>
      <c r="I286" s="2">
        <v>46171</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v>286</v>
      </c>
      <c r="B287" s="1" t="str">
        <v>Victor Landa Farati</v>
      </c>
      <c r="C287" s="1" t="str">
        <v>Defensa Pública</v>
      </c>
      <c r="D287" s="1" t="str">
        <v>Entrevista de actores clave</v>
      </c>
      <c r="E287" s="1" t="str">
        <v>Acompañantes</v>
      </c>
      <c r="F287" s="1" t="str">
        <v>Nacional</v>
      </c>
      <c r="G287" s="1" t="str">
        <v>IJM</v>
      </c>
      <c r="H287" s="1" t="str">
        <v>No</v>
      </c>
      <c r="I287" s="2">
        <v>46171</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v>287</v>
      </c>
      <c r="B288" s="1" t="str">
        <v>Juan Manuel Vásquez Carranza</v>
      </c>
      <c r="C288" s="1" t="str">
        <v>Defensa Pública</v>
      </c>
      <c r="D288" s="1" t="str">
        <v>Entrevista de actores clave</v>
      </c>
      <c r="E288" s="1" t="str">
        <v>Acompañantes</v>
      </c>
      <c r="F288" s="1" t="str">
        <v>Nacional</v>
      </c>
      <c r="G288" s="1" t="str">
        <v>IJM</v>
      </c>
      <c r="H288" s="1" t="str">
        <v>No</v>
      </c>
      <c r="I288" s="2">
        <v>46171</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v>288</v>
      </c>
      <c r="B289" s="1" t="str">
        <v>Henry Valentín Nureña Castillo</v>
      </c>
      <c r="C289" s="1" t="str">
        <v>Defensa Pública</v>
      </c>
      <c r="D289" s="1" t="str">
        <v>Entrevista de actores clave</v>
      </c>
      <c r="E289" s="1" t="str">
        <v>Acompañantes</v>
      </c>
      <c r="F289" s="1" t="str">
        <v>Nacional</v>
      </c>
      <c r="G289" s="1" t="str">
        <v>IJM</v>
      </c>
      <c r="H289" s="1" t="str">
        <v>No</v>
      </c>
      <c r="I289" s="2">
        <v>46171</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v>289</v>
      </c>
      <c r="B290" s="1" t="str">
        <v>Jesus Alfonso Jauregui Torres</v>
      </c>
      <c r="C290" s="1" t="str">
        <v>Defensa Pública</v>
      </c>
      <c r="D290" s="1" t="str">
        <v>Entrevista de actores clave</v>
      </c>
      <c r="E290" s="1" t="str">
        <v>Acompañantes</v>
      </c>
      <c r="F290" s="1" t="str">
        <v>Nacional</v>
      </c>
      <c r="G290" s="1" t="str">
        <v>IJM</v>
      </c>
      <c r="H290" s="1" t="str">
        <v>No</v>
      </c>
      <c r="I290" s="2">
        <v>46171</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v>290</v>
      </c>
      <c r="B291" s="1" t="str">
        <v>Gregorio Alexander Purizaca Vignolo</v>
      </c>
      <c r="C291" s="1" t="str">
        <v>Defensa Pública</v>
      </c>
      <c r="D291" s="1" t="str">
        <v>Entrevista de actores clave</v>
      </c>
      <c r="E291" s="1" t="str">
        <v>Acompañantes</v>
      </c>
      <c r="F291" s="1" t="str">
        <v>Nacional</v>
      </c>
      <c r="G291" s="1" t="str">
        <v>IJM</v>
      </c>
      <c r="H291" s="1" t="str">
        <v>No</v>
      </c>
      <c r="I291" s="2">
        <v>46171</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v>46171</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v>46171</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v>293</v>
      </c>
      <c r="B294" s="1" t="str">
        <v>Jorge Enrique Kaqui Quiñonez</v>
      </c>
      <c r="C294" s="1" t="str">
        <v>Defensa Pública</v>
      </c>
      <c r="D294" s="1" t="str">
        <v>Entrevista de actores clave</v>
      </c>
      <c r="E294" s="1" t="str">
        <v>Acompañantes</v>
      </c>
      <c r="F294" s="1" t="str">
        <v>Distrito Judicial: Cajamarca</v>
      </c>
      <c r="G294" s="1" t="str">
        <v>IJM</v>
      </c>
      <c r="H294" s="1" t="str">
        <v>No</v>
      </c>
      <c r="I294" s="2">
        <v>46171</v>
      </c>
      <c r="J294" s="2" t="str">
        <v/>
      </c>
      <c r="K294" s="2" t="str">
        <v/>
      </c>
      <c r="L294" s="1" t="str">
        <v>Sin respuesta</v>
      </c>
      <c r="M294" s="2" t="str">
        <v/>
      </c>
      <c r="N294" s="2" t="str">
        <v/>
      </c>
      <c r="O294" s="1" t="str">
        <v>Sin respuesta</v>
      </c>
      <c r="P294" s="1" t="str">
        <v/>
      </c>
      <c r="Q294" s="1" t="str">
        <v/>
      </c>
      <c r="R294" s="1">
        <f t="shared" si="20"/>
        <v>0</v>
      </c>
      <c r="S294" s="1">
        <f t="shared" si="21"/>
        <v>0</v>
      </c>
      <c r="T294" s="1">
        <f t="shared" si="22"/>
        <v>0</v>
      </c>
      <c r="U294" s="1">
        <f t="shared" si="23"/>
        <v>0</v>
      </c>
      <c r="V294" s="1">
        <f t="shared" si="24"/>
        <v>1</v>
      </c>
    </row>
    <row r="295" x14ac:dyDescent="0.25">
      <c r="A295" s="1">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v>296</v>
      </c>
      <c r="B297" s="1" t="str">
        <v>Dayma Gabriela Navia Canal </v>
      </c>
      <c r="C297" s="1" t="str">
        <v>Defensa Pública</v>
      </c>
      <c r="D297" s="1" t="str">
        <v>Entrevista de actores clave</v>
      </c>
      <c r="E297" s="1" t="str">
        <v>Funcionarios del Sistema</v>
      </c>
      <c r="F297" s="1" t="str">
        <v>Nacional</v>
      </c>
      <c r="G297" s="1" t="str">
        <v>IJM</v>
      </c>
      <c r="H297" s="1" t="str">
        <v>Sí</v>
      </c>
      <c r="I297" s="2">
        <v>46107</v>
      </c>
      <c r="J297" s="2" t="str">
        <v/>
      </c>
      <c r="K297" s="2" t="str">
        <v/>
      </c>
      <c r="L297" s="1" t="str">
        <v>Realizada completa</v>
      </c>
      <c r="M297" s="2">
        <v>46111</v>
      </c>
      <c r="N297" s="2">
        <v>46111</v>
      </c>
      <c r="O297" s="1" t="str">
        <v>Realizada completa</v>
      </c>
      <c r="P297" s="1">
        <v>45</v>
      </c>
      <c r="Q297" s="1" t="str">
        <v>A distancia asistido</v>
      </c>
      <c r="R297" s="1">
        <f t="shared" si="20"/>
        <v>1</v>
      </c>
      <c r="S297" s="1">
        <f t="shared" si="21"/>
        <v>0</v>
      </c>
      <c r="T297" s="1">
        <f t="shared" si="22"/>
        <v>0</v>
      </c>
      <c r="U297" s="1">
        <f t="shared" si="23"/>
        <v>1</v>
      </c>
      <c r="V297" s="1">
        <f t="shared" si="24"/>
        <v>0</v>
      </c>
    </row>
    <row r="298" x14ac:dyDescent="0.25">
      <c r="A298" s="1">
        <v>297</v>
      </c>
      <c r="B298" s="1" t="str">
        <v>Olga Huaman Ortiz</v>
      </c>
      <c r="C298" s="1" t="str">
        <v>Defensa Pública</v>
      </c>
      <c r="D298" s="1" t="str">
        <v>Entrevista de actores clave</v>
      </c>
      <c r="E298" s="1" t="str">
        <v>Funcionarios del Sistema</v>
      </c>
      <c r="F298" s="1" t="str">
        <v>Nacional</v>
      </c>
      <c r="G298" s="1" t="str">
        <v>IJM</v>
      </c>
      <c r="H298" s="1" t="str">
        <v>Sí</v>
      </c>
      <c r="I298" s="2">
        <v>46107</v>
      </c>
      <c r="J298" s="2">
        <v>46111</v>
      </c>
      <c r="K298" s="2" t="str">
        <v/>
      </c>
      <c r="L298" s="1" t="str">
        <v>Realizada completa</v>
      </c>
      <c r="M298" s="2">
        <v>46114</v>
      </c>
      <c r="N298" s="2">
        <v>46120</v>
      </c>
      <c r="O298" s="1" t="str">
        <v>Realizada completa</v>
      </c>
      <c r="P298" s="1">
        <v>38</v>
      </c>
      <c r="Q298" s="1" t="str">
        <v>A distancia asistido</v>
      </c>
      <c r="R298" s="1">
        <f t="shared" si="20"/>
        <v>1</v>
      </c>
      <c r="S298" s="1">
        <f t="shared" si="21"/>
        <v>0</v>
      </c>
      <c r="T298" s="1">
        <f t="shared" si="22"/>
        <v>0</v>
      </c>
      <c r="U298" s="1">
        <f t="shared" si="23"/>
        <v>1</v>
      </c>
      <c r="V298" s="1">
        <f t="shared" si="24"/>
        <v>0</v>
      </c>
    </row>
    <row r="299" x14ac:dyDescent="0.25">
      <c r="A299" s="1">
        <v>298</v>
      </c>
      <c r="B299" s="1" t="str">
        <v>Jesús Martin Cahua Huamán</v>
      </c>
      <c r="C299" s="1" t="str">
        <v>Defensa Pública</v>
      </c>
      <c r="D299" s="1" t="str">
        <v>Entrevista de actores clave</v>
      </c>
      <c r="E299" s="1" t="str">
        <v>Funcionarios del Sistema</v>
      </c>
      <c r="F299" s="1" t="str">
        <v>Nacional</v>
      </c>
      <c r="G299" s="1" t="str">
        <v>IJM</v>
      </c>
      <c r="H299" s="1" t="str">
        <v>Sí</v>
      </c>
      <c r="I299" s="2">
        <v>46107</v>
      </c>
      <c r="J299" s="2">
        <v>46171</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v>46147</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v>46171</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v>46147</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v>46147</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v>307</v>
      </c>
      <c r="B308" s="1" t="str">
        <v>Soledad Elena Rodríguez Loli</v>
      </c>
      <c r="C308" s="1" t="str">
        <v>Defensoría del Pueblo</v>
      </c>
      <c r="D308" s="1" t="str">
        <v>Entrevista de actores clave</v>
      </c>
      <c r="E308" s="1" t="str">
        <v>Acompañantes</v>
      </c>
      <c r="F308" s="1" t="str">
        <v>Nacional</v>
      </c>
      <c r="G308" s="1" t="str">
        <v>IJM</v>
      </c>
      <c r="H308" s="1" t="str">
        <v>No</v>
      </c>
      <c r="I308" s="2">
        <v>46171</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v>308</v>
      </c>
      <c r="B309" s="1" t="str">
        <v>Genoveva Gómez Vargas</v>
      </c>
      <c r="C309" s="1" t="str">
        <v>Defensoría del Pueblo</v>
      </c>
      <c r="D309" s="1" t="str">
        <v>Entrevista de actores clave</v>
      </c>
      <c r="E309" s="1" t="str">
        <v>Acompañantes</v>
      </c>
      <c r="F309" s="1" t="str">
        <v>Nacional</v>
      </c>
      <c r="G309" s="1" t="str">
        <v>IJM</v>
      </c>
      <c r="H309" s="1" t="str">
        <v>No</v>
      </c>
      <c r="I309" s="2">
        <v>46171</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v>313</v>
      </c>
      <c r="B314" s="1" t="str">
        <v>Gloria Ziegler</v>
      </c>
      <c r="C314" s="1" t="str">
        <v>Ojo Público</v>
      </c>
      <c r="D314" s="1" t="str">
        <v>Entrevista de actores clave</v>
      </c>
      <c r="E314" s="1" t="str">
        <v>Prensa</v>
      </c>
      <c r="F314" s="1" t="str">
        <v>Nacional</v>
      </c>
      <c r="G314" s="1" t="str">
        <v>IJM</v>
      </c>
      <c r="H314" s="1" t="str">
        <v>Sí</v>
      </c>
      <c r="I314" s="2">
        <v>46154</v>
      </c>
      <c r="J314" s="2" t="str">
        <v/>
      </c>
      <c r="K314" s="2" t="str">
        <v/>
      </c>
      <c r="L314" s="1" t="str">
        <v>Realizada completa</v>
      </c>
      <c r="M314" s="2">
        <v>46175</v>
      </c>
      <c r="N314" s="2">
        <v>46175</v>
      </c>
      <c r="O314" s="1" t="str">
        <v>Realizada completa</v>
      </c>
      <c r="P314" s="1">
        <v>44</v>
      </c>
      <c r="Q314" s="1" t="str">
        <v>A distancia asistido</v>
      </c>
      <c r="R314" s="1">
        <f t="shared" si="20"/>
        <v>1</v>
      </c>
      <c r="S314" s="1">
        <f t="shared" si="21"/>
        <v>0</v>
      </c>
      <c r="T314" s="1">
        <f t="shared" si="22"/>
        <v>0</v>
      </c>
      <c r="U314" s="1">
        <f t="shared" si="23"/>
        <v>1</v>
      </c>
      <c r="V314" s="1">
        <f t="shared" si="24"/>
        <v>0</v>
      </c>
    </row>
    <row r="315" x14ac:dyDescent="0.25">
      <c r="A315" s="1">
        <v>314</v>
      </c>
      <c r="B315" s="1" t="str">
        <v>Paloma Verano</v>
      </c>
      <c r="C315" s="1" t="str">
        <v>RPP</v>
      </c>
      <c r="D315" s="1" t="str">
        <v>Entrevista de actores clave</v>
      </c>
      <c r="E315" s="1" t="str">
        <v>Prensa</v>
      </c>
      <c r="F315" s="1" t="str">
        <v>Nacional</v>
      </c>
      <c r="G315" s="1" t="str">
        <v>IJM</v>
      </c>
      <c r="H315" s="1" t="str">
        <v>No</v>
      </c>
      <c r="I315" s="2">
        <v>46171</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v>315</v>
      </c>
      <c r="B316" s="1" t="str">
        <v>Pedro Luis Ramos Martinez</v>
      </c>
      <c r="C316" s="1" t="str">
        <v>RPP</v>
      </c>
      <c r="D316" s="1" t="str">
        <v>Entrevista de actores clave</v>
      </c>
      <c r="E316" s="1" t="str">
        <v>Prensa</v>
      </c>
      <c r="F316" s="1" t="str">
        <v>Nacional</v>
      </c>
      <c r="G316" s="1" t="str">
        <v>IJM</v>
      </c>
      <c r="H316" s="1" t="str">
        <v>No</v>
      </c>
      <c r="I316" s="2">
        <v>46171</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v>318</v>
      </c>
      <c r="B319" s="1" t="str">
        <v>Claudia Cisneros</v>
      </c>
      <c r="C319" s="1" t="str">
        <v>Wayka</v>
      </c>
      <c r="D319" s="1" t="str">
        <v>Entrevista de actores clave</v>
      </c>
      <c r="E319" s="1" t="str">
        <v>Prensa</v>
      </c>
      <c r="F319" s="1" t="str">
        <v>Nacional</v>
      </c>
      <c r="G319" s="1" t="str">
        <v>IJM</v>
      </c>
      <c r="H319" s="1" t="str">
        <v>Sí</v>
      </c>
      <c r="I319" s="2">
        <v>46111</v>
      </c>
      <c r="J319" s="2">
        <v>46147</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v>324</v>
      </c>
      <c r="B325" s="1" t="str">
        <v>Ariana Lira Delcore</v>
      </c>
      <c r="C325" s="1" t="str">
        <v>El Comercio</v>
      </c>
      <c r="D325" s="1" t="str">
        <v>Entrevista de actores clave</v>
      </c>
      <c r="E325" s="1" t="str">
        <v>Prensa</v>
      </c>
      <c r="F325" s="1" t="str">
        <v>Nacional</v>
      </c>
      <c r="G325" s="1" t="str">
        <v>IJM</v>
      </c>
      <c r="H325" s="1" t="str">
        <v>No</v>
      </c>
      <c r="I325" s="2">
        <v>46171</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v>46171</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v>46199</v>
      </c>
      <c r="N330" s="2">
        <v>46199</v>
      </c>
      <c r="O330" s="1" t="str">
        <v>Realizada completa</v>
      </c>
      <c r="P330" s="1">
        <v>33</v>
      </c>
      <c r="Q330" s="1" t="str">
        <v>A distancia asistido</v>
      </c>
      <c r="R330" s="1">
        <f t="shared" si="25"/>
        <v>1</v>
      </c>
      <c r="S330" s="1">
        <f t="shared" si="26"/>
        <v>0</v>
      </c>
      <c r="T330" s="1">
        <f t="shared" si="27"/>
        <v>0</v>
      </c>
      <c r="U330" s="1">
        <f t="shared" si="28"/>
        <v>1</v>
      </c>
      <c r="V330" s="1">
        <f t="shared" si="29"/>
        <v>0</v>
      </c>
    </row>
    <row r="331" x14ac:dyDescent="0.25">
      <c r="A331" s="1">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v>46171</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v>46171</v>
      </c>
      <c r="J333" s="2" t="str">
        <v/>
      </c>
      <c r="K333" s="2" t="str">
        <v/>
      </c>
      <c r="L333" s="1" t="str">
        <v>Realizada completa</v>
      </c>
      <c r="M333" s="2">
        <v>46181</v>
      </c>
      <c r="N333" s="2">
        <v>46181</v>
      </c>
      <c r="O333" s="1" t="str">
        <v>Realizada completa</v>
      </c>
      <c r="P333" s="1">
        <v>28</v>
      </c>
      <c r="Q333" s="1" t="str">
        <v>A distancia asistido</v>
      </c>
      <c r="R333" s="1">
        <f t="shared" si="25"/>
        <v>1</v>
      </c>
      <c r="S333" s="1">
        <f t="shared" si="26"/>
        <v>0</v>
      </c>
      <c r="T333" s="1">
        <f t="shared" si="27"/>
        <v>0</v>
      </c>
      <c r="U333" s="1">
        <f t="shared" si="28"/>
        <v>1</v>
      </c>
      <c r="V333" s="1">
        <f t="shared" si="29"/>
        <v>0</v>
      </c>
    </row>
    <row r="334" x14ac:dyDescent="0.25">
      <c r="A334" s="1">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v>46147</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v>335</v>
      </c>
      <c r="B336" s="1" t="str">
        <v>Rossana Dudziak</v>
      </c>
      <c r="C336" s="1" t="str">
        <v>ONU</v>
      </c>
      <c r="D336" s="1" t="str">
        <v>Entrevista de actores clave</v>
      </c>
      <c r="E336" s="1" t="str">
        <v>Multilaterales</v>
      </c>
      <c r="F336" s="1" t="str">
        <v>Nacional</v>
      </c>
      <c r="G336" s="1" t="str">
        <v>IJM</v>
      </c>
      <c r="H336" s="1" t="str">
        <v>No</v>
      </c>
      <c r="I336" s="2">
        <v>46171</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v>336</v>
      </c>
      <c r="B337" s="1" t="str">
        <v>Cristel Damian</v>
      </c>
      <c r="C337" s="1" t="str">
        <v>UNFPA</v>
      </c>
      <c r="D337" s="1" t="str">
        <v>Entrevista de actores clave</v>
      </c>
      <c r="E337" s="1" t="str">
        <v>Multilaterales</v>
      </c>
      <c r="F337" s="1" t="str">
        <v>Nacional</v>
      </c>
      <c r="G337" s="1" t="str">
        <v>IJM</v>
      </c>
      <c r="H337" s="1" t="str">
        <v>No</v>
      </c>
      <c r="I337" s="2">
        <v>46171</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v>337</v>
      </c>
      <c r="B338" s="1" t="str">
        <v>Karim Velasco</v>
      </c>
      <c r="C338" s="1" t="str">
        <v>PNUD</v>
      </c>
      <c r="D338" s="1" t="str">
        <v>Entrevista de actores clave</v>
      </c>
      <c r="E338" s="1" t="str">
        <v>Multilaterales</v>
      </c>
      <c r="F338" s="1" t="str">
        <v>Distrito Judicial: Cajamarca</v>
      </c>
      <c r="G338" s="1" t="str">
        <v>IJM</v>
      </c>
      <c r="H338" s="1" t="str">
        <v>Sí</v>
      </c>
      <c r="I338" s="2">
        <v>46178</v>
      </c>
      <c r="J338" s="2" t="str">
        <v/>
      </c>
      <c r="K338" s="2" t="str">
        <v/>
      </c>
      <c r="L338" s="1" t="str">
        <v>Realizada completa</v>
      </c>
      <c r="M338" s="2">
        <v>46184</v>
      </c>
      <c r="N338" s="2">
        <v>46184</v>
      </c>
      <c r="O338" s="1" t="str">
        <v>Realizada completa</v>
      </c>
      <c r="P338" s="1">
        <v>38</v>
      </c>
      <c r="Q338" s="1" t="str">
        <v>A distancia asistido</v>
      </c>
      <c r="R338" s="1">
        <f t="shared" si="25"/>
        <v>1</v>
      </c>
      <c r="S338" s="1">
        <f t="shared" si="26"/>
        <v>0</v>
      </c>
      <c r="T338" s="1">
        <f t="shared" si="27"/>
        <v>0</v>
      </c>
      <c r="U338" s="1">
        <f t="shared" si="28"/>
        <v>1</v>
      </c>
      <c r="V338" s="1">
        <f t="shared" si="29"/>
        <v>0</v>
      </c>
    </row>
    <row r="339" x14ac:dyDescent="0.25">
      <c r="A339" s="1">
        <v>338</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v>46171</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v>339</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v>340</v>
      </c>
      <c r="B341" s="1" t="str">
        <v>Teresina Muñoz Najar</v>
      </c>
      <c r="C341" s="1" t="str">
        <v>Independiente</v>
      </c>
      <c r="D341" s="1" t="str">
        <v>Entrevista de actores clave</v>
      </c>
      <c r="E341" s="1" t="str">
        <v>Prensa</v>
      </c>
      <c r="F341" s="1" t="str">
        <v>Nacional</v>
      </c>
      <c r="G341" s="1" t="str">
        <v>IJM</v>
      </c>
      <c r="H341" s="1" t="str">
        <v>No</v>
      </c>
      <c r="I341" s="2">
        <v>46171</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v>46171</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v>46171</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v>343</v>
      </c>
      <c r="B344" s="1" t="str">
        <v>Wilson Anthony Siancas</v>
      </c>
      <c r="C344" s="1" t="str">
        <v>Convoca</v>
      </c>
      <c r="D344" s="1" t="str">
        <v>Entrevista de actores clave</v>
      </c>
      <c r="E344" s="1" t="str">
        <v>Prensa</v>
      </c>
      <c r="F344" s="1" t="str">
        <v>Nacional</v>
      </c>
      <c r="G344" s="1" t="str">
        <v>IJM</v>
      </c>
      <c r="H344" s="1" t="str">
        <v>No</v>
      </c>
      <c r="I344" s="2">
        <v>46171</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v>346</v>
      </c>
      <c r="B347" s="1" t="str">
        <v>Lourdes Fernández Calvo</v>
      </c>
      <c r="C347" s="1" t="str">
        <v>Mongabay</v>
      </c>
      <c r="D347" s="1" t="str">
        <v>Entrevista de actores clave</v>
      </c>
      <c r="E347" s="1" t="str">
        <v>Prensa</v>
      </c>
      <c r="F347" s="1" t="str">
        <v>Nacional</v>
      </c>
      <c r="G347" s="1" t="str">
        <v>IJM</v>
      </c>
      <c r="H347" s="1" t="str">
        <v>Sí</v>
      </c>
      <c r="I347" s="2">
        <v>46182</v>
      </c>
      <c r="J347" s="2" t="str">
        <v/>
      </c>
      <c r="K347" s="2" t="str">
        <v/>
      </c>
      <c r="L347" s="1" t="str">
        <v>Realizada completa</v>
      </c>
      <c r="M347" s="2">
        <v>46186</v>
      </c>
      <c r="N347" s="2">
        <v>46186</v>
      </c>
      <c r="O347" s="1" t="str">
        <v>Realizada completa</v>
      </c>
      <c r="P347" s="1">
        <v>25</v>
      </c>
      <c r="Q347" s="1" t="str">
        <v>A distancia asistido</v>
      </c>
      <c r="R347" s="1">
        <f t="shared" si="25"/>
        <v>1</v>
      </c>
      <c r="S347" s="1">
        <f t="shared" si="26"/>
        <v>0</v>
      </c>
      <c r="T347" s="1">
        <f t="shared" si="27"/>
        <v>0</v>
      </c>
      <c r="U347" s="1">
        <f t="shared" si="28"/>
        <v>1</v>
      </c>
      <c r="V347" s="1">
        <f t="shared" si="29"/>
        <v>0</v>
      </c>
    </row>
    <row r="348" x14ac:dyDescent="0.25">
      <c r="A348" s="1">
        <v>347</v>
      </c>
      <c r="B348" s="1" t="str">
        <v>Graciela Tiburcio Loayza</v>
      </c>
      <c r="C348" s="1" t="str">
        <v>Contranoticia</v>
      </c>
      <c r="D348" s="1" t="str">
        <v>Entrevista de actores clave</v>
      </c>
      <c r="E348" s="1" t="str">
        <v>Prensa</v>
      </c>
      <c r="F348" s="1" t="str">
        <v>Nacional</v>
      </c>
      <c r="G348" s="1" t="str">
        <v>IJM</v>
      </c>
      <c r="H348" s="1" t="str">
        <v>No</v>
      </c>
      <c r="I348" s="2">
        <v>46171</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v>46171</v>
      </c>
      <c r="J349" s="2">
        <v>46177</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v>350</v>
      </c>
      <c r="B351" s="1" t="str">
        <v>Jimena Chavez</v>
      </c>
      <c r="C351" s="1" t="str">
        <v>DVV International</v>
      </c>
      <c r="D351" s="1" t="str">
        <v>Entrevista de actores clave</v>
      </c>
      <c r="E351" s="1" t="str">
        <v>Actores locales</v>
      </c>
      <c r="F351" s="1" t="str">
        <v>Nacional</v>
      </c>
      <c r="G351" s="1" t="str">
        <v>IJM</v>
      </c>
      <c r="H351" s="1" t="str">
        <v>No</v>
      </c>
      <c r="I351" s="2">
        <v>46171</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v>46171</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v>46171</v>
      </c>
      <c r="J353" s="2" t="str">
        <v/>
      </c>
      <c r="K353" s="2" t="str">
        <v/>
      </c>
      <c r="L353" s="1" t="str">
        <v>Realizada completa</v>
      </c>
      <c r="M353" s="2">
        <v>46182</v>
      </c>
      <c r="N353" s="2">
        <v>46182</v>
      </c>
      <c r="O353" s="1" t="str">
        <v>Realizada completa</v>
      </c>
      <c r="P353" s="1">
        <v>47</v>
      </c>
      <c r="Q353" s="1" t="str">
        <v>A distancia asistido</v>
      </c>
      <c r="R353" s="1">
        <f t="shared" si="25"/>
        <v>1</v>
      </c>
      <c r="S353" s="1">
        <f t="shared" si="26"/>
        <v>0</v>
      </c>
      <c r="T353" s="1">
        <f t="shared" si="27"/>
        <v>0</v>
      </c>
      <c r="U353" s="1">
        <f t="shared" si="28"/>
        <v>1</v>
      </c>
      <c r="V353" s="1">
        <f t="shared" si="29"/>
        <v>0</v>
      </c>
    </row>
    <row r="354" x14ac:dyDescent="0.25">
      <c r="A354" s="1">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v>46171</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v>354</v>
      </c>
      <c r="B355" s="1" t="str">
        <v>Carolina Vera Torres</v>
      </c>
      <c r="C355" s="1" t="str">
        <v>PUCP</v>
      </c>
      <c r="D355" s="1" t="str">
        <v>Entrevista de actores clave</v>
      </c>
      <c r="E355" s="1" t="str">
        <v>Actores locales</v>
      </c>
      <c r="F355" s="1" t="str">
        <v>Nacional</v>
      </c>
      <c r="G355" s="1" t="str">
        <v>IJM</v>
      </c>
      <c r="H355" s="1" t="str">
        <v>No</v>
      </c>
      <c r="I355" s="2">
        <v>46171</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v>355</v>
      </c>
      <c r="B356" s="1" t="str">
        <v>Elena Reyes</v>
      </c>
      <c r="C356" s="1" t="str">
        <v>Especialista en Género</v>
      </c>
      <c r="D356" s="1" t="str">
        <v>Entrevista de actores clave</v>
      </c>
      <c r="E356" s="1" t="str">
        <v>Actores locales</v>
      </c>
      <c r="F356" s="1" t="str">
        <v>Nacional</v>
      </c>
      <c r="G356" s="1" t="str">
        <v>IJM</v>
      </c>
      <c r="H356" s="1" t="str">
        <v>No</v>
      </c>
      <c r="I356" s="2">
        <v>46171</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v>356</v>
      </c>
      <c r="B357" s="1" t="str">
        <v>Keyland Allca Chacaliaza</v>
      </c>
      <c r="C357" s="1" t="str">
        <v>Lideranda ORG</v>
      </c>
      <c r="D357" s="1" t="str">
        <v>Entrevista de actores clave</v>
      </c>
      <c r="E357" s="1" t="str">
        <v>Acompañantes</v>
      </c>
      <c r="F357" s="1" t="str">
        <v>Nacional</v>
      </c>
      <c r="G357" s="1" t="str">
        <v>IJM</v>
      </c>
      <c r="H357" s="1" t="str">
        <v>No</v>
      </c>
      <c r="I357" s="2">
        <v>46171</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v>357</v>
      </c>
      <c r="B358" s="1" t="str">
        <v>Magaly Ávila</v>
      </c>
      <c r="C358" s="1" t="str">
        <v>Proetica</v>
      </c>
      <c r="D358" s="1" t="str">
        <v>Entrevista de actores clave</v>
      </c>
      <c r="E358" s="1" t="str">
        <v>Actores locales</v>
      </c>
      <c r="F358" s="1" t="str">
        <v>Nacional</v>
      </c>
      <c r="G358" s="1" t="str">
        <v>IJM</v>
      </c>
      <c r="H358" s="1" t="str">
        <v>No</v>
      </c>
      <c r="I358" s="2">
        <v>46202</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v>46110</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v>360</v>
      </c>
      <c r="B361" s="1" t="str">
        <v>Carmen Espinoza</v>
      </c>
      <c r="C361" s="1" t="str">
        <v>Manuela Ramos</v>
      </c>
      <c r="D361" s="1" t="str">
        <v>Entrevista de actores clave</v>
      </c>
      <c r="E361" s="1" t="str">
        <v>Actores locales</v>
      </c>
      <c r="F361" s="1" t="str">
        <v>Nacional</v>
      </c>
      <c r="G361" s="1" t="str">
        <v>IJM</v>
      </c>
      <c r="H361" s="1" t="str">
        <v>No</v>
      </c>
      <c r="I361" s="2">
        <v>46110</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v>46165</v>
      </c>
      <c r="N362" s="2">
        <v>46165</v>
      </c>
      <c r="O362" s="1" t="str">
        <v>Realizada completa</v>
      </c>
      <c r="P362" s="1">
        <v>82</v>
      </c>
      <c r="Q362" s="1" t="str">
        <v>A distancia asistido</v>
      </c>
      <c r="R362" s="1">
        <f t="shared" si="25"/>
        <v>1</v>
      </c>
      <c r="S362" s="1">
        <f t="shared" si="26"/>
        <v>0</v>
      </c>
      <c r="T362" s="1">
        <f t="shared" si="27"/>
        <v>0</v>
      </c>
      <c r="U362" s="1">
        <f t="shared" si="28"/>
        <v>1</v>
      </c>
      <c r="V362" s="1">
        <f t="shared" si="29"/>
        <v>0</v>
      </c>
    </row>
    <row r="363" x14ac:dyDescent="0.25">
      <c r="A363" s="1">
        <v>362</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v>46177</v>
      </c>
      <c r="N363" s="2">
        <v>46177</v>
      </c>
      <c r="O363" s="1" t="str">
        <v>Realizada completa</v>
      </c>
      <c r="P363" s="1">
        <v>66</v>
      </c>
      <c r="Q363" s="1" t="str">
        <v>A distancia asistido</v>
      </c>
      <c r="R363" s="1">
        <f t="shared" si="25"/>
        <v>1</v>
      </c>
      <c r="S363" s="1">
        <f t="shared" si="26"/>
        <v>0</v>
      </c>
      <c r="T363" s="1">
        <f t="shared" si="27"/>
        <v>0</v>
      </c>
      <c r="U363" s="1">
        <f t="shared" si="28"/>
        <v>1</v>
      </c>
      <c r="V363" s="1">
        <f t="shared" si="29"/>
        <v>0</v>
      </c>
    </row>
    <row r="364" x14ac:dyDescent="0.25">
      <c r="A364" s="1">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v>46163</v>
      </c>
      <c r="N364" s="2">
        <v>46163</v>
      </c>
      <c r="O364" s="1" t="str">
        <v>Realizada completa</v>
      </c>
      <c r="P364" s="1">
        <v>35</v>
      </c>
      <c r="Q364" s="1" t="str">
        <v>A distancia asistido</v>
      </c>
      <c r="R364" s="1">
        <f t="shared" si="25"/>
        <v>1</v>
      </c>
      <c r="S364" s="1">
        <f t="shared" si="26"/>
        <v>0</v>
      </c>
      <c r="T364" s="1">
        <f t="shared" si="27"/>
        <v>0</v>
      </c>
      <c r="U364" s="1">
        <f t="shared" si="28"/>
        <v>1</v>
      </c>
      <c r="V364" s="1">
        <f t="shared" si="29"/>
        <v>0</v>
      </c>
    </row>
    <row r="365" x14ac:dyDescent="0.25">
      <c r="A365" s="1">
        <v>364</v>
      </c>
      <c r="B365" s="1" t="str">
        <v>Pedro Martín Fuentes Sotelo</v>
      </c>
      <c r="C365" s="1" t="str">
        <v>Defensa Pública</v>
      </c>
      <c r="D365" s="1" t="str">
        <v>Entrevista de actores clave</v>
      </c>
      <c r="E365" s="1" t="str">
        <v/>
      </c>
      <c r="F365" s="1" t="str">
        <v>Nacional</v>
      </c>
      <c r="G365" s="1" t="str">
        <v/>
      </c>
      <c r="H365" s="1" t="str">
        <v>no</v>
      </c>
      <c r="I365" s="2">
        <v>46171</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v>365</v>
      </c>
      <c r="B366" s="1" t="str">
        <v>Eysler Nieto</v>
      </c>
      <c r="C366" s="1" t="str">
        <v>Paz y esperanza </v>
      </c>
      <c r="D366" s="1" t="str">
        <v>Entrevista de actores clave</v>
      </c>
      <c r="E366" s="1" t="str">
        <v>Multilaterales</v>
      </c>
      <c r="F366" s="1" t="str">
        <v>Distrito Judicial: Huánuco</v>
      </c>
      <c r="G366" s="1" t="str">
        <v>IJM</v>
      </c>
      <c r="H366" s="1" t="str">
        <v>Sí</v>
      </c>
      <c r="I366" s="2">
        <v>46189</v>
      </c>
      <c r="J366" s="2" t="str">
        <v/>
      </c>
      <c r="K366" s="2" t="str">
        <v/>
      </c>
      <c r="L366" s="1" t="str">
        <v>Realizada completa</v>
      </c>
      <c r="M366" s="2">
        <v>46190</v>
      </c>
      <c r="N366" s="2">
        <v>46190</v>
      </c>
      <c r="O366" s="1" t="str">
        <v>Realizada completa</v>
      </c>
      <c r="P366" s="1">
        <v>72</v>
      </c>
      <c r="Q366" s="1" t="str">
        <v>A distancia asistido</v>
      </c>
      <c r="R366" s="1">
        <f t="shared" si="25"/>
        <v>1</v>
      </c>
      <c r="S366" s="1">
        <f t="shared" si="26"/>
        <v>0</v>
      </c>
      <c r="T366" s="1">
        <f t="shared" si="27"/>
        <v>0</v>
      </c>
      <c r="U366" s="1">
        <f t="shared" si="28"/>
        <v>1</v>
      </c>
      <c r="V366" s="1">
        <f t="shared" si="29"/>
        <v>0</v>
      </c>
    </row>
    <row r="367" x14ac:dyDescent="0.25">
      <c r="A367" s="1">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v>46189</v>
      </c>
      <c r="N367" s="2">
        <v>46189</v>
      </c>
      <c r="O367" s="1" t="str">
        <v>Realizada completa</v>
      </c>
      <c r="P367" s="1">
        <v>39</v>
      </c>
      <c r="Q367" s="1" t="str">
        <v>A distancia asistido</v>
      </c>
      <c r="R367" s="1">
        <f t="shared" si="25"/>
        <v>1</v>
      </c>
      <c r="S367" s="1">
        <f t="shared" si="26"/>
        <v>0</v>
      </c>
      <c r="T367" s="1">
        <f t="shared" si="27"/>
        <v>0</v>
      </c>
      <c r="U367" s="1">
        <f t="shared" si="28"/>
        <v>1</v>
      </c>
      <c r="V367" s="1">
        <f t="shared" si="29"/>
        <v>0</v>
      </c>
    </row>
    <row r="368" x14ac:dyDescent="0.25">
      <c r="A368" s="1">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v>46189</v>
      </c>
      <c r="N368" s="2">
        <v>46189</v>
      </c>
      <c r="O368" s="1" t="str">
        <v>Realizada completa</v>
      </c>
      <c r="P368" s="1">
        <v>55</v>
      </c>
      <c r="Q368" s="1" t="str">
        <v>A distancia asistido</v>
      </c>
      <c r="R368" s="1">
        <f t="shared" si="25"/>
        <v>1</v>
      </c>
      <c r="S368" s="1">
        <f t="shared" si="26"/>
        <v>0</v>
      </c>
      <c r="T368" s="1">
        <f t="shared" si="27"/>
        <v>0</v>
      </c>
      <c r="U368" s="1">
        <f t="shared" si="28"/>
        <v>1</v>
      </c>
      <c r="V368" s="1">
        <f t="shared" si="29"/>
        <v>0</v>
      </c>
    </row>
    <row r="369" x14ac:dyDescent="0.25">
      <c r="A369" s="1">
        <v>368</v>
      </c>
      <c r="B369" s="1" t="str">
        <v>Giovanna Maria Cavero Mogollon</v>
      </c>
      <c r="C369" s="1" t="str">
        <v>Save The Children</v>
      </c>
      <c r="D369" s="1" t="str">
        <v>Entrevista de actores clave</v>
      </c>
      <c r="E369" s="1" t="str">
        <v>Multilaterales</v>
      </c>
      <c r="F369" s="1" t="str">
        <v>Nacional</v>
      </c>
      <c r="G369" s="1" t="str">
        <v/>
      </c>
      <c r="H369" s="1" t="str">
        <v>Sí</v>
      </c>
      <c r="I369" s="2" t="str">
        <v/>
      </c>
      <c r="J369" s="2" t="str">
        <v/>
      </c>
      <c r="K369" s="2" t="str">
        <v/>
      </c>
      <c r="L369" s="1" t="str">
        <v>Realizada completa</v>
      </c>
      <c r="M369" s="2">
        <v>46195</v>
      </c>
      <c r="N369" s="2">
        <v>46195</v>
      </c>
      <c r="O369" s="1" t="str">
        <v>Realizada completa</v>
      </c>
      <c r="P369" s="1">
        <v>39</v>
      </c>
      <c r="Q369" s="1" t="str">
        <v>A distancia asistido</v>
      </c>
      <c r="R369" s="1">
        <f t="shared" si="25"/>
        <v>1</v>
      </c>
      <c r="S369" s="1">
        <f t="shared" si="26"/>
        <v>0</v>
      </c>
      <c r="T369" s="1">
        <f t="shared" si="27"/>
        <v>0</v>
      </c>
      <c r="U369" s="1">
        <f t="shared" si="28"/>
        <v>1</v>
      </c>
      <c r="V369" s="1">
        <f t="shared" si="29"/>
        <v>0</v>
      </c>
    </row>
    <row r="370" x14ac:dyDescent="0.25">
      <c r="A370" s="1">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v>46197</v>
      </c>
      <c r="J370" s="2" t="str">
        <v/>
      </c>
      <c r="K370" s="2" t="str">
        <v/>
      </c>
      <c r="L370" s="1" t="str">
        <v>Realizada completa</v>
      </c>
      <c r="M370" s="2">
        <v>46198</v>
      </c>
      <c r="N370" s="2">
        <v>46198</v>
      </c>
      <c r="O370" s="1" t="str">
        <v>Realizada completa</v>
      </c>
      <c r="P370" s="1">
        <v>40</v>
      </c>
      <c r="Q370" s="1" t="str">
        <v>A distancia asistido</v>
      </c>
      <c r="R370" s="1">
        <f t="shared" si="25"/>
        <v>1</v>
      </c>
      <c r="S370" s="1">
        <f t="shared" si="26"/>
        <v>0</v>
      </c>
      <c r="T370" s="1">
        <f t="shared" si="27"/>
        <v>0</v>
      </c>
      <c r="U370" s="1">
        <f t="shared" si="28"/>
        <v>1</v>
      </c>
      <c r="V370" s="1">
        <f t="shared" si="29"/>
        <v>0</v>
      </c>
    </row>
    <row r="371" x14ac:dyDescent="0.25">
      <c r="A371" s="1">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v>46197</v>
      </c>
      <c r="N371" s="2">
        <v>46197</v>
      </c>
      <c r="O371" s="1" t="str">
        <v>Realizada completa</v>
      </c>
      <c r="P371" s="1">
        <v>44</v>
      </c>
      <c r="Q371" s="1" t="str">
        <v>A distancia asistido</v>
      </c>
      <c r="R371" s="1">
        <f t="shared" si="25"/>
        <v>1</v>
      </c>
      <c r="S371" s="1">
        <f t="shared" si="26"/>
        <v>0</v>
      </c>
      <c r="T371" s="1">
        <f t="shared" si="27"/>
        <v>0</v>
      </c>
      <c r="U371" s="1">
        <f t="shared" si="28"/>
        <v>1</v>
      </c>
      <c r="V371" s="1">
        <f t="shared" si="29"/>
        <v>0</v>
      </c>
    </row>
    <row r="372" x14ac:dyDescent="0.25">
      <c r="A372" s="1">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v>46199</v>
      </c>
      <c r="N372" s="2">
        <v>46199</v>
      </c>
      <c r="O372" s="1" t="str">
        <v>Realizada completa</v>
      </c>
      <c r="P372" s="1">
        <v>39</v>
      </c>
      <c r="Q372" s="1" t="str">
        <v>A distancia asistido</v>
      </c>
      <c r="R372" s="1">
        <f t="shared" si="25"/>
        <v>1</v>
      </c>
      <c r="S372" s="1">
        <f t="shared" si="26"/>
        <v>0</v>
      </c>
      <c r="T372" s="1">
        <f t="shared" si="27"/>
        <v>0</v>
      </c>
      <c r="U372" s="1">
        <f t="shared" si="28"/>
        <v>1</v>
      </c>
      <c r="V372" s="1">
        <f t="shared" si="29"/>
        <v>0</v>
      </c>
    </row>
    <row r="373" x14ac:dyDescent="0.25">
      <c r="A373" s="1">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v>46200</v>
      </c>
      <c r="N373" s="2">
        <v>46200</v>
      </c>
      <c r="O373" s="1" t="str">
        <v>Realizada completa</v>
      </c>
      <c r="P373" s="1">
        <v>84</v>
      </c>
      <c r="Q373" s="1" t="str">
        <v>A distancia asistido</v>
      </c>
      <c r="R373" s="1">
        <f t="shared" si="25"/>
        <v>1</v>
      </c>
      <c r="S373" s="1">
        <f t="shared" si="26"/>
        <v>0</v>
      </c>
      <c r="T373" s="1">
        <f t="shared" si="27"/>
        <v>0</v>
      </c>
      <c r="U373" s="1">
        <f t="shared" si="28"/>
        <v>1</v>
      </c>
      <c r="V373" s="1">
        <f t="shared" si="29"/>
        <v>0</v>
      </c>
    </row>
    <row r="374" x14ac:dyDescent="0.25">
      <c r="A374" s="1">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v>46204</v>
      </c>
      <c r="N374" s="2">
        <v>46204</v>
      </c>
      <c r="O374" s="1" t="str">
        <v>Realizada completa</v>
      </c>
      <c r="P374" s="1">
        <v>48</v>
      </c>
      <c r="Q374" s="1" t="str">
        <v>A distancia asistido</v>
      </c>
      <c r="R374" s="1">
        <f t="shared" si="25"/>
        <v>1</v>
      </c>
      <c r="S374" s="1">
        <f t="shared" si="26"/>
        <v>0</v>
      </c>
      <c r="T374" s="1">
        <f t="shared" si="27"/>
        <v>0</v>
      </c>
      <c r="U374" s="1">
        <f t="shared" si="28"/>
        <v>1</v>
      </c>
      <c r="V374" s="1">
        <f t="shared" si="29"/>
        <v>0</v>
      </c>
    </row>
    <row r="375" x14ac:dyDescent="0.25">
      <c r="A375" s="1">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v>46206</v>
      </c>
      <c r="N375" s="2">
        <v>46206</v>
      </c>
      <c r="O375" s="1" t="str">
        <v>Realizada completa</v>
      </c>
      <c r="P375" s="1">
        <v>33</v>
      </c>
      <c r="Q375" s="1" t="str">
        <v>A distancia asistido</v>
      </c>
      <c r="R375" s="1">
        <f t="shared" si="25"/>
        <v>1</v>
      </c>
      <c r="S375" s="1">
        <f t="shared" si="26"/>
        <v>0</v>
      </c>
      <c r="T375" s="1">
        <f t="shared" si="27"/>
        <v>0</v>
      </c>
      <c r="U375" s="1">
        <f t="shared" si="28"/>
        <v>1</v>
      </c>
      <c r="V375" s="1">
        <f t="shared" si="29"/>
        <v>0</v>
      </c>
    </row>
    <row r="376" x14ac:dyDescent="0.25">
      <c r="A376" s="1">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v>46205</v>
      </c>
      <c r="N376" s="2">
        <v>46205</v>
      </c>
      <c r="O376" s="1" t="str">
        <v>Realizada completa</v>
      </c>
      <c r="P376" s="1">
        <v>37</v>
      </c>
      <c r="Q376" s="1" t="str">
        <v>A distancia asistido</v>
      </c>
      <c r="R376" s="1">
        <f t="shared" si="25"/>
        <v>1</v>
      </c>
      <c r="S376" s="1">
        <f t="shared" si="26"/>
        <v>0</v>
      </c>
      <c r="T376" s="1">
        <f t="shared" si="27"/>
        <v>0</v>
      </c>
      <c r="U376" s="1">
        <f t="shared" si="28"/>
        <v>1</v>
      </c>
      <c r="V376" s="1">
        <f t="shared" si="29"/>
        <v>0</v>
      </c>
    </row>
    <row r="377" x14ac:dyDescent="0.25">
      <c r="A377" s="1">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v>46216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c>
      <c r="J384" s="2" t="str">
        <v/>
      </c>
      <c r="K384" s="2" t="str">
        <v/>
      </c>
      <c r="L384" s="1" t="str">
        <v/>
      </c>
      <c r="M384" s="2" t="str">
        <v/>
      </c>
      <c r="N384" s="2" t="str">
        <v/>
      </c>
      <c r="O384" s="1" t="str">
        <v/>
      </c>
      <c r="P384" s="1" t="str">
        <v/>
      </c>
      <c r="Q384" s="1" t="str">
        <v/>
      </c>
      <c r="R384" s="1">
        <f t="shared" si="25"/>
        <v>0</v>
      </c>
      <c r="S384" s="1">
        <f t="shared" si="26"/>
        <v>0</v>
      </c>
      <c r="T384" s="1">
        <f t="shared" si="27"/>
        <v>0</v>
      </c>
      <c r="U384" s="1">
        <f t="shared" si="28"/>
        <v>0</v>
      </c>
      <c r="V384" s="1">
        <f t="shared" si="29"/>
        <v>0</v>
      </c>
    </row>
    <row r="385" x14ac:dyDescent="0.25">
      <c r="A385" s="1">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
      </c>
      <c r="I385" s="2">
        <v>46216</v>
      </c>
      <c r="J385" s="2" t="str">
        <v/>
      </c>
      <c r="K385" s="2" t="str">
        <v/>
      </c>
      <c r="L385" s="1" t="str">
        <v>Realizada completa</v>
      </c>
      <c r="M385" s="2">
        <v>46217</v>
      </c>
      <c r="N385" s="2">
        <v>46217</v>
      </c>
      <c r="O385" s="1" t="str">
        <v>Realizada completa</v>
      </c>
      <c r="P385" s="1">
        <v>32</v>
      </c>
      <c r="Q385" s="1" t="str">
        <v>A distancia asistido</v>
      </c>
      <c r="R385" s="1">
        <f t="shared" si="25"/>
        <v>0</v>
      </c>
      <c r="S385" s="1">
        <f t="shared" si="26"/>
        <v>0</v>
      </c>
      <c r="T385" s="1">
        <f t="shared" si="27"/>
        <v>0</v>
      </c>
      <c r="U385" s="1">
        <f t="shared" si="28"/>
        <v>1</v>
      </c>
      <c r="V385" s="1">
        <f t="shared" si="29"/>
        <v>0</v>
      </c>
    </row>
    <row r="386" x14ac:dyDescent="0.25">
      <c r="A386" s="1">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v>46216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v>391</v>
      </c>
      <c r="B392" s="1" t="str">
        <v>Paul Pilco</v>
      </c>
      <c r="C392" s="1" t="str">
        <v>Radio Titanka</v>
      </c>
      <c r="D392" s="1" t="str">
        <v>Entrevista de actores clave</v>
      </c>
      <c r="E392" s="1" t="str">
        <v>Prensa</v>
      </c>
      <c r="F392" s="1" t="str">
        <v>Distrito Judicial: Apurímac</v>
      </c>
      <c r="G392" s="1" t="str">
        <v>APOYO</v>
      </c>
      <c r="H392" s="1" t="str">
        <v>Sí</v>
      </c>
      <c r="I392" s="2">
        <v>46211</v>
      </c>
      <c r="J392" s="2" t="str">
        <v/>
      </c>
      <c r="K392" s="2" t="str">
        <v/>
      </c>
      <c r="L392" s="1" t="str">
        <v>Aceptada</v>
      </c>
      <c r="M392" s="2" t="str">
        <v/>
      </c>
      <c r="N392" s="2" t="str">
        <v/>
      </c>
      <c r="O392" s="1" t="str">
        <v>Aceptada</v>
      </c>
      <c r="P392" s="1" t="str">
        <v/>
      </c>
      <c r="Q392" s="1" t="str">
        <v>A distancia asistido</v>
      </c>
      <c r="R392" s="1">
        <f t="shared" si="30"/>
        <v>1</v>
      </c>
      <c r="S392" s="1">
        <f t="shared" si="31"/>
        <v>0</v>
      </c>
      <c r="T392" s="1">
        <f t="shared" si="32"/>
        <v>1</v>
      </c>
      <c r="U392" s="1">
        <f t="shared" si="33"/>
        <v>0</v>
      </c>
      <c r="V392" s="1">
        <f t="shared" si="34"/>
        <v>0</v>
      </c>
    </row>
    <row r="393" x14ac:dyDescent="0.25">
      <c r="A393" s="1">
        <v>392</v>
      </c>
      <c r="B393" s="1" t="str">
        <v>Geraldine Santos</v>
      </c>
      <c r="C393" s="1" t="str">
        <v>Mongabai Latam</v>
      </c>
      <c r="D393" s="1" t="str">
        <v>Entrevista de actores clave</v>
      </c>
      <c r="E393" s="1" t="str">
        <v>Prensa</v>
      </c>
      <c r="F393" s="1" t="str">
        <v>Distrito Judicial: Huánuco</v>
      </c>
      <c r="G393" s="1" t="str">
        <v>APOYO</v>
      </c>
      <c r="H393" s="1" t="str">
        <v>Sí</v>
      </c>
      <c r="I393" s="2">
        <v>46211</v>
      </c>
      <c r="J393" s="2" t="str">
        <v/>
      </c>
      <c r="K393" s="2" t="str">
        <v/>
      </c>
      <c r="L393" s="1" t="str">
        <v>Realizada completa</v>
      </c>
      <c r="M393" s="2">
        <v>46213</v>
      </c>
      <c r="N393" s="2">
        <v>46213</v>
      </c>
      <c r="O393" s="1" t="str">
        <v>Realizada completa</v>
      </c>
      <c r="P393" s="1">
        <v>29</v>
      </c>
      <c r="Q393" s="1" t="str">
        <v>A distancia asistido</v>
      </c>
      <c r="R393" s="1">
        <f t="shared" si="30"/>
        <v>1</v>
      </c>
      <c r="S393" s="1">
        <f t="shared" si="31"/>
        <v>0</v>
      </c>
      <c r="T393" s="1">
        <f t="shared" si="32"/>
        <v>0</v>
      </c>
      <c r="U393" s="1">
        <f t="shared" si="33"/>
        <v>1</v>
      </c>
      <c r="V393" s="1">
        <f t="shared" si="34"/>
        <v>0</v>
      </c>
    </row>
    <row r="394" x14ac:dyDescent="0.25">
      <c r="A394" s="1">
        <v>393</v>
      </c>
      <c r="B394" s="1" t="str">
        <v>Alindor Vasquez</v>
      </c>
      <c r="C394" s="1" t="str">
        <v/>
      </c>
      <c r="D394" s="1" t="str">
        <v>Entrevista de actores clave</v>
      </c>
      <c r="E394" s="1" t="str">
        <v>Prensa</v>
      </c>
      <c r="F394" s="1" t="str">
        <v>Distrito Judicial: Cajamarca</v>
      </c>
      <c r="G394" s="1" t="str">
        <v>APOYO</v>
      </c>
      <c r="H394" s="1" t="str">
        <v>Sí</v>
      </c>
      <c r="I394" s="2">
        <v>46211</v>
      </c>
      <c r="J394" s="2" t="str">
        <v/>
      </c>
      <c r="K394" s="2" t="str">
        <v/>
      </c>
      <c r="L394" s="1" t="str">
        <v>Aceptada</v>
      </c>
      <c r="M394" s="2" t="str">
        <v/>
      </c>
      <c r="N394" s="2" t="str">
        <v/>
      </c>
      <c r="O394" s="1" t="str">
        <v>Aceptada</v>
      </c>
      <c r="P394" s="1" t="str">
        <v/>
      </c>
      <c r="Q394" s="1" t="str">
        <v/>
      </c>
      <c r="R394" s="1">
        <f t="shared" si="30"/>
        <v>1</v>
      </c>
      <c r="S394" s="1">
        <f t="shared" si="31"/>
        <v>0</v>
      </c>
      <c r="T394" s="1">
        <f t="shared" si="32"/>
        <v>1</v>
      </c>
      <c r="U394" s="1">
        <f t="shared" si="33"/>
        <v>0</v>
      </c>
      <c r="V394" s="1">
        <f t="shared" si="34"/>
        <v>0</v>
      </c>
    </row>
    <row r="395" x14ac:dyDescent="0.25">
      <c r="A395" s="1">
        <v>394</v>
      </c>
      <c r="B395" s="1" t="str">
        <v>Adrián Sarria Muñoz</v>
      </c>
      <c r="C395" s="1" t="str">
        <v/>
      </c>
      <c r="D395" s="1" t="str">
        <v>Entrevista de actores clave</v>
      </c>
      <c r="E395" s="1" t="str">
        <v>Prensa</v>
      </c>
      <c r="F395" s="1" t="str">
        <v>Distrito Judicial: Ayacucho</v>
      </c>
      <c r="G395" s="1" t="str">
        <v>APOYO</v>
      </c>
      <c r="H395" s="1" t="str">
        <v>Sí</v>
      </c>
      <c r="I395" s="2">
        <v>46211</v>
      </c>
      <c r="J395" s="2" t="str">
        <v/>
      </c>
      <c r="K395" s="2" t="str">
        <v/>
      </c>
      <c r="L395" s="1" t="str">
        <v>Aceptada</v>
      </c>
      <c r="M395" s="2" t="str">
        <v/>
      </c>
      <c r="N395" s="2" t="str">
        <v/>
      </c>
      <c r="O395" s="1" t="str">
        <v>Aceptada</v>
      </c>
      <c r="P395" s="1" t="str">
        <v/>
      </c>
      <c r="Q395" s="1" t="str">
        <v>A distancia asistido</v>
      </c>
      <c r="R395" s="1">
        <f t="shared" si="30"/>
        <v>1</v>
      </c>
      <c r="S395" s="1">
        <f t="shared" si="31"/>
        <v>0</v>
      </c>
      <c r="T395" s="1">
        <f t="shared" si="32"/>
        <v>1</v>
      </c>
      <c r="U395" s="1">
        <f t="shared" si="33"/>
        <v>0</v>
      </c>
      <c r="V395" s="1">
        <f t="shared" si="34"/>
        <v>0</v>
      </c>
    </row>
    <row r="396" x14ac:dyDescent="0.25">
      <c r="A396" s="1">
        <v>395</v>
      </c>
      <c r="B396" s="1" t="str">
        <v>Rosario Romani</v>
      </c>
      <c r="C396" s="1" t="str">
        <v>Infopaís</v>
      </c>
      <c r="D396" s="1" t="str">
        <v>Entrevista de actores clave</v>
      </c>
      <c r="E396" s="1" t="str">
        <v>Prensa</v>
      </c>
      <c r="F396" s="1" t="str">
        <v>Distrito Judicial: Ayacucho</v>
      </c>
      <c r="G396" s="1" t="str">
        <v>APOYO</v>
      </c>
      <c r="H396" s="1" t="str">
        <v>Sí</v>
      </c>
      <c r="I396" s="2">
        <v>46211</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v>396</v>
      </c>
      <c r="B397" s="1" t="str">
        <v>Jorge Martin Carrillo Rojas</v>
      </c>
      <c r="C397" s="1" t="str">
        <v>Pro y Contra</v>
      </c>
      <c r="D397" s="1" t="str">
        <v>Entrevista de actores clave</v>
      </c>
      <c r="E397" s="1" t="str">
        <v>Prensa</v>
      </c>
      <c r="F397" s="1" t="str">
        <v>Distrito Judicial: Loreto</v>
      </c>
      <c r="G397" s="1" t="str">
        <v>APOYO</v>
      </c>
      <c r="H397" s="1" t="str">
        <v>Sí</v>
      </c>
      <c r="I397" s="2">
        <v>46211</v>
      </c>
      <c r="J397" s="2" t="str">
        <v/>
      </c>
      <c r="K397" s="2" t="str">
        <v/>
      </c>
      <c r="L397" s="1" t="str">
        <v>Realizada completa</v>
      </c>
      <c r="M397" s="2">
        <v>46216</v>
      </c>
      <c r="N397" s="2">
        <v>46216</v>
      </c>
      <c r="O397" s="1" t="str">
        <v>Realizada completa</v>
      </c>
      <c r="P397" s="1">
        <v>48</v>
      </c>
      <c r="Q397" s="1" t="str">
        <v>A distancia asistido</v>
      </c>
      <c r="R397" s="1">
        <f t="shared" si="30"/>
        <v>1</v>
      </c>
      <c r="S397" s="1">
        <f t="shared" si="31"/>
        <v>0</v>
      </c>
      <c r="T397" s="1">
        <f t="shared" si="32"/>
        <v>0</v>
      </c>
      <c r="U397" s="1">
        <f t="shared" si="33"/>
        <v>1</v>
      </c>
      <c r="V397" s="1">
        <f t="shared" si="34"/>
        <v>0</v>
      </c>
    </row>
    <row r="398" x14ac:dyDescent="0.25">
      <c r="A398" s="1">
        <v>397</v>
      </c>
      <c r="B398" s="1" t="str">
        <v>Fernando Gonzales</v>
      </c>
      <c r="C398" s="1" t="str">
        <v>Selvática Televisión</v>
      </c>
      <c r="D398" s="1" t="str">
        <v>Entrevista de actores clave</v>
      </c>
      <c r="E398" s="1" t="str">
        <v>Prensa</v>
      </c>
      <c r="F398" s="1" t="str">
        <v>Distrito Judicial: Ucayali</v>
      </c>
      <c r="G398" s="1" t="str">
        <v>APOYO</v>
      </c>
      <c r="H398" s="1" t="str">
        <v>Sí</v>
      </c>
      <c r="I398" s="2">
        <v>46211</v>
      </c>
      <c r="J398" s="2" t="str">
        <v/>
      </c>
      <c r="K398" s="2" t="str">
        <v/>
      </c>
      <c r="L398" s="1" t="str">
        <v>Realizada completa</v>
      </c>
      <c r="M398" s="2">
        <v>46212</v>
      </c>
      <c r="N398" s="2">
        <v>46212</v>
      </c>
      <c r="O398" s="1" t="str">
        <v>Realizada completa</v>
      </c>
      <c r="P398" s="1">
        <v>40</v>
      </c>
      <c r="Q398" s="1" t="str">
        <v>A distancia asistido</v>
      </c>
      <c r="R398" s="1">
        <f t="shared" si="30"/>
        <v>1</v>
      </c>
      <c r="S398" s="1">
        <f t="shared" si="31"/>
        <v>0</v>
      </c>
      <c r="T398" s="1">
        <f t="shared" si="32"/>
        <v>0</v>
      </c>
      <c r="U398" s="1">
        <f t="shared" si="33"/>
        <v>1</v>
      </c>
      <c r="V398" s="1">
        <f t="shared" si="34"/>
        <v>0</v>
      </c>
    </row>
    <row r="399" x14ac:dyDescent="0.25">
      <c r="A399" s="1">
        <v>398</v>
      </c>
      <c r="B399" s="1" t="str">
        <v>Italo García</v>
      </c>
      <c r="C399" s="1" t="str">
        <v/>
      </c>
      <c r="D399" s="1" t="str">
        <v>Entrevista de actores clave</v>
      </c>
      <c r="E399" s="1" t="str">
        <v>Prensa</v>
      </c>
      <c r="F399" s="1" t="str">
        <v>Distrito Judicial: Ucayali</v>
      </c>
      <c r="G399" s="1" t="str">
        <v>APOYO</v>
      </c>
      <c r="H399" s="1" t="str">
        <v>Sí</v>
      </c>
      <c r="I399" s="2">
        <v>46211</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v>399</v>
      </c>
      <c r="B400" s="1" t="str">
        <v>JORGE LUIS UPIACHIHUA HIDALGO</v>
      </c>
      <c r="C400" s="1" t="str">
        <v>Abogados</v>
      </c>
      <c r="D400" s="1" t="str">
        <v>Entrevista de actores clave</v>
      </c>
      <c r="E400" s="1" t="str">
        <v>Acompañantes</v>
      </c>
      <c r="F400" s="1" t="str">
        <v/>
      </c>
      <c r="G400" s="1" t="str">
        <v>IJM</v>
      </c>
      <c r="H400" s="1" t="str">
        <v>Sí</v>
      </c>
      <c r="I400" s="2">
        <v>46210</v>
      </c>
      <c r="J400" s="2">
        <v>46211</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v>46209</v>
      </c>
      <c r="N401" s="2">
        <v>46209</v>
      </c>
      <c r="O401" s="1" t="str">
        <v>Realizada completa</v>
      </c>
      <c r="P401" s="1">
        <v>36</v>
      </c>
      <c r="Q401" s="1" t="str">
        <v>A distancia asistido</v>
      </c>
      <c r="R401" s="1">
        <f t="shared" si="30"/>
        <v>1</v>
      </c>
      <c r="S401" s="1">
        <f t="shared" si="31"/>
        <v>0</v>
      </c>
      <c r="T401" s="1">
        <f t="shared" si="32"/>
        <v>0</v>
      </c>
      <c r="U401" s="1">
        <f t="shared" si="33"/>
        <v>1</v>
      </c>
      <c r="V401" s="1">
        <f t="shared" si="34"/>
        <v>0</v>
      </c>
    </row>
    <row r="402" x14ac:dyDescent="0.25">
      <c r="A402" s="1">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
      </c>
      <c r="M414" s="2" t="str">
        <v/>
      </c>
      <c r="N414" s="2" t="str">
        <v/>
      </c>
      <c r="O414" s="1" t="str">
        <v/>
      </c>
      <c r="P414" s="1" t="str">
        <v/>
      </c>
      <c r="Q414" s="1" t="str">
        <v/>
      </c>
      <c r="R414" s="1">
        <f t="shared" si="30"/>
        <v>0</v>
      </c>
      <c r="S414" s="1">
        <f t="shared" si="31"/>
        <v>0</v>
      </c>
      <c r="T414" s="1">
        <f t="shared" si="32"/>
        <v>0</v>
      </c>
      <c r="U414" s="1">
        <f t="shared" si="33"/>
        <v>0</v>
      </c>
      <c r="V414" s="1">
        <f t="shared" si="34"/>
        <v>0</v>
      </c>
    </row>
    <row r="415" x14ac:dyDescent="0.25">
      <c r="A415" s="1">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
      </c>
      <c r="M415" s="2" t="str">
        <v/>
      </c>
      <c r="N415" s="2" t="str">
        <v/>
      </c>
      <c r="O415" s="1" t="str">
        <v/>
      </c>
      <c r="P415" s="1" t="str">
        <v/>
      </c>
      <c r="Q415" s="1" t="str">
        <v/>
      </c>
      <c r="R415" s="1">
        <f t="shared" si="30"/>
        <v>0</v>
      </c>
      <c r="S415" s="1">
        <f t="shared" si="31"/>
        <v>0</v>
      </c>
      <c r="T415" s="1">
        <f t="shared" si="32"/>
        <v>0</v>
      </c>
      <c r="U415" s="1">
        <f t="shared" si="33"/>
        <v>0</v>
      </c>
      <c r="V415" s="1">
        <f t="shared" si="34"/>
        <v>0</v>
      </c>
    </row>
    <row r="416" x14ac:dyDescent="0.25">
      <c r="A416" s="1">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v>46216</v>
      </c>
      <c r="N444" s="2">
        <v>46216</v>
      </c>
      <c r="O444" s="1" t="str">
        <v>Realizada completa</v>
      </c>
      <c r="P444" s="1">
        <v>32</v>
      </c>
      <c r="Q444" s="1" t="str">
        <v>A distancia asistido</v>
      </c>
      <c r="R444" s="1">
        <f t="shared" si="30"/>
        <v>1</v>
      </c>
      <c r="S444" s="1">
        <f t="shared" si="31"/>
        <v>0</v>
      </c>
      <c r="T444" s="1">
        <f t="shared" si="32"/>
        <v>0</v>
      </c>
      <c r="U444" s="1">
        <f t="shared" si="33"/>
        <v>1</v>
      </c>
      <c r="V444" s="1">
        <f t="shared" si="34"/>
        <v>0</v>
      </c>
    </row>
    <row r="445" x14ac:dyDescent="0.25">
      <c r="A445" s="1">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
      </c>
      <c r="M451" s="2" t="str">
        <v/>
      </c>
      <c r="N451" s="2" t="str">
        <v/>
      </c>
      <c r="O451" s="1" t="str">
        <v/>
      </c>
      <c r="P451" s="1" t="str">
        <v/>
      </c>
      <c r="Q451" s="1" t="str">
        <v/>
      </c>
      <c r="R451" s="1">
        <f t="shared" ref="R451:R514" si="35">IF(H451="Sí",1,0)</f>
        <v>0</v>
      </c>
      <c r="S451" s="1">
        <f t="shared" ref="S451:S514" si="36">IF(L451="En coordinación",1,0)</f>
        <v>0</v>
      </c>
      <c r="T451" s="1">
        <f t="shared" ref="T451:T514" si="37">IF(L451="Aceptada",1,0)</f>
        <v>0</v>
      </c>
      <c r="U451" s="1">
        <f t="shared" ref="U451:U514" si="38">IF(OR(L451="Realizada completa",L451="Realizada incompleta"),1,0)</f>
        <v>0</v>
      </c>
      <c r="V451" s="1">
        <f t="shared" ref="V451:V514" si="39">IF(L451="Sin respuesta",1,0)</f>
        <v>0</v>
      </c>
    </row>
    <row r="452" x14ac:dyDescent="0.25">
      <c r="A452" s="1">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v>474</v>
      </c>
      <c r="B475" s="1" t="str">
        <v>Percy José Paredes Villarreal </v>
      </c>
      <c r="C475" s="1" t="str">
        <v>Ministerio de la Mujer </v>
      </c>
      <c r="D475" s="1" t="str">
        <v>Entrevista de actores clave</v>
      </c>
      <c r="E475" s="1" t="str">
        <v>Funcionarios del Sistema</v>
      </c>
      <c r="F475" s="1" t="str">
        <v>Distrito Judicial: Cajamarca</v>
      </c>
      <c r="G475" s="1" t="str">
        <v/>
      </c>
      <c r="H475" s="1" t="str">
        <v/>
      </c>
      <c r="I475" s="2" t="str">
        <v/>
      </c>
      <c r="J475" s="2" t="str">
        <v/>
      </c>
      <c r="K475" s="2" t="str">
        <v/>
      </c>
      <c r="L475" s="1" t="str">
        <v/>
      </c>
      <c r="M475" s="2" t="str">
        <v/>
      </c>
      <c r="N475" s="2" t="str">
        <v/>
      </c>
      <c r="O475" s="1" t="str">
        <v/>
      </c>
      <c r="P475" s="1" t="str">
        <v/>
      </c>
      <c r="Q475" s="1" t="str">
        <v/>
      </c>
      <c r="R475" s="1">
        <f t="shared" si="35"/>
        <v>0</v>
      </c>
      <c r="S475" s="1">
        <f t="shared" si="36"/>
        <v>0</v>
      </c>
      <c r="T475" s="1">
        <f t="shared" si="37"/>
        <v>0</v>
      </c>
      <c r="U475" s="1">
        <f t="shared" si="38"/>
        <v>0</v>
      </c>
      <c r="V475" s="1">
        <f t="shared" si="39"/>
        <v>0</v>
      </c>
    </row>
    <row r="476" x14ac:dyDescent="0.25">
      <c r="A476" s="1">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v>46213</v>
      </c>
      <c r="N476" s="2">
        <v>46213</v>
      </c>
      <c r="O476" s="1" t="str">
        <v>Realizada completa</v>
      </c>
      <c r="P476" s="1">
        <v>38</v>
      </c>
      <c r="Q476" s="1" t="str">
        <v>A distancia asistido</v>
      </c>
      <c r="R476" s="1">
        <f t="shared" si="35"/>
        <v>1</v>
      </c>
      <c r="S476" s="1">
        <f t="shared" si="36"/>
        <v>0</v>
      </c>
      <c r="T476" s="1">
        <f t="shared" si="37"/>
        <v>0</v>
      </c>
      <c r="U476" s="1">
        <f t="shared" si="38"/>
        <v>1</v>
      </c>
      <c r="V476" s="1">
        <f t="shared" si="39"/>
        <v>0</v>
      </c>
    </row>
    <row r="477" x14ac:dyDescent="0.25">
      <c r="A477" s="1">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
      </c>
      <c r="M483" s="2" t="str">
        <v/>
      </c>
      <c r="N483" s="2" t="str">
        <v/>
      </c>
      <c r="O483" s="1" t="str">
        <v/>
      </c>
      <c r="P483" s="1" t="str">
        <v/>
      </c>
      <c r="Q483" s="1" t="str">
        <v/>
      </c>
      <c r="R483" s="1">
        <f t="shared" si="35"/>
        <v>0</v>
      </c>
      <c r="S483" s="1">
        <f t="shared" si="36"/>
        <v>0</v>
      </c>
      <c r="T483" s="1">
        <f t="shared" si="37"/>
        <v>0</v>
      </c>
      <c r="U483" s="1">
        <f t="shared" si="38"/>
        <v>0</v>
      </c>
      <c r="V483" s="1">
        <f t="shared" si="39"/>
        <v>0</v>
      </c>
    </row>
    <row r="484" x14ac:dyDescent="0.25">
      <c r="A484" s="1">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t="str">
        <v/>
      </c>
      <c r="B495" s="1" t="str">
        <v/>
      </c>
      <c r="C495" s="1" t="str">
        <v/>
      </c>
      <c r="D495" s="1" t="str">
        <v/>
      </c>
      <c r="E495" s="1" t="str">
        <v/>
      </c>
      <c r="F495" s="1" t="str">
        <v/>
      </c>
      <c r="G495" s="1" t="str">
        <v/>
      </c>
      <c r="H495" s="1" t="str">
        <v/>
      </c>
      <c r="I495" s="2" t="str">
        <v/>
      </c>
      <c r="J495" s="2" t="str">
        <v/>
      </c>
      <c r="K495" s="2" t="str">
        <v/>
      </c>
      <c r="L495" s="1" t="str">
        <v/>
      </c>
      <c r="M495" s="2" t="str">
        <v/>
      </c>
      <c r="N495" s="2" t="str">
        <v/>
      </c>
      <c r="O495" s="1" t="str">
        <v/>
      </c>
      <c r="P495" s="1" t="str">
        <v/>
      </c>
      <c r="Q495" s="1" t="str">
        <v/>
      </c>
      <c r="R495" s="1">
        <f t="shared" si="35"/>
        <v>0</v>
      </c>
      <c r="S495" s="1">
        <f t="shared" si="36"/>
        <v>0</v>
      </c>
      <c r="T495" s="1">
        <f t="shared" si="37"/>
        <v>0</v>
      </c>
      <c r="U495" s="1">
        <f t="shared" si="38"/>
        <v>0</v>
      </c>
      <c r="V495" s="1">
        <f t="shared" si="39"/>
        <v>0</v>
      </c>
    </row>
    <row r="496" x14ac:dyDescent="0.25">
      <c r="A496" s="1" t="str">
        <v/>
      </c>
      <c r="B496" s="1" t="str">
        <v/>
      </c>
      <c r="C496" s="1" t="str">
        <v/>
      </c>
      <c r="D496" s="1" t="str">
        <v/>
      </c>
      <c r="E496" s="1" t="str">
        <v/>
      </c>
      <c r="F496" s="1" t="str">
        <v/>
      </c>
      <c r="G496" s="1" t="str">
        <v/>
      </c>
      <c r="H496" s="1" t="str">
        <v/>
      </c>
      <c r="I496" s="2" t="str">
        <v/>
      </c>
      <c r="J496" s="2" t="str">
        <v/>
      </c>
      <c r="K496" s="2" t="str">
        <v/>
      </c>
      <c r="L496" s="1" t="str">
        <v/>
      </c>
      <c r="M496" s="2" t="str">
        <v/>
      </c>
      <c r="N496" s="2" t="str">
        <v/>
      </c>
      <c r="O496" s="1" t="str">
        <v/>
      </c>
      <c r="P496" s="1" t="str">
        <v/>
      </c>
      <c r="Q496" s="1" t="str">
        <v/>
      </c>
      <c r="R496" s="1">
        <f t="shared" si="35"/>
        <v>0</v>
      </c>
      <c r="S496" s="1">
        <f t="shared" si="36"/>
        <v>0</v>
      </c>
      <c r="T496" s="1">
        <f t="shared" si="37"/>
        <v>0</v>
      </c>
      <c r="U496" s="1">
        <f t="shared" si="38"/>
        <v>0</v>
      </c>
      <c r="V496" s="1">
        <f t="shared" si="39"/>
        <v>0</v>
      </c>
    </row>
    <row r="497" x14ac:dyDescent="0.25">
      <c r="A497" s="1" t="str">
        <v/>
      </c>
      <c r="B497" s="1" t="str">
        <v/>
      </c>
      <c r="C497" s="1" t="str">
        <v/>
      </c>
      <c r="D497" s="1" t="str">
        <v/>
      </c>
      <c r="E497" s="1" t="str">
        <v/>
      </c>
      <c r="F497" s="1" t="str">
        <v/>
      </c>
      <c r="G497" s="1" t="str">
        <v/>
      </c>
      <c r="H497" s="1" t="str">
        <v/>
      </c>
      <c r="I497" s="2" t="str">
        <v/>
      </c>
      <c r="J497" s="2" t="str">
        <v/>
      </c>
      <c r="K497" s="2" t="str">
        <v/>
      </c>
      <c r="L497" s="1" t="str">
        <v/>
      </c>
      <c r="M497" s="2" t="str">
        <v/>
      </c>
      <c r="N497" s="2" t="str">
        <v/>
      </c>
      <c r="O497" s="1" t="str">
        <v/>
      </c>
      <c r="P497" s="1" t="str">
        <v/>
      </c>
      <c r="Q497" s="1" t="str">
        <v/>
      </c>
      <c r="R497" s="1">
        <f t="shared" si="35"/>
        <v>0</v>
      </c>
      <c r="S497" s="1">
        <f t="shared" si="36"/>
        <v>0</v>
      </c>
      <c r="T497" s="1">
        <f t="shared" si="37"/>
        <v>0</v>
      </c>
      <c r="U497" s="1">
        <f t="shared" si="38"/>
        <v>0</v>
      </c>
      <c r="V497" s="1">
        <f t="shared" si="39"/>
        <v>0</v>
      </c>
    </row>
    <row r="498" x14ac:dyDescent="0.25">
      <c r="A498" s="1" t="str">
        <v/>
      </c>
      <c r="B498" s="1" t="str">
        <v/>
      </c>
      <c r="C498" s="1" t="str">
        <v/>
      </c>
      <c r="D498" s="1" t="str">
        <v/>
      </c>
      <c r="E498" s="1" t="str">
        <v/>
      </c>
      <c r="F498" s="1" t="str">
        <v/>
      </c>
      <c r="G498" s="1" t="str">
        <v/>
      </c>
      <c r="H498" s="1" t="str">
        <v/>
      </c>
      <c r="I498" s="2" t="str">
        <v/>
      </c>
      <c r="J498" s="2" t="str">
        <v/>
      </c>
      <c r="K498" s="2" t="str">
        <v/>
      </c>
      <c r="L498" s="1" t="str">
        <v/>
      </c>
      <c r="M498" s="2" t="str">
        <v/>
      </c>
      <c r="N498" s="2" t="str">
        <v/>
      </c>
      <c r="O498" s="1" t="str">
        <v/>
      </c>
      <c r="P498" s="1" t="str">
        <v/>
      </c>
      <c r="Q498" s="1" t="str">
        <v/>
      </c>
      <c r="R498" s="1">
        <f t="shared" si="35"/>
        <v>0</v>
      </c>
      <c r="S498" s="1">
        <f t="shared" si="36"/>
        <v>0</v>
      </c>
      <c r="T498" s="1">
        <f t="shared" si="37"/>
        <v>0</v>
      </c>
      <c r="U498" s="1">
        <f t="shared" si="38"/>
        <v>0</v>
      </c>
      <c r="V498" s="1">
        <f t="shared" si="39"/>
        <v>0</v>
      </c>
    </row>
    <row r="499" x14ac:dyDescent="0.25">
      <c r="A499" s="1" t="str">
        <v/>
      </c>
      <c r="B499" s="1" t="str">
        <v/>
      </c>
      <c r="C499" s="1" t="str">
        <v/>
      </c>
      <c r="D499" s="1" t="str">
        <v/>
      </c>
      <c r="E499" s="1" t="str">
        <v/>
      </c>
      <c r="F499" s="1" t="str">
        <v/>
      </c>
      <c r="G499" s="1" t="str">
        <v/>
      </c>
      <c r="H499" s="1" t="str">
        <v/>
      </c>
      <c r="I499" s="2" t="str">
        <v/>
      </c>
      <c r="J499" s="2" t="str">
        <v/>
      </c>
      <c r="K499" s="2" t="str">
        <v/>
      </c>
      <c r="L499" s="1" t="str">
        <v/>
      </c>
      <c r="M499" s="2" t="str">
        <v/>
      </c>
      <c r="N499" s="2" t="str">
        <v/>
      </c>
      <c r="O499" s="1" t="str">
        <v/>
      </c>
      <c r="P499" s="1" t="str">
        <v/>
      </c>
      <c r="Q499" s="1" t="str">
        <v/>
      </c>
      <c r="R499" s="1">
        <f t="shared" si="35"/>
        <v>0</v>
      </c>
      <c r="S499" s="1">
        <f t="shared" si="36"/>
        <v>0</v>
      </c>
      <c r="T499" s="1">
        <f t="shared" si="37"/>
        <v>0</v>
      </c>
      <c r="U499" s="1">
        <f t="shared" si="38"/>
        <v>0</v>
      </c>
      <c r="V499" s="1">
        <f t="shared" si="39"/>
        <v>0</v>
      </c>
    </row>
    <row r="500" x14ac:dyDescent="0.25">
      <c r="A500" s="1" t="str">
        <v/>
      </c>
      <c r="B500" s="1" t="str">
        <v/>
      </c>
      <c r="C500" s="1" t="str">
        <v/>
      </c>
      <c r="D500" s="1" t="str">
        <v/>
      </c>
      <c r="E500" s="1" t="str">
        <v/>
      </c>
      <c r="F500" s="1" t="str">
        <v/>
      </c>
      <c r="G500" s="1" t="str">
        <v/>
      </c>
      <c r="H500" s="1" t="str">
        <v/>
      </c>
      <c r="I500" s="2" t="str">
        <v/>
      </c>
      <c r="J500" s="2" t="str">
        <v/>
      </c>
      <c r="K500" s="2" t="str">
        <v/>
      </c>
      <c r="L500" s="1" t="str">
        <v/>
      </c>
      <c r="M500" s="2" t="str">
        <v/>
      </c>
      <c r="N500" s="2" t="str">
        <v/>
      </c>
      <c r="O500" s="1" t="str">
        <v/>
      </c>
      <c r="P500" s="1" t="str">
        <v/>
      </c>
      <c r="Q500" s="1" t="str">
        <v/>
      </c>
      <c r="R500" s="1">
        <f t="shared" si="35"/>
        <v>0</v>
      </c>
      <c r="S500" s="1">
        <f t="shared" si="36"/>
        <v>0</v>
      </c>
      <c r="T500" s="1">
        <f t="shared" si="37"/>
        <v>0</v>
      </c>
      <c r="U500" s="1">
        <f t="shared" si="38"/>
        <v>0</v>
      </c>
      <c r="V500" s="1">
        <f t="shared" si="39"/>
        <v>0</v>
      </c>
    </row>
    <row r="501" x14ac:dyDescent="0.25">
      <c r="A501" s="1" t="str">
        <v/>
      </c>
      <c r="B501" s="1" t="str">
        <v/>
      </c>
      <c r="C501" s="1" t="str">
        <v/>
      </c>
      <c r="D501" s="1" t="str">
        <v/>
      </c>
      <c r="E501" s="1" t="str">
        <v/>
      </c>
      <c r="F501" s="1" t="str">
        <v/>
      </c>
      <c r="G501" s="1" t="str">
        <v/>
      </c>
      <c r="H501" s="1" t="str">
        <v/>
      </c>
      <c r="I501" s="2" t="str">
        <v/>
      </c>
      <c r="J501" s="2" t="str">
        <v/>
      </c>
      <c r="K501" s="2" t="str">
        <v/>
      </c>
      <c r="L501" s="1" t="str">
        <v/>
      </c>
      <c r="M501" s="2" t="str">
        <v/>
      </c>
      <c r="N501" s="2" t="str">
        <v/>
      </c>
      <c r="O501" s="1" t="str">
        <v/>
      </c>
      <c r="P501" s="1" t="str">
        <v/>
      </c>
      <c r="Q501" s="1" t="str">
        <v/>
      </c>
      <c r="R501" s="1">
        <f t="shared" si="35"/>
        <v>0</v>
      </c>
      <c r="S501" s="1">
        <f t="shared" si="36"/>
        <v>0</v>
      </c>
      <c r="T501" s="1">
        <f t="shared" si="37"/>
        <v>0</v>
      </c>
      <c r="U501" s="1">
        <f t="shared" si="38"/>
        <v>0</v>
      </c>
      <c r="V501" s="1">
        <f t="shared" si="39"/>
        <v>0</v>
      </c>
    </row>
    <row r="502" x14ac:dyDescent="0.25">
      <c r="A502" s="1" t="str">
        <v/>
      </c>
      <c r="B502" s="1" t="str">
        <v/>
      </c>
      <c r="C502" s="1" t="str">
        <v/>
      </c>
      <c r="D502" s="1" t="str">
        <v/>
      </c>
      <c r="E502" s="1" t="str">
        <v/>
      </c>
      <c r="F502" s="1" t="str">
        <v/>
      </c>
      <c r="G502" s="1" t="str">
        <v/>
      </c>
      <c r="H502" s="1" t="str">
        <v/>
      </c>
      <c r="I502" s="2" t="str">
        <v/>
      </c>
      <c r="J502" s="2" t="str">
        <v/>
      </c>
      <c r="K502" s="2" t="str">
        <v/>
      </c>
      <c r="L502" s="1" t="str">
        <v/>
      </c>
      <c r="M502" s="2" t="str">
        <v/>
      </c>
      <c r="N502" s="2" t="str">
        <v/>
      </c>
      <c r="O502" s="1" t="str">
        <v/>
      </c>
      <c r="P502" s="1" t="str">
        <v/>
      </c>
      <c r="Q502" s="1" t="str">
        <v/>
      </c>
      <c r="R502" s="1">
        <f t="shared" si="35"/>
        <v>0</v>
      </c>
      <c r="S502" s="1">
        <f t="shared" si="36"/>
        <v>0</v>
      </c>
      <c r="T502" s="1">
        <f t="shared" si="37"/>
        <v>0</v>
      </c>
      <c r="U502" s="1">
        <f t="shared" si="38"/>
        <v>0</v>
      </c>
      <c r="V502" s="1">
        <f t="shared" si="39"/>
        <v>0</v>
      </c>
    </row>
    <row r="503" x14ac:dyDescent="0.25">
      <c r="A503" s="1" t="str">
        <v/>
      </c>
      <c r="B503" s="1" t="str">
        <v/>
      </c>
      <c r="C503" s="1" t="str">
        <v/>
      </c>
      <c r="D503" s="1" t="str">
        <v/>
      </c>
      <c r="E503" s="1" t="str">
        <v/>
      </c>
      <c r="F503" s="1" t="str">
        <v/>
      </c>
      <c r="G503" s="1" t="str">
        <v/>
      </c>
      <c r="H503" s="1" t="str">
        <v/>
      </c>
      <c r="I503" s="2" t="str">
        <v/>
      </c>
      <c r="J503" s="2" t="str">
        <v/>
      </c>
      <c r="K503" s="2" t="str">
        <v/>
      </c>
      <c r="L503" s="1" t="str">
        <v/>
      </c>
      <c r="M503" s="2" t="str">
        <v/>
      </c>
      <c r="N503" s="2" t="str">
        <v/>
      </c>
      <c r="O503" s="1" t="str">
        <v/>
      </c>
      <c r="P503" s="1" t="str">
        <v/>
      </c>
      <c r="Q503" s="1" t="str">
        <v/>
      </c>
      <c r="R503" s="1">
        <f t="shared" si="35"/>
        <v>0</v>
      </c>
      <c r="S503" s="1">
        <f t="shared" si="36"/>
        <v>0</v>
      </c>
      <c r="T503" s="1">
        <f t="shared" si="37"/>
        <v>0</v>
      </c>
      <c r="U503" s="1">
        <f t="shared" si="38"/>
        <v>0</v>
      </c>
      <c r="V503" s="1">
        <f t="shared" si="39"/>
        <v>0</v>
      </c>
    </row>
    <row r="504" x14ac:dyDescent="0.25">
      <c r="A504" s="1" t="str">
        <v/>
      </c>
      <c r="B504" s="1" t="str">
        <v/>
      </c>
      <c r="C504" s="1" t="str">
        <v/>
      </c>
      <c r="D504" s="1" t="str">
        <v/>
      </c>
      <c r="E504" s="1" t="str">
        <v/>
      </c>
      <c r="F504" s="1" t="str">
        <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t="str">
        <v/>
      </c>
      <c r="B505" s="1" t="str">
        <v/>
      </c>
      <c r="C505" s="1" t="str">
        <v/>
      </c>
      <c r="D505" s="1" t="str">
        <v/>
      </c>
      <c r="E505" s="1" t="str">
        <v/>
      </c>
      <c r="F505" s="1" t="str">
        <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t="str">
        <v/>
      </c>
      <c r="B506" s="1" t="str">
        <v/>
      </c>
      <c r="C506" s="1" t="str">
        <v/>
      </c>
      <c r="D506" s="1" t="str">
        <v/>
      </c>
      <c r="E506" s="1" t="str">
        <v/>
      </c>
      <c r="F506" s="1" t="str">
        <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t="str">
        <v/>
      </c>
      <c r="B507" s="1" t="str">
        <v/>
      </c>
      <c r="C507" s="1" t="str">
        <v/>
      </c>
      <c r="D507" s="1" t="str">
        <v/>
      </c>
      <c r="E507" s="1" t="str">
        <v/>
      </c>
      <c r="F507" s="1" t="str">
        <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t="str">
        <v/>
      </c>
      <c r="B508" s="1" t="str">
        <v/>
      </c>
      <c r="C508" s="1" t="str">
        <v/>
      </c>
      <c r="D508" s="1" t="str">
        <v/>
      </c>
      <c r="E508" s="1" t="str">
        <v/>
      </c>
      <c r="F508" s="1" t="str">
        <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t="str">
        <v/>
      </c>
      <c r="B509" s="1" t="str">
        <v/>
      </c>
      <c r="C509" s="1" t="str">
        <v/>
      </c>
      <c r="D509" s="1" t="str">
        <v/>
      </c>
      <c r="E509" s="1" t="str">
        <v/>
      </c>
      <c r="F509" s="1" t="str">
        <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t="str">
        <v/>
      </c>
      <c r="B510" s="1" t="str">
        <v/>
      </c>
      <c r="C510" s="1" t="str">
        <v/>
      </c>
      <c r="D510" s="1" t="str">
        <v/>
      </c>
      <c r="E510" s="1" t="str">
        <v/>
      </c>
      <c r="F510" s="1" t="str">
        <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t="str">
        <v/>
      </c>
      <c r="B511" s="1" t="str">
        <v/>
      </c>
      <c r="C511" s="1" t="str">
        <v/>
      </c>
      <c r="D511" s="1" t="str">
        <v/>
      </c>
      <c r="E511" s="1" t="str">
        <v/>
      </c>
      <c r="F511" s="1" t="str">
        <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t="str">
        <v/>
      </c>
      <c r="B512" s="1" t="str">
        <v/>
      </c>
      <c r="C512" s="1" t="str">
        <v/>
      </c>
      <c r="D512" s="1" t="str">
        <v/>
      </c>
      <c r="E512" s="1" t="str">
        <v/>
      </c>
      <c r="F512" s="1" t="str">
        <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t="str">
        <v/>
      </c>
      <c r="B513" s="1" t="str">
        <v/>
      </c>
      <c r="C513" s="1" t="str">
        <v/>
      </c>
      <c r="D513" s="1" t="str">
        <v/>
      </c>
      <c r="E513" s="1" t="str">
        <v/>
      </c>
      <c r="F513" s="1" t="str">
        <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t="str">
        <v/>
      </c>
      <c r="B514" s="1" t="str">
        <v/>
      </c>
      <c r="C514" s="1" t="str">
        <v/>
      </c>
      <c r="D514" s="1" t="str">
        <v/>
      </c>
      <c r="E514" s="1" t="str">
        <v/>
      </c>
      <c r="F514" s="1" t="str">
        <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t="str">
        <v/>
      </c>
      <c r="B515" s="1" t="str">
        <v/>
      </c>
      <c r="C515" s="1" t="str">
        <v/>
      </c>
      <c r="D515" s="1" t="str">
        <v/>
      </c>
      <c r="E515" s="1" t="str">
        <v/>
      </c>
      <c r="F515" s="1" t="str">
        <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t="str">
        <v/>
      </c>
      <c r="B516" s="1" t="str">
        <v/>
      </c>
      <c r="C516" s="1" t="str">
        <v/>
      </c>
      <c r="D516" s="1" t="str">
        <v/>
      </c>
      <c r="E516" s="1" t="str">
        <v/>
      </c>
      <c r="F516" s="1" t="str">
        <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t="str">
        <v/>
      </c>
      <c r="B517" s="1" t="str">
        <v/>
      </c>
      <c r="C517" s="1" t="str">
        <v/>
      </c>
      <c r="D517" s="1" t="str">
        <v/>
      </c>
      <c r="E517" s="1" t="str">
        <v/>
      </c>
      <c r="F517" s="1" t="str">
        <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t="str">
        <v/>
      </c>
      <c r="B518" s="1" t="str">
        <v/>
      </c>
      <c r="C518" s="1" t="str">
        <v/>
      </c>
      <c r="D518" s="1" t="str">
        <v/>
      </c>
      <c r="E518" s="1" t="str">
        <v/>
      </c>
      <c r="F518" s="1" t="str">
        <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t="str">
        <v/>
      </c>
      <c r="B519" s="1" t="str">
        <v/>
      </c>
      <c r="C519" s="1" t="str">
        <v/>
      </c>
      <c r="D519" s="1" t="str">
        <v/>
      </c>
      <c r="E519" s="1" t="str">
        <v/>
      </c>
      <c r="F519" s="1" t="str">
        <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t="str">
        <v/>
      </c>
      <c r="B520" s="1" t="str">
        <v/>
      </c>
      <c r="C520" s="1" t="str">
        <v/>
      </c>
      <c r="D520" s="1" t="str">
        <v/>
      </c>
      <c r="E520" s="1" t="str">
        <v/>
      </c>
      <c r="F520" s="1" t="str">
        <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t="str">
        <v/>
      </c>
      <c r="B521" s="1" t="str">
        <v/>
      </c>
      <c r="C521" s="1" t="str">
        <v/>
      </c>
      <c r="D521" s="1" t="str">
        <v/>
      </c>
      <c r="E521" s="1" t="str">
        <v/>
      </c>
      <c r="F521" s="1" t="str">
        <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t="str">
        <v/>
      </c>
      <c r="B522" s="1" t="str">
        <v/>
      </c>
      <c r="C522" s="1" t="str">
        <v/>
      </c>
      <c r="D522" s="1" t="str">
        <v/>
      </c>
      <c r="E522" s="1" t="str">
        <v/>
      </c>
      <c r="F522" s="1" t="str">
        <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t="str">
        <v/>
      </c>
      <c r="B523" s="1" t="str">
        <v/>
      </c>
      <c r="C523" s="1" t="str">
        <v/>
      </c>
      <c r="D523" s="1" t="str">
        <v/>
      </c>
      <c r="E523" s="1" t="str">
        <v/>
      </c>
      <c r="F523" s="1" t="str">
        <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t="str">
        <v/>
      </c>
      <c r="B524" s="1" t="str">
        <v/>
      </c>
      <c r="C524" s="1" t="str">
        <v/>
      </c>
      <c r="D524" s="1" t="str">
        <v/>
      </c>
      <c r="E524" s="1" t="str">
        <v/>
      </c>
      <c r="F524" s="1" t="str">
        <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t="str">
        <v/>
      </c>
      <c r="B525" s="1" t="str">
        <v/>
      </c>
      <c r="C525" s="1" t="str">
        <v/>
      </c>
      <c r="D525" s="1" t="str">
        <v/>
      </c>
      <c r="E525" s="1" t="str">
        <v/>
      </c>
      <c r="F525" s="1" t="str">
        <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t="str">
        <v/>
      </c>
      <c r="B526" s="1" t="str">
        <v/>
      </c>
      <c r="C526" s="1" t="str">
        <v/>
      </c>
      <c r="D526" s="1" t="str">
        <v/>
      </c>
      <c r="E526" s="1" t="str">
        <v/>
      </c>
      <c r="F526" s="1" t="str">
        <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t="str">
        <v/>
      </c>
      <c r="B527" s="1" t="str">
        <v/>
      </c>
      <c r="C527" s="1" t="str">
        <v/>
      </c>
      <c r="D527" s="1" t="str">
        <v/>
      </c>
      <c r="E527" s="1" t="str">
        <v/>
      </c>
      <c r="F527" s="1" t="str">
        <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t="str">
        <v/>
      </c>
      <c r="B528" s="1" t="str">
        <v/>
      </c>
      <c r="C528" s="1" t="str">
        <v/>
      </c>
      <c r="D528" s="1" t="str">
        <v/>
      </c>
      <c r="E528" s="1" t="str">
        <v/>
      </c>
      <c r="F528" s="1" t="str">
        <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t="str">
        <v/>
      </c>
      <c r="B529" s="1" t="str">
        <v/>
      </c>
      <c r="C529" s="1" t="str">
        <v/>
      </c>
      <c r="D529" s="1" t="str">
        <v/>
      </c>
      <c r="E529" s="1" t="str">
        <v/>
      </c>
      <c r="F529" s="1" t="str">
        <v/>
      </c>
      <c r="G529" s="1" t="str">
        <v/>
      </c>
      <c r="H529" s="1" t="str">
        <v/>
      </c>
      <c r="I529" s="2" t="str">
        <v/>
      </c>
      <c r="J529" s="2" t="str">
        <v/>
      </c>
      <c r="K529" s="2" t="str">
        <v/>
      </c>
      <c r="L529" s="1" t="str">
        <v/>
      </c>
      <c r="M529" s="2" t="str">
        <v/>
      </c>
      <c r="N529" s="2" t="str">
        <v/>
      </c>
      <c r="O529" s="1" t="str">
        <v/>
      </c>
      <c r="P529" s="1" t="str">
        <v/>
      </c>
      <c r="Q529" s="1" t="str">
        <v/>
      </c>
      <c r="R529" s="1">
        <f t="shared" si="40"/>
        <v>0</v>
      </c>
      <c r="S529" s="1">
        <f t="shared" si="41"/>
        <v>0</v>
      </c>
      <c r="T529" s="1">
        <f t="shared" si="42"/>
        <v>0</v>
      </c>
      <c r="U529" s="1">
        <f t="shared" si="43"/>
        <v>0</v>
      </c>
      <c r="V529" s="1">
        <f t="shared" si="44"/>
        <v>0</v>
      </c>
    </row>
    <row r="530" x14ac:dyDescent="0.25">
      <c r="A530" s="1" t="str">
        <v/>
      </c>
      <c r="B530" s="1" t="str">
        <v/>
      </c>
      <c r="C530" s="1" t="str">
        <v/>
      </c>
      <c r="D530" s="1" t="str">
        <v/>
      </c>
      <c r="E530" s="1" t="str">
        <v/>
      </c>
      <c r="F530" s="1" t="str">
        <v/>
      </c>
      <c r="G530" s="1" t="str">
        <v/>
      </c>
      <c r="H530" s="1" t="str">
        <v/>
      </c>
      <c r="I530" s="2" t="str">
        <v/>
      </c>
      <c r="J530" s="2" t="str">
        <v/>
      </c>
      <c r="K530" s="2" t="str">
        <v/>
      </c>
      <c r="L530" s="1" t="str">
        <v/>
      </c>
      <c r="M530" s="2" t="str">
        <v/>
      </c>
      <c r="N530" s="2" t="str">
        <v/>
      </c>
      <c r="O530" s="1" t="str">
        <v/>
      </c>
      <c r="P530" s="1" t="str">
        <v/>
      </c>
      <c r="Q530" s="1" t="str">
        <v/>
      </c>
      <c r="R530" s="1">
        <f t="shared" si="40"/>
        <v>0</v>
      </c>
      <c r="S530" s="1">
        <f t="shared" si="41"/>
        <v>0</v>
      </c>
      <c r="T530" s="1">
        <f t="shared" si="42"/>
        <v>0</v>
      </c>
      <c r="U530" s="1">
        <f t="shared" si="43"/>
        <v>0</v>
      </c>
      <c r="V530" s="1">
        <f t="shared" si="44"/>
        <v>0</v>
      </c>
    </row>
    <row r="531" x14ac:dyDescent="0.25">
      <c r="A531" s="1" t="str">
        <v/>
      </c>
      <c r="B531" s="1" t="str">
        <v/>
      </c>
      <c r="C531" s="1" t="str">
        <v/>
      </c>
      <c r="D531" s="1" t="str">
        <v/>
      </c>
      <c r="E531" s="1" t="str">
        <v/>
      </c>
      <c r="F531" s="1" t="str">
        <v/>
      </c>
      <c r="G531" s="1" t="str">
        <v/>
      </c>
      <c r="H531" s="1" t="str">
        <v/>
      </c>
      <c r="I531" s="2" t="str">
        <v/>
      </c>
      <c r="J531" s="2" t="str">
        <v/>
      </c>
      <c r="K531" s="2" t="str">
        <v/>
      </c>
      <c r="L531" s="1" t="str">
        <v/>
      </c>
      <c r="M531" s="2" t="str">
        <v/>
      </c>
      <c r="N531" s="2" t="str">
        <v/>
      </c>
      <c r="O531" s="1" t="str">
        <v/>
      </c>
      <c r="P531" s="1" t="str">
        <v/>
      </c>
      <c r="Q531" s="1" t="str">
        <v/>
      </c>
      <c r="R531" s="1">
        <f t="shared" si="40"/>
        <v>0</v>
      </c>
      <c r="S531" s="1">
        <f t="shared" si="41"/>
        <v>0</v>
      </c>
      <c r="T531" s="1">
        <f t="shared" si="42"/>
        <v>0</v>
      </c>
      <c r="U531" s="1">
        <f t="shared" si="43"/>
        <v>0</v>
      </c>
      <c r="V531" s="1">
        <f t="shared" si="44"/>
        <v>0</v>
      </c>
    </row>
    <row r="532" x14ac:dyDescent="0.25">
      <c r="A532" s="1" t="str">
        <v/>
      </c>
      <c r="B532" s="1" t="str">
        <v/>
      </c>
      <c r="C532" s="1" t="str">
        <v/>
      </c>
      <c r="D532" s="1" t="str">
        <v/>
      </c>
      <c r="E532" s="1" t="str">
        <v/>
      </c>
      <c r="F532" s="1" t="str">
        <v/>
      </c>
      <c r="G532" s="1" t="str">
        <v/>
      </c>
      <c r="H532" s="1" t="str">
        <v/>
      </c>
      <c r="I532" s="2" t="str">
        <v/>
      </c>
      <c r="J532" s="2" t="str">
        <v/>
      </c>
      <c r="K532" s="2" t="str">
        <v/>
      </c>
      <c r="L532" s="1" t="str">
        <v/>
      </c>
      <c r="M532" s="2" t="str">
        <v/>
      </c>
      <c r="N532" s="2" t="str">
        <v/>
      </c>
      <c r="O532" s="1" t="str">
        <v/>
      </c>
      <c r="P532" s="1" t="str">
        <v/>
      </c>
      <c r="Q532" s="1" t="str">
        <v/>
      </c>
      <c r="R532" s="1">
        <f t="shared" si="40"/>
        <v>0</v>
      </c>
      <c r="S532" s="1">
        <f t="shared" si="41"/>
        <v>0</v>
      </c>
      <c r="T532" s="1">
        <f t="shared" si="42"/>
        <v>0</v>
      </c>
      <c r="U532" s="1">
        <f t="shared" si="43"/>
        <v>0</v>
      </c>
      <c r="V532" s="1">
        <f t="shared" si="44"/>
        <v>0</v>
      </c>
    </row>
    <row r="533" x14ac:dyDescent="0.25">
      <c r="A533" s="1" t="str">
        <v/>
      </c>
      <c r="B533" s="1" t="str">
        <v/>
      </c>
      <c r="C533" s="1" t="str">
        <v/>
      </c>
      <c r="D533" s="1" t="str">
        <v/>
      </c>
      <c r="E533" s="1" t="str">
        <v/>
      </c>
      <c r="F533" s="1" t="str">
        <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t="str">
        <v/>
      </c>
      <c r="B534" s="1" t="str">
        <v/>
      </c>
      <c r="C534" s="1" t="str">
        <v/>
      </c>
      <c r="D534" s="1" t="str">
        <v/>
      </c>
      <c r="E534" s="1" t="str">
        <v/>
      </c>
      <c r="F534" s="1" t="str">
        <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t="str">
        <v/>
      </c>
      <c r="B535" s="1" t="str">
        <v/>
      </c>
      <c r="C535" s="1" t="str">
        <v/>
      </c>
      <c r="D535" s="1" t="str">
        <v/>
      </c>
      <c r="E535" s="1" t="str">
        <v/>
      </c>
      <c r="F535" s="1" t="str">
        <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t="str">
        <v/>
      </c>
      <c r="B536" s="1" t="str">
        <v/>
      </c>
      <c r="C536" s="1" t="str">
        <v/>
      </c>
      <c r="D536" s="1" t="str">
        <v/>
      </c>
      <c r="E536" s="1" t="str">
        <v/>
      </c>
      <c r="F536" s="1" t="str">
        <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t="str">
        <v/>
      </c>
      <c r="B537" s="1" t="str">
        <v/>
      </c>
      <c r="C537" s="1" t="str">
        <v/>
      </c>
      <c r="D537" s="1" t="str">
        <v/>
      </c>
      <c r="E537" s="1" t="str">
        <v/>
      </c>
      <c r="F537" s="1" t="str">
        <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t="str">
        <v/>
      </c>
      <c r="B538" s="1" t="str">
        <v/>
      </c>
      <c r="C538" s="1" t="str">
        <v/>
      </c>
      <c r="D538" s="1" t="str">
        <v/>
      </c>
      <c r="E538" s="1" t="str">
        <v/>
      </c>
      <c r="F538" s="1" t="str">
        <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t="str">
        <v/>
      </c>
      <c r="B539" s="1" t="str">
        <v/>
      </c>
      <c r="C539" s="1" t="str">
        <v/>
      </c>
      <c r="D539" s="1" t="str">
        <v/>
      </c>
      <c r="E539" s="1" t="str">
        <v/>
      </c>
      <c r="F539" s="1" t="str">
        <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t="str">
        <v/>
      </c>
      <c r="B540" s="1" t="str">
        <v/>
      </c>
      <c r="C540" s="1" t="str">
        <v/>
      </c>
      <c r="D540" s="1" t="str">
        <v/>
      </c>
      <c r="E540" s="1" t="str">
        <v/>
      </c>
      <c r="F540" s="1" t="str">
        <v/>
      </c>
      <c r="G540" s="1" t="str">
        <v/>
      </c>
      <c r="H540" s="1" t="str">
        <v/>
      </c>
      <c r="I540" s="2" t="str">
        <v/>
      </c>
      <c r="J540" s="2" t="str">
        <v/>
      </c>
      <c r="K540" s="2" t="str">
        <v/>
      </c>
      <c r="L540" s="1" t="str">
        <v/>
      </c>
      <c r="M540" s="2" t="str">
        <v/>
      </c>
      <c r="N540" s="2" t="str">
        <v/>
      </c>
      <c r="O540" s="1" t="str">
        <v/>
      </c>
      <c r="P540" s="1" t="str">
        <v/>
      </c>
      <c r="Q540" s="1" t="str">
        <v/>
      </c>
      <c r="R540" s="1">
        <f t="shared" si="40"/>
        <v>0</v>
      </c>
      <c r="S540" s="1">
        <f t="shared" si="41"/>
        <v>0</v>
      </c>
      <c r="T540" s="1">
        <f t="shared" si="42"/>
        <v>0</v>
      </c>
      <c r="U540" s="1">
        <f t="shared" si="43"/>
        <v>0</v>
      </c>
      <c r="V540" s="1">
        <f t="shared" si="44"/>
        <v>0</v>
      </c>
    </row>
    <row r="541" x14ac:dyDescent="0.25">
      <c r="A541" s="1" t="str">
        <v/>
      </c>
      <c r="B541" s="1" t="str">
        <v/>
      </c>
      <c r="C541" s="1" t="str">
        <v/>
      </c>
      <c r="D541" s="1" t="str">
        <v/>
      </c>
      <c r="E541" s="1" t="str">
        <v/>
      </c>
      <c r="F541" s="1" t="str">
        <v/>
      </c>
      <c r="G541" s="1" t="str">
        <v/>
      </c>
      <c r="H541" s="1" t="str">
        <v/>
      </c>
      <c r="I541" s="2" t="str">
        <v/>
      </c>
      <c r="J541" s="2" t="str">
        <v/>
      </c>
      <c r="K541" s="2" t="str">
        <v/>
      </c>
      <c r="L541" s="1" t="str">
        <v/>
      </c>
      <c r="M541" s="2" t="str">
        <v/>
      </c>
      <c r="N541" s="2" t="str">
        <v/>
      </c>
      <c r="O541" s="1" t="str">
        <v/>
      </c>
      <c r="P541" s="1" t="str">
        <v/>
      </c>
      <c r="Q541" s="1" t="str">
        <v/>
      </c>
      <c r="R541" s="1">
        <f t="shared" si="40"/>
        <v>0</v>
      </c>
      <c r="S541" s="1">
        <f t="shared" si="41"/>
        <v>0</v>
      </c>
      <c r="T541" s="1">
        <f t="shared" si="42"/>
        <v>0</v>
      </c>
      <c r="U541" s="1">
        <f t="shared" si="43"/>
        <v>0</v>
      </c>
      <c r="V541" s="1">
        <f t="shared" si="44"/>
        <v>0</v>
      </c>
    </row>
    <row r="542" x14ac:dyDescent="0.25">
      <c r="A542" s="1" t="str">
        <v/>
      </c>
      <c r="B542" s="1" t="str">
        <v/>
      </c>
      <c r="C542" s="1" t="str">
        <v/>
      </c>
      <c r="D542" s="1" t="str">
        <v/>
      </c>
      <c r="E542" s="1" t="str">
        <v/>
      </c>
      <c r="F542" s="1" t="str">
        <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zoomScale="98" workbookViewId="0">
      <selection activeCell="D3" sqref="D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cm="1">
        <f t="array" ref="A2:A600">++IF((Sobrevivientes!B2:B600&lt;&gt;""),Sobrevivientes!B2:B600,"")</f>
        <v>1</v>
      </c>
      <c r="B2" t="str" cm="1">
        <f t="array" ref="B2:B600">++IF((Sobrevivientes!E2:E600&lt;&gt;""),Sobrevivientes!E2:E600,"")</f>
        <v>Zenobia (Señorita) </v>
      </c>
      <c r="C2" t="str" cm="1">
        <f t="array" ref="C2:C600">++IF((Sobrevivientes!C2:C600&lt;&gt;""),Sobrevivientes!C2:C600,"")</f>
        <v>Leyden María Capa Barrios</v>
      </c>
      <c r="D2" t="str" cm="1">
        <f t="array" ref="D2:D600">++IF((Sobrevivientes!F2:F600&lt;&gt;""),Sobrevivientes!F2:F600,"")</f>
        <v>Sobreviviente</v>
      </c>
      <c r="E2" t="str" cm="1">
        <f t="array" ref="E2:E600">++IF((Sobrevivientes!D2:D600&lt;&gt;""),Sobrevivientes!D2:D600,"")</f>
        <v>Distrito Judicial: Callao</v>
      </c>
      <c r="F2" t="str" cm="1">
        <f t="array" ref="F2:F600">++IF((Sobrevivientes!G2:G600&lt;&gt;""),Sobrevivientes!G2:G600,"")</f>
        <v>988 962 782</v>
      </c>
      <c r="G2" t="str" cm="1">
        <f t="array" ref="G2:G600">++IF((Sobrevivientes!H2:H600&lt;&gt;""),Sobrevivientes!H2:H600,"")</f>
        <v/>
      </c>
      <c r="H2" t="str" cm="1">
        <f t="array" ref="H2:H600">++IF((Sobrevivientes!J2:J600&lt;&gt;""),Sobrevivientes!J2:J600,"")</f>
        <v>En coordinación</v>
      </c>
      <c r="I2" t="str" cm="1">
        <f t="array" ref="I2:I600">++IF((Sobrevivientes!K2:K600&lt;&gt;""),Sobrevivientes!K2:K600,"")</f>
        <v/>
      </c>
      <c r="J2" t="str" cm="1">
        <f t="array" ref="J2:J600">++IF((Sobrevivientes!L2:L600&lt;&gt;""),Sobrevivientes!L2:L600,"")</f>
        <v/>
      </c>
      <c r="K2" t="str" cm="1">
        <f t="array" ref="K2:K600">++IF((Sobrevivientes!I2:I600&lt;&gt;""),Sobrevivientes!I2:I600,"")</f>
        <v>No</v>
      </c>
      <c r="L2" t="str" cm="1">
        <f t="array" ref="L2:L600">++IF((Sobrevivientes!N2:N600&lt;&gt;""),Sobrevivientes!N2:N600,"")</f>
        <v/>
      </c>
      <c r="M2" t="str" cm="1">
        <f t="array" ref="M2:M600">++IF((Sobrevivientes!O2:O600&lt;&gt;""),Sobrevivientes!O2:O600,"")</f>
        <v/>
      </c>
      <c r="N2" t="str" cm="1">
        <f t="array" ref="N2:N600">++IF((Sobrevivientes!Q2:Q600&lt;&gt;""),Sobrevivientes!Q2:Q600,"")</f>
        <v/>
      </c>
      <c r="O2" t="str" cm="1">
        <f t="array" ref="O2:O600">++IF((Sobrevivientes!P2:P600&lt;&gt;""),Sobrevivientes!P2:P600,"")</f>
        <v/>
      </c>
      <c r="P2" t="str" cm="1">
        <f t="array" ref="P2:P600">++IF((Sobrevivientes!R2:R600&lt;&gt;""),Sobrevivientes!R2:R600,"")</f>
        <v/>
      </c>
      <c r="Q2">
        <f>IF(G2="Sí",1,0)</f>
        <v>0</v>
      </c>
      <c r="R2">
        <f>IF(K2="En coordinación",1,0)</f>
        <v>0</v>
      </c>
      <c r="S2">
        <f>IF(K2="En coordinación",1,0)</f>
        <v>0</v>
      </c>
      <c r="T2">
        <f>IF(K2="Realizada completa",1,0)</f>
        <v>0</v>
      </c>
      <c r="U2">
        <f>IF(K2="Sin respuesta",1,0)</f>
        <v>0</v>
      </c>
    </row>
    <row r="3" x14ac:dyDescent="0.35">
      <c r="A3">
        <v>2</v>
      </c>
      <c r="B3" t="str">
        <v>CRISTINA MENDOZA (Lideresa)</v>
      </c>
      <c r="C3" t="str">
        <v>Leyden María Capa Barrios</v>
      </c>
      <c r="D3" t="str">
        <v>Líder sobreviviente</v>
      </c>
      <c r="E3" t="str">
        <v>Distrito Judicial: Callao</v>
      </c>
      <c r="F3" t="str">
        <v>980 934 848</v>
      </c>
      <c r="G3" t="str">
        <v/>
      </c>
      <c r="H3" s="16" t="str">
        <v>En coordinación</v>
      </c>
      <c r="I3" t="str">
        <v/>
      </c>
      <c r="J3" t="str">
        <v/>
      </c>
      <c r="K3" t="str">
        <v>No</v>
      </c>
      <c r="L3" s="16" t="str">
        <v/>
      </c>
      <c r="M3" s="16" t="str">
        <v/>
      </c>
      <c r="N3" t="str">
        <v/>
      </c>
      <c r="O3" t="str">
        <v/>
      </c>
      <c r="P3" t="str">
        <v/>
      </c>
      <c r="Q3">
        <f t="shared" ref="Q3" si="0">IF(G3="Sí",1,0)</f>
        <v>0</v>
      </c>
      <c r="R3">
        <f t="shared" ref="R3" si="1">IF(K3="En coordinación",1,0)</f>
        <v>0</v>
      </c>
      <c r="S3">
        <f t="shared" ref="S3" si="2">IF(K3="En coordinación",1,0)</f>
        <v>0</v>
      </c>
      <c r="T3">
        <f t="shared" ref="T3:T66" si="3">IF(K3="Realizada completa",1,0)</f>
        <v>0</v>
      </c>
      <c r="U3">
        <f t="shared" ref="U3:U66" si="4">IF(K3="Sin respuesta",1,0)</f>
        <v>0</v>
      </c>
    </row>
    <row r="4" x14ac:dyDescent="0.35">
      <c r="A4">
        <v>3</v>
      </c>
      <c r="B4" t="str">
        <v>Naidolith Peña (Líder)</v>
      </c>
      <c r="C4" t="str">
        <v>Leyden María Capa Barrios</v>
      </c>
      <c r="D4" t="str">
        <v>Líder sobreviviente</v>
      </c>
      <c r="E4" t="str">
        <v>Distrito Judicial: Callao</v>
      </c>
      <c r="F4" t="str">
        <v>944 448 603</v>
      </c>
      <c r="G4" t="str">
        <v/>
      </c>
      <c r="H4" s="16" t="str">
        <v>En coordinación</v>
      </c>
      <c r="I4" t="str">
        <v/>
      </c>
      <c r="J4" t="str">
        <v/>
      </c>
      <c r="K4" t="str">
        <v>No</v>
      </c>
      <c r="L4" t="str">
        <v/>
      </c>
      <c r="M4" t="str">
        <v/>
      </c>
      <c r="N4" t="str">
        <v/>
      </c>
      <c r="O4" t="str">
        <v/>
      </c>
      <c r="P4" t="str">
        <v/>
      </c>
      <c r="Q4">
        <f t="shared" ref="Q4:Q67" si="5">IF(G4="Sí",1,0)</f>
        <v>0</v>
      </c>
      <c r="R4">
        <f t="shared" ref="R4:R67" si="6">IF(K4="En coordinación",1,0)</f>
        <v>0</v>
      </c>
      <c r="S4">
        <f t="shared" ref="S4:S67" si="7">IF(K4="En coordinación",1,0)</f>
        <v>0</v>
      </c>
      <c r="T4">
        <f t="shared" si="3"/>
        <v>0</v>
      </c>
      <c r="U4">
        <f t="shared" si="4"/>
        <v>0</v>
      </c>
    </row>
    <row r="5" x14ac:dyDescent="0.35">
      <c r="A5">
        <v>4</v>
      </c>
      <c r="B5" t="str">
        <v>Martha Quispe</v>
      </c>
      <c r="C5" t="str">
        <v>Leyden María Capa Barrios</v>
      </c>
      <c r="D5" t="str">
        <v>Líder sobreviviente</v>
      </c>
      <c r="E5" t="str">
        <v>Distrito Judicial: Callao</v>
      </c>
      <c r="F5">
        <v>931455311</v>
      </c>
      <c r="G5" t="str">
        <v/>
      </c>
      <c r="H5" t="str">
        <v>En coordinación</v>
      </c>
      <c r="I5" t="str">
        <v/>
      </c>
      <c r="J5" t="str">
        <v/>
      </c>
      <c r="K5" t="str">
        <v>No</v>
      </c>
      <c r="L5" t="str">
        <v/>
      </c>
      <c r="M5" t="str">
        <v/>
      </c>
      <c r="N5" t="str">
        <v/>
      </c>
      <c r="O5" t="str">
        <v/>
      </c>
      <c r="P5" t="str">
        <v/>
      </c>
      <c r="Q5">
        <f t="shared" si="5"/>
        <v>0</v>
      </c>
      <c r="R5">
        <f t="shared" si="6"/>
        <v>0</v>
      </c>
      <c r="S5">
        <f t="shared" si="7"/>
        <v>0</v>
      </c>
      <c r="T5">
        <f t="shared" si="3"/>
        <v>0</v>
      </c>
      <c r="U5">
        <f t="shared" si="4"/>
        <v>0</v>
      </c>
    </row>
    <row r="6" x14ac:dyDescent="0.35">
      <c r="A6">
        <v>5</v>
      </c>
      <c r="B6" t="str">
        <v/>
      </c>
      <c r="C6" t="str">
        <v>Líder</v>
      </c>
      <c r="D6" t="str">
        <v>Líder sobreviviente</v>
      </c>
      <c r="E6" t="str">
        <v>Distrito Judicial: Huánuco</v>
      </c>
      <c r="F6" t="str">
        <v/>
      </c>
      <c r="G6" t="str">
        <v>APOYO</v>
      </c>
      <c r="H6" t="str">
        <v>Realizada completa</v>
      </c>
      <c r="I6" t="str">
        <v/>
      </c>
      <c r="J6" t="str">
        <v/>
      </c>
      <c r="K6" t="str">
        <v>Sí</v>
      </c>
      <c r="L6" t="str">
        <v/>
      </c>
      <c r="M6" t="str">
        <v/>
      </c>
      <c r="N6" t="str">
        <v>Presencial</v>
      </c>
      <c r="O6" t="str">
        <v/>
      </c>
      <c r="P6" t="str">
        <v>Realizada completa</v>
      </c>
      <c r="Q6">
        <f t="shared" si="5"/>
        <v>0</v>
      </c>
      <c r="R6">
        <f t="shared" si="6"/>
        <v>0</v>
      </c>
      <c r="S6">
        <f t="shared" si="7"/>
        <v>0</v>
      </c>
      <c r="T6">
        <f t="shared" si="3"/>
        <v>0</v>
      </c>
      <c r="U6">
        <f t="shared" si="4"/>
        <v>0</v>
      </c>
    </row>
    <row r="7" x14ac:dyDescent="0.35">
      <c r="A7">
        <v>6</v>
      </c>
      <c r="B7" t="str">
        <v/>
      </c>
      <c r="C7" t="str">
        <v>Sobreviviente01</v>
      </c>
      <c r="D7" t="str">
        <v>Sobreviviente</v>
      </c>
      <c r="E7" t="str">
        <v>Distrito Judicial: Huánuco</v>
      </c>
      <c r="F7" t="str">
        <v/>
      </c>
      <c r="G7" t="str">
        <v>APOYO</v>
      </c>
      <c r="H7" t="str">
        <v>Realizada completa</v>
      </c>
      <c r="I7" t="str">
        <v/>
      </c>
      <c r="J7" t="str">
        <v/>
      </c>
      <c r="K7" t="str">
        <v>Sí</v>
      </c>
      <c r="L7" t="str">
        <v/>
      </c>
      <c r="M7" t="str">
        <v/>
      </c>
      <c r="N7" t="str">
        <v>Presencial</v>
      </c>
      <c r="O7" t="str">
        <v/>
      </c>
      <c r="P7" t="str">
        <v>Realizada completa</v>
      </c>
      <c r="Q7">
        <f t="shared" si="5"/>
        <v>0</v>
      </c>
      <c r="R7">
        <f t="shared" si="6"/>
        <v>0</v>
      </c>
      <c r="S7">
        <f t="shared" si="7"/>
        <v>0</v>
      </c>
      <c r="T7">
        <f t="shared" si="3"/>
        <v>0</v>
      </c>
      <c r="U7">
        <f t="shared" si="4"/>
        <v>0</v>
      </c>
    </row>
    <row r="8" x14ac:dyDescent="0.35">
      <c r="A8">
        <v>7</v>
      </c>
      <c r="B8" t="str">
        <v/>
      </c>
      <c r="C8" t="str">
        <v>Sobreviviente02</v>
      </c>
      <c r="D8" t="str">
        <v>Sobreviviente</v>
      </c>
      <c r="E8" t="str">
        <v>Distrito Judicial: Huánuco</v>
      </c>
      <c r="F8" t="str">
        <v/>
      </c>
      <c r="G8" t="str">
        <v>APOYO</v>
      </c>
      <c r="H8" t="str">
        <v>Realizada completa</v>
      </c>
      <c r="I8" t="str">
        <v/>
      </c>
      <c r="J8" t="str">
        <v/>
      </c>
      <c r="K8" t="str">
        <v>Sí</v>
      </c>
      <c r="L8" t="str">
        <v/>
      </c>
      <c r="M8" t="str">
        <v/>
      </c>
      <c r="N8" t="str">
        <v>Virtual</v>
      </c>
      <c r="O8" t="str">
        <v/>
      </c>
      <c r="P8" t="str">
        <v>Realizada completa</v>
      </c>
      <c r="Q8">
        <f t="shared" si="5"/>
        <v>0</v>
      </c>
      <c r="R8">
        <f t="shared" si="6"/>
        <v>0</v>
      </c>
      <c r="S8">
        <f t="shared" si="7"/>
        <v>0</v>
      </c>
      <c r="T8">
        <f t="shared" si="3"/>
        <v>0</v>
      </c>
      <c r="U8">
        <f t="shared" si="4"/>
        <v>0</v>
      </c>
    </row>
    <row r="9" x14ac:dyDescent="0.35">
      <c r="A9">
        <v>8</v>
      </c>
      <c r="B9" t="str">
        <v>Federica</v>
      </c>
      <c r="C9" t="str">
        <v>Marlene Vivanco</v>
      </c>
      <c r="D9" t="str">
        <v>Sobreviviente</v>
      </c>
      <c r="E9" t="str">
        <v>Distrito Judicial: Lima</v>
      </c>
      <c r="F9">
        <v>926142599</v>
      </c>
      <c r="G9" t="str">
        <v>APOYO</v>
      </c>
      <c r="H9" t="str">
        <v/>
      </c>
      <c r="I9" t="str">
        <v/>
      </c>
      <c r="J9" t="str">
        <v/>
      </c>
      <c r="K9" t="str">
        <v>Sí</v>
      </c>
      <c r="L9" t="str">
        <v/>
      </c>
      <c r="M9" t="str">
        <v/>
      </c>
      <c r="N9" t="str">
        <v/>
      </c>
      <c r="O9" t="str">
        <v/>
      </c>
      <c r="P9" t="str">
        <v/>
      </c>
      <c r="Q9">
        <f t="shared" si="5"/>
        <v>0</v>
      </c>
      <c r="R9">
        <f t="shared" si="6"/>
        <v>0</v>
      </c>
      <c r="S9">
        <f t="shared" si="7"/>
        <v>0</v>
      </c>
      <c r="T9">
        <f t="shared" si="3"/>
        <v>0</v>
      </c>
      <c r="U9">
        <f t="shared" si="4"/>
        <v>0</v>
      </c>
    </row>
    <row r="10" x14ac:dyDescent="0.35">
      <c r="A10" s="25" t="str">
        <v/>
      </c>
      <c r="B10" t="str">
        <v/>
      </c>
      <c r="C10" t="str">
        <v/>
      </c>
      <c r="D10" t="str">
        <v/>
      </c>
      <c r="E10" t="str">
        <v/>
      </c>
      <c r="F10" t="str">
        <v/>
      </c>
      <c r="G10" t="str">
        <v/>
      </c>
      <c r="H10" t="str">
        <v/>
      </c>
      <c r="I10" t="str">
        <v/>
      </c>
      <c r="J10" t="str">
        <v/>
      </c>
      <c r="K10" t="str">
        <v/>
      </c>
      <c r="L10" t="str">
        <v/>
      </c>
      <c r="M10" t="str">
        <v/>
      </c>
      <c r="N10" t="str">
        <v/>
      </c>
      <c r="O10" t="str">
        <v/>
      </c>
      <c r="P10" t="str">
        <v/>
      </c>
      <c r="Q10">
        <f t="shared" si="5"/>
        <v>0</v>
      </c>
      <c r="R10">
        <f t="shared" si="6"/>
        <v>0</v>
      </c>
      <c r="S10">
        <f t="shared" si="7"/>
        <v>0</v>
      </c>
      <c r="T10">
        <f t="shared" si="3"/>
        <v>0</v>
      </c>
      <c r="U10">
        <f t="shared" si="4"/>
        <v>0</v>
      </c>
    </row>
    <row r="11" x14ac:dyDescent="0.35">
      <c r="A11" t="str">
        <v/>
      </c>
      <c r="B11" t="str">
        <v/>
      </c>
      <c r="C11" t="str">
        <v/>
      </c>
      <c r="D11" t="str">
        <v/>
      </c>
      <c r="E11" t="str">
        <v/>
      </c>
      <c r="F11" t="str">
        <v/>
      </c>
      <c r="G11" t="str">
        <v/>
      </c>
      <c r="H11" t="str">
        <v/>
      </c>
      <c r="I11" t="str">
        <v/>
      </c>
      <c r="J11" t="str">
        <v/>
      </c>
      <c r="K11" t="str">
        <v/>
      </c>
      <c r="L11" t="str">
        <v/>
      </c>
      <c r="M11" t="str">
        <v/>
      </c>
      <c r="N11" t="str">
        <v/>
      </c>
      <c r="O11" t="str">
        <v/>
      </c>
      <c r="P11" t="str">
        <v/>
      </c>
      <c r="Q11">
        <f t="shared" si="5"/>
        <v>0</v>
      </c>
      <c r="R11">
        <f t="shared" si="6"/>
        <v>0</v>
      </c>
      <c r="S11">
        <f t="shared" si="7"/>
        <v>0</v>
      </c>
      <c r="T11">
        <f t="shared" si="3"/>
        <v>0</v>
      </c>
      <c r="U11">
        <f t="shared" si="4"/>
        <v>0</v>
      </c>
    </row>
    <row r="12" x14ac:dyDescent="0.35">
      <c r="A12" t="str">
        <v/>
      </c>
      <c r="B12" t="str">
        <v/>
      </c>
      <c r="C12" t="str">
        <v/>
      </c>
      <c r="D12" t="str">
        <v/>
      </c>
      <c r="E12" t="str">
        <v/>
      </c>
      <c r="F12" t="str">
        <v/>
      </c>
      <c r="G12" t="str">
        <v/>
      </c>
      <c r="H12" t="str">
        <v/>
      </c>
      <c r="I12" t="str">
        <v/>
      </c>
      <c r="J12" t="str">
        <v/>
      </c>
      <c r="K12" t="str">
        <v/>
      </c>
      <c r="L12" t="str">
        <v/>
      </c>
      <c r="M12" t="str">
        <v/>
      </c>
      <c r="N12" t="str">
        <v/>
      </c>
      <c r="O12" t="str">
        <v/>
      </c>
      <c r="P12" t="str">
        <v/>
      </c>
      <c r="Q12">
        <f t="shared" si="5"/>
        <v>0</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Multilaterales</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Multilaterales</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Multilaterales</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x14ac:dyDescent="0.35">
      <c r="A7">
        <f t="shared" si="0"/>
        <v>6</v>
      </c>
      <c r="B7" t="s">
        <v>247</v>
      </c>
      <c r="C7" s="19" t="s">
        <v>109</v>
      </c>
      <c r="D7" s="19" t="s">
        <v>37</v>
      </c>
      <c r="E7" s="19">
        <v>1</v>
      </c>
    </row>
    <row r="8" x14ac:dyDescent="0.35">
      <c r="A8">
        <f t="shared" si="0"/>
        <v>7</v>
      </c>
      <c r="B8" t="s">
        <v>247</v>
      </c>
      <c r="C8" s="19" t="s">
        <v>109</v>
      </c>
      <c r="D8" s="19" t="s">
        <v>430</v>
      </c>
      <c r="E8" s="19">
        <v>2</v>
      </c>
    </row>
    <row r="9" x14ac:dyDescent="0.35">
      <c r="A9">
        <f t="shared" si="0"/>
        <v>8</v>
      </c>
      <c r="B9" t="s">
        <v>247</v>
      </c>
      <c r="C9" s="19" t="s">
        <v>109</v>
      </c>
      <c r="D9" s="19" t="s">
        <v>60</v>
      </c>
      <c r="E9" s="19">
        <v>2</v>
      </c>
    </row>
    <row r="10" x14ac:dyDescent="0.35">
      <c r="A10">
        <f t="shared" si="0"/>
        <v>9</v>
      </c>
      <c r="B10" t="s">
        <v>247</v>
      </c>
      <c r="C10" s="19" t="s">
        <v>61</v>
      </c>
      <c r="D10" s="19" t="s">
        <v>37</v>
      </c>
      <c r="E10" s="19">
        <v>1</v>
      </c>
    </row>
    <row r="11" x14ac:dyDescent="0.35">
      <c r="A11">
        <f t="shared" si="0"/>
        <v>10</v>
      </c>
      <c r="B11" t="s">
        <v>247</v>
      </c>
      <c r="C11" s="19" t="s">
        <v>61</v>
      </c>
      <c r="D11" s="19" t="s">
        <v>430</v>
      </c>
      <c r="E11" s="19">
        <v>2</v>
      </c>
    </row>
    <row r="12" x14ac:dyDescent="0.35">
      <c r="A12">
        <f t="shared" si="0"/>
        <v>11</v>
      </c>
      <c r="B12" t="s">
        <v>247</v>
      </c>
      <c r="C12" s="19" t="s">
        <v>61</v>
      </c>
      <c r="D12" s="19" t="s">
        <v>60</v>
      </c>
      <c r="E12" s="19">
        <v>2</v>
      </c>
    </row>
    <row r="13" x14ac:dyDescent="0.35">
      <c r="A13">
        <f t="shared" si="0"/>
        <v>12</v>
      </c>
      <c r="B13" t="s">
        <v>247</v>
      </c>
      <c r="C13" s="19" t="s">
        <v>56</v>
      </c>
      <c r="D13" s="19" t="s">
        <v>37</v>
      </c>
      <c r="E13" s="19">
        <v>1</v>
      </c>
    </row>
    <row r="14" x14ac:dyDescent="0.35">
      <c r="A14">
        <f t="shared" si="0"/>
        <v>13</v>
      </c>
      <c r="B14" t="s">
        <v>247</v>
      </c>
      <c r="C14" s="19" t="s">
        <v>56</v>
      </c>
      <c r="D14" s="19" t="s">
        <v>430</v>
      </c>
      <c r="E14" s="19">
        <v>2</v>
      </c>
    </row>
    <row r="15" x14ac:dyDescent="0.35">
      <c r="A15">
        <f t="shared" si="0"/>
        <v>14</v>
      </c>
      <c r="B15" t="s">
        <v>247</v>
      </c>
      <c r="C15" s="19" t="s">
        <v>56</v>
      </c>
      <c r="D15" s="19" t="s">
        <v>60</v>
      </c>
      <c r="E15" s="19">
        <v>2</v>
      </c>
    </row>
    <row r="16" x14ac:dyDescent="0.35">
      <c r="A16">
        <f t="shared" si="0"/>
        <v>15</v>
      </c>
      <c r="B16" t="s">
        <v>247</v>
      </c>
      <c r="C16" s="19" t="s">
        <v>44</v>
      </c>
      <c r="D16" s="19" t="s">
        <v>37</v>
      </c>
      <c r="E16" s="19">
        <v>1</v>
      </c>
    </row>
    <row r="17" x14ac:dyDescent="0.35">
      <c r="A17">
        <f t="shared" si="0"/>
        <v>16</v>
      </c>
      <c r="B17" t="s">
        <v>247</v>
      </c>
      <c r="C17" s="19" t="s">
        <v>44</v>
      </c>
      <c r="D17" s="19" t="s">
        <v>430</v>
      </c>
      <c r="E17" s="19">
        <v>2</v>
      </c>
    </row>
    <row r="18" x14ac:dyDescent="0.35">
      <c r="A18">
        <f t="shared" si="0"/>
        <v>17</v>
      </c>
      <c r="B18" t="s">
        <v>247</v>
      </c>
      <c r="C18" s="19" t="s">
        <v>44</v>
      </c>
      <c r="D18" s="19" t="s">
        <v>60</v>
      </c>
      <c r="E18" s="19">
        <v>2</v>
      </c>
    </row>
    <row r="19" x14ac:dyDescent="0.35">
      <c r="A19">
        <f t="shared" si="0"/>
        <v>18</v>
      </c>
      <c r="B19" t="s">
        <v>247</v>
      </c>
      <c r="C19" s="19" t="s">
        <v>41</v>
      </c>
      <c r="D19" s="19" t="s">
        <v>37</v>
      </c>
      <c r="E19" s="19">
        <v>1</v>
      </c>
    </row>
    <row r="20" x14ac:dyDescent="0.35">
      <c r="A20">
        <f t="shared" si="0"/>
        <v>19</v>
      </c>
      <c r="B20" t="s">
        <v>247</v>
      </c>
      <c r="C20" s="19" t="s">
        <v>41</v>
      </c>
      <c r="D20" s="19" t="s">
        <v>430</v>
      </c>
      <c r="E20" s="19">
        <v>2</v>
      </c>
    </row>
    <row r="21" x14ac:dyDescent="0.35">
      <c r="A21">
        <f t="shared" si="0"/>
        <v>20</v>
      </c>
      <c r="B21" t="s">
        <v>247</v>
      </c>
      <c r="C21" s="19" t="s">
        <v>41</v>
      </c>
      <c r="D21" s="19" t="s">
        <v>60</v>
      </c>
      <c r="E21" s="19">
        <v>2</v>
      </c>
    </row>
    <row r="22" x14ac:dyDescent="0.35">
      <c r="A22">
        <f t="shared" si="0"/>
        <v>21</v>
      </c>
      <c r="B22" t="s">
        <v>247</v>
      </c>
      <c r="C22" s="19" t="s">
        <v>65</v>
      </c>
      <c r="D22" s="19" t="s">
        <v>37</v>
      </c>
      <c r="E22" s="19">
        <v>1</v>
      </c>
    </row>
    <row r="23" x14ac:dyDescent="0.35">
      <c r="A23">
        <f t="shared" si="0"/>
        <v>22</v>
      </c>
      <c r="B23" t="s">
        <v>247</v>
      </c>
      <c r="C23" s="19" t="s">
        <v>65</v>
      </c>
      <c r="D23" s="19" t="s">
        <v>430</v>
      </c>
      <c r="E23" s="19">
        <v>2</v>
      </c>
    </row>
    <row r="24" x14ac:dyDescent="0.35">
      <c r="A24">
        <f t="shared" si="0"/>
        <v>23</v>
      </c>
      <c r="B24" t="s">
        <v>247</v>
      </c>
      <c r="C24" s="19" t="s">
        <v>65</v>
      </c>
      <c r="D24" s="19" t="s">
        <v>60</v>
      </c>
      <c r="E24" s="19">
        <v>2</v>
      </c>
    </row>
    <row r="25" x14ac:dyDescent="0.35">
      <c r="A25">
        <f t="shared" si="0"/>
        <v>24</v>
      </c>
      <c r="B25" t="s">
        <v>247</v>
      </c>
      <c r="C25" s="19" t="s">
        <v>1035</v>
      </c>
      <c r="D25" s="19" t="s">
        <v>37</v>
      </c>
      <c r="E25" s="19">
        <v>1</v>
      </c>
    </row>
    <row r="26" x14ac:dyDescent="0.35">
      <c r="A26">
        <f t="shared" si="0"/>
        <v>25</v>
      </c>
      <c r="B26" t="s">
        <v>247</v>
      </c>
      <c r="C26" s="19" t="s">
        <v>1035</v>
      </c>
      <c r="D26" s="19" t="s">
        <v>430</v>
      </c>
      <c r="E26" s="19">
        <v>2</v>
      </c>
    </row>
    <row r="27" x14ac:dyDescent="0.35">
      <c r="A27">
        <f t="shared" si="0"/>
        <v>26</v>
      </c>
      <c r="B27" t="s">
        <v>247</v>
      </c>
      <c r="C27" s="19" t="s">
        <v>1035</v>
      </c>
      <c r="D27" s="19" t="s">
        <v>60</v>
      </c>
      <c r="E27" s="19">
        <v>2</v>
      </c>
    </row>
    <row r="28" x14ac:dyDescent="0.35">
      <c r="A28">
        <f t="shared" si="0"/>
        <v>27</v>
      </c>
      <c r="B28" t="s">
        <v>247</v>
      </c>
      <c r="C28" s="19" t="s">
        <v>23</v>
      </c>
      <c r="D28" s="19" t="s">
        <v>37</v>
      </c>
      <c r="E28" s="19">
        <v>1</v>
      </c>
    </row>
    <row r="29" x14ac:dyDescent="0.35">
      <c r="A29">
        <f t="shared" si="0"/>
        <v>28</v>
      </c>
      <c r="B29" t="s">
        <v>247</v>
      </c>
      <c r="C29" s="19" t="s">
        <v>23</v>
      </c>
      <c r="D29" s="19" t="s">
        <v>430</v>
      </c>
      <c r="E29" s="19">
        <v>2</v>
      </c>
    </row>
    <row r="30" x14ac:dyDescent="0.35">
      <c r="A30">
        <f t="shared" si="0"/>
        <v>29</v>
      </c>
      <c r="B30" t="s">
        <v>247</v>
      </c>
      <c r="C30" s="19" t="s">
        <v>23</v>
      </c>
      <c r="D30" s="19" t="s">
        <v>60</v>
      </c>
      <c r="E30" s="19">
        <v>2</v>
      </c>
    </row>
  </sheetData>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2" ma:contentTypeDescription="Crear nuevo documento." ma:contentTypeScope="" ma:versionID="f031da45812bb81645562bafa3e27792">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997341155ac57a7f96d45d03b878e5a8"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CF247058-F464-4576-85DB-4D3805486100}">
  <ds:schemaRefs>
    <ds:schemaRef ds:uri="http://schemas.microsoft.com/sharepoint/v3/contenttype/forms"/>
  </ds:schemaRefs>
</ds:datastoreItem>
</file>

<file path=customXml/itemProps2.xml><?xml version="1.0" encoding="utf-8"?>
<ds:datastoreItem xmlns:ds="http://schemas.openxmlformats.org/officeDocument/2006/customXml" ds:itemID="{14086CA2-01AE-4131-BB04-31C09DFCB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2026-07-14T14:48:34Z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