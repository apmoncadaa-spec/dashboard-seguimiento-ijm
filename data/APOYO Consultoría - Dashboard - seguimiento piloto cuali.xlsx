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officedocument.spreadsheetml.sheetMetadata+xml" PartName="/xl/metadata.xml"/>
  <Override ContentType="application/vnd.openxmlformats-officedocument.spreadsheetml.comments+xml" PartName="/xl/comments1.xml"/>
  <Override ContentType="application/vnd.ms-excel.threadedcomments+xml" PartName="/xl/threadedComments/threadedComment1.xml"/>
  <Override ContentType="application/vnd.openxmlformats-officedocument.spreadsheetml.comments+xml" PartName="/xl/comments2.xml"/>
  <Override ContentType="application/vnd.ms-excel.threadedcomments+xml" PartName="/xl/threadedComments/threadedComment2.xml"/>
  <Override ContentType="application/vnd.ms-excel.person+xml" PartName="/xl/persons/pers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Types>
</file>

<file path=_rels/.rels><?xml version="1.0" encoding="UTF-8"?><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421" documentId="8_{1F76FD1E-0D89-40D4-8D42-21081E327455}" xr6:coauthVersionLast="47" xr6:coauthVersionMax="47" xr10:uidLastSave="{84F9F501-E5D9-4DA0-B51D-0D467B148635}"/>
  <bookViews>
    <workbookView xWindow="-110" yWindow="-110" windowWidth="19420" windowHeight="10300" tabRatio="844" firstSheet="2" activeTab="2"/>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true">'Dashboard - Entrevistas'!$A$1:$V$995</definedName>
    <definedName name="_xlnm._FilterDatabase" localSheetId="11" hidden="true">'Dashboard - Reunión'!$A$1:$U$996</definedName>
    <definedName name="_xlnm._FilterDatabase" localSheetId="8" hidden="true">'Dashboard - Reunión(0)'!$A$1:$R$31</definedName>
    <definedName name="_xlnm._FilterDatabase" localSheetId="3" hidden="true">Entrevistas!$A$1:$Z$22</definedName>
    <definedName name="_xlnm._FilterDatabase" localSheetId="12" hidden="true">Meta!$A$1:$E$30</definedName>
    <definedName name="_xlnm._FilterDatabase" localSheetId="4" hidden="true">'Reunión de validación'!$A$1:$T$31</definedName>
  </definedNames>
  <calcPr calcId="191029" fullCalcOnLoad="tru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r>
          <rPr>
            <sz val="11"/>
            <color theme="1"/>
            <rFont val="Aptos Narrow"/>
            <family val="2"/>
            <scheme val="minor"/>
          </rPr>
          <t>Usuario desconocido:
15-05</t>
        </r>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r>
          <rPr>
            <sz val="11"/>
            <color theme="1"/>
            <rFont val="Aptos Narrow"/>
            <family val="2"/>
            <scheme val="minor"/>
          </rPr>
          <t>Usuario desconocido:
15-05</t>
        </r>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r>
          <rPr>
            <sz val="11"/>
            <color theme="1"/>
            <rFont val="Aptos Narrow"/>
            <family val="2"/>
            <scheme val="minor"/>
          </rPr>
          <t>Usuario desconocido:
14-may</t>
        </r>
      </text>
    </comment>
  </commentList>
</comments>
</file>

<file path=xl/comments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<sst xmlns="http://schemas.openxmlformats.org/spreadsheetml/2006/main" xmlns:r="http://schemas.openxmlformats.org/officeDocument/2006/relationships" xmlns:xdr="http://schemas.openxmlformats.org/drawingml/2006/spreadsheetDrawing" count="84063" uniqueCount="1812">
  <si>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</si>
  <si>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</si>
  <si>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</si>
  <si>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</si>
  <si>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</si>
  <si>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</si>
  <si>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</si>
  <si>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</si>
  <si>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</si>
  <si>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</si>
  <si>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</si>
  <si>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</si>
  <si>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</si>
  <si>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</si>
  <si>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</si>
  <si>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</si>
  <si>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</si>
  <si>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</si>
  <si>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</si>
  <si>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</si>
  <si>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</si>
  <si>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</si>
  <si>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</si>
  <si>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</si>
  <si>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</si>
  <si>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</si>
  <si>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</si>
  <si>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</si>
  <si>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</si>
  <si>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</si>
  <si>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</si>
  <si>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</si>
  <si>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</si>
  <si>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</si>
  <si>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</si>
  <si>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</si>
  <si>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</si>
  <si>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</si>
  <si>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</si>
  <si>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</si>
  <si>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</si>
  <si>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</si>
  <si>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</si>
  <si>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</si>
  <si>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</si>
  <si>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</si>
  <si>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</si>
  <si>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</si>
  <si>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</si>
  <si>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</si>
  <si>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</si>
  <si>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</si>
  <si>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</si>
  <si>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</si>
  <si>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</si>
  <si>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</si>
  <si>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</si>
  <si>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</si>
  <si>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</si>
  <si>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</si>
  <si>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</si>
  <si>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</si>
  <si>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</si>
  <si>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</si>
  <si>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</si>
  <si>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</si>
  <si>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</si>
  <si>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</si>
  <si>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</si>
  <si>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</si>
  <si>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</si>
  <si>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</si>
  <si>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</si>
  <si>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</si>
  <si>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</si>
  <si>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</si>
  <si>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</si>
  <si>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</si>
  <si>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</si>
  <si>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</si>
  <si>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</si>
  <si>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</si>
  <si>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</si>
  <si>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</si>
  <si>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</si>
  <si>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</si>
  <si>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</si>
  <si>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</si>
  <si>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</si>
  <si>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</si>
  <si>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</si>
  <si>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</si>
  <si>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</si>
  <si>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</si>
  <si>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</si>
  <si>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</si>
  <si>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</si>
  <si>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</si>
  <si>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</si>
  <si>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</si>
  <si>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</si>
  <si>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</si>
  <si>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</si>
  <si>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</si>
  <si>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</si>
  <si>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</si>
  <si>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</si>
  <si>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</si>
  <si>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</si>
  <si>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</si>
  <si>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</si>
  <si>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</si>
  <si>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</si>
  <si>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</si>
  <si>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</si>
  <si>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</si>
  <si>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</si>
  <si>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</si>
  <si>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</si>
  <si>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</si>
  <si>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</si>
  <si>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</si>
  <si>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</si>
  <si>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</si>
  <si>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</si>
  <si>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</si>
  <si>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</si>
  <si>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</si>
  <si>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</si>
  <si>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</si>
  <si>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</si>
  <si>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</si>
  <si>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</si>
  <si>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</si>
  <si>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</si>
  <si>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</si>
  <si>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</si>
  <si>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</si>
  <si>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</si>
  <si>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</si>
  <si>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</si>
  <si>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</si>
  <si>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</si>
  <si>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</si>
  <si>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</si>
  <si>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</si>
  <si>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</si>
  <si>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</si>
  <si>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</si>
  <si>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</si>
  <si>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</si>
  <si>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</si>
  <si>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</si>
  <si>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</si>
  <si>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</si>
  <si>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</si>
  <si>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</si>
  <si>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</si>
  <si>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</si>
  <si>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</si>
  <si>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</si>
  <si>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</si>
  <si>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</si>
  <si>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</si>
  <si>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</si>
  <si>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</si>
  <si>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</si>
  <si>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</si>
  <si>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</si>
  <si>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</si>
  <si>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</si>
  <si>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</si>
  <si>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</si>
  <si>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</si>
  <si>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</si>
  <si>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</si>
  <si>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</si>
  <si>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</si>
  <si>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</si>
  <si>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</si>
  <si>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</si>
  <si>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</si>
  <si>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</si>
  <si>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</si>
  <si>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</si>
  <si>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</si>
  <si>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</si>
  <si>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</si>
  <si>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</si>
  <si>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</si>
  <si>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</si>
  <si>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</si>
  <si>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</si>
  <si>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</si>
  <si>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</si>
  <si>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</si>
  <si>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</si>
  <si>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</si>
  <si>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</si>
  <si>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</si>
  <si>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</si>
  <si>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</si>
  <si>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</si>
  <si>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</si>
  <si>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</si>
  <si>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</si>
  <si>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</si>
  <si>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</si>
  <si>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</si>
  <si>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</si>
  <si>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</si>
  <si>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</si>
  <si>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</si>
  <si>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</si>
  <si>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</si>
  <si>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</si>
  <si>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</si>
  <si>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</si>
  <si>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</si>
  <si>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</si>
  <si>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</si>
  <si>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</si>
  <si>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</si>
  <si>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</si>
  <si>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</si>
  <si>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</si>
  <si>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</si>
  <si>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</si>
  <si>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</si>
  <si>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</si>
  <si>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</si>
  <si>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</si>
  <si>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</si>
  <si>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</si>
  <si>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</si>
  <si>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</si>
  <si>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</si>
  <si>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</si>
  <si>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</si>
  <si>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</si>
  <si>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</si>
  <si>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</si>
  <si>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</si>
  <si>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</si>
  <si>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</si>
  <si>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</si>
  <si>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</si>
  <si>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</si>
  <si>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</si>
  <si>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</si>
  <si>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</si>
  <si>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</si>
  <si>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</si>
  <si>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</si>
  <si>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</si>
  <si>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</si>
  <si>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</si>
  <si>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</si>
  <si>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</si>
  <si>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</si>
  <si>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</si>
  <si>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</si>
  <si>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</si>
  <si>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</si>
  <si>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</si>
  <si>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</si>
  <si>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</si>
  <si>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</si>
  <si>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</si>
  <si>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</si>
  <si>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</si>
  <si>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</si>
  <si>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</si>
  <si>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</si>
  <si>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</si>
  <si>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</si>
  <si>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</si>
  <si>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</si>
  <si>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</si>
  <si>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</si>
  <si>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</si>
  <si>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</si>
  <si>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</si>
  <si>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</si>
  <si>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</si>
  <si>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</si>
  <si>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</si>
  <si>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</si>
  <si>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</si>
  <si>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</si>
  <si>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</si>
  <si>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</si>
  <si>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</si>
  <si>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</si>
  <si>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</si>
  <si>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</si>
  <si>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</si>
  <si>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</si>
  <si>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</si>
  <si>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</si>
  <si>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</si>
  <si>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</si>
  <si>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</si>
  <si>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</si>
  <si>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</si>
  <si>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</si>
  <si>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</si>
  <si>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</si>
  <si>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</si>
  <si>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</si>
  <si>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</si>
  <si>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</si>
  <si>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</si>
  <si>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</si>
  <si>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</si>
  <si>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</si>
  <si>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</si>
  <si>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</si>
  <si>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</si>
  <si>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</si>
  <si>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</si>
  <si>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</si>
  <si>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</si>
  <si>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</si>
  <si>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</si>
  <si>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</si>
  <si>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</si>
  <si>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</si>
  <si>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</si>
  <si>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</si>
  <si>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</si>
  <si>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</si>
  <si>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</si>
  <si>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</si>
  <si>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</si>
  <si>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</si>
  <si>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</si>
  <si>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</si>
  <si>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</si>
  <si>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</si>
  <si>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</si>
  <si>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</si>
  <si>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</si>
  <si>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</si>
  <si>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</si>
  <si>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</si>
  <si>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</si>
  <si>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</si>
  <si>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</si>
  <si>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</si>
  <si>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</si>
  <si>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</si>
  <si>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</si>
  <si>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</si>
  <si>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</si>
  <si>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</si>
  <si>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</si>
  <si>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</si>
  <si>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</si>
  <si>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</si>
  <si>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</si>
  <si>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</si>
  <si>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</si>
  <si>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</si>
  <si>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</si>
  <si>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</si>
  <si>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</si>
  <si>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</si>
  <si>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</si>
  <si>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</si>
  <si>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</si>
  <si>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</si>
  <si>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</si>
  <si>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</si>
  <si>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</si>
  <si>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</si>
  <si>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</si>
  <si>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</si>
  <si>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</si>
  <si>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</si>
  <si>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</si>
  <si>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</si>
  <si>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</si>
  <si>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</si>
  <si>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</si>
  <si>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</si>
  <si>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</si>
  <si>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</si>
  <si>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</si>
  <si>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</si>
  <si>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</si>
  <si>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</si>
  <si>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</si>
  <si>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</si>
  <si>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</si>
  <si>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</si>
  <si>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</si>
  <si>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</si>
  <si>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</si>
  <si>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</si>
  <si>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</si>
  <si>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</si>
  <si>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</si>
  <si>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</si>
  <si>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</si>
  <si>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</si>
  <si>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</si>
  <si>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</si>
  <si>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</si>
  <si>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</si>
  <si>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</si>
  <si>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</si>
  <si>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</si>
  <si>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</si>
  <si>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</si>
  <si>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</si>
  <si>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</si>
  <si>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</si>
  <si>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</si>
  <si>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</si>
  <si>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</si>
  <si>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</si>
  <si>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</si>
  <si>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</si>
  <si>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</si>
  <si>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</si>
  <si>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</si>
  <si>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</si>
  <si>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</si>
  <si>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</si>
  <si>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</si>
  <si>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</si>
  <si>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</si>
  <si>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</si>
  <si>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</si>
  <si>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</si>
  <si>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</si>
  <si>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</si>
  <si>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</si>
  <si>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</si>
  <si>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</si>
  <si>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</si>
  <si>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</si>
  <si>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</si>
  <si>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</si>
  <si>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</si>
  <si>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</si>
  <si>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</si>
  <si>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</si>
  <si>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</si>
  <si>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</si>
  <si>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</si>
  <si>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</si>
  <si>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</si>
  <si>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</si>
  <si>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</si>
  <si>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</si>
  <si>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</si>
  <si>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</si>
  <si>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</si>
  <si>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</si>
  <si>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</si>
  <si>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</si>
  <si>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</si>
  <si>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</si>
  <si>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</si>
  <si>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</si>
  <si>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</si>
  <si>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</si>
  <si>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</si>
  <si>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</si>
  <si>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</si>
  <si>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</si>
  <si>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</si>
  <si>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</si>
  <si>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</si>
  <si>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</si>
  <si>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</si>
  <si>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</si>
  <si>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</si>
  <si>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</si>
  <si>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</si>
  <si>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</si>
  <si>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</si>
  <si>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</si>
  <si>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</si>
  <si>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</si>
  <si>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</si>
  <si>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</si>
  <si>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</si>
  <si>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</si>
  <si>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</si>
  <si>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</si>
  <si>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</si>
  <si>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</si>
  <si>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</si>
  <si>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</si>
  <si>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</si>
  <si>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</si>
  <si>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</si>
  <si>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</si>
  <si>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</si>
  <si>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</si>
  <si>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</si>
  <si>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</si>
  <si>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</si>
  <si>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</si>
  <si>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</si>
  <si>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</si>
  <si>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</si>
  <si>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</si>
  <si>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</si>
  <si>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</si>
  <si>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</si>
  <si>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</si>
  <si>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</si>
  <si>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</si>
  <si>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</si>
  <si>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</si>
  <si>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</si>
  <si>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</si>
  <si>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</si>
  <si>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</si>
  <si>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</si>
  <si>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</si>
  <si>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</si>
  <si>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</si>
  <si>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</si>
  <si>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</si>
  <si>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</si>
  <si>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</si>
  <si>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</si>
  <si>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</si>
  <si>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</si>
  <si>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</si>
  <si>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</si>
  <si>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</si>
  <si>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</si>
  <si>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</si>
  <si>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</si>
  <si>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</si>
  <si>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</si>
  <si>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</si>
  <si>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</si>
  <si>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</si>
  <si>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</si>
  <si>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</si>
  <si>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</si>
  <si>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</si>
  <si>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</si>
  <si>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</si>
  <si>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</si>
  <si>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</si>
  <si>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</si>
  <si>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</si>
  <si>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</si>
  <si>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</si>
  <si>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</si>
  <si>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</si>
  <si>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</si>
  <si>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</si>
  <si>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</si>
  <si>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</si>
  <si>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</si>
  <si>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</si>
  <si>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</si>
  <si>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</si>
  <si>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</si>
  <si>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</si>
  <si>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</si>
  <si>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</si>
  <si>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</si>
  <si>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</si>
  <si>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</si>
  <si>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</si>
  <si>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</si>
  <si>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</si>
  <si>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</si>
  <si>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</si>
  <si>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</si>
  <si>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</si>
  <si>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</si>
  <si>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</si>
  <si>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</si>
  <si>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</si>
  <si>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</si>
  <si>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</si>
  <si>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</si>
  <si>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</si>
  <si>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</si>
  <si>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</si>
  <si>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</si>
  <si>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</si>
  <si>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</si>
  <si>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</si>
  <si>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</si>
  <si>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</si>
  <si>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</si>
  <si>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</si>
  <si>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</si>
  <si>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</si>
  <si>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</si>
  <si>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</si>
  <si>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</si>
  <si>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</si>
  <si>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</si>
  <si>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</si>
  <si>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</si>
  <si>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</si>
  <si>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</si>
  <si>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</si>
  <si>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</si>
  <si>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</si>
  <si>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</si>
  <si>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</si>
  <si>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</si>
  <si>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</si>
  <si>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</si>
  <si>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</si>
  <si>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</si>
  <si>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</si>
  <si>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</si>
  <si>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</si>
  <si>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</si>
  <si>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</si>
  <si>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</si>
  <si>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</si>
  <si>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</si>
  <si>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</si>
  <si>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</si>
  <si>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</si>
  <si>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</si>
  <si>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</si>
  <si>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</si>
  <si>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</si>
  <si>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</si>
  <si>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</si>
  <si>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</si>
  <si>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</si>
  <si>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</si>
  <si>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</si>
  <si>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</si>
  <si>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</si>
  <si>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</si>
  <si>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</si>
  <si>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</si>
  <si>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</si>
  <si>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</si>
  <si>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</si>
  <si>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</si>
  <si>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</si>
  <si>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</si>
  <si>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</si>
  <si>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</si>
  <si>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</si>
  <si>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</si>
  <si>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</si>
  <si>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</si>
  <si>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</si>
  <si>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</si>
  <si>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</si>
  <si>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</si>
  <si>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</si>
  <si>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</si>
  <si>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</si>
  <si>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</si>
  <si>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</si>
  <si>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</si>
  <si>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</si>
  <si>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</si>
  <si>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</si>
  <si>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</si>
  <si>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</si>
  <si>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</si>
  <si>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</si>
  <si>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</si>
  <si>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</si>
  <si>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</si>
  <si>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</si>
  <si>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</si>
  <si>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</si>
  <si>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</si>
  <si>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</si>
  <si>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</si>
  <si>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</si>
  <si>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</si>
  <si>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</si>
  <si>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</si>
  <si>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</si>
  <si>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</si>
  <si>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</si>
  <si>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</si>
  <si>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</si>
  <si>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</si>
  <si>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</si>
  <si>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</si>
  <si>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</si>
  <si>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</si>
  <si>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</si>
  <si>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</si>
  <si>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</si>
  <si>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</si>
  <si>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</si>
  <si>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</si>
  <si>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</si>
  <si>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</si>
  <si>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</si>
  <si>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</si>
  <si>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</si>
  <si>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</si>
  <si>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</si>
  <si>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</si>
  <si>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</si>
  <si>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</si>
  <si>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</si>
  <si>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</si>
  <si>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</si>
  <si>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</si>
  <si>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</si>
  <si>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</si>
  <si>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</si>
  <si>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</si>
  <si>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</si>
  <si>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</si>
  <si>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</si>
  <si>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</si>
  <si>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</si>
  <si>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</si>
  <si>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</si>
  <si>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</si>
  <si>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</si>
  <si>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</si>
  <si>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</si>
  <si>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</si>
  <si>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</si>
  <si>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</si>
  <si>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</si>
  <si>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</si>
  <si>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</si>
  <si>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</si>
  <si>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</si>
  <si>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</si>
  <si>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</si>
  <si>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</si>
  <si>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</si>
  <si>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</si>
  <si>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</si>
  <si>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</si>
  <si>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</si>
  <si>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</si>
  <si>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</si>
  <si>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</si>
  <si>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Karen De la Cruz</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</si>
  <si>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</si>
  <si>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</si>
  <si>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</si>
  <si>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</si>
  <si>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</si>
  <si>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</si>
  <si>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</si>
  <si>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</si>
  <si>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</si>
  <si>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</si>
  <si>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</si>
  <si>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</si>
  <si>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</si>
  <si>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</si>
  <si>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</si>
  <si>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</si>
  <si>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</si>
  <si>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</si>
  <si>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</si>
  <si>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</si>
  <si>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</si>
  <si>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</si>
  <si>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</si>
  <si>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</si>
  <si>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</si>
  <si>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</si>
  <si>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</si>
  <si>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</si>
  <si>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</si>
  <si>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</si>
  <si>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</si>
  <si>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</si>
  <si>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</si>
  <si>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Marlenne Cespedes Rio</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</si>
  <si>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</si>
  <si>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</si>
  <si>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</si>
  <si>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</si>
  <si>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</si>
  <si>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</si>
  <si>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</si>
  <si>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</si>
  <si>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</si>
  <si>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</si>
  <si>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</si>
  <si>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</si>
  <si>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</si>
  <si>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</si>
  <si>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</si>
  <si>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</si>
  <si>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</si>
  <si>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</si>
  <si>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</si>
  <si>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</si>
  <si>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</si>
  <si>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</si>
  <si>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</si>
  <si>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</si>
  <si>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</si>
  <si>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</si>
  <si>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</si>
  <si>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</si>
  <si>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</si>
  <si>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</si>
  <si>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</si>
  <si>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</si>
  <si>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</si>
  <si>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</si>
  <si>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</si>
  <si>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</si>
  <si>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</si>
  <si>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</si>
  <si>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</si>
  <si>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</si>
  <si>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</si>
  <si>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</si>
  <si>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</si>
  <si>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</si>
  <si>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</si>
  <si>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</si>
  <si>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</si>
  <si>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</si>
  <si>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</si>
  <si>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</si>
  <si>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</si>
  <si>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</si>
  <si>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</si>
  <si>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</si>
  <si>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</si>
  <si>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</si>
  <si>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</si>
  <si>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</si>
  <si>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</si>
  <si>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</si>
  <si>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</si>
  <si>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</si>
  <si>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</si>
  <si>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</si>
  <si>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</si>
  <si>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</si>
  <si>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</si>
  <si>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</si>
  <si>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</si>
  <si>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</si>
  <si>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</si>
  <si>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</si>
  <si>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</si>
  <si>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</si>
  <si>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</si>
  <si>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</si>
  <si>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</si>
  <si>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</si>
  <si>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</si>
  <si>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</si>
  <si>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</si>
  <si>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</si>
  <si>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</si>
  <si>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</si>
  <si>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</si>
  <si>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</si>
  <si>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</si>
  <si>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</si>
  <si>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</si>
  <si>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</si>
  <si>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</si>
  <si>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</si>
  <si>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</si>
  <si>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</si>
  <si>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</si>
  <si>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</si>
  <si>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</si>
  <si>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</si>
  <si>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</si>
  <si>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</si>
  <si>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</si>
  <si>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</si>
  <si>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</si>
  <si>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</si>
  <si>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</si>
  <si>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</si>
  <si>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</si>
  <si>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</si>
  <si>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</si>
  <si>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</si>
  <si>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</si>
  <si>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</si>
  <si>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</si>
  <si>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</si>
  <si>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</si>
  <si>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</si>
  <si>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</si>
  <si>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</si>
  <si>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</si>
  <si>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</si>
  <si>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</si>
  <si>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</si>
  <si>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</si>
  <si>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</si>
  <si>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</si>
  <si>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</si>
  <si>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</si>
  <si>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</si>
  <si>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</si>
  <si>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</si>
  <si>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</si>
  <si>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</si>
  <si>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</si>
  <si>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</si>
  <si>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</si>
  <si>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</si>
  <si>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</si>
  <si>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</si>
  <si>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</si>
  <si>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</si>
  <si>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</si>
  <si>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</si>
  <si>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</si>
  <si>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</si>
  <si>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</si>
  <si>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</si>
  <si>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</si>
  <si>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</si>
  <si>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</si>
  <si>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</si>
  <si>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</si>
  <si>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</si>
  <si>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</si>
  <si>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</si>
  <si>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</si>
  <si>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</si>
  <si>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</si>
  <si>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</si>
  <si>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</si>
  <si>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</si>
  <si>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</si>
  <si>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</si>
  <si>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</si>
  <si>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</si>
  <si>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</si>
  <si>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</si>
  <si>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</si>
  <si>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</si>
  <si>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</si>
  <si>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</si>
  <si>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</si>
  <si>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</si>
  <si>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</si>
  <si>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</si>
  <si>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</si>
  <si>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</si>
  <si>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</si>
  <si>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</si>
  <si>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</si>
  <si>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</si>
  <si>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</si>
  <si>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</si>
  <si>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</si>
  <si>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</si>
  <si>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</si>
  <si>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</si>
  <si>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</si>
  <si>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</si>
  <si>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</si>
  <si>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</si>
  <si>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</si>
  <si>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</si>
  <si>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</si>
  <si>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</si>
  <si>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</si>
  <si>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</si>
  <si>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</si>
  <si>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</si>
  <si>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</si>
  <si>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</si>
  <si>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</si>
  <si>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</si>
  <si>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</si>
  <si>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</si>
  <si>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</si>
  <si>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</si>
  <si>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</si>
  <si>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</si>
  <si>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</si>
  <si>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</si>
  <si>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</si>
  <si>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</si>
  <si>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</si>
  <si>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</si>
  <si>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</si>
  <si>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</si>
  <si>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</si>
  <si>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</si>
  <si>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</si>
  <si>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</si>
  <si>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</si>
  <si>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</si>
  <si>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</si>
  <si>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</si>
  <si>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</si>
  <si>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</si>
  <si>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</si>
  <si>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</si>
  <si>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</si>
  <si>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</si>
  <si>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r>
      <rPr>
        <b/>
        <sz val="11"/>
        <color rgb="FF000000"/>
        <rFont val="Arial"/>
        <family val="2"/>
      </rPr>
      <t>ONG</t>
    </r>
    <r>
      <rPr>
        <sz val="11"/>
        <color rgb="FF000000"/>
        <rFont val="Arial"/>
        <family val="2"/>
      </rPr>
      <t>: Movimiento Manuela Ramos</t>
    </r>
  </si>
  <si>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</si>
  <si>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</si>
  <si>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</si>
  <si>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</si>
  <si>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</si>
  <si>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</si>
  <si>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</si>
  <si>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</si>
  <si>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</si>
  <si>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</si>
  <si>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CEM / Aurora</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</si>
  <si>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</si>
  <si>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</si>
  <si>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</si>
  <si>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</si>
  <si>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</si>
  <si>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</si>
  <si>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</si>
  <si>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</si>
  <si>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</si>
  <si>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</si>
  <si>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</si>
  <si>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</si>
  <si>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</si>
  <si>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</si>
  <si>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</si>
  <si>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</si>
  <si>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</si>
  <si>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</si>
  <si>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</si>
  <si>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</si>
  <si>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</si>
  <si>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</si>
  <si>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</si>
  <si>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</si>
  <si>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</si>
  <si>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</si>
  <si>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</si>
  <si>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</si>
  <si>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</si>
  <si>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</si>
  <si>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</si>
  <si>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</si>
  <si>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</si>
  <si>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</si>
  <si>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</si>
  <si>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</si>
  <si>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</si>
  <si>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</si>
  <si>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</si>
  <si>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</si>
  <si>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</si>
  <si>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</si>
  <si>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</si>
  <si>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</si>
  <si>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</si>
  <si>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</si>
  <si>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</si>
  <si>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</si>
  <si>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</si>
  <si>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</si>
  <si>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</si>
  <si>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</si>
  <si>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</si>
  <si>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</si>
  <si>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</si>
  <si>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</si>
  <si>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</si>
  <si>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</si>
  <si>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</si>
  <si>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</si>
  <si>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</si>
  <si>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</si>
  <si>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</si>
  <si>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</si>
  <si>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</si>
  <si>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</si>
  <si>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</si>
  <si>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</si>
  <si>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</si>
  <si>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</si>
  <si>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</si>
  <si>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</si>
  <si>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</si>
  <si>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</si>
  <si>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</si>
  <si>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</si>
  <si>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</si>
  <si>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</si>
  <si>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</si>
  <si>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</si>
  <si>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</si>
  <si>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</si>
  <si>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</si>
  <si>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</si>
  <si>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</si>
  <si>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</si>
  <si>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</si>
  <si>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</si>
  <si>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</si>
  <si>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</si>
  <si>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</si>
  <si>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</si>
  <si>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</si>
  <si>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</si>
  <si>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</si>
  <si>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</si>
  <si>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</si>
  <si>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</si>
  <si>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</si>
  <si>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</si>
  <si>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</si>
  <si>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</si>
  <si>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</si>
  <si>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</si>
  <si>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</si>
  <si>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</si>
  <si>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</si>
  <si>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</si>
  <si>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</si>
  <si>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</si>
  <si>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</si>
  <si>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</si>
  <si>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</si>
  <si>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</si>
  <si>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</si>
  <si>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</si>
  <si>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</si>
  <si>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</si>
  <si>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</si>
  <si>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</si>
  <si>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</si>
  <si>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</si>
  <si>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</si>
  <si>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</si>
  <si>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</si>
  <si>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</si>
  <si>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</si>
  <si>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</si>
  <si>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</si>
  <si>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</si>
  <si>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Distrito Judic ial  de ucayali (actualizado9</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</si>
  <si>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</si>
  <si>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</si>
  <si>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</si>
  <si>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</si>
  <si>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</si>
  <si>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</si>
  <si>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</si>
  <si>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</si>
  <si>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</si>
  <si>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</si>
  <si>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</si>
  <si>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</si>
  <si>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</si>
  <si>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</si>
  <si>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</si>
  <si>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</si>
  <si>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</si>
  <si>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</si>
  <si>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</si>
  <si>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</si>
  <si>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</si>
  <si>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</si>
  <si>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</si>
  <si>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</si>
  <si>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</si>
  <si>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</si>
  <si>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</si>
  <si>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</si>
  <si>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</si>
  <si>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</si>
  <si>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</si>
  <si>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</si>
  <si>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</si>
  <si>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</si>
  <si>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</si>
  <si>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</si>
  <si>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</si>
  <si>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</si>
  <si>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</si>
  <si>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</si>
  <si>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</si>
  <si>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</si>
  <si>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</si>
  <si>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</si>
  <si>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</si>
  <si>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</si>
  <si>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</si>
  <si>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</si>
  <si>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</si>
  <si>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</si>
  <si>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</si>
  <si>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</si>
  <si>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</si>
  <si>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</si>
  <si>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</si>
  <si>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</si>
  <si>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</si>
  <si>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</si>
  <si>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</si>
  <si>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</si>
  <si>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</si>
  <si>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</si>
  <si>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</si>
  <si>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</si>
  <si>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</si>
  <si>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</si>
  <si>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</si>
  <si>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</si>
  <si>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</si>
  <si>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</si>
  <si>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</si>
  <si>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</si>
  <si>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</si>
  <si>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</si>
  <si>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</si>
  <si>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</si>
  <si>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</si>
  <si>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</si>
  <si>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</si>
  <si>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</si>
  <si>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</si>
  <si>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</si>
  <si>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</si>
  <si>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</si>
  <si>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</si>
  <si>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</si>
  <si>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</si>
  <si>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</si>
  <si>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</si>
  <si>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</si>
  <si>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</si>
  <si>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</si>
  <si>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</si>
  <si>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</si>
  <si>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</si>
  <si>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</si>
  <si>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</si>
  <si>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</si>
  <si>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</si>
  <si>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</si>
  <si>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</si>
  <si>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</si>
  <si>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</si>
  <si>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</si>
  <si>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</si>
  <si>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</si>
  <si>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</si>
  <si>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</si>
  <si>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</si>
  <si>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</si>
  <si>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</si>
  <si>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</si>
  <si>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</si>
  <si>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</si>
  <si>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</si>
  <si>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</si>
  <si>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</si>
  <si>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</si>
  <si>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</si>
  <si>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</si>
  <si>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</si>
  <si>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</si>
  <si>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</si>
  <si>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</si>
  <si>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</si>
  <si>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</si>
  <si>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</si>
  <si>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</si>
  <si>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</si>
  <si>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</si>
  <si>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</si>
  <si>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</si>
  <si>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</si>
  <si>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</si>
  <si>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</si>
  <si>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</si>
  <si>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</si>
  <si>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</si>
  <si>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</si>
  <si>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</si>
  <si>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</si>
  <si>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</si>
  <si>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</si>
  <si>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</si>
  <si>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</si>
  <si>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</si>
  <si>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</si>
  <si>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</si>
  <si>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</si>
  <si>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</si>
  <si>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</si>
  <si>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</si>
  <si>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</si>
  <si>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</si>
  <si>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</si>
  <si>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</si>
  <si>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</si>
  <si>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</si>
  <si>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</si>
  <si>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</si>
  <si>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</si>
  <si>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</si>
  <si>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</si>
  <si>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</si>
  <si>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</si>
  <si>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</si>
  <si>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</si>
  <si>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</si>
  <si>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</si>
  <si>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</si>
  <si>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</si>
  <si>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</si>
  <si>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</si>
  <si>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</si>
  <si>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</si>
  <si>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</si>
  <si>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</si>
  <si>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</si>
  <si>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</si>
  <si>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</si>
  <si>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</si>
  <si>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</si>
  <si>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</si>
  <si>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</si>
  <si>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</si>
  <si>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</si>
  <si>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</si>
  <si>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</si>
  <si>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</si>
  <si>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</si>
  <si>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</si>
  <si>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</si>
  <si>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</si>
  <si>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</si>
  <si>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</si>
  <si>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</si>
  <si>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</si>
  <si>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</si>
  <si>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</si>
  <si>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</si>
  <si>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</si>
  <si>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</si>
  <si>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</si>
  <si>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</si>
  <si>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</si>
  <si>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</si>
  <si>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</si>
  <si>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</si>
  <si>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</si>
  <si>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</si>
  <si>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</si>
  <si>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</si>
  <si>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</si>
  <si>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</si>
  <si>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</si>
  <si>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</si>
  <si>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</si>
  <si>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</si>
  <si>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</si>
  <si>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</si>
  <si>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</si>
  <si>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</si>
  <si>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</si>
  <si>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</si>
  <si>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</si>
  <si>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</si>
  <si>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</si>
  <si>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</si>
  <si>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</si>
  <si>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</si>
  <si>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</si>
  <si>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</si>
  <si>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</si>
  <si>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</si>
  <si>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</si>
  <si>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</si>
  <si>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</si>
  <si>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</si>
  <si>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</si>
  <si>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</si>
  <si>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</si>
  <si>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</si>
  <si>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</si>
  <si>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</si>
  <si>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</si>
  <si>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</si>
  <si>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</si>
  <si>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</si>
  <si>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</si>
  <si>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</si>
  <si>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</si>
  <si>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</si>
  <si>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</si>
  <si>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</si>
  <si>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</si>
  <si>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</si>
  <si>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</si>
  <si>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</si>
  <si>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</si>
  <si>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</si>
  <si>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</si>
  <si>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</si>
  <si>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</si>
  <si>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</si>
  <si>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</si>
  <si>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</si>
  <si>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</si>
  <si>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</si>
  <si>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</si>
  <si>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</si>
  <si>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</si>
  <si>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</si>
  <si>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</si>
  <si>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</si>
  <si>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</si>
  <si>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</si>
  <si>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</si>
  <si>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</si>
  <si>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</si>
  <si>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</si>
  <si>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</si>
  <si>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</si>
  <si>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</si>
  <si>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</si>
  <si>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</si>
  <si>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</si>
  <si>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</si>
  <si>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</si>
  <si>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</si>
  <si>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</si>
  <si>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</si>
  <si>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</si>
  <si>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</si>
  <si>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</si>
  <si>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</si>
  <si>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</si>
  <si>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</si>
  <si>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</si>
  <si>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</si>
  <si>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</si>
  <si>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</si>
  <si>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</si>
  <si>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</si>
  <si>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</si>
  <si>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</si>
  <si>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</si>
  <si>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</si>
  <si>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</si>
  <si>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</si>
  <si>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</si>
  <si>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</si>
  <si>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</si>
  <si>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</si>
  <si>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</si>
  <si>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</si>
  <si>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</si>
  <si>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</si>
  <si>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</si>
  <si>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</si>
  <si>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</si>
  <si>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</si>
  <si>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</si>
  <si>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</si>
  <si>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</si>
  <si>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</si>
  <si>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</si>
  <si>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</si>
  <si>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</si>
  <si>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</si>
  <si>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</si>
  <si>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</si>
  <si>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</si>
  <si>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</si>
  <si>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</si>
  <si>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</si>
  <si>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</si>
  <si>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</si>
  <si>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</si>
  <si>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</si>
  <si>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</si>
  <si>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</si>
  <si>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</si>
  <si>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</si>
  <si>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</si>
  <si>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</si>
  <si>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</si>
  <si>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</si>
  <si>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</si>
  <si>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</si>
  <si>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</si>
  <si>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</si>
  <si>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</si>
  <si>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</si>
  <si>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</si>
  <si>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</si>
  <si>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</si>
  <si>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</si>
  <si>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</si>
  <si>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</si>
  <si>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</si>
  <si>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</si>
  <si>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</si>
  <si>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</si>
  <si>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</si>
  <si>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</si>
  <si>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</si>
  <si>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</si>
  <si>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</si>
  <si>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</si>
  <si>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</si>
  <si>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</si>
  <si>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</si>
  <si>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</si>
  <si>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</si>
  <si>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</si>
  <si>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</si>
  <si>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</si>
  <si>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</si>
  <si>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</si>
  <si>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</si>
  <si>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</si>
  <si>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</si>
  <si>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</si>
  <si>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</si>
  <si>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</si>
  <si>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</si>
  <si>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</si>
  <si>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</si>
  <si>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</si>
  <si>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</si>
  <si>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</si>
  <si>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</si>
  <si>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</si>
  <si>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</si>
  <si>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</si>
  <si>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</si>
  <si>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</si>
  <si>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</si>
  <si>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</si>
  <si>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</si>
  <si>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</si>
  <si>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</si>
  <si>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</si>
  <si>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</si>
  <si>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</si>
  <si>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</si>
  <si>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</si>
  <si>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</si>
  <si>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</si>
  <si>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</si>
  <si>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</si>
  <si>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</si>
  <si>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</si>
  <si>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</si>
  <si>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</si>
  <si>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</si>
  <si>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</si>
  <si>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</si>
  <si>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</si>
  <si>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</si>
  <si>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</si>
  <si>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</si>
  <si>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</si>
  <si>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</si>
  <si>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</si>
  <si>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</si>
  <si>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</si>
  <si>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</si>
  <si>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</si>
  <si>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</si>
  <si>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</si>
  <si>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</si>
  <si>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</si>
  <si>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</si>
  <si>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</si>
  <si>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</si>
  <si>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</si>
  <si>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</si>
  <si>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</si>
  <si>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</si>
  <si>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</si>
  <si>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</si>
  <si>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</si>
  <si>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</si>
  <si>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</si>
  <si>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</si>
  <si>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</si>
  <si>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</si>
  <si>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</si>
  <si>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</si>
  <si>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</si>
  <si>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</si>
  <si>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</si>
  <si>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</si>
  <si>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</si>
  <si>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</si>
  <si>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</si>
  <si>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</si>
  <si>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</si>
  <si>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</si>
  <si>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</si>
  <si>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</si>
  <si>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</si>
  <si>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</si>
  <si>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</si>
  <si>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</si>
  <si>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</si>
  <si>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</si>
  <si>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</si>
  <si>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</si>
  <si>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</si>
  <si>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</si>
  <si>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</si>
  <si>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</si>
  <si>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</si>
  <si>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</si>
  <si>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</si>
  <si>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</si>
  <si>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</si>
  <si>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</si>
  <si>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</si>
  <si>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</si>
  <si>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</si>
  <si>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</si>
  <si>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</si>
  <si>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</si>
  <si>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</si>
  <si>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</si>
  <si>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</si>
  <si>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</si>
  <si>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</si>
  <si>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</si>
  <si>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</si>
  <si>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</si>
  <si>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</si>
  <si>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</si>
  <si>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</si>
  <si>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</si>
  <si>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</si>
  <si>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</si>
  <si>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</si>
  <si>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</si>
  <si>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</si>
  <si>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</si>
  <si>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</si>
  <si>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</si>
  <si>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</si>
  <si>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</si>
  <si>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</si>
  <si>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</si>
  <si>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</si>
  <si>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</si>
  <si>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</si>
  <si>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</si>
  <si>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</si>
  <si>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</si>
  <si>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</si>
  <si>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</si>
  <si>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</si>
  <si>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</si>
  <si>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</si>
  <si>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</si>
  <si>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</si>
  <si>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</si>
  <si>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</si>
  <si>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</si>
  <si>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</si>
  <si>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</si>
  <si>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</si>
  <si>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</si>
  <si>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</si>
  <si>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</si>
  <si>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</si>
  <si>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</si>
  <si>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</si>
  <si>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</si>
  <si>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</si>
  <si>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</si>
  <si>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</si>
  <si>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</si>
  <si>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</si>
  <si>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</si>
  <si>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</si>
  <si>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</si>
  <si>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</si>
  <si>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</si>
  <si>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</si>
  <si>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</si>
  <si>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</si>
  <si>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</si>
  <si>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</si>
  <si>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</si>
  <si>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987856989</t>
  </si>
  <si>
    <t>914169055</t>
  </si>
  <si>
    <t>914166514</t>
  </si>
  <si>
    <t>994834045</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</si>
  <si>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</si>
  <si>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</si>
  <si>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</si>
  <si>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</si>
  <si>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</si>
  <si>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</si>
  <si>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</si>
  <si>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</si>
  <si>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</si>
  <si>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</si>
  <si>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</si>
  <si>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</si>
  <si>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</si>
  <si>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</si>
  <si>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</si>
  <si>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</si>
  <si>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</si>
  <si>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</si>
  <si>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</si>
  <si>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</si>
  <si>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</si>
  <si>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</si>
  <si>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</si>
  <si>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</si>
  <si>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</si>
  <si>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</si>
  <si>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</si>
  <si>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</si>
  <si>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947129006</t>
  </si>
  <si>
    <t>989871865</t>
  </si>
  <si>
    <t>977551307</t>
  </si>
  <si>
    <t>935045398</t>
  </si>
  <si>
    <t>983756743</t>
  </si>
  <si>
    <t>966929800</t>
  </si>
  <si>
    <t>984555100</t>
  </si>
  <si>
    <t>960826045</t>
  </si>
  <si>
    <t>976300524</t>
  </si>
  <si>
    <t xml:space="preserve">  4/8/2026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</si>
  <si>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</si>
  <si>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</si>
  <si>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</si>
  <si>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</si>
  <si>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</si>
  <si>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</si>
  <si>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</si>
  <si>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</si>
  <si>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</si>
  <si>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</si>
  <si>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</si>
  <si>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</si>
  <si>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</si>
  <si>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</si>
  <si>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</si>
  <si>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</si>
  <si>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</si>
  <si>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</si>
  <si>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</si>
  <si>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</si>
  <si>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</si>
  <si>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</si>
  <si>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</si>
  <si>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</si>
  <si>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</si>
  <si>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</si>
  <si>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</si>
  <si>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</si>
  <si>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 xml:space="preserve">  4/7/2026</t>
  </si>
  <si>
    <t xml:space="preserve"> 6/15/2026</t>
  </si>
  <si>
    <t xml:space="preserve">  4/9/2026</t>
  </si>
  <si>
    <t xml:space="preserve"> 4/13/2026</t>
  </si>
  <si>
    <t>12-Jun</t>
  </si>
  <si>
    <t xml:space="preserve"> 6/17/2026</t>
  </si>
  <si>
    <t xml:space="preserve"> 6/25/2026</t>
  </si>
  <si>
    <t>31-Mar</t>
  </si>
  <si>
    <t>24-Mar</t>
  </si>
  <si>
    <t>25-May</t>
  </si>
  <si>
    <t>21-May</t>
  </si>
  <si>
    <t xml:space="preserve"> 7-Apr</t>
  </si>
  <si>
    <t xml:space="preserve"> 1-Apr</t>
  </si>
  <si>
    <t>24-Apr</t>
  </si>
  <si>
    <t>10-Apr</t>
  </si>
  <si>
    <t>14-Apr</t>
  </si>
  <si>
    <t>30-Mar</t>
  </si>
  <si>
    <t xml:space="preserve"> 2-Apr</t>
  </si>
  <si>
    <t xml:space="preserve"> 2-Jun</t>
  </si>
  <si>
    <t xml:space="preserve"> 4-Jun</t>
  </si>
  <si>
    <t>23-May</t>
  </si>
  <si>
    <t xml:space="preserve"> 8-Apr</t>
  </si>
  <si>
    <t>0</t>
  </si>
  <si>
    <t>931455311</t>
  </si>
  <si>
    <t>368</t>
  </si>
  <si>
    <t>369</t>
  </si>
  <si>
    <t>Ines Mariel Barrón Rodríguez</t>
  </si>
  <si>
    <t>25-Jun</t>
  </si>
  <si>
    <t>24-Jun</t>
  </si>
  <si>
    <t>La referencia es la Sra Mercedes Arce. Indicó que designaría a un colaborador con experiencia en Loreto.</t>
  </si>
</sst>
</file>

<file path=xl/styles.xml><?xml version="1.0" encoding="utf-8"?>
<styleSheet xmlns="http://schemas.openxmlformats.org/spreadsheetml/2006/main" xmlns:r="http://schemas.openxmlformats.org/officeDocument/2006/relationships" xmlns:xdr="http://schemas.openxmlformats.org/drawingml/2006/spreadsheetDrawing">
  <fonts count="28">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rgb="FFFF0000"/>
      <name val="Arial"/>
      <family val="2"/>
    </font>
    <font>
      <sz val="11"/>
      <name val="Arial"/>
      <family val="2"/>
    </font>
    <font>
      <sz val="11"/>
      <color theme="0"/>
      <name val="Arial"/>
      <family val="2"/>
    </font>
    <font>
      <b/>
      <sz val="12"/>
      <color theme="1"/>
      <name val="Arial"/>
      <family val="2"/>
    </font>
    <font>
      <b/>
      <sz val="8"/>
      <color theme="1"/>
      <name val="Arial"/>
      <family val="2"/>
    </font>
    <font>
      <sz val="8"/>
      <color theme="0"/>
      <name val="Arial"/>
      <family val="2"/>
    </font>
    <font>
      <b/>
      <sz val="8"/>
      <color theme="0"/>
      <name val="Arial"/>
      <family val="2"/>
    </font>
    <font>
      <sz val="11"/>
      <color theme="0" tint="-0.14999847407453"/>
      <name val="Arial"/>
      <family val="2"/>
    </font>
    <font>
      <sz val="10"/>
      <name val="Arial"/>
      <family val="2"/>
    </font>
    <font>
      <u/>
      <sz val="11"/>
      <name val="Aptos Narrow"/>
      <family val="2"/>
      <scheme val="minor"/>
    </font>
    <font>
      <sz val="11"/>
      <color theme="1"/>
      <name val="Arial"/>
      <family val="2"/>
    </font>
    <font>
      <sz val="11"/>
      <name val="Arial"/>
      <family val="2"/>
    </font>
    <font>
      <sz val="10"/>
      <name val="Arial"/>
      <family val="2"/>
    </font>
    <font>
      <b/>
      <sz val="11"/>
      <color theme="0"/>
      <name val="Arial"/>
      <family val="2"/>
    </font>
    <font>
      <sz val="11"/>
      <color rgb="FF242424"/>
      <name val="Arial"/>
      <family val="2"/>
    </font>
  </fonts>
  <fills count="21">
    <fill>
      <patternFill patternType="none"/>
    </fill>
    <fill>
      <patternFill patternType="gray125"/>
    </fill>
    <fill>
      <patternFill patternType="solid">
        <fgColor theme="0" tint="-0.49995422223579"/>
        <bgColor indexed="64"/>
      </patternFill>
    </fill>
    <fill>
      <patternFill patternType="solid">
        <fgColor theme="4" tint="-0.24994659260842"/>
        <bgColor indexed="64"/>
      </patternFill>
    </fill>
    <fill>
      <patternFill patternType="solid">
        <fgColor rgb="FFD8F8FA"/>
        <bgColor indexed="64"/>
      </patternFill>
    </fill>
    <fill>
      <patternFill patternType="solid">
        <fgColor rgb="FFFBE1E1"/>
        <bgColor indexed="64"/>
      </patternFill>
    </fill>
    <fill>
      <patternFill patternType="solid">
        <fgColor rgb="FF002060"/>
        <bgColor indexed="64"/>
      </patternFill>
    </fill>
    <fill>
      <patternFill patternType="solid">
        <fgColor theme="1"/>
        <bgColor indexed="64"/>
      </patternFill>
    </fill>
    <fill>
      <patternFill patternType="solid">
        <fgColor rgb="FFFFFF00"/>
        <bgColor indexed="64"/>
      </patternFill>
    </fill>
    <fill>
      <patternFill patternType="solid">
        <fgColor theme="0" tint="-0.14999847407453"/>
        <bgColor indexed="64"/>
      </patternFill>
    </fill>
    <fill>
      <patternFill patternType="solid">
        <fgColor rgb="FFC00000"/>
        <bgColor indexed="64"/>
      </patternFill>
    </fill>
    <fill>
      <patternFill patternType="solid">
        <fgColor theme="0"/>
        <bgColor indexed="64"/>
      </patternFill>
    </fill>
    <fill>
      <patternFill patternType="solid">
        <fgColor theme="8" tint="0.39997558519242"/>
        <bgColor indexed="64"/>
      </patternFill>
    </fill>
    <fill>
      <patternFill patternType="solid">
        <fgColor theme="5"/>
        <bgColor indexed="64"/>
      </patternFill>
    </fill>
    <fill>
      <patternFill patternType="solid">
        <fgColor rgb="FF006100"/>
        <bgColor indexed="64"/>
      </patternFill>
    </fill>
    <fill>
      <patternFill patternType="solid">
        <fgColor rgb="FFFFC000"/>
        <bgColor indexed="64"/>
      </patternFill>
    </fill>
    <fill>
      <patternFill patternType="solid">
        <fgColor theme="9" tint="0.79998168889431"/>
        <bgColor indexed="64"/>
      </patternFill>
    </fill>
    <fill>
      <patternFill patternType="solid">
        <fgColor theme="0" tint="-0.049989318521683"/>
        <bgColor indexed="64"/>
      </patternFill>
    </fill>
    <fill>
      <patternFill patternType="solid">
        <fgColor theme="8" tint="0.5999938962981"/>
        <bgColor indexed="64"/>
      </patternFill>
    </fill>
    <fill>
      <patternFill patternType="solid">
        <fgColor theme="7" tint="0.79998168889431"/>
        <bgColor indexed="64"/>
      </patternFill>
    </fill>
    <fill>
      <patternFill patternType="solid">
        <fgColor theme="0" tint="-0.24997711111789"/>
        <bgColor indexed="64"/>
      </patternFill>
    </fill>
  </fills>
  <borders count="3">
    <border>
      <left/>
      <right/>
      <top/>
      <bottom/>
      <diagonal/>
    </border>
    <border>
      <left/>
      <right/>
      <top/>
      <bottom style="thin">
        <color theme="0" tint="-0.24997711111789"/>
      </bottom>
      <diagonal/>
    </border>
    <border>
      <left/>
      <right/>
      <top/>
      <bottom style="thin">
        <color theme="2" tint="-0.24997711111789"/>
      </bottom>
      <diagonal/>
    </border>
  </borders>
  <cellStyleXfs count="3">
    <xf numFmtId="0" fontId="0" fillId="0" borderId="0"/>
    <xf numFmtId="0" fontId="3" fillId="0" borderId="0" applyNumberFormat="false" applyFill="false" applyBorder="false" applyAlignment="false" applyProtection="false"/>
    <xf numFmtId="0" fontId="3" fillId="0" borderId="0" applyNumberFormat="false" applyFill="false" applyBorder="false" applyAlignment="false" applyProtection="false"/>
  </cellStyleXfs>
  <cellXfs count="77">
    <xf numFmtId="0" fontId="0" fillId="0" borderId="0" xfId="0"/>
    <xf numFmtId="0" fontId="1" fillId="0" borderId="0" xfId="0" applyFont="true"/>
    <xf numFmtId="14" fontId="1" fillId="0" borderId="0" xfId="0" applyNumberFormat="true" applyFont="true"/>
    <xf numFmtId="0" fontId="2" fillId="2" borderId="0" xfId="0" applyFont="true" applyFill="true"/>
    <xf numFmtId="15" fontId="2" fillId="2" borderId="0" xfId="0" applyNumberFormat="true" applyFont="true" applyFill="true"/>
    <xf numFmtId="0" fontId="1" fillId="0" borderId="0" xfId="0" applyFont="true" applyAlignment="true">
      <alignment horizontal="left"/>
    </xf>
    <xf numFmtId="0" fontId="3" fillId="0" borderId="0" xfId="1"/>
    <xf numFmtId="0" fontId="2" fillId="3" borderId="0" xfId="0" applyFont="true" applyFill="true"/>
    <xf numFmtId="0" fontId="3" fillId="0" borderId="0" xfId="1" applyFill="true" applyAlignment="true">
      <alignment horizontal="left"/>
    </xf>
    <xf numFmtId="0" fontId="4" fillId="0" borderId="0" xfId="0" applyFont="true"/>
    <xf numFmtId="0" fontId="1" fillId="0" borderId="0" xfId="0" applyFont="true" applyAlignment="true">
      <alignment horizontal="right"/>
    </xf>
    <xf numFmtId="0" fontId="5" fillId="0" borderId="0" xfId="0" applyFont="true" applyAlignment="true">
      <alignment vertical="center"/>
    </xf>
    <xf numFmtId="0" fontId="5" fillId="0" borderId="0" xfId="0" applyFont="true" applyAlignment="true">
      <alignment horizontal="center" vertical="center"/>
    </xf>
    <xf numFmtId="0" fontId="5" fillId="0" borderId="0" xfId="0" applyFont="true" applyAlignment="true">
      <alignment horizontal="left" vertical="center"/>
    </xf>
    <xf numFmtId="0" fontId="2" fillId="2" borderId="0" xfId="0" applyFont="true" applyFill="true" applyAlignment="true">
      <alignment horizontal="center"/>
    </xf>
    <xf numFmtId="0" fontId="1" fillId="0" borderId="0" xfId="0" applyFont="true" applyAlignment="true">
      <alignment horizontal="center"/>
    </xf>
    <xf numFmtId="14" fontId="0" fillId="0" borderId="0" xfId="0" applyNumberFormat="true"/>
    <xf numFmtId="14" fontId="2" fillId="2" borderId="0" xfId="0" applyNumberFormat="true" applyFont="true" applyFill="true" applyAlignment="true">
      <alignment horizontal="center"/>
    </xf>
    <xf numFmtId="14" fontId="2" fillId="2" borderId="0" xfId="0" applyNumberFormat="true" applyFont="true" applyFill="true"/>
    <xf numFmtId="0" fontId="0" fillId="0" borderId="0" xfId="0" applyAlignment="true">
      <alignment horizontal="center" vertical="center"/>
    </xf>
    <xf numFmtId="0" fontId="0" fillId="0" borderId="0" xfId="0" quotePrefix="true" applyAlignment="true">
      <alignment horizontal="center" vertical="center"/>
    </xf>
    <xf numFmtId="0" fontId="0" fillId="0" borderId="0" xfId="0" applyAlignment="true">
      <alignment horizontal="center"/>
    </xf>
    <xf numFmtId="0" fontId="2" fillId="2" borderId="0" xfId="0" applyFont="true" applyFill="true" applyAlignment="true">
      <alignment horizontal="left"/>
    </xf>
    <xf numFmtId="0" fontId="0" fillId="0" borderId="0" xfId="0" applyAlignment="true">
      <alignment horizontal="left"/>
    </xf>
    <xf numFmtId="0" fontId="5" fillId="5" borderId="0" xfId="0" applyFont="true" applyFill="true" applyAlignment="true">
      <alignment vertical="center"/>
    </xf>
    <xf numFmtId="0" fontId="5" fillId="4" borderId="0" xfId="0" applyFont="true" applyFill="true" applyAlignment="true">
      <alignment vertical="center"/>
    </xf>
    <xf numFmtId="0" fontId="15" fillId="0" borderId="0" xfId="0" applyFont="true" applyAlignment="true">
      <alignment vertical="center"/>
    </xf>
    <xf numFmtId="0" fontId="16" fillId="0" borderId="0" xfId="0" applyFont="true" applyAlignment="true">
      <alignment horizontal="left" vertical="center"/>
    </xf>
    <xf numFmtId="0" fontId="17" fillId="0" borderId="0" xfId="0" applyFont="true" applyAlignment="true">
      <alignment vertical="center"/>
    </xf>
    <xf numFmtId="0" fontId="18" fillId="0" borderId="0" xfId="0" applyFont="true" applyAlignment="true">
      <alignment vertical="center" wrapText="true"/>
    </xf>
    <xf numFmtId="0" fontId="19" fillId="6" borderId="0" xfId="0" applyFont="true" applyFill="true" applyAlignment="true">
      <alignment horizontal="center" vertical="center" wrapText="true"/>
    </xf>
    <xf numFmtId="0" fontId="19" fillId="7" borderId="0" xfId="0" applyFont="true" applyFill="true" applyAlignment="true">
      <alignment horizontal="center" vertical="center" wrapText="true"/>
    </xf>
    <xf numFmtId="0" fontId="17" fillId="9" borderId="0" xfId="0" applyFont="true" applyFill="true" applyAlignment="true">
      <alignment horizontal="center" vertical="center" wrapText="true"/>
    </xf>
    <xf numFmtId="0" fontId="19" fillId="10" borderId="0" xfId="0" applyFont="true" applyFill="true" applyAlignment="true">
      <alignment horizontal="center" vertical="center" wrapText="true"/>
    </xf>
    <xf numFmtId="0" fontId="20" fillId="0" borderId="0" xfId="0" applyFont="true" applyAlignment="true">
      <alignment vertical="center"/>
    </xf>
    <xf numFmtId="0" fontId="14" fillId="0" borderId="0" xfId="0" applyFont="true" applyAlignment="true">
      <alignment horizontal="left" vertical="center" wrapText="true"/>
    </xf>
    <xf numFmtId="0" fontId="5" fillId="16" borderId="0" xfId="0" applyFont="true" applyFill="true" applyAlignment="true">
      <alignment vertical="center"/>
    </xf>
    <xf numFmtId="0" fontId="14" fillId="0" borderId="1" xfId="0" applyFont="true" applyBorder="true" applyAlignment="true">
      <alignment horizontal="center" vertical="center" wrapText="true"/>
    </xf>
    <xf numFmtId="0" fontId="14" fillId="8" borderId="1" xfId="0" applyFont="true" applyFill="true" applyBorder="true" applyAlignment="true">
      <alignment horizontal="left" vertical="center" wrapText="true"/>
    </xf>
    <xf numFmtId="0" fontId="14" fillId="11" borderId="1" xfId="0" applyFont="true" applyFill="true" applyBorder="true" applyAlignment="true">
      <alignment horizontal="left" vertical="center" wrapText="true"/>
    </xf>
    <xf numFmtId="0" fontId="21" fillId="0" borderId="2" xfId="0" applyFont="true" applyBorder="true" applyAlignment="true">
      <alignment horizontal="center" vertical="center" wrapText="true"/>
    </xf>
    <xf numFmtId="0" fontId="14" fillId="17" borderId="1" xfId="0" applyFont="true" applyFill="true" applyBorder="true" applyAlignment="true">
      <alignment horizontal="center" vertical="center" wrapText="true"/>
    </xf>
    <xf numFmtId="0" fontId="14" fillId="0" borderId="1" xfId="0" applyFont="true" applyBorder="true" applyAlignment="true">
      <alignment horizontal="left" vertical="center" wrapText="true"/>
    </xf>
    <xf numFmtId="0" fontId="14" fillId="17" borderId="1" xfId="0" applyFont="true" applyFill="true" applyBorder="true" applyAlignment="true">
      <alignment horizontal="left" vertical="center" wrapText="true"/>
    </xf>
    <xf numFmtId="14" fontId="14" fillId="17" borderId="1" xfId="0" applyNumberFormat="true" applyFont="true" applyFill="true" applyBorder="true" applyAlignment="true">
      <alignment horizontal="left" vertical="center" wrapText="true"/>
    </xf>
    <xf numFmtId="0" fontId="14" fillId="12" borderId="1" xfId="0" applyFont="true" applyFill="true" applyBorder="true" applyAlignment="true">
      <alignment horizontal="center" vertical="center" wrapText="true"/>
    </xf>
    <xf numFmtId="16" fontId="14" fillId="17" borderId="1" xfId="0" applyNumberFormat="true" applyFont="true" applyFill="true" applyBorder="true" applyAlignment="true">
      <alignment horizontal="left" vertical="center" wrapText="true"/>
    </xf>
    <xf numFmtId="0" fontId="3" fillId="0" borderId="1" xfId="1" applyBorder="true" applyAlignment="true">
      <alignment horizontal="left" vertical="center" wrapText="true"/>
    </xf>
    <xf numFmtId="0" fontId="14" fillId="17" borderId="1" xfId="0" quotePrefix="true" applyFont="true" applyFill="true" applyBorder="true" applyAlignment="true">
      <alignment horizontal="left" vertical="center" wrapText="true"/>
    </xf>
    <xf numFmtId="0" fontId="3" fillId="0" borderId="1" xfId="2" applyBorder="true" applyAlignment="true">
      <alignment horizontal="left" vertical="center" wrapText="true"/>
    </xf>
    <xf numFmtId="0" fontId="14" fillId="0" borderId="2" xfId="0" applyFont="true" applyBorder="true" applyAlignment="true">
      <alignment horizontal="center" vertical="center" wrapText="true"/>
    </xf>
    <xf numFmtId="0" fontId="7" fillId="0" borderId="1" xfId="0" applyFont="true" applyBorder="true" applyAlignment="true">
      <alignment horizontal="left" vertical="center" wrapText="true"/>
    </xf>
    <xf numFmtId="0" fontId="14" fillId="18" borderId="1" xfId="0" applyFont="true" applyFill="true" applyBorder="true" applyAlignment="true">
      <alignment horizontal="center" vertical="center" wrapText="true"/>
    </xf>
    <xf numFmtId="0" fontId="14" fillId="17" borderId="1" xfId="0" applyFont="true" applyFill="true" applyBorder="true" applyAlignment="true">
      <alignment horizontal="center" vertical="center"/>
    </xf>
    <xf numFmtId="0" fontId="14" fillId="11" borderId="1" xfId="0" applyFont="true" applyFill="true" applyBorder="true" applyAlignment="true">
      <alignment horizontal="center" vertical="center" wrapText="true"/>
    </xf>
    <xf numFmtId="0" fontId="14" fillId="19" borderId="1" xfId="0" applyFont="true" applyFill="true" applyBorder="true" applyAlignment="true">
      <alignment horizontal="center" vertical="center" wrapText="true"/>
    </xf>
    <xf numFmtId="0" fontId="14" fillId="13" borderId="1" xfId="0" applyFont="true" applyFill="true" applyBorder="true" applyAlignment="true">
      <alignment horizontal="center" vertical="center" wrapText="true"/>
    </xf>
    <xf numFmtId="0" fontId="3" fillId="17" borderId="1" xfId="2" applyFill="true" applyBorder="true" applyAlignment="true">
      <alignment horizontal="left" vertical="center" wrapText="true"/>
    </xf>
    <xf numFmtId="0" fontId="7" fillId="12" borderId="1" xfId="0" applyFont="true" applyFill="true" applyBorder="true" applyAlignment="true">
      <alignment horizontal="center" vertical="center" wrapText="true"/>
    </xf>
    <xf numFmtId="0" fontId="14" fillId="17" borderId="0" xfId="0" applyFont="true" applyFill="true" applyAlignment="true">
      <alignment horizontal="center" vertical="center" wrapText="true"/>
    </xf>
    <xf numFmtId="0" fontId="14" fillId="14" borderId="1" xfId="0" applyFont="true" applyFill="true" applyBorder="true" applyAlignment="true">
      <alignment horizontal="center" vertical="center" wrapText="true"/>
    </xf>
    <xf numFmtId="0" fontId="13" fillId="17" borderId="1" xfId="0" applyFont="true" applyFill="true" applyBorder="true" applyAlignment="true">
      <alignment horizontal="left" vertical="center" wrapText="true"/>
    </xf>
    <xf numFmtId="0" fontId="14" fillId="20" borderId="1" xfId="0" applyFont="true" applyFill="true" applyBorder="true" applyAlignment="true">
      <alignment horizontal="left" vertical="center" wrapText="true"/>
    </xf>
    <xf numFmtId="0" fontId="14" fillId="8" borderId="1" xfId="0" applyFont="true" applyFill="true" applyBorder="true" applyAlignment="true">
      <alignment horizontal="center" vertical="center" wrapText="true"/>
    </xf>
    <xf numFmtId="0" fontId="22" fillId="0" borderId="1" xfId="1" applyFont="true" applyBorder="true" applyAlignment="true">
      <alignment horizontal="left" vertical="center" wrapText="true"/>
    </xf>
    <xf numFmtId="0" fontId="14" fillId="19" borderId="1" xfId="0" applyFont="true" applyFill="true" applyBorder="true" applyAlignment="true">
      <alignment horizontal="left" vertical="center" wrapText="true"/>
    </xf>
    <xf numFmtId="0" fontId="21" fillId="15" borderId="2" xfId="0" applyFont="true" applyFill="true" applyBorder="true" applyAlignment="true">
      <alignment horizontal="center" vertical="center" wrapText="true"/>
    </xf>
    <xf numFmtId="0" fontId="23" fillId="0" borderId="0" xfId="0" applyFont="true" applyAlignment="true">
      <alignment horizontal="left" vertical="center"/>
    </xf>
    <xf numFmtId="0" fontId="24" fillId="17" borderId="1" xfId="0" applyFont="true" applyFill="true" applyBorder="true" applyAlignment="true">
      <alignment horizontal="left" vertical="center" wrapText="true"/>
    </xf>
    <xf numFmtId="14" fontId="24" fillId="17" borderId="1" xfId="0" applyNumberFormat="true" applyFont="true" applyFill="true" applyBorder="true" applyAlignment="true">
      <alignment horizontal="left" vertical="center" wrapText="true"/>
    </xf>
    <xf numFmtId="0" fontId="24" fillId="0" borderId="1" xfId="0" applyFont="true" applyBorder="true" applyAlignment="true">
      <alignment horizontal="left" vertical="center" wrapText="true"/>
    </xf>
    <xf numFmtId="0" fontId="25" fillId="0" borderId="2" xfId="0" applyFont="true" applyBorder="true" applyAlignment="true">
      <alignment horizontal="center" vertical="center" wrapText="true"/>
    </xf>
    <xf numFmtId="0" fontId="24" fillId="17" borderId="1" xfId="0" applyFont="true" applyFill="true" applyBorder="true" applyAlignment="true">
      <alignment horizontal="center" vertical="center" wrapText="true"/>
    </xf>
    <xf numFmtId="0" fontId="26" fillId="6" borderId="0" xfId="0" applyFont="true" applyFill="true" applyAlignment="true">
      <alignment horizontal="center" vertical="center"/>
    </xf>
    <xf numFmtId="0" fontId="27" fillId="0" borderId="0" xfId="0" applyFont="true"/>
    <xf numFmtId="0" fontId="14" fillId="4" borderId="1" xfId="0" applyFont="true" applyFill="true" applyBorder="true" applyAlignment="true">
      <alignment horizontal="left" vertical="center" wrapText="true"/>
    </xf>
    <xf numFmtId="0" fontId="0" fillId="0" borderId="0" xfId="0" quotePrefix="true"/>
  </cellXfs>
  <cellStyles count="3">
    <cellStyle name="Hipervínculo" xfId="1" builtinId="8"/>
    <cellStyle name="Hyperlink" xfId="2"/>
    <cellStyle name="Normal" xfId="0" builtinId="0"/>
  </cellStyles>
  <dxfs count="412">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Relationships xmlns="http://schemas.openxmlformats.org/package/2006/relationships"><Relationship Target="worksheets/sheet8.xml" Type="http://schemas.openxmlformats.org/officeDocument/2006/relationships/worksheet" Id="rId8"/><Relationship Target="worksheets/sheet13.xml" Type="http://schemas.openxmlformats.org/officeDocument/2006/relationships/worksheet" Id="rId13"/><Relationship Target="persons/person.xml" Type="http://schemas.microsoft.com/office/2017/10/relationships/person" Id="rId18"/><Relationship Target="worksheets/sheet3.xml" Type="http://schemas.openxmlformats.org/officeDocument/2006/relationships/worksheet" Id="rId3"/><Relationship Target="../customXml/item2.xml" Type="http://schemas.openxmlformats.org/officeDocument/2006/relationships/customXml" Id="rId21"/><Relationship Target="worksheets/sheet7.xml" Type="http://schemas.openxmlformats.org/officeDocument/2006/relationships/worksheet" Id="rId7"/><Relationship Target="worksheets/sheet12.xml" Type="http://schemas.openxmlformats.org/officeDocument/2006/relationships/worksheet" Id="rId12"/><Relationship Target="metadata.xml" Type="http://schemas.openxmlformats.org/officeDocument/2006/relationships/sheetMetadata" Id="rId17"/><Relationship Target="worksheets/sheet2.xml" Type="http://schemas.openxmlformats.org/officeDocument/2006/relationships/worksheet" Id="rId2"/><Relationship Target="sharedStrings.xml" Type="http://schemas.openxmlformats.org/officeDocument/2006/relationships/sharedStrings" Id="rId16"/><Relationship Target="../customXml/item1.xml" Type="http://schemas.openxmlformats.org/officeDocument/2006/relationships/customXml" Id="rId20"/><Relationship Target="worksheets/sheet1.xml" Type="http://schemas.openxmlformats.org/officeDocument/2006/relationships/worksheet" Id="rId1"/><Relationship Target="worksheets/sheet6.xml" Type="http://schemas.openxmlformats.org/officeDocument/2006/relationships/worksheet" Id="rId6"/><Relationship Target="worksheets/sheet11.xml" Type="http://schemas.openxmlformats.org/officeDocument/2006/relationships/worksheet" Id="rId11"/><Relationship Target="worksheets/sheet5.xml" Type="http://schemas.openxmlformats.org/officeDocument/2006/relationships/worksheet" Id="rId5"/><Relationship Target="styles.xml" Type="http://schemas.openxmlformats.org/officeDocument/2006/relationships/styles" Id="rId15"/><Relationship Target="worksheets/sheet10.xml" Type="http://schemas.openxmlformats.org/officeDocument/2006/relationships/worksheet" Id="rId10"/><Relationship Target="worksheets/sheet4.xml" Type="http://schemas.openxmlformats.org/officeDocument/2006/relationships/worksheet" Id="rId4"/><Relationship Target="worksheets/sheet9.xml" Type="http://schemas.openxmlformats.org/officeDocument/2006/relationships/worksheet" Id="rId9"/><Relationship Target="theme/theme1.xml" Type="http://schemas.openxmlformats.org/officeDocument/2006/relationships/theme" Id="rId14"/><Relationship Target="../customXml/item3.xml" Type="http://schemas.openxmlformats.org/officeDocument/2006/relationships/customXml" Id="rId22"/></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Relationships xmlns="http://schemas.openxmlformats.org/package/2006/relationships"><Relationship TargetMode="External" Target="https://www.instagram.com/adrianaleoncantella/?hl=es" Type="http://schemas.openxmlformats.org/officeDocument/2006/relationships/hyperlink" Id="rId26"/><Relationship TargetMode="External" Target="https://www.linkedin.com/in/juana-avellaneda-c-b29b70b5/" Type="http://schemas.openxmlformats.org/officeDocument/2006/relationships/hyperlink" Id="rId21"/><Relationship TargetMode="External" Target="mailto:sintabues.org@gmail.com" Type="http://schemas.openxmlformats.org/officeDocument/2006/relationships/hyperlink" Id="rId42"/><Relationship TargetMode="External" Target="mailto:servicedesk@pj.gob.pe" Type="http://schemas.openxmlformats.org/officeDocument/2006/relationships/hyperlink" Id="rId47"/><Relationship TargetMode="External" Target="https://www.linkedin.com/in/catasubirana/" Type="http://schemas.openxmlformats.org/officeDocument/2006/relationships/hyperlink" Id="rId63"/><Relationship TargetMode="External" Target="mailto:susana.trazamos@hotmail.com%0a" Type="http://schemas.openxmlformats.org/officeDocument/2006/relationships/hyperlink" Id="rId68"/><Relationship TargetMode="External" Target="https://www.instagram.com/pasosfirmes_peru/%20%20asociacionpasosfirmes@gmail.com" Type="http://schemas.openxmlformats.org/officeDocument/2006/relationships/hyperlink" Id="rId16"/><Relationship TargetMode="External" Target="mailto:info@appv.pe" Type="http://schemas.openxmlformats.org/officeDocument/2006/relationships/hyperlink" Id="rId11"/><Relationship TargetMode="External" Target="https://x.com/gloriaziegler" Type="http://schemas.openxmlformats.org/officeDocument/2006/relationships/hyperlink" Id="rId24"/><Relationship TargetMode="External" Target="mailto:arebaza@mpfn.gob.pe" Type="http://schemas.openxmlformats.org/officeDocument/2006/relationships/hyperlink" Id="rId32"/><Relationship TargetMode="External" Target="mailto:mesadepartesdigital@mimp.gob.pe" Type="http://schemas.openxmlformats.org/officeDocument/2006/relationships/hyperlink" Id="rId37"/><Relationship TargetMode="External" Target="mailto:rjoyo@pj.gob.pe" Type="http://schemas.openxmlformats.org/officeDocument/2006/relationships/hyperlink" Id="rId40"/><Relationship TargetMode="External" Target="mailto:direccionejecutiva@tarpurisunchis.org" Type="http://schemas.openxmlformats.org/officeDocument/2006/relationships/hyperlink" Id="rId45"/><Relationship TargetMode="External" Target="mailto:peru.office@unfpa.org%20/%20(+511)%20226%201026" Type="http://schemas.openxmlformats.org/officeDocument/2006/relationships/hyperlink" Id="rId53"/><Relationship TargetMode="External" Target="mailto:orpio-baseregional_aidesep@hotmail.com%20/%20(065)%20227345" Type="http://schemas.openxmlformats.org/officeDocument/2006/relationships/hyperlink" Id="rId58"/><Relationship TargetMode="External" Target="mailto:fenamad@fenamad.com.pe%0a%0a(082)%20572499" Type="http://schemas.openxmlformats.org/officeDocument/2006/relationships/hyperlink" Id="rId66"/><Relationship TargetMode="External" Target="mailto:mavila@proetica.org.pe" Type="http://schemas.openxmlformats.org/officeDocument/2006/relationships/hyperlink" Id="rId74"/><Relationship TargetMode="External" Target="mailto:caballero@unfpa.org.pe" Type="http://schemas.openxmlformats.org/officeDocument/2006/relationships/hyperlink" Id="rId79"/><Relationship TargetMode="External" Target="mailto:cenann.cep@iglesiacatolica.org.pe" Type="http://schemas.openxmlformats.org/officeDocument/2006/relationships/hyperlink" Id="rId5"/><Relationship TargetMode="External" Target="https://www.linkedin.com/in/est%C3%A9fany-luj%C3%A1n-quispe-a874b765/" Type="http://schemas.openxmlformats.org/officeDocument/2006/relationships/hyperlink" Id="rId61"/><Relationship TargetMode="External" Target="https://x.com/fabiolatorres?lang=es" Type="http://schemas.openxmlformats.org/officeDocument/2006/relationships/hyperlink" Id="rId19"/><Relationship TargetMode="External" Target="mailto:divpna.ciecomas@policia.gob.pe" Type="http://schemas.openxmlformats.org/officeDocument/2006/relationships/hyperlink" Id="rId14"/><Relationship TargetMode="External" Target="https://www.linkedin.com/in/paola-ugaz-8b352a52/?originalSubdomain=pe" Type="http://schemas.openxmlformats.org/officeDocument/2006/relationships/hyperlink" Id="rId22"/><Relationship TargetMode="External" Target="mailto:pverano@gruporpp.com.pe" Type="http://schemas.openxmlformats.org/officeDocument/2006/relationships/hyperlink" Id="rId27"/><Relationship TargetMode="External" Target="https://x.com/Pam_mdf/%20pamela.hb2007@gmail.com%20pamela.huerta@almargen-media.com" Type="http://schemas.openxmlformats.org/officeDocument/2006/relationships/hyperlink" Id="rId30"/><Relationship TargetMode="External" Target="https://sgd.minjus.gob.pe/sgd-virtual/public/ciudadano/ciudadanoMain.xhtml" Type="http://schemas.openxmlformats.org/officeDocument/2006/relationships/hyperlink" Id="rId35"/><Relationship TargetMode="External" Target="mailto:psotelo@mimp.gob.pe" Type="http://schemas.openxmlformats.org/officeDocument/2006/relationships/hyperlink" Id="rId43"/><Relationship TargetMode="External" Target="mailto:redmicaelas.pe@gmail.com/" Type="http://schemas.openxmlformats.org/officeDocument/2006/relationships/hyperlink" Id="rId48"/><Relationship TargetMode="External" Target="mailto:oce.peru@aecid.es%20/%20(+51-1)%20202%207000" Type="http://schemas.openxmlformats.org/officeDocument/2006/relationships/hyperlink" Id="rId56"/><Relationship TargetMode="External" Target="mailto:prensa@contranoticia.pe" Type="http://schemas.openxmlformats.org/officeDocument/2006/relationships/hyperlink" Id="rId64"/><Relationship TargetMode="External" Target="mailto:presidencia@amep.org.pe" Type="http://schemas.openxmlformats.org/officeDocument/2006/relationships/hyperlink" Id="rId69"/><Relationship TargetMode="External" Target="mailto:carmen.espinoza@manuela.org.p" Type="http://schemas.openxmlformats.org/officeDocument/2006/relationships/hyperlink" Id="rId77"/><Relationship TargetMode="External" Target="mailto:alfroja.pe@gmail.com" Type="http://schemas.openxmlformats.org/officeDocument/2006/relationships/hyperlink" Id="rId8"/><Relationship TargetMode="External" Target="mailto:rcs-peru@un.org%20/%20(+51-1)%20625%209000" Type="http://schemas.openxmlformats.org/officeDocument/2006/relationships/hyperlink" Id="rId51"/><Relationship TargetMode="External" Target="mailto:marielenarm@gmail.com" Type="http://schemas.openxmlformats.org/officeDocument/2006/relationships/hyperlink" Id="rId72"/><Relationship TargetMode="External" Target="mailto:consultoriolegal@accionporigualdad.com" Type="http://schemas.openxmlformats.org/officeDocument/2006/relationships/hyperlink" Id="rId80"/><Relationship TargetMode="External" Target="https://www.facebook.com/ongmujeresuniendoesfuerzos" Type="http://schemas.openxmlformats.org/officeDocument/2006/relationships/hyperlink" Id="rId3"/><Relationship TargetMode="External" Target="mailto:myc@demus.org.pe" Type="http://schemas.openxmlformats.org/officeDocument/2006/relationships/hyperlink" Id="rId12"/><Relationship TargetMode="External" Target="https://www.linkedin.com/in/sofiacarrillozegarra/" Type="http://schemas.openxmlformats.org/officeDocument/2006/relationships/hyperlink" Id="rId17"/><Relationship TargetMode="External" Target="https://x.com/fiomontano" Type="http://schemas.openxmlformats.org/officeDocument/2006/relationships/hyperlink" Id="rId25"/><Relationship TargetMode="External" Target="mailto:servicedesk@pj.gob.pe." Type="http://schemas.openxmlformats.org/officeDocument/2006/relationships/hyperlink" Id="rId33"/><Relationship TargetMode="External" Target="mailto:car.barcoiris@gmail.com%20%20cel%20949605237" Type="http://schemas.openxmlformats.org/officeDocument/2006/relationships/hyperlink" Id="rId38"/><Relationship TargetMode="External" Target="mailto:servicedesk@pj.gob.pe." Type="http://schemas.openxmlformats.org/officeDocument/2006/relationships/hyperlink" Id="rId46"/><Relationship TargetMode="External" Target="mailto:orauo347@gmail.com" Type="http://schemas.openxmlformats.org/officeDocument/2006/relationships/hyperlink" Id="rId59"/><Relationship TargetMode="External" Target="mailto:chavez@dvv-international.edu.pe" Type="http://schemas.openxmlformats.org/officeDocument/2006/relationships/hyperlink" Id="rId67"/><Relationship TargetMode="External" Target="https://www.linkedin.com/in/claudiacisneros/" Type="http://schemas.openxmlformats.org/officeDocument/2006/relationships/hyperlink" Id="rId20"/><Relationship TargetMode="External" Target="mailto:alanyasantacruz@loscachorros.nl" Type="http://schemas.openxmlformats.org/officeDocument/2006/relationships/hyperlink" Id="rId41"/><Relationship TargetMode="External" Target="mailto:registry.pe@undp.org" Type="http://schemas.openxmlformats.org/officeDocument/2006/relationships/hyperlink" Id="rId54"/><Relationship TargetMode="External" Target="https://www.linkedin.com/in/catasubirana/" Type="http://schemas.openxmlformats.org/officeDocument/2006/relationships/hyperlink" Id="rId62"/><Relationship TargetMode="External" Target="mailto:Kanttuperu@yahoo.es" Type="http://schemas.openxmlformats.org/officeDocument/2006/relationships/hyperlink" Id="rId70"/><Relationship TargetMode="External" Target="mailto:rednacionalpj@gmail.com%20" Type="http://schemas.openxmlformats.org/officeDocument/2006/relationships/hyperlink" Id="rId75"/><Relationship TargetMode="External" Target="https://www.linkedin.com/in/elena-portilla-odlianitskaya/" Type="http://schemas.openxmlformats.org/officeDocument/2006/relationships/hyperlink" Id="rId1"/><Relationship TargetMode="External" Target="https://www.linkedin.com/in/eliana-revollar-a%C3%B1a%C3%B1os-18b46b225/?originalSubdomain=pe" Type="http://schemas.openxmlformats.org/officeDocument/2006/relationships/hyperlink" Id="rId6"/><Relationship TargetMode="External" Target="mailto:mesaucayali@mesadeconcertacion.org.pe" Type="http://schemas.openxmlformats.org/officeDocument/2006/relationships/hyperlink" Id="rId15"/><Relationship TargetMode="External" Target="https://www.linkedin.com/in/gianfranco-huaman/" Type="http://schemas.openxmlformats.org/officeDocument/2006/relationships/hyperlink" Id="rId23"/><Relationship TargetMode="External" Target="https://www.linkedin.com/in/roc%C3%ADo-romero-benites-457031115/" Type="http://schemas.openxmlformats.org/officeDocument/2006/relationships/hyperlink" Id="rId28"/><Relationship TargetMode="External" Target="mailto:alejandra.alayza@oxfam.org%0a&apos;+51%20984753054%20" Type="http://schemas.openxmlformats.org/officeDocument/2006/relationships/hyperlink" Id="rId36"/><Relationship TargetMode="External" Target="mailto:mesadepartes.fpedv.maynas@gmail.com" Type="http://schemas.openxmlformats.org/officeDocument/2006/relationships/hyperlink" Id="rId49"/><Relationship TargetMode="External" Target="mailto:tmunoznajar@elcomercio.pe" Type="http://schemas.openxmlformats.org/officeDocument/2006/relationships/hyperlink" Id="rId57"/><Relationship TargetMode="External" Target="mailto:consejodemujeresawajunwampis@gmail.com" Type="http://schemas.openxmlformats.org/officeDocument/2006/relationships/hyperlink" Id="rId10"/><Relationship TargetMode="External" Target="mailto:ariana.lira@comercio.com.pe" Type="http://schemas.openxmlformats.org/officeDocument/2006/relationships/hyperlink" Id="rId31"/><Relationship TargetMode="External" Target="mailto:wayrawarmikuna@gmail.com%20" Type="http://schemas.openxmlformats.org/officeDocument/2006/relationships/hyperlink" Id="rId44"/><Relationship TargetMode="External" Target="mailto:kvelasco@pucp.edu.pe" Type="http://schemas.openxmlformats.org/officeDocument/2006/relationships/hyperlink" Id="rId52"/><Relationship TargetMode="External" Target="mailto:convocaperiodismo@convoca.pe" Type="http://schemas.openxmlformats.org/officeDocument/2006/relationships/hyperlink" Id="rId60"/><Relationship TargetMode="External" Target="mailto:feconau1@gmail.com%0a(061)%20625262" Type="http://schemas.openxmlformats.org/officeDocument/2006/relationships/hyperlink" Id="rId65"/><Relationship TargetMode="External" Target="mailto:k.allca@pucp.edu.pe" Type="http://schemas.openxmlformats.org/officeDocument/2006/relationships/hyperlink" Id="rId73"/><Relationship TargetMode="External" Target="mailto:miguel.levano@oxfam.org" Type="http://schemas.openxmlformats.org/officeDocument/2006/relationships/hyperlink" Id="rId78"/><Relationship TargetMode="External" Target="https://www.linkedin.com/in/flavia-martinez-tarazona-6b67b714a/" Type="http://schemas.openxmlformats.org/officeDocument/2006/relationships/hyperlink" Id="rId4"/><Relationship TargetMode="External" Target="mailto:memebun@fordesarequipa.org" Type="http://schemas.openxmlformats.org/officeDocument/2006/relationships/hyperlink" Id="rId9"/><Relationship TargetMode="External" Target="mailto:ccabanillas@pj.gob.pe" Type="http://schemas.openxmlformats.org/officeDocument/2006/relationships/hyperlink" Id="rId13"/><Relationship TargetMode="External" Target="https://www.linkedin.com/in/lorena-alvarez-46b9a795/" Type="http://schemas.openxmlformats.org/officeDocument/2006/relationships/hyperlink" Id="rId18"/><Relationship TargetMode="External" Target="mailto:cvilela@jne.gob.pe" Type="http://schemas.openxmlformats.org/officeDocument/2006/relationships/hyperlink" Id="rId39"/><Relationship TargetMode="External" Target="mailto:servicedesk@pj.gob.pe." Type="http://schemas.openxmlformats.org/officeDocument/2006/relationships/hyperlink" Id="rId34"/><Relationship TargetMode="External" Target="mailto:mesadepartes.fpedv.maynas@gmail.com" Type="http://schemas.openxmlformats.org/officeDocument/2006/relationships/hyperlink" Id="rId50"/><Relationship TargetMode="External" Target="mailto:unodc-peru@un.org" Type="http://schemas.openxmlformats.org/officeDocument/2006/relationships/hyperlink" Id="rId55"/><Relationship TargetMode="External" Target="mailto:taepunmsm@gmail.com" Type="http://schemas.openxmlformats.org/officeDocument/2006/relationships/hyperlink" Id="rId76"/><Relationship TargetMode="External" Target="mailto:echagua@pj.gob.pe" Type="http://schemas.openxmlformats.org/officeDocument/2006/relationships/hyperlink" Id="rId7"/><Relationship TargetMode="External" Target="mailto:cavera@minedu.gob.pe" Type="http://schemas.openxmlformats.org/officeDocument/2006/relationships/hyperlink" Id="rId71"/><Relationship TargetMode="External" Target="https://www.linkedin.com/in/alejandra-saffon-26761671/?originalSubdomain=co/%20928974196" Type="http://schemas.openxmlformats.org/officeDocument/2006/relationships/hyperlink" Id="rId2"/><Relationship TargetMode="External" Target="mailto:pedroluisramos91@gmail.com" Type="http://schemas.openxmlformats.org/officeDocument/2006/relationships/hyperlink" Id="rId29"/></Relationships>
</file>

<file path=xl/worksheets/_rels/sheet2.xml.rels><?xml version="1.0" encoding="UTF-8"?><Relationships xmlns="http://schemas.openxmlformats.org/package/2006/relationships"><Relationship TargetMode="External" Target="mailto:aisanjuanb@gmail.com" Type="http://schemas.openxmlformats.org/officeDocument/2006/relationships/hyperlink" Id="rId8"/><Relationship TargetMode="External" Target="mailto:madresmigrantesextranjerasperu@gmail.com" Type="http://schemas.openxmlformats.org/officeDocument/2006/relationships/hyperlink" Id="rId13"/><Relationship TargetMode="External" Target="mailto:coord.peru@apurimac.it" Type="http://schemas.openxmlformats.org/officeDocument/2006/relationships/hyperlink" Id="rId18"/><Relationship TargetMode="External" Target="mailto:car.sricardo@inabif.gob.pe" Type="http://schemas.openxmlformats.org/officeDocument/2006/relationships/hyperlink" Id="rId26"/><Relationship TargetMode="External" Target="https://www.linkedin.com/in/intikilla-eutrop%C3%ADa-delgado-castro-9a585934/" Type="http://schemas.openxmlformats.org/officeDocument/2006/relationships/hyperlink" Id="rId3"/><Relationship TargetMode="External" Target="mailto:lizmelendez@flora.org.pe%0a" Type="http://schemas.openxmlformats.org/officeDocument/2006/relationships/hyperlink" Id="rId21"/><Relationship TargetMode="External" Target="mailto:vpomalaya@mpfn.gob.pe;%20victoriapomalaya@gmail.com" Type="http://schemas.openxmlformats.org/officeDocument/2006/relationships/hyperlink" Id="rId7"/><Relationship TargetMode="External" Target="mailto:redinterquorum@gmail.com" Type="http://schemas.openxmlformats.org/officeDocument/2006/relationships/hyperlink" Id="rId12"/><Relationship TargetMode="External" Target="mailto:illontop@minjus.gob.pe,%20milagrosllontopv@gmail.com" Type="http://schemas.openxmlformats.org/officeDocument/2006/relationships/hyperlink" Id="rId17"/><Relationship TargetMode="External" Target="mailto:susana.trazamos@hotmail.com%0a" Type="http://schemas.openxmlformats.org/officeDocument/2006/relationships/hyperlink" Id="rId25"/><Relationship TargetMode="External" Target="mailto:info@appv.pe" Type="http://schemas.openxmlformats.org/officeDocument/2006/relationships/hyperlink" Id="rId2"/><Relationship TargetMode="External" Target="mailto:hellen.ku@aurora.gob.pe" Type="http://schemas.openxmlformats.org/officeDocument/2006/relationships/hyperlink" Id="rId16"/><Relationship TargetMode="External" Target="mailto:gianina@quintaola.org" Type="http://schemas.openxmlformats.org/officeDocument/2006/relationships/hyperlink" Id="rId20"/><Relationship Target="../drawings/vmlDrawing1.vml" Type="http://schemas.openxmlformats.org/officeDocument/2006/relationships/vmlDrawing" Id="rId29"/><Relationship TargetMode="External" Target="https://www.linkedin.com/in/sofia-blamey-andrusco-7520096b/?locale=fr_FR" Type="http://schemas.openxmlformats.org/officeDocument/2006/relationships/hyperlink" Id="rId1"/><Relationship TargetMode="External" Target="https://sistemas.mininter.gob.pe/mesadepartesdigital/" Type="http://schemas.openxmlformats.org/officeDocument/2006/relationships/hyperlink" Id="rId6"/><Relationship TargetMode="External" Target="mailto:magaly.blas.b@upch.pe" Type="http://schemas.openxmlformats.org/officeDocument/2006/relationships/hyperlink" Id="rId11"/><Relationship TargetMode="External" Target="mailto:chavez@dvv-international.edu.pe" Type="http://schemas.openxmlformats.org/officeDocument/2006/relationships/hyperlink" Id="rId24"/><Relationship TargetMode="External" Target="mailto:zoila.cabanillas@waminam.gob.pe%0a994581446" Type="http://schemas.openxmlformats.org/officeDocument/2006/relationships/hyperlink" Id="rId5"/><Relationship TargetMode="External" Target="mailto:familiasunidasporjusticia@gmail.com" Type="http://schemas.openxmlformats.org/officeDocument/2006/relationships/hyperlink" Id="rId15"/><Relationship TargetMode="External" Target="mailto:susana.osorio@savethechildren.org" Type="http://schemas.openxmlformats.org/officeDocument/2006/relationships/hyperlink" Id="rId23"/><Relationship TargetMode="External" Target="mailto:msaravia@proetica.org.pe" Type="http://schemas.openxmlformats.org/officeDocument/2006/relationships/hyperlink" Id="rId28"/><Relationship TargetMode="External" Target="mailto:lourdes.febres@accionporlosninos.org.pe" Type="http://schemas.openxmlformats.org/officeDocument/2006/relationships/hyperlink" Id="rId10"/><Relationship TargetMode="External" Target="mailto:car.gracia@inabif.gob.pe" Type="http://schemas.openxmlformats.org/officeDocument/2006/relationships/hyperlink" Id="rId19"/><Relationship Target="../threadedComments/threadedComment1.xml" Type="http://schemas.microsoft.com/office/2017/10/relationships/threadedComment" Id="rId31"/><Relationship TargetMode="External" Target="https://www.linkedin.com/in/rosario-cosar-5b3538119/" Type="http://schemas.openxmlformats.org/officeDocument/2006/relationships/hyperlink" Id="rId4"/><Relationship TargetMode="External" Target="mailto:car.sricardo@inabif.gob.pe" Type="http://schemas.openxmlformats.org/officeDocument/2006/relationships/hyperlink" Id="rId9"/><Relationship TargetMode="External" Target="mailto:arlettecontreras@agendamujer.com" Type="http://schemas.openxmlformats.org/officeDocument/2006/relationships/hyperlink" Id="rId14"/><Relationship TargetMode="External" Target="mailto:mariapia.molero@unwomen.org" Type="http://schemas.openxmlformats.org/officeDocument/2006/relationships/hyperlink" Id="rId22"/><Relationship TargetMode="External" Target="mailto:Antonella.Rojas@savethechildren.org;%20diana.rodriguez@savethechildren.org" Type="http://schemas.openxmlformats.org/officeDocument/2006/relationships/hyperlink" Id="rId27"/><Relationship Target="../comments1.xml" Type="http://schemas.openxmlformats.org/officeDocument/2006/relationships/comments" Id="rId30"/></Relationships>
</file>

<file path=xl/worksheets/_rels/sheet4.xml.rels><?xml version="1.0" encoding="UTF-8"?><Relationships xmlns="http://schemas.openxmlformats.org/package/2006/relationships"><Relationship Target="../comments2.xml" Type="http://schemas.openxmlformats.org/officeDocument/2006/relationships/comments" Id="rId3"/><Relationship Target="../drawings/vmlDrawing2.vml" Type="http://schemas.openxmlformats.org/officeDocument/2006/relationships/vmlDrawing" Id="rId2"/><Relationship TargetMode="External" Target="mailto:arebaza@mpfn.gob.pe" Type="http://schemas.openxmlformats.org/officeDocument/2006/relationships/hyperlink" Id="rId1"/><Relationship Target="../threadedComments/threadedComment2.xml" Type="http://schemas.microsoft.com/office/2017/10/relationships/threadedComment" Id="rId4"/></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_rels/sheet7.xml.rels><?xml version="1.0" encoding="UTF-8"?><Relationships xmlns="http://schemas.openxmlformats.org/package/2006/relationships"><Relationship Target="../printerSettings/printerSettings1.bin" Type="http://schemas.openxmlformats.org/officeDocument/2006/relationships/printerSettings"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375"/>
  <sheetViews>
    <sheetView zoomScale="73" zoomScaleNormal="67" workbookViewId="0">
      <selection activeCell="E6" sqref="E6"/>
    </sheetView>
  </sheetViews>
  <sheetFormatPr baseColWidth="10" defaultColWidth="10.81640625" defaultRowHeight="14" x14ac:dyDescent="0.35"/>
  <cols>
    <col min="1" max="1" width="10.81640625" style="11"/>
    <col min="2" max="2" width="14.453125" style="26"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ols>
  <sheetData>
    <row r="1">
      <c r="B1" s="26" t="s">
        <v>994</v>
      </c>
      <c r="C1" s="12" t="s">
        <v>227</v>
      </c>
      <c r="D1" s="11" t="s">
        <v>994</v>
      </c>
      <c r="E1" s="11" t="s">
        <v>994</v>
      </c>
      <c r="F1" s="12" t="s">
        <v>994</v>
      </c>
      <c r="G1" s="12" t="s">
        <v>994</v>
      </c>
      <c r="H1" s="12" t="s">
        <v>994</v>
      </c>
      <c r="I1" s="12" t="s">
        <v>994</v>
      </c>
      <c r="J1" s="12" t="s">
        <v>994</v>
      </c>
      <c r="K1" s="12" t="s">
        <v>994</v>
      </c>
      <c r="L1" s="12" t="s">
        <v>994</v>
      </c>
      <c r="M1" s="12" t="s">
        <v>994</v>
      </c>
      <c r="N1" s="13" t="s">
        <v>994</v>
      </c>
      <c r="O1" s="11" t="s">
        <v>994</v>
      </c>
      <c r="P1" s="11" t="s">
        <v>994</v>
      </c>
      <c r="Q1" s="11" t="s">
        <v>994</v>
      </c>
      <c r="R1" s="11" t="s">
        <v>994</v>
      </c>
      <c r="S1" s="11" t="s">
        <v>994</v>
      </c>
      <c r="T1" s="11" t="s">
        <v>994</v>
      </c>
      <c r="U1" s="11" t="s">
        <v>994</v>
      </c>
      <c r="V1" s="11" t="s">
        <v>994</v>
      </c>
      <c r="W1" s="11" t="s">
        <v>994</v>
      </c>
      <c r="X1" s="11" t="s">
        <v>994</v>
      </c>
      <c r="Y1" s="11" t="s">
        <v>994</v>
      </c>
      <c r="Z1" s="11" t="s">
        <v>994</v>
      </c>
      <c r="AA1" s="11" t="s">
        <v>994</v>
      </c>
      <c r="AB1" s="11" t="s">
        <v>994</v>
      </c>
      <c r="AC1" s="11" t="s">
        <v>994</v>
      </c>
      <c r="AD1" s="11" t="s">
        <v>994</v>
      </c>
      <c r="AE1" s="11" t="s">
        <v>994</v>
      </c>
    </row>
    <row r="2">
      <c r="B2" s="26" t="s">
        <v>994</v>
      </c>
      <c r="C2" s="12" t="s">
        <v>228</v>
      </c>
      <c r="D2" s="11" t="s">
        <v>994</v>
      </c>
      <c r="E2" s="11" t="s">
        <v>229</v>
      </c>
      <c r="F2" s="12" t="s">
        <v>994</v>
      </c>
      <c r="G2" s="12" t="s">
        <v>994</v>
      </c>
      <c r="H2" s="12" t="s">
        <v>994</v>
      </c>
      <c r="I2" s="12" t="s">
        <v>994</v>
      </c>
      <c r="J2" s="12" t="s">
        <v>994</v>
      </c>
      <c r="K2" s="12" t="s">
        <v>994</v>
      </c>
      <c r="L2" s="12" t="s">
        <v>994</v>
      </c>
      <c r="M2" s="12" t="s">
        <v>994</v>
      </c>
      <c r="N2" s="13" t="s">
        <v>994</v>
      </c>
      <c r="O2" s="11" t="s">
        <v>994</v>
      </c>
      <c r="P2" s="11" t="s">
        <v>994</v>
      </c>
      <c r="Q2" s="11" t="s">
        <v>994</v>
      </c>
      <c r="R2" s="11" t="s">
        <v>994</v>
      </c>
      <c r="S2" s="11" t="s">
        <v>994</v>
      </c>
      <c r="T2" s="11" t="s">
        <v>994</v>
      </c>
      <c r="U2" s="11" t="s">
        <v>994</v>
      </c>
      <c r="V2" s="11" t="s">
        <v>994</v>
      </c>
      <c r="W2" s="11" t="s">
        <v>994</v>
      </c>
      <c r="X2" s="11" t="s">
        <v>994</v>
      </c>
      <c r="Y2" s="11" t="s">
        <v>994</v>
      </c>
      <c r="Z2" s="11" t="s">
        <v>994</v>
      </c>
      <c r="AA2" s="11" t="s">
        <v>994</v>
      </c>
      <c r="AB2" s="11" t="s">
        <v>994</v>
      </c>
      <c r="AC2" s="11" t="s">
        <v>994</v>
      </c>
      <c r="AD2" s="11" t="s">
        <v>994</v>
      </c>
      <c r="AE2" s="11" t="s">
        <v>994</v>
      </c>
    </row>
    <row r="3">
      <c r="B3" s="26" t="s">
        <v>994</v>
      </c>
      <c r="C3" s="12" t="s">
        <v>994</v>
      </c>
      <c r="D3" s="11" t="s">
        <v>994</v>
      </c>
      <c r="E3" s="11" t="s">
        <v>230</v>
      </c>
      <c r="F3" s="12" t="s">
        <v>994</v>
      </c>
      <c r="G3" s="12" t="s">
        <v>994</v>
      </c>
      <c r="H3" s="12" t="s">
        <v>994</v>
      </c>
      <c r="I3" s="12" t="s">
        <v>994</v>
      </c>
      <c r="J3" s="12" t="s">
        <v>994</v>
      </c>
      <c r="K3" s="12" t="s">
        <v>994</v>
      </c>
      <c r="L3" s="12" t="s">
        <v>994</v>
      </c>
      <c r="M3" s="12" t="s">
        <v>994</v>
      </c>
      <c r="N3" s="13" t="s">
        <v>994</v>
      </c>
      <c r="O3" s="11" t="s">
        <v>994</v>
      </c>
      <c r="P3" s="11" t="s">
        <v>994</v>
      </c>
      <c r="Q3" s="11" t="s">
        <v>994</v>
      </c>
      <c r="R3" s="11" t="s">
        <v>994</v>
      </c>
      <c r="S3" s="11" t="s">
        <v>994</v>
      </c>
      <c r="T3" s="11" t="s">
        <v>994</v>
      </c>
      <c r="U3" s="11" t="s">
        <v>994</v>
      </c>
      <c r="V3" s="11" t="s">
        <v>994</v>
      </c>
      <c r="W3" s="11" t="s">
        <v>994</v>
      </c>
      <c r="X3" s="11" t="s">
        <v>994</v>
      </c>
      <c r="Y3" s="11" t="s">
        <v>994</v>
      </c>
      <c r="Z3" s="11" t="s">
        <v>994</v>
      </c>
      <c r="AA3" s="11" t="s">
        <v>994</v>
      </c>
      <c r="AB3" s="11" t="s">
        <v>994</v>
      </c>
      <c r="AC3" s="11" t="s">
        <v>994</v>
      </c>
      <c r="AD3" s="11" t="s">
        <v>994</v>
      </c>
      <c r="AE3" s="11" t="s">
        <v>994</v>
      </c>
    </row>
    <row r="4">
      <c r="B4" s="26" t="s">
        <v>994</v>
      </c>
      <c r="C4" s="12" t="s">
        <v>994</v>
      </c>
      <c r="D4" s="11" t="s">
        <v>994</v>
      </c>
      <c r="E4" s="11" t="s">
        <v>953</v>
      </c>
      <c r="F4" s="12" t="s">
        <v>994</v>
      </c>
      <c r="G4" s="12" t="s">
        <v>994</v>
      </c>
      <c r="H4" s="12" t="s">
        <v>994</v>
      </c>
      <c r="I4" s="12" t="s">
        <v>994</v>
      </c>
      <c r="J4" s="12" t="s">
        <v>994</v>
      </c>
      <c r="K4" s="12" t="s">
        <v>994</v>
      </c>
      <c r="L4" s="12" t="s">
        <v>994</v>
      </c>
      <c r="M4" s="12" t="s">
        <v>994</v>
      </c>
      <c r="N4" s="13" t="s">
        <v>994</v>
      </c>
      <c r="O4" s="11" t="s">
        <v>994</v>
      </c>
      <c r="P4" s="11" t="s">
        <v>994</v>
      </c>
      <c r="Q4" s="11" t="s">
        <v>994</v>
      </c>
      <c r="R4" s="11" t="s">
        <v>994</v>
      </c>
      <c r="S4" s="11" t="s">
        <v>994</v>
      </c>
      <c r="T4" s="11" t="s">
        <v>994</v>
      </c>
      <c r="U4" s="11" t="s">
        <v>994</v>
      </c>
      <c r="V4" s="11" t="s">
        <v>994</v>
      </c>
      <c r="W4" s="11" t="s">
        <v>994</v>
      </c>
      <c r="X4" s="11" t="s">
        <v>994</v>
      </c>
      <c r="Y4" s="11" t="s">
        <v>994</v>
      </c>
      <c r="Z4" s="11" t="s">
        <v>994</v>
      </c>
      <c r="AA4" s="11" t="s">
        <v>994</v>
      </c>
      <c r="AB4" s="11" t="s">
        <v>994</v>
      </c>
      <c r="AC4" s="11" t="s">
        <v>994</v>
      </c>
      <c r="AD4" s="11" t="s">
        <v>994</v>
      </c>
      <c r="AE4" s="11" t="s">
        <v>994</v>
      </c>
    </row>
    <row r="5">
      <c r="B5" s="26" t="s">
        <v>994</v>
      </c>
      <c r="C5" s="12" t="s">
        <v>231</v>
      </c>
      <c r="D5" s="11" t="s">
        <v>1</v>
      </c>
      <c r="E5" s="11" t="s">
        <v>2</v>
      </c>
      <c r="F5" s="12" t="s">
        <v>232</v>
      </c>
      <c r="G5" s="12" t="s">
        <v>233</v>
      </c>
      <c r="H5" s="12" t="s">
        <v>234</v>
      </c>
      <c r="I5" s="12" t="s">
        <v>1007</v>
      </c>
      <c r="J5" s="12" t="s">
        <v>1008</v>
      </c>
      <c r="K5" s="12" t="s">
        <v>1009</v>
      </c>
      <c r="L5" s="12" t="s">
        <v>235</v>
      </c>
      <c r="M5" s="12" t="s">
        <v>234</v>
      </c>
      <c r="N5" s="13" t="s">
        <v>236</v>
      </c>
      <c r="O5" s="11" t="s">
        <v>237</v>
      </c>
      <c r="P5" s="11" t="s">
        <v>238</v>
      </c>
      <c r="Q5" s="11" t="s">
        <v>954</v>
      </c>
      <c r="R5" s="11" t="s">
        <v>239</v>
      </c>
      <c r="S5" s="11" t="s">
        <v>955</v>
      </c>
      <c r="T5" s="11" t="s">
        <v>240</v>
      </c>
      <c r="U5" s="11" t="s">
        <v>1010</v>
      </c>
      <c r="V5" s="11" t="s">
        <v>10</v>
      </c>
      <c r="W5" s="11" t="s">
        <v>11</v>
      </c>
      <c r="X5" s="11" t="s">
        <v>12</v>
      </c>
      <c r="Y5" s="11" t="s">
        <v>952</v>
      </c>
      <c r="Z5" s="11" t="s">
        <v>242</v>
      </c>
      <c r="AA5" s="11" t="s">
        <v>243</v>
      </c>
      <c r="AB5" s="11" t="s">
        <v>18</v>
      </c>
      <c r="AC5" s="11" t="s">
        <v>17</v>
      </c>
      <c r="AD5" s="11" t="s">
        <v>956</v>
      </c>
      <c r="AE5" s="11" t="s">
        <v>994</v>
      </c>
    </row>
    <row r="6">
      <c r="B6" s="26" t="s">
        <v>49</v>
      </c>
      <c r="C6" s="12" t="s">
        <v>995</v>
      </c>
      <c r="D6" s="11" t="s">
        <v>244</v>
      </c>
      <c r="E6" s="11" t="s">
        <v>245</v>
      </c>
      <c r="F6" s="12" t="s">
        <v>332</v>
      </c>
      <c r="G6" s="12" t="s">
        <v>246</v>
      </c>
      <c r="H6" s="12" t="s">
        <v>246</v>
      </c>
      <c r="I6" s="12" t="s">
        <v>82</v>
      </c>
      <c r="J6" s="12" t="s">
        <v>1011</v>
      </c>
      <c r="K6" s="12" t="s">
        <v>118</v>
      </c>
      <c r="L6" s="12" t="s">
        <v>247</v>
      </c>
      <c r="M6" s="12" t="s">
        <v>994</v>
      </c>
      <c r="N6" s="13" t="s">
        <v>248</v>
      </c>
      <c r="O6" s="11" t="s">
        <v>118</v>
      </c>
      <c r="P6" s="11" t="s">
        <v>249</v>
      </c>
      <c r="Q6" s="11" t="s">
        <v>125</v>
      </c>
      <c r="R6" s="11" t="s">
        <v>150</v>
      </c>
      <c r="S6" s="11" t="s">
        <v>994</v>
      </c>
      <c r="T6" s="11" t="s">
        <v>125</v>
      </c>
      <c r="U6" s="11" t="s">
        <v>1016</v>
      </c>
      <c r="V6" s="11" t="s">
        <v>1753</v>
      </c>
      <c r="W6" s="11" t="s">
        <v>1773</v>
      </c>
      <c r="X6" s="11" t="s">
        <v>994</v>
      </c>
      <c r="Y6" s="11" t="s">
        <v>1783</v>
      </c>
      <c r="Z6" s="11" t="s">
        <v>994</v>
      </c>
      <c r="AA6" s="11" t="s">
        <v>994</v>
      </c>
      <c r="AB6" s="11" t="s">
        <v>30</v>
      </c>
      <c r="AC6" s="11" t="s">
        <v>994</v>
      </c>
      <c r="AD6" s="11" t="s">
        <v>1281</v>
      </c>
      <c r="AE6" s="11" t="s">
        <v>995</v>
      </c>
    </row>
    <row r="7">
      <c r="B7" s="26" t="s">
        <v>49</v>
      </c>
      <c r="C7" s="12" t="s">
        <v>996</v>
      </c>
      <c r="D7" s="11" t="s">
        <v>250</v>
      </c>
      <c r="E7" s="11" t="s">
        <v>245</v>
      </c>
      <c r="F7" s="12" t="s">
        <v>49</v>
      </c>
      <c r="G7" s="12" t="s">
        <v>246</v>
      </c>
      <c r="H7" s="12" t="s">
        <v>246</v>
      </c>
      <c r="I7" s="12" t="s">
        <v>82</v>
      </c>
      <c r="J7" s="12" t="s">
        <v>1011</v>
      </c>
      <c r="K7" s="12" t="s">
        <v>118</v>
      </c>
      <c r="L7" s="12" t="s">
        <v>247</v>
      </c>
      <c r="M7" s="12" t="s">
        <v>994</v>
      </c>
      <c r="N7" s="13" t="s">
        <v>248</v>
      </c>
      <c r="O7" s="11" t="s">
        <v>118</v>
      </c>
      <c r="P7" s="11" t="s">
        <v>249</v>
      </c>
      <c r="Q7" s="11" t="s">
        <v>125</v>
      </c>
      <c r="R7" s="11" t="s">
        <v>150</v>
      </c>
      <c r="S7" s="11" t="s">
        <v>994</v>
      </c>
      <c r="T7" s="11" t="s">
        <v>126</v>
      </c>
      <c r="U7" s="11" t="s">
        <v>1282</v>
      </c>
      <c r="V7" s="11" t="s">
        <v>994</v>
      </c>
      <c r="W7" s="11" t="s">
        <v>994</v>
      </c>
      <c r="X7" s="11" t="s">
        <v>994</v>
      </c>
      <c r="Y7" s="11" t="s">
        <v>994</v>
      </c>
      <c r="Z7" s="11" t="s">
        <v>994</v>
      </c>
      <c r="AA7" s="11" t="s">
        <v>994</v>
      </c>
      <c r="AB7" s="11" t="s">
        <v>994</v>
      </c>
      <c r="AC7" s="11" t="s">
        <v>994</v>
      </c>
      <c r="AD7" s="11" t="s">
        <v>1283</v>
      </c>
      <c r="AE7" s="11" t="s">
        <v>995</v>
      </c>
    </row>
    <row r="8">
      <c r="B8" s="26" t="s">
        <v>49</v>
      </c>
      <c r="C8" s="12" t="s">
        <v>1040</v>
      </c>
      <c r="D8" s="11" t="s">
        <v>251</v>
      </c>
      <c r="E8" s="11" t="s">
        <v>252</v>
      </c>
      <c r="F8" s="12" t="s">
        <v>49</v>
      </c>
      <c r="G8" s="12" t="s">
        <v>246</v>
      </c>
      <c r="H8" s="12" t="s">
        <v>246</v>
      </c>
      <c r="I8" s="12" t="s">
        <v>82</v>
      </c>
      <c r="J8" s="12" t="s">
        <v>1011</v>
      </c>
      <c r="K8" s="12" t="s">
        <v>118</v>
      </c>
      <c r="L8" s="12" t="s">
        <v>247</v>
      </c>
      <c r="M8" s="12" t="s">
        <v>994</v>
      </c>
      <c r="N8" s="13" t="s">
        <v>253</v>
      </c>
      <c r="O8" s="11" t="s">
        <v>118</v>
      </c>
      <c r="P8" s="11" t="s">
        <v>249</v>
      </c>
      <c r="Q8" s="11" t="s">
        <v>125</v>
      </c>
      <c r="R8" s="11" t="s">
        <v>150</v>
      </c>
      <c r="S8" s="11" t="s">
        <v>125</v>
      </c>
      <c r="T8" s="11" t="s">
        <v>125</v>
      </c>
      <c r="U8" s="11" t="s">
        <v>38</v>
      </c>
      <c r="V8" s="11" t="s">
        <v>1378</v>
      </c>
      <c r="W8" s="11" t="s">
        <v>1773</v>
      </c>
      <c r="X8" s="11" t="s">
        <v>994</v>
      </c>
      <c r="Y8" s="11" t="s">
        <v>994</v>
      </c>
      <c r="Z8" s="11" t="s">
        <v>994</v>
      </c>
      <c r="AA8" s="11" t="s">
        <v>994</v>
      </c>
      <c r="AB8" s="11" t="s">
        <v>994</v>
      </c>
      <c r="AC8" s="11" t="s">
        <v>994</v>
      </c>
      <c r="AD8" s="11" t="s">
        <v>1284</v>
      </c>
      <c r="AE8" s="11" t="s">
        <v>995</v>
      </c>
    </row>
    <row r="9">
      <c r="B9" s="26" t="s">
        <v>49</v>
      </c>
      <c r="C9" s="12" t="s">
        <v>1041</v>
      </c>
      <c r="D9" s="11" t="s">
        <v>254</v>
      </c>
      <c r="E9" s="11" t="s">
        <v>255</v>
      </c>
      <c r="F9" s="12" t="s">
        <v>49</v>
      </c>
      <c r="G9" s="12" t="s">
        <v>246</v>
      </c>
      <c r="H9" s="12" t="s">
        <v>246</v>
      </c>
      <c r="I9" s="12" t="s">
        <v>82</v>
      </c>
      <c r="J9" s="12" t="s">
        <v>1011</v>
      </c>
      <c r="K9" s="12" t="s">
        <v>118</v>
      </c>
      <c r="L9" s="12" t="s">
        <v>247</v>
      </c>
      <c r="M9" s="12" t="s">
        <v>994</v>
      </c>
      <c r="N9" s="13" t="s">
        <v>1285</v>
      </c>
      <c r="O9" s="11" t="s">
        <v>118</v>
      </c>
      <c r="P9" s="11" t="s">
        <v>249</v>
      </c>
      <c r="Q9" s="11" t="s">
        <v>125</v>
      </c>
      <c r="R9" s="11" t="s">
        <v>150</v>
      </c>
      <c r="S9" s="11" t="s">
        <v>994</v>
      </c>
      <c r="T9" s="11" t="s">
        <v>126</v>
      </c>
      <c r="U9" s="11" t="s">
        <v>994</v>
      </c>
      <c r="V9" s="11" t="s">
        <v>1754</v>
      </c>
      <c r="W9" s="11" t="s">
        <v>994</v>
      </c>
      <c r="X9" s="11" t="s">
        <v>994</v>
      </c>
      <c r="Y9" s="11" t="s">
        <v>994</v>
      </c>
      <c r="Z9" s="11" t="s">
        <v>994</v>
      </c>
      <c r="AA9" s="11" t="s">
        <v>994</v>
      </c>
      <c r="AB9" s="11" t="s">
        <v>994</v>
      </c>
      <c r="AC9" s="11" t="s">
        <v>994</v>
      </c>
      <c r="AD9" s="11" t="s">
        <v>974</v>
      </c>
      <c r="AE9" s="11" t="s">
        <v>1804</v>
      </c>
    </row>
    <row r="10">
      <c r="B10" s="26" t="s">
        <v>49</v>
      </c>
      <c r="C10" s="12" t="s">
        <v>1314</v>
      </c>
      <c r="D10" s="11" t="s">
        <v>257</v>
      </c>
      <c r="E10" s="11" t="s">
        <v>255</v>
      </c>
      <c r="F10" s="12" t="s">
        <v>49</v>
      </c>
      <c r="G10" s="12" t="s">
        <v>246</v>
      </c>
      <c r="H10" s="12" t="s">
        <v>246</v>
      </c>
      <c r="I10" s="12" t="s">
        <v>82</v>
      </c>
      <c r="J10" s="12" t="s">
        <v>1011</v>
      </c>
      <c r="K10" s="12" t="s">
        <v>118</v>
      </c>
      <c r="L10" s="12" t="s">
        <v>247</v>
      </c>
      <c r="M10" s="12" t="s">
        <v>994</v>
      </c>
      <c r="N10" s="13" t="s">
        <v>256</v>
      </c>
      <c r="O10" s="11" t="s">
        <v>118</v>
      </c>
      <c r="P10" s="11" t="s">
        <v>249</v>
      </c>
      <c r="Q10" s="11" t="s">
        <v>125</v>
      </c>
      <c r="R10" s="11" t="s">
        <v>150</v>
      </c>
      <c r="S10" s="11" t="s">
        <v>994</v>
      </c>
      <c r="T10" s="11" t="s">
        <v>125</v>
      </c>
      <c r="U10" s="11" t="s">
        <v>38</v>
      </c>
      <c r="V10" s="11" t="s">
        <v>1754</v>
      </c>
      <c r="W10" s="11" t="s">
        <v>994</v>
      </c>
      <c r="X10" s="11" t="s">
        <v>994</v>
      </c>
      <c r="Y10" s="11" t="s">
        <v>994</v>
      </c>
      <c r="Z10" s="11" t="s">
        <v>994</v>
      </c>
      <c r="AA10" s="11" t="s">
        <v>994</v>
      </c>
      <c r="AB10" s="11" t="s">
        <v>994</v>
      </c>
      <c r="AC10" s="11" t="s">
        <v>994</v>
      </c>
      <c r="AD10" s="11" t="s">
        <v>974</v>
      </c>
      <c r="AE10" s="11" t="s">
        <v>995</v>
      </c>
    </row>
    <row r="11">
      <c r="B11" s="26" t="s">
        <v>49</v>
      </c>
      <c r="C11" s="12" t="s">
        <v>1315</v>
      </c>
      <c r="D11" s="11" t="s">
        <v>260</v>
      </c>
      <c r="E11" s="11" t="s">
        <v>261</v>
      </c>
      <c r="F11" s="12" t="s">
        <v>49</v>
      </c>
      <c r="G11" s="12" t="s">
        <v>246</v>
      </c>
      <c r="H11" s="12" t="s">
        <v>246</v>
      </c>
      <c r="I11" s="12" t="s">
        <v>82</v>
      </c>
      <c r="J11" s="12" t="s">
        <v>1011</v>
      </c>
      <c r="K11" s="12" t="s">
        <v>118</v>
      </c>
      <c r="L11" s="12" t="s">
        <v>247</v>
      </c>
      <c r="M11" s="12" t="s">
        <v>994</v>
      </c>
      <c r="N11" s="13" t="s">
        <v>262</v>
      </c>
      <c r="O11" s="11" t="s">
        <v>118</v>
      </c>
      <c r="P11" s="11" t="s">
        <v>249</v>
      </c>
      <c r="Q11" s="11" t="s">
        <v>125</v>
      </c>
      <c r="R11" s="11" t="s">
        <v>150</v>
      </c>
      <c r="S11" s="11" t="s">
        <v>994</v>
      </c>
      <c r="T11" s="11" t="s">
        <v>125</v>
      </c>
      <c r="U11" s="11" t="s">
        <v>1016</v>
      </c>
      <c r="V11" s="11" t="s">
        <v>1754</v>
      </c>
      <c r="W11" s="11" t="s">
        <v>1755</v>
      </c>
      <c r="X11" s="11" t="s">
        <v>994</v>
      </c>
      <c r="Y11" s="11" t="s">
        <v>994</v>
      </c>
      <c r="Z11" s="11" t="s">
        <v>1379</v>
      </c>
      <c r="AA11" s="11" t="s">
        <v>994</v>
      </c>
      <c r="AB11" s="11" t="s">
        <v>30</v>
      </c>
      <c r="AC11" s="11" t="s">
        <v>994</v>
      </c>
      <c r="AD11" s="11" t="s">
        <v>994</v>
      </c>
      <c r="AE11" s="11" t="s">
        <v>995</v>
      </c>
    </row>
    <row r="12">
      <c r="B12" s="26" t="s">
        <v>49</v>
      </c>
      <c r="C12" s="12" t="s">
        <v>1316</v>
      </c>
      <c r="D12" s="11" t="s">
        <v>263</v>
      </c>
      <c r="E12" s="11" t="s">
        <v>261</v>
      </c>
      <c r="F12" s="12" t="s">
        <v>49</v>
      </c>
      <c r="G12" s="12" t="s">
        <v>246</v>
      </c>
      <c r="H12" s="12" t="s">
        <v>246</v>
      </c>
      <c r="I12" s="12" t="s">
        <v>82</v>
      </c>
      <c r="J12" s="12" t="s">
        <v>1011</v>
      </c>
      <c r="K12" s="12" t="s">
        <v>118</v>
      </c>
      <c r="L12" s="12" t="s">
        <v>247</v>
      </c>
      <c r="M12" s="12" t="s">
        <v>994</v>
      </c>
      <c r="N12" s="13" t="s">
        <v>262</v>
      </c>
      <c r="O12" s="11" t="s">
        <v>118</v>
      </c>
      <c r="P12" s="11" t="s">
        <v>249</v>
      </c>
      <c r="Q12" s="11" t="s">
        <v>125</v>
      </c>
      <c r="R12" s="11" t="s">
        <v>150</v>
      </c>
      <c r="S12" s="11" t="s">
        <v>994</v>
      </c>
      <c r="T12" s="11" t="s">
        <v>126</v>
      </c>
      <c r="U12" s="11" t="s">
        <v>994</v>
      </c>
      <c r="V12" s="11" t="s">
        <v>1754</v>
      </c>
      <c r="W12" s="11" t="s">
        <v>994</v>
      </c>
      <c r="X12" s="11" t="s">
        <v>994</v>
      </c>
      <c r="Y12" s="11" t="s">
        <v>994</v>
      </c>
      <c r="Z12" s="11" t="s">
        <v>994</v>
      </c>
      <c r="AA12" s="11" t="s">
        <v>994</v>
      </c>
      <c r="AB12" s="11" t="s">
        <v>994</v>
      </c>
      <c r="AC12" s="11" t="s">
        <v>994</v>
      </c>
      <c r="AD12" s="11" t="s">
        <v>974</v>
      </c>
      <c r="AE12" s="11" t="s">
        <v>1804</v>
      </c>
    </row>
    <row r="13">
      <c r="B13" s="26" t="s">
        <v>49</v>
      </c>
      <c r="C13" s="12" t="s">
        <v>1317</v>
      </c>
      <c r="D13" s="11" t="s">
        <v>269</v>
      </c>
      <c r="E13" s="11" t="s">
        <v>266</v>
      </c>
      <c r="F13" s="12" t="s">
        <v>49</v>
      </c>
      <c r="G13" s="12" t="s">
        <v>246</v>
      </c>
      <c r="H13" s="12" t="s">
        <v>246</v>
      </c>
      <c r="I13" s="12" t="s">
        <v>82</v>
      </c>
      <c r="J13" s="12" t="s">
        <v>1011</v>
      </c>
      <c r="K13" s="12" t="s">
        <v>118</v>
      </c>
      <c r="L13" s="12" t="s">
        <v>247</v>
      </c>
      <c r="M13" s="12" t="s">
        <v>994</v>
      </c>
      <c r="N13" s="13" t="s">
        <v>957</v>
      </c>
      <c r="O13" s="11" t="s">
        <v>118</v>
      </c>
      <c r="P13" s="11" t="s">
        <v>264</v>
      </c>
      <c r="Q13" s="11" t="s">
        <v>125</v>
      </c>
      <c r="R13" s="11" t="s">
        <v>150</v>
      </c>
      <c r="S13" s="11" t="s">
        <v>994</v>
      </c>
      <c r="T13" s="11" t="s">
        <v>126</v>
      </c>
      <c r="U13" s="11" t="s">
        <v>994</v>
      </c>
      <c r="V13" s="11" t="s">
        <v>1755</v>
      </c>
      <c r="W13" s="11" t="s">
        <v>994</v>
      </c>
      <c r="X13" s="11" t="s">
        <v>994</v>
      </c>
      <c r="Y13" s="11" t="s">
        <v>994</v>
      </c>
      <c r="Z13" s="11" t="s">
        <v>994</v>
      </c>
      <c r="AA13" s="11" t="s">
        <v>994</v>
      </c>
      <c r="AB13" s="11" t="s">
        <v>994</v>
      </c>
      <c r="AC13" s="11" t="s">
        <v>994</v>
      </c>
      <c r="AD13" s="11" t="s">
        <v>975</v>
      </c>
      <c r="AE13" s="11" t="s">
        <v>1804</v>
      </c>
    </row>
    <row r="14">
      <c r="B14" s="26" t="s">
        <v>49</v>
      </c>
      <c r="C14" s="12" t="s">
        <v>1318</v>
      </c>
      <c r="D14" s="11" t="s">
        <v>270</v>
      </c>
      <c r="E14" s="11" t="s">
        <v>266</v>
      </c>
      <c r="F14" s="12" t="s">
        <v>49</v>
      </c>
      <c r="G14" s="12" t="s">
        <v>246</v>
      </c>
      <c r="H14" s="12" t="s">
        <v>246</v>
      </c>
      <c r="I14" s="12" t="s">
        <v>82</v>
      </c>
      <c r="J14" s="12" t="s">
        <v>1011</v>
      </c>
      <c r="K14" s="12" t="s">
        <v>118</v>
      </c>
      <c r="L14" s="12" t="s">
        <v>247</v>
      </c>
      <c r="M14" s="12" t="s">
        <v>994</v>
      </c>
      <c r="N14" s="13" t="s">
        <v>271</v>
      </c>
      <c r="O14" s="11" t="s">
        <v>118</v>
      </c>
      <c r="P14" s="11" t="s">
        <v>264</v>
      </c>
      <c r="Q14" s="11" t="s">
        <v>125</v>
      </c>
      <c r="R14" s="11" t="s">
        <v>150</v>
      </c>
      <c r="S14" s="11" t="s">
        <v>994</v>
      </c>
      <c r="T14" s="11" t="s">
        <v>126</v>
      </c>
      <c r="U14" s="11" t="s">
        <v>994</v>
      </c>
      <c r="V14" s="11" t="s">
        <v>994</v>
      </c>
      <c r="W14" s="11" t="s">
        <v>994</v>
      </c>
      <c r="X14" s="11" t="s">
        <v>994</v>
      </c>
      <c r="Y14" s="11" t="s">
        <v>994</v>
      </c>
      <c r="Z14" s="11" t="s">
        <v>994</v>
      </c>
      <c r="AA14" s="11" t="s">
        <v>994</v>
      </c>
      <c r="AB14" s="11" t="s">
        <v>994</v>
      </c>
      <c r="AC14" s="11" t="s">
        <v>994</v>
      </c>
      <c r="AD14" s="11" t="s">
        <v>994</v>
      </c>
      <c r="AE14" s="11" t="s">
        <v>1804</v>
      </c>
    </row>
    <row r="15">
      <c r="B15" s="26" t="s">
        <v>49</v>
      </c>
      <c r="C15" s="12" t="s">
        <v>1319</v>
      </c>
      <c r="D15" s="11" t="s">
        <v>272</v>
      </c>
      <c r="E15" s="11" t="s">
        <v>176</v>
      </c>
      <c r="F15" s="12" t="s">
        <v>49</v>
      </c>
      <c r="G15" s="12" t="s">
        <v>246</v>
      </c>
      <c r="H15" s="12" t="s">
        <v>246</v>
      </c>
      <c r="I15" s="12" t="s">
        <v>82</v>
      </c>
      <c r="J15" s="12" t="s">
        <v>1011</v>
      </c>
      <c r="K15" s="12" t="s">
        <v>118</v>
      </c>
      <c r="L15" s="12" t="s">
        <v>247</v>
      </c>
      <c r="M15" s="12" t="s">
        <v>994</v>
      </c>
      <c r="N15" s="13" t="s">
        <v>976</v>
      </c>
      <c r="O15" s="11" t="s">
        <v>118</v>
      </c>
      <c r="P15" s="11" t="s">
        <v>264</v>
      </c>
      <c r="Q15" s="11" t="s">
        <v>125</v>
      </c>
      <c r="R15" s="11" t="s">
        <v>150</v>
      </c>
      <c r="S15" s="11" t="s">
        <v>994</v>
      </c>
      <c r="T15" s="11" t="s">
        <v>126</v>
      </c>
      <c r="U15" s="11" t="s">
        <v>994</v>
      </c>
      <c r="V15" s="11" t="s">
        <v>994</v>
      </c>
      <c r="W15" s="11" t="s">
        <v>994</v>
      </c>
      <c r="X15" s="11" t="s">
        <v>994</v>
      </c>
      <c r="Y15" s="11" t="s">
        <v>994</v>
      </c>
      <c r="Z15" s="11" t="s">
        <v>994</v>
      </c>
      <c r="AA15" s="11" t="s">
        <v>994</v>
      </c>
      <c r="AB15" s="11" t="s">
        <v>994</v>
      </c>
      <c r="AC15" s="11" t="s">
        <v>994</v>
      </c>
      <c r="AD15" s="11" t="s">
        <v>994</v>
      </c>
      <c r="AE15" s="11" t="s">
        <v>1804</v>
      </c>
    </row>
    <row r="16">
      <c r="B16" s="26" t="s">
        <v>49</v>
      </c>
      <c r="C16" s="12" t="s">
        <v>1320</v>
      </c>
      <c r="D16" s="11" t="s">
        <v>273</v>
      </c>
      <c r="E16" s="11" t="s">
        <v>176</v>
      </c>
      <c r="F16" s="12" t="s">
        <v>49</v>
      </c>
      <c r="G16" s="12" t="s">
        <v>246</v>
      </c>
      <c r="H16" s="12" t="s">
        <v>246</v>
      </c>
      <c r="I16" s="12" t="s">
        <v>82</v>
      </c>
      <c r="J16" s="12" t="s">
        <v>1011</v>
      </c>
      <c r="K16" s="12" t="s">
        <v>118</v>
      </c>
      <c r="L16" s="12" t="s">
        <v>247</v>
      </c>
      <c r="M16" s="12" t="s">
        <v>994</v>
      </c>
      <c r="N16" s="13" t="s">
        <v>274</v>
      </c>
      <c r="O16" s="11" t="s">
        <v>118</v>
      </c>
      <c r="P16" s="11" t="s">
        <v>264</v>
      </c>
      <c r="Q16" s="11" t="s">
        <v>125</v>
      </c>
      <c r="R16" s="11" t="s">
        <v>150</v>
      </c>
      <c r="S16" s="11" t="s">
        <v>994</v>
      </c>
      <c r="T16" s="11" t="s">
        <v>126</v>
      </c>
      <c r="U16" s="11" t="s">
        <v>994</v>
      </c>
      <c r="V16" s="11" t="s">
        <v>994</v>
      </c>
      <c r="W16" s="11" t="s">
        <v>994</v>
      </c>
      <c r="X16" s="11" t="s">
        <v>994</v>
      </c>
      <c r="Y16" s="11" t="s">
        <v>994</v>
      </c>
      <c r="Z16" s="11" t="s">
        <v>994</v>
      </c>
      <c r="AA16" s="11" t="s">
        <v>994</v>
      </c>
      <c r="AB16" s="11" t="s">
        <v>994</v>
      </c>
      <c r="AC16" s="11" t="s">
        <v>994</v>
      </c>
      <c r="AD16" s="11" t="s">
        <v>994</v>
      </c>
      <c r="AE16" s="11" t="s">
        <v>1804</v>
      </c>
    </row>
    <row r="17">
      <c r="B17" s="26" t="s">
        <v>283</v>
      </c>
      <c r="C17" s="12" t="s">
        <v>1321</v>
      </c>
      <c r="D17" s="11" t="s">
        <v>281</v>
      </c>
      <c r="E17" s="11" t="s">
        <v>282</v>
      </c>
      <c r="F17" s="12" t="s">
        <v>283</v>
      </c>
      <c r="G17" s="12" t="s">
        <v>246</v>
      </c>
      <c r="H17" s="12" t="s">
        <v>246</v>
      </c>
      <c r="I17" s="12" t="s">
        <v>82</v>
      </c>
      <c r="J17" s="12" t="s">
        <v>1011</v>
      </c>
      <c r="K17" s="12" t="s">
        <v>118</v>
      </c>
      <c r="L17" s="12" t="s">
        <v>247</v>
      </c>
      <c r="M17" s="12" t="s">
        <v>994</v>
      </c>
      <c r="N17" s="13" t="s">
        <v>284</v>
      </c>
      <c r="O17" s="11" t="s">
        <v>118</v>
      </c>
      <c r="P17" s="11" t="s">
        <v>249</v>
      </c>
      <c r="Q17" s="11" t="s">
        <v>125</v>
      </c>
      <c r="R17" s="11" t="s">
        <v>150</v>
      </c>
      <c r="S17" s="11" t="s">
        <v>994</v>
      </c>
      <c r="T17" s="11" t="s">
        <v>126</v>
      </c>
      <c r="U17" s="11" t="s">
        <v>994</v>
      </c>
      <c r="V17" s="11" t="s">
        <v>1755</v>
      </c>
      <c r="W17" s="11" t="s">
        <v>994</v>
      </c>
      <c r="X17" s="11" t="s">
        <v>994</v>
      </c>
      <c r="Y17" s="11" t="s">
        <v>994</v>
      </c>
      <c r="Z17" s="11" t="s">
        <v>994</v>
      </c>
      <c r="AA17" s="11" t="s">
        <v>994</v>
      </c>
      <c r="AB17" s="11" t="s">
        <v>994</v>
      </c>
      <c r="AC17" s="11" t="s">
        <v>994</v>
      </c>
      <c r="AD17" s="11" t="s">
        <v>977</v>
      </c>
      <c r="AE17" s="11" t="s">
        <v>1804</v>
      </c>
    </row>
    <row r="18">
      <c r="B18" s="26" t="s">
        <v>49</v>
      </c>
      <c r="C18" s="12" t="s">
        <v>1322</v>
      </c>
      <c r="D18" s="11" t="s">
        <v>285</v>
      </c>
      <c r="E18" s="11" t="s">
        <v>282</v>
      </c>
      <c r="F18" s="12" t="s">
        <v>49</v>
      </c>
      <c r="G18" s="12" t="s">
        <v>246</v>
      </c>
      <c r="H18" s="12" t="s">
        <v>246</v>
      </c>
      <c r="I18" s="12" t="s">
        <v>82</v>
      </c>
      <c r="J18" s="12" t="s">
        <v>1011</v>
      </c>
      <c r="K18" s="12" t="s">
        <v>118</v>
      </c>
      <c r="L18" s="12" t="s">
        <v>247</v>
      </c>
      <c r="M18" s="12" t="s">
        <v>994</v>
      </c>
      <c r="N18" s="13" t="s">
        <v>287</v>
      </c>
      <c r="O18" s="11" t="s">
        <v>118</v>
      </c>
      <c r="P18" s="11" t="s">
        <v>249</v>
      </c>
      <c r="Q18" s="11" t="s">
        <v>125</v>
      </c>
      <c r="R18" s="11" t="s">
        <v>150</v>
      </c>
      <c r="S18" s="11" t="s">
        <v>994</v>
      </c>
      <c r="T18" s="11" t="s">
        <v>126</v>
      </c>
      <c r="U18" s="11" t="s">
        <v>994</v>
      </c>
      <c r="V18" s="11" t="s">
        <v>994</v>
      </c>
      <c r="W18" s="11" t="s">
        <v>994</v>
      </c>
      <c r="X18" s="11" t="s">
        <v>994</v>
      </c>
      <c r="Y18" s="11" t="s">
        <v>994</v>
      </c>
      <c r="Z18" s="11" t="s">
        <v>994</v>
      </c>
      <c r="AA18" s="11" t="s">
        <v>994</v>
      </c>
      <c r="AB18" s="11" t="s">
        <v>994</v>
      </c>
      <c r="AC18" s="11" t="s">
        <v>994</v>
      </c>
      <c r="AD18" s="11" t="s">
        <v>994</v>
      </c>
      <c r="AE18" s="11" t="s">
        <v>1804</v>
      </c>
    </row>
    <row r="19">
      <c r="B19" s="26" t="s">
        <v>49</v>
      </c>
      <c r="C19" s="12" t="s">
        <v>1323</v>
      </c>
      <c r="D19" s="11" t="s">
        <v>292</v>
      </c>
      <c r="E19" s="11" t="s">
        <v>293</v>
      </c>
      <c r="F19" s="12" t="s">
        <v>49</v>
      </c>
      <c r="G19" s="12" t="s">
        <v>246</v>
      </c>
      <c r="H19" s="12" t="s">
        <v>246</v>
      </c>
      <c r="I19" s="12" t="s">
        <v>82</v>
      </c>
      <c r="J19" s="12" t="s">
        <v>1011</v>
      </c>
      <c r="K19" s="12" t="s">
        <v>118</v>
      </c>
      <c r="L19" s="12" t="s">
        <v>247</v>
      </c>
      <c r="M19" s="12" t="s">
        <v>994</v>
      </c>
      <c r="N19" s="13" t="s">
        <v>294</v>
      </c>
      <c r="O19" s="11" t="s">
        <v>118</v>
      </c>
      <c r="P19" s="11" t="s">
        <v>249</v>
      </c>
      <c r="Q19" s="11" t="s">
        <v>125</v>
      </c>
      <c r="R19" s="11" t="s">
        <v>150</v>
      </c>
      <c r="S19" s="11" t="s">
        <v>994</v>
      </c>
      <c r="T19" s="11" t="s">
        <v>126</v>
      </c>
      <c r="U19" s="11" t="s">
        <v>994</v>
      </c>
      <c r="V19" s="11" t="s">
        <v>1755</v>
      </c>
      <c r="W19" s="11" t="s">
        <v>994</v>
      </c>
      <c r="X19" s="11" t="s">
        <v>994</v>
      </c>
      <c r="Y19" s="11" t="s">
        <v>994</v>
      </c>
      <c r="Z19" s="11" t="s">
        <v>994</v>
      </c>
      <c r="AA19" s="11" t="s">
        <v>994</v>
      </c>
      <c r="AB19" s="11" t="s">
        <v>994</v>
      </c>
      <c r="AC19" s="11" t="s">
        <v>994</v>
      </c>
      <c r="AD19" s="11" t="s">
        <v>978</v>
      </c>
      <c r="AE19" s="11" t="s">
        <v>1804</v>
      </c>
    </row>
    <row r="20">
      <c r="B20" s="26" t="s">
        <v>291</v>
      </c>
      <c r="C20" s="12" t="s">
        <v>1324</v>
      </c>
      <c r="D20" s="11" t="s">
        <v>297</v>
      </c>
      <c r="E20" s="11" t="s">
        <v>298</v>
      </c>
      <c r="F20" s="12" t="s">
        <v>291</v>
      </c>
      <c r="G20" s="12" t="s">
        <v>246</v>
      </c>
      <c r="H20" s="12" t="s">
        <v>246</v>
      </c>
      <c r="I20" s="12" t="s">
        <v>82</v>
      </c>
      <c r="J20" s="12" t="s">
        <v>1011</v>
      </c>
      <c r="K20" s="12" t="s">
        <v>118</v>
      </c>
      <c r="L20" s="12" t="s">
        <v>247</v>
      </c>
      <c r="M20" s="12" t="s">
        <v>994</v>
      </c>
      <c r="N20" s="13" t="s">
        <v>299</v>
      </c>
      <c r="O20" s="11" t="s">
        <v>118</v>
      </c>
      <c r="P20" s="11" t="s">
        <v>280</v>
      </c>
      <c r="Q20" s="11" t="s">
        <v>126</v>
      </c>
      <c r="R20" s="11" t="s">
        <v>150</v>
      </c>
      <c r="S20" s="11" t="s">
        <v>994</v>
      </c>
      <c r="T20" s="11" t="s">
        <v>126</v>
      </c>
      <c r="U20" s="11" t="s">
        <v>994</v>
      </c>
      <c r="V20" s="11" t="s">
        <v>994</v>
      </c>
      <c r="W20" s="11" t="s">
        <v>994</v>
      </c>
      <c r="X20" s="11" t="s">
        <v>994</v>
      </c>
      <c r="Y20" s="11" t="s">
        <v>994</v>
      </c>
      <c r="Z20" s="11" t="s">
        <v>994</v>
      </c>
      <c r="AA20" s="11" t="s">
        <v>994</v>
      </c>
      <c r="AB20" s="11" t="s">
        <v>994</v>
      </c>
      <c r="AC20" s="11" t="s">
        <v>994</v>
      </c>
      <c r="AD20" s="11" t="s">
        <v>994</v>
      </c>
      <c r="AE20" s="11" t="s">
        <v>1804</v>
      </c>
    </row>
    <row r="21">
      <c r="B21" s="26" t="s">
        <v>49</v>
      </c>
      <c r="C21" s="12" t="s">
        <v>1325</v>
      </c>
      <c r="D21" s="11" t="s">
        <v>306</v>
      </c>
      <c r="E21" s="11" t="s">
        <v>1012</v>
      </c>
      <c r="F21" s="12" t="s">
        <v>286</v>
      </c>
      <c r="G21" s="12" t="s">
        <v>246</v>
      </c>
      <c r="H21" s="12" t="s">
        <v>246</v>
      </c>
      <c r="I21" s="12" t="s">
        <v>430</v>
      </c>
      <c r="J21" s="12" t="s">
        <v>71</v>
      </c>
      <c r="K21" s="12" t="s">
        <v>191</v>
      </c>
      <c r="L21" s="12" t="s">
        <v>247</v>
      </c>
      <c r="M21" s="12" t="s">
        <v>994</v>
      </c>
      <c r="N21" s="13" t="s">
        <v>1013</v>
      </c>
      <c r="O21" s="11" t="s">
        <v>1014</v>
      </c>
      <c r="P21" s="11" t="s">
        <v>310</v>
      </c>
      <c r="Q21" s="11" t="s">
        <v>125</v>
      </c>
      <c r="R21" s="11" t="s">
        <v>150</v>
      </c>
      <c r="S21" s="11" t="s">
        <v>994</v>
      </c>
      <c r="T21" s="11" t="s">
        <v>125</v>
      </c>
      <c r="U21" s="11" t="s">
        <v>38</v>
      </c>
      <c r="V21" s="11" t="s">
        <v>1756</v>
      </c>
      <c r="W21" s="11" t="s">
        <v>1774</v>
      </c>
      <c r="X21" s="11" t="s">
        <v>994</v>
      </c>
      <c r="Y21" s="11" t="s">
        <v>994</v>
      </c>
      <c r="Z21" s="11" t="s">
        <v>994</v>
      </c>
      <c r="AA21" s="11" t="s">
        <v>994</v>
      </c>
      <c r="AB21" s="11" t="s">
        <v>994</v>
      </c>
      <c r="AC21" s="11" t="s">
        <v>994</v>
      </c>
      <c r="AD21" s="11" t="s">
        <v>1156</v>
      </c>
      <c r="AE21" s="11" t="s">
        <v>995</v>
      </c>
    </row>
    <row r="22">
      <c r="B22" s="26" t="s">
        <v>314</v>
      </c>
      <c r="C22" s="12" t="s">
        <v>1326</v>
      </c>
      <c r="D22" s="11" t="s">
        <v>313</v>
      </c>
      <c r="E22" s="11" t="s">
        <v>307</v>
      </c>
      <c r="F22" s="12" t="s">
        <v>314</v>
      </c>
      <c r="G22" s="12" t="s">
        <v>246</v>
      </c>
      <c r="H22" s="12" t="s">
        <v>246</v>
      </c>
      <c r="I22" s="12" t="s">
        <v>430</v>
      </c>
      <c r="J22" s="12" t="s">
        <v>71</v>
      </c>
      <c r="K22" s="12" t="s">
        <v>191</v>
      </c>
      <c r="L22" s="12" t="s">
        <v>247</v>
      </c>
      <c r="M22" s="12" t="s">
        <v>994</v>
      </c>
      <c r="N22" s="13" t="s">
        <v>315</v>
      </c>
      <c r="O22" s="11" t="s">
        <v>309</v>
      </c>
      <c r="P22" s="11" t="s">
        <v>310</v>
      </c>
      <c r="Q22" s="11" t="s">
        <v>125</v>
      </c>
      <c r="R22" s="11" t="s">
        <v>150</v>
      </c>
      <c r="S22" s="11" t="s">
        <v>994</v>
      </c>
      <c r="T22" s="11" t="s">
        <v>125</v>
      </c>
      <c r="U22" s="11" t="s">
        <v>38</v>
      </c>
      <c r="V22" s="11" t="s">
        <v>1378</v>
      </c>
      <c r="W22" s="11" t="s">
        <v>994</v>
      </c>
      <c r="X22" s="11" t="s">
        <v>994</v>
      </c>
      <c r="Y22" s="11" t="s">
        <v>994</v>
      </c>
      <c r="Z22" s="11" t="s">
        <v>994</v>
      </c>
      <c r="AA22" s="11" t="s">
        <v>994</v>
      </c>
      <c r="AB22" s="11" t="s">
        <v>994</v>
      </c>
      <c r="AC22" s="11" t="s">
        <v>994</v>
      </c>
      <c r="AD22" s="11" t="s">
        <v>994</v>
      </c>
      <c r="AE22" s="11" t="s">
        <v>995</v>
      </c>
    </row>
    <row r="23">
      <c r="B23" s="26" t="s">
        <v>308</v>
      </c>
      <c r="C23" s="12" t="s">
        <v>1327</v>
      </c>
      <c r="D23" s="11" t="s">
        <v>316</v>
      </c>
      <c r="E23" s="11" t="s">
        <v>307</v>
      </c>
      <c r="F23" s="12" t="s">
        <v>308</v>
      </c>
      <c r="G23" s="12" t="s">
        <v>246</v>
      </c>
      <c r="H23" s="12" t="s">
        <v>246</v>
      </c>
      <c r="I23" s="12" t="s">
        <v>430</v>
      </c>
      <c r="J23" s="12" t="s">
        <v>71</v>
      </c>
      <c r="K23" s="12" t="s">
        <v>191</v>
      </c>
      <c r="L23" s="12" t="s">
        <v>247</v>
      </c>
      <c r="M23" s="12" t="s">
        <v>994</v>
      </c>
      <c r="N23" s="13" t="s">
        <v>317</v>
      </c>
      <c r="O23" s="11" t="s">
        <v>309</v>
      </c>
      <c r="P23" s="11" t="s">
        <v>310</v>
      </c>
      <c r="Q23" s="11" t="s">
        <v>125</v>
      </c>
      <c r="R23" s="11" t="s">
        <v>150</v>
      </c>
      <c r="S23" s="11" t="s">
        <v>994</v>
      </c>
      <c r="T23" s="11" t="s">
        <v>125</v>
      </c>
      <c r="U23" s="11" t="s">
        <v>29</v>
      </c>
      <c r="V23" s="11" t="s">
        <v>1757</v>
      </c>
      <c r="W23" s="11" t="s">
        <v>994</v>
      </c>
      <c r="X23" s="11" t="s">
        <v>994</v>
      </c>
      <c r="Y23" s="11" t="s">
        <v>994</v>
      </c>
      <c r="Z23" s="11" t="s">
        <v>994</v>
      </c>
      <c r="AA23" s="11" t="s">
        <v>994</v>
      </c>
      <c r="AB23" s="11" t="s">
        <v>994</v>
      </c>
      <c r="AC23" s="11" t="s">
        <v>994</v>
      </c>
      <c r="AD23" s="11" t="s">
        <v>1157</v>
      </c>
      <c r="AE23" s="11" t="s">
        <v>995</v>
      </c>
    </row>
    <row r="24">
      <c r="B24" s="26" t="s">
        <v>308</v>
      </c>
      <c r="C24" s="12" t="s">
        <v>1328</v>
      </c>
      <c r="D24" s="11" t="s">
        <v>318</v>
      </c>
      <c r="E24" s="11" t="s">
        <v>307</v>
      </c>
      <c r="F24" s="12" t="s">
        <v>308</v>
      </c>
      <c r="G24" s="12" t="s">
        <v>246</v>
      </c>
      <c r="H24" s="12" t="s">
        <v>246</v>
      </c>
      <c r="I24" s="12" t="s">
        <v>430</v>
      </c>
      <c r="J24" s="12" t="s">
        <v>71</v>
      </c>
      <c r="K24" s="12" t="s">
        <v>191</v>
      </c>
      <c r="L24" s="12" t="s">
        <v>247</v>
      </c>
      <c r="M24" s="12" t="s">
        <v>994</v>
      </c>
      <c r="N24" s="13" t="s">
        <v>319</v>
      </c>
      <c r="O24" s="11" t="s">
        <v>309</v>
      </c>
      <c r="P24" s="11" t="s">
        <v>310</v>
      </c>
      <c r="Q24" s="11" t="s">
        <v>125</v>
      </c>
      <c r="R24" s="11" t="s">
        <v>150</v>
      </c>
      <c r="S24" s="11" t="s">
        <v>125</v>
      </c>
      <c r="T24" s="11" t="s">
        <v>125</v>
      </c>
      <c r="U24" s="11" t="s">
        <v>38</v>
      </c>
      <c r="V24" s="11" t="s">
        <v>1378</v>
      </c>
      <c r="W24" s="11" t="s">
        <v>994</v>
      </c>
      <c r="X24" s="11" t="s">
        <v>994</v>
      </c>
      <c r="Y24" s="11" t="s">
        <v>994</v>
      </c>
      <c r="Z24" s="11" t="s">
        <v>994</v>
      </c>
      <c r="AA24" s="11" t="s">
        <v>994</v>
      </c>
      <c r="AB24" s="11" t="s">
        <v>994</v>
      </c>
      <c r="AC24" s="11" t="s">
        <v>994</v>
      </c>
      <c r="AD24" s="11" t="s">
        <v>994</v>
      </c>
      <c r="AE24" s="11" t="s">
        <v>995</v>
      </c>
    </row>
    <row r="25">
      <c r="B25" s="26" t="s">
        <v>278</v>
      </c>
      <c r="C25" s="12" t="s">
        <v>1329</v>
      </c>
      <c r="D25" s="11" t="s">
        <v>320</v>
      </c>
      <c r="E25" s="11" t="s">
        <v>321</v>
      </c>
      <c r="F25" s="12" t="s">
        <v>278</v>
      </c>
      <c r="G25" s="12" t="s">
        <v>246</v>
      </c>
      <c r="H25" s="12" t="s">
        <v>246</v>
      </c>
      <c r="I25" s="12" t="s">
        <v>60</v>
      </c>
      <c r="J25" s="12" t="s">
        <v>1018</v>
      </c>
      <c r="K25" s="12" t="s">
        <v>118</v>
      </c>
      <c r="L25" s="12" t="s">
        <v>247</v>
      </c>
      <c r="M25" s="12" t="s">
        <v>994</v>
      </c>
      <c r="N25" s="13" t="s">
        <v>322</v>
      </c>
      <c r="O25" s="11" t="s">
        <v>118</v>
      </c>
      <c r="P25" s="11" t="s">
        <v>323</v>
      </c>
      <c r="Q25" s="11" t="s">
        <v>126</v>
      </c>
      <c r="R25" s="11" t="s">
        <v>150</v>
      </c>
      <c r="S25" s="11" t="s">
        <v>994</v>
      </c>
      <c r="T25" s="11" t="s">
        <v>125</v>
      </c>
      <c r="U25" s="11" t="s">
        <v>1016</v>
      </c>
      <c r="V25" s="11" t="s">
        <v>1756</v>
      </c>
      <c r="W25" s="11" t="s">
        <v>994</v>
      </c>
      <c r="X25" s="11" t="s">
        <v>994</v>
      </c>
      <c r="Y25" s="11" t="s">
        <v>994</v>
      </c>
      <c r="Z25" s="11" t="s">
        <v>1789</v>
      </c>
      <c r="AA25" s="11" t="s">
        <v>1789</v>
      </c>
      <c r="AB25" s="11" t="s">
        <v>30</v>
      </c>
      <c r="AC25" s="11" t="s">
        <v>1369</v>
      </c>
      <c r="AD25" s="11" t="s">
        <v>979</v>
      </c>
      <c r="AE25" s="11" t="s">
        <v>995</v>
      </c>
    </row>
    <row r="26">
      <c r="B26" s="26" t="s">
        <v>49</v>
      </c>
      <c r="C26" s="12" t="s">
        <v>1330</v>
      </c>
      <c r="D26" s="11" t="s">
        <v>53</v>
      </c>
      <c r="E26" s="11" t="s">
        <v>54</v>
      </c>
      <c r="F26" s="12" t="s">
        <v>49</v>
      </c>
      <c r="G26" s="12" t="s">
        <v>246</v>
      </c>
      <c r="H26" s="12" t="s">
        <v>246</v>
      </c>
      <c r="I26" s="12" t="s">
        <v>37</v>
      </c>
      <c r="J26" s="12" t="s">
        <v>1018</v>
      </c>
      <c r="K26" s="12" t="s">
        <v>1022</v>
      </c>
      <c r="L26" s="12" t="s">
        <v>247</v>
      </c>
      <c r="M26" s="12" t="s">
        <v>994</v>
      </c>
      <c r="N26" s="13" t="s">
        <v>324</v>
      </c>
      <c r="O26" s="11" t="s">
        <v>118</v>
      </c>
      <c r="P26" s="11" t="s">
        <v>280</v>
      </c>
      <c r="Q26" s="11" t="s">
        <v>126</v>
      </c>
      <c r="R26" s="11" t="s">
        <v>150</v>
      </c>
      <c r="S26" s="11" t="s">
        <v>994</v>
      </c>
      <c r="T26" s="11" t="s">
        <v>125</v>
      </c>
      <c r="U26" s="11" t="s">
        <v>1016</v>
      </c>
      <c r="V26" s="11" t="s">
        <v>1755</v>
      </c>
      <c r="W26" s="11" t="s">
        <v>994</v>
      </c>
      <c r="X26" s="11" t="s">
        <v>994</v>
      </c>
      <c r="Y26" s="11" t="s">
        <v>1758</v>
      </c>
      <c r="Z26" s="11" t="s">
        <v>1790</v>
      </c>
      <c r="AA26" s="11" t="s">
        <v>1790</v>
      </c>
      <c r="AB26" s="11" t="s">
        <v>30</v>
      </c>
      <c r="AC26" s="11" t="s">
        <v>1351</v>
      </c>
      <c r="AD26" s="11" t="s">
        <v>1003</v>
      </c>
      <c r="AE26" s="11" t="s">
        <v>995</v>
      </c>
    </row>
    <row r="27">
      <c r="B27" s="26" t="s">
        <v>49</v>
      </c>
      <c r="C27" s="12" t="s">
        <v>1331</v>
      </c>
      <c r="D27" s="11" t="s">
        <v>46</v>
      </c>
      <c r="E27" s="11" t="s">
        <v>1017</v>
      </c>
      <c r="F27" s="12" t="s">
        <v>305</v>
      </c>
      <c r="G27" s="12" t="s">
        <v>247</v>
      </c>
      <c r="H27" s="12" t="s">
        <v>126</v>
      </c>
      <c r="I27" s="12" t="s">
        <v>37</v>
      </c>
      <c r="J27" s="12" t="s">
        <v>1018</v>
      </c>
      <c r="K27" s="12" t="s">
        <v>1019</v>
      </c>
      <c r="L27" s="12" t="s">
        <v>247</v>
      </c>
      <c r="M27" s="12" t="s">
        <v>994</v>
      </c>
      <c r="N27" s="13" t="s">
        <v>325</v>
      </c>
      <c r="O27" s="11" t="s">
        <v>118</v>
      </c>
      <c r="P27" s="11" t="s">
        <v>323</v>
      </c>
      <c r="Q27" s="11" t="s">
        <v>126</v>
      </c>
      <c r="R27" s="11" t="s">
        <v>150</v>
      </c>
      <c r="S27" s="11" t="s">
        <v>994</v>
      </c>
      <c r="T27" s="11" t="s">
        <v>125</v>
      </c>
      <c r="U27" s="11" t="s">
        <v>29</v>
      </c>
      <c r="V27" s="11" t="s">
        <v>1755</v>
      </c>
      <c r="W27" s="11" t="s">
        <v>1758</v>
      </c>
      <c r="X27" s="11" t="s">
        <v>994</v>
      </c>
      <c r="Y27" s="11" t="s">
        <v>994</v>
      </c>
      <c r="Z27" s="11" t="s">
        <v>994</v>
      </c>
      <c r="AA27" s="11" t="s">
        <v>994</v>
      </c>
      <c r="AB27" s="11" t="s">
        <v>994</v>
      </c>
      <c r="AC27" s="11" t="s">
        <v>994</v>
      </c>
      <c r="AD27" s="11" t="s">
        <v>981</v>
      </c>
      <c r="AE27" s="11" t="s">
        <v>995</v>
      </c>
    </row>
    <row r="28">
      <c r="B28" s="26" t="s">
        <v>291</v>
      </c>
      <c r="C28" s="12" t="s">
        <v>1332</v>
      </c>
      <c r="D28" s="11" t="s">
        <v>328</v>
      </c>
      <c r="E28" s="11" t="s">
        <v>327</v>
      </c>
      <c r="F28" s="12" t="s">
        <v>291</v>
      </c>
      <c r="G28" s="12" t="s">
        <v>246</v>
      </c>
      <c r="H28" s="12" t="s">
        <v>246</v>
      </c>
      <c r="I28" s="12" t="s">
        <v>60</v>
      </c>
      <c r="J28" s="12" t="s">
        <v>1018</v>
      </c>
      <c r="K28" s="12" t="s">
        <v>118</v>
      </c>
      <c r="L28" s="12" t="s">
        <v>247</v>
      </c>
      <c r="M28" s="12" t="s">
        <v>994</v>
      </c>
      <c r="N28" s="13" t="s">
        <v>1020</v>
      </c>
      <c r="O28" s="11" t="s">
        <v>118</v>
      </c>
      <c r="P28" s="11" t="s">
        <v>323</v>
      </c>
      <c r="Q28" s="11" t="s">
        <v>125</v>
      </c>
      <c r="R28" s="11" t="s">
        <v>150</v>
      </c>
      <c r="S28" s="11" t="s">
        <v>994</v>
      </c>
      <c r="T28" s="11" t="s">
        <v>125</v>
      </c>
      <c r="U28" s="11" t="s">
        <v>38</v>
      </c>
      <c r="V28" s="11" t="s">
        <v>1755</v>
      </c>
      <c r="W28" s="11" t="s">
        <v>1378</v>
      </c>
      <c r="X28" s="11" t="s">
        <v>994</v>
      </c>
      <c r="Y28" s="11" t="s">
        <v>994</v>
      </c>
      <c r="Z28" s="11" t="s">
        <v>994</v>
      </c>
      <c r="AA28" s="11" t="s">
        <v>994</v>
      </c>
      <c r="AB28" s="11" t="s">
        <v>994</v>
      </c>
      <c r="AC28" s="11" t="s">
        <v>994</v>
      </c>
      <c r="AD28" s="11" t="s">
        <v>1211</v>
      </c>
      <c r="AE28" s="11" t="s">
        <v>995</v>
      </c>
    </row>
    <row r="29">
      <c r="B29" s="26" t="s">
        <v>49</v>
      </c>
      <c r="C29" s="12" t="s">
        <v>1333</v>
      </c>
      <c r="D29" s="11" t="s">
        <v>329</v>
      </c>
      <c r="E29" s="11" t="s">
        <v>330</v>
      </c>
      <c r="F29" s="12" t="s">
        <v>49</v>
      </c>
      <c r="G29" s="12" t="s">
        <v>246</v>
      </c>
      <c r="H29" s="12" t="s">
        <v>246</v>
      </c>
      <c r="I29" s="12" t="s">
        <v>37</v>
      </c>
      <c r="J29" s="12" t="s">
        <v>1018</v>
      </c>
      <c r="K29" s="12" t="s">
        <v>1019</v>
      </c>
      <c r="L29" s="12" t="s">
        <v>247</v>
      </c>
      <c r="M29" s="12" t="s">
        <v>994</v>
      </c>
      <c r="N29" s="13" t="s">
        <v>1286</v>
      </c>
      <c r="O29" s="11" t="s">
        <v>118</v>
      </c>
      <c r="P29" s="11" t="s">
        <v>323</v>
      </c>
      <c r="Q29" s="11" t="s">
        <v>126</v>
      </c>
      <c r="R29" s="11" t="s">
        <v>150</v>
      </c>
      <c r="S29" s="11" t="s">
        <v>994</v>
      </c>
      <c r="T29" s="11" t="s">
        <v>125</v>
      </c>
      <c r="U29" s="11" t="s">
        <v>38</v>
      </c>
      <c r="V29" s="11" t="s">
        <v>1755</v>
      </c>
      <c r="W29" s="11" t="s">
        <v>994</v>
      </c>
      <c r="X29" s="11" t="s">
        <v>994</v>
      </c>
      <c r="Y29" s="11" t="s">
        <v>994</v>
      </c>
      <c r="Z29" s="11" t="s">
        <v>994</v>
      </c>
      <c r="AA29" s="11" t="s">
        <v>994</v>
      </c>
      <c r="AB29" s="11" t="s">
        <v>994</v>
      </c>
      <c r="AC29" s="11" t="s">
        <v>994</v>
      </c>
      <c r="AD29" s="11" t="s">
        <v>982</v>
      </c>
      <c r="AE29" s="11" t="s">
        <v>995</v>
      </c>
    </row>
    <row r="30">
      <c r="B30" s="26" t="s">
        <v>295</v>
      </c>
      <c r="C30" s="12" t="s">
        <v>1334</v>
      </c>
      <c r="D30" s="11" t="s">
        <v>333</v>
      </c>
      <c r="E30" s="11" t="s">
        <v>35</v>
      </c>
      <c r="F30" s="12" t="s">
        <v>295</v>
      </c>
      <c r="G30" s="12" t="s">
        <v>246</v>
      </c>
      <c r="H30" s="12" t="s">
        <v>246</v>
      </c>
      <c r="I30" s="12" t="s">
        <v>430</v>
      </c>
      <c r="J30" s="12" t="s">
        <v>71</v>
      </c>
      <c r="K30" s="12" t="s">
        <v>1021</v>
      </c>
      <c r="L30" s="12" t="s">
        <v>247</v>
      </c>
      <c r="M30" s="12" t="s">
        <v>994</v>
      </c>
      <c r="N30" s="13" t="s">
        <v>1287</v>
      </c>
      <c r="O30" s="11" t="s">
        <v>118</v>
      </c>
      <c r="P30" s="11" t="s">
        <v>323</v>
      </c>
      <c r="Q30" s="11" t="s">
        <v>125</v>
      </c>
      <c r="R30" s="11" t="s">
        <v>150</v>
      </c>
      <c r="S30" s="11" t="s">
        <v>125</v>
      </c>
      <c r="T30" s="11" t="s">
        <v>125</v>
      </c>
      <c r="U30" s="11" t="s">
        <v>132</v>
      </c>
      <c r="V30" s="11" t="s">
        <v>1755</v>
      </c>
      <c r="W30" s="11" t="s">
        <v>1378</v>
      </c>
      <c r="X30" s="11" t="s">
        <v>1777</v>
      </c>
      <c r="Y30" s="11" t="s">
        <v>994</v>
      </c>
      <c r="Z30" s="11" t="s">
        <v>994</v>
      </c>
      <c r="AA30" s="11" t="s">
        <v>994</v>
      </c>
      <c r="AB30" s="11" t="s">
        <v>994</v>
      </c>
      <c r="AC30" s="11" t="s">
        <v>994</v>
      </c>
      <c r="AD30" s="11" t="s">
        <v>1212</v>
      </c>
      <c r="AE30" s="11" t="s">
        <v>995</v>
      </c>
    </row>
    <row r="31">
      <c r="B31" s="26" t="s">
        <v>49</v>
      </c>
      <c r="C31" s="12" t="s">
        <v>1335</v>
      </c>
      <c r="D31" s="11" t="s">
        <v>336</v>
      </c>
      <c r="E31" s="11" t="s">
        <v>35</v>
      </c>
      <c r="F31" s="12" t="s">
        <v>286</v>
      </c>
      <c r="G31" s="12" t="s">
        <v>246</v>
      </c>
      <c r="H31" s="12" t="s">
        <v>246</v>
      </c>
      <c r="I31" s="12" t="s">
        <v>430</v>
      </c>
      <c r="J31" s="12" t="s">
        <v>71</v>
      </c>
      <c r="K31" s="12" t="s">
        <v>1021</v>
      </c>
      <c r="L31" s="12" t="s">
        <v>247</v>
      </c>
      <c r="M31" s="12" t="s">
        <v>994</v>
      </c>
      <c r="N31" s="13" t="s">
        <v>1004</v>
      </c>
      <c r="O31" s="11" t="s">
        <v>118</v>
      </c>
      <c r="P31" s="11" t="s">
        <v>323</v>
      </c>
      <c r="Q31" s="11" t="s">
        <v>125</v>
      </c>
      <c r="R31" s="11" t="s">
        <v>150</v>
      </c>
      <c r="S31" s="11" t="s">
        <v>125</v>
      </c>
      <c r="T31" s="11" t="s">
        <v>125</v>
      </c>
      <c r="U31" s="11" t="s">
        <v>38</v>
      </c>
      <c r="V31" s="11" t="s">
        <v>1378</v>
      </c>
      <c r="W31" s="11" t="s">
        <v>994</v>
      </c>
      <c r="X31" s="11" t="s">
        <v>994</v>
      </c>
      <c r="Y31" s="11" t="s">
        <v>994</v>
      </c>
      <c r="Z31" s="11" t="s">
        <v>994</v>
      </c>
      <c r="AA31" s="11" t="s">
        <v>994</v>
      </c>
      <c r="AB31" s="11" t="s">
        <v>994</v>
      </c>
      <c r="AC31" s="11" t="s">
        <v>994</v>
      </c>
      <c r="AD31" s="11" t="s">
        <v>994</v>
      </c>
      <c r="AE31" s="11" t="s">
        <v>995</v>
      </c>
    </row>
    <row r="32">
      <c r="B32" s="26" t="s">
        <v>308</v>
      </c>
      <c r="C32" s="12" t="s">
        <v>1336</v>
      </c>
      <c r="D32" s="11" t="s">
        <v>339</v>
      </c>
      <c r="E32" s="11" t="s">
        <v>35</v>
      </c>
      <c r="F32" s="12" t="s">
        <v>308</v>
      </c>
      <c r="G32" s="12" t="s">
        <v>246</v>
      </c>
      <c r="H32" s="12" t="s">
        <v>246</v>
      </c>
      <c r="I32" s="12" t="s">
        <v>430</v>
      </c>
      <c r="J32" s="12" t="s">
        <v>71</v>
      </c>
      <c r="K32" s="12" t="s">
        <v>1021</v>
      </c>
      <c r="L32" s="12" t="s">
        <v>247</v>
      </c>
      <c r="M32" s="12" t="s">
        <v>994</v>
      </c>
      <c r="N32" s="13" t="s">
        <v>340</v>
      </c>
      <c r="O32" s="11" t="s">
        <v>118</v>
      </c>
      <c r="P32" s="11" t="s">
        <v>323</v>
      </c>
      <c r="Q32" s="11" t="s">
        <v>125</v>
      </c>
      <c r="R32" s="11" t="s">
        <v>150</v>
      </c>
      <c r="S32" s="11" t="s">
        <v>125</v>
      </c>
      <c r="T32" s="11" t="s">
        <v>125</v>
      </c>
      <c r="U32" s="11" t="s">
        <v>1016</v>
      </c>
      <c r="V32" s="11" t="s">
        <v>1378</v>
      </c>
      <c r="W32" s="11" t="s">
        <v>994</v>
      </c>
      <c r="X32" s="11" t="s">
        <v>994</v>
      </c>
      <c r="Y32" s="11" t="s">
        <v>994</v>
      </c>
      <c r="Z32" s="11" t="s">
        <v>1791</v>
      </c>
      <c r="AA32" s="11" t="s">
        <v>994</v>
      </c>
      <c r="AB32" s="11" t="s">
        <v>30</v>
      </c>
      <c r="AC32" s="11" t="s">
        <v>994</v>
      </c>
      <c r="AD32" s="11" t="s">
        <v>994</v>
      </c>
      <c r="AE32" s="11" t="s">
        <v>995</v>
      </c>
    </row>
    <row r="33">
      <c r="B33" s="26" t="s">
        <v>278</v>
      </c>
      <c r="C33" s="12" t="s">
        <v>1337</v>
      </c>
      <c r="D33" s="11" t="s">
        <v>34</v>
      </c>
      <c r="E33" s="11" t="s">
        <v>35</v>
      </c>
      <c r="F33" s="12" t="s">
        <v>278</v>
      </c>
      <c r="G33" s="12" t="s">
        <v>247</v>
      </c>
      <c r="H33" s="12" t="s">
        <v>126</v>
      </c>
      <c r="I33" s="12" t="s">
        <v>430</v>
      </c>
      <c r="J33" s="12" t="s">
        <v>71</v>
      </c>
      <c r="K33" s="12" t="s">
        <v>1021</v>
      </c>
      <c r="L33" s="12" t="s">
        <v>247</v>
      </c>
      <c r="M33" s="12" t="s">
        <v>994</v>
      </c>
      <c r="N33" s="13" t="s">
        <v>36</v>
      </c>
      <c r="O33" s="11" t="s">
        <v>118</v>
      </c>
      <c r="P33" s="11" t="s">
        <v>323</v>
      </c>
      <c r="Q33" s="11" t="s">
        <v>125</v>
      </c>
      <c r="R33" s="11" t="s">
        <v>150</v>
      </c>
      <c r="S33" s="11" t="s">
        <v>125</v>
      </c>
      <c r="T33" s="11" t="s">
        <v>125</v>
      </c>
      <c r="U33" s="11" t="s">
        <v>38</v>
      </c>
      <c r="V33" s="11" t="s">
        <v>1378</v>
      </c>
      <c r="W33" s="11" t="s">
        <v>994</v>
      </c>
      <c r="X33" s="11" t="s">
        <v>994</v>
      </c>
      <c r="Y33" s="11" t="s">
        <v>994</v>
      </c>
      <c r="Z33" s="11" t="s">
        <v>994</v>
      </c>
      <c r="AA33" s="11" t="s">
        <v>994</v>
      </c>
      <c r="AB33" s="11" t="s">
        <v>994</v>
      </c>
      <c r="AC33" s="11" t="s">
        <v>994</v>
      </c>
      <c r="AD33" s="11" t="s">
        <v>994</v>
      </c>
      <c r="AE33" s="11" t="s">
        <v>995</v>
      </c>
    </row>
    <row r="34">
      <c r="B34" s="26" t="s">
        <v>49</v>
      </c>
      <c r="C34" s="12" t="s">
        <v>1338</v>
      </c>
      <c r="D34" s="11" t="s">
        <v>341</v>
      </c>
      <c r="E34" s="11" t="s">
        <v>35</v>
      </c>
      <c r="F34" s="12" t="s">
        <v>332</v>
      </c>
      <c r="G34" s="12" t="s">
        <v>246</v>
      </c>
      <c r="H34" s="12" t="s">
        <v>246</v>
      </c>
      <c r="I34" s="12" t="s">
        <v>430</v>
      </c>
      <c r="J34" s="12" t="s">
        <v>71</v>
      </c>
      <c r="K34" s="12" t="s">
        <v>1021</v>
      </c>
      <c r="L34" s="12" t="s">
        <v>247</v>
      </c>
      <c r="M34" s="12" t="s">
        <v>994</v>
      </c>
      <c r="N34" s="13" t="s">
        <v>342</v>
      </c>
      <c r="O34" s="11" t="s">
        <v>118</v>
      </c>
      <c r="P34" s="11" t="s">
        <v>323</v>
      </c>
      <c r="Q34" s="11" t="s">
        <v>125</v>
      </c>
      <c r="R34" s="11" t="s">
        <v>150</v>
      </c>
      <c r="S34" s="11" t="s">
        <v>994</v>
      </c>
      <c r="T34" s="11" t="s">
        <v>125</v>
      </c>
      <c r="U34" s="11" t="s">
        <v>132</v>
      </c>
      <c r="V34" s="11" t="s">
        <v>1378</v>
      </c>
      <c r="W34" s="11" t="s">
        <v>994</v>
      </c>
      <c r="X34" s="11" t="s">
        <v>994</v>
      </c>
      <c r="Y34" s="11" t="s">
        <v>994</v>
      </c>
      <c r="Z34" s="11" t="s">
        <v>994</v>
      </c>
      <c r="AA34" s="11" t="s">
        <v>994</v>
      </c>
      <c r="AB34" s="11" t="s">
        <v>994</v>
      </c>
      <c r="AC34" s="11" t="s">
        <v>994</v>
      </c>
      <c r="AD34" s="11" t="s">
        <v>1213</v>
      </c>
      <c r="AE34" s="11" t="s">
        <v>995</v>
      </c>
    </row>
    <row r="35">
      <c r="B35" s="26" t="s">
        <v>49</v>
      </c>
      <c r="C35" s="12" t="s">
        <v>1339</v>
      </c>
      <c r="D35" s="11" t="s">
        <v>39</v>
      </c>
      <c r="E35" s="11" t="s">
        <v>35</v>
      </c>
      <c r="F35" s="12" t="s">
        <v>286</v>
      </c>
      <c r="G35" s="12" t="s">
        <v>247</v>
      </c>
      <c r="H35" s="12" t="s">
        <v>126</v>
      </c>
      <c r="I35" s="12" t="s">
        <v>430</v>
      </c>
      <c r="J35" s="12" t="s">
        <v>71</v>
      </c>
      <c r="K35" s="12" t="s">
        <v>1021</v>
      </c>
      <c r="L35" s="12" t="s">
        <v>247</v>
      </c>
      <c r="M35" s="12" t="s">
        <v>994</v>
      </c>
      <c r="N35" s="13" t="s">
        <v>40</v>
      </c>
      <c r="O35" s="11" t="s">
        <v>118</v>
      </c>
      <c r="P35" s="11" t="s">
        <v>323</v>
      </c>
      <c r="Q35" s="11" t="s">
        <v>125</v>
      </c>
      <c r="R35" s="11" t="s">
        <v>150</v>
      </c>
      <c r="S35" s="11" t="s">
        <v>994</v>
      </c>
      <c r="T35" s="11" t="s">
        <v>125</v>
      </c>
      <c r="U35" s="11" t="s">
        <v>38</v>
      </c>
      <c r="V35" s="11" t="s">
        <v>1378</v>
      </c>
      <c r="W35" s="11" t="s">
        <v>994</v>
      </c>
      <c r="X35" s="11" t="s">
        <v>994</v>
      </c>
      <c r="Y35" s="11" t="s">
        <v>994</v>
      </c>
      <c r="Z35" s="11" t="s">
        <v>994</v>
      </c>
      <c r="AA35" s="11" t="s">
        <v>994</v>
      </c>
      <c r="AB35" s="11" t="s">
        <v>994</v>
      </c>
      <c r="AC35" s="11" t="s">
        <v>994</v>
      </c>
      <c r="AD35" s="11" t="s">
        <v>1104</v>
      </c>
      <c r="AE35" s="11" t="s">
        <v>995</v>
      </c>
    </row>
    <row r="36">
      <c r="B36" s="26" t="s">
        <v>49</v>
      </c>
      <c r="C36" s="12" t="s">
        <v>1340</v>
      </c>
      <c r="D36" s="11" t="s">
        <v>343</v>
      </c>
      <c r="E36" s="11" t="s">
        <v>186</v>
      </c>
      <c r="F36" s="12" t="s">
        <v>49</v>
      </c>
      <c r="G36" s="12" t="s">
        <v>246</v>
      </c>
      <c r="H36" s="12" t="s">
        <v>246</v>
      </c>
      <c r="I36" s="12" t="s">
        <v>37</v>
      </c>
      <c r="J36" s="12" t="s">
        <v>1018</v>
      </c>
      <c r="K36" s="12" t="s">
        <v>1022</v>
      </c>
      <c r="L36" s="12" t="s">
        <v>247</v>
      </c>
      <c r="M36" s="12" t="s">
        <v>994</v>
      </c>
      <c r="N36" s="13" t="s">
        <v>187</v>
      </c>
      <c r="O36" s="11" t="s">
        <v>118</v>
      </c>
      <c r="P36" s="11" t="s">
        <v>323</v>
      </c>
      <c r="Q36" s="11" t="s">
        <v>125</v>
      </c>
      <c r="R36" s="11" t="s">
        <v>150</v>
      </c>
      <c r="S36" s="11" t="s">
        <v>125</v>
      </c>
      <c r="T36" s="11" t="s">
        <v>125</v>
      </c>
      <c r="U36" s="11" t="s">
        <v>38</v>
      </c>
      <c r="V36" s="11" t="s">
        <v>1378</v>
      </c>
      <c r="W36" s="11" t="s">
        <v>994</v>
      </c>
      <c r="X36" s="11" t="s">
        <v>994</v>
      </c>
      <c r="Y36" s="11" t="s">
        <v>994</v>
      </c>
      <c r="Z36" s="11" t="s">
        <v>994</v>
      </c>
      <c r="AA36" s="11" t="s">
        <v>994</v>
      </c>
      <c r="AB36" s="11" t="s">
        <v>994</v>
      </c>
      <c r="AC36" s="11" t="s">
        <v>994</v>
      </c>
      <c r="AD36" s="11" t="s">
        <v>994</v>
      </c>
      <c r="AE36" s="11" t="s">
        <v>995</v>
      </c>
    </row>
    <row r="37">
      <c r="B37" s="26" t="s">
        <v>49</v>
      </c>
      <c r="C37" s="12" t="s">
        <v>1341</v>
      </c>
      <c r="D37" s="11" t="s">
        <v>344</v>
      </c>
      <c r="E37" s="11" t="s">
        <v>51</v>
      </c>
      <c r="F37" s="12" t="s">
        <v>49</v>
      </c>
      <c r="G37" s="12" t="s">
        <v>246</v>
      </c>
      <c r="H37" s="12" t="s">
        <v>246</v>
      </c>
      <c r="I37" s="12" t="s">
        <v>37</v>
      </c>
      <c r="J37" s="12" t="s">
        <v>1018</v>
      </c>
      <c r="K37" s="12" t="s">
        <v>1022</v>
      </c>
      <c r="L37" s="12" t="s">
        <v>247</v>
      </c>
      <c r="M37" s="12" t="s">
        <v>994</v>
      </c>
      <c r="N37" s="13" t="s">
        <v>983</v>
      </c>
      <c r="O37" s="11" t="s">
        <v>118</v>
      </c>
      <c r="P37" s="11" t="s">
        <v>323</v>
      </c>
      <c r="Q37" s="11" t="s">
        <v>125</v>
      </c>
      <c r="R37" s="11" t="s">
        <v>150</v>
      </c>
      <c r="S37" s="11" t="s">
        <v>125</v>
      </c>
      <c r="T37" s="11" t="s">
        <v>125</v>
      </c>
      <c r="U37" s="11" t="s">
        <v>38</v>
      </c>
      <c r="V37" s="11" t="s">
        <v>1378</v>
      </c>
      <c r="W37" s="11" t="s">
        <v>1775</v>
      </c>
      <c r="X37" s="11" t="s">
        <v>994</v>
      </c>
      <c r="Y37" s="11" t="s">
        <v>994</v>
      </c>
      <c r="Z37" s="11" t="s">
        <v>994</v>
      </c>
      <c r="AA37" s="11" t="s">
        <v>994</v>
      </c>
      <c r="AB37" s="11" t="s">
        <v>994</v>
      </c>
      <c r="AC37" s="11" t="s">
        <v>994</v>
      </c>
      <c r="AD37" s="11" t="s">
        <v>1252</v>
      </c>
      <c r="AE37" s="11" t="s">
        <v>995</v>
      </c>
    </row>
    <row r="38">
      <c r="B38" s="26" t="s">
        <v>291</v>
      </c>
      <c r="C38" s="12" t="s">
        <v>1342</v>
      </c>
      <c r="D38" s="11" t="s">
        <v>350</v>
      </c>
      <c r="E38" s="11" t="s">
        <v>351</v>
      </c>
      <c r="F38" s="12" t="s">
        <v>291</v>
      </c>
      <c r="G38" s="12" t="s">
        <v>246</v>
      </c>
      <c r="H38" s="12" t="s">
        <v>246</v>
      </c>
      <c r="I38" s="12" t="s">
        <v>60</v>
      </c>
      <c r="J38" s="12" t="s">
        <v>1018</v>
      </c>
      <c r="K38" s="12" t="s">
        <v>118</v>
      </c>
      <c r="L38" s="12" t="s">
        <v>247</v>
      </c>
      <c r="M38" s="12" t="s">
        <v>994</v>
      </c>
      <c r="N38" s="13" t="s">
        <v>352</v>
      </c>
      <c r="O38" s="11" t="s">
        <v>118</v>
      </c>
      <c r="P38" s="11" t="s">
        <v>349</v>
      </c>
      <c r="Q38" s="11" t="s">
        <v>125</v>
      </c>
      <c r="R38" s="11" t="s">
        <v>150</v>
      </c>
      <c r="S38" s="11" t="s">
        <v>125</v>
      </c>
      <c r="T38" s="11" t="s">
        <v>125</v>
      </c>
      <c r="U38" s="11" t="s">
        <v>38</v>
      </c>
      <c r="V38" s="11" t="s">
        <v>1378</v>
      </c>
      <c r="W38" s="11" t="s">
        <v>994</v>
      </c>
      <c r="X38" s="11" t="s">
        <v>994</v>
      </c>
      <c r="Y38" s="11" t="s">
        <v>994</v>
      </c>
      <c r="Z38" s="11" t="s">
        <v>994</v>
      </c>
      <c r="AA38" s="11" t="s">
        <v>994</v>
      </c>
      <c r="AB38" s="11" t="s">
        <v>994</v>
      </c>
      <c r="AC38" s="11" t="s">
        <v>994</v>
      </c>
      <c r="AD38" s="11" t="s">
        <v>1207</v>
      </c>
      <c r="AE38" s="11" t="s">
        <v>995</v>
      </c>
    </row>
    <row r="39">
      <c r="B39" s="26" t="s">
        <v>49</v>
      </c>
      <c r="C39" s="12" t="s">
        <v>1343</v>
      </c>
      <c r="D39" s="11" t="s">
        <v>353</v>
      </c>
      <c r="E39" s="11" t="s">
        <v>354</v>
      </c>
      <c r="F39" s="12" t="s">
        <v>49</v>
      </c>
      <c r="G39" s="12" t="s">
        <v>246</v>
      </c>
      <c r="H39" s="12" t="s">
        <v>246</v>
      </c>
      <c r="I39" s="12" t="s">
        <v>430</v>
      </c>
      <c r="J39" s="12" t="s">
        <v>71</v>
      </c>
      <c r="K39" s="12" t="s">
        <v>1023</v>
      </c>
      <c r="L39" s="12" t="s">
        <v>247</v>
      </c>
      <c r="M39" s="12" t="s">
        <v>994</v>
      </c>
      <c r="N39" s="13" t="s">
        <v>1712</v>
      </c>
      <c r="O39" s="11" t="s">
        <v>118</v>
      </c>
      <c r="P39" s="11" t="s">
        <v>280</v>
      </c>
      <c r="Q39" s="11" t="s">
        <v>125</v>
      </c>
      <c r="R39" s="11" t="s">
        <v>150</v>
      </c>
      <c r="S39" s="11" t="s">
        <v>125</v>
      </c>
      <c r="T39" s="11" t="s">
        <v>125</v>
      </c>
      <c r="U39" s="11" t="s">
        <v>38</v>
      </c>
      <c r="V39" s="11" t="s">
        <v>1755</v>
      </c>
      <c r="W39" s="11" t="s">
        <v>1378</v>
      </c>
      <c r="X39" s="11" t="s">
        <v>994</v>
      </c>
      <c r="Y39" s="11" t="s">
        <v>994</v>
      </c>
      <c r="Z39" s="11" t="s">
        <v>994</v>
      </c>
      <c r="AA39" s="11" t="s">
        <v>994</v>
      </c>
      <c r="AB39" s="11" t="s">
        <v>994</v>
      </c>
      <c r="AC39" s="11" t="s">
        <v>994</v>
      </c>
      <c r="AD39" s="11" t="s">
        <v>984</v>
      </c>
      <c r="AE39" s="11" t="s">
        <v>995</v>
      </c>
    </row>
    <row r="40">
      <c r="B40" s="26" t="s">
        <v>311</v>
      </c>
      <c r="C40" s="12" t="s">
        <v>1344</v>
      </c>
      <c r="D40" s="11" t="s">
        <v>355</v>
      </c>
      <c r="E40" s="11" t="s">
        <v>354</v>
      </c>
      <c r="F40" s="12" t="s">
        <v>311</v>
      </c>
      <c r="G40" s="12" t="s">
        <v>246</v>
      </c>
      <c r="H40" s="12" t="s">
        <v>246</v>
      </c>
      <c r="I40" s="12" t="s">
        <v>430</v>
      </c>
      <c r="J40" s="12" t="s">
        <v>71</v>
      </c>
      <c r="K40" s="12" t="s">
        <v>1023</v>
      </c>
      <c r="L40" s="12" t="s">
        <v>247</v>
      </c>
      <c r="M40" s="12" t="s">
        <v>994</v>
      </c>
      <c r="N40" s="13" t="s">
        <v>356</v>
      </c>
      <c r="O40" s="11" t="s">
        <v>118</v>
      </c>
      <c r="P40" s="11" t="s">
        <v>249</v>
      </c>
      <c r="Q40" s="11" t="s">
        <v>125</v>
      </c>
      <c r="R40" s="11" t="s">
        <v>150</v>
      </c>
      <c r="S40" s="11" t="s">
        <v>125</v>
      </c>
      <c r="T40" s="11" t="s">
        <v>125</v>
      </c>
      <c r="U40" s="11" t="s">
        <v>132</v>
      </c>
      <c r="V40" s="11" t="s">
        <v>1378</v>
      </c>
      <c r="W40" s="11" t="s">
        <v>994</v>
      </c>
      <c r="X40" s="11" t="s">
        <v>994</v>
      </c>
      <c r="Y40" s="11" t="s">
        <v>994</v>
      </c>
      <c r="Z40" s="11" t="s">
        <v>994</v>
      </c>
      <c r="AA40" s="11" t="s">
        <v>994</v>
      </c>
      <c r="AB40" s="11" t="s">
        <v>994</v>
      </c>
      <c r="AC40" s="11" t="s">
        <v>994</v>
      </c>
      <c r="AD40" s="11" t="s">
        <v>1214</v>
      </c>
      <c r="AE40" s="11" t="s">
        <v>995</v>
      </c>
    </row>
    <row r="41">
      <c r="B41" s="26" t="s">
        <v>291</v>
      </c>
      <c r="C41" s="12" t="s">
        <v>1345</v>
      </c>
      <c r="D41" s="11" t="s">
        <v>357</v>
      </c>
      <c r="E41" s="11" t="s">
        <v>354</v>
      </c>
      <c r="F41" s="12" t="s">
        <v>291</v>
      </c>
      <c r="G41" s="12" t="s">
        <v>246</v>
      </c>
      <c r="H41" s="12" t="s">
        <v>246</v>
      </c>
      <c r="I41" s="12" t="s">
        <v>430</v>
      </c>
      <c r="J41" s="12" t="s">
        <v>71</v>
      </c>
      <c r="K41" s="12" t="s">
        <v>1023</v>
      </c>
      <c r="L41" s="12" t="s">
        <v>247</v>
      </c>
      <c r="M41" s="12" t="s">
        <v>994</v>
      </c>
      <c r="N41" s="13" t="s">
        <v>358</v>
      </c>
      <c r="O41" s="11" t="s">
        <v>118</v>
      </c>
      <c r="P41" s="11" t="s">
        <v>249</v>
      </c>
      <c r="Q41" s="11" t="s">
        <v>125</v>
      </c>
      <c r="R41" s="11" t="s">
        <v>150</v>
      </c>
      <c r="S41" s="11" t="s">
        <v>125</v>
      </c>
      <c r="T41" s="11" t="s">
        <v>125</v>
      </c>
      <c r="U41" s="11" t="s">
        <v>29</v>
      </c>
      <c r="V41" s="11" t="s">
        <v>1378</v>
      </c>
      <c r="W41" s="11" t="s">
        <v>1776</v>
      </c>
      <c r="X41" s="11" t="s">
        <v>994</v>
      </c>
      <c r="Y41" s="11" t="s">
        <v>994</v>
      </c>
      <c r="Z41" s="11" t="s">
        <v>994</v>
      </c>
      <c r="AA41" s="11" t="s">
        <v>994</v>
      </c>
      <c r="AB41" s="11" t="s">
        <v>994</v>
      </c>
      <c r="AC41" s="11" t="s">
        <v>994</v>
      </c>
      <c r="AD41" s="11" t="s">
        <v>1158</v>
      </c>
      <c r="AE41" s="11" t="s">
        <v>995</v>
      </c>
    </row>
    <row r="42">
      <c r="B42" s="26" t="s">
        <v>49</v>
      </c>
      <c r="C42" s="12" t="s">
        <v>1346</v>
      </c>
      <c r="D42" s="11" t="s">
        <v>359</v>
      </c>
      <c r="E42" s="11" t="s">
        <v>360</v>
      </c>
      <c r="F42" s="12" t="s">
        <v>332</v>
      </c>
      <c r="G42" s="12" t="s">
        <v>246</v>
      </c>
      <c r="H42" s="12" t="s">
        <v>246</v>
      </c>
      <c r="I42" s="12" t="s">
        <v>37</v>
      </c>
      <c r="J42" s="12" t="s">
        <v>1018</v>
      </c>
      <c r="K42" s="12" t="s">
        <v>1024</v>
      </c>
      <c r="L42" s="12" t="s">
        <v>247</v>
      </c>
      <c r="M42" s="12" t="s">
        <v>994</v>
      </c>
      <c r="N42" s="13" t="s">
        <v>361</v>
      </c>
      <c r="O42" s="11" t="s">
        <v>118</v>
      </c>
      <c r="P42" s="11" t="s">
        <v>280</v>
      </c>
      <c r="Q42" s="11" t="s">
        <v>126</v>
      </c>
      <c r="R42" s="11" t="s">
        <v>143</v>
      </c>
      <c r="S42" s="11" t="s">
        <v>994</v>
      </c>
      <c r="T42" s="11" t="s">
        <v>125</v>
      </c>
      <c r="U42" s="11" t="s">
        <v>1016</v>
      </c>
      <c r="V42" s="11" t="s">
        <v>1758</v>
      </c>
      <c r="W42" s="11" t="s">
        <v>994</v>
      </c>
      <c r="X42" s="11" t="s">
        <v>994</v>
      </c>
      <c r="Y42" s="11" t="s">
        <v>994</v>
      </c>
      <c r="Z42" s="11" t="s">
        <v>1789</v>
      </c>
      <c r="AA42" s="11" t="s">
        <v>1789</v>
      </c>
      <c r="AB42" s="11" t="s">
        <v>30</v>
      </c>
      <c r="AC42" s="11" t="s">
        <v>1364</v>
      </c>
      <c r="AD42" s="11" t="s">
        <v>985</v>
      </c>
      <c r="AE42" s="11" t="s">
        <v>995</v>
      </c>
    </row>
    <row r="43">
      <c r="B43" s="26" t="s">
        <v>283</v>
      </c>
      <c r="C43" s="12" t="s">
        <v>1347</v>
      </c>
      <c r="D43" s="11" t="s">
        <v>362</v>
      </c>
      <c r="E43" s="11" t="s">
        <v>363</v>
      </c>
      <c r="F43" s="12" t="s">
        <v>283</v>
      </c>
      <c r="G43" s="12" t="s">
        <v>246</v>
      </c>
      <c r="H43" s="12" t="s">
        <v>246</v>
      </c>
      <c r="I43" s="12" t="s">
        <v>37</v>
      </c>
      <c r="J43" s="12" t="s">
        <v>1018</v>
      </c>
      <c r="K43" s="12" t="s">
        <v>1019</v>
      </c>
      <c r="L43" s="12" t="s">
        <v>247</v>
      </c>
      <c r="M43" s="12" t="s">
        <v>994</v>
      </c>
      <c r="N43" s="13" t="s">
        <v>364</v>
      </c>
      <c r="O43" s="11" t="s">
        <v>118</v>
      </c>
      <c r="P43" s="11" t="s">
        <v>280</v>
      </c>
      <c r="Q43" s="11" t="s">
        <v>125</v>
      </c>
      <c r="R43" s="11" t="s">
        <v>150</v>
      </c>
      <c r="S43" s="11" t="s">
        <v>125</v>
      </c>
      <c r="T43" s="11" t="s">
        <v>125</v>
      </c>
      <c r="U43" s="11" t="s">
        <v>132</v>
      </c>
      <c r="V43" s="11" t="s">
        <v>1378</v>
      </c>
      <c r="W43" s="11" t="s">
        <v>994</v>
      </c>
      <c r="X43" s="11" t="s">
        <v>994</v>
      </c>
      <c r="Y43" s="11" t="s">
        <v>994</v>
      </c>
      <c r="Z43" s="11" t="s">
        <v>994</v>
      </c>
      <c r="AA43" s="11" t="s">
        <v>994</v>
      </c>
      <c r="AB43" s="11" t="s">
        <v>994</v>
      </c>
      <c r="AC43" s="11" t="s">
        <v>994</v>
      </c>
      <c r="AD43" s="11" t="s">
        <v>1205</v>
      </c>
      <c r="AE43" s="11" t="s">
        <v>995</v>
      </c>
    </row>
    <row r="44">
      <c r="B44" s="26" t="s">
        <v>49</v>
      </c>
      <c r="C44" s="12" t="s">
        <v>1348</v>
      </c>
      <c r="D44" s="11" t="s">
        <v>959</v>
      </c>
      <c r="E44" s="11" t="s">
        <v>365</v>
      </c>
      <c r="F44" s="12" t="s">
        <v>49</v>
      </c>
      <c r="G44" s="12" t="s">
        <v>246</v>
      </c>
      <c r="H44" s="12" t="s">
        <v>246</v>
      </c>
      <c r="I44" s="12" t="s">
        <v>37</v>
      </c>
      <c r="J44" s="12" t="s">
        <v>1018</v>
      </c>
      <c r="K44" s="12" t="s">
        <v>1024</v>
      </c>
      <c r="L44" s="12" t="s">
        <v>247</v>
      </c>
      <c r="M44" s="12" t="s">
        <v>994</v>
      </c>
      <c r="N44" s="13" t="s">
        <v>366</v>
      </c>
      <c r="O44" s="11" t="s">
        <v>118</v>
      </c>
      <c r="P44" s="11" t="s">
        <v>323</v>
      </c>
      <c r="Q44" s="11" t="s">
        <v>126</v>
      </c>
      <c r="R44" s="11" t="s">
        <v>150</v>
      </c>
      <c r="S44" s="11" t="s">
        <v>126</v>
      </c>
      <c r="T44" s="11" t="s">
        <v>125</v>
      </c>
      <c r="U44" s="11" t="s">
        <v>1016</v>
      </c>
      <c r="V44" s="11" t="s">
        <v>1755</v>
      </c>
      <c r="W44" s="11" t="s">
        <v>994</v>
      </c>
      <c r="X44" s="11" t="s">
        <v>994</v>
      </c>
      <c r="Y44" s="11" t="s">
        <v>994</v>
      </c>
      <c r="Z44" s="11" t="s">
        <v>1790</v>
      </c>
      <c r="AA44" s="11" t="s">
        <v>1790</v>
      </c>
      <c r="AB44" s="11" t="s">
        <v>30</v>
      </c>
      <c r="AC44" s="11" t="s">
        <v>1416</v>
      </c>
      <c r="AD44" s="11" t="s">
        <v>958</v>
      </c>
      <c r="AE44" s="11" t="s">
        <v>995</v>
      </c>
    </row>
    <row r="45">
      <c r="B45" s="26" t="s">
        <v>49</v>
      </c>
      <c r="C45" s="12" t="s">
        <v>1349</v>
      </c>
      <c r="D45" s="11" t="s">
        <v>367</v>
      </c>
      <c r="E45" s="11" t="s">
        <v>368</v>
      </c>
      <c r="F45" s="12" t="s">
        <v>49</v>
      </c>
      <c r="G45" s="12" t="s">
        <v>246</v>
      </c>
      <c r="H45" s="12" t="s">
        <v>246</v>
      </c>
      <c r="I45" s="12" t="s">
        <v>37</v>
      </c>
      <c r="J45" s="12" t="s">
        <v>1018</v>
      </c>
      <c r="K45" s="12" t="s">
        <v>1024</v>
      </c>
      <c r="L45" s="12" t="s">
        <v>247</v>
      </c>
      <c r="M45" s="12" t="s">
        <v>994</v>
      </c>
      <c r="N45" s="13" t="s">
        <v>369</v>
      </c>
      <c r="O45" s="11" t="s">
        <v>118</v>
      </c>
      <c r="P45" s="11" t="s">
        <v>323</v>
      </c>
      <c r="Q45" s="11" t="s">
        <v>126</v>
      </c>
      <c r="R45" s="11" t="s">
        <v>150</v>
      </c>
      <c r="S45" s="11" t="s">
        <v>994</v>
      </c>
      <c r="T45" s="11" t="s">
        <v>126</v>
      </c>
      <c r="U45" s="11" t="s">
        <v>994</v>
      </c>
      <c r="V45" s="11" t="s">
        <v>994</v>
      </c>
      <c r="W45" s="11" t="s">
        <v>994</v>
      </c>
      <c r="X45" s="11" t="s">
        <v>994</v>
      </c>
      <c r="Y45" s="11" t="s">
        <v>994</v>
      </c>
      <c r="Z45" s="11" t="s">
        <v>994</v>
      </c>
      <c r="AA45" s="11" t="s">
        <v>994</v>
      </c>
      <c r="AB45" s="11" t="s">
        <v>994</v>
      </c>
      <c r="AC45" s="11" t="s">
        <v>994</v>
      </c>
      <c r="AD45" s="11" t="s">
        <v>1105</v>
      </c>
      <c r="AE45" s="11" t="s">
        <v>1804</v>
      </c>
    </row>
    <row r="46">
      <c r="B46" s="26" t="s">
        <v>49</v>
      </c>
      <c r="C46" s="12" t="s">
        <v>1350</v>
      </c>
      <c r="D46" s="11" t="s">
        <v>370</v>
      </c>
      <c r="E46" s="11" t="s">
        <v>371</v>
      </c>
      <c r="F46" s="12" t="s">
        <v>49</v>
      </c>
      <c r="G46" s="12" t="s">
        <v>246</v>
      </c>
      <c r="H46" s="12" t="s">
        <v>246</v>
      </c>
      <c r="I46" s="12" t="s">
        <v>37</v>
      </c>
      <c r="J46" s="12" t="s">
        <v>1018</v>
      </c>
      <c r="K46" s="12" t="s">
        <v>1019</v>
      </c>
      <c r="L46" s="12" t="s">
        <v>247</v>
      </c>
      <c r="M46" s="12" t="s">
        <v>994</v>
      </c>
      <c r="N46" s="13" t="s">
        <v>372</v>
      </c>
      <c r="O46" s="11" t="s">
        <v>118</v>
      </c>
      <c r="P46" s="11" t="s">
        <v>323</v>
      </c>
      <c r="Q46" s="11" t="s">
        <v>125</v>
      </c>
      <c r="R46" s="11" t="s">
        <v>150</v>
      </c>
      <c r="S46" s="11" t="s">
        <v>125</v>
      </c>
      <c r="T46" s="11" t="s">
        <v>125</v>
      </c>
      <c r="U46" s="11" t="s">
        <v>38</v>
      </c>
      <c r="V46" s="11" t="s">
        <v>1759</v>
      </c>
      <c r="W46" s="11" t="s">
        <v>1378</v>
      </c>
      <c r="X46" s="11" t="s">
        <v>994</v>
      </c>
      <c r="Y46" s="11" t="s">
        <v>994</v>
      </c>
      <c r="Z46" s="11" t="s">
        <v>994</v>
      </c>
      <c r="AA46" s="11" t="s">
        <v>994</v>
      </c>
      <c r="AB46" s="11" t="s">
        <v>994</v>
      </c>
      <c r="AC46" s="11" t="s">
        <v>994</v>
      </c>
      <c r="AD46" s="11" t="s">
        <v>1106</v>
      </c>
      <c r="AE46" s="11" t="s">
        <v>995</v>
      </c>
    </row>
    <row r="47">
      <c r="B47" s="26" t="s">
        <v>49</v>
      </c>
      <c r="C47" s="12" t="s">
        <v>1351</v>
      </c>
      <c r="D47" s="11" t="s">
        <v>1042</v>
      </c>
      <c r="E47" s="11" t="s">
        <v>373</v>
      </c>
      <c r="F47" s="12" t="s">
        <v>374</v>
      </c>
      <c r="G47" s="12" t="s">
        <v>246</v>
      </c>
      <c r="H47" s="12" t="s">
        <v>246</v>
      </c>
      <c r="I47" s="12" t="s">
        <v>37</v>
      </c>
      <c r="J47" s="12" t="s">
        <v>1018</v>
      </c>
      <c r="K47" s="12" t="s">
        <v>1024</v>
      </c>
      <c r="L47" s="12" t="s">
        <v>247</v>
      </c>
      <c r="M47" s="12" t="s">
        <v>994</v>
      </c>
      <c r="N47" s="13" t="s">
        <v>1079</v>
      </c>
      <c r="O47" s="11" t="s">
        <v>118</v>
      </c>
      <c r="P47" s="11" t="s">
        <v>323</v>
      </c>
      <c r="Q47" s="11" t="s">
        <v>125</v>
      </c>
      <c r="R47" s="11" t="s">
        <v>150</v>
      </c>
      <c r="S47" s="11" t="s">
        <v>125</v>
      </c>
      <c r="T47" s="11" t="s">
        <v>125</v>
      </c>
      <c r="U47" s="11" t="s">
        <v>38</v>
      </c>
      <c r="V47" s="11" t="s">
        <v>1755</v>
      </c>
      <c r="W47" s="11" t="s">
        <v>1760</v>
      </c>
      <c r="X47" s="11" t="s">
        <v>1378</v>
      </c>
      <c r="Y47" s="11" t="s">
        <v>994</v>
      </c>
      <c r="Z47" s="11" t="s">
        <v>994</v>
      </c>
      <c r="AA47" s="11" t="s">
        <v>994</v>
      </c>
      <c r="AB47" s="11" t="s">
        <v>994</v>
      </c>
      <c r="AC47" s="11" t="s">
        <v>994</v>
      </c>
      <c r="AD47" s="11" t="s">
        <v>1206</v>
      </c>
      <c r="AE47" s="11" t="s">
        <v>995</v>
      </c>
    </row>
    <row r="48">
      <c r="B48" s="26" t="s">
        <v>49</v>
      </c>
      <c r="C48" s="12" t="s">
        <v>1352</v>
      </c>
      <c r="D48" s="11" t="s">
        <v>375</v>
      </c>
      <c r="E48" s="11" t="s">
        <v>376</v>
      </c>
      <c r="F48" s="12" t="s">
        <v>377</v>
      </c>
      <c r="G48" s="12" t="s">
        <v>246</v>
      </c>
      <c r="H48" s="12" t="s">
        <v>246</v>
      </c>
      <c r="I48" s="12" t="s">
        <v>37</v>
      </c>
      <c r="J48" s="12" t="s">
        <v>1018</v>
      </c>
      <c r="K48" s="12" t="s">
        <v>1024</v>
      </c>
      <c r="L48" s="12" t="s">
        <v>247</v>
      </c>
      <c r="M48" s="12" t="s">
        <v>994</v>
      </c>
      <c r="N48" s="13" t="s">
        <v>378</v>
      </c>
      <c r="O48" s="11" t="s">
        <v>118</v>
      </c>
      <c r="P48" s="11" t="s">
        <v>323</v>
      </c>
      <c r="Q48" s="11" t="s">
        <v>125</v>
      </c>
      <c r="R48" s="11" t="s">
        <v>150</v>
      </c>
      <c r="S48" s="11" t="s">
        <v>125</v>
      </c>
      <c r="T48" s="11" t="s">
        <v>125</v>
      </c>
      <c r="U48" s="11" t="s">
        <v>38</v>
      </c>
      <c r="V48" s="11" t="s">
        <v>1378</v>
      </c>
      <c r="W48" s="11" t="s">
        <v>994</v>
      </c>
      <c r="X48" s="11" t="s">
        <v>994</v>
      </c>
      <c r="Y48" s="11" t="s">
        <v>994</v>
      </c>
      <c r="Z48" s="11" t="s">
        <v>994</v>
      </c>
      <c r="AA48" s="11" t="s">
        <v>994</v>
      </c>
      <c r="AB48" s="11" t="s">
        <v>994</v>
      </c>
      <c r="AC48" s="11" t="s">
        <v>994</v>
      </c>
      <c r="AD48" s="11" t="s">
        <v>1207</v>
      </c>
      <c r="AE48" s="11" t="s">
        <v>995</v>
      </c>
    </row>
    <row r="49">
      <c r="B49" s="26" t="s">
        <v>49</v>
      </c>
      <c r="C49" s="12" t="s">
        <v>1353</v>
      </c>
      <c r="D49" s="11" t="s">
        <v>1245</v>
      </c>
      <c r="E49" s="11" t="s">
        <v>379</v>
      </c>
      <c r="F49" s="12" t="s">
        <v>49</v>
      </c>
      <c r="G49" s="12" t="s">
        <v>246</v>
      </c>
      <c r="H49" s="12" t="s">
        <v>246</v>
      </c>
      <c r="I49" s="12" t="s">
        <v>37</v>
      </c>
      <c r="J49" s="12" t="s">
        <v>1018</v>
      </c>
      <c r="K49" s="12" t="s">
        <v>1019</v>
      </c>
      <c r="L49" s="12" t="s">
        <v>247</v>
      </c>
      <c r="M49" s="12" t="s">
        <v>994</v>
      </c>
      <c r="N49" s="13" t="s">
        <v>1080</v>
      </c>
      <c r="O49" s="11" t="s">
        <v>118</v>
      </c>
      <c r="P49" s="11" t="s">
        <v>323</v>
      </c>
      <c r="Q49" s="11" t="s">
        <v>125</v>
      </c>
      <c r="R49" s="11" t="s">
        <v>150</v>
      </c>
      <c r="S49" s="11" t="s">
        <v>125</v>
      </c>
      <c r="T49" s="11" t="s">
        <v>125</v>
      </c>
      <c r="U49" s="11" t="s">
        <v>1016</v>
      </c>
      <c r="V49" s="11" t="s">
        <v>1760</v>
      </c>
      <c r="W49" s="11" t="s">
        <v>1378</v>
      </c>
      <c r="X49" s="11" t="s">
        <v>994</v>
      </c>
      <c r="Y49" s="11" t="s">
        <v>994</v>
      </c>
      <c r="Z49" s="11" t="s">
        <v>1792</v>
      </c>
      <c r="AA49" s="11" t="s">
        <v>994</v>
      </c>
      <c r="AB49" s="11" t="s">
        <v>30</v>
      </c>
      <c r="AC49" s="11" t="s">
        <v>994</v>
      </c>
      <c r="AD49" s="11" t="s">
        <v>1208</v>
      </c>
      <c r="AE49" s="11" t="s">
        <v>995</v>
      </c>
    </row>
    <row r="50">
      <c r="B50" s="26" t="s">
        <v>308</v>
      </c>
      <c r="C50" s="12" t="s">
        <v>1354</v>
      </c>
      <c r="D50" s="11" t="s">
        <v>1288</v>
      </c>
      <c r="E50" s="11" t="s">
        <v>380</v>
      </c>
      <c r="F50" s="12" t="s">
        <v>308</v>
      </c>
      <c r="G50" s="12" t="s">
        <v>246</v>
      </c>
      <c r="H50" s="12" t="s">
        <v>246</v>
      </c>
      <c r="I50" s="12" t="s">
        <v>37</v>
      </c>
      <c r="J50" s="12" t="s">
        <v>1018</v>
      </c>
      <c r="K50" s="12" t="s">
        <v>1024</v>
      </c>
      <c r="L50" s="12" t="s">
        <v>247</v>
      </c>
      <c r="M50" s="12" t="s">
        <v>994</v>
      </c>
      <c r="N50" s="13" t="s">
        <v>1289</v>
      </c>
      <c r="O50" s="11" t="s">
        <v>118</v>
      </c>
      <c r="P50" s="11" t="s">
        <v>323</v>
      </c>
      <c r="Q50" s="11" t="s">
        <v>126</v>
      </c>
      <c r="R50" s="11" t="s">
        <v>150</v>
      </c>
      <c r="S50" s="11" t="s">
        <v>994</v>
      </c>
      <c r="T50" s="11" t="s">
        <v>126</v>
      </c>
      <c r="U50" s="11" t="s">
        <v>994</v>
      </c>
      <c r="V50" s="11" t="s">
        <v>994</v>
      </c>
      <c r="W50" s="11" t="s">
        <v>994</v>
      </c>
      <c r="X50" s="11" t="s">
        <v>994</v>
      </c>
      <c r="Y50" s="11" t="s">
        <v>994</v>
      </c>
      <c r="Z50" s="11" t="s">
        <v>994</v>
      </c>
      <c r="AA50" s="11" t="s">
        <v>994</v>
      </c>
      <c r="AB50" s="11" t="s">
        <v>994</v>
      </c>
      <c r="AC50" s="11" t="s">
        <v>994</v>
      </c>
      <c r="AD50" s="11" t="s">
        <v>994</v>
      </c>
      <c r="AE50" s="11" t="s">
        <v>1804</v>
      </c>
    </row>
    <row r="51">
      <c r="B51" s="26" t="s">
        <v>49</v>
      </c>
      <c r="C51" s="12" t="s">
        <v>1355</v>
      </c>
      <c r="D51" s="11" t="s">
        <v>381</v>
      </c>
      <c r="E51" s="11" t="s">
        <v>382</v>
      </c>
      <c r="F51" s="12" t="s">
        <v>49</v>
      </c>
      <c r="G51" s="12" t="s">
        <v>246</v>
      </c>
      <c r="H51" s="12" t="s">
        <v>246</v>
      </c>
      <c r="I51" s="12" t="s">
        <v>37</v>
      </c>
      <c r="J51" s="12" t="s">
        <v>1015</v>
      </c>
      <c r="K51" s="12" t="s">
        <v>118</v>
      </c>
      <c r="L51" s="12" t="s">
        <v>247</v>
      </c>
      <c r="M51" s="12" t="s">
        <v>994</v>
      </c>
      <c r="N51" s="13" t="s">
        <v>383</v>
      </c>
      <c r="O51" s="11" t="s">
        <v>118</v>
      </c>
      <c r="P51" s="11" t="s">
        <v>323</v>
      </c>
      <c r="Q51" s="11" t="s">
        <v>126</v>
      </c>
      <c r="R51" s="11" t="s">
        <v>150</v>
      </c>
      <c r="S51" s="11" t="s">
        <v>994</v>
      </c>
      <c r="T51" s="11" t="s">
        <v>125</v>
      </c>
      <c r="U51" s="11" t="s">
        <v>1016</v>
      </c>
      <c r="V51" s="11" t="s">
        <v>1758</v>
      </c>
      <c r="W51" s="11" t="s">
        <v>994</v>
      </c>
      <c r="X51" s="11" t="s">
        <v>994</v>
      </c>
      <c r="Y51" s="11" t="s">
        <v>994</v>
      </c>
      <c r="Z51" s="11" t="s">
        <v>1790</v>
      </c>
      <c r="AA51" s="11" t="s">
        <v>1790</v>
      </c>
      <c r="AB51" s="11" t="s">
        <v>30</v>
      </c>
      <c r="AC51" s="11" t="s">
        <v>1352</v>
      </c>
      <c r="AD51" s="11" t="s">
        <v>961</v>
      </c>
      <c r="AE51" s="11" t="s">
        <v>995</v>
      </c>
    </row>
    <row r="52">
      <c r="B52" s="26" t="s">
        <v>49</v>
      </c>
      <c r="C52" s="12" t="s">
        <v>1356</v>
      </c>
      <c r="D52" s="11" t="s">
        <v>384</v>
      </c>
      <c r="E52" s="11" t="s">
        <v>385</v>
      </c>
      <c r="F52" s="12" t="s">
        <v>286</v>
      </c>
      <c r="G52" s="12" t="s">
        <v>246</v>
      </c>
      <c r="H52" s="12" t="s">
        <v>246</v>
      </c>
      <c r="I52" s="12" t="s">
        <v>37</v>
      </c>
      <c r="J52" s="12" t="s">
        <v>1015</v>
      </c>
      <c r="K52" s="12" t="s">
        <v>118</v>
      </c>
      <c r="L52" s="12" t="s">
        <v>247</v>
      </c>
      <c r="M52" s="12" t="s">
        <v>994</v>
      </c>
      <c r="N52" s="13" t="s">
        <v>1713</v>
      </c>
      <c r="O52" s="11" t="s">
        <v>118</v>
      </c>
      <c r="P52" s="11" t="s">
        <v>280</v>
      </c>
      <c r="Q52" s="11" t="s">
        <v>126</v>
      </c>
      <c r="R52" s="11" t="s">
        <v>150</v>
      </c>
      <c r="S52" s="11" t="s">
        <v>994</v>
      </c>
      <c r="T52" s="11" t="s">
        <v>125</v>
      </c>
      <c r="U52" s="11" t="s">
        <v>38</v>
      </c>
      <c r="V52" s="11" t="s">
        <v>1758</v>
      </c>
      <c r="W52" s="11" t="s">
        <v>1764</v>
      </c>
      <c r="X52" s="11" t="s">
        <v>994</v>
      </c>
      <c r="Y52" s="11" t="s">
        <v>994</v>
      </c>
      <c r="Z52" s="11" t="s">
        <v>994</v>
      </c>
      <c r="AA52" s="11" t="s">
        <v>994</v>
      </c>
      <c r="AB52" s="11" t="s">
        <v>994</v>
      </c>
      <c r="AC52" s="11" t="s">
        <v>994</v>
      </c>
      <c r="AD52" s="11" t="s">
        <v>1253</v>
      </c>
      <c r="AE52" s="11" t="s">
        <v>995</v>
      </c>
    </row>
    <row r="53">
      <c r="B53" s="26" t="s">
        <v>49</v>
      </c>
      <c r="C53" s="12" t="s">
        <v>1357</v>
      </c>
      <c r="D53" s="11" t="s">
        <v>386</v>
      </c>
      <c r="E53" s="11" t="s">
        <v>385</v>
      </c>
      <c r="F53" s="12" t="s">
        <v>286</v>
      </c>
      <c r="G53" s="12" t="s">
        <v>246</v>
      </c>
      <c r="H53" s="12" t="s">
        <v>246</v>
      </c>
      <c r="I53" s="12" t="s">
        <v>37</v>
      </c>
      <c r="J53" s="12" t="s">
        <v>1015</v>
      </c>
      <c r="K53" s="12" t="s">
        <v>118</v>
      </c>
      <c r="L53" s="12" t="s">
        <v>247</v>
      </c>
      <c r="M53" s="12" t="s">
        <v>994</v>
      </c>
      <c r="N53" s="13" t="s">
        <v>1714</v>
      </c>
      <c r="O53" s="11" t="s">
        <v>118</v>
      </c>
      <c r="P53" s="11" t="s">
        <v>280</v>
      </c>
      <c r="Q53" s="11" t="s">
        <v>126</v>
      </c>
      <c r="R53" s="11" t="s">
        <v>150</v>
      </c>
      <c r="S53" s="11" t="s">
        <v>994</v>
      </c>
      <c r="T53" s="11" t="s">
        <v>125</v>
      </c>
      <c r="U53" s="11" t="s">
        <v>38</v>
      </c>
      <c r="V53" s="11" t="s">
        <v>1758</v>
      </c>
      <c r="W53" s="11" t="s">
        <v>1764</v>
      </c>
      <c r="X53" s="11" t="s">
        <v>994</v>
      </c>
      <c r="Y53" s="11" t="s">
        <v>994</v>
      </c>
      <c r="Z53" s="11" t="s">
        <v>994</v>
      </c>
      <c r="AA53" s="11" t="s">
        <v>994</v>
      </c>
      <c r="AB53" s="11" t="s">
        <v>994</v>
      </c>
      <c r="AC53" s="11" t="s">
        <v>994</v>
      </c>
      <c r="AD53" s="11" t="s">
        <v>960</v>
      </c>
      <c r="AE53" s="11" t="s">
        <v>995</v>
      </c>
    </row>
    <row r="54">
      <c r="B54" s="26" t="s">
        <v>49</v>
      </c>
      <c r="C54" s="12" t="s">
        <v>1358</v>
      </c>
      <c r="D54" s="11" t="s">
        <v>387</v>
      </c>
      <c r="E54" s="11" t="s">
        <v>388</v>
      </c>
      <c r="F54" s="12" t="s">
        <v>286</v>
      </c>
      <c r="G54" s="12" t="s">
        <v>246</v>
      </c>
      <c r="H54" s="12" t="s">
        <v>246</v>
      </c>
      <c r="I54" s="12" t="s">
        <v>37</v>
      </c>
      <c r="J54" s="12" t="s">
        <v>1018</v>
      </c>
      <c r="K54" s="12" t="s">
        <v>1024</v>
      </c>
      <c r="L54" s="12" t="s">
        <v>247</v>
      </c>
      <c r="M54" s="12" t="s">
        <v>994</v>
      </c>
      <c r="N54" s="13" t="s">
        <v>389</v>
      </c>
      <c r="O54" s="11" t="s">
        <v>118</v>
      </c>
      <c r="P54" s="11" t="s">
        <v>323</v>
      </c>
      <c r="Q54" s="11" t="s">
        <v>125</v>
      </c>
      <c r="R54" s="11" t="s">
        <v>150</v>
      </c>
      <c r="S54" s="11" t="s">
        <v>125</v>
      </c>
      <c r="T54" s="11" t="s">
        <v>125</v>
      </c>
      <c r="U54" s="11" t="s">
        <v>38</v>
      </c>
      <c r="V54" s="11" t="s">
        <v>1378</v>
      </c>
      <c r="W54" s="11" t="s">
        <v>994</v>
      </c>
      <c r="X54" s="11" t="s">
        <v>994</v>
      </c>
      <c r="Y54" s="11" t="s">
        <v>994</v>
      </c>
      <c r="Z54" s="11" t="s">
        <v>994</v>
      </c>
      <c r="AA54" s="11" t="s">
        <v>994</v>
      </c>
      <c r="AB54" s="11" t="s">
        <v>994</v>
      </c>
      <c r="AC54" s="11" t="s">
        <v>994</v>
      </c>
      <c r="AD54" s="11" t="s">
        <v>994</v>
      </c>
      <c r="AE54" s="11" t="s">
        <v>995</v>
      </c>
    </row>
    <row r="55">
      <c r="B55" s="26" t="s">
        <v>49</v>
      </c>
      <c r="C55" s="12" t="s">
        <v>1359</v>
      </c>
      <c r="D55" s="11" t="s">
        <v>130</v>
      </c>
      <c r="E55" s="11" t="s">
        <v>390</v>
      </c>
      <c r="F55" s="12" t="s">
        <v>286</v>
      </c>
      <c r="G55" s="12" t="s">
        <v>246</v>
      </c>
      <c r="H55" s="12" t="s">
        <v>246</v>
      </c>
      <c r="I55" s="12" t="s">
        <v>37</v>
      </c>
      <c r="J55" s="12" t="s">
        <v>1015</v>
      </c>
      <c r="K55" s="12" t="s">
        <v>118</v>
      </c>
      <c r="L55" s="12" t="s">
        <v>247</v>
      </c>
      <c r="M55" s="12" t="s">
        <v>994</v>
      </c>
      <c r="N55" s="13" t="s">
        <v>391</v>
      </c>
      <c r="O55" s="11" t="s">
        <v>118</v>
      </c>
      <c r="P55" s="11" t="s">
        <v>323</v>
      </c>
      <c r="Q55" s="11" t="s">
        <v>126</v>
      </c>
      <c r="R55" s="11" t="s">
        <v>150</v>
      </c>
      <c r="S55" s="11" t="s">
        <v>994</v>
      </c>
      <c r="T55" s="11" t="s">
        <v>126</v>
      </c>
      <c r="U55" s="11" t="s">
        <v>994</v>
      </c>
      <c r="V55" s="11" t="s">
        <v>994</v>
      </c>
      <c r="W55" s="11" t="s">
        <v>994</v>
      </c>
      <c r="X55" s="11" t="s">
        <v>994</v>
      </c>
      <c r="Y55" s="11" t="s">
        <v>994</v>
      </c>
      <c r="Z55" s="11" t="s">
        <v>994</v>
      </c>
      <c r="AA55" s="11" t="s">
        <v>994</v>
      </c>
      <c r="AB55" s="11" t="s">
        <v>994</v>
      </c>
      <c r="AC55" s="11" t="s">
        <v>994</v>
      </c>
      <c r="AD55" s="11" t="s">
        <v>994</v>
      </c>
      <c r="AE55" s="11" t="s">
        <v>1804</v>
      </c>
    </row>
    <row r="56">
      <c r="B56" s="26" t="s">
        <v>295</v>
      </c>
      <c r="C56" s="12" t="s">
        <v>1360</v>
      </c>
      <c r="D56" s="11" t="s">
        <v>395</v>
      </c>
      <c r="E56" s="11" t="s">
        <v>396</v>
      </c>
      <c r="F56" s="12" t="s">
        <v>295</v>
      </c>
      <c r="G56" s="12" t="s">
        <v>246</v>
      </c>
      <c r="H56" s="12" t="s">
        <v>246</v>
      </c>
      <c r="I56" s="12" t="s">
        <v>37</v>
      </c>
      <c r="J56" s="12" t="s">
        <v>1018</v>
      </c>
      <c r="K56" s="12" t="s">
        <v>1019</v>
      </c>
      <c r="L56" s="12" t="s">
        <v>247</v>
      </c>
      <c r="M56" s="12" t="s">
        <v>994</v>
      </c>
      <c r="N56" s="13" t="s">
        <v>962</v>
      </c>
      <c r="O56" s="11" t="s">
        <v>118</v>
      </c>
      <c r="P56" s="11" t="s">
        <v>323</v>
      </c>
      <c r="Q56" s="11" t="s">
        <v>125</v>
      </c>
      <c r="R56" s="11" t="s">
        <v>150</v>
      </c>
      <c r="S56" s="11" t="s">
        <v>125</v>
      </c>
      <c r="T56" s="11" t="s">
        <v>125</v>
      </c>
      <c r="U56" s="11" t="s">
        <v>38</v>
      </c>
      <c r="V56" s="11" t="s">
        <v>1758</v>
      </c>
      <c r="W56" s="11" t="s">
        <v>1762</v>
      </c>
      <c r="X56" s="11" t="s">
        <v>1378</v>
      </c>
      <c r="Y56" s="11" t="s">
        <v>1777</v>
      </c>
      <c r="Z56" s="11" t="s">
        <v>994</v>
      </c>
      <c r="AA56" s="11" t="s">
        <v>994</v>
      </c>
      <c r="AB56" s="11" t="s">
        <v>994</v>
      </c>
      <c r="AC56" s="11" t="s">
        <v>994</v>
      </c>
      <c r="AD56" s="11" t="s">
        <v>963</v>
      </c>
      <c r="AE56" s="11" t="s">
        <v>995</v>
      </c>
    </row>
    <row r="57">
      <c r="B57" s="26" t="s">
        <v>314</v>
      </c>
      <c r="C57" s="12" t="s">
        <v>1361</v>
      </c>
      <c r="D57" s="11" t="s">
        <v>1001</v>
      </c>
      <c r="E57" s="11" t="s">
        <v>397</v>
      </c>
      <c r="F57" s="12" t="s">
        <v>314</v>
      </c>
      <c r="G57" s="12" t="s">
        <v>246</v>
      </c>
      <c r="H57" s="12" t="s">
        <v>246</v>
      </c>
      <c r="I57" s="12" t="s">
        <v>37</v>
      </c>
      <c r="J57" s="12" t="s">
        <v>1018</v>
      </c>
      <c r="K57" s="12" t="s">
        <v>1019</v>
      </c>
      <c r="L57" s="12" t="s">
        <v>247</v>
      </c>
      <c r="M57" s="12" t="s">
        <v>994</v>
      </c>
      <c r="N57" s="13" t="s">
        <v>398</v>
      </c>
      <c r="O57" s="11" t="s">
        <v>118</v>
      </c>
      <c r="P57" s="11" t="s">
        <v>280</v>
      </c>
      <c r="Q57" s="11" t="s">
        <v>126</v>
      </c>
      <c r="R57" s="11" t="s">
        <v>150</v>
      </c>
      <c r="S57" s="11" t="s">
        <v>994</v>
      </c>
      <c r="T57" s="11" t="s">
        <v>125</v>
      </c>
      <c r="U57" s="11" t="s">
        <v>1016</v>
      </c>
      <c r="V57" s="11" t="s">
        <v>1758</v>
      </c>
      <c r="W57" s="11" t="s">
        <v>1759</v>
      </c>
      <c r="X57" s="11" t="s">
        <v>1782</v>
      </c>
      <c r="Y57" s="11" t="s">
        <v>994</v>
      </c>
      <c r="Z57" s="11" t="s">
        <v>1793</v>
      </c>
      <c r="AA57" s="11" t="s">
        <v>1793</v>
      </c>
      <c r="AB57" s="11" t="s">
        <v>30</v>
      </c>
      <c r="AC57" s="11" t="s">
        <v>1367</v>
      </c>
      <c r="AD57" s="11" t="s">
        <v>980</v>
      </c>
      <c r="AE57" s="11" t="s">
        <v>995</v>
      </c>
    </row>
    <row r="58">
      <c r="B58" s="26" t="s">
        <v>283</v>
      </c>
      <c r="C58" s="12" t="s">
        <v>1362</v>
      </c>
      <c r="D58" s="11" t="s">
        <v>402</v>
      </c>
      <c r="E58" s="11" t="s">
        <v>403</v>
      </c>
      <c r="F58" s="12" t="s">
        <v>283</v>
      </c>
      <c r="G58" s="12" t="s">
        <v>246</v>
      </c>
      <c r="H58" s="12" t="s">
        <v>246</v>
      </c>
      <c r="I58" s="12" t="s">
        <v>37</v>
      </c>
      <c r="J58" s="12" t="s">
        <v>1018</v>
      </c>
      <c r="K58" s="12" t="s">
        <v>1019</v>
      </c>
      <c r="L58" s="12" t="s">
        <v>247</v>
      </c>
      <c r="M58" s="12" t="s">
        <v>994</v>
      </c>
      <c r="N58" s="13" t="s">
        <v>404</v>
      </c>
      <c r="O58" s="11" t="s">
        <v>118</v>
      </c>
      <c r="P58" s="11" t="s">
        <v>323</v>
      </c>
      <c r="Q58" s="11" t="s">
        <v>125</v>
      </c>
      <c r="R58" s="11" t="s">
        <v>150</v>
      </c>
      <c r="S58" s="11" t="s">
        <v>125</v>
      </c>
      <c r="T58" s="11" t="s">
        <v>125</v>
      </c>
      <c r="U58" s="11" t="s">
        <v>38</v>
      </c>
      <c r="V58" s="11" t="s">
        <v>1378</v>
      </c>
      <c r="W58" s="11" t="s">
        <v>994</v>
      </c>
      <c r="X58" s="11" t="s">
        <v>994</v>
      </c>
      <c r="Y58" s="11" t="s">
        <v>994</v>
      </c>
      <c r="Z58" s="11" t="s">
        <v>994</v>
      </c>
      <c r="AA58" s="11" t="s">
        <v>994</v>
      </c>
      <c r="AB58" s="11" t="s">
        <v>994</v>
      </c>
      <c r="AC58" s="11" t="s">
        <v>994</v>
      </c>
      <c r="AD58" s="11" t="s">
        <v>994</v>
      </c>
      <c r="AE58" s="11" t="s">
        <v>995</v>
      </c>
    </row>
    <row r="59">
      <c r="B59" s="26" t="s">
        <v>49</v>
      </c>
      <c r="C59" s="12" t="s">
        <v>1363</v>
      </c>
      <c r="D59" s="11" t="s">
        <v>405</v>
      </c>
      <c r="E59" s="11" t="s">
        <v>406</v>
      </c>
      <c r="F59" s="12" t="s">
        <v>407</v>
      </c>
      <c r="G59" s="12" t="s">
        <v>246</v>
      </c>
      <c r="H59" s="12" t="s">
        <v>246</v>
      </c>
      <c r="I59" s="12" t="s">
        <v>37</v>
      </c>
      <c r="J59" s="12" t="s">
        <v>1018</v>
      </c>
      <c r="K59" s="12" t="s">
        <v>1019</v>
      </c>
      <c r="L59" s="12" t="s">
        <v>247</v>
      </c>
      <c r="M59" s="12" t="s">
        <v>994</v>
      </c>
      <c r="N59" s="13" t="s">
        <v>408</v>
      </c>
      <c r="O59" s="11" t="s">
        <v>118</v>
      </c>
      <c r="P59" s="11" t="s">
        <v>323</v>
      </c>
      <c r="Q59" s="11" t="s">
        <v>126</v>
      </c>
      <c r="R59" s="11" t="s">
        <v>150</v>
      </c>
      <c r="S59" s="11" t="s">
        <v>994</v>
      </c>
      <c r="T59" s="11" t="s">
        <v>126</v>
      </c>
      <c r="U59" s="11" t="s">
        <v>994</v>
      </c>
      <c r="V59" s="11" t="s">
        <v>994</v>
      </c>
      <c r="W59" s="11" t="s">
        <v>994</v>
      </c>
      <c r="X59" s="11" t="s">
        <v>994</v>
      </c>
      <c r="Y59" s="11" t="s">
        <v>994</v>
      </c>
      <c r="Z59" s="11" t="s">
        <v>994</v>
      </c>
      <c r="AA59" s="11" t="s">
        <v>994</v>
      </c>
      <c r="AB59" s="11" t="s">
        <v>994</v>
      </c>
      <c r="AC59" s="11" t="s">
        <v>994</v>
      </c>
      <c r="AD59" s="11" t="s">
        <v>994</v>
      </c>
      <c r="AE59" s="11" t="s">
        <v>1804</v>
      </c>
    </row>
    <row r="60">
      <c r="B60" s="26" t="s">
        <v>49</v>
      </c>
      <c r="C60" s="12" t="s">
        <v>1364</v>
      </c>
      <c r="D60" s="11" t="s">
        <v>409</v>
      </c>
      <c r="E60" s="11" t="s">
        <v>410</v>
      </c>
      <c r="F60" s="12" t="s">
        <v>411</v>
      </c>
      <c r="G60" s="12" t="s">
        <v>246</v>
      </c>
      <c r="H60" s="12" t="s">
        <v>246</v>
      </c>
      <c r="I60" s="12" t="s">
        <v>37</v>
      </c>
      <c r="J60" s="12" t="s">
        <v>1018</v>
      </c>
      <c r="K60" s="12" t="s">
        <v>1024</v>
      </c>
      <c r="L60" s="12" t="s">
        <v>247</v>
      </c>
      <c r="M60" s="12" t="s">
        <v>994</v>
      </c>
      <c r="N60" s="13" t="s">
        <v>1155</v>
      </c>
      <c r="O60" s="11" t="s">
        <v>118</v>
      </c>
      <c r="P60" s="11" t="s">
        <v>323</v>
      </c>
      <c r="Q60" s="11" t="s">
        <v>126</v>
      </c>
      <c r="R60" s="11" t="s">
        <v>150</v>
      </c>
      <c r="S60" s="11" t="s">
        <v>994</v>
      </c>
      <c r="T60" s="11" t="s">
        <v>126</v>
      </c>
      <c r="U60" s="11" t="s">
        <v>994</v>
      </c>
      <c r="V60" s="11" t="s">
        <v>994</v>
      </c>
      <c r="W60" s="11" t="s">
        <v>994</v>
      </c>
      <c r="X60" s="11" t="s">
        <v>994</v>
      </c>
      <c r="Y60" s="11" t="s">
        <v>994</v>
      </c>
      <c r="Z60" s="11" t="s">
        <v>994</v>
      </c>
      <c r="AA60" s="11" t="s">
        <v>994</v>
      </c>
      <c r="AB60" s="11" t="s">
        <v>994</v>
      </c>
      <c r="AC60" s="11" t="s">
        <v>994</v>
      </c>
      <c r="AD60" s="11" t="s">
        <v>994</v>
      </c>
      <c r="AE60" s="11" t="s">
        <v>1804</v>
      </c>
    </row>
    <row r="61">
      <c r="B61" s="26" t="s">
        <v>308</v>
      </c>
      <c r="C61" s="12" t="s">
        <v>1365</v>
      </c>
      <c r="D61" s="11" t="s">
        <v>414</v>
      </c>
      <c r="E61" s="11" t="s">
        <v>415</v>
      </c>
      <c r="F61" s="12" t="s">
        <v>308</v>
      </c>
      <c r="G61" s="12" t="s">
        <v>246</v>
      </c>
      <c r="H61" s="12" t="s">
        <v>246</v>
      </c>
      <c r="I61" s="12" t="s">
        <v>60</v>
      </c>
      <c r="J61" s="12" t="s">
        <v>1029</v>
      </c>
      <c r="K61" s="12" t="s">
        <v>118</v>
      </c>
      <c r="L61" s="12" t="s">
        <v>247</v>
      </c>
      <c r="M61" s="12" t="s">
        <v>994</v>
      </c>
      <c r="N61" s="13" t="s">
        <v>417</v>
      </c>
      <c r="O61" s="11" t="s">
        <v>118</v>
      </c>
      <c r="P61" s="11" t="s">
        <v>323</v>
      </c>
      <c r="Q61" s="11" t="s">
        <v>126</v>
      </c>
      <c r="R61" s="11" t="s">
        <v>150</v>
      </c>
      <c r="S61" s="11" t="s">
        <v>994</v>
      </c>
      <c r="T61" s="11" t="s">
        <v>125</v>
      </c>
      <c r="U61" s="11" t="s">
        <v>1016</v>
      </c>
      <c r="V61" s="11" t="s">
        <v>1758</v>
      </c>
      <c r="W61" s="11" t="s">
        <v>1761</v>
      </c>
      <c r="X61" s="11" t="s">
        <v>994</v>
      </c>
      <c r="Y61" s="11" t="s">
        <v>994</v>
      </c>
      <c r="Z61" s="11" t="s">
        <v>1794</v>
      </c>
      <c r="AA61" s="11" t="s">
        <v>1794</v>
      </c>
      <c r="AB61" s="11" t="s">
        <v>30</v>
      </c>
      <c r="AC61" s="11" t="s">
        <v>1343</v>
      </c>
      <c r="AD61" s="11" t="s">
        <v>964</v>
      </c>
      <c r="AE61" s="11" t="s">
        <v>995</v>
      </c>
    </row>
    <row r="62">
      <c r="B62" s="26" t="s">
        <v>283</v>
      </c>
      <c r="C62" s="12" t="s">
        <v>1366</v>
      </c>
      <c r="D62" s="11" t="s">
        <v>418</v>
      </c>
      <c r="E62" s="11" t="s">
        <v>415</v>
      </c>
      <c r="F62" s="12" t="s">
        <v>283</v>
      </c>
      <c r="G62" s="12" t="s">
        <v>246</v>
      </c>
      <c r="H62" s="12" t="s">
        <v>246</v>
      </c>
      <c r="I62" s="12" t="s">
        <v>37</v>
      </c>
      <c r="J62" s="12" t="s">
        <v>1015</v>
      </c>
      <c r="K62" s="12" t="s">
        <v>118</v>
      </c>
      <c r="L62" s="12" t="s">
        <v>247</v>
      </c>
      <c r="M62" s="12" t="s">
        <v>994</v>
      </c>
      <c r="N62" s="13" t="s">
        <v>420</v>
      </c>
      <c r="O62" s="11" t="s">
        <v>118</v>
      </c>
      <c r="P62" s="11" t="s">
        <v>323</v>
      </c>
      <c r="Q62" s="11" t="s">
        <v>126</v>
      </c>
      <c r="R62" s="11" t="s">
        <v>150</v>
      </c>
      <c r="S62" s="11" t="s">
        <v>994</v>
      </c>
      <c r="T62" s="11" t="s">
        <v>125</v>
      </c>
      <c r="U62" s="11" t="s">
        <v>1016</v>
      </c>
      <c r="V62" s="11" t="s">
        <v>1761</v>
      </c>
      <c r="W62" s="11" t="s">
        <v>994</v>
      </c>
      <c r="X62" s="11" t="s">
        <v>994</v>
      </c>
      <c r="Y62" s="11" t="s">
        <v>994</v>
      </c>
      <c r="Z62" s="11" t="s">
        <v>1795</v>
      </c>
      <c r="AA62" s="11" t="s">
        <v>994</v>
      </c>
      <c r="AB62" s="11" t="s">
        <v>30</v>
      </c>
      <c r="AC62" s="11" t="s">
        <v>1351</v>
      </c>
      <c r="AD62" s="11" t="s">
        <v>1159</v>
      </c>
      <c r="AE62" s="11" t="s">
        <v>995</v>
      </c>
    </row>
    <row r="63">
      <c r="B63" s="26" t="s">
        <v>278</v>
      </c>
      <c r="C63" s="12" t="s">
        <v>1367</v>
      </c>
      <c r="D63" s="11" t="s">
        <v>421</v>
      </c>
      <c r="E63" s="11" t="s">
        <v>415</v>
      </c>
      <c r="F63" s="12" t="s">
        <v>278</v>
      </c>
      <c r="G63" s="12" t="s">
        <v>246</v>
      </c>
      <c r="H63" s="12" t="s">
        <v>246</v>
      </c>
      <c r="I63" s="12" t="s">
        <v>37</v>
      </c>
      <c r="J63" s="12" t="s">
        <v>1015</v>
      </c>
      <c r="K63" s="12" t="s">
        <v>118</v>
      </c>
      <c r="L63" s="12" t="s">
        <v>247</v>
      </c>
      <c r="M63" s="12" t="s">
        <v>994</v>
      </c>
      <c r="N63" s="13" t="s">
        <v>422</v>
      </c>
      <c r="O63" s="11" t="s">
        <v>118</v>
      </c>
      <c r="P63" s="11" t="s">
        <v>323</v>
      </c>
      <c r="Q63" s="11" t="s">
        <v>125</v>
      </c>
      <c r="R63" s="11" t="s">
        <v>150</v>
      </c>
      <c r="S63" s="11" t="s">
        <v>994</v>
      </c>
      <c r="T63" s="11" t="s">
        <v>125</v>
      </c>
      <c r="U63" s="11" t="s">
        <v>38</v>
      </c>
      <c r="V63" s="11" t="s">
        <v>994</v>
      </c>
      <c r="W63" s="11" t="s">
        <v>994</v>
      </c>
      <c r="X63" s="11" t="s">
        <v>994</v>
      </c>
      <c r="Y63" s="11" t="s">
        <v>994</v>
      </c>
      <c r="Z63" s="11" t="s">
        <v>994</v>
      </c>
      <c r="AA63" s="11" t="s">
        <v>994</v>
      </c>
      <c r="AB63" s="11" t="s">
        <v>994</v>
      </c>
      <c r="AC63" s="11" t="s">
        <v>994</v>
      </c>
      <c r="AD63" s="11" t="s">
        <v>994</v>
      </c>
      <c r="AE63" s="11" t="s">
        <v>995</v>
      </c>
    </row>
    <row r="64">
      <c r="B64" s="26" t="s">
        <v>49</v>
      </c>
      <c r="C64" s="12" t="s">
        <v>1368</v>
      </c>
      <c r="D64" s="11" t="s">
        <v>423</v>
      </c>
      <c r="E64" s="11" t="s">
        <v>415</v>
      </c>
      <c r="F64" s="12" t="s">
        <v>424</v>
      </c>
      <c r="G64" s="12" t="s">
        <v>246</v>
      </c>
      <c r="H64" s="12" t="s">
        <v>246</v>
      </c>
      <c r="I64" s="12" t="s">
        <v>60</v>
      </c>
      <c r="J64" s="12" t="s">
        <v>1029</v>
      </c>
      <c r="K64" s="12" t="s">
        <v>118</v>
      </c>
      <c r="L64" s="12" t="s">
        <v>247</v>
      </c>
      <c r="M64" s="12" t="s">
        <v>994</v>
      </c>
      <c r="N64" s="13" t="s">
        <v>425</v>
      </c>
      <c r="O64" s="11" t="s">
        <v>118</v>
      </c>
      <c r="P64" s="11" t="s">
        <v>323</v>
      </c>
      <c r="Q64" s="11" t="s">
        <v>125</v>
      </c>
      <c r="R64" s="11" t="s">
        <v>150</v>
      </c>
      <c r="S64" s="11" t="s">
        <v>125</v>
      </c>
      <c r="T64" s="11" t="s">
        <v>125</v>
      </c>
      <c r="U64" s="11" t="s">
        <v>38</v>
      </c>
      <c r="V64" s="11" t="s">
        <v>994</v>
      </c>
      <c r="W64" s="11" t="s">
        <v>994</v>
      </c>
      <c r="X64" s="11" t="s">
        <v>994</v>
      </c>
      <c r="Y64" s="11" t="s">
        <v>994</v>
      </c>
      <c r="Z64" s="11" t="s">
        <v>994</v>
      </c>
      <c r="AA64" s="11" t="s">
        <v>994</v>
      </c>
      <c r="AB64" s="11" t="s">
        <v>994</v>
      </c>
      <c r="AC64" s="11" t="s">
        <v>994</v>
      </c>
      <c r="AD64" s="11" t="s">
        <v>994</v>
      </c>
      <c r="AE64" s="11" t="s">
        <v>995</v>
      </c>
    </row>
    <row r="65">
      <c r="B65" s="26" t="s">
        <v>295</v>
      </c>
      <c r="C65" s="12" t="s">
        <v>1369</v>
      </c>
      <c r="D65" s="11" t="s">
        <v>426</v>
      </c>
      <c r="E65" s="11" t="s">
        <v>415</v>
      </c>
      <c r="F65" s="12" t="s">
        <v>295</v>
      </c>
      <c r="G65" s="12" t="s">
        <v>246</v>
      </c>
      <c r="H65" s="12" t="s">
        <v>246</v>
      </c>
      <c r="I65" s="12" t="s">
        <v>37</v>
      </c>
      <c r="J65" s="12" t="s">
        <v>1029</v>
      </c>
      <c r="K65" s="12" t="s">
        <v>118</v>
      </c>
      <c r="L65" s="12" t="s">
        <v>247</v>
      </c>
      <c r="M65" s="12" t="s">
        <v>994</v>
      </c>
      <c r="N65" s="13" t="s">
        <v>427</v>
      </c>
      <c r="O65" s="11" t="s">
        <v>118</v>
      </c>
      <c r="P65" s="11" t="s">
        <v>323</v>
      </c>
      <c r="Q65" s="11" t="s">
        <v>126</v>
      </c>
      <c r="R65" s="11" t="s">
        <v>150</v>
      </c>
      <c r="S65" s="11" t="s">
        <v>994</v>
      </c>
      <c r="T65" s="11" t="s">
        <v>126</v>
      </c>
      <c r="U65" s="11" t="s">
        <v>994</v>
      </c>
      <c r="V65" s="11" t="s">
        <v>994</v>
      </c>
      <c r="W65" s="11" t="s">
        <v>994</v>
      </c>
      <c r="X65" s="11" t="s">
        <v>994</v>
      </c>
      <c r="Y65" s="11" t="s">
        <v>994</v>
      </c>
      <c r="Z65" s="11" t="s">
        <v>994</v>
      </c>
      <c r="AA65" s="11" t="s">
        <v>994</v>
      </c>
      <c r="AB65" s="11" t="s">
        <v>994</v>
      </c>
      <c r="AC65" s="11" t="s">
        <v>994</v>
      </c>
      <c r="AD65" s="11" t="s">
        <v>994</v>
      </c>
      <c r="AE65" s="11" t="s">
        <v>1804</v>
      </c>
    </row>
    <row r="66">
      <c r="B66" s="26" t="s">
        <v>295</v>
      </c>
      <c r="C66" s="12" t="s">
        <v>1370</v>
      </c>
      <c r="D66" s="11" t="s">
        <v>428</v>
      </c>
      <c r="E66" s="11" t="s">
        <v>429</v>
      </c>
      <c r="F66" s="12" t="s">
        <v>295</v>
      </c>
      <c r="G66" s="12" t="s">
        <v>246</v>
      </c>
      <c r="H66" s="12" t="s">
        <v>246</v>
      </c>
      <c r="I66" s="12" t="s">
        <v>430</v>
      </c>
      <c r="J66" s="12" t="s">
        <v>20</v>
      </c>
      <c r="K66" s="12" t="s">
        <v>1025</v>
      </c>
      <c r="L66" s="12" t="s">
        <v>247</v>
      </c>
      <c r="M66" s="12" t="s">
        <v>994</v>
      </c>
      <c r="N66" s="13" t="s">
        <v>431</v>
      </c>
      <c r="O66" s="11" t="s">
        <v>432</v>
      </c>
      <c r="P66" s="11" t="s">
        <v>433</v>
      </c>
      <c r="Q66" s="11" t="s">
        <v>125</v>
      </c>
      <c r="R66" s="11" t="s">
        <v>150</v>
      </c>
      <c r="S66" s="11" t="s">
        <v>994</v>
      </c>
      <c r="T66" s="11" t="s">
        <v>125</v>
      </c>
      <c r="U66" s="11" t="s">
        <v>38</v>
      </c>
      <c r="V66" s="11" t="s">
        <v>1758</v>
      </c>
      <c r="W66" s="11" t="s">
        <v>1777</v>
      </c>
      <c r="X66" s="11" t="s">
        <v>994</v>
      </c>
      <c r="Y66" s="11" t="s">
        <v>994</v>
      </c>
      <c r="Z66" s="11" t="s">
        <v>994</v>
      </c>
      <c r="AA66" s="11" t="s">
        <v>994</v>
      </c>
      <c r="AB66" s="11" t="s">
        <v>994</v>
      </c>
      <c r="AC66" s="11" t="s">
        <v>994</v>
      </c>
      <c r="AD66" s="11" t="s">
        <v>1254</v>
      </c>
      <c r="AE66" s="11" t="s">
        <v>995</v>
      </c>
    </row>
    <row r="67">
      <c r="B67" s="26" t="s">
        <v>49</v>
      </c>
      <c r="C67" s="12" t="s">
        <v>1371</v>
      </c>
      <c r="D67" s="11" t="s">
        <v>434</v>
      </c>
      <c r="E67" s="11" t="s">
        <v>429</v>
      </c>
      <c r="F67" s="12" t="s">
        <v>435</v>
      </c>
      <c r="G67" s="12" t="s">
        <v>246</v>
      </c>
      <c r="H67" s="12" t="s">
        <v>246</v>
      </c>
      <c r="I67" s="12" t="s">
        <v>430</v>
      </c>
      <c r="J67" s="12" t="s">
        <v>20</v>
      </c>
      <c r="K67" s="12" t="s">
        <v>1026</v>
      </c>
      <c r="L67" s="12" t="s">
        <v>247</v>
      </c>
      <c r="M67" s="12" t="s">
        <v>994</v>
      </c>
      <c r="N67" s="13" t="s">
        <v>436</v>
      </c>
      <c r="O67" s="11" t="s">
        <v>432</v>
      </c>
      <c r="P67" s="11" t="s">
        <v>433</v>
      </c>
      <c r="Q67" s="11" t="s">
        <v>125</v>
      </c>
      <c r="R67" s="11" t="s">
        <v>150</v>
      </c>
      <c r="S67" s="11" t="s">
        <v>125</v>
      </c>
      <c r="T67" s="11" t="s">
        <v>125</v>
      </c>
      <c r="U67" s="11" t="s">
        <v>38</v>
      </c>
      <c r="V67" s="11" t="s">
        <v>1378</v>
      </c>
      <c r="W67" s="11" t="s">
        <v>994</v>
      </c>
      <c r="X67" s="11" t="s">
        <v>994</v>
      </c>
      <c r="Y67" s="11" t="s">
        <v>994</v>
      </c>
      <c r="Z67" s="11" t="s">
        <v>994</v>
      </c>
      <c r="AA67" s="11" t="s">
        <v>994</v>
      </c>
      <c r="AB67" s="11" t="s">
        <v>994</v>
      </c>
      <c r="AC67" s="11" t="s">
        <v>994</v>
      </c>
      <c r="AD67" s="11" t="s">
        <v>1160</v>
      </c>
      <c r="AE67" s="11" t="s">
        <v>995</v>
      </c>
    </row>
    <row r="68">
      <c r="B68" s="26" t="s">
        <v>308</v>
      </c>
      <c r="C68" s="12" t="s">
        <v>1372</v>
      </c>
      <c r="D68" s="11" t="s">
        <v>218</v>
      </c>
      <c r="E68" s="11" t="s">
        <v>429</v>
      </c>
      <c r="F68" s="12" t="s">
        <v>308</v>
      </c>
      <c r="G68" s="12" t="s">
        <v>275</v>
      </c>
      <c r="H68" s="12" t="s">
        <v>126</v>
      </c>
      <c r="I68" s="12" t="s">
        <v>430</v>
      </c>
      <c r="J68" s="12" t="s">
        <v>20</v>
      </c>
      <c r="K68" s="12" t="s">
        <v>1025</v>
      </c>
      <c r="L68" s="12" t="s">
        <v>247</v>
      </c>
      <c r="M68" s="12" t="s">
        <v>994</v>
      </c>
      <c r="N68" s="13" t="s">
        <v>437</v>
      </c>
      <c r="O68" s="11" t="s">
        <v>432</v>
      </c>
      <c r="P68" s="11" t="s">
        <v>433</v>
      </c>
      <c r="Q68" s="11" t="s">
        <v>125</v>
      </c>
      <c r="R68" s="11" t="s">
        <v>150</v>
      </c>
      <c r="S68" s="11" t="s">
        <v>994</v>
      </c>
      <c r="T68" s="11" t="s">
        <v>125</v>
      </c>
      <c r="U68" s="11" t="s">
        <v>38</v>
      </c>
      <c r="V68" s="11" t="s">
        <v>1758</v>
      </c>
      <c r="W68" s="11" t="s">
        <v>1378</v>
      </c>
      <c r="X68" s="11" t="s">
        <v>994</v>
      </c>
      <c r="Y68" s="11" t="s">
        <v>994</v>
      </c>
      <c r="Z68" s="11" t="s">
        <v>994</v>
      </c>
      <c r="AA68" s="11" t="s">
        <v>994</v>
      </c>
      <c r="AB68" s="11" t="s">
        <v>994</v>
      </c>
      <c r="AC68" s="11" t="s">
        <v>994</v>
      </c>
      <c r="AD68" s="11" t="s">
        <v>965</v>
      </c>
      <c r="AE68" s="11" t="s">
        <v>995</v>
      </c>
    </row>
    <row r="69">
      <c r="B69" s="26" t="s">
        <v>49</v>
      </c>
      <c r="C69" s="12" t="s">
        <v>1373</v>
      </c>
      <c r="D69" s="11" t="s">
        <v>438</v>
      </c>
      <c r="E69" s="11" t="s">
        <v>429</v>
      </c>
      <c r="F69" s="12" t="s">
        <v>439</v>
      </c>
      <c r="G69" s="12" t="s">
        <v>246</v>
      </c>
      <c r="H69" s="12" t="s">
        <v>246</v>
      </c>
      <c r="I69" s="12" t="s">
        <v>430</v>
      </c>
      <c r="J69" s="12" t="s">
        <v>20</v>
      </c>
      <c r="K69" s="12" t="s">
        <v>1025</v>
      </c>
      <c r="L69" s="12" t="s">
        <v>247</v>
      </c>
      <c r="M69" s="12" t="s">
        <v>994</v>
      </c>
      <c r="N69" s="13" t="s">
        <v>440</v>
      </c>
      <c r="O69" s="11" t="s">
        <v>432</v>
      </c>
      <c r="P69" s="11" t="s">
        <v>433</v>
      </c>
      <c r="Q69" s="11" t="s">
        <v>125</v>
      </c>
      <c r="R69" s="11" t="s">
        <v>150</v>
      </c>
      <c r="S69" s="11" t="s">
        <v>994</v>
      </c>
      <c r="T69" s="11" t="s">
        <v>125</v>
      </c>
      <c r="U69" s="11" t="s">
        <v>29</v>
      </c>
      <c r="V69" s="11" t="s">
        <v>1756</v>
      </c>
      <c r="W69" s="11" t="s">
        <v>1758</v>
      </c>
      <c r="X69" s="11" t="s">
        <v>994</v>
      </c>
      <c r="Y69" s="11" t="s">
        <v>994</v>
      </c>
      <c r="Z69" s="11" t="s">
        <v>994</v>
      </c>
      <c r="AA69" s="11" t="s">
        <v>994</v>
      </c>
      <c r="AB69" s="11" t="s">
        <v>994</v>
      </c>
      <c r="AC69" s="11" t="s">
        <v>994</v>
      </c>
      <c r="AD69" s="11" t="s">
        <v>965</v>
      </c>
      <c r="AE69" s="11" t="s">
        <v>995</v>
      </c>
    </row>
    <row r="70">
      <c r="B70" s="26" t="s">
        <v>49</v>
      </c>
      <c r="C70" s="12" t="s">
        <v>1374</v>
      </c>
      <c r="D70" s="11" t="s">
        <v>441</v>
      </c>
      <c r="E70" s="11" t="s">
        <v>429</v>
      </c>
      <c r="F70" s="12" t="s">
        <v>442</v>
      </c>
      <c r="G70" s="12" t="s">
        <v>246</v>
      </c>
      <c r="H70" s="12" t="s">
        <v>246</v>
      </c>
      <c r="I70" s="12" t="s">
        <v>430</v>
      </c>
      <c r="J70" s="12" t="s">
        <v>20</v>
      </c>
      <c r="K70" s="12" t="s">
        <v>1025</v>
      </c>
      <c r="L70" s="12" t="s">
        <v>247</v>
      </c>
      <c r="M70" s="12" t="s">
        <v>994</v>
      </c>
      <c r="N70" s="13" t="s">
        <v>443</v>
      </c>
      <c r="O70" s="11" t="s">
        <v>432</v>
      </c>
      <c r="P70" s="11" t="s">
        <v>433</v>
      </c>
      <c r="Q70" s="11" t="s">
        <v>125</v>
      </c>
      <c r="R70" s="11" t="s">
        <v>150</v>
      </c>
      <c r="S70" s="11" t="s">
        <v>125</v>
      </c>
      <c r="T70" s="11" t="s">
        <v>125</v>
      </c>
      <c r="U70" s="11" t="s">
        <v>38</v>
      </c>
      <c r="V70" s="11" t="s">
        <v>1378</v>
      </c>
      <c r="W70" s="11" t="s">
        <v>994</v>
      </c>
      <c r="X70" s="11" t="s">
        <v>994</v>
      </c>
      <c r="Y70" s="11" t="s">
        <v>994</v>
      </c>
      <c r="Z70" s="11" t="s">
        <v>994</v>
      </c>
      <c r="AA70" s="11" t="s">
        <v>994</v>
      </c>
      <c r="AB70" s="11" t="s">
        <v>994</v>
      </c>
      <c r="AC70" s="11" t="s">
        <v>994</v>
      </c>
      <c r="AD70" s="11" t="s">
        <v>994</v>
      </c>
      <c r="AE70" s="11" t="s">
        <v>995</v>
      </c>
    </row>
    <row r="71">
      <c r="B71" s="26" t="s">
        <v>311</v>
      </c>
      <c r="C71" s="12" t="s">
        <v>1375</v>
      </c>
      <c r="D71" s="11" t="s">
        <v>444</v>
      </c>
      <c r="E71" s="11" t="s">
        <v>429</v>
      </c>
      <c r="F71" s="12" t="s">
        <v>311</v>
      </c>
      <c r="G71" s="12" t="s">
        <v>246</v>
      </c>
      <c r="H71" s="12" t="s">
        <v>246</v>
      </c>
      <c r="I71" s="12" t="s">
        <v>430</v>
      </c>
      <c r="J71" s="12" t="s">
        <v>20</v>
      </c>
      <c r="K71" s="12" t="s">
        <v>1026</v>
      </c>
      <c r="L71" s="12" t="s">
        <v>247</v>
      </c>
      <c r="M71" s="12" t="s">
        <v>994</v>
      </c>
      <c r="N71" s="13" t="s">
        <v>445</v>
      </c>
      <c r="O71" s="11" t="s">
        <v>432</v>
      </c>
      <c r="P71" s="11" t="s">
        <v>433</v>
      </c>
      <c r="Q71" s="11" t="s">
        <v>125</v>
      </c>
      <c r="R71" s="11" t="s">
        <v>150</v>
      </c>
      <c r="S71" s="11" t="s">
        <v>125</v>
      </c>
      <c r="T71" s="11" t="s">
        <v>125</v>
      </c>
      <c r="U71" s="11" t="s">
        <v>38</v>
      </c>
      <c r="V71" s="11" t="s">
        <v>1378</v>
      </c>
      <c r="W71" s="11" t="s">
        <v>1775</v>
      </c>
      <c r="X71" s="11" t="s">
        <v>994</v>
      </c>
      <c r="Y71" s="11" t="s">
        <v>994</v>
      </c>
      <c r="Z71" s="11" t="s">
        <v>994</v>
      </c>
      <c r="AA71" s="11" t="s">
        <v>994</v>
      </c>
      <c r="AB71" s="11" t="s">
        <v>994</v>
      </c>
      <c r="AC71" s="11" t="s">
        <v>994</v>
      </c>
      <c r="AD71" s="11" t="s">
        <v>1255</v>
      </c>
      <c r="AE71" s="11" t="s">
        <v>995</v>
      </c>
    </row>
    <row r="72">
      <c r="B72" s="26" t="s">
        <v>49</v>
      </c>
      <c r="C72" s="12" t="s">
        <v>1376</v>
      </c>
      <c r="D72" s="11" t="s">
        <v>446</v>
      </c>
      <c r="E72" s="11" t="s">
        <v>429</v>
      </c>
      <c r="F72" s="12" t="s">
        <v>447</v>
      </c>
      <c r="G72" s="12" t="s">
        <v>246</v>
      </c>
      <c r="H72" s="12" t="s">
        <v>246</v>
      </c>
      <c r="I72" s="12" t="s">
        <v>430</v>
      </c>
      <c r="J72" s="12" t="s">
        <v>20</v>
      </c>
      <c r="K72" s="12" t="s">
        <v>1026</v>
      </c>
      <c r="L72" s="12" t="s">
        <v>247</v>
      </c>
      <c r="M72" s="12" t="s">
        <v>994</v>
      </c>
      <c r="N72" s="13" t="s">
        <v>448</v>
      </c>
      <c r="O72" s="11" t="s">
        <v>432</v>
      </c>
      <c r="P72" s="11" t="s">
        <v>433</v>
      </c>
      <c r="Q72" s="11" t="s">
        <v>125</v>
      </c>
      <c r="R72" s="11" t="s">
        <v>150</v>
      </c>
      <c r="S72" s="11" t="s">
        <v>125</v>
      </c>
      <c r="T72" s="11" t="s">
        <v>125</v>
      </c>
      <c r="U72" s="11" t="s">
        <v>38</v>
      </c>
      <c r="V72" s="11" t="s">
        <v>1378</v>
      </c>
      <c r="W72" s="11" t="s">
        <v>1775</v>
      </c>
      <c r="X72" s="11" t="s">
        <v>994</v>
      </c>
      <c r="Y72" s="11" t="s">
        <v>994</v>
      </c>
      <c r="Z72" s="11" t="s">
        <v>994</v>
      </c>
      <c r="AA72" s="11" t="s">
        <v>994</v>
      </c>
      <c r="AB72" s="11" t="s">
        <v>994</v>
      </c>
      <c r="AC72" s="11" t="s">
        <v>994</v>
      </c>
      <c r="AD72" s="11" t="s">
        <v>1255</v>
      </c>
      <c r="AE72" s="11" t="s">
        <v>995</v>
      </c>
    </row>
    <row r="73">
      <c r="B73" s="26" t="s">
        <v>49</v>
      </c>
      <c r="C73" s="12" t="s">
        <v>1377</v>
      </c>
      <c r="D73" s="11" t="s">
        <v>449</v>
      </c>
      <c r="E73" s="11" t="s">
        <v>429</v>
      </c>
      <c r="F73" s="12" t="s">
        <v>450</v>
      </c>
      <c r="G73" s="12" t="s">
        <v>246</v>
      </c>
      <c r="H73" s="12" t="s">
        <v>246</v>
      </c>
      <c r="I73" s="12" t="s">
        <v>430</v>
      </c>
      <c r="J73" s="12" t="s">
        <v>20</v>
      </c>
      <c r="K73" s="12" t="s">
        <v>1026</v>
      </c>
      <c r="L73" s="12" t="s">
        <v>247</v>
      </c>
      <c r="M73" s="12" t="s">
        <v>994</v>
      </c>
      <c r="N73" s="13" t="s">
        <v>451</v>
      </c>
      <c r="O73" s="11" t="s">
        <v>432</v>
      </c>
      <c r="P73" s="11" t="s">
        <v>433</v>
      </c>
      <c r="Q73" s="11" t="s">
        <v>125</v>
      </c>
      <c r="R73" s="11" t="s">
        <v>150</v>
      </c>
      <c r="S73" s="11" t="s">
        <v>125</v>
      </c>
      <c r="T73" s="11" t="s">
        <v>125</v>
      </c>
      <c r="U73" s="11" t="s">
        <v>38</v>
      </c>
      <c r="V73" s="11" t="s">
        <v>1378</v>
      </c>
      <c r="W73" s="11" t="s">
        <v>1775</v>
      </c>
      <c r="X73" s="11" t="s">
        <v>994</v>
      </c>
      <c r="Y73" s="11" t="s">
        <v>994</v>
      </c>
      <c r="Z73" s="11" t="s">
        <v>994</v>
      </c>
      <c r="AA73" s="11" t="s">
        <v>994</v>
      </c>
      <c r="AB73" s="11" t="s">
        <v>994</v>
      </c>
      <c r="AC73" s="11" t="s">
        <v>994</v>
      </c>
      <c r="AD73" s="11" t="s">
        <v>1256</v>
      </c>
      <c r="AE73" s="11" t="s">
        <v>995</v>
      </c>
    </row>
    <row r="74">
      <c r="B74" s="26" t="s">
        <v>291</v>
      </c>
      <c r="C74" s="12" t="s">
        <v>1413</v>
      </c>
      <c r="D74" s="11" t="s">
        <v>452</v>
      </c>
      <c r="E74" s="11" t="s">
        <v>429</v>
      </c>
      <c r="F74" s="12" t="s">
        <v>291</v>
      </c>
      <c r="G74" s="12" t="s">
        <v>246</v>
      </c>
      <c r="H74" s="12" t="s">
        <v>246</v>
      </c>
      <c r="I74" s="12" t="s">
        <v>430</v>
      </c>
      <c r="J74" s="12" t="s">
        <v>20</v>
      </c>
      <c r="K74" s="12" t="s">
        <v>1026</v>
      </c>
      <c r="L74" s="12" t="s">
        <v>247</v>
      </c>
      <c r="M74" s="12" t="s">
        <v>994</v>
      </c>
      <c r="N74" s="13" t="s">
        <v>453</v>
      </c>
      <c r="O74" s="11" t="s">
        <v>432</v>
      </c>
      <c r="P74" s="11" t="s">
        <v>433</v>
      </c>
      <c r="Q74" s="11" t="s">
        <v>125</v>
      </c>
      <c r="R74" s="11" t="s">
        <v>150</v>
      </c>
      <c r="S74" s="11" t="s">
        <v>125</v>
      </c>
      <c r="T74" s="11" t="s">
        <v>125</v>
      </c>
      <c r="U74" s="11" t="s">
        <v>38</v>
      </c>
      <c r="V74" s="11" t="s">
        <v>1378</v>
      </c>
      <c r="W74" s="11" t="s">
        <v>1775</v>
      </c>
      <c r="X74" s="11" t="s">
        <v>994</v>
      </c>
      <c r="Y74" s="11" t="s">
        <v>994</v>
      </c>
      <c r="Z74" s="11" t="s">
        <v>994</v>
      </c>
      <c r="AA74" s="11" t="s">
        <v>994</v>
      </c>
      <c r="AB74" s="11" t="s">
        <v>994</v>
      </c>
      <c r="AC74" s="11" t="s">
        <v>994</v>
      </c>
      <c r="AD74" s="11" t="s">
        <v>1256</v>
      </c>
      <c r="AE74" s="11" t="s">
        <v>995</v>
      </c>
    </row>
    <row r="75">
      <c r="B75" s="26" t="s">
        <v>291</v>
      </c>
      <c r="C75" s="12" t="s">
        <v>1414</v>
      </c>
      <c r="D75" s="11" t="s">
        <v>454</v>
      </c>
      <c r="E75" s="11" t="s">
        <v>429</v>
      </c>
      <c r="F75" s="12" t="s">
        <v>291</v>
      </c>
      <c r="G75" s="12" t="s">
        <v>246</v>
      </c>
      <c r="H75" s="12" t="s">
        <v>246</v>
      </c>
      <c r="I75" s="12" t="s">
        <v>430</v>
      </c>
      <c r="J75" s="12" t="s">
        <v>20</v>
      </c>
      <c r="K75" s="12" t="s">
        <v>1026</v>
      </c>
      <c r="L75" s="12" t="s">
        <v>247</v>
      </c>
      <c r="M75" s="12" t="s">
        <v>994</v>
      </c>
      <c r="N75" s="13" t="s">
        <v>455</v>
      </c>
      <c r="O75" s="11" t="s">
        <v>432</v>
      </c>
      <c r="P75" s="11" t="s">
        <v>433</v>
      </c>
      <c r="Q75" s="11" t="s">
        <v>125</v>
      </c>
      <c r="R75" s="11" t="s">
        <v>150</v>
      </c>
      <c r="S75" s="11" t="s">
        <v>125</v>
      </c>
      <c r="T75" s="11" t="s">
        <v>125</v>
      </c>
      <c r="U75" s="11" t="s">
        <v>38</v>
      </c>
      <c r="V75" s="11" t="s">
        <v>1378</v>
      </c>
      <c r="W75" s="11" t="s">
        <v>994</v>
      </c>
      <c r="X75" s="11" t="s">
        <v>994</v>
      </c>
      <c r="Y75" s="11" t="s">
        <v>994</v>
      </c>
      <c r="Z75" s="11" t="s">
        <v>994</v>
      </c>
      <c r="AA75" s="11" t="s">
        <v>994</v>
      </c>
      <c r="AB75" s="11" t="s">
        <v>994</v>
      </c>
      <c r="AC75" s="11" t="s">
        <v>994</v>
      </c>
      <c r="AD75" s="11" t="s">
        <v>994</v>
      </c>
      <c r="AE75" s="11" t="s">
        <v>995</v>
      </c>
    </row>
    <row r="76">
      <c r="B76" s="26" t="s">
        <v>291</v>
      </c>
      <c r="C76" s="12" t="s">
        <v>1415</v>
      </c>
      <c r="D76" s="11" t="s">
        <v>456</v>
      </c>
      <c r="E76" s="11" t="s">
        <v>429</v>
      </c>
      <c r="F76" s="12" t="s">
        <v>291</v>
      </c>
      <c r="G76" s="12" t="s">
        <v>246</v>
      </c>
      <c r="H76" s="12" t="s">
        <v>246</v>
      </c>
      <c r="I76" s="12" t="s">
        <v>430</v>
      </c>
      <c r="J76" s="12" t="s">
        <v>20</v>
      </c>
      <c r="K76" s="12" t="s">
        <v>1026</v>
      </c>
      <c r="L76" s="12" t="s">
        <v>247</v>
      </c>
      <c r="M76" s="12" t="s">
        <v>994</v>
      </c>
      <c r="N76" s="13" t="s">
        <v>457</v>
      </c>
      <c r="O76" s="11" t="s">
        <v>432</v>
      </c>
      <c r="P76" s="11" t="s">
        <v>433</v>
      </c>
      <c r="Q76" s="11" t="s">
        <v>125</v>
      </c>
      <c r="R76" s="11" t="s">
        <v>150</v>
      </c>
      <c r="S76" s="11" t="s">
        <v>125</v>
      </c>
      <c r="T76" s="11" t="s">
        <v>125</v>
      </c>
      <c r="U76" s="11" t="s">
        <v>38</v>
      </c>
      <c r="V76" s="11" t="s">
        <v>1378</v>
      </c>
      <c r="W76" s="11" t="s">
        <v>994</v>
      </c>
      <c r="X76" s="11" t="s">
        <v>994</v>
      </c>
      <c r="Y76" s="11" t="s">
        <v>994</v>
      </c>
      <c r="Z76" s="11" t="s">
        <v>994</v>
      </c>
      <c r="AA76" s="11" t="s">
        <v>994</v>
      </c>
      <c r="AB76" s="11" t="s">
        <v>994</v>
      </c>
      <c r="AC76" s="11" t="s">
        <v>994</v>
      </c>
      <c r="AD76" s="11" t="s">
        <v>994</v>
      </c>
      <c r="AE76" s="11" t="s">
        <v>995</v>
      </c>
    </row>
    <row r="77">
      <c r="B77" s="26" t="s">
        <v>291</v>
      </c>
      <c r="C77" s="12" t="s">
        <v>1416</v>
      </c>
      <c r="D77" s="11" t="s">
        <v>458</v>
      </c>
      <c r="E77" s="11" t="s">
        <v>429</v>
      </c>
      <c r="F77" s="12" t="s">
        <v>291</v>
      </c>
      <c r="G77" s="12" t="s">
        <v>246</v>
      </c>
      <c r="H77" s="12" t="s">
        <v>246</v>
      </c>
      <c r="I77" s="12" t="s">
        <v>430</v>
      </c>
      <c r="J77" s="12" t="s">
        <v>20</v>
      </c>
      <c r="K77" s="12" t="s">
        <v>1025</v>
      </c>
      <c r="L77" s="12" t="s">
        <v>247</v>
      </c>
      <c r="M77" s="12" t="s">
        <v>994</v>
      </c>
      <c r="N77" s="13" t="s">
        <v>459</v>
      </c>
      <c r="O77" s="11" t="s">
        <v>432</v>
      </c>
      <c r="P77" s="11" t="s">
        <v>433</v>
      </c>
      <c r="Q77" s="11" t="s">
        <v>125</v>
      </c>
      <c r="R77" s="11" t="s">
        <v>150</v>
      </c>
      <c r="S77" s="11" t="s">
        <v>125</v>
      </c>
      <c r="T77" s="11" t="s">
        <v>125</v>
      </c>
      <c r="U77" s="11" t="s">
        <v>38</v>
      </c>
      <c r="V77" s="11" t="s">
        <v>1756</v>
      </c>
      <c r="W77" s="11" t="s">
        <v>1378</v>
      </c>
      <c r="X77" s="11" t="s">
        <v>994</v>
      </c>
      <c r="Y77" s="11" t="s">
        <v>994</v>
      </c>
      <c r="Z77" s="11" t="s">
        <v>994</v>
      </c>
      <c r="AA77" s="11" t="s">
        <v>994</v>
      </c>
      <c r="AB77" s="11" t="s">
        <v>994</v>
      </c>
      <c r="AC77" s="11" t="s">
        <v>994</v>
      </c>
      <c r="AD77" s="11" t="s">
        <v>966</v>
      </c>
      <c r="AE77" s="11" t="s">
        <v>995</v>
      </c>
    </row>
    <row r="78">
      <c r="B78" s="26" t="s">
        <v>278</v>
      </c>
      <c r="C78" s="12" t="s">
        <v>1417</v>
      </c>
      <c r="D78" s="11" t="s">
        <v>460</v>
      </c>
      <c r="E78" s="11" t="s">
        <v>429</v>
      </c>
      <c r="F78" s="12" t="s">
        <v>278</v>
      </c>
      <c r="G78" s="12" t="s">
        <v>246</v>
      </c>
      <c r="H78" s="12" t="s">
        <v>246</v>
      </c>
      <c r="I78" s="12" t="s">
        <v>430</v>
      </c>
      <c r="J78" s="12" t="s">
        <v>20</v>
      </c>
      <c r="K78" s="12" t="s">
        <v>1026</v>
      </c>
      <c r="L78" s="12" t="s">
        <v>247</v>
      </c>
      <c r="M78" s="12" t="s">
        <v>994</v>
      </c>
      <c r="N78" s="13" t="s">
        <v>461</v>
      </c>
      <c r="O78" s="11" t="s">
        <v>432</v>
      </c>
      <c r="P78" s="11" t="s">
        <v>433</v>
      </c>
      <c r="Q78" s="11" t="s">
        <v>125</v>
      </c>
      <c r="R78" s="11" t="s">
        <v>150</v>
      </c>
      <c r="S78" s="11" t="s">
        <v>125</v>
      </c>
      <c r="T78" s="11" t="s">
        <v>125</v>
      </c>
      <c r="U78" s="11" t="s">
        <v>38</v>
      </c>
      <c r="V78" s="11" t="s">
        <v>1378</v>
      </c>
      <c r="W78" s="11" t="s">
        <v>994</v>
      </c>
      <c r="X78" s="11" t="s">
        <v>994</v>
      </c>
      <c r="Y78" s="11" t="s">
        <v>994</v>
      </c>
      <c r="Z78" s="11" t="s">
        <v>994</v>
      </c>
      <c r="AA78" s="11" t="s">
        <v>994</v>
      </c>
      <c r="AB78" s="11" t="s">
        <v>994</v>
      </c>
      <c r="AC78" s="11" t="s">
        <v>994</v>
      </c>
      <c r="AD78" s="11" t="s">
        <v>994</v>
      </c>
      <c r="AE78" s="11" t="s">
        <v>995</v>
      </c>
    </row>
    <row r="79">
      <c r="B79" s="26" t="s">
        <v>278</v>
      </c>
      <c r="C79" s="12" t="s">
        <v>1418</v>
      </c>
      <c r="D79" s="11" t="s">
        <v>462</v>
      </c>
      <c r="E79" s="11" t="s">
        <v>429</v>
      </c>
      <c r="F79" s="12" t="s">
        <v>278</v>
      </c>
      <c r="G79" s="12" t="s">
        <v>246</v>
      </c>
      <c r="H79" s="12" t="s">
        <v>246</v>
      </c>
      <c r="I79" s="12" t="s">
        <v>430</v>
      </c>
      <c r="J79" s="12" t="s">
        <v>20</v>
      </c>
      <c r="K79" s="12" t="s">
        <v>1026</v>
      </c>
      <c r="L79" s="12" t="s">
        <v>247</v>
      </c>
      <c r="M79" s="12" t="s">
        <v>994</v>
      </c>
      <c r="N79" s="13" t="s">
        <v>463</v>
      </c>
      <c r="O79" s="11" t="s">
        <v>432</v>
      </c>
      <c r="P79" s="11" t="s">
        <v>433</v>
      </c>
      <c r="Q79" s="11" t="s">
        <v>125</v>
      </c>
      <c r="R79" s="11" t="s">
        <v>150</v>
      </c>
      <c r="S79" s="11" t="s">
        <v>125</v>
      </c>
      <c r="T79" s="11" t="s">
        <v>125</v>
      </c>
      <c r="U79" s="11" t="s">
        <v>38</v>
      </c>
      <c r="V79" s="11" t="s">
        <v>1378</v>
      </c>
      <c r="W79" s="11" t="s">
        <v>994</v>
      </c>
      <c r="X79" s="11" t="s">
        <v>994</v>
      </c>
      <c r="Y79" s="11" t="s">
        <v>994</v>
      </c>
      <c r="Z79" s="11" t="s">
        <v>994</v>
      </c>
      <c r="AA79" s="11" t="s">
        <v>994</v>
      </c>
      <c r="AB79" s="11" t="s">
        <v>994</v>
      </c>
      <c r="AC79" s="11" t="s">
        <v>994</v>
      </c>
      <c r="AD79" s="11" t="s">
        <v>994</v>
      </c>
      <c r="AE79" s="11" t="s">
        <v>995</v>
      </c>
    </row>
    <row r="80">
      <c r="B80" s="26" t="s">
        <v>278</v>
      </c>
      <c r="C80" s="12" t="s">
        <v>1419</v>
      </c>
      <c r="D80" s="11" t="s">
        <v>464</v>
      </c>
      <c r="E80" s="11" t="s">
        <v>429</v>
      </c>
      <c r="F80" s="12" t="s">
        <v>278</v>
      </c>
      <c r="G80" s="12" t="s">
        <v>246</v>
      </c>
      <c r="H80" s="12" t="s">
        <v>246</v>
      </c>
      <c r="I80" s="12" t="s">
        <v>430</v>
      </c>
      <c r="J80" s="12" t="s">
        <v>20</v>
      </c>
      <c r="K80" s="12" t="s">
        <v>1026</v>
      </c>
      <c r="L80" s="12" t="s">
        <v>247</v>
      </c>
      <c r="M80" s="12" t="s">
        <v>994</v>
      </c>
      <c r="N80" s="13" t="s">
        <v>465</v>
      </c>
      <c r="O80" s="11" t="s">
        <v>432</v>
      </c>
      <c r="P80" s="11" t="s">
        <v>433</v>
      </c>
      <c r="Q80" s="11" t="s">
        <v>125</v>
      </c>
      <c r="R80" s="11" t="s">
        <v>150</v>
      </c>
      <c r="S80" s="11" t="s">
        <v>994</v>
      </c>
      <c r="T80" s="11" t="s">
        <v>126</v>
      </c>
      <c r="U80" s="11" t="s">
        <v>994</v>
      </c>
      <c r="V80" s="11" t="s">
        <v>994</v>
      </c>
      <c r="W80" s="11" t="s">
        <v>994</v>
      </c>
      <c r="X80" s="11" t="s">
        <v>994</v>
      </c>
      <c r="Y80" s="11" t="s">
        <v>994</v>
      </c>
      <c r="Z80" s="11" t="s">
        <v>994</v>
      </c>
      <c r="AA80" s="11" t="s">
        <v>994</v>
      </c>
      <c r="AB80" s="11" t="s">
        <v>994</v>
      </c>
      <c r="AC80" s="11" t="s">
        <v>994</v>
      </c>
      <c r="AD80" s="11" t="s">
        <v>994</v>
      </c>
      <c r="AE80" s="11" t="s">
        <v>1804</v>
      </c>
    </row>
    <row r="81">
      <c r="B81" s="26" t="s">
        <v>283</v>
      </c>
      <c r="C81" s="12" t="s">
        <v>1420</v>
      </c>
      <c r="D81" s="11" t="s">
        <v>466</v>
      </c>
      <c r="E81" s="11" t="s">
        <v>429</v>
      </c>
      <c r="F81" s="12" t="s">
        <v>283</v>
      </c>
      <c r="G81" s="12" t="s">
        <v>246</v>
      </c>
      <c r="H81" s="12" t="s">
        <v>246</v>
      </c>
      <c r="I81" s="12" t="s">
        <v>430</v>
      </c>
      <c r="J81" s="12" t="s">
        <v>20</v>
      </c>
      <c r="K81" s="12" t="s">
        <v>1025</v>
      </c>
      <c r="L81" s="12" t="s">
        <v>247</v>
      </c>
      <c r="M81" s="12" t="s">
        <v>994</v>
      </c>
      <c r="N81" s="13" t="s">
        <v>467</v>
      </c>
      <c r="O81" s="11" t="s">
        <v>432</v>
      </c>
      <c r="P81" s="11" t="s">
        <v>433</v>
      </c>
      <c r="Q81" s="11" t="s">
        <v>125</v>
      </c>
      <c r="R81" s="11" t="s">
        <v>150</v>
      </c>
      <c r="S81" s="11" t="s">
        <v>125</v>
      </c>
      <c r="T81" s="11" t="s">
        <v>125</v>
      </c>
      <c r="U81" s="11" t="s">
        <v>38</v>
      </c>
      <c r="V81" s="11" t="s">
        <v>1761</v>
      </c>
      <c r="W81" s="11" t="s">
        <v>1378</v>
      </c>
      <c r="X81" s="11" t="s">
        <v>994</v>
      </c>
      <c r="Y81" s="11" t="s">
        <v>994</v>
      </c>
      <c r="Z81" s="11" t="s">
        <v>994</v>
      </c>
      <c r="AA81" s="11" t="s">
        <v>994</v>
      </c>
      <c r="AB81" s="11" t="s">
        <v>994</v>
      </c>
      <c r="AC81" s="11" t="s">
        <v>994</v>
      </c>
      <c r="AD81" s="11" t="s">
        <v>967</v>
      </c>
      <c r="AE81" s="11" t="s">
        <v>995</v>
      </c>
    </row>
    <row r="82">
      <c r="B82" s="26" t="s">
        <v>283</v>
      </c>
      <c r="C82" s="12" t="s">
        <v>1421</v>
      </c>
      <c r="D82" s="11" t="s">
        <v>468</v>
      </c>
      <c r="E82" s="11" t="s">
        <v>429</v>
      </c>
      <c r="F82" s="12" t="s">
        <v>283</v>
      </c>
      <c r="G82" s="12" t="s">
        <v>246</v>
      </c>
      <c r="H82" s="12" t="s">
        <v>246</v>
      </c>
      <c r="I82" s="12" t="s">
        <v>430</v>
      </c>
      <c r="J82" s="12" t="s">
        <v>20</v>
      </c>
      <c r="K82" s="12" t="s">
        <v>1026</v>
      </c>
      <c r="L82" s="12" t="s">
        <v>247</v>
      </c>
      <c r="M82" s="12" t="s">
        <v>994</v>
      </c>
      <c r="N82" s="13" t="s">
        <v>469</v>
      </c>
      <c r="O82" s="11" t="s">
        <v>432</v>
      </c>
      <c r="P82" s="11" t="s">
        <v>433</v>
      </c>
      <c r="Q82" s="11" t="s">
        <v>125</v>
      </c>
      <c r="R82" s="11" t="s">
        <v>150</v>
      </c>
      <c r="S82" s="11" t="s">
        <v>125</v>
      </c>
      <c r="T82" s="11" t="s">
        <v>125</v>
      </c>
      <c r="U82" s="11" t="s">
        <v>38</v>
      </c>
      <c r="V82" s="11" t="s">
        <v>1378</v>
      </c>
      <c r="W82" s="11" t="s">
        <v>994</v>
      </c>
      <c r="X82" s="11" t="s">
        <v>994</v>
      </c>
      <c r="Y82" s="11" t="s">
        <v>994</v>
      </c>
      <c r="Z82" s="11" t="s">
        <v>994</v>
      </c>
      <c r="AA82" s="11" t="s">
        <v>994</v>
      </c>
      <c r="AB82" s="11" t="s">
        <v>994</v>
      </c>
      <c r="AC82" s="11" t="s">
        <v>994</v>
      </c>
      <c r="AD82" s="11" t="s">
        <v>994</v>
      </c>
      <c r="AE82" s="11" t="s">
        <v>995</v>
      </c>
    </row>
    <row r="83">
      <c r="B83" s="26" t="s">
        <v>283</v>
      </c>
      <c r="C83" s="12" t="s">
        <v>1422</v>
      </c>
      <c r="D83" s="11" t="s">
        <v>470</v>
      </c>
      <c r="E83" s="11" t="s">
        <v>429</v>
      </c>
      <c r="F83" s="12" t="s">
        <v>283</v>
      </c>
      <c r="G83" s="12" t="s">
        <v>246</v>
      </c>
      <c r="H83" s="12" t="s">
        <v>246</v>
      </c>
      <c r="I83" s="12" t="s">
        <v>430</v>
      </c>
      <c r="J83" s="12" t="s">
        <v>20</v>
      </c>
      <c r="K83" s="12" t="s">
        <v>1026</v>
      </c>
      <c r="L83" s="12" t="s">
        <v>247</v>
      </c>
      <c r="M83" s="12" t="s">
        <v>994</v>
      </c>
      <c r="N83" s="13" t="s">
        <v>471</v>
      </c>
      <c r="O83" s="11" t="s">
        <v>432</v>
      </c>
      <c r="P83" s="11" t="s">
        <v>433</v>
      </c>
      <c r="Q83" s="11" t="s">
        <v>125</v>
      </c>
      <c r="R83" s="11" t="s">
        <v>150</v>
      </c>
      <c r="S83" s="11" t="s">
        <v>125</v>
      </c>
      <c r="T83" s="11" t="s">
        <v>125</v>
      </c>
      <c r="U83" s="11" t="s">
        <v>38</v>
      </c>
      <c r="V83" s="11" t="s">
        <v>1378</v>
      </c>
      <c r="W83" s="11" t="s">
        <v>994</v>
      </c>
      <c r="X83" s="11" t="s">
        <v>994</v>
      </c>
      <c r="Y83" s="11" t="s">
        <v>994</v>
      </c>
      <c r="Z83" s="11" t="s">
        <v>994</v>
      </c>
      <c r="AA83" s="11" t="s">
        <v>994</v>
      </c>
      <c r="AB83" s="11" t="s">
        <v>994</v>
      </c>
      <c r="AC83" s="11" t="s">
        <v>994</v>
      </c>
      <c r="AD83" s="11" t="s">
        <v>994</v>
      </c>
      <c r="AE83" s="11" t="s">
        <v>995</v>
      </c>
    </row>
    <row r="84">
      <c r="B84" s="26" t="s">
        <v>416</v>
      </c>
      <c r="C84" s="12" t="s">
        <v>1423</v>
      </c>
      <c r="D84" s="11" t="s">
        <v>472</v>
      </c>
      <c r="E84" s="11" t="s">
        <v>429</v>
      </c>
      <c r="F84" s="12" t="s">
        <v>416</v>
      </c>
      <c r="G84" s="12" t="s">
        <v>246</v>
      </c>
      <c r="H84" s="12" t="s">
        <v>246</v>
      </c>
      <c r="I84" s="12" t="s">
        <v>430</v>
      </c>
      <c r="J84" s="12" t="s">
        <v>20</v>
      </c>
      <c r="K84" s="12" t="s">
        <v>1026</v>
      </c>
      <c r="L84" s="12" t="s">
        <v>247</v>
      </c>
      <c r="M84" s="12" t="s">
        <v>994</v>
      </c>
      <c r="N84" s="13" t="s">
        <v>473</v>
      </c>
      <c r="O84" s="11" t="s">
        <v>432</v>
      </c>
      <c r="P84" s="11" t="s">
        <v>433</v>
      </c>
      <c r="Q84" s="11" t="s">
        <v>125</v>
      </c>
      <c r="R84" s="11" t="s">
        <v>150</v>
      </c>
      <c r="S84" s="11" t="s">
        <v>125</v>
      </c>
      <c r="T84" s="11" t="s">
        <v>125</v>
      </c>
      <c r="U84" s="11" t="s">
        <v>38</v>
      </c>
      <c r="V84" s="11" t="s">
        <v>1378</v>
      </c>
      <c r="W84" s="11" t="s">
        <v>994</v>
      </c>
      <c r="X84" s="11" t="s">
        <v>994</v>
      </c>
      <c r="Y84" s="11" t="s">
        <v>994</v>
      </c>
      <c r="Z84" s="11" t="s">
        <v>994</v>
      </c>
      <c r="AA84" s="11" t="s">
        <v>994</v>
      </c>
      <c r="AB84" s="11" t="s">
        <v>994</v>
      </c>
      <c r="AC84" s="11" t="s">
        <v>994</v>
      </c>
      <c r="AD84" s="11" t="s">
        <v>994</v>
      </c>
      <c r="AE84" s="11" t="s">
        <v>995</v>
      </c>
    </row>
    <row r="85">
      <c r="B85" s="26" t="s">
        <v>416</v>
      </c>
      <c r="C85" s="12" t="s">
        <v>1424</v>
      </c>
      <c r="D85" s="11" t="s">
        <v>474</v>
      </c>
      <c r="E85" s="11" t="s">
        <v>429</v>
      </c>
      <c r="F85" s="12" t="s">
        <v>416</v>
      </c>
      <c r="G85" s="12" t="s">
        <v>246</v>
      </c>
      <c r="H85" s="12" t="s">
        <v>246</v>
      </c>
      <c r="I85" s="12" t="s">
        <v>430</v>
      </c>
      <c r="J85" s="12" t="s">
        <v>20</v>
      </c>
      <c r="K85" s="12" t="s">
        <v>1026</v>
      </c>
      <c r="L85" s="12" t="s">
        <v>247</v>
      </c>
      <c r="M85" s="12" t="s">
        <v>994</v>
      </c>
      <c r="N85" s="13" t="s">
        <v>475</v>
      </c>
      <c r="O85" s="11" t="s">
        <v>432</v>
      </c>
      <c r="P85" s="11" t="s">
        <v>433</v>
      </c>
      <c r="Q85" s="11" t="s">
        <v>125</v>
      </c>
      <c r="R85" s="11" t="s">
        <v>150</v>
      </c>
      <c r="S85" s="11" t="s">
        <v>994</v>
      </c>
      <c r="T85" s="11" t="s">
        <v>126</v>
      </c>
      <c r="U85" s="11" t="s">
        <v>994</v>
      </c>
      <c r="V85" s="11" t="s">
        <v>994</v>
      </c>
      <c r="W85" s="11" t="s">
        <v>994</v>
      </c>
      <c r="X85" s="11" t="s">
        <v>994</v>
      </c>
      <c r="Y85" s="11" t="s">
        <v>994</v>
      </c>
      <c r="Z85" s="11" t="s">
        <v>994</v>
      </c>
      <c r="AA85" s="11" t="s">
        <v>994</v>
      </c>
      <c r="AB85" s="11" t="s">
        <v>994</v>
      </c>
      <c r="AC85" s="11" t="s">
        <v>994</v>
      </c>
      <c r="AD85" s="11" t="s">
        <v>994</v>
      </c>
      <c r="AE85" s="11" t="s">
        <v>1804</v>
      </c>
    </row>
    <row r="86">
      <c r="B86" s="26" t="s">
        <v>416</v>
      </c>
      <c r="C86" s="12" t="s">
        <v>1425</v>
      </c>
      <c r="D86" s="11" t="s">
        <v>476</v>
      </c>
      <c r="E86" s="11" t="s">
        <v>429</v>
      </c>
      <c r="F86" s="12" t="s">
        <v>416</v>
      </c>
      <c r="G86" s="12" t="s">
        <v>246</v>
      </c>
      <c r="H86" s="12" t="s">
        <v>246</v>
      </c>
      <c r="I86" s="12" t="s">
        <v>430</v>
      </c>
      <c r="J86" s="12" t="s">
        <v>20</v>
      </c>
      <c r="K86" s="12" t="s">
        <v>1026</v>
      </c>
      <c r="L86" s="12" t="s">
        <v>247</v>
      </c>
      <c r="M86" s="12" t="s">
        <v>994</v>
      </c>
      <c r="N86" s="13" t="s">
        <v>477</v>
      </c>
      <c r="O86" s="11" t="s">
        <v>432</v>
      </c>
      <c r="P86" s="11" t="s">
        <v>433</v>
      </c>
      <c r="Q86" s="11" t="s">
        <v>125</v>
      </c>
      <c r="R86" s="11" t="s">
        <v>150</v>
      </c>
      <c r="S86" s="11" t="s">
        <v>994</v>
      </c>
      <c r="T86" s="11" t="s">
        <v>126</v>
      </c>
      <c r="U86" s="11" t="s">
        <v>994</v>
      </c>
      <c r="V86" s="11" t="s">
        <v>994</v>
      </c>
      <c r="W86" s="11" t="s">
        <v>994</v>
      </c>
      <c r="X86" s="11" t="s">
        <v>994</v>
      </c>
      <c r="Y86" s="11" t="s">
        <v>994</v>
      </c>
      <c r="Z86" s="11" t="s">
        <v>994</v>
      </c>
      <c r="AA86" s="11" t="s">
        <v>994</v>
      </c>
      <c r="AB86" s="11" t="s">
        <v>994</v>
      </c>
      <c r="AC86" s="11" t="s">
        <v>994</v>
      </c>
      <c r="AD86" s="11" t="s">
        <v>994</v>
      </c>
      <c r="AE86" s="11" t="s">
        <v>1804</v>
      </c>
    </row>
    <row r="87">
      <c r="B87" s="26" t="s">
        <v>308</v>
      </c>
      <c r="C87" s="12" t="s">
        <v>1426</v>
      </c>
      <c r="D87" s="11" t="s">
        <v>478</v>
      </c>
      <c r="E87" s="11" t="s">
        <v>429</v>
      </c>
      <c r="F87" s="12" t="s">
        <v>308</v>
      </c>
      <c r="G87" s="12" t="s">
        <v>246</v>
      </c>
      <c r="H87" s="12" t="s">
        <v>246</v>
      </c>
      <c r="I87" s="12" t="s">
        <v>430</v>
      </c>
      <c r="J87" s="12" t="s">
        <v>20</v>
      </c>
      <c r="K87" s="12" t="s">
        <v>1026</v>
      </c>
      <c r="L87" s="12" t="s">
        <v>247</v>
      </c>
      <c r="M87" s="12" t="s">
        <v>994</v>
      </c>
      <c r="N87" s="13" t="s">
        <v>479</v>
      </c>
      <c r="O87" s="11" t="s">
        <v>432</v>
      </c>
      <c r="P87" s="11" t="s">
        <v>433</v>
      </c>
      <c r="Q87" s="11" t="s">
        <v>125</v>
      </c>
      <c r="R87" s="11" t="s">
        <v>150</v>
      </c>
      <c r="S87" s="11" t="s">
        <v>125</v>
      </c>
      <c r="T87" s="11" t="s">
        <v>125</v>
      </c>
      <c r="U87" s="11" t="s">
        <v>38</v>
      </c>
      <c r="V87" s="11" t="s">
        <v>1762</v>
      </c>
      <c r="W87" s="11" t="s">
        <v>1378</v>
      </c>
      <c r="X87" s="11" t="s">
        <v>994</v>
      </c>
      <c r="Y87" s="11" t="s">
        <v>994</v>
      </c>
      <c r="Z87" s="11" t="s">
        <v>994</v>
      </c>
      <c r="AA87" s="11" t="s">
        <v>994</v>
      </c>
      <c r="AB87" s="11" t="s">
        <v>994</v>
      </c>
      <c r="AC87" s="11" t="s">
        <v>994</v>
      </c>
      <c r="AD87" s="11" t="s">
        <v>968</v>
      </c>
      <c r="AE87" s="11" t="s">
        <v>995</v>
      </c>
    </row>
    <row r="88">
      <c r="B88" s="26" t="s">
        <v>308</v>
      </c>
      <c r="C88" s="12" t="s">
        <v>1427</v>
      </c>
      <c r="D88" s="11" t="s">
        <v>480</v>
      </c>
      <c r="E88" s="11" t="s">
        <v>429</v>
      </c>
      <c r="F88" s="12" t="s">
        <v>308</v>
      </c>
      <c r="G88" s="12" t="s">
        <v>246</v>
      </c>
      <c r="H88" s="12" t="s">
        <v>246</v>
      </c>
      <c r="I88" s="12" t="s">
        <v>430</v>
      </c>
      <c r="J88" s="12" t="s">
        <v>20</v>
      </c>
      <c r="K88" s="12" t="s">
        <v>1026</v>
      </c>
      <c r="L88" s="12" t="s">
        <v>247</v>
      </c>
      <c r="M88" s="12" t="s">
        <v>994</v>
      </c>
      <c r="N88" s="13" t="s">
        <v>481</v>
      </c>
      <c r="O88" s="11" t="s">
        <v>432</v>
      </c>
      <c r="P88" s="11" t="s">
        <v>433</v>
      </c>
      <c r="Q88" s="11" t="s">
        <v>125</v>
      </c>
      <c r="R88" s="11" t="s">
        <v>150</v>
      </c>
      <c r="S88" s="11" t="s">
        <v>125</v>
      </c>
      <c r="T88" s="11" t="s">
        <v>125</v>
      </c>
      <c r="U88" s="11" t="s">
        <v>38</v>
      </c>
      <c r="V88" s="11" t="s">
        <v>1378</v>
      </c>
      <c r="W88" s="11" t="s">
        <v>994</v>
      </c>
      <c r="X88" s="11" t="s">
        <v>994</v>
      </c>
      <c r="Y88" s="11" t="s">
        <v>994</v>
      </c>
      <c r="Z88" s="11" t="s">
        <v>994</v>
      </c>
      <c r="AA88" s="11" t="s">
        <v>994</v>
      </c>
      <c r="AB88" s="11" t="s">
        <v>994</v>
      </c>
      <c r="AC88" s="11" t="s">
        <v>994</v>
      </c>
      <c r="AD88" s="11" t="s">
        <v>994</v>
      </c>
      <c r="AE88" s="11" t="s">
        <v>995</v>
      </c>
    </row>
    <row r="89">
      <c r="B89" s="26" t="s">
        <v>295</v>
      </c>
      <c r="C89" s="12" t="s">
        <v>1428</v>
      </c>
      <c r="D89" s="11" t="s">
        <v>482</v>
      </c>
      <c r="E89" s="11" t="s">
        <v>429</v>
      </c>
      <c r="F89" s="12" t="s">
        <v>295</v>
      </c>
      <c r="G89" s="12" t="s">
        <v>246</v>
      </c>
      <c r="H89" s="12" t="s">
        <v>246</v>
      </c>
      <c r="I89" s="12" t="s">
        <v>430</v>
      </c>
      <c r="J89" s="12" t="s">
        <v>20</v>
      </c>
      <c r="K89" s="12" t="s">
        <v>1026</v>
      </c>
      <c r="L89" s="12" t="s">
        <v>247</v>
      </c>
      <c r="M89" s="12" t="s">
        <v>994</v>
      </c>
      <c r="N89" s="13" t="s">
        <v>483</v>
      </c>
      <c r="O89" s="11" t="s">
        <v>432</v>
      </c>
      <c r="P89" s="11" t="s">
        <v>433</v>
      </c>
      <c r="Q89" s="11" t="s">
        <v>125</v>
      </c>
      <c r="R89" s="11" t="s">
        <v>150</v>
      </c>
      <c r="S89" s="11" t="s">
        <v>125</v>
      </c>
      <c r="T89" s="11" t="s">
        <v>125</v>
      </c>
      <c r="U89" s="11" t="s">
        <v>38</v>
      </c>
      <c r="V89" s="11" t="s">
        <v>1378</v>
      </c>
      <c r="W89" s="11" t="s">
        <v>994</v>
      </c>
      <c r="X89" s="11" t="s">
        <v>994</v>
      </c>
      <c r="Y89" s="11" t="s">
        <v>994</v>
      </c>
      <c r="Z89" s="11" t="s">
        <v>994</v>
      </c>
      <c r="AA89" s="11" t="s">
        <v>994</v>
      </c>
      <c r="AB89" s="11" t="s">
        <v>994</v>
      </c>
      <c r="AC89" s="11" t="s">
        <v>994</v>
      </c>
      <c r="AD89" s="11" t="s">
        <v>994</v>
      </c>
      <c r="AE89" s="11" t="s">
        <v>995</v>
      </c>
    </row>
    <row r="90">
      <c r="B90" s="26" t="s">
        <v>311</v>
      </c>
      <c r="C90" s="12" t="s">
        <v>1429</v>
      </c>
      <c r="D90" s="11" t="s">
        <v>484</v>
      </c>
      <c r="E90" s="11" t="s">
        <v>429</v>
      </c>
      <c r="F90" s="12" t="s">
        <v>311</v>
      </c>
      <c r="G90" s="12" t="s">
        <v>246</v>
      </c>
      <c r="H90" s="12" t="s">
        <v>246</v>
      </c>
      <c r="I90" s="12" t="s">
        <v>430</v>
      </c>
      <c r="J90" s="12" t="s">
        <v>20</v>
      </c>
      <c r="K90" s="12" t="s">
        <v>1025</v>
      </c>
      <c r="L90" s="12" t="s">
        <v>247</v>
      </c>
      <c r="M90" s="12" t="s">
        <v>994</v>
      </c>
      <c r="N90" s="13" t="s">
        <v>485</v>
      </c>
      <c r="O90" s="11" t="s">
        <v>432</v>
      </c>
      <c r="P90" s="11" t="s">
        <v>433</v>
      </c>
      <c r="Q90" s="11" t="s">
        <v>125</v>
      </c>
      <c r="R90" s="11" t="s">
        <v>150</v>
      </c>
      <c r="S90" s="11" t="s">
        <v>994</v>
      </c>
      <c r="T90" s="11" t="s">
        <v>125</v>
      </c>
      <c r="U90" s="11" t="s">
        <v>38</v>
      </c>
      <c r="V90" s="11" t="s">
        <v>1762</v>
      </c>
      <c r="W90" s="11" t="s">
        <v>994</v>
      </c>
      <c r="X90" s="11" t="s">
        <v>994</v>
      </c>
      <c r="Y90" s="11" t="s">
        <v>994</v>
      </c>
      <c r="Z90" s="11" t="s">
        <v>994</v>
      </c>
      <c r="AA90" s="11" t="s">
        <v>994</v>
      </c>
      <c r="AB90" s="11" t="s">
        <v>994</v>
      </c>
      <c r="AC90" s="11" t="s">
        <v>994</v>
      </c>
      <c r="AD90" s="11" t="s">
        <v>968</v>
      </c>
      <c r="AE90" s="11" t="s">
        <v>995</v>
      </c>
    </row>
    <row r="91">
      <c r="B91" s="26" t="s">
        <v>311</v>
      </c>
      <c r="C91" s="12" t="s">
        <v>1430</v>
      </c>
      <c r="D91" s="11" t="s">
        <v>486</v>
      </c>
      <c r="E91" s="11" t="s">
        <v>429</v>
      </c>
      <c r="F91" s="12" t="s">
        <v>311</v>
      </c>
      <c r="G91" s="12" t="s">
        <v>246</v>
      </c>
      <c r="H91" s="12" t="s">
        <v>246</v>
      </c>
      <c r="I91" s="12" t="s">
        <v>430</v>
      </c>
      <c r="J91" s="12" t="s">
        <v>20</v>
      </c>
      <c r="K91" s="12" t="s">
        <v>1026</v>
      </c>
      <c r="L91" s="12" t="s">
        <v>247</v>
      </c>
      <c r="M91" s="12" t="s">
        <v>994</v>
      </c>
      <c r="N91" s="13" t="s">
        <v>487</v>
      </c>
      <c r="O91" s="11" t="s">
        <v>432</v>
      </c>
      <c r="P91" s="11" t="s">
        <v>433</v>
      </c>
      <c r="Q91" s="11" t="s">
        <v>125</v>
      </c>
      <c r="R91" s="11" t="s">
        <v>150</v>
      </c>
      <c r="S91" s="11" t="s">
        <v>994</v>
      </c>
      <c r="T91" s="11" t="s">
        <v>125</v>
      </c>
      <c r="U91" s="11" t="s">
        <v>38</v>
      </c>
      <c r="V91" s="11" t="s">
        <v>1762</v>
      </c>
      <c r="W91" s="11" t="s">
        <v>994</v>
      </c>
      <c r="X91" s="11" t="s">
        <v>994</v>
      </c>
      <c r="Y91" s="11" t="s">
        <v>994</v>
      </c>
      <c r="Z91" s="11" t="s">
        <v>994</v>
      </c>
      <c r="AA91" s="11" t="s">
        <v>994</v>
      </c>
      <c r="AB91" s="11" t="s">
        <v>994</v>
      </c>
      <c r="AC91" s="11" t="s">
        <v>994</v>
      </c>
      <c r="AD91" s="11" t="s">
        <v>968</v>
      </c>
      <c r="AE91" s="11" t="s">
        <v>995</v>
      </c>
    </row>
    <row r="92">
      <c r="B92" s="26" t="s">
        <v>314</v>
      </c>
      <c r="C92" s="12" t="s">
        <v>1431</v>
      </c>
      <c r="D92" s="11" t="s">
        <v>488</v>
      </c>
      <c r="E92" s="11" t="s">
        <v>429</v>
      </c>
      <c r="F92" s="12" t="s">
        <v>314</v>
      </c>
      <c r="G92" s="12" t="s">
        <v>246</v>
      </c>
      <c r="H92" s="12" t="s">
        <v>246</v>
      </c>
      <c r="I92" s="12" t="s">
        <v>430</v>
      </c>
      <c r="J92" s="12" t="s">
        <v>20</v>
      </c>
      <c r="K92" s="12" t="s">
        <v>1026</v>
      </c>
      <c r="L92" s="12" t="s">
        <v>247</v>
      </c>
      <c r="M92" s="12" t="s">
        <v>994</v>
      </c>
      <c r="N92" s="13" t="s">
        <v>489</v>
      </c>
      <c r="O92" s="11" t="s">
        <v>432</v>
      </c>
      <c r="P92" s="11" t="s">
        <v>433</v>
      </c>
      <c r="Q92" s="11" t="s">
        <v>125</v>
      </c>
      <c r="R92" s="11" t="s">
        <v>150</v>
      </c>
      <c r="S92" s="11" t="s">
        <v>994</v>
      </c>
      <c r="T92" s="11" t="s">
        <v>126</v>
      </c>
      <c r="U92" s="11" t="s">
        <v>994</v>
      </c>
      <c r="V92" s="11" t="s">
        <v>994</v>
      </c>
      <c r="W92" s="11" t="s">
        <v>994</v>
      </c>
      <c r="X92" s="11" t="s">
        <v>994</v>
      </c>
      <c r="Y92" s="11" t="s">
        <v>994</v>
      </c>
      <c r="Z92" s="11" t="s">
        <v>994</v>
      </c>
      <c r="AA92" s="11" t="s">
        <v>994</v>
      </c>
      <c r="AB92" s="11" t="s">
        <v>994</v>
      </c>
      <c r="AC92" s="11" t="s">
        <v>994</v>
      </c>
      <c r="AD92" s="11" t="s">
        <v>994</v>
      </c>
      <c r="AE92" s="11" t="s">
        <v>1804</v>
      </c>
    </row>
    <row r="93">
      <c r="B93" s="26" t="s">
        <v>291</v>
      </c>
      <c r="C93" s="12" t="s">
        <v>1432</v>
      </c>
      <c r="D93" s="11" t="s">
        <v>490</v>
      </c>
      <c r="E93" s="11" t="s">
        <v>429</v>
      </c>
      <c r="F93" s="12" t="s">
        <v>291</v>
      </c>
      <c r="G93" s="12" t="s">
        <v>246</v>
      </c>
      <c r="H93" s="12" t="s">
        <v>246</v>
      </c>
      <c r="I93" s="12" t="s">
        <v>430</v>
      </c>
      <c r="J93" s="12" t="s">
        <v>20</v>
      </c>
      <c r="K93" s="12" t="s">
        <v>1026</v>
      </c>
      <c r="L93" s="12" t="s">
        <v>247</v>
      </c>
      <c r="M93" s="12" t="s">
        <v>994</v>
      </c>
      <c r="N93" s="13" t="s">
        <v>986</v>
      </c>
      <c r="O93" s="11" t="s">
        <v>432</v>
      </c>
      <c r="P93" s="11" t="s">
        <v>433</v>
      </c>
      <c r="Q93" s="11" t="s">
        <v>125</v>
      </c>
      <c r="R93" s="11" t="s">
        <v>150</v>
      </c>
      <c r="S93" s="11" t="s">
        <v>994</v>
      </c>
      <c r="T93" s="11" t="s">
        <v>125</v>
      </c>
      <c r="U93" s="11" t="s">
        <v>1016</v>
      </c>
      <c r="V93" s="11" t="s">
        <v>1762</v>
      </c>
      <c r="W93" s="11" t="s">
        <v>994</v>
      </c>
      <c r="X93" s="11" t="s">
        <v>994</v>
      </c>
      <c r="Y93" s="11" t="s">
        <v>994</v>
      </c>
      <c r="Z93" s="11" t="s">
        <v>1794</v>
      </c>
      <c r="AA93" s="11" t="s">
        <v>1794</v>
      </c>
      <c r="AB93" s="11" t="s">
        <v>30</v>
      </c>
      <c r="AC93" s="11" t="s">
        <v>1351</v>
      </c>
      <c r="AD93" s="11" t="s">
        <v>987</v>
      </c>
      <c r="AE93" s="11" t="s">
        <v>995</v>
      </c>
    </row>
    <row r="94">
      <c r="B94" s="26" t="s">
        <v>314</v>
      </c>
      <c r="C94" s="12" t="s">
        <v>1433</v>
      </c>
      <c r="D94" s="11" t="s">
        <v>491</v>
      </c>
      <c r="E94" s="11" t="s">
        <v>429</v>
      </c>
      <c r="F94" s="12" t="s">
        <v>314</v>
      </c>
      <c r="G94" s="12" t="s">
        <v>246</v>
      </c>
      <c r="H94" s="12" t="s">
        <v>246</v>
      </c>
      <c r="I94" s="12" t="s">
        <v>430</v>
      </c>
      <c r="J94" s="12" t="s">
        <v>20</v>
      </c>
      <c r="K94" s="12" t="s">
        <v>1026</v>
      </c>
      <c r="L94" s="12" t="s">
        <v>247</v>
      </c>
      <c r="M94" s="12" t="s">
        <v>994</v>
      </c>
      <c r="N94" s="13" t="s">
        <v>492</v>
      </c>
      <c r="O94" s="11" t="s">
        <v>432</v>
      </c>
      <c r="P94" s="11" t="s">
        <v>433</v>
      </c>
      <c r="Q94" s="11" t="s">
        <v>125</v>
      </c>
      <c r="R94" s="11" t="s">
        <v>150</v>
      </c>
      <c r="S94" s="11" t="s">
        <v>994</v>
      </c>
      <c r="T94" s="11" t="s">
        <v>126</v>
      </c>
      <c r="U94" s="11" t="s">
        <v>994</v>
      </c>
      <c r="V94" s="11" t="s">
        <v>994</v>
      </c>
      <c r="W94" s="11" t="s">
        <v>994</v>
      </c>
      <c r="X94" s="11" t="s">
        <v>994</v>
      </c>
      <c r="Y94" s="11" t="s">
        <v>994</v>
      </c>
      <c r="Z94" s="11" t="s">
        <v>994</v>
      </c>
      <c r="AA94" s="11" t="s">
        <v>994</v>
      </c>
      <c r="AB94" s="11" t="s">
        <v>994</v>
      </c>
      <c r="AC94" s="11" t="s">
        <v>994</v>
      </c>
      <c r="AD94" s="11" t="s">
        <v>994</v>
      </c>
      <c r="AE94" s="11" t="s">
        <v>1804</v>
      </c>
    </row>
    <row r="95">
      <c r="B95" s="26" t="s">
        <v>49</v>
      </c>
      <c r="C95" s="12" t="s">
        <v>1434</v>
      </c>
      <c r="D95" s="11" t="s">
        <v>493</v>
      </c>
      <c r="E95" s="11" t="s">
        <v>429</v>
      </c>
      <c r="F95" s="12" t="s">
        <v>494</v>
      </c>
      <c r="G95" s="12" t="s">
        <v>246</v>
      </c>
      <c r="H95" s="12" t="s">
        <v>246</v>
      </c>
      <c r="I95" s="12" t="s">
        <v>430</v>
      </c>
      <c r="J95" s="12" t="s">
        <v>20</v>
      </c>
      <c r="K95" s="12" t="s">
        <v>1026</v>
      </c>
      <c r="L95" s="12" t="s">
        <v>247</v>
      </c>
      <c r="M95" s="12" t="s">
        <v>994</v>
      </c>
      <c r="N95" s="13" t="s">
        <v>495</v>
      </c>
      <c r="O95" s="11" t="s">
        <v>432</v>
      </c>
      <c r="P95" s="11" t="s">
        <v>433</v>
      </c>
      <c r="Q95" s="11" t="s">
        <v>125</v>
      </c>
      <c r="R95" s="11" t="s">
        <v>150</v>
      </c>
      <c r="S95" s="11" t="s">
        <v>994</v>
      </c>
      <c r="T95" s="11" t="s">
        <v>126</v>
      </c>
      <c r="U95" s="11" t="s">
        <v>994</v>
      </c>
      <c r="V95" s="11" t="s">
        <v>994</v>
      </c>
      <c r="W95" s="11" t="s">
        <v>994</v>
      </c>
      <c r="X95" s="11" t="s">
        <v>994</v>
      </c>
      <c r="Y95" s="11" t="s">
        <v>994</v>
      </c>
      <c r="Z95" s="11" t="s">
        <v>994</v>
      </c>
      <c r="AA95" s="11" t="s">
        <v>994</v>
      </c>
      <c r="AB95" s="11" t="s">
        <v>994</v>
      </c>
      <c r="AC95" s="11" t="s">
        <v>994</v>
      </c>
      <c r="AD95" s="11" t="s">
        <v>994</v>
      </c>
      <c r="AE95" s="11" t="s">
        <v>1804</v>
      </c>
    </row>
    <row r="96">
      <c r="B96" s="26" t="s">
        <v>311</v>
      </c>
      <c r="C96" s="12" t="s">
        <v>1435</v>
      </c>
      <c r="D96" s="11" t="s">
        <v>496</v>
      </c>
      <c r="E96" s="11" t="s">
        <v>429</v>
      </c>
      <c r="F96" s="12" t="s">
        <v>311</v>
      </c>
      <c r="G96" s="12" t="s">
        <v>246</v>
      </c>
      <c r="H96" s="12" t="s">
        <v>246</v>
      </c>
      <c r="I96" s="12" t="s">
        <v>430</v>
      </c>
      <c r="J96" s="12" t="s">
        <v>20</v>
      </c>
      <c r="K96" s="12" t="s">
        <v>1026</v>
      </c>
      <c r="L96" s="12" t="s">
        <v>247</v>
      </c>
      <c r="M96" s="12" t="s">
        <v>994</v>
      </c>
      <c r="N96" s="13" t="s">
        <v>497</v>
      </c>
      <c r="O96" s="11" t="s">
        <v>432</v>
      </c>
      <c r="P96" s="11" t="s">
        <v>433</v>
      </c>
      <c r="Q96" s="11" t="s">
        <v>125</v>
      </c>
      <c r="R96" s="11" t="s">
        <v>150</v>
      </c>
      <c r="S96" s="11" t="s">
        <v>994</v>
      </c>
      <c r="T96" s="11" t="s">
        <v>126</v>
      </c>
      <c r="U96" s="11" t="s">
        <v>994</v>
      </c>
      <c r="V96" s="11" t="s">
        <v>994</v>
      </c>
      <c r="W96" s="11" t="s">
        <v>994</v>
      </c>
      <c r="X96" s="11" t="s">
        <v>994</v>
      </c>
      <c r="Y96" s="11" t="s">
        <v>994</v>
      </c>
      <c r="Z96" s="11" t="s">
        <v>994</v>
      </c>
      <c r="AA96" s="11" t="s">
        <v>994</v>
      </c>
      <c r="AB96" s="11" t="s">
        <v>994</v>
      </c>
      <c r="AC96" s="11" t="s">
        <v>994</v>
      </c>
      <c r="AD96" s="11" t="s">
        <v>994</v>
      </c>
      <c r="AE96" s="11" t="s">
        <v>1804</v>
      </c>
    </row>
    <row r="97">
      <c r="B97" s="26" t="s">
        <v>49</v>
      </c>
      <c r="C97" s="12" t="s">
        <v>1436</v>
      </c>
      <c r="D97" s="11" t="s">
        <v>498</v>
      </c>
      <c r="E97" s="11" t="s">
        <v>429</v>
      </c>
      <c r="F97" s="12" t="s">
        <v>499</v>
      </c>
      <c r="G97" s="12" t="s">
        <v>246</v>
      </c>
      <c r="H97" s="12" t="s">
        <v>246</v>
      </c>
      <c r="I97" s="12" t="s">
        <v>430</v>
      </c>
      <c r="J97" s="12" t="s">
        <v>20</v>
      </c>
      <c r="K97" s="12" t="s">
        <v>1026</v>
      </c>
      <c r="L97" s="12" t="s">
        <v>247</v>
      </c>
      <c r="M97" s="12" t="s">
        <v>994</v>
      </c>
      <c r="N97" s="13" t="s">
        <v>500</v>
      </c>
      <c r="O97" s="11" t="s">
        <v>432</v>
      </c>
      <c r="P97" s="11" t="s">
        <v>433</v>
      </c>
      <c r="Q97" s="11" t="s">
        <v>125</v>
      </c>
      <c r="R97" s="11" t="s">
        <v>150</v>
      </c>
      <c r="S97" s="11" t="s">
        <v>994</v>
      </c>
      <c r="T97" s="11" t="s">
        <v>125</v>
      </c>
      <c r="U97" s="11" t="s">
        <v>38</v>
      </c>
      <c r="V97" s="11" t="s">
        <v>1762</v>
      </c>
      <c r="W97" s="11" t="s">
        <v>994</v>
      </c>
      <c r="X97" s="11" t="s">
        <v>994</v>
      </c>
      <c r="Y97" s="11" t="s">
        <v>994</v>
      </c>
      <c r="Z97" s="11" t="s">
        <v>994</v>
      </c>
      <c r="AA97" s="11" t="s">
        <v>994</v>
      </c>
      <c r="AB97" s="11" t="s">
        <v>994</v>
      </c>
      <c r="AC97" s="11" t="s">
        <v>994</v>
      </c>
      <c r="AD97" s="11" t="s">
        <v>969</v>
      </c>
      <c r="AE97" s="11" t="s">
        <v>995</v>
      </c>
    </row>
    <row r="98">
      <c r="B98" s="26" t="s">
        <v>311</v>
      </c>
      <c r="C98" s="12" t="s">
        <v>1437</v>
      </c>
      <c r="D98" s="11" t="s">
        <v>501</v>
      </c>
      <c r="E98" s="11" t="s">
        <v>429</v>
      </c>
      <c r="F98" s="12" t="s">
        <v>311</v>
      </c>
      <c r="G98" s="12" t="s">
        <v>246</v>
      </c>
      <c r="H98" s="12" t="s">
        <v>246</v>
      </c>
      <c r="I98" s="12" t="s">
        <v>430</v>
      </c>
      <c r="J98" s="12" t="s">
        <v>20</v>
      </c>
      <c r="K98" s="12" t="s">
        <v>1026</v>
      </c>
      <c r="L98" s="12" t="s">
        <v>247</v>
      </c>
      <c r="M98" s="12" t="s">
        <v>994</v>
      </c>
      <c r="N98" s="13" t="s">
        <v>502</v>
      </c>
      <c r="O98" s="11" t="s">
        <v>432</v>
      </c>
      <c r="P98" s="11" t="s">
        <v>433</v>
      </c>
      <c r="Q98" s="11" t="s">
        <v>125</v>
      </c>
      <c r="R98" s="11" t="s">
        <v>150</v>
      </c>
      <c r="S98" s="11" t="s">
        <v>994</v>
      </c>
      <c r="T98" s="11" t="s">
        <v>125</v>
      </c>
      <c r="U98" s="11" t="s">
        <v>38</v>
      </c>
      <c r="V98" s="11" t="s">
        <v>1762</v>
      </c>
      <c r="W98" s="11" t="s">
        <v>994</v>
      </c>
      <c r="X98" s="11" t="s">
        <v>994</v>
      </c>
      <c r="Y98" s="11" t="s">
        <v>994</v>
      </c>
      <c r="Z98" s="11" t="s">
        <v>994</v>
      </c>
      <c r="AA98" s="11" t="s">
        <v>994</v>
      </c>
      <c r="AB98" s="11" t="s">
        <v>994</v>
      </c>
      <c r="AC98" s="11" t="s">
        <v>994</v>
      </c>
      <c r="AD98" s="11" t="s">
        <v>970</v>
      </c>
      <c r="AE98" s="11" t="s">
        <v>995</v>
      </c>
    </row>
    <row r="99">
      <c r="B99" s="26" t="s">
        <v>283</v>
      </c>
      <c r="C99" s="12" t="s">
        <v>1438</v>
      </c>
      <c r="D99" s="11" t="s">
        <v>503</v>
      </c>
      <c r="E99" s="11" t="s">
        <v>429</v>
      </c>
      <c r="F99" s="12" t="s">
        <v>283</v>
      </c>
      <c r="G99" s="12" t="s">
        <v>246</v>
      </c>
      <c r="H99" s="12" t="s">
        <v>246</v>
      </c>
      <c r="I99" s="12" t="s">
        <v>430</v>
      </c>
      <c r="J99" s="12" t="s">
        <v>20</v>
      </c>
      <c r="K99" s="12" t="s">
        <v>1026</v>
      </c>
      <c r="L99" s="12" t="s">
        <v>247</v>
      </c>
      <c r="M99" s="12" t="s">
        <v>994</v>
      </c>
      <c r="N99" s="13" t="s">
        <v>504</v>
      </c>
      <c r="O99" s="11" t="s">
        <v>432</v>
      </c>
      <c r="P99" s="11" t="s">
        <v>433</v>
      </c>
      <c r="Q99" s="11" t="s">
        <v>125</v>
      </c>
      <c r="R99" s="11" t="s">
        <v>150</v>
      </c>
      <c r="S99" s="11" t="s">
        <v>994</v>
      </c>
      <c r="T99" s="11" t="s">
        <v>126</v>
      </c>
      <c r="U99" s="11" t="s">
        <v>994</v>
      </c>
      <c r="V99" s="11" t="s">
        <v>994</v>
      </c>
      <c r="W99" s="11" t="s">
        <v>994</v>
      </c>
      <c r="X99" s="11" t="s">
        <v>994</v>
      </c>
      <c r="Y99" s="11" t="s">
        <v>994</v>
      </c>
      <c r="Z99" s="11" t="s">
        <v>994</v>
      </c>
      <c r="AA99" s="11" t="s">
        <v>994</v>
      </c>
      <c r="AB99" s="11" t="s">
        <v>994</v>
      </c>
      <c r="AC99" s="11" t="s">
        <v>994</v>
      </c>
      <c r="AD99" s="11" t="s">
        <v>994</v>
      </c>
      <c r="AE99" s="11" t="s">
        <v>1804</v>
      </c>
    </row>
    <row r="100">
      <c r="B100" s="26" t="s">
        <v>49</v>
      </c>
      <c r="C100" s="12" t="s">
        <v>1439</v>
      </c>
      <c r="D100" s="11" t="s">
        <v>505</v>
      </c>
      <c r="E100" s="11" t="s">
        <v>429</v>
      </c>
      <c r="F100" s="12" t="s">
        <v>286</v>
      </c>
      <c r="G100" s="12" t="s">
        <v>246</v>
      </c>
      <c r="H100" s="12" t="s">
        <v>246</v>
      </c>
      <c r="I100" s="12" t="s">
        <v>430</v>
      </c>
      <c r="J100" s="12" t="s">
        <v>20</v>
      </c>
      <c r="K100" s="12" t="s">
        <v>1025</v>
      </c>
      <c r="L100" s="12" t="s">
        <v>247</v>
      </c>
      <c r="M100" s="12" t="s">
        <v>994</v>
      </c>
      <c r="N100" s="13" t="s">
        <v>506</v>
      </c>
      <c r="O100" s="11" t="s">
        <v>432</v>
      </c>
      <c r="P100" s="11" t="s">
        <v>433</v>
      </c>
      <c r="Q100" s="11" t="s">
        <v>125</v>
      </c>
      <c r="R100" s="11" t="s">
        <v>150</v>
      </c>
      <c r="S100" s="11" t="s">
        <v>994</v>
      </c>
      <c r="T100" s="11" t="s">
        <v>125</v>
      </c>
      <c r="U100" s="11" t="s">
        <v>38</v>
      </c>
      <c r="V100" s="11" t="s">
        <v>1762</v>
      </c>
      <c r="W100" s="11" t="s">
        <v>994</v>
      </c>
      <c r="X100" s="11" t="s">
        <v>994</v>
      </c>
      <c r="Y100" s="11" t="s">
        <v>994</v>
      </c>
      <c r="Z100" s="11" t="s">
        <v>994</v>
      </c>
      <c r="AA100" s="11" t="s">
        <v>994</v>
      </c>
      <c r="AB100" s="11" t="s">
        <v>994</v>
      </c>
      <c r="AC100" s="11" t="s">
        <v>994</v>
      </c>
      <c r="AD100" s="11" t="s">
        <v>970</v>
      </c>
      <c r="AE100" s="11" t="s">
        <v>995</v>
      </c>
    </row>
    <row r="101">
      <c r="B101" s="26" t="s">
        <v>416</v>
      </c>
      <c r="C101" s="12" t="s">
        <v>1440</v>
      </c>
      <c r="D101" s="11" t="s">
        <v>507</v>
      </c>
      <c r="E101" s="11" t="s">
        <v>429</v>
      </c>
      <c r="F101" s="12" t="s">
        <v>416</v>
      </c>
      <c r="G101" s="12" t="s">
        <v>246</v>
      </c>
      <c r="H101" s="12" t="s">
        <v>246</v>
      </c>
      <c r="I101" s="12" t="s">
        <v>430</v>
      </c>
      <c r="J101" s="12" t="s">
        <v>20</v>
      </c>
      <c r="K101" s="12" t="s">
        <v>1025</v>
      </c>
      <c r="L101" s="12" t="s">
        <v>247</v>
      </c>
      <c r="M101" s="12" t="s">
        <v>994</v>
      </c>
      <c r="N101" s="13" t="s">
        <v>508</v>
      </c>
      <c r="O101" s="11" t="s">
        <v>432</v>
      </c>
      <c r="P101" s="11" t="s">
        <v>433</v>
      </c>
      <c r="Q101" s="11" t="s">
        <v>125</v>
      </c>
      <c r="R101" s="11" t="s">
        <v>150</v>
      </c>
      <c r="S101" s="11" t="s">
        <v>994</v>
      </c>
      <c r="T101" s="11" t="s">
        <v>126</v>
      </c>
      <c r="U101" s="11" t="s">
        <v>994</v>
      </c>
      <c r="V101" s="11" t="s">
        <v>1756</v>
      </c>
      <c r="W101" s="11" t="s">
        <v>994</v>
      </c>
      <c r="X101" s="11" t="s">
        <v>994</v>
      </c>
      <c r="Y101" s="11" t="s">
        <v>994</v>
      </c>
      <c r="Z101" s="11" t="s">
        <v>994</v>
      </c>
      <c r="AA101" s="11" t="s">
        <v>994</v>
      </c>
      <c r="AB101" s="11" t="s">
        <v>994</v>
      </c>
      <c r="AC101" s="11" t="s">
        <v>994</v>
      </c>
      <c r="AD101" s="11" t="s">
        <v>988</v>
      </c>
      <c r="AE101" s="11" t="s">
        <v>1804</v>
      </c>
    </row>
    <row r="102">
      <c r="B102" s="26" t="s">
        <v>295</v>
      </c>
      <c r="C102" s="12" t="s">
        <v>1441</v>
      </c>
      <c r="D102" s="11" t="s">
        <v>509</v>
      </c>
      <c r="E102" s="11" t="s">
        <v>429</v>
      </c>
      <c r="F102" s="12" t="s">
        <v>295</v>
      </c>
      <c r="G102" s="12" t="s">
        <v>246</v>
      </c>
      <c r="H102" s="12" t="s">
        <v>246</v>
      </c>
      <c r="I102" s="12" t="s">
        <v>430</v>
      </c>
      <c r="J102" s="12" t="s">
        <v>20</v>
      </c>
      <c r="K102" s="12" t="s">
        <v>1026</v>
      </c>
      <c r="L102" s="12" t="s">
        <v>247</v>
      </c>
      <c r="M102" s="12" t="s">
        <v>994</v>
      </c>
      <c r="N102" s="13" t="s">
        <v>510</v>
      </c>
      <c r="O102" s="11" t="s">
        <v>432</v>
      </c>
      <c r="P102" s="11" t="s">
        <v>433</v>
      </c>
      <c r="Q102" s="11" t="s">
        <v>125</v>
      </c>
      <c r="R102" s="11" t="s">
        <v>150</v>
      </c>
      <c r="S102" s="11" t="s">
        <v>994</v>
      </c>
      <c r="T102" s="11" t="s">
        <v>125</v>
      </c>
      <c r="U102" s="11" t="s">
        <v>38</v>
      </c>
      <c r="V102" s="11" t="s">
        <v>1762</v>
      </c>
      <c r="W102" s="11" t="s">
        <v>994</v>
      </c>
      <c r="X102" s="11" t="s">
        <v>994</v>
      </c>
      <c r="Y102" s="11" t="s">
        <v>994</v>
      </c>
      <c r="Z102" s="11" t="s">
        <v>994</v>
      </c>
      <c r="AA102" s="11" t="s">
        <v>994</v>
      </c>
      <c r="AB102" s="11" t="s">
        <v>994</v>
      </c>
      <c r="AC102" s="11" t="s">
        <v>994</v>
      </c>
      <c r="AD102" s="11" t="s">
        <v>971</v>
      </c>
      <c r="AE102" s="11" t="s">
        <v>995</v>
      </c>
    </row>
    <row r="103">
      <c r="B103" s="26" t="s">
        <v>295</v>
      </c>
      <c r="C103" s="12" t="s">
        <v>1442</v>
      </c>
      <c r="D103" s="11" t="s">
        <v>511</v>
      </c>
      <c r="E103" s="11" t="s">
        <v>429</v>
      </c>
      <c r="F103" s="12" t="s">
        <v>295</v>
      </c>
      <c r="G103" s="12" t="s">
        <v>246</v>
      </c>
      <c r="H103" s="12" t="s">
        <v>246</v>
      </c>
      <c r="I103" s="12" t="s">
        <v>430</v>
      </c>
      <c r="J103" s="12" t="s">
        <v>20</v>
      </c>
      <c r="K103" s="12" t="s">
        <v>1026</v>
      </c>
      <c r="L103" s="12" t="s">
        <v>247</v>
      </c>
      <c r="M103" s="12" t="s">
        <v>994</v>
      </c>
      <c r="N103" s="13" t="s">
        <v>994</v>
      </c>
      <c r="O103" s="11" t="s">
        <v>432</v>
      </c>
      <c r="P103" s="11" t="s">
        <v>433</v>
      </c>
      <c r="Q103" s="11" t="s">
        <v>125</v>
      </c>
      <c r="R103" s="11" t="s">
        <v>150</v>
      </c>
      <c r="S103" s="11" t="s">
        <v>994</v>
      </c>
      <c r="T103" s="11" t="s">
        <v>126</v>
      </c>
      <c r="U103" s="11" t="s">
        <v>994</v>
      </c>
      <c r="V103" s="11" t="s">
        <v>994</v>
      </c>
      <c r="W103" s="11" t="s">
        <v>994</v>
      </c>
      <c r="X103" s="11" t="s">
        <v>994</v>
      </c>
      <c r="Y103" s="11" t="s">
        <v>994</v>
      </c>
      <c r="Z103" s="11" t="s">
        <v>994</v>
      </c>
      <c r="AA103" s="11" t="s">
        <v>994</v>
      </c>
      <c r="AB103" s="11" t="s">
        <v>994</v>
      </c>
      <c r="AC103" s="11" t="s">
        <v>994</v>
      </c>
      <c r="AD103" s="11" t="s">
        <v>994</v>
      </c>
      <c r="AE103" s="11" t="s">
        <v>1804</v>
      </c>
    </row>
    <row r="104">
      <c r="B104" s="26" t="s">
        <v>295</v>
      </c>
      <c r="C104" s="12" t="s">
        <v>1443</v>
      </c>
      <c r="D104" s="11" t="s">
        <v>512</v>
      </c>
      <c r="E104" s="11" t="s">
        <v>429</v>
      </c>
      <c r="F104" s="12" t="s">
        <v>295</v>
      </c>
      <c r="G104" s="12" t="s">
        <v>246</v>
      </c>
      <c r="H104" s="12" t="s">
        <v>246</v>
      </c>
      <c r="I104" s="12" t="s">
        <v>430</v>
      </c>
      <c r="J104" s="12" t="s">
        <v>20</v>
      </c>
      <c r="K104" s="12" t="s">
        <v>1026</v>
      </c>
      <c r="L104" s="12" t="s">
        <v>247</v>
      </c>
      <c r="M104" s="12" t="s">
        <v>994</v>
      </c>
      <c r="N104" s="13" t="s">
        <v>994</v>
      </c>
      <c r="O104" s="11" t="s">
        <v>432</v>
      </c>
      <c r="P104" s="11" t="s">
        <v>433</v>
      </c>
      <c r="Q104" s="11" t="s">
        <v>125</v>
      </c>
      <c r="R104" s="11" t="s">
        <v>150</v>
      </c>
      <c r="S104" s="11" t="s">
        <v>994</v>
      </c>
      <c r="T104" s="11" t="s">
        <v>126</v>
      </c>
      <c r="U104" s="11" t="s">
        <v>994</v>
      </c>
      <c r="V104" s="11" t="s">
        <v>994</v>
      </c>
      <c r="W104" s="11" t="s">
        <v>994</v>
      </c>
      <c r="X104" s="11" t="s">
        <v>994</v>
      </c>
      <c r="Y104" s="11" t="s">
        <v>994</v>
      </c>
      <c r="Z104" s="11" t="s">
        <v>994</v>
      </c>
      <c r="AA104" s="11" t="s">
        <v>994</v>
      </c>
      <c r="AB104" s="11" t="s">
        <v>994</v>
      </c>
      <c r="AC104" s="11" t="s">
        <v>994</v>
      </c>
      <c r="AD104" s="11" t="s">
        <v>994</v>
      </c>
      <c r="AE104" s="11" t="s">
        <v>1804</v>
      </c>
    </row>
    <row r="105">
      <c r="B105" s="26" t="s">
        <v>278</v>
      </c>
      <c r="C105" s="12" t="s">
        <v>1444</v>
      </c>
      <c r="D105" s="11" t="s">
        <v>513</v>
      </c>
      <c r="E105" s="11" t="s">
        <v>429</v>
      </c>
      <c r="F105" s="12" t="s">
        <v>278</v>
      </c>
      <c r="G105" s="12" t="s">
        <v>246</v>
      </c>
      <c r="H105" s="12" t="s">
        <v>246</v>
      </c>
      <c r="I105" s="12" t="s">
        <v>430</v>
      </c>
      <c r="J105" s="12" t="s">
        <v>20</v>
      </c>
      <c r="K105" s="12" t="s">
        <v>1025</v>
      </c>
      <c r="L105" s="12" t="s">
        <v>247</v>
      </c>
      <c r="M105" s="12" t="s">
        <v>994</v>
      </c>
      <c r="N105" s="13" t="s">
        <v>514</v>
      </c>
      <c r="O105" s="11" t="s">
        <v>432</v>
      </c>
      <c r="P105" s="11" t="s">
        <v>433</v>
      </c>
      <c r="Q105" s="11" t="s">
        <v>125</v>
      </c>
      <c r="R105" s="11" t="s">
        <v>150</v>
      </c>
      <c r="S105" s="11" t="s">
        <v>994</v>
      </c>
      <c r="T105" s="11" t="s">
        <v>125</v>
      </c>
      <c r="U105" s="11" t="s">
        <v>29</v>
      </c>
      <c r="V105" s="11" t="s">
        <v>1762</v>
      </c>
      <c r="W105" s="11" t="s">
        <v>994</v>
      </c>
      <c r="X105" s="11" t="s">
        <v>994</v>
      </c>
      <c r="Y105" s="11" t="s">
        <v>994</v>
      </c>
      <c r="Z105" s="11" t="s">
        <v>994</v>
      </c>
      <c r="AA105" s="11" t="s">
        <v>994</v>
      </c>
      <c r="AB105" s="11" t="s">
        <v>994</v>
      </c>
      <c r="AC105" s="11" t="s">
        <v>994</v>
      </c>
      <c r="AD105" s="11" t="s">
        <v>972</v>
      </c>
      <c r="AE105" s="11" t="s">
        <v>995</v>
      </c>
    </row>
    <row r="106">
      <c r="B106" s="26" t="s">
        <v>278</v>
      </c>
      <c r="C106" s="12" t="s">
        <v>1445</v>
      </c>
      <c r="D106" s="11" t="s">
        <v>515</v>
      </c>
      <c r="E106" s="11" t="s">
        <v>429</v>
      </c>
      <c r="F106" s="12" t="s">
        <v>278</v>
      </c>
      <c r="G106" s="12" t="s">
        <v>246</v>
      </c>
      <c r="H106" s="12" t="s">
        <v>246</v>
      </c>
      <c r="I106" s="12" t="s">
        <v>430</v>
      </c>
      <c r="J106" s="12" t="s">
        <v>20</v>
      </c>
      <c r="K106" s="12" t="s">
        <v>1026</v>
      </c>
      <c r="L106" s="12" t="s">
        <v>247</v>
      </c>
      <c r="M106" s="12" t="s">
        <v>994</v>
      </c>
      <c r="N106" s="13" t="s">
        <v>516</v>
      </c>
      <c r="O106" s="11" t="s">
        <v>432</v>
      </c>
      <c r="P106" s="11" t="s">
        <v>433</v>
      </c>
      <c r="Q106" s="11" t="s">
        <v>125</v>
      </c>
      <c r="R106" s="11" t="s">
        <v>150</v>
      </c>
      <c r="S106" s="11" t="s">
        <v>994</v>
      </c>
      <c r="T106" s="11" t="s">
        <v>126</v>
      </c>
      <c r="U106" s="11" t="s">
        <v>994</v>
      </c>
      <c r="V106" s="11" t="s">
        <v>994</v>
      </c>
      <c r="W106" s="11" t="s">
        <v>994</v>
      </c>
      <c r="X106" s="11" t="s">
        <v>994</v>
      </c>
      <c r="Y106" s="11" t="s">
        <v>994</v>
      </c>
      <c r="Z106" s="11" t="s">
        <v>994</v>
      </c>
      <c r="AA106" s="11" t="s">
        <v>994</v>
      </c>
      <c r="AB106" s="11" t="s">
        <v>994</v>
      </c>
      <c r="AC106" s="11" t="s">
        <v>994</v>
      </c>
      <c r="AD106" s="11" t="s">
        <v>994</v>
      </c>
      <c r="AE106" s="11" t="s">
        <v>1804</v>
      </c>
    </row>
    <row r="107">
      <c r="B107" s="26" t="s">
        <v>278</v>
      </c>
      <c r="C107" s="12" t="s">
        <v>1446</v>
      </c>
      <c r="D107" s="11" t="s">
        <v>517</v>
      </c>
      <c r="E107" s="11" t="s">
        <v>429</v>
      </c>
      <c r="F107" s="12" t="s">
        <v>278</v>
      </c>
      <c r="G107" s="12" t="s">
        <v>246</v>
      </c>
      <c r="H107" s="12" t="s">
        <v>246</v>
      </c>
      <c r="I107" s="12" t="s">
        <v>430</v>
      </c>
      <c r="J107" s="12" t="s">
        <v>20</v>
      </c>
      <c r="K107" s="12" t="s">
        <v>1026</v>
      </c>
      <c r="L107" s="12" t="s">
        <v>247</v>
      </c>
      <c r="M107" s="12" t="s">
        <v>994</v>
      </c>
      <c r="N107" s="13" t="s">
        <v>518</v>
      </c>
      <c r="O107" s="11" t="s">
        <v>432</v>
      </c>
      <c r="P107" s="11" t="s">
        <v>433</v>
      </c>
      <c r="Q107" s="11" t="s">
        <v>125</v>
      </c>
      <c r="R107" s="11" t="s">
        <v>150</v>
      </c>
      <c r="S107" s="11" t="s">
        <v>994</v>
      </c>
      <c r="T107" s="11" t="s">
        <v>126</v>
      </c>
      <c r="U107" s="11" t="s">
        <v>994</v>
      </c>
      <c r="V107" s="11" t="s">
        <v>994</v>
      </c>
      <c r="W107" s="11" t="s">
        <v>994</v>
      </c>
      <c r="X107" s="11" t="s">
        <v>994</v>
      </c>
      <c r="Y107" s="11" t="s">
        <v>994</v>
      </c>
      <c r="Z107" s="11" t="s">
        <v>994</v>
      </c>
      <c r="AA107" s="11" t="s">
        <v>994</v>
      </c>
      <c r="AB107" s="11" t="s">
        <v>994</v>
      </c>
      <c r="AC107" s="11" t="s">
        <v>994</v>
      </c>
      <c r="AD107" s="11" t="s">
        <v>994</v>
      </c>
      <c r="AE107" s="11" t="s">
        <v>1804</v>
      </c>
    </row>
    <row r="108">
      <c r="B108" s="26" t="s">
        <v>283</v>
      </c>
      <c r="C108" s="12" t="s">
        <v>1447</v>
      </c>
      <c r="D108" s="11" t="s">
        <v>519</v>
      </c>
      <c r="E108" s="11" t="s">
        <v>429</v>
      </c>
      <c r="F108" s="12" t="s">
        <v>283</v>
      </c>
      <c r="G108" s="12" t="s">
        <v>246</v>
      </c>
      <c r="H108" s="12" t="s">
        <v>246</v>
      </c>
      <c r="I108" s="12" t="s">
        <v>430</v>
      </c>
      <c r="J108" s="12" t="s">
        <v>20</v>
      </c>
      <c r="K108" s="12" t="s">
        <v>1026</v>
      </c>
      <c r="L108" s="12" t="s">
        <v>247</v>
      </c>
      <c r="M108" s="12" t="s">
        <v>994</v>
      </c>
      <c r="N108" s="13" t="s">
        <v>520</v>
      </c>
      <c r="O108" s="11" t="s">
        <v>432</v>
      </c>
      <c r="P108" s="11" t="s">
        <v>433</v>
      </c>
      <c r="Q108" s="11" t="s">
        <v>125</v>
      </c>
      <c r="R108" s="11" t="s">
        <v>150</v>
      </c>
      <c r="S108" s="11" t="s">
        <v>994</v>
      </c>
      <c r="T108" s="11" t="s">
        <v>125</v>
      </c>
      <c r="U108" s="11" t="s">
        <v>38</v>
      </c>
      <c r="V108" s="11" t="s">
        <v>1762</v>
      </c>
      <c r="W108" s="11" t="s">
        <v>994</v>
      </c>
      <c r="X108" s="11" t="s">
        <v>994</v>
      </c>
      <c r="Y108" s="11" t="s">
        <v>994</v>
      </c>
      <c r="Z108" s="11" t="s">
        <v>994</v>
      </c>
      <c r="AA108" s="11" t="s">
        <v>994</v>
      </c>
      <c r="AB108" s="11" t="s">
        <v>994</v>
      </c>
      <c r="AC108" s="11" t="s">
        <v>994</v>
      </c>
      <c r="AD108" s="11" t="s">
        <v>971</v>
      </c>
      <c r="AE108" s="11" t="s">
        <v>995</v>
      </c>
    </row>
    <row r="109">
      <c r="B109" s="26" t="s">
        <v>283</v>
      </c>
      <c r="C109" s="12" t="s">
        <v>1448</v>
      </c>
      <c r="D109" s="11" t="s">
        <v>521</v>
      </c>
      <c r="E109" s="11" t="s">
        <v>429</v>
      </c>
      <c r="F109" s="12" t="s">
        <v>283</v>
      </c>
      <c r="G109" s="12" t="s">
        <v>246</v>
      </c>
      <c r="H109" s="12" t="s">
        <v>246</v>
      </c>
      <c r="I109" s="12" t="s">
        <v>430</v>
      </c>
      <c r="J109" s="12" t="s">
        <v>20</v>
      </c>
      <c r="K109" s="12" t="s">
        <v>1025</v>
      </c>
      <c r="L109" s="12" t="s">
        <v>247</v>
      </c>
      <c r="M109" s="12" t="s">
        <v>994</v>
      </c>
      <c r="N109" s="13" t="s">
        <v>522</v>
      </c>
      <c r="O109" s="11" t="s">
        <v>432</v>
      </c>
      <c r="P109" s="11" t="s">
        <v>433</v>
      </c>
      <c r="Q109" s="11" t="s">
        <v>125</v>
      </c>
      <c r="R109" s="11" t="s">
        <v>150</v>
      </c>
      <c r="S109" s="11" t="s">
        <v>994</v>
      </c>
      <c r="T109" s="11" t="s">
        <v>125</v>
      </c>
      <c r="U109" s="11" t="s">
        <v>38</v>
      </c>
      <c r="V109" s="11" t="s">
        <v>1756</v>
      </c>
      <c r="W109" s="11" t="s">
        <v>1762</v>
      </c>
      <c r="X109" s="11" t="s">
        <v>994</v>
      </c>
      <c r="Y109" s="11" t="s">
        <v>994</v>
      </c>
      <c r="Z109" s="11" t="s">
        <v>994</v>
      </c>
      <c r="AA109" s="11" t="s">
        <v>994</v>
      </c>
      <c r="AB109" s="11" t="s">
        <v>994</v>
      </c>
      <c r="AC109" s="11" t="s">
        <v>994</v>
      </c>
      <c r="AD109" s="11" t="s">
        <v>1255</v>
      </c>
      <c r="AE109" s="11" t="s">
        <v>995</v>
      </c>
    </row>
    <row r="110">
      <c r="B110" s="26" t="s">
        <v>283</v>
      </c>
      <c r="C110" s="12" t="s">
        <v>1449</v>
      </c>
      <c r="D110" s="11" t="s">
        <v>523</v>
      </c>
      <c r="E110" s="11" t="s">
        <v>429</v>
      </c>
      <c r="F110" s="12" t="s">
        <v>283</v>
      </c>
      <c r="G110" s="12" t="s">
        <v>246</v>
      </c>
      <c r="H110" s="12" t="s">
        <v>246</v>
      </c>
      <c r="I110" s="12" t="s">
        <v>430</v>
      </c>
      <c r="J110" s="12" t="s">
        <v>20</v>
      </c>
      <c r="K110" s="12" t="s">
        <v>1026</v>
      </c>
      <c r="L110" s="12" t="s">
        <v>247</v>
      </c>
      <c r="M110" s="12" t="s">
        <v>994</v>
      </c>
      <c r="N110" s="13" t="s">
        <v>524</v>
      </c>
      <c r="O110" s="11" t="s">
        <v>432</v>
      </c>
      <c r="P110" s="11" t="s">
        <v>433</v>
      </c>
      <c r="Q110" s="11" t="s">
        <v>125</v>
      </c>
      <c r="R110" s="11" t="s">
        <v>150</v>
      </c>
      <c r="S110" s="11" t="s">
        <v>994</v>
      </c>
      <c r="T110" s="11" t="s">
        <v>126</v>
      </c>
      <c r="U110" s="11" t="s">
        <v>994</v>
      </c>
      <c r="V110" s="11" t="s">
        <v>994</v>
      </c>
      <c r="W110" s="11" t="s">
        <v>994</v>
      </c>
      <c r="X110" s="11" t="s">
        <v>994</v>
      </c>
      <c r="Y110" s="11" t="s">
        <v>994</v>
      </c>
      <c r="Z110" s="11" t="s">
        <v>994</v>
      </c>
      <c r="AA110" s="11" t="s">
        <v>994</v>
      </c>
      <c r="AB110" s="11" t="s">
        <v>994</v>
      </c>
      <c r="AC110" s="11" t="s">
        <v>994</v>
      </c>
      <c r="AD110" s="11" t="s">
        <v>994</v>
      </c>
      <c r="AE110" s="11" t="s">
        <v>1804</v>
      </c>
    </row>
    <row r="111">
      <c r="B111" s="26" t="s">
        <v>416</v>
      </c>
      <c r="C111" s="12" t="s">
        <v>1450</v>
      </c>
      <c r="D111" s="11" t="s">
        <v>525</v>
      </c>
      <c r="E111" s="11" t="s">
        <v>429</v>
      </c>
      <c r="F111" s="12" t="s">
        <v>416</v>
      </c>
      <c r="G111" s="12" t="s">
        <v>247</v>
      </c>
      <c r="H111" s="12" t="s">
        <v>126</v>
      </c>
      <c r="I111" s="12" t="s">
        <v>430</v>
      </c>
      <c r="J111" s="12" t="s">
        <v>20</v>
      </c>
      <c r="K111" s="12" t="s">
        <v>1026</v>
      </c>
      <c r="L111" s="12" t="s">
        <v>247</v>
      </c>
      <c r="M111" s="12" t="s">
        <v>994</v>
      </c>
      <c r="N111" s="13" t="s">
        <v>27</v>
      </c>
      <c r="O111" s="11" t="s">
        <v>526</v>
      </c>
      <c r="P111" s="11" t="s">
        <v>433</v>
      </c>
      <c r="Q111" s="11" t="s">
        <v>125</v>
      </c>
      <c r="R111" s="11" t="s">
        <v>150</v>
      </c>
      <c r="S111" s="11" t="s">
        <v>994</v>
      </c>
      <c r="T111" s="11" t="s">
        <v>126</v>
      </c>
      <c r="U111" s="11" t="s">
        <v>994</v>
      </c>
      <c r="V111" s="11" t="s">
        <v>994</v>
      </c>
      <c r="W111" s="11" t="s">
        <v>994</v>
      </c>
      <c r="X111" s="11" t="s">
        <v>994</v>
      </c>
      <c r="Y111" s="11" t="s">
        <v>994</v>
      </c>
      <c r="Z111" s="11" t="s">
        <v>994</v>
      </c>
      <c r="AA111" s="11" t="s">
        <v>994</v>
      </c>
      <c r="AB111" s="11" t="s">
        <v>994</v>
      </c>
      <c r="AC111" s="11" t="s">
        <v>994</v>
      </c>
      <c r="AD111" s="11" t="s">
        <v>994</v>
      </c>
      <c r="AE111" s="11" t="s">
        <v>1804</v>
      </c>
    </row>
    <row r="112">
      <c r="B112" s="26" t="s">
        <v>416</v>
      </c>
      <c r="C112" s="12" t="s">
        <v>1451</v>
      </c>
      <c r="D112" s="11" t="s">
        <v>142</v>
      </c>
      <c r="E112" s="11" t="s">
        <v>429</v>
      </c>
      <c r="F112" s="12" t="s">
        <v>416</v>
      </c>
      <c r="G112" s="12" t="s">
        <v>247</v>
      </c>
      <c r="H112" s="12" t="s">
        <v>126</v>
      </c>
      <c r="I112" s="12" t="s">
        <v>430</v>
      </c>
      <c r="J112" s="12" t="s">
        <v>20</v>
      </c>
      <c r="K112" s="12" t="s">
        <v>1026</v>
      </c>
      <c r="L112" s="12" t="s">
        <v>247</v>
      </c>
      <c r="M112" s="12" t="s">
        <v>994</v>
      </c>
      <c r="N112" s="13" t="s">
        <v>527</v>
      </c>
      <c r="O112" s="11" t="s">
        <v>432</v>
      </c>
      <c r="P112" s="11" t="s">
        <v>433</v>
      </c>
      <c r="Q112" s="11" t="s">
        <v>125</v>
      </c>
      <c r="R112" s="11" t="s">
        <v>150</v>
      </c>
      <c r="S112" s="11" t="s">
        <v>994</v>
      </c>
      <c r="T112" s="11" t="s">
        <v>126</v>
      </c>
      <c r="U112" s="11" t="s">
        <v>994</v>
      </c>
      <c r="V112" s="11" t="s">
        <v>994</v>
      </c>
      <c r="W112" s="11" t="s">
        <v>994</v>
      </c>
      <c r="X112" s="11" t="s">
        <v>994</v>
      </c>
      <c r="Y112" s="11" t="s">
        <v>994</v>
      </c>
      <c r="Z112" s="11" t="s">
        <v>994</v>
      </c>
      <c r="AA112" s="11" t="s">
        <v>994</v>
      </c>
      <c r="AB112" s="11" t="s">
        <v>994</v>
      </c>
      <c r="AC112" s="11" t="s">
        <v>994</v>
      </c>
      <c r="AD112" s="11" t="s">
        <v>994</v>
      </c>
      <c r="AE112" s="11" t="s">
        <v>1804</v>
      </c>
    </row>
    <row r="113">
      <c r="B113" s="26" t="s">
        <v>416</v>
      </c>
      <c r="C113" s="12" t="s">
        <v>1452</v>
      </c>
      <c r="D113" s="11" t="s">
        <v>31</v>
      </c>
      <c r="E113" s="11" t="s">
        <v>429</v>
      </c>
      <c r="F113" s="12" t="s">
        <v>416</v>
      </c>
      <c r="G113" s="12" t="s">
        <v>247</v>
      </c>
      <c r="H113" s="12" t="s">
        <v>126</v>
      </c>
      <c r="I113" s="12" t="s">
        <v>430</v>
      </c>
      <c r="J113" s="12" t="s">
        <v>20</v>
      </c>
      <c r="K113" s="12" t="s">
        <v>1026</v>
      </c>
      <c r="L113" s="12" t="s">
        <v>247</v>
      </c>
      <c r="M113" s="12" t="s">
        <v>994</v>
      </c>
      <c r="N113" s="13" t="s">
        <v>32</v>
      </c>
      <c r="O113" s="11" t="s">
        <v>432</v>
      </c>
      <c r="P113" s="11" t="s">
        <v>433</v>
      </c>
      <c r="Q113" s="11" t="s">
        <v>125</v>
      </c>
      <c r="R113" s="11" t="s">
        <v>150</v>
      </c>
      <c r="S113" s="11" t="s">
        <v>125</v>
      </c>
      <c r="T113" s="11" t="s">
        <v>125</v>
      </c>
      <c r="U113" s="11" t="s">
        <v>38</v>
      </c>
      <c r="V113" s="11" t="s">
        <v>1378</v>
      </c>
      <c r="W113" s="11" t="s">
        <v>994</v>
      </c>
      <c r="X113" s="11" t="s">
        <v>994</v>
      </c>
      <c r="Y113" s="11" t="s">
        <v>994</v>
      </c>
      <c r="Z113" s="11" t="s">
        <v>994</v>
      </c>
      <c r="AA113" s="11" t="s">
        <v>994</v>
      </c>
      <c r="AB113" s="11" t="s">
        <v>994</v>
      </c>
      <c r="AC113" s="11" t="s">
        <v>994</v>
      </c>
      <c r="AD113" s="11" t="s">
        <v>994</v>
      </c>
      <c r="AE113" s="11" t="s">
        <v>995</v>
      </c>
    </row>
    <row r="114">
      <c r="B114" s="26" t="s">
        <v>278</v>
      </c>
      <c r="C114" s="12" t="s">
        <v>1453</v>
      </c>
      <c r="D114" s="11" t="s">
        <v>530</v>
      </c>
      <c r="E114" s="11" t="s">
        <v>93</v>
      </c>
      <c r="F114" s="12" t="s">
        <v>278</v>
      </c>
      <c r="G114" s="12" t="s">
        <v>246</v>
      </c>
      <c r="H114" s="12" t="s">
        <v>246</v>
      </c>
      <c r="I114" s="12" t="s">
        <v>430</v>
      </c>
      <c r="J114" s="12" t="s">
        <v>93</v>
      </c>
      <c r="K114" s="12" t="s">
        <v>1025</v>
      </c>
      <c r="L114" s="12" t="s">
        <v>247</v>
      </c>
      <c r="M114" s="12" t="s">
        <v>994</v>
      </c>
      <c r="N114" s="13" t="s">
        <v>531</v>
      </c>
      <c r="O114" s="11" t="s">
        <v>532</v>
      </c>
      <c r="P114" s="11" t="s">
        <v>533</v>
      </c>
      <c r="Q114" s="11" t="s">
        <v>125</v>
      </c>
      <c r="R114" s="11" t="s">
        <v>150</v>
      </c>
      <c r="S114" s="11" t="s">
        <v>994</v>
      </c>
      <c r="T114" s="11" t="s">
        <v>126</v>
      </c>
      <c r="U114" s="11" t="s">
        <v>994</v>
      </c>
      <c r="V114" s="11" t="s">
        <v>994</v>
      </c>
      <c r="W114" s="11" t="s">
        <v>994</v>
      </c>
      <c r="X114" s="11" t="s">
        <v>994</v>
      </c>
      <c r="Y114" s="11" t="s">
        <v>994</v>
      </c>
      <c r="Z114" s="11" t="s">
        <v>994</v>
      </c>
      <c r="AA114" s="11" t="s">
        <v>994</v>
      </c>
      <c r="AB114" s="11" t="s">
        <v>994</v>
      </c>
      <c r="AC114" s="11" t="s">
        <v>994</v>
      </c>
      <c r="AD114" s="11" t="s">
        <v>994</v>
      </c>
      <c r="AE114" s="11" t="s">
        <v>1804</v>
      </c>
    </row>
    <row r="115">
      <c r="B115" s="26" t="s">
        <v>49</v>
      </c>
      <c r="C115" s="12" t="s">
        <v>1454</v>
      </c>
      <c r="D115" s="11" t="s">
        <v>534</v>
      </c>
      <c r="E115" s="11" t="s">
        <v>93</v>
      </c>
      <c r="F115" s="12" t="s">
        <v>49</v>
      </c>
      <c r="G115" s="12" t="s">
        <v>246</v>
      </c>
      <c r="H115" s="12" t="s">
        <v>246</v>
      </c>
      <c r="I115" s="12" t="s">
        <v>430</v>
      </c>
      <c r="J115" s="12" t="s">
        <v>93</v>
      </c>
      <c r="K115" s="12" t="s">
        <v>1026</v>
      </c>
      <c r="L115" s="12" t="s">
        <v>247</v>
      </c>
      <c r="M115" s="12" t="s">
        <v>994</v>
      </c>
      <c r="N115" s="13" t="s">
        <v>535</v>
      </c>
      <c r="O115" s="11" t="s">
        <v>532</v>
      </c>
      <c r="P115" s="11" t="s">
        <v>533</v>
      </c>
      <c r="Q115" s="11" t="s">
        <v>125</v>
      </c>
      <c r="R115" s="11" t="s">
        <v>150</v>
      </c>
      <c r="S115" s="11" t="s">
        <v>994</v>
      </c>
      <c r="T115" s="11" t="s">
        <v>126</v>
      </c>
      <c r="U115" s="11" t="s">
        <v>994</v>
      </c>
      <c r="V115" s="11" t="s">
        <v>994</v>
      </c>
      <c r="W115" s="11" t="s">
        <v>994</v>
      </c>
      <c r="X115" s="11" t="s">
        <v>994</v>
      </c>
      <c r="Y115" s="11" t="s">
        <v>994</v>
      </c>
      <c r="Z115" s="11" t="s">
        <v>994</v>
      </c>
      <c r="AA115" s="11" t="s">
        <v>994</v>
      </c>
      <c r="AB115" s="11" t="s">
        <v>994</v>
      </c>
      <c r="AC115" s="11" t="s">
        <v>994</v>
      </c>
      <c r="AD115" s="11" t="s">
        <v>994</v>
      </c>
      <c r="AE115" s="11" t="s">
        <v>1804</v>
      </c>
    </row>
    <row r="116">
      <c r="B116" s="26" t="s">
        <v>311</v>
      </c>
      <c r="C116" s="12" t="s">
        <v>1455</v>
      </c>
      <c r="D116" s="11" t="s">
        <v>536</v>
      </c>
      <c r="E116" s="11" t="s">
        <v>93</v>
      </c>
      <c r="F116" s="12" t="s">
        <v>311</v>
      </c>
      <c r="G116" s="12" t="s">
        <v>246</v>
      </c>
      <c r="H116" s="12" t="s">
        <v>246</v>
      </c>
      <c r="I116" s="12" t="s">
        <v>430</v>
      </c>
      <c r="J116" s="12" t="s">
        <v>93</v>
      </c>
      <c r="K116" s="12" t="s">
        <v>1026</v>
      </c>
      <c r="L116" s="12" t="s">
        <v>247</v>
      </c>
      <c r="M116" s="12" t="s">
        <v>994</v>
      </c>
      <c r="N116" s="13" t="s">
        <v>537</v>
      </c>
      <c r="O116" s="11" t="s">
        <v>532</v>
      </c>
      <c r="P116" s="11" t="s">
        <v>533</v>
      </c>
      <c r="Q116" s="11" t="s">
        <v>125</v>
      </c>
      <c r="R116" s="11" t="s">
        <v>150</v>
      </c>
      <c r="S116" s="11" t="s">
        <v>994</v>
      </c>
      <c r="T116" s="11" t="s">
        <v>126</v>
      </c>
      <c r="U116" s="11" t="s">
        <v>994</v>
      </c>
      <c r="V116" s="11" t="s">
        <v>994</v>
      </c>
      <c r="W116" s="11" t="s">
        <v>994</v>
      </c>
      <c r="X116" s="11" t="s">
        <v>994</v>
      </c>
      <c r="Y116" s="11" t="s">
        <v>994</v>
      </c>
      <c r="Z116" s="11" t="s">
        <v>994</v>
      </c>
      <c r="AA116" s="11" t="s">
        <v>994</v>
      </c>
      <c r="AB116" s="11" t="s">
        <v>994</v>
      </c>
      <c r="AC116" s="11" t="s">
        <v>994</v>
      </c>
      <c r="AD116" s="11" t="s">
        <v>994</v>
      </c>
      <c r="AE116" s="11" t="s">
        <v>1804</v>
      </c>
    </row>
    <row r="117">
      <c r="B117" s="26" t="s">
        <v>49</v>
      </c>
      <c r="C117" s="12" t="s">
        <v>1456</v>
      </c>
      <c r="D117" s="11" t="s">
        <v>538</v>
      </c>
      <c r="E117" s="11" t="s">
        <v>93</v>
      </c>
      <c r="F117" s="12" t="s">
        <v>413</v>
      </c>
      <c r="G117" s="12" t="s">
        <v>246</v>
      </c>
      <c r="H117" s="12" t="s">
        <v>246</v>
      </c>
      <c r="I117" s="12" t="s">
        <v>430</v>
      </c>
      <c r="J117" s="12" t="s">
        <v>93</v>
      </c>
      <c r="K117" s="12" t="s">
        <v>1026</v>
      </c>
      <c r="L117" s="12" t="s">
        <v>247</v>
      </c>
      <c r="M117" s="12" t="s">
        <v>994</v>
      </c>
      <c r="N117" s="13" t="s">
        <v>539</v>
      </c>
      <c r="O117" s="11" t="s">
        <v>532</v>
      </c>
      <c r="P117" s="11" t="s">
        <v>533</v>
      </c>
      <c r="Q117" s="11" t="s">
        <v>125</v>
      </c>
      <c r="R117" s="11" t="s">
        <v>150</v>
      </c>
      <c r="S117" s="11" t="s">
        <v>994</v>
      </c>
      <c r="T117" s="11" t="s">
        <v>126</v>
      </c>
      <c r="U117" s="11" t="s">
        <v>994</v>
      </c>
      <c r="V117" s="11" t="s">
        <v>994</v>
      </c>
      <c r="W117" s="11" t="s">
        <v>994</v>
      </c>
      <c r="X117" s="11" t="s">
        <v>994</v>
      </c>
      <c r="Y117" s="11" t="s">
        <v>994</v>
      </c>
      <c r="Z117" s="11" t="s">
        <v>994</v>
      </c>
      <c r="AA117" s="11" t="s">
        <v>994</v>
      </c>
      <c r="AB117" s="11" t="s">
        <v>994</v>
      </c>
      <c r="AC117" s="11" t="s">
        <v>994</v>
      </c>
      <c r="AD117" s="11" t="s">
        <v>994</v>
      </c>
      <c r="AE117" s="11" t="s">
        <v>1804</v>
      </c>
    </row>
    <row r="118">
      <c r="B118" s="26" t="s">
        <v>49</v>
      </c>
      <c r="C118" s="12" t="s">
        <v>1457</v>
      </c>
      <c r="D118" s="11" t="s">
        <v>540</v>
      </c>
      <c r="E118" s="11" t="s">
        <v>93</v>
      </c>
      <c r="F118" s="12" t="s">
        <v>435</v>
      </c>
      <c r="G118" s="12" t="s">
        <v>246</v>
      </c>
      <c r="H118" s="12" t="s">
        <v>246</v>
      </c>
      <c r="I118" s="12" t="s">
        <v>430</v>
      </c>
      <c r="J118" s="12" t="s">
        <v>93</v>
      </c>
      <c r="K118" s="12" t="s">
        <v>1026</v>
      </c>
      <c r="L118" s="12" t="s">
        <v>247</v>
      </c>
      <c r="M118" s="12" t="s">
        <v>994</v>
      </c>
      <c r="N118" s="13" t="s">
        <v>541</v>
      </c>
      <c r="O118" s="11" t="s">
        <v>532</v>
      </c>
      <c r="P118" s="11" t="s">
        <v>533</v>
      </c>
      <c r="Q118" s="11" t="s">
        <v>125</v>
      </c>
      <c r="R118" s="11" t="s">
        <v>150</v>
      </c>
      <c r="S118" s="11" t="s">
        <v>994</v>
      </c>
      <c r="T118" s="11" t="s">
        <v>126</v>
      </c>
      <c r="U118" s="11" t="s">
        <v>994</v>
      </c>
      <c r="V118" s="11" t="s">
        <v>994</v>
      </c>
      <c r="W118" s="11" t="s">
        <v>994</v>
      </c>
      <c r="X118" s="11" t="s">
        <v>994</v>
      </c>
      <c r="Y118" s="11" t="s">
        <v>994</v>
      </c>
      <c r="Z118" s="11" t="s">
        <v>994</v>
      </c>
      <c r="AA118" s="11" t="s">
        <v>994</v>
      </c>
      <c r="AB118" s="11" t="s">
        <v>994</v>
      </c>
      <c r="AC118" s="11" t="s">
        <v>994</v>
      </c>
      <c r="AD118" s="11" t="s">
        <v>994</v>
      </c>
      <c r="AE118" s="11" t="s">
        <v>1804</v>
      </c>
    </row>
    <row r="119">
      <c r="B119" s="26" t="s">
        <v>49</v>
      </c>
      <c r="C119" s="12" t="s">
        <v>1458</v>
      </c>
      <c r="D119" s="11" t="s">
        <v>542</v>
      </c>
      <c r="E119" s="11" t="s">
        <v>93</v>
      </c>
      <c r="F119" s="12" t="s">
        <v>543</v>
      </c>
      <c r="G119" s="12" t="s">
        <v>246</v>
      </c>
      <c r="H119" s="12" t="s">
        <v>246</v>
      </c>
      <c r="I119" s="12" t="s">
        <v>430</v>
      </c>
      <c r="J119" s="12" t="s">
        <v>93</v>
      </c>
      <c r="K119" s="12" t="s">
        <v>1026</v>
      </c>
      <c r="L119" s="12" t="s">
        <v>247</v>
      </c>
      <c r="M119" s="12" t="s">
        <v>994</v>
      </c>
      <c r="N119" s="13" t="s">
        <v>544</v>
      </c>
      <c r="O119" s="11" t="s">
        <v>532</v>
      </c>
      <c r="P119" s="11" t="s">
        <v>533</v>
      </c>
      <c r="Q119" s="11" t="s">
        <v>125</v>
      </c>
      <c r="R119" s="11" t="s">
        <v>150</v>
      </c>
      <c r="S119" s="11" t="s">
        <v>994</v>
      </c>
      <c r="T119" s="11" t="s">
        <v>126</v>
      </c>
      <c r="U119" s="11" t="s">
        <v>994</v>
      </c>
      <c r="V119" s="11" t="s">
        <v>994</v>
      </c>
      <c r="W119" s="11" t="s">
        <v>994</v>
      </c>
      <c r="X119" s="11" t="s">
        <v>994</v>
      </c>
      <c r="Y119" s="11" t="s">
        <v>994</v>
      </c>
      <c r="Z119" s="11" t="s">
        <v>994</v>
      </c>
      <c r="AA119" s="11" t="s">
        <v>994</v>
      </c>
      <c r="AB119" s="11" t="s">
        <v>994</v>
      </c>
      <c r="AC119" s="11" t="s">
        <v>994</v>
      </c>
      <c r="AD119" s="11" t="s">
        <v>994</v>
      </c>
      <c r="AE119" s="11" t="s">
        <v>1804</v>
      </c>
    </row>
    <row r="120">
      <c r="B120" s="26" t="s">
        <v>416</v>
      </c>
      <c r="C120" s="12" t="s">
        <v>1459</v>
      </c>
      <c r="D120" s="11" t="s">
        <v>545</v>
      </c>
      <c r="E120" s="11" t="s">
        <v>93</v>
      </c>
      <c r="F120" s="12" t="s">
        <v>416</v>
      </c>
      <c r="G120" s="12" t="s">
        <v>246</v>
      </c>
      <c r="H120" s="12" t="s">
        <v>246</v>
      </c>
      <c r="I120" s="12" t="s">
        <v>430</v>
      </c>
      <c r="J120" s="12" t="s">
        <v>93</v>
      </c>
      <c r="K120" s="12" t="s">
        <v>1026</v>
      </c>
      <c r="L120" s="12" t="s">
        <v>247</v>
      </c>
      <c r="M120" s="12" t="s">
        <v>994</v>
      </c>
      <c r="N120" s="13" t="s">
        <v>546</v>
      </c>
      <c r="O120" s="11" t="s">
        <v>532</v>
      </c>
      <c r="P120" s="11" t="s">
        <v>533</v>
      </c>
      <c r="Q120" s="11" t="s">
        <v>125</v>
      </c>
      <c r="R120" s="11" t="s">
        <v>150</v>
      </c>
      <c r="S120" s="11" t="s">
        <v>994</v>
      </c>
      <c r="T120" s="11" t="s">
        <v>126</v>
      </c>
      <c r="U120" s="11" t="s">
        <v>994</v>
      </c>
      <c r="V120" s="11" t="s">
        <v>994</v>
      </c>
      <c r="W120" s="11" t="s">
        <v>994</v>
      </c>
      <c r="X120" s="11" t="s">
        <v>994</v>
      </c>
      <c r="Y120" s="11" t="s">
        <v>994</v>
      </c>
      <c r="Z120" s="11" t="s">
        <v>994</v>
      </c>
      <c r="AA120" s="11" t="s">
        <v>994</v>
      </c>
      <c r="AB120" s="11" t="s">
        <v>994</v>
      </c>
      <c r="AC120" s="11" t="s">
        <v>994</v>
      </c>
      <c r="AD120" s="11" t="s">
        <v>994</v>
      </c>
      <c r="AE120" s="11" t="s">
        <v>1804</v>
      </c>
    </row>
    <row r="121">
      <c r="B121" s="26" t="s">
        <v>49</v>
      </c>
      <c r="C121" s="12" t="s">
        <v>1460</v>
      </c>
      <c r="D121" s="11" t="s">
        <v>547</v>
      </c>
      <c r="E121" s="11" t="s">
        <v>93</v>
      </c>
      <c r="F121" s="12" t="s">
        <v>377</v>
      </c>
      <c r="G121" s="12" t="s">
        <v>246</v>
      </c>
      <c r="H121" s="12" t="s">
        <v>246</v>
      </c>
      <c r="I121" s="12" t="s">
        <v>430</v>
      </c>
      <c r="J121" s="12" t="s">
        <v>93</v>
      </c>
      <c r="K121" s="12" t="s">
        <v>1026</v>
      </c>
      <c r="L121" s="12" t="s">
        <v>247</v>
      </c>
      <c r="M121" s="12" t="s">
        <v>994</v>
      </c>
      <c r="N121" s="13" t="s">
        <v>548</v>
      </c>
      <c r="O121" s="11" t="s">
        <v>532</v>
      </c>
      <c r="P121" s="11" t="s">
        <v>533</v>
      </c>
      <c r="Q121" s="11" t="s">
        <v>125</v>
      </c>
      <c r="R121" s="11" t="s">
        <v>150</v>
      </c>
      <c r="S121" s="11" t="s">
        <v>994</v>
      </c>
      <c r="T121" s="11" t="s">
        <v>126</v>
      </c>
      <c r="U121" s="11" t="s">
        <v>994</v>
      </c>
      <c r="V121" s="11" t="s">
        <v>994</v>
      </c>
      <c r="W121" s="11" t="s">
        <v>994</v>
      </c>
      <c r="X121" s="11" t="s">
        <v>994</v>
      </c>
      <c r="Y121" s="11" t="s">
        <v>994</v>
      </c>
      <c r="Z121" s="11" t="s">
        <v>994</v>
      </c>
      <c r="AA121" s="11" t="s">
        <v>994</v>
      </c>
      <c r="AB121" s="11" t="s">
        <v>994</v>
      </c>
      <c r="AC121" s="11" t="s">
        <v>994</v>
      </c>
      <c r="AD121" s="11" t="s">
        <v>994</v>
      </c>
      <c r="AE121" s="11" t="s">
        <v>1804</v>
      </c>
    </row>
    <row r="122">
      <c r="B122" s="26" t="s">
        <v>314</v>
      </c>
      <c r="C122" s="12" t="s">
        <v>1461</v>
      </c>
      <c r="D122" s="11" t="s">
        <v>549</v>
      </c>
      <c r="E122" s="11" t="s">
        <v>93</v>
      </c>
      <c r="F122" s="12" t="s">
        <v>314</v>
      </c>
      <c r="G122" s="12" t="s">
        <v>246</v>
      </c>
      <c r="H122" s="12" t="s">
        <v>246</v>
      </c>
      <c r="I122" s="12" t="s">
        <v>430</v>
      </c>
      <c r="J122" s="12" t="s">
        <v>93</v>
      </c>
      <c r="K122" s="12" t="s">
        <v>1025</v>
      </c>
      <c r="L122" s="12" t="s">
        <v>247</v>
      </c>
      <c r="M122" s="12" t="s">
        <v>994</v>
      </c>
      <c r="N122" s="13" t="s">
        <v>550</v>
      </c>
      <c r="O122" s="11" t="s">
        <v>532</v>
      </c>
      <c r="P122" s="11" t="s">
        <v>533</v>
      </c>
      <c r="Q122" s="11" t="s">
        <v>125</v>
      </c>
      <c r="R122" s="11" t="s">
        <v>150</v>
      </c>
      <c r="S122" s="11" t="s">
        <v>994</v>
      </c>
      <c r="T122" s="11" t="s">
        <v>126</v>
      </c>
      <c r="U122" s="11" t="s">
        <v>994</v>
      </c>
      <c r="V122" s="11" t="s">
        <v>994</v>
      </c>
      <c r="W122" s="11" t="s">
        <v>994</v>
      </c>
      <c r="X122" s="11" t="s">
        <v>994</v>
      </c>
      <c r="Y122" s="11" t="s">
        <v>994</v>
      </c>
      <c r="Z122" s="11" t="s">
        <v>994</v>
      </c>
      <c r="AA122" s="11" t="s">
        <v>994</v>
      </c>
      <c r="AB122" s="11" t="s">
        <v>994</v>
      </c>
      <c r="AC122" s="11" t="s">
        <v>994</v>
      </c>
      <c r="AD122" s="11" t="s">
        <v>994</v>
      </c>
      <c r="AE122" s="11" t="s">
        <v>1804</v>
      </c>
    </row>
    <row r="123">
      <c r="B123" s="26" t="s">
        <v>49</v>
      </c>
      <c r="C123" s="12" t="s">
        <v>1462</v>
      </c>
      <c r="D123" s="11" t="s">
        <v>551</v>
      </c>
      <c r="E123" s="11" t="s">
        <v>93</v>
      </c>
      <c r="F123" s="12" t="s">
        <v>419</v>
      </c>
      <c r="G123" s="12" t="s">
        <v>246</v>
      </c>
      <c r="H123" s="12" t="s">
        <v>246</v>
      </c>
      <c r="I123" s="12" t="s">
        <v>430</v>
      </c>
      <c r="J123" s="12" t="s">
        <v>93</v>
      </c>
      <c r="K123" s="12" t="s">
        <v>1026</v>
      </c>
      <c r="L123" s="12" t="s">
        <v>247</v>
      </c>
      <c r="M123" s="12" t="s">
        <v>994</v>
      </c>
      <c r="N123" s="13" t="s">
        <v>552</v>
      </c>
      <c r="O123" s="11" t="s">
        <v>532</v>
      </c>
      <c r="P123" s="11" t="s">
        <v>533</v>
      </c>
      <c r="Q123" s="11" t="s">
        <v>125</v>
      </c>
      <c r="R123" s="11" t="s">
        <v>150</v>
      </c>
      <c r="S123" s="11" t="s">
        <v>994</v>
      </c>
      <c r="T123" s="11" t="s">
        <v>126</v>
      </c>
      <c r="U123" s="11" t="s">
        <v>994</v>
      </c>
      <c r="V123" s="11" t="s">
        <v>994</v>
      </c>
      <c r="W123" s="11" t="s">
        <v>994</v>
      </c>
      <c r="X123" s="11" t="s">
        <v>994</v>
      </c>
      <c r="Y123" s="11" t="s">
        <v>994</v>
      </c>
      <c r="Z123" s="11" t="s">
        <v>994</v>
      </c>
      <c r="AA123" s="11" t="s">
        <v>994</v>
      </c>
      <c r="AB123" s="11" t="s">
        <v>994</v>
      </c>
      <c r="AC123" s="11" t="s">
        <v>994</v>
      </c>
      <c r="AD123" s="11" t="s">
        <v>994</v>
      </c>
      <c r="AE123" s="11" t="s">
        <v>1804</v>
      </c>
    </row>
    <row r="124">
      <c r="B124" s="26" t="s">
        <v>49</v>
      </c>
      <c r="C124" s="12" t="s">
        <v>1463</v>
      </c>
      <c r="D124" s="11" t="s">
        <v>553</v>
      </c>
      <c r="E124" s="11" t="s">
        <v>93</v>
      </c>
      <c r="F124" s="12" t="s">
        <v>554</v>
      </c>
      <c r="G124" s="12" t="s">
        <v>246</v>
      </c>
      <c r="H124" s="12" t="s">
        <v>246</v>
      </c>
      <c r="I124" s="12" t="s">
        <v>430</v>
      </c>
      <c r="J124" s="12" t="s">
        <v>93</v>
      </c>
      <c r="K124" s="12" t="s">
        <v>1025</v>
      </c>
      <c r="L124" s="12" t="s">
        <v>247</v>
      </c>
      <c r="M124" s="12" t="s">
        <v>994</v>
      </c>
      <c r="N124" s="13" t="s">
        <v>555</v>
      </c>
      <c r="O124" s="11" t="s">
        <v>532</v>
      </c>
      <c r="P124" s="11" t="s">
        <v>533</v>
      </c>
      <c r="Q124" s="11" t="s">
        <v>125</v>
      </c>
      <c r="R124" s="11" t="s">
        <v>150</v>
      </c>
      <c r="S124" s="11" t="s">
        <v>994</v>
      </c>
      <c r="T124" s="11" t="s">
        <v>126</v>
      </c>
      <c r="U124" s="11" t="s">
        <v>994</v>
      </c>
      <c r="V124" s="11" t="s">
        <v>994</v>
      </c>
      <c r="W124" s="11" t="s">
        <v>994</v>
      </c>
      <c r="X124" s="11" t="s">
        <v>994</v>
      </c>
      <c r="Y124" s="11" t="s">
        <v>994</v>
      </c>
      <c r="Z124" s="11" t="s">
        <v>994</v>
      </c>
      <c r="AA124" s="11" t="s">
        <v>994</v>
      </c>
      <c r="AB124" s="11" t="s">
        <v>994</v>
      </c>
      <c r="AC124" s="11" t="s">
        <v>994</v>
      </c>
      <c r="AD124" s="11" t="s">
        <v>994</v>
      </c>
      <c r="AE124" s="11" t="s">
        <v>1804</v>
      </c>
    </row>
    <row r="125">
      <c r="B125" s="26" t="s">
        <v>49</v>
      </c>
      <c r="C125" s="12" t="s">
        <v>1464</v>
      </c>
      <c r="D125" s="11" t="s">
        <v>556</v>
      </c>
      <c r="E125" s="11" t="s">
        <v>93</v>
      </c>
      <c r="F125" s="12" t="s">
        <v>557</v>
      </c>
      <c r="G125" s="12" t="s">
        <v>246</v>
      </c>
      <c r="H125" s="12" t="s">
        <v>246</v>
      </c>
      <c r="I125" s="12" t="s">
        <v>430</v>
      </c>
      <c r="J125" s="12" t="s">
        <v>93</v>
      </c>
      <c r="K125" s="12" t="s">
        <v>1026</v>
      </c>
      <c r="L125" s="12" t="s">
        <v>247</v>
      </c>
      <c r="M125" s="12" t="s">
        <v>994</v>
      </c>
      <c r="N125" s="13" t="s">
        <v>558</v>
      </c>
      <c r="O125" s="11" t="s">
        <v>532</v>
      </c>
      <c r="P125" s="11" t="s">
        <v>533</v>
      </c>
      <c r="Q125" s="11" t="s">
        <v>125</v>
      </c>
      <c r="R125" s="11" t="s">
        <v>150</v>
      </c>
      <c r="S125" s="11" t="s">
        <v>994</v>
      </c>
      <c r="T125" s="11" t="s">
        <v>126</v>
      </c>
      <c r="U125" s="11" t="s">
        <v>994</v>
      </c>
      <c r="V125" s="11" t="s">
        <v>994</v>
      </c>
      <c r="W125" s="11" t="s">
        <v>994</v>
      </c>
      <c r="X125" s="11" t="s">
        <v>994</v>
      </c>
      <c r="Y125" s="11" t="s">
        <v>994</v>
      </c>
      <c r="Z125" s="11" t="s">
        <v>994</v>
      </c>
      <c r="AA125" s="11" t="s">
        <v>994</v>
      </c>
      <c r="AB125" s="11" t="s">
        <v>994</v>
      </c>
      <c r="AC125" s="11" t="s">
        <v>994</v>
      </c>
      <c r="AD125" s="11" t="s">
        <v>994</v>
      </c>
      <c r="AE125" s="11" t="s">
        <v>1804</v>
      </c>
    </row>
    <row r="126">
      <c r="B126" s="26" t="s">
        <v>416</v>
      </c>
      <c r="C126" s="12" t="s">
        <v>1465</v>
      </c>
      <c r="D126" s="11" t="s">
        <v>559</v>
      </c>
      <c r="E126" s="11" t="s">
        <v>93</v>
      </c>
      <c r="F126" s="12" t="s">
        <v>416</v>
      </c>
      <c r="G126" s="12" t="s">
        <v>246</v>
      </c>
      <c r="H126" s="12" t="s">
        <v>246</v>
      </c>
      <c r="I126" s="12" t="s">
        <v>430</v>
      </c>
      <c r="J126" s="12" t="s">
        <v>93</v>
      </c>
      <c r="K126" s="12" t="s">
        <v>1025</v>
      </c>
      <c r="L126" s="12" t="s">
        <v>247</v>
      </c>
      <c r="M126" s="12" t="s">
        <v>994</v>
      </c>
      <c r="N126" s="13" t="s">
        <v>560</v>
      </c>
      <c r="O126" s="11" t="s">
        <v>532</v>
      </c>
      <c r="P126" s="11" t="s">
        <v>533</v>
      </c>
      <c r="Q126" s="11" t="s">
        <v>125</v>
      </c>
      <c r="R126" s="11" t="s">
        <v>150</v>
      </c>
      <c r="S126" s="11" t="s">
        <v>994</v>
      </c>
      <c r="T126" s="11" t="s">
        <v>126</v>
      </c>
      <c r="U126" s="11" t="s">
        <v>994</v>
      </c>
      <c r="V126" s="11" t="s">
        <v>994</v>
      </c>
      <c r="W126" s="11" t="s">
        <v>994</v>
      </c>
      <c r="X126" s="11" t="s">
        <v>994</v>
      </c>
      <c r="Y126" s="11" t="s">
        <v>994</v>
      </c>
      <c r="Z126" s="11" t="s">
        <v>994</v>
      </c>
      <c r="AA126" s="11" t="s">
        <v>994</v>
      </c>
      <c r="AB126" s="11" t="s">
        <v>994</v>
      </c>
      <c r="AC126" s="11" t="s">
        <v>994</v>
      </c>
      <c r="AD126" s="11" t="s">
        <v>994</v>
      </c>
      <c r="AE126" s="11" t="s">
        <v>1804</v>
      </c>
    </row>
    <row r="127">
      <c r="B127" s="26" t="s">
        <v>49</v>
      </c>
      <c r="C127" s="12" t="s">
        <v>1466</v>
      </c>
      <c r="D127" s="11" t="s">
        <v>561</v>
      </c>
      <c r="E127" s="11" t="s">
        <v>93</v>
      </c>
      <c r="F127" s="12" t="s">
        <v>447</v>
      </c>
      <c r="G127" s="12" t="s">
        <v>246</v>
      </c>
      <c r="H127" s="12" t="s">
        <v>246</v>
      </c>
      <c r="I127" s="12" t="s">
        <v>430</v>
      </c>
      <c r="J127" s="12" t="s">
        <v>93</v>
      </c>
      <c r="K127" s="12" t="s">
        <v>1025</v>
      </c>
      <c r="L127" s="12" t="s">
        <v>247</v>
      </c>
      <c r="M127" s="12" t="s">
        <v>994</v>
      </c>
      <c r="N127" s="13" t="s">
        <v>562</v>
      </c>
      <c r="O127" s="11" t="s">
        <v>532</v>
      </c>
      <c r="P127" s="11" t="s">
        <v>533</v>
      </c>
      <c r="Q127" s="11" t="s">
        <v>125</v>
      </c>
      <c r="R127" s="11" t="s">
        <v>150</v>
      </c>
      <c r="S127" s="11" t="s">
        <v>994</v>
      </c>
      <c r="T127" s="11" t="s">
        <v>126</v>
      </c>
      <c r="U127" s="11" t="s">
        <v>994</v>
      </c>
      <c r="V127" s="11" t="s">
        <v>994</v>
      </c>
      <c r="W127" s="11" t="s">
        <v>994</v>
      </c>
      <c r="X127" s="11" t="s">
        <v>994</v>
      </c>
      <c r="Y127" s="11" t="s">
        <v>994</v>
      </c>
      <c r="Z127" s="11" t="s">
        <v>994</v>
      </c>
      <c r="AA127" s="11" t="s">
        <v>994</v>
      </c>
      <c r="AB127" s="11" t="s">
        <v>994</v>
      </c>
      <c r="AC127" s="11" t="s">
        <v>994</v>
      </c>
      <c r="AD127" s="11" t="s">
        <v>994</v>
      </c>
      <c r="AE127" s="11" t="s">
        <v>1804</v>
      </c>
    </row>
    <row r="128">
      <c r="B128" s="26" t="s">
        <v>49</v>
      </c>
      <c r="C128" s="12" t="s">
        <v>1467</v>
      </c>
      <c r="D128" s="11" t="s">
        <v>563</v>
      </c>
      <c r="E128" s="11" t="s">
        <v>93</v>
      </c>
      <c r="F128" s="12" t="s">
        <v>554</v>
      </c>
      <c r="G128" s="12" t="s">
        <v>246</v>
      </c>
      <c r="H128" s="12" t="s">
        <v>246</v>
      </c>
      <c r="I128" s="12" t="s">
        <v>430</v>
      </c>
      <c r="J128" s="12" t="s">
        <v>93</v>
      </c>
      <c r="K128" s="12" t="s">
        <v>1026</v>
      </c>
      <c r="L128" s="12" t="s">
        <v>247</v>
      </c>
      <c r="M128" s="12" t="s">
        <v>994</v>
      </c>
      <c r="N128" s="13" t="s">
        <v>564</v>
      </c>
      <c r="O128" s="11" t="s">
        <v>532</v>
      </c>
      <c r="P128" s="11" t="s">
        <v>533</v>
      </c>
      <c r="Q128" s="11" t="s">
        <v>125</v>
      </c>
      <c r="R128" s="11" t="s">
        <v>150</v>
      </c>
      <c r="S128" s="11" t="s">
        <v>994</v>
      </c>
      <c r="T128" s="11" t="s">
        <v>126</v>
      </c>
      <c r="U128" s="11" t="s">
        <v>994</v>
      </c>
      <c r="V128" s="11" t="s">
        <v>994</v>
      </c>
      <c r="W128" s="11" t="s">
        <v>994</v>
      </c>
      <c r="X128" s="11" t="s">
        <v>994</v>
      </c>
      <c r="Y128" s="11" t="s">
        <v>994</v>
      </c>
      <c r="Z128" s="11" t="s">
        <v>994</v>
      </c>
      <c r="AA128" s="11" t="s">
        <v>994</v>
      </c>
      <c r="AB128" s="11" t="s">
        <v>994</v>
      </c>
      <c r="AC128" s="11" t="s">
        <v>994</v>
      </c>
      <c r="AD128" s="11" t="s">
        <v>994</v>
      </c>
      <c r="AE128" s="11" t="s">
        <v>1804</v>
      </c>
    </row>
    <row r="129">
      <c r="B129" s="26" t="s">
        <v>49</v>
      </c>
      <c r="C129" s="12" t="s">
        <v>1468</v>
      </c>
      <c r="D129" s="11" t="s">
        <v>565</v>
      </c>
      <c r="E129" s="11" t="s">
        <v>93</v>
      </c>
      <c r="F129" s="12" t="s">
        <v>450</v>
      </c>
      <c r="G129" s="12" t="s">
        <v>246</v>
      </c>
      <c r="H129" s="12" t="s">
        <v>246</v>
      </c>
      <c r="I129" s="12" t="s">
        <v>430</v>
      </c>
      <c r="J129" s="12" t="s">
        <v>93</v>
      </c>
      <c r="K129" s="12" t="s">
        <v>1025</v>
      </c>
      <c r="L129" s="12" t="s">
        <v>247</v>
      </c>
      <c r="M129" s="12" t="s">
        <v>994</v>
      </c>
      <c r="N129" s="13" t="s">
        <v>566</v>
      </c>
      <c r="O129" s="11" t="s">
        <v>532</v>
      </c>
      <c r="P129" s="11" t="s">
        <v>533</v>
      </c>
      <c r="Q129" s="11" t="s">
        <v>125</v>
      </c>
      <c r="R129" s="11" t="s">
        <v>150</v>
      </c>
      <c r="S129" s="11" t="s">
        <v>994</v>
      </c>
      <c r="T129" s="11" t="s">
        <v>126</v>
      </c>
      <c r="U129" s="11" t="s">
        <v>994</v>
      </c>
      <c r="V129" s="11" t="s">
        <v>994</v>
      </c>
      <c r="W129" s="11" t="s">
        <v>994</v>
      </c>
      <c r="X129" s="11" t="s">
        <v>994</v>
      </c>
      <c r="Y129" s="11" t="s">
        <v>994</v>
      </c>
      <c r="Z129" s="11" t="s">
        <v>994</v>
      </c>
      <c r="AA129" s="11" t="s">
        <v>994</v>
      </c>
      <c r="AB129" s="11" t="s">
        <v>994</v>
      </c>
      <c r="AC129" s="11" t="s">
        <v>994</v>
      </c>
      <c r="AD129" s="11" t="s">
        <v>994</v>
      </c>
      <c r="AE129" s="11" t="s">
        <v>1804</v>
      </c>
    </row>
    <row r="130">
      <c r="B130" s="26" t="s">
        <v>49</v>
      </c>
      <c r="C130" s="12" t="s">
        <v>1469</v>
      </c>
      <c r="D130" s="11" t="s">
        <v>567</v>
      </c>
      <c r="E130" s="11" t="s">
        <v>93</v>
      </c>
      <c r="F130" s="12" t="s">
        <v>49</v>
      </c>
      <c r="G130" s="12" t="s">
        <v>246</v>
      </c>
      <c r="H130" s="12" t="s">
        <v>246</v>
      </c>
      <c r="I130" s="12" t="s">
        <v>430</v>
      </c>
      <c r="J130" s="12" t="s">
        <v>93</v>
      </c>
      <c r="K130" s="12" t="s">
        <v>1026</v>
      </c>
      <c r="L130" s="12" t="s">
        <v>247</v>
      </c>
      <c r="M130" s="12" t="s">
        <v>994</v>
      </c>
      <c r="N130" s="13" t="s">
        <v>568</v>
      </c>
      <c r="O130" s="11" t="s">
        <v>532</v>
      </c>
      <c r="P130" s="11" t="s">
        <v>533</v>
      </c>
      <c r="Q130" s="11" t="s">
        <v>125</v>
      </c>
      <c r="R130" s="11" t="s">
        <v>150</v>
      </c>
      <c r="S130" s="11" t="s">
        <v>994</v>
      </c>
      <c r="T130" s="11" t="s">
        <v>126</v>
      </c>
      <c r="U130" s="11" t="s">
        <v>994</v>
      </c>
      <c r="V130" s="11" t="s">
        <v>994</v>
      </c>
      <c r="W130" s="11" t="s">
        <v>994</v>
      </c>
      <c r="X130" s="11" t="s">
        <v>994</v>
      </c>
      <c r="Y130" s="11" t="s">
        <v>994</v>
      </c>
      <c r="Z130" s="11" t="s">
        <v>994</v>
      </c>
      <c r="AA130" s="11" t="s">
        <v>994</v>
      </c>
      <c r="AB130" s="11" t="s">
        <v>994</v>
      </c>
      <c r="AC130" s="11" t="s">
        <v>994</v>
      </c>
      <c r="AD130" s="11" t="s">
        <v>994</v>
      </c>
      <c r="AE130" s="11" t="s">
        <v>1804</v>
      </c>
    </row>
    <row r="131">
      <c r="B131" s="26" t="s">
        <v>283</v>
      </c>
      <c r="C131" s="12" t="s">
        <v>1470</v>
      </c>
      <c r="D131" s="11" t="s">
        <v>569</v>
      </c>
      <c r="E131" s="11" t="s">
        <v>93</v>
      </c>
      <c r="F131" s="12" t="s">
        <v>283</v>
      </c>
      <c r="G131" s="12" t="s">
        <v>246</v>
      </c>
      <c r="H131" s="12" t="s">
        <v>246</v>
      </c>
      <c r="I131" s="12" t="s">
        <v>430</v>
      </c>
      <c r="J131" s="12" t="s">
        <v>93</v>
      </c>
      <c r="K131" s="12" t="s">
        <v>1026</v>
      </c>
      <c r="L131" s="12" t="s">
        <v>247</v>
      </c>
      <c r="M131" s="12" t="s">
        <v>994</v>
      </c>
      <c r="N131" s="13" t="s">
        <v>570</v>
      </c>
      <c r="O131" s="11" t="s">
        <v>532</v>
      </c>
      <c r="P131" s="11" t="s">
        <v>533</v>
      </c>
      <c r="Q131" s="11" t="s">
        <v>125</v>
      </c>
      <c r="R131" s="11" t="s">
        <v>150</v>
      </c>
      <c r="S131" s="11" t="s">
        <v>994</v>
      </c>
      <c r="T131" s="11" t="s">
        <v>126</v>
      </c>
      <c r="U131" s="11" t="s">
        <v>994</v>
      </c>
      <c r="V131" s="11" t="s">
        <v>994</v>
      </c>
      <c r="W131" s="11" t="s">
        <v>994</v>
      </c>
      <c r="X131" s="11" t="s">
        <v>994</v>
      </c>
      <c r="Y131" s="11" t="s">
        <v>994</v>
      </c>
      <c r="Z131" s="11" t="s">
        <v>994</v>
      </c>
      <c r="AA131" s="11" t="s">
        <v>994</v>
      </c>
      <c r="AB131" s="11" t="s">
        <v>994</v>
      </c>
      <c r="AC131" s="11" t="s">
        <v>994</v>
      </c>
      <c r="AD131" s="11" t="s">
        <v>994</v>
      </c>
      <c r="AE131" s="11" t="s">
        <v>1804</v>
      </c>
    </row>
    <row r="132">
      <c r="B132" s="26" t="s">
        <v>49</v>
      </c>
      <c r="C132" s="12" t="s">
        <v>1471</v>
      </c>
      <c r="D132" s="11" t="s">
        <v>571</v>
      </c>
      <c r="E132" s="11" t="s">
        <v>93</v>
      </c>
      <c r="F132" s="12" t="s">
        <v>450</v>
      </c>
      <c r="G132" s="12" t="s">
        <v>246</v>
      </c>
      <c r="H132" s="12" t="s">
        <v>246</v>
      </c>
      <c r="I132" s="12" t="s">
        <v>430</v>
      </c>
      <c r="J132" s="12" t="s">
        <v>93</v>
      </c>
      <c r="K132" s="12" t="s">
        <v>1025</v>
      </c>
      <c r="L132" s="12" t="s">
        <v>247</v>
      </c>
      <c r="M132" s="12" t="s">
        <v>994</v>
      </c>
      <c r="N132" s="13" t="s">
        <v>572</v>
      </c>
      <c r="O132" s="11" t="s">
        <v>532</v>
      </c>
      <c r="P132" s="11" t="s">
        <v>533</v>
      </c>
      <c r="Q132" s="11" t="s">
        <v>125</v>
      </c>
      <c r="R132" s="11" t="s">
        <v>150</v>
      </c>
      <c r="S132" s="11" t="s">
        <v>994</v>
      </c>
      <c r="T132" s="11" t="s">
        <v>126</v>
      </c>
      <c r="U132" s="11" t="s">
        <v>994</v>
      </c>
      <c r="V132" s="11" t="s">
        <v>994</v>
      </c>
      <c r="W132" s="11" t="s">
        <v>994</v>
      </c>
      <c r="X132" s="11" t="s">
        <v>994</v>
      </c>
      <c r="Y132" s="11" t="s">
        <v>994</v>
      </c>
      <c r="Z132" s="11" t="s">
        <v>994</v>
      </c>
      <c r="AA132" s="11" t="s">
        <v>994</v>
      </c>
      <c r="AB132" s="11" t="s">
        <v>994</v>
      </c>
      <c r="AC132" s="11" t="s">
        <v>994</v>
      </c>
      <c r="AD132" s="11" t="s">
        <v>994</v>
      </c>
      <c r="AE132" s="11" t="s">
        <v>1804</v>
      </c>
    </row>
    <row r="133">
      <c r="B133" s="26" t="s">
        <v>295</v>
      </c>
      <c r="C133" s="12" t="s">
        <v>1472</v>
      </c>
      <c r="D133" s="11" t="s">
        <v>573</v>
      </c>
      <c r="E133" s="11" t="s">
        <v>93</v>
      </c>
      <c r="F133" s="12" t="s">
        <v>295</v>
      </c>
      <c r="G133" s="12" t="s">
        <v>246</v>
      </c>
      <c r="H133" s="12" t="s">
        <v>246</v>
      </c>
      <c r="I133" s="12" t="s">
        <v>430</v>
      </c>
      <c r="J133" s="12" t="s">
        <v>93</v>
      </c>
      <c r="K133" s="12" t="s">
        <v>1026</v>
      </c>
      <c r="L133" s="12" t="s">
        <v>247</v>
      </c>
      <c r="M133" s="12" t="s">
        <v>994</v>
      </c>
      <c r="N133" s="13" t="s">
        <v>574</v>
      </c>
      <c r="O133" s="11" t="s">
        <v>532</v>
      </c>
      <c r="P133" s="11" t="s">
        <v>533</v>
      </c>
      <c r="Q133" s="11" t="s">
        <v>125</v>
      </c>
      <c r="R133" s="11" t="s">
        <v>150</v>
      </c>
      <c r="S133" s="11" t="s">
        <v>994</v>
      </c>
      <c r="T133" s="11" t="s">
        <v>126</v>
      </c>
      <c r="U133" s="11" t="s">
        <v>994</v>
      </c>
      <c r="V133" s="11" t="s">
        <v>994</v>
      </c>
      <c r="W133" s="11" t="s">
        <v>994</v>
      </c>
      <c r="X133" s="11" t="s">
        <v>994</v>
      </c>
      <c r="Y133" s="11" t="s">
        <v>994</v>
      </c>
      <c r="Z133" s="11" t="s">
        <v>994</v>
      </c>
      <c r="AA133" s="11" t="s">
        <v>994</v>
      </c>
      <c r="AB133" s="11" t="s">
        <v>994</v>
      </c>
      <c r="AC133" s="11" t="s">
        <v>994</v>
      </c>
      <c r="AD133" s="11" t="s">
        <v>994</v>
      </c>
      <c r="AE133" s="11" t="s">
        <v>1804</v>
      </c>
    </row>
    <row r="134">
      <c r="B134" s="26" t="s">
        <v>49</v>
      </c>
      <c r="C134" s="12" t="s">
        <v>1473</v>
      </c>
      <c r="D134" s="11" t="s">
        <v>575</v>
      </c>
      <c r="E134" s="11" t="s">
        <v>93</v>
      </c>
      <c r="F134" s="12" t="s">
        <v>49</v>
      </c>
      <c r="G134" s="12" t="s">
        <v>246</v>
      </c>
      <c r="H134" s="12" t="s">
        <v>246</v>
      </c>
      <c r="I134" s="12" t="s">
        <v>430</v>
      </c>
      <c r="J134" s="12" t="s">
        <v>93</v>
      </c>
      <c r="K134" s="12" t="s">
        <v>1026</v>
      </c>
      <c r="L134" s="12" t="s">
        <v>247</v>
      </c>
      <c r="M134" s="12" t="s">
        <v>994</v>
      </c>
      <c r="N134" s="13" t="s">
        <v>576</v>
      </c>
      <c r="O134" s="11" t="s">
        <v>532</v>
      </c>
      <c r="P134" s="11" t="s">
        <v>533</v>
      </c>
      <c r="Q134" s="11" t="s">
        <v>125</v>
      </c>
      <c r="R134" s="11" t="s">
        <v>150</v>
      </c>
      <c r="S134" s="11" t="s">
        <v>994</v>
      </c>
      <c r="T134" s="11" t="s">
        <v>126</v>
      </c>
      <c r="U134" s="11" t="s">
        <v>994</v>
      </c>
      <c r="V134" s="11" t="s">
        <v>994</v>
      </c>
      <c r="W134" s="11" t="s">
        <v>994</v>
      </c>
      <c r="X134" s="11" t="s">
        <v>994</v>
      </c>
      <c r="Y134" s="11" t="s">
        <v>994</v>
      </c>
      <c r="Z134" s="11" t="s">
        <v>994</v>
      </c>
      <c r="AA134" s="11" t="s">
        <v>994</v>
      </c>
      <c r="AB134" s="11" t="s">
        <v>994</v>
      </c>
      <c r="AC134" s="11" t="s">
        <v>994</v>
      </c>
      <c r="AD134" s="11" t="s">
        <v>994</v>
      </c>
      <c r="AE134" s="11" t="s">
        <v>1804</v>
      </c>
    </row>
    <row r="135">
      <c r="B135" s="26" t="s">
        <v>49</v>
      </c>
      <c r="C135" s="12" t="s">
        <v>1474</v>
      </c>
      <c r="D135" s="11" t="s">
        <v>577</v>
      </c>
      <c r="E135" s="11" t="s">
        <v>93</v>
      </c>
      <c r="F135" s="12" t="s">
        <v>286</v>
      </c>
      <c r="G135" s="12" t="s">
        <v>246</v>
      </c>
      <c r="H135" s="12" t="s">
        <v>246</v>
      </c>
      <c r="I135" s="12" t="s">
        <v>430</v>
      </c>
      <c r="J135" s="12" t="s">
        <v>93</v>
      </c>
      <c r="K135" s="12" t="s">
        <v>1026</v>
      </c>
      <c r="L135" s="12" t="s">
        <v>247</v>
      </c>
      <c r="M135" s="12" t="s">
        <v>994</v>
      </c>
      <c r="N135" s="13" t="s">
        <v>578</v>
      </c>
      <c r="O135" s="11" t="s">
        <v>532</v>
      </c>
      <c r="P135" s="11" t="s">
        <v>533</v>
      </c>
      <c r="Q135" s="11" t="s">
        <v>125</v>
      </c>
      <c r="R135" s="11" t="s">
        <v>150</v>
      </c>
      <c r="S135" s="11" t="s">
        <v>994</v>
      </c>
      <c r="T135" s="11" t="s">
        <v>126</v>
      </c>
      <c r="U135" s="11" t="s">
        <v>994</v>
      </c>
      <c r="V135" s="11" t="s">
        <v>994</v>
      </c>
      <c r="W135" s="11" t="s">
        <v>994</v>
      </c>
      <c r="X135" s="11" t="s">
        <v>994</v>
      </c>
      <c r="Y135" s="11" t="s">
        <v>994</v>
      </c>
      <c r="Z135" s="11" t="s">
        <v>994</v>
      </c>
      <c r="AA135" s="11" t="s">
        <v>994</v>
      </c>
      <c r="AB135" s="11" t="s">
        <v>994</v>
      </c>
      <c r="AC135" s="11" t="s">
        <v>994</v>
      </c>
      <c r="AD135" s="11" t="s">
        <v>994</v>
      </c>
      <c r="AE135" s="11" t="s">
        <v>1804</v>
      </c>
    </row>
    <row r="136">
      <c r="B136" s="26" t="s">
        <v>49</v>
      </c>
      <c r="C136" s="12" t="s">
        <v>1475</v>
      </c>
      <c r="D136" s="11" t="s">
        <v>559</v>
      </c>
      <c r="E136" s="11" t="s">
        <v>93</v>
      </c>
      <c r="F136" s="12" t="s">
        <v>49</v>
      </c>
      <c r="G136" s="12" t="s">
        <v>246</v>
      </c>
      <c r="H136" s="12" t="s">
        <v>246</v>
      </c>
      <c r="I136" s="12" t="s">
        <v>430</v>
      </c>
      <c r="J136" s="12" t="s">
        <v>93</v>
      </c>
      <c r="K136" s="12" t="s">
        <v>1025</v>
      </c>
      <c r="L136" s="12" t="s">
        <v>247</v>
      </c>
      <c r="M136" s="12" t="s">
        <v>994</v>
      </c>
      <c r="N136" s="13" t="s">
        <v>579</v>
      </c>
      <c r="O136" s="11" t="s">
        <v>532</v>
      </c>
      <c r="P136" s="11" t="s">
        <v>533</v>
      </c>
      <c r="Q136" s="11" t="s">
        <v>125</v>
      </c>
      <c r="R136" s="11" t="s">
        <v>150</v>
      </c>
      <c r="S136" s="11" t="s">
        <v>994</v>
      </c>
      <c r="T136" s="11" t="s">
        <v>126</v>
      </c>
      <c r="U136" s="11" t="s">
        <v>994</v>
      </c>
      <c r="V136" s="11" t="s">
        <v>994</v>
      </c>
      <c r="W136" s="11" t="s">
        <v>994</v>
      </c>
      <c r="X136" s="11" t="s">
        <v>994</v>
      </c>
      <c r="Y136" s="11" t="s">
        <v>994</v>
      </c>
      <c r="Z136" s="11" t="s">
        <v>994</v>
      </c>
      <c r="AA136" s="11" t="s">
        <v>994</v>
      </c>
      <c r="AB136" s="11" t="s">
        <v>994</v>
      </c>
      <c r="AC136" s="11" t="s">
        <v>994</v>
      </c>
      <c r="AD136" s="11" t="s">
        <v>994</v>
      </c>
      <c r="AE136" s="11" t="s">
        <v>1804</v>
      </c>
    </row>
    <row r="137">
      <c r="B137" s="26" t="s">
        <v>49</v>
      </c>
      <c r="C137" s="12" t="s">
        <v>1476</v>
      </c>
      <c r="D137" s="11" t="s">
        <v>580</v>
      </c>
      <c r="E137" s="11" t="s">
        <v>93</v>
      </c>
      <c r="F137" s="12" t="s">
        <v>49</v>
      </c>
      <c r="G137" s="12" t="s">
        <v>246</v>
      </c>
      <c r="H137" s="12" t="s">
        <v>246</v>
      </c>
      <c r="I137" s="12" t="s">
        <v>430</v>
      </c>
      <c r="J137" s="12" t="s">
        <v>93</v>
      </c>
      <c r="K137" s="12" t="s">
        <v>1026</v>
      </c>
      <c r="L137" s="12" t="s">
        <v>247</v>
      </c>
      <c r="M137" s="12" t="s">
        <v>994</v>
      </c>
      <c r="N137" s="13" t="s">
        <v>581</v>
      </c>
      <c r="O137" s="11" t="s">
        <v>532</v>
      </c>
      <c r="P137" s="11" t="s">
        <v>533</v>
      </c>
      <c r="Q137" s="11" t="s">
        <v>125</v>
      </c>
      <c r="R137" s="11" t="s">
        <v>150</v>
      </c>
      <c r="S137" s="11" t="s">
        <v>994</v>
      </c>
      <c r="T137" s="11" t="s">
        <v>126</v>
      </c>
      <c r="U137" s="11" t="s">
        <v>994</v>
      </c>
      <c r="V137" s="11" t="s">
        <v>994</v>
      </c>
      <c r="W137" s="11" t="s">
        <v>994</v>
      </c>
      <c r="X137" s="11" t="s">
        <v>994</v>
      </c>
      <c r="Y137" s="11" t="s">
        <v>994</v>
      </c>
      <c r="Z137" s="11" t="s">
        <v>994</v>
      </c>
      <c r="AA137" s="11" t="s">
        <v>994</v>
      </c>
      <c r="AB137" s="11" t="s">
        <v>994</v>
      </c>
      <c r="AC137" s="11" t="s">
        <v>994</v>
      </c>
      <c r="AD137" s="11" t="s">
        <v>994</v>
      </c>
      <c r="AE137" s="11" t="s">
        <v>1804</v>
      </c>
    </row>
    <row r="138">
      <c r="B138" s="26" t="s">
        <v>49</v>
      </c>
      <c r="C138" s="12" t="s">
        <v>1477</v>
      </c>
      <c r="D138" s="11" t="s">
        <v>582</v>
      </c>
      <c r="E138" s="11" t="s">
        <v>93</v>
      </c>
      <c r="F138" s="12" t="s">
        <v>494</v>
      </c>
      <c r="G138" s="12" t="s">
        <v>246</v>
      </c>
      <c r="H138" s="12" t="s">
        <v>246</v>
      </c>
      <c r="I138" s="12" t="s">
        <v>430</v>
      </c>
      <c r="J138" s="12" t="s">
        <v>93</v>
      </c>
      <c r="K138" s="12" t="s">
        <v>1026</v>
      </c>
      <c r="L138" s="12" t="s">
        <v>247</v>
      </c>
      <c r="M138" s="12" t="s">
        <v>994</v>
      </c>
      <c r="N138" s="13" t="s">
        <v>583</v>
      </c>
      <c r="O138" s="11" t="s">
        <v>532</v>
      </c>
      <c r="P138" s="11" t="s">
        <v>533</v>
      </c>
      <c r="Q138" s="11" t="s">
        <v>125</v>
      </c>
      <c r="R138" s="11" t="s">
        <v>150</v>
      </c>
      <c r="S138" s="11" t="s">
        <v>994</v>
      </c>
      <c r="T138" s="11" t="s">
        <v>126</v>
      </c>
      <c r="U138" s="11" t="s">
        <v>994</v>
      </c>
      <c r="V138" s="11" t="s">
        <v>994</v>
      </c>
      <c r="W138" s="11" t="s">
        <v>994</v>
      </c>
      <c r="X138" s="11" t="s">
        <v>994</v>
      </c>
      <c r="Y138" s="11" t="s">
        <v>994</v>
      </c>
      <c r="Z138" s="11" t="s">
        <v>994</v>
      </c>
      <c r="AA138" s="11" t="s">
        <v>994</v>
      </c>
      <c r="AB138" s="11" t="s">
        <v>994</v>
      </c>
      <c r="AC138" s="11" t="s">
        <v>994</v>
      </c>
      <c r="AD138" s="11" t="s">
        <v>994</v>
      </c>
      <c r="AE138" s="11" t="s">
        <v>1804</v>
      </c>
    </row>
    <row r="139">
      <c r="B139" s="26" t="s">
        <v>49</v>
      </c>
      <c r="C139" s="12" t="s">
        <v>1478</v>
      </c>
      <c r="D139" s="11" t="s">
        <v>584</v>
      </c>
      <c r="E139" s="11" t="s">
        <v>93</v>
      </c>
      <c r="F139" s="12" t="s">
        <v>585</v>
      </c>
      <c r="G139" s="12" t="s">
        <v>246</v>
      </c>
      <c r="H139" s="12" t="s">
        <v>246</v>
      </c>
      <c r="I139" s="12" t="s">
        <v>430</v>
      </c>
      <c r="J139" s="12" t="s">
        <v>93</v>
      </c>
      <c r="K139" s="12" t="s">
        <v>1026</v>
      </c>
      <c r="L139" s="12" t="s">
        <v>247</v>
      </c>
      <c r="M139" s="12" t="s">
        <v>994</v>
      </c>
      <c r="N139" s="13" t="s">
        <v>586</v>
      </c>
      <c r="O139" s="11" t="s">
        <v>532</v>
      </c>
      <c r="P139" s="11" t="s">
        <v>533</v>
      </c>
      <c r="Q139" s="11" t="s">
        <v>125</v>
      </c>
      <c r="R139" s="11" t="s">
        <v>150</v>
      </c>
      <c r="S139" s="11" t="s">
        <v>994</v>
      </c>
      <c r="T139" s="11" t="s">
        <v>126</v>
      </c>
      <c r="U139" s="11" t="s">
        <v>994</v>
      </c>
      <c r="V139" s="11" t="s">
        <v>994</v>
      </c>
      <c r="W139" s="11" t="s">
        <v>994</v>
      </c>
      <c r="X139" s="11" t="s">
        <v>994</v>
      </c>
      <c r="Y139" s="11" t="s">
        <v>994</v>
      </c>
      <c r="Z139" s="11" t="s">
        <v>994</v>
      </c>
      <c r="AA139" s="11" t="s">
        <v>994</v>
      </c>
      <c r="AB139" s="11" t="s">
        <v>994</v>
      </c>
      <c r="AC139" s="11" t="s">
        <v>994</v>
      </c>
      <c r="AD139" s="11" t="s">
        <v>994</v>
      </c>
      <c r="AE139" s="11" t="s">
        <v>1804</v>
      </c>
    </row>
    <row r="140">
      <c r="B140" s="26" t="s">
        <v>314</v>
      </c>
      <c r="C140" s="12" t="s">
        <v>1479</v>
      </c>
      <c r="D140" s="11" t="s">
        <v>587</v>
      </c>
      <c r="E140" s="11" t="s">
        <v>93</v>
      </c>
      <c r="F140" s="12" t="s">
        <v>314</v>
      </c>
      <c r="G140" s="12" t="s">
        <v>246</v>
      </c>
      <c r="H140" s="12" t="s">
        <v>246</v>
      </c>
      <c r="I140" s="12" t="s">
        <v>430</v>
      </c>
      <c r="J140" s="12" t="s">
        <v>93</v>
      </c>
      <c r="K140" s="12" t="s">
        <v>1026</v>
      </c>
      <c r="L140" s="12" t="s">
        <v>247</v>
      </c>
      <c r="M140" s="12" t="s">
        <v>994</v>
      </c>
      <c r="N140" s="13" t="s">
        <v>588</v>
      </c>
      <c r="O140" s="11" t="s">
        <v>532</v>
      </c>
      <c r="P140" s="11" t="s">
        <v>533</v>
      </c>
      <c r="Q140" s="11" t="s">
        <v>125</v>
      </c>
      <c r="R140" s="11" t="s">
        <v>150</v>
      </c>
      <c r="S140" s="11" t="s">
        <v>994</v>
      </c>
      <c r="T140" s="11" t="s">
        <v>126</v>
      </c>
      <c r="U140" s="11" t="s">
        <v>994</v>
      </c>
      <c r="V140" s="11" t="s">
        <v>994</v>
      </c>
      <c r="W140" s="11" t="s">
        <v>994</v>
      </c>
      <c r="X140" s="11" t="s">
        <v>994</v>
      </c>
      <c r="Y140" s="11" t="s">
        <v>994</v>
      </c>
      <c r="Z140" s="11" t="s">
        <v>994</v>
      </c>
      <c r="AA140" s="11" t="s">
        <v>994</v>
      </c>
      <c r="AB140" s="11" t="s">
        <v>994</v>
      </c>
      <c r="AC140" s="11" t="s">
        <v>994</v>
      </c>
      <c r="AD140" s="11" t="s">
        <v>994</v>
      </c>
      <c r="AE140" s="11" t="s">
        <v>1804</v>
      </c>
    </row>
    <row r="141">
      <c r="B141" s="26" t="s">
        <v>278</v>
      </c>
      <c r="C141" s="12" t="s">
        <v>1480</v>
      </c>
      <c r="D141" s="11" t="s">
        <v>589</v>
      </c>
      <c r="E141" s="11" t="s">
        <v>93</v>
      </c>
      <c r="F141" s="12" t="s">
        <v>278</v>
      </c>
      <c r="G141" s="12" t="s">
        <v>246</v>
      </c>
      <c r="H141" s="12" t="s">
        <v>246</v>
      </c>
      <c r="I141" s="12" t="s">
        <v>430</v>
      </c>
      <c r="J141" s="12" t="s">
        <v>93</v>
      </c>
      <c r="K141" s="12" t="s">
        <v>1026</v>
      </c>
      <c r="L141" s="12" t="s">
        <v>247</v>
      </c>
      <c r="M141" s="12" t="s">
        <v>994</v>
      </c>
      <c r="N141" s="13" t="s">
        <v>590</v>
      </c>
      <c r="O141" s="11" t="s">
        <v>532</v>
      </c>
      <c r="P141" s="11" t="s">
        <v>533</v>
      </c>
      <c r="Q141" s="11" t="s">
        <v>125</v>
      </c>
      <c r="R141" s="11" t="s">
        <v>150</v>
      </c>
      <c r="S141" s="11" t="s">
        <v>994</v>
      </c>
      <c r="T141" s="11" t="s">
        <v>126</v>
      </c>
      <c r="U141" s="11" t="s">
        <v>994</v>
      </c>
      <c r="V141" s="11" t="s">
        <v>994</v>
      </c>
      <c r="W141" s="11" t="s">
        <v>994</v>
      </c>
      <c r="X141" s="11" t="s">
        <v>994</v>
      </c>
      <c r="Y141" s="11" t="s">
        <v>994</v>
      </c>
      <c r="Z141" s="11" t="s">
        <v>994</v>
      </c>
      <c r="AA141" s="11" t="s">
        <v>994</v>
      </c>
      <c r="AB141" s="11" t="s">
        <v>994</v>
      </c>
      <c r="AC141" s="11" t="s">
        <v>994</v>
      </c>
      <c r="AD141" s="11" t="s">
        <v>994</v>
      </c>
      <c r="AE141" s="11" t="s">
        <v>1804</v>
      </c>
    </row>
    <row r="142">
      <c r="B142" s="26" t="s">
        <v>49</v>
      </c>
      <c r="C142" s="12" t="s">
        <v>1481</v>
      </c>
      <c r="D142" s="11" t="s">
        <v>591</v>
      </c>
      <c r="E142" s="11" t="s">
        <v>93</v>
      </c>
      <c r="F142" s="12" t="s">
        <v>374</v>
      </c>
      <c r="G142" s="12" t="s">
        <v>246</v>
      </c>
      <c r="H142" s="12" t="s">
        <v>246</v>
      </c>
      <c r="I142" s="12" t="s">
        <v>430</v>
      </c>
      <c r="J142" s="12" t="s">
        <v>93</v>
      </c>
      <c r="K142" s="12" t="s">
        <v>1026</v>
      </c>
      <c r="L142" s="12" t="s">
        <v>247</v>
      </c>
      <c r="M142" s="12" t="s">
        <v>994</v>
      </c>
      <c r="N142" s="13" t="s">
        <v>592</v>
      </c>
      <c r="O142" s="11" t="s">
        <v>532</v>
      </c>
      <c r="P142" s="11" t="s">
        <v>533</v>
      </c>
      <c r="Q142" s="11" t="s">
        <v>125</v>
      </c>
      <c r="R142" s="11" t="s">
        <v>150</v>
      </c>
      <c r="S142" s="11" t="s">
        <v>994</v>
      </c>
      <c r="T142" s="11" t="s">
        <v>126</v>
      </c>
      <c r="U142" s="11" t="s">
        <v>994</v>
      </c>
      <c r="V142" s="11" t="s">
        <v>994</v>
      </c>
      <c r="W142" s="11" t="s">
        <v>994</v>
      </c>
      <c r="X142" s="11" t="s">
        <v>994</v>
      </c>
      <c r="Y142" s="11" t="s">
        <v>994</v>
      </c>
      <c r="Z142" s="11" t="s">
        <v>994</v>
      </c>
      <c r="AA142" s="11" t="s">
        <v>994</v>
      </c>
      <c r="AB142" s="11" t="s">
        <v>994</v>
      </c>
      <c r="AC142" s="11" t="s">
        <v>994</v>
      </c>
      <c r="AD142" s="11" t="s">
        <v>994</v>
      </c>
      <c r="AE142" s="11" t="s">
        <v>1804</v>
      </c>
    </row>
    <row r="143">
      <c r="B143" s="26" t="s">
        <v>49</v>
      </c>
      <c r="C143" s="12" t="s">
        <v>1482</v>
      </c>
      <c r="D143" s="11" t="s">
        <v>593</v>
      </c>
      <c r="E143" s="11" t="s">
        <v>93</v>
      </c>
      <c r="F143" s="12" t="s">
        <v>411</v>
      </c>
      <c r="G143" s="12" t="s">
        <v>246</v>
      </c>
      <c r="H143" s="12" t="s">
        <v>246</v>
      </c>
      <c r="I143" s="12" t="s">
        <v>430</v>
      </c>
      <c r="J143" s="12" t="s">
        <v>93</v>
      </c>
      <c r="K143" s="12" t="s">
        <v>1026</v>
      </c>
      <c r="L143" s="12" t="s">
        <v>247</v>
      </c>
      <c r="M143" s="12" t="s">
        <v>994</v>
      </c>
      <c r="N143" s="13" t="s">
        <v>594</v>
      </c>
      <c r="O143" s="11" t="s">
        <v>532</v>
      </c>
      <c r="P143" s="11" t="s">
        <v>533</v>
      </c>
      <c r="Q143" s="11" t="s">
        <v>125</v>
      </c>
      <c r="R143" s="11" t="s">
        <v>150</v>
      </c>
      <c r="S143" s="11" t="s">
        <v>994</v>
      </c>
      <c r="T143" s="11" t="s">
        <v>126</v>
      </c>
      <c r="U143" s="11" t="s">
        <v>994</v>
      </c>
      <c r="V143" s="11" t="s">
        <v>994</v>
      </c>
      <c r="W143" s="11" t="s">
        <v>994</v>
      </c>
      <c r="X143" s="11" t="s">
        <v>994</v>
      </c>
      <c r="Y143" s="11" t="s">
        <v>994</v>
      </c>
      <c r="Z143" s="11" t="s">
        <v>994</v>
      </c>
      <c r="AA143" s="11" t="s">
        <v>994</v>
      </c>
      <c r="AB143" s="11" t="s">
        <v>994</v>
      </c>
      <c r="AC143" s="11" t="s">
        <v>994</v>
      </c>
      <c r="AD143" s="11" t="s">
        <v>994</v>
      </c>
      <c r="AE143" s="11" t="s">
        <v>1804</v>
      </c>
    </row>
    <row r="144">
      <c r="B144" s="26" t="s">
        <v>283</v>
      </c>
      <c r="C144" s="12" t="s">
        <v>1483</v>
      </c>
      <c r="D144" s="11" t="s">
        <v>595</v>
      </c>
      <c r="E144" s="11" t="s">
        <v>93</v>
      </c>
      <c r="F144" s="12" t="s">
        <v>283</v>
      </c>
      <c r="G144" s="12" t="s">
        <v>246</v>
      </c>
      <c r="H144" s="12" t="s">
        <v>246</v>
      </c>
      <c r="I144" s="12" t="s">
        <v>430</v>
      </c>
      <c r="J144" s="12" t="s">
        <v>93</v>
      </c>
      <c r="K144" s="12" t="s">
        <v>1026</v>
      </c>
      <c r="L144" s="12" t="s">
        <v>247</v>
      </c>
      <c r="M144" s="12" t="s">
        <v>994</v>
      </c>
      <c r="N144" s="13" t="s">
        <v>596</v>
      </c>
      <c r="O144" s="11" t="s">
        <v>532</v>
      </c>
      <c r="P144" s="11" t="s">
        <v>533</v>
      </c>
      <c r="Q144" s="11" t="s">
        <v>125</v>
      </c>
      <c r="R144" s="11" t="s">
        <v>150</v>
      </c>
      <c r="S144" s="11" t="s">
        <v>994</v>
      </c>
      <c r="T144" s="11" t="s">
        <v>126</v>
      </c>
      <c r="U144" s="11" t="s">
        <v>994</v>
      </c>
      <c r="V144" s="11" t="s">
        <v>994</v>
      </c>
      <c r="W144" s="11" t="s">
        <v>994</v>
      </c>
      <c r="X144" s="11" t="s">
        <v>994</v>
      </c>
      <c r="Y144" s="11" t="s">
        <v>994</v>
      </c>
      <c r="Z144" s="11" t="s">
        <v>994</v>
      </c>
      <c r="AA144" s="11" t="s">
        <v>994</v>
      </c>
      <c r="AB144" s="11" t="s">
        <v>994</v>
      </c>
      <c r="AC144" s="11" t="s">
        <v>994</v>
      </c>
      <c r="AD144" s="11" t="s">
        <v>994</v>
      </c>
      <c r="AE144" s="11" t="s">
        <v>1804</v>
      </c>
    </row>
    <row r="145">
      <c r="B145" s="26" t="s">
        <v>49</v>
      </c>
      <c r="C145" s="12" t="s">
        <v>1484</v>
      </c>
      <c r="D145" s="11" t="s">
        <v>597</v>
      </c>
      <c r="E145" s="11" t="s">
        <v>90</v>
      </c>
      <c r="F145" s="12" t="s">
        <v>450</v>
      </c>
      <c r="G145" s="12" t="s">
        <v>246</v>
      </c>
      <c r="H145" s="12" t="s">
        <v>246</v>
      </c>
      <c r="I145" s="12" t="s">
        <v>430</v>
      </c>
      <c r="J145" s="12" t="s">
        <v>90</v>
      </c>
      <c r="K145" s="12" t="s">
        <v>1026</v>
      </c>
      <c r="L145" s="12" t="s">
        <v>247</v>
      </c>
      <c r="M145" s="12" t="s">
        <v>994</v>
      </c>
      <c r="N145" s="13" t="s">
        <v>598</v>
      </c>
      <c r="O145" s="11" t="s">
        <v>599</v>
      </c>
      <c r="P145" s="11" t="s">
        <v>600</v>
      </c>
      <c r="Q145" s="11" t="s">
        <v>125</v>
      </c>
      <c r="R145" s="11" t="s">
        <v>150</v>
      </c>
      <c r="S145" s="11" t="s">
        <v>994</v>
      </c>
      <c r="T145" s="11" t="s">
        <v>125</v>
      </c>
      <c r="U145" s="11" t="s">
        <v>38</v>
      </c>
      <c r="V145" s="11" t="s">
        <v>1762</v>
      </c>
      <c r="W145" s="11" t="s">
        <v>1378</v>
      </c>
      <c r="X145" s="11" t="s">
        <v>1777</v>
      </c>
      <c r="Y145" s="11" t="s">
        <v>994</v>
      </c>
      <c r="Z145" s="11" t="s">
        <v>994</v>
      </c>
      <c r="AA145" s="11" t="s">
        <v>994</v>
      </c>
      <c r="AB145" s="11" t="s">
        <v>994</v>
      </c>
      <c r="AC145" s="11" t="s">
        <v>994</v>
      </c>
      <c r="AD145" s="11" t="s">
        <v>1257</v>
      </c>
      <c r="AE145" s="11" t="s">
        <v>995</v>
      </c>
    </row>
    <row r="146">
      <c r="B146" s="26" t="s">
        <v>49</v>
      </c>
      <c r="C146" s="12" t="s">
        <v>1485</v>
      </c>
      <c r="D146" s="11" t="s">
        <v>601</v>
      </c>
      <c r="E146" s="11" t="s">
        <v>90</v>
      </c>
      <c r="F146" s="12" t="s">
        <v>332</v>
      </c>
      <c r="G146" s="12" t="s">
        <v>246</v>
      </c>
      <c r="H146" s="12" t="s">
        <v>246</v>
      </c>
      <c r="I146" s="12" t="s">
        <v>430</v>
      </c>
      <c r="J146" s="12" t="s">
        <v>90</v>
      </c>
      <c r="K146" s="12" t="s">
        <v>1026</v>
      </c>
      <c r="L146" s="12" t="s">
        <v>247</v>
      </c>
      <c r="M146" s="12" t="s">
        <v>994</v>
      </c>
      <c r="N146" s="13" t="s">
        <v>994</v>
      </c>
      <c r="O146" s="11" t="s">
        <v>599</v>
      </c>
      <c r="P146" s="11" t="s">
        <v>600</v>
      </c>
      <c r="Q146" s="11" t="s">
        <v>125</v>
      </c>
      <c r="R146" s="11" t="s">
        <v>150</v>
      </c>
      <c r="S146" s="11" t="s">
        <v>994</v>
      </c>
      <c r="T146" s="11" t="s">
        <v>126</v>
      </c>
      <c r="U146" s="11" t="s">
        <v>994</v>
      </c>
      <c r="V146" s="11" t="s">
        <v>994</v>
      </c>
      <c r="W146" s="11" t="s">
        <v>994</v>
      </c>
      <c r="X146" s="11" t="s">
        <v>994</v>
      </c>
      <c r="Y146" s="11" t="s">
        <v>994</v>
      </c>
      <c r="Z146" s="11" t="s">
        <v>994</v>
      </c>
      <c r="AA146" s="11" t="s">
        <v>994</v>
      </c>
      <c r="AB146" s="11" t="s">
        <v>994</v>
      </c>
      <c r="AC146" s="11" t="s">
        <v>994</v>
      </c>
      <c r="AD146" s="11" t="s">
        <v>994</v>
      </c>
      <c r="AE146" s="11" t="s">
        <v>1804</v>
      </c>
    </row>
    <row r="147">
      <c r="B147" s="26" t="s">
        <v>308</v>
      </c>
      <c r="C147" s="12" t="s">
        <v>1486</v>
      </c>
      <c r="D147" s="11" t="s">
        <v>602</v>
      </c>
      <c r="E147" s="11" t="s">
        <v>90</v>
      </c>
      <c r="F147" s="12" t="s">
        <v>308</v>
      </c>
      <c r="G147" s="12" t="s">
        <v>246</v>
      </c>
      <c r="H147" s="12" t="s">
        <v>246</v>
      </c>
      <c r="I147" s="12" t="s">
        <v>430</v>
      </c>
      <c r="J147" s="12" t="s">
        <v>90</v>
      </c>
      <c r="K147" s="12" t="s">
        <v>1026</v>
      </c>
      <c r="L147" s="12" t="s">
        <v>247</v>
      </c>
      <c r="M147" s="12" t="s">
        <v>994</v>
      </c>
      <c r="N147" s="13" t="s">
        <v>994</v>
      </c>
      <c r="O147" s="11" t="s">
        <v>599</v>
      </c>
      <c r="P147" s="11" t="s">
        <v>600</v>
      </c>
      <c r="Q147" s="11" t="s">
        <v>125</v>
      </c>
      <c r="R147" s="11" t="s">
        <v>150</v>
      </c>
      <c r="S147" s="11" t="s">
        <v>994</v>
      </c>
      <c r="T147" s="11" t="s">
        <v>126</v>
      </c>
      <c r="U147" s="11" t="s">
        <v>994</v>
      </c>
      <c r="V147" s="11" t="s">
        <v>994</v>
      </c>
      <c r="W147" s="11" t="s">
        <v>994</v>
      </c>
      <c r="X147" s="11" t="s">
        <v>994</v>
      </c>
      <c r="Y147" s="11" t="s">
        <v>994</v>
      </c>
      <c r="Z147" s="11" t="s">
        <v>994</v>
      </c>
      <c r="AA147" s="11" t="s">
        <v>994</v>
      </c>
      <c r="AB147" s="11" t="s">
        <v>994</v>
      </c>
      <c r="AC147" s="11" t="s">
        <v>994</v>
      </c>
      <c r="AD147" s="11" t="s">
        <v>994</v>
      </c>
      <c r="AE147" s="11" t="s">
        <v>1804</v>
      </c>
    </row>
    <row r="148">
      <c r="B148" s="26" t="s">
        <v>49</v>
      </c>
      <c r="C148" s="12" t="s">
        <v>1487</v>
      </c>
      <c r="D148" s="11" t="s">
        <v>603</v>
      </c>
      <c r="E148" s="11" t="s">
        <v>90</v>
      </c>
      <c r="F148" s="12" t="s">
        <v>374</v>
      </c>
      <c r="G148" s="12" t="s">
        <v>246</v>
      </c>
      <c r="H148" s="12" t="s">
        <v>246</v>
      </c>
      <c r="I148" s="12" t="s">
        <v>430</v>
      </c>
      <c r="J148" s="12" t="s">
        <v>90</v>
      </c>
      <c r="K148" s="12" t="s">
        <v>1025</v>
      </c>
      <c r="L148" s="12" t="s">
        <v>247</v>
      </c>
      <c r="M148" s="12" t="s">
        <v>994</v>
      </c>
      <c r="N148" s="13" t="s">
        <v>604</v>
      </c>
      <c r="O148" s="11" t="s">
        <v>599</v>
      </c>
      <c r="P148" s="11" t="s">
        <v>600</v>
      </c>
      <c r="Q148" s="11" t="s">
        <v>125</v>
      </c>
      <c r="R148" s="11" t="s">
        <v>150</v>
      </c>
      <c r="S148" s="11" t="s">
        <v>994</v>
      </c>
      <c r="T148" s="11" t="s">
        <v>125</v>
      </c>
      <c r="U148" s="11" t="s">
        <v>132</v>
      </c>
      <c r="V148" s="11" t="s">
        <v>1763</v>
      </c>
      <c r="W148" s="11" t="s">
        <v>1762</v>
      </c>
      <c r="X148" s="11" t="s">
        <v>1777</v>
      </c>
      <c r="Y148" s="11" t="s">
        <v>994</v>
      </c>
      <c r="Z148" s="11" t="s">
        <v>994</v>
      </c>
      <c r="AA148" s="11" t="s">
        <v>994</v>
      </c>
      <c r="AB148" s="11" t="s">
        <v>994</v>
      </c>
      <c r="AC148" s="11" t="s">
        <v>994</v>
      </c>
      <c r="AD148" s="11" t="s">
        <v>1258</v>
      </c>
      <c r="AE148" s="11" t="s">
        <v>995</v>
      </c>
    </row>
    <row r="149">
      <c r="B149" s="26" t="s">
        <v>49</v>
      </c>
      <c r="C149" s="12" t="s">
        <v>1488</v>
      </c>
      <c r="D149" s="11" t="s">
        <v>605</v>
      </c>
      <c r="E149" s="11" t="s">
        <v>90</v>
      </c>
      <c r="F149" s="12" t="s">
        <v>606</v>
      </c>
      <c r="G149" s="12" t="s">
        <v>246</v>
      </c>
      <c r="H149" s="12" t="s">
        <v>246</v>
      </c>
      <c r="I149" s="12" t="s">
        <v>430</v>
      </c>
      <c r="J149" s="12" t="s">
        <v>90</v>
      </c>
      <c r="K149" s="12" t="s">
        <v>1026</v>
      </c>
      <c r="L149" s="12" t="s">
        <v>247</v>
      </c>
      <c r="M149" s="12" t="s">
        <v>994</v>
      </c>
      <c r="N149" s="13" t="s">
        <v>607</v>
      </c>
      <c r="O149" s="11" t="s">
        <v>599</v>
      </c>
      <c r="P149" s="11" t="s">
        <v>600</v>
      </c>
      <c r="Q149" s="11" t="s">
        <v>125</v>
      </c>
      <c r="R149" s="11" t="s">
        <v>150</v>
      </c>
      <c r="S149" s="11" t="s">
        <v>125</v>
      </c>
      <c r="T149" s="11" t="s">
        <v>125</v>
      </c>
      <c r="U149" s="11" t="s">
        <v>38</v>
      </c>
      <c r="V149" s="11" t="s">
        <v>1378</v>
      </c>
      <c r="W149" s="11" t="s">
        <v>1777</v>
      </c>
      <c r="X149" s="11" t="s">
        <v>994</v>
      </c>
      <c r="Y149" s="11" t="s">
        <v>994</v>
      </c>
      <c r="Z149" s="11" t="s">
        <v>994</v>
      </c>
      <c r="AA149" s="11" t="s">
        <v>994</v>
      </c>
      <c r="AB149" s="11" t="s">
        <v>994</v>
      </c>
      <c r="AC149" s="11" t="s">
        <v>994</v>
      </c>
      <c r="AD149" s="11" t="s">
        <v>1259</v>
      </c>
      <c r="AE149" s="11" t="s">
        <v>995</v>
      </c>
    </row>
    <row r="150">
      <c r="B150" s="26" t="s">
        <v>49</v>
      </c>
      <c r="C150" s="12" t="s">
        <v>1489</v>
      </c>
      <c r="D150" s="11" t="s">
        <v>608</v>
      </c>
      <c r="E150" s="11" t="s">
        <v>90</v>
      </c>
      <c r="F150" s="12" t="s">
        <v>442</v>
      </c>
      <c r="G150" s="12" t="s">
        <v>246</v>
      </c>
      <c r="H150" s="12" t="s">
        <v>246</v>
      </c>
      <c r="I150" s="12" t="s">
        <v>430</v>
      </c>
      <c r="J150" s="12" t="s">
        <v>90</v>
      </c>
      <c r="K150" s="12" t="s">
        <v>1026</v>
      </c>
      <c r="L150" s="12" t="s">
        <v>247</v>
      </c>
      <c r="M150" s="12" t="s">
        <v>994</v>
      </c>
      <c r="N150" s="13" t="s">
        <v>609</v>
      </c>
      <c r="O150" s="11" t="s">
        <v>599</v>
      </c>
      <c r="P150" s="11" t="s">
        <v>600</v>
      </c>
      <c r="Q150" s="11" t="s">
        <v>125</v>
      </c>
      <c r="R150" s="11" t="s">
        <v>150</v>
      </c>
      <c r="S150" s="11" t="s">
        <v>125</v>
      </c>
      <c r="T150" s="11" t="s">
        <v>125</v>
      </c>
      <c r="U150" s="11" t="s">
        <v>38</v>
      </c>
      <c r="V150" s="11" t="s">
        <v>1378</v>
      </c>
      <c r="W150" s="11" t="s">
        <v>1777</v>
      </c>
      <c r="X150" s="11" t="s">
        <v>994</v>
      </c>
      <c r="Y150" s="11" t="s">
        <v>994</v>
      </c>
      <c r="Z150" s="11" t="s">
        <v>994</v>
      </c>
      <c r="AA150" s="11" t="s">
        <v>994</v>
      </c>
      <c r="AB150" s="11" t="s">
        <v>994</v>
      </c>
      <c r="AC150" s="11" t="s">
        <v>994</v>
      </c>
      <c r="AD150" s="11" t="s">
        <v>1260</v>
      </c>
      <c r="AE150" s="11" t="s">
        <v>995</v>
      </c>
    </row>
    <row r="151">
      <c r="B151" s="26" t="s">
        <v>49</v>
      </c>
      <c r="C151" s="12" t="s">
        <v>1490</v>
      </c>
      <c r="D151" s="11" t="s">
        <v>610</v>
      </c>
      <c r="E151" s="11" t="s">
        <v>90</v>
      </c>
      <c r="F151" s="12" t="s">
        <v>424</v>
      </c>
      <c r="G151" s="12" t="s">
        <v>246</v>
      </c>
      <c r="H151" s="12" t="s">
        <v>246</v>
      </c>
      <c r="I151" s="12" t="s">
        <v>430</v>
      </c>
      <c r="J151" s="12" t="s">
        <v>90</v>
      </c>
      <c r="K151" s="12" t="s">
        <v>1026</v>
      </c>
      <c r="L151" s="12" t="s">
        <v>247</v>
      </c>
      <c r="M151" s="12" t="s">
        <v>994</v>
      </c>
      <c r="N151" s="13" t="s">
        <v>611</v>
      </c>
      <c r="O151" s="11" t="s">
        <v>599</v>
      </c>
      <c r="P151" s="11" t="s">
        <v>600</v>
      </c>
      <c r="Q151" s="11" t="s">
        <v>125</v>
      </c>
      <c r="R151" s="11" t="s">
        <v>150</v>
      </c>
      <c r="S151" s="11" t="s">
        <v>125</v>
      </c>
      <c r="T151" s="11" t="s">
        <v>125</v>
      </c>
      <c r="U151" s="11" t="s">
        <v>38</v>
      </c>
      <c r="V151" s="11" t="s">
        <v>1378</v>
      </c>
      <c r="W151" s="11" t="s">
        <v>994</v>
      </c>
      <c r="X151" s="11" t="s">
        <v>994</v>
      </c>
      <c r="Y151" s="11" t="s">
        <v>994</v>
      </c>
      <c r="Z151" s="11" t="s">
        <v>994</v>
      </c>
      <c r="AA151" s="11" t="s">
        <v>994</v>
      </c>
      <c r="AB151" s="11" t="s">
        <v>994</v>
      </c>
      <c r="AC151" s="11" t="s">
        <v>994</v>
      </c>
      <c r="AD151" s="11" t="s">
        <v>994</v>
      </c>
      <c r="AE151" s="11" t="s">
        <v>995</v>
      </c>
    </row>
    <row r="152">
      <c r="B152" s="26" t="s">
        <v>311</v>
      </c>
      <c r="C152" s="12" t="s">
        <v>1491</v>
      </c>
      <c r="D152" s="11" t="s">
        <v>612</v>
      </c>
      <c r="E152" s="11" t="s">
        <v>90</v>
      </c>
      <c r="F152" s="12" t="s">
        <v>311</v>
      </c>
      <c r="G152" s="12" t="s">
        <v>246</v>
      </c>
      <c r="H152" s="12" t="s">
        <v>246</v>
      </c>
      <c r="I152" s="12" t="s">
        <v>430</v>
      </c>
      <c r="J152" s="12" t="s">
        <v>90</v>
      </c>
      <c r="K152" s="12" t="s">
        <v>1026</v>
      </c>
      <c r="L152" s="12" t="s">
        <v>247</v>
      </c>
      <c r="M152" s="12" t="s">
        <v>994</v>
      </c>
      <c r="N152" s="13" t="s">
        <v>613</v>
      </c>
      <c r="O152" s="11" t="s">
        <v>599</v>
      </c>
      <c r="P152" s="11" t="s">
        <v>600</v>
      </c>
      <c r="Q152" s="11" t="s">
        <v>125</v>
      </c>
      <c r="R152" s="11" t="s">
        <v>150</v>
      </c>
      <c r="S152" s="11" t="s">
        <v>125</v>
      </c>
      <c r="T152" s="11" t="s">
        <v>125</v>
      </c>
      <c r="U152" s="11" t="s">
        <v>38</v>
      </c>
      <c r="V152" s="11" t="s">
        <v>1378</v>
      </c>
      <c r="W152" s="11" t="s">
        <v>994</v>
      </c>
      <c r="X152" s="11" t="s">
        <v>994</v>
      </c>
      <c r="Y152" s="11" t="s">
        <v>994</v>
      </c>
      <c r="Z152" s="11" t="s">
        <v>994</v>
      </c>
      <c r="AA152" s="11" t="s">
        <v>994</v>
      </c>
      <c r="AB152" s="11" t="s">
        <v>994</v>
      </c>
      <c r="AC152" s="11" t="s">
        <v>994</v>
      </c>
      <c r="AD152" s="11" t="s">
        <v>994</v>
      </c>
      <c r="AE152" s="11" t="s">
        <v>995</v>
      </c>
    </row>
    <row r="153">
      <c r="B153" s="26" t="s">
        <v>291</v>
      </c>
      <c r="C153" s="12" t="s">
        <v>1492</v>
      </c>
      <c r="D153" s="11" t="s">
        <v>614</v>
      </c>
      <c r="E153" s="11" t="s">
        <v>90</v>
      </c>
      <c r="F153" s="12" t="s">
        <v>291</v>
      </c>
      <c r="G153" s="12" t="s">
        <v>246</v>
      </c>
      <c r="H153" s="12" t="s">
        <v>246</v>
      </c>
      <c r="I153" s="12" t="s">
        <v>430</v>
      </c>
      <c r="J153" s="12" t="s">
        <v>90</v>
      </c>
      <c r="K153" s="12" t="s">
        <v>1026</v>
      </c>
      <c r="L153" s="12" t="s">
        <v>247</v>
      </c>
      <c r="M153" s="12" t="s">
        <v>994</v>
      </c>
      <c r="N153" s="13" t="s">
        <v>615</v>
      </c>
      <c r="O153" s="11" t="s">
        <v>599</v>
      </c>
      <c r="P153" s="11" t="s">
        <v>600</v>
      </c>
      <c r="Q153" s="11" t="s">
        <v>125</v>
      </c>
      <c r="R153" s="11" t="s">
        <v>150</v>
      </c>
      <c r="S153" s="11" t="s">
        <v>125</v>
      </c>
      <c r="T153" s="11" t="s">
        <v>125</v>
      </c>
      <c r="U153" s="11" t="s">
        <v>38</v>
      </c>
      <c r="V153" s="11" t="s">
        <v>1378</v>
      </c>
      <c r="W153" s="11" t="s">
        <v>994</v>
      </c>
      <c r="X153" s="11" t="s">
        <v>994</v>
      </c>
      <c r="Y153" s="11" t="s">
        <v>994</v>
      </c>
      <c r="Z153" s="11" t="s">
        <v>994</v>
      </c>
      <c r="AA153" s="11" t="s">
        <v>994</v>
      </c>
      <c r="AB153" s="11" t="s">
        <v>994</v>
      </c>
      <c r="AC153" s="11" t="s">
        <v>994</v>
      </c>
      <c r="AD153" s="11" t="s">
        <v>994</v>
      </c>
      <c r="AE153" s="11" t="s">
        <v>995</v>
      </c>
    </row>
    <row r="154">
      <c r="B154" s="26" t="s">
        <v>49</v>
      </c>
      <c r="C154" s="12" t="s">
        <v>1493</v>
      </c>
      <c r="D154" s="11" t="s">
        <v>616</v>
      </c>
      <c r="E154" s="11" t="s">
        <v>90</v>
      </c>
      <c r="F154" s="12" t="s">
        <v>286</v>
      </c>
      <c r="G154" s="12" t="s">
        <v>246</v>
      </c>
      <c r="H154" s="12" t="s">
        <v>246</v>
      </c>
      <c r="I154" s="12" t="s">
        <v>430</v>
      </c>
      <c r="J154" s="12" t="s">
        <v>90</v>
      </c>
      <c r="K154" s="12" t="s">
        <v>1026</v>
      </c>
      <c r="L154" s="12" t="s">
        <v>247</v>
      </c>
      <c r="M154" s="12" t="s">
        <v>994</v>
      </c>
      <c r="N154" s="13" t="s">
        <v>617</v>
      </c>
      <c r="O154" s="11" t="s">
        <v>599</v>
      </c>
      <c r="P154" s="11" t="s">
        <v>600</v>
      </c>
      <c r="Q154" s="11" t="s">
        <v>125</v>
      </c>
      <c r="R154" s="11" t="s">
        <v>150</v>
      </c>
      <c r="S154" s="11" t="s">
        <v>125</v>
      </c>
      <c r="T154" s="11" t="s">
        <v>125</v>
      </c>
      <c r="U154" s="11" t="s">
        <v>38</v>
      </c>
      <c r="V154" s="11" t="s">
        <v>1378</v>
      </c>
      <c r="W154" s="11" t="s">
        <v>994</v>
      </c>
      <c r="X154" s="11" t="s">
        <v>994</v>
      </c>
      <c r="Y154" s="11" t="s">
        <v>994</v>
      </c>
      <c r="Z154" s="11" t="s">
        <v>994</v>
      </c>
      <c r="AA154" s="11" t="s">
        <v>994</v>
      </c>
      <c r="AB154" s="11" t="s">
        <v>994</v>
      </c>
      <c r="AC154" s="11" t="s">
        <v>994</v>
      </c>
      <c r="AD154" s="11" t="s">
        <v>994</v>
      </c>
      <c r="AE154" s="11" t="s">
        <v>995</v>
      </c>
    </row>
    <row r="155">
      <c r="B155" s="26" t="s">
        <v>49</v>
      </c>
      <c r="C155" s="12" t="s">
        <v>1494</v>
      </c>
      <c r="D155" s="11" t="s">
        <v>618</v>
      </c>
      <c r="E155" s="11" t="s">
        <v>90</v>
      </c>
      <c r="F155" s="12" t="s">
        <v>377</v>
      </c>
      <c r="G155" s="12" t="s">
        <v>246</v>
      </c>
      <c r="H155" s="12" t="s">
        <v>246</v>
      </c>
      <c r="I155" s="12" t="s">
        <v>430</v>
      </c>
      <c r="J155" s="12" t="s">
        <v>90</v>
      </c>
      <c r="K155" s="12" t="s">
        <v>1026</v>
      </c>
      <c r="L155" s="12" t="s">
        <v>247</v>
      </c>
      <c r="M155" s="12" t="s">
        <v>994</v>
      </c>
      <c r="N155" s="13" t="s">
        <v>619</v>
      </c>
      <c r="O155" s="11" t="s">
        <v>599</v>
      </c>
      <c r="P155" s="11" t="s">
        <v>600</v>
      </c>
      <c r="Q155" s="11" t="s">
        <v>125</v>
      </c>
      <c r="R155" s="11" t="s">
        <v>150</v>
      </c>
      <c r="S155" s="11" t="s">
        <v>125</v>
      </c>
      <c r="T155" s="11" t="s">
        <v>125</v>
      </c>
      <c r="U155" s="11" t="s">
        <v>29</v>
      </c>
      <c r="V155" s="11" t="s">
        <v>1378</v>
      </c>
      <c r="W155" s="11" t="s">
        <v>994</v>
      </c>
      <c r="X155" s="11" t="s">
        <v>994</v>
      </c>
      <c r="Y155" s="11" t="s">
        <v>994</v>
      </c>
      <c r="Z155" s="11" t="s">
        <v>994</v>
      </c>
      <c r="AA155" s="11" t="s">
        <v>994</v>
      </c>
      <c r="AB155" s="11" t="s">
        <v>994</v>
      </c>
      <c r="AC155" s="11" t="s">
        <v>994</v>
      </c>
      <c r="AD155" s="11" t="s">
        <v>1261</v>
      </c>
      <c r="AE155" s="11" t="s">
        <v>995</v>
      </c>
    </row>
    <row r="156">
      <c r="B156" s="26" t="s">
        <v>311</v>
      </c>
      <c r="C156" s="12" t="s">
        <v>1495</v>
      </c>
      <c r="D156" s="11" t="s">
        <v>620</v>
      </c>
      <c r="E156" s="11" t="s">
        <v>90</v>
      </c>
      <c r="F156" s="12" t="s">
        <v>311</v>
      </c>
      <c r="G156" s="12" t="s">
        <v>246</v>
      </c>
      <c r="H156" s="12" t="s">
        <v>246</v>
      </c>
      <c r="I156" s="12" t="s">
        <v>430</v>
      </c>
      <c r="J156" s="12" t="s">
        <v>90</v>
      </c>
      <c r="K156" s="12" t="s">
        <v>1026</v>
      </c>
      <c r="L156" s="12" t="s">
        <v>247</v>
      </c>
      <c r="M156" s="12" t="s">
        <v>994</v>
      </c>
      <c r="N156" s="13" t="s">
        <v>621</v>
      </c>
      <c r="O156" s="11" t="s">
        <v>599</v>
      </c>
      <c r="P156" s="11" t="s">
        <v>600</v>
      </c>
      <c r="Q156" s="11" t="s">
        <v>125</v>
      </c>
      <c r="R156" s="11" t="s">
        <v>150</v>
      </c>
      <c r="S156" s="11" t="s">
        <v>125</v>
      </c>
      <c r="T156" s="11" t="s">
        <v>125</v>
      </c>
      <c r="U156" s="11" t="s">
        <v>132</v>
      </c>
      <c r="V156" s="11" t="s">
        <v>1378</v>
      </c>
      <c r="W156" s="11" t="s">
        <v>994</v>
      </c>
      <c r="X156" s="11" t="s">
        <v>994</v>
      </c>
      <c r="Y156" s="11" t="s">
        <v>994</v>
      </c>
      <c r="Z156" s="11" t="s">
        <v>994</v>
      </c>
      <c r="AA156" s="11" t="s">
        <v>994</v>
      </c>
      <c r="AB156" s="11" t="s">
        <v>994</v>
      </c>
      <c r="AC156" s="11" t="s">
        <v>994</v>
      </c>
      <c r="AD156" s="11" t="s">
        <v>994</v>
      </c>
      <c r="AE156" s="11" t="s">
        <v>995</v>
      </c>
    </row>
    <row r="157">
      <c r="B157" s="26" t="s">
        <v>49</v>
      </c>
      <c r="C157" s="12" t="s">
        <v>1496</v>
      </c>
      <c r="D157" s="11" t="s">
        <v>622</v>
      </c>
      <c r="E157" s="11" t="s">
        <v>90</v>
      </c>
      <c r="F157" s="12" t="s">
        <v>49</v>
      </c>
      <c r="G157" s="12" t="s">
        <v>246</v>
      </c>
      <c r="H157" s="12" t="s">
        <v>246</v>
      </c>
      <c r="I157" s="12" t="s">
        <v>430</v>
      </c>
      <c r="J157" s="12" t="s">
        <v>90</v>
      </c>
      <c r="K157" s="12" t="s">
        <v>1026</v>
      </c>
      <c r="L157" s="12" t="s">
        <v>247</v>
      </c>
      <c r="M157" s="12" t="s">
        <v>994</v>
      </c>
      <c r="N157" s="13" t="s">
        <v>623</v>
      </c>
      <c r="O157" s="11" t="s">
        <v>599</v>
      </c>
      <c r="P157" s="11" t="s">
        <v>600</v>
      </c>
      <c r="Q157" s="11" t="s">
        <v>125</v>
      </c>
      <c r="R157" s="11" t="s">
        <v>150</v>
      </c>
      <c r="S157" s="11" t="s">
        <v>125</v>
      </c>
      <c r="T157" s="11" t="s">
        <v>125</v>
      </c>
      <c r="U157" s="11" t="s">
        <v>38</v>
      </c>
      <c r="V157" s="11" t="s">
        <v>1378</v>
      </c>
      <c r="W157" s="11" t="s">
        <v>994</v>
      </c>
      <c r="X157" s="11" t="s">
        <v>994</v>
      </c>
      <c r="Y157" s="11" t="s">
        <v>994</v>
      </c>
      <c r="Z157" s="11" t="s">
        <v>994</v>
      </c>
      <c r="AA157" s="11" t="s">
        <v>994</v>
      </c>
      <c r="AB157" s="11" t="s">
        <v>994</v>
      </c>
      <c r="AC157" s="11" t="s">
        <v>994</v>
      </c>
      <c r="AD157" s="11" t="s">
        <v>994</v>
      </c>
      <c r="AE157" s="11" t="s">
        <v>995</v>
      </c>
    </row>
    <row r="158">
      <c r="B158" s="26" t="s">
        <v>295</v>
      </c>
      <c r="C158" s="12" t="s">
        <v>1497</v>
      </c>
      <c r="D158" s="11" t="s">
        <v>624</v>
      </c>
      <c r="E158" s="11" t="s">
        <v>90</v>
      </c>
      <c r="F158" s="12" t="s">
        <v>295</v>
      </c>
      <c r="G158" s="12" t="s">
        <v>246</v>
      </c>
      <c r="H158" s="12" t="s">
        <v>246</v>
      </c>
      <c r="I158" s="12" t="s">
        <v>430</v>
      </c>
      <c r="J158" s="12" t="s">
        <v>90</v>
      </c>
      <c r="K158" s="12" t="s">
        <v>1026</v>
      </c>
      <c r="L158" s="12" t="s">
        <v>247</v>
      </c>
      <c r="M158" s="12" t="s">
        <v>994</v>
      </c>
      <c r="N158" s="13" t="s">
        <v>625</v>
      </c>
      <c r="O158" s="11" t="s">
        <v>599</v>
      </c>
      <c r="P158" s="11" t="s">
        <v>600</v>
      </c>
      <c r="Q158" s="11" t="s">
        <v>125</v>
      </c>
      <c r="R158" s="11" t="s">
        <v>150</v>
      </c>
      <c r="S158" s="11" t="s">
        <v>125</v>
      </c>
      <c r="T158" s="11" t="s">
        <v>125</v>
      </c>
      <c r="U158" s="11" t="s">
        <v>38</v>
      </c>
      <c r="V158" s="11" t="s">
        <v>1378</v>
      </c>
      <c r="W158" s="11" t="s">
        <v>994</v>
      </c>
      <c r="X158" s="11" t="s">
        <v>994</v>
      </c>
      <c r="Y158" s="11" t="s">
        <v>994</v>
      </c>
      <c r="Z158" s="11" t="s">
        <v>994</v>
      </c>
      <c r="AA158" s="11" t="s">
        <v>994</v>
      </c>
      <c r="AB158" s="11" t="s">
        <v>994</v>
      </c>
      <c r="AC158" s="11" t="s">
        <v>994</v>
      </c>
      <c r="AD158" s="11" t="s">
        <v>994</v>
      </c>
      <c r="AE158" s="11" t="s">
        <v>995</v>
      </c>
    </row>
    <row r="159">
      <c r="B159" s="26" t="s">
        <v>49</v>
      </c>
      <c r="C159" s="12" t="s">
        <v>1498</v>
      </c>
      <c r="D159" s="11" t="s">
        <v>626</v>
      </c>
      <c r="E159" s="11" t="s">
        <v>90</v>
      </c>
      <c r="F159" s="12" t="s">
        <v>286</v>
      </c>
      <c r="G159" s="12" t="s">
        <v>246</v>
      </c>
      <c r="H159" s="12" t="s">
        <v>246</v>
      </c>
      <c r="I159" s="12" t="s">
        <v>430</v>
      </c>
      <c r="J159" s="12" t="s">
        <v>90</v>
      </c>
      <c r="K159" s="12" t="s">
        <v>1026</v>
      </c>
      <c r="L159" s="12" t="s">
        <v>247</v>
      </c>
      <c r="M159" s="12" t="s">
        <v>994</v>
      </c>
      <c r="N159" s="13" t="s">
        <v>627</v>
      </c>
      <c r="O159" s="11" t="s">
        <v>599</v>
      </c>
      <c r="P159" s="11" t="s">
        <v>600</v>
      </c>
      <c r="Q159" s="11" t="s">
        <v>125</v>
      </c>
      <c r="R159" s="11" t="s">
        <v>150</v>
      </c>
      <c r="S159" s="11" t="s">
        <v>125</v>
      </c>
      <c r="T159" s="11" t="s">
        <v>125</v>
      </c>
      <c r="U159" s="11" t="s">
        <v>38</v>
      </c>
      <c r="V159" s="11" t="s">
        <v>1378</v>
      </c>
      <c r="W159" s="11" t="s">
        <v>994</v>
      </c>
      <c r="X159" s="11" t="s">
        <v>994</v>
      </c>
      <c r="Y159" s="11" t="s">
        <v>994</v>
      </c>
      <c r="Z159" s="11" t="s">
        <v>994</v>
      </c>
      <c r="AA159" s="11" t="s">
        <v>994</v>
      </c>
      <c r="AB159" s="11" t="s">
        <v>994</v>
      </c>
      <c r="AC159" s="11" t="s">
        <v>994</v>
      </c>
      <c r="AD159" s="11" t="s">
        <v>994</v>
      </c>
      <c r="AE159" s="11" t="s">
        <v>995</v>
      </c>
    </row>
    <row r="160">
      <c r="B160" s="26" t="s">
        <v>314</v>
      </c>
      <c r="C160" s="12" t="s">
        <v>1499</v>
      </c>
      <c r="D160" s="11" t="s">
        <v>1246</v>
      </c>
      <c r="E160" s="11" t="s">
        <v>90</v>
      </c>
      <c r="F160" s="12" t="s">
        <v>314</v>
      </c>
      <c r="G160" s="12" t="s">
        <v>246</v>
      </c>
      <c r="H160" s="12" t="s">
        <v>246</v>
      </c>
      <c r="I160" s="12" t="s">
        <v>430</v>
      </c>
      <c r="J160" s="12" t="s">
        <v>90</v>
      </c>
      <c r="K160" s="12" t="s">
        <v>1026</v>
      </c>
      <c r="L160" s="12" t="s">
        <v>247</v>
      </c>
      <c r="M160" s="12" t="s">
        <v>994</v>
      </c>
      <c r="N160" s="13" t="s">
        <v>628</v>
      </c>
      <c r="O160" s="11" t="s">
        <v>599</v>
      </c>
      <c r="P160" s="11" t="s">
        <v>600</v>
      </c>
      <c r="Q160" s="11" t="s">
        <v>125</v>
      </c>
      <c r="R160" s="11" t="s">
        <v>150</v>
      </c>
      <c r="S160" s="11" t="s">
        <v>125</v>
      </c>
      <c r="T160" s="11" t="s">
        <v>125</v>
      </c>
      <c r="U160" s="11" t="s">
        <v>1016</v>
      </c>
      <c r="V160" s="11" t="s">
        <v>1378</v>
      </c>
      <c r="W160" s="11" t="s">
        <v>994</v>
      </c>
      <c r="X160" s="11" t="s">
        <v>994</v>
      </c>
      <c r="Y160" s="11" t="s">
        <v>994</v>
      </c>
      <c r="Z160" s="11" t="s">
        <v>1380</v>
      </c>
      <c r="AA160" s="11" t="s">
        <v>994</v>
      </c>
      <c r="AB160" s="11" t="s">
        <v>30</v>
      </c>
      <c r="AC160" s="11" t="s">
        <v>994</v>
      </c>
      <c r="AD160" s="11" t="s">
        <v>994</v>
      </c>
      <c r="AE160" s="11" t="s">
        <v>995</v>
      </c>
    </row>
    <row r="161">
      <c r="B161" s="26" t="s">
        <v>49</v>
      </c>
      <c r="C161" s="12" t="s">
        <v>1500</v>
      </c>
      <c r="D161" s="11" t="s">
        <v>629</v>
      </c>
      <c r="E161" s="11" t="s">
        <v>90</v>
      </c>
      <c r="F161" s="12" t="s">
        <v>49</v>
      </c>
      <c r="G161" s="12" t="s">
        <v>246</v>
      </c>
      <c r="H161" s="12" t="s">
        <v>246</v>
      </c>
      <c r="I161" s="12" t="s">
        <v>430</v>
      </c>
      <c r="J161" s="12" t="s">
        <v>90</v>
      </c>
      <c r="K161" s="12" t="s">
        <v>1026</v>
      </c>
      <c r="L161" s="12" t="s">
        <v>247</v>
      </c>
      <c r="M161" s="12" t="s">
        <v>994</v>
      </c>
      <c r="N161" s="13" t="s">
        <v>630</v>
      </c>
      <c r="O161" s="11" t="s">
        <v>599</v>
      </c>
      <c r="P161" s="11" t="s">
        <v>600</v>
      </c>
      <c r="Q161" s="11" t="s">
        <v>125</v>
      </c>
      <c r="R161" s="11" t="s">
        <v>150</v>
      </c>
      <c r="S161" s="11" t="s">
        <v>125</v>
      </c>
      <c r="T161" s="11" t="s">
        <v>125</v>
      </c>
      <c r="U161" s="11" t="s">
        <v>132</v>
      </c>
      <c r="V161" s="11" t="s">
        <v>1378</v>
      </c>
      <c r="W161" s="11" t="s">
        <v>994</v>
      </c>
      <c r="X161" s="11" t="s">
        <v>994</v>
      </c>
      <c r="Y161" s="11" t="s">
        <v>994</v>
      </c>
      <c r="Z161" s="11" t="s">
        <v>994</v>
      </c>
      <c r="AA161" s="11" t="s">
        <v>994</v>
      </c>
      <c r="AB161" s="11" t="s">
        <v>994</v>
      </c>
      <c r="AC161" s="11" t="s">
        <v>994</v>
      </c>
      <c r="AD161" s="11" t="s">
        <v>994</v>
      </c>
      <c r="AE161" s="11" t="s">
        <v>995</v>
      </c>
    </row>
    <row r="162">
      <c r="B162" s="26" t="s">
        <v>49</v>
      </c>
      <c r="C162" s="12" t="s">
        <v>1501</v>
      </c>
      <c r="D162" s="11" t="s">
        <v>631</v>
      </c>
      <c r="E162" s="11" t="s">
        <v>90</v>
      </c>
      <c r="F162" s="12" t="s">
        <v>49</v>
      </c>
      <c r="G162" s="12" t="s">
        <v>246</v>
      </c>
      <c r="H162" s="12" t="s">
        <v>246</v>
      </c>
      <c r="I162" s="12" t="s">
        <v>430</v>
      </c>
      <c r="J162" s="12" t="s">
        <v>90</v>
      </c>
      <c r="K162" s="12" t="s">
        <v>1026</v>
      </c>
      <c r="L162" s="12" t="s">
        <v>247</v>
      </c>
      <c r="M162" s="12" t="s">
        <v>994</v>
      </c>
      <c r="N162" s="13" t="s">
        <v>632</v>
      </c>
      <c r="O162" s="11" t="s">
        <v>599</v>
      </c>
      <c r="P162" s="11" t="s">
        <v>600</v>
      </c>
      <c r="Q162" s="11" t="s">
        <v>125</v>
      </c>
      <c r="R162" s="11" t="s">
        <v>150</v>
      </c>
      <c r="S162" s="11" t="s">
        <v>125</v>
      </c>
      <c r="T162" s="11" t="s">
        <v>125</v>
      </c>
      <c r="U162" s="11" t="s">
        <v>38</v>
      </c>
      <c r="V162" s="11" t="s">
        <v>1378</v>
      </c>
      <c r="W162" s="11" t="s">
        <v>994</v>
      </c>
      <c r="X162" s="11" t="s">
        <v>994</v>
      </c>
      <c r="Y162" s="11" t="s">
        <v>994</v>
      </c>
      <c r="Z162" s="11" t="s">
        <v>994</v>
      </c>
      <c r="AA162" s="11" t="s">
        <v>994</v>
      </c>
      <c r="AB162" s="11" t="s">
        <v>994</v>
      </c>
      <c r="AC162" s="11" t="s">
        <v>994</v>
      </c>
      <c r="AD162" s="11" t="s">
        <v>994</v>
      </c>
      <c r="AE162" s="11" t="s">
        <v>995</v>
      </c>
    </row>
    <row r="163">
      <c r="B163" s="26" t="s">
        <v>308</v>
      </c>
      <c r="C163" s="12" t="s">
        <v>1502</v>
      </c>
      <c r="D163" s="11" t="s">
        <v>633</v>
      </c>
      <c r="E163" s="11" t="s">
        <v>90</v>
      </c>
      <c r="F163" s="12" t="s">
        <v>308</v>
      </c>
      <c r="G163" s="12" t="s">
        <v>246</v>
      </c>
      <c r="H163" s="12" t="s">
        <v>246</v>
      </c>
      <c r="I163" s="12" t="s">
        <v>430</v>
      </c>
      <c r="J163" s="12" t="s">
        <v>90</v>
      </c>
      <c r="K163" s="12" t="s">
        <v>1026</v>
      </c>
      <c r="L163" s="12" t="s">
        <v>247</v>
      </c>
      <c r="M163" s="12" t="s">
        <v>994</v>
      </c>
      <c r="N163" s="13" t="s">
        <v>634</v>
      </c>
      <c r="O163" s="11" t="s">
        <v>599</v>
      </c>
      <c r="P163" s="11" t="s">
        <v>600</v>
      </c>
      <c r="Q163" s="11" t="s">
        <v>125</v>
      </c>
      <c r="R163" s="11" t="s">
        <v>150</v>
      </c>
      <c r="S163" s="11" t="s">
        <v>125</v>
      </c>
      <c r="T163" s="11" t="s">
        <v>125</v>
      </c>
      <c r="U163" s="11" t="s">
        <v>38</v>
      </c>
      <c r="V163" s="11" t="s">
        <v>1378</v>
      </c>
      <c r="W163" s="11" t="s">
        <v>994</v>
      </c>
      <c r="X163" s="11" t="s">
        <v>994</v>
      </c>
      <c r="Y163" s="11" t="s">
        <v>994</v>
      </c>
      <c r="Z163" s="11" t="s">
        <v>994</v>
      </c>
      <c r="AA163" s="11" t="s">
        <v>994</v>
      </c>
      <c r="AB163" s="11" t="s">
        <v>994</v>
      </c>
      <c r="AC163" s="11" t="s">
        <v>994</v>
      </c>
      <c r="AD163" s="11" t="s">
        <v>994</v>
      </c>
      <c r="AE163" s="11" t="s">
        <v>995</v>
      </c>
    </row>
    <row r="164">
      <c r="B164" s="26" t="s">
        <v>49</v>
      </c>
      <c r="C164" s="12" t="s">
        <v>1503</v>
      </c>
      <c r="D164" s="11" t="s">
        <v>622</v>
      </c>
      <c r="E164" s="11" t="s">
        <v>90</v>
      </c>
      <c r="F164" s="12" t="s">
        <v>499</v>
      </c>
      <c r="G164" s="12" t="s">
        <v>246</v>
      </c>
      <c r="H164" s="12" t="s">
        <v>246</v>
      </c>
      <c r="I164" s="12" t="s">
        <v>430</v>
      </c>
      <c r="J164" s="12" t="s">
        <v>90</v>
      </c>
      <c r="K164" s="12" t="s">
        <v>1026</v>
      </c>
      <c r="L164" s="12" t="s">
        <v>247</v>
      </c>
      <c r="M164" s="12" t="s">
        <v>994</v>
      </c>
      <c r="N164" s="13" t="s">
        <v>635</v>
      </c>
      <c r="O164" s="11" t="s">
        <v>599</v>
      </c>
      <c r="P164" s="11" t="s">
        <v>600</v>
      </c>
      <c r="Q164" s="11" t="s">
        <v>125</v>
      </c>
      <c r="R164" s="11" t="s">
        <v>150</v>
      </c>
      <c r="S164" s="11" t="s">
        <v>125</v>
      </c>
      <c r="T164" s="11" t="s">
        <v>125</v>
      </c>
      <c r="U164" s="11" t="s">
        <v>38</v>
      </c>
      <c r="V164" s="11" t="s">
        <v>1378</v>
      </c>
      <c r="W164" s="11" t="s">
        <v>994</v>
      </c>
      <c r="X164" s="11" t="s">
        <v>994</v>
      </c>
      <c r="Y164" s="11" t="s">
        <v>994</v>
      </c>
      <c r="Z164" s="11" t="s">
        <v>994</v>
      </c>
      <c r="AA164" s="11" t="s">
        <v>994</v>
      </c>
      <c r="AB164" s="11" t="s">
        <v>994</v>
      </c>
      <c r="AC164" s="11" t="s">
        <v>994</v>
      </c>
      <c r="AD164" s="11" t="s">
        <v>994</v>
      </c>
      <c r="AE164" s="11" t="s">
        <v>995</v>
      </c>
    </row>
    <row r="165">
      <c r="B165" s="26" t="s">
        <v>49</v>
      </c>
      <c r="C165" s="12" t="s">
        <v>1504</v>
      </c>
      <c r="D165" s="11" t="s">
        <v>636</v>
      </c>
      <c r="E165" s="11" t="s">
        <v>90</v>
      </c>
      <c r="F165" s="12" t="s">
        <v>49</v>
      </c>
      <c r="G165" s="12" t="s">
        <v>246</v>
      </c>
      <c r="H165" s="12" t="s">
        <v>246</v>
      </c>
      <c r="I165" s="12" t="s">
        <v>430</v>
      </c>
      <c r="J165" s="12" t="s">
        <v>90</v>
      </c>
      <c r="K165" s="12" t="s">
        <v>1026</v>
      </c>
      <c r="L165" s="12" t="s">
        <v>247</v>
      </c>
      <c r="M165" s="12" t="s">
        <v>994</v>
      </c>
      <c r="N165" s="13" t="s">
        <v>637</v>
      </c>
      <c r="O165" s="11" t="s">
        <v>599</v>
      </c>
      <c r="P165" s="11" t="s">
        <v>600</v>
      </c>
      <c r="Q165" s="11" t="s">
        <v>125</v>
      </c>
      <c r="R165" s="11" t="s">
        <v>150</v>
      </c>
      <c r="S165" s="11" t="s">
        <v>994</v>
      </c>
      <c r="T165" s="11" t="s">
        <v>125</v>
      </c>
      <c r="U165" s="11" t="s">
        <v>38</v>
      </c>
      <c r="V165" s="11" t="s">
        <v>1378</v>
      </c>
      <c r="W165" s="11" t="s">
        <v>994</v>
      </c>
      <c r="X165" s="11" t="s">
        <v>994</v>
      </c>
      <c r="Y165" s="11" t="s">
        <v>994</v>
      </c>
      <c r="Z165" s="11" t="s">
        <v>994</v>
      </c>
      <c r="AA165" s="11" t="s">
        <v>994</v>
      </c>
      <c r="AB165" s="11" t="s">
        <v>994</v>
      </c>
      <c r="AC165" s="11" t="s">
        <v>994</v>
      </c>
      <c r="AD165" s="11" t="s">
        <v>994</v>
      </c>
      <c r="AE165" s="11" t="s">
        <v>995</v>
      </c>
    </row>
    <row r="166">
      <c r="B166" s="26" t="s">
        <v>295</v>
      </c>
      <c r="C166" s="12" t="s">
        <v>1505</v>
      </c>
      <c r="D166" s="11" t="s">
        <v>638</v>
      </c>
      <c r="E166" s="11" t="s">
        <v>90</v>
      </c>
      <c r="F166" s="12" t="s">
        <v>295</v>
      </c>
      <c r="G166" s="12" t="s">
        <v>246</v>
      </c>
      <c r="H166" s="12" t="s">
        <v>246</v>
      </c>
      <c r="I166" s="12" t="s">
        <v>430</v>
      </c>
      <c r="J166" s="12" t="s">
        <v>90</v>
      </c>
      <c r="K166" s="12" t="s">
        <v>1026</v>
      </c>
      <c r="L166" s="12" t="s">
        <v>247</v>
      </c>
      <c r="M166" s="12" t="s">
        <v>994</v>
      </c>
      <c r="N166" s="13" t="s">
        <v>639</v>
      </c>
      <c r="O166" s="11" t="s">
        <v>599</v>
      </c>
      <c r="P166" s="11" t="s">
        <v>600</v>
      </c>
      <c r="Q166" s="11" t="s">
        <v>125</v>
      </c>
      <c r="R166" s="11" t="s">
        <v>150</v>
      </c>
      <c r="S166" s="11" t="s">
        <v>994</v>
      </c>
      <c r="T166" s="11" t="s">
        <v>125</v>
      </c>
      <c r="U166" s="11" t="s">
        <v>132</v>
      </c>
      <c r="V166" s="11" t="s">
        <v>1378</v>
      </c>
      <c r="W166" s="11" t="s">
        <v>994</v>
      </c>
      <c r="X166" s="11" t="s">
        <v>994</v>
      </c>
      <c r="Y166" s="11" t="s">
        <v>994</v>
      </c>
      <c r="Z166" s="11" t="s">
        <v>994</v>
      </c>
      <c r="AA166" s="11" t="s">
        <v>994</v>
      </c>
      <c r="AB166" s="11" t="s">
        <v>994</v>
      </c>
      <c r="AC166" s="11" t="s">
        <v>994</v>
      </c>
      <c r="AD166" s="11" t="s">
        <v>994</v>
      </c>
      <c r="AE166" s="11" t="s">
        <v>995</v>
      </c>
    </row>
    <row r="167">
      <c r="B167" s="26" t="s">
        <v>295</v>
      </c>
      <c r="C167" s="12" t="s">
        <v>1506</v>
      </c>
      <c r="D167" s="11" t="s">
        <v>640</v>
      </c>
      <c r="E167" s="11" t="s">
        <v>90</v>
      </c>
      <c r="F167" s="12" t="s">
        <v>295</v>
      </c>
      <c r="G167" s="12" t="s">
        <v>246</v>
      </c>
      <c r="H167" s="12" t="s">
        <v>246</v>
      </c>
      <c r="I167" s="12" t="s">
        <v>430</v>
      </c>
      <c r="J167" s="12" t="s">
        <v>90</v>
      </c>
      <c r="K167" s="12" t="s">
        <v>1026</v>
      </c>
      <c r="L167" s="12" t="s">
        <v>247</v>
      </c>
      <c r="M167" s="12" t="s">
        <v>994</v>
      </c>
      <c r="N167" s="13" t="s">
        <v>641</v>
      </c>
      <c r="O167" s="11" t="s">
        <v>599</v>
      </c>
      <c r="P167" s="11" t="s">
        <v>600</v>
      </c>
      <c r="Q167" s="11" t="s">
        <v>125</v>
      </c>
      <c r="R167" s="11" t="s">
        <v>150</v>
      </c>
      <c r="S167" s="11" t="s">
        <v>994</v>
      </c>
      <c r="T167" s="11" t="s">
        <v>125</v>
      </c>
      <c r="U167" s="11" t="s">
        <v>29</v>
      </c>
      <c r="V167" s="11" t="s">
        <v>1378</v>
      </c>
      <c r="W167" s="11" t="s">
        <v>1778</v>
      </c>
      <c r="X167" s="11" t="s">
        <v>994</v>
      </c>
      <c r="Y167" s="11" t="s">
        <v>994</v>
      </c>
      <c r="Z167" s="11" t="s">
        <v>994</v>
      </c>
      <c r="AA167" s="11" t="s">
        <v>994</v>
      </c>
      <c r="AB167" s="11" t="s">
        <v>994</v>
      </c>
      <c r="AC167" s="11" t="s">
        <v>994</v>
      </c>
      <c r="AD167" s="11" t="s">
        <v>994</v>
      </c>
      <c r="AE167" s="11" t="s">
        <v>995</v>
      </c>
    </row>
    <row r="168">
      <c r="B168" s="26" t="s">
        <v>295</v>
      </c>
      <c r="C168" s="12" t="s">
        <v>1507</v>
      </c>
      <c r="D168" s="11" t="s">
        <v>642</v>
      </c>
      <c r="E168" s="11" t="s">
        <v>90</v>
      </c>
      <c r="F168" s="12" t="s">
        <v>295</v>
      </c>
      <c r="G168" s="12" t="s">
        <v>246</v>
      </c>
      <c r="H168" s="12" t="s">
        <v>246</v>
      </c>
      <c r="I168" s="12" t="s">
        <v>430</v>
      </c>
      <c r="J168" s="12" t="s">
        <v>90</v>
      </c>
      <c r="K168" s="12" t="s">
        <v>1026</v>
      </c>
      <c r="L168" s="12" t="s">
        <v>247</v>
      </c>
      <c r="M168" s="12" t="s">
        <v>994</v>
      </c>
      <c r="N168" s="13" t="s">
        <v>643</v>
      </c>
      <c r="O168" s="11" t="s">
        <v>599</v>
      </c>
      <c r="P168" s="11" t="s">
        <v>600</v>
      </c>
      <c r="Q168" s="11" t="s">
        <v>125</v>
      </c>
      <c r="R168" s="11" t="s">
        <v>150</v>
      </c>
      <c r="S168" s="11" t="s">
        <v>125</v>
      </c>
      <c r="T168" s="11" t="s">
        <v>125</v>
      </c>
      <c r="U168" s="11" t="s">
        <v>38</v>
      </c>
      <c r="V168" s="11" t="s">
        <v>1378</v>
      </c>
      <c r="W168" s="11" t="s">
        <v>994</v>
      </c>
      <c r="X168" s="11" t="s">
        <v>994</v>
      </c>
      <c r="Y168" s="11" t="s">
        <v>994</v>
      </c>
      <c r="Z168" s="11" t="s">
        <v>994</v>
      </c>
      <c r="AA168" s="11" t="s">
        <v>994</v>
      </c>
      <c r="AB168" s="11" t="s">
        <v>994</v>
      </c>
      <c r="AC168" s="11" t="s">
        <v>994</v>
      </c>
      <c r="AD168" s="11" t="s">
        <v>994</v>
      </c>
      <c r="AE168" s="11" t="s">
        <v>995</v>
      </c>
    </row>
    <row r="169">
      <c r="B169" s="26" t="s">
        <v>295</v>
      </c>
      <c r="C169" s="12" t="s">
        <v>1508</v>
      </c>
      <c r="D169" s="11" t="s">
        <v>644</v>
      </c>
      <c r="E169" s="11" t="s">
        <v>90</v>
      </c>
      <c r="F169" s="12" t="s">
        <v>295</v>
      </c>
      <c r="G169" s="12" t="s">
        <v>246</v>
      </c>
      <c r="H169" s="12" t="s">
        <v>246</v>
      </c>
      <c r="I169" s="12" t="s">
        <v>430</v>
      </c>
      <c r="J169" s="12" t="s">
        <v>90</v>
      </c>
      <c r="K169" s="12" t="s">
        <v>1026</v>
      </c>
      <c r="L169" s="12" t="s">
        <v>247</v>
      </c>
      <c r="M169" s="12" t="s">
        <v>994</v>
      </c>
      <c r="N169" s="13" t="s">
        <v>645</v>
      </c>
      <c r="O169" s="11" t="s">
        <v>599</v>
      </c>
      <c r="P169" s="11" t="s">
        <v>600</v>
      </c>
      <c r="Q169" s="11" t="s">
        <v>125</v>
      </c>
      <c r="R169" s="11" t="s">
        <v>150</v>
      </c>
      <c r="S169" s="11" t="s">
        <v>994</v>
      </c>
      <c r="T169" s="11" t="s">
        <v>126</v>
      </c>
      <c r="U169" s="11" t="s">
        <v>994</v>
      </c>
      <c r="V169" s="11" t="s">
        <v>994</v>
      </c>
      <c r="W169" s="11" t="s">
        <v>994</v>
      </c>
      <c r="X169" s="11" t="s">
        <v>994</v>
      </c>
      <c r="Y169" s="11" t="s">
        <v>994</v>
      </c>
      <c r="Z169" s="11" t="s">
        <v>994</v>
      </c>
      <c r="AA169" s="11" t="s">
        <v>994</v>
      </c>
      <c r="AB169" s="11" t="s">
        <v>994</v>
      </c>
      <c r="AC169" s="11" t="s">
        <v>994</v>
      </c>
      <c r="AD169" s="11" t="s">
        <v>994</v>
      </c>
      <c r="AE169" s="11" t="s">
        <v>1804</v>
      </c>
    </row>
    <row r="170">
      <c r="B170" s="26" t="s">
        <v>295</v>
      </c>
      <c r="C170" s="12" t="s">
        <v>1509</v>
      </c>
      <c r="D170" s="11" t="s">
        <v>646</v>
      </c>
      <c r="E170" s="11" t="s">
        <v>90</v>
      </c>
      <c r="F170" s="12" t="s">
        <v>295</v>
      </c>
      <c r="G170" s="12" t="s">
        <v>246</v>
      </c>
      <c r="H170" s="12" t="s">
        <v>246</v>
      </c>
      <c r="I170" s="12" t="s">
        <v>430</v>
      </c>
      <c r="J170" s="12" t="s">
        <v>90</v>
      </c>
      <c r="K170" s="12" t="s">
        <v>1026</v>
      </c>
      <c r="L170" s="12" t="s">
        <v>247</v>
      </c>
      <c r="M170" s="12" t="s">
        <v>994</v>
      </c>
      <c r="N170" s="13" t="s">
        <v>647</v>
      </c>
      <c r="O170" s="11" t="s">
        <v>599</v>
      </c>
      <c r="P170" s="11" t="s">
        <v>600</v>
      </c>
      <c r="Q170" s="11" t="s">
        <v>125</v>
      </c>
      <c r="R170" s="11" t="s">
        <v>150</v>
      </c>
      <c r="S170" s="11" t="s">
        <v>994</v>
      </c>
      <c r="T170" s="11" t="s">
        <v>126</v>
      </c>
      <c r="U170" s="11" t="s">
        <v>994</v>
      </c>
      <c r="V170" s="11" t="s">
        <v>994</v>
      </c>
      <c r="W170" s="11" t="s">
        <v>994</v>
      </c>
      <c r="X170" s="11" t="s">
        <v>994</v>
      </c>
      <c r="Y170" s="11" t="s">
        <v>994</v>
      </c>
      <c r="Z170" s="11" t="s">
        <v>994</v>
      </c>
      <c r="AA170" s="11" t="s">
        <v>994</v>
      </c>
      <c r="AB170" s="11" t="s">
        <v>994</v>
      </c>
      <c r="AC170" s="11" t="s">
        <v>994</v>
      </c>
      <c r="AD170" s="11" t="s">
        <v>994</v>
      </c>
      <c r="AE170" s="11" t="s">
        <v>1804</v>
      </c>
    </row>
    <row r="171">
      <c r="B171" s="26" t="s">
        <v>416</v>
      </c>
      <c r="C171" s="12" t="s">
        <v>1510</v>
      </c>
      <c r="D171" s="11" t="s">
        <v>648</v>
      </c>
      <c r="E171" s="11" t="s">
        <v>90</v>
      </c>
      <c r="F171" s="12" t="s">
        <v>416</v>
      </c>
      <c r="G171" s="12" t="s">
        <v>246</v>
      </c>
      <c r="H171" s="12" t="s">
        <v>246</v>
      </c>
      <c r="I171" s="12" t="s">
        <v>430</v>
      </c>
      <c r="J171" s="12" t="s">
        <v>90</v>
      </c>
      <c r="K171" s="12" t="s">
        <v>1026</v>
      </c>
      <c r="L171" s="12" t="s">
        <v>247</v>
      </c>
      <c r="M171" s="12" t="s">
        <v>994</v>
      </c>
      <c r="N171" s="13" t="s">
        <v>649</v>
      </c>
      <c r="O171" s="11" t="s">
        <v>599</v>
      </c>
      <c r="P171" s="11" t="s">
        <v>600</v>
      </c>
      <c r="Q171" s="11" t="s">
        <v>125</v>
      </c>
      <c r="R171" s="11" t="s">
        <v>150</v>
      </c>
      <c r="S171" s="11" t="s">
        <v>994</v>
      </c>
      <c r="T171" s="11" t="s">
        <v>126</v>
      </c>
      <c r="U171" s="11" t="s">
        <v>994</v>
      </c>
      <c r="V171" s="11" t="s">
        <v>994</v>
      </c>
      <c r="W171" s="11" t="s">
        <v>994</v>
      </c>
      <c r="X171" s="11" t="s">
        <v>994</v>
      </c>
      <c r="Y171" s="11" t="s">
        <v>994</v>
      </c>
      <c r="Z171" s="11" t="s">
        <v>994</v>
      </c>
      <c r="AA171" s="11" t="s">
        <v>994</v>
      </c>
      <c r="AB171" s="11" t="s">
        <v>994</v>
      </c>
      <c r="AC171" s="11" t="s">
        <v>994</v>
      </c>
      <c r="AD171" s="11" t="s">
        <v>994</v>
      </c>
      <c r="AE171" s="11" t="s">
        <v>1804</v>
      </c>
    </row>
    <row r="172">
      <c r="B172" s="26" t="s">
        <v>416</v>
      </c>
      <c r="C172" s="12" t="s">
        <v>1511</v>
      </c>
      <c r="D172" s="11" t="s">
        <v>650</v>
      </c>
      <c r="E172" s="11" t="s">
        <v>90</v>
      </c>
      <c r="F172" s="12" t="s">
        <v>416</v>
      </c>
      <c r="G172" s="12" t="s">
        <v>246</v>
      </c>
      <c r="H172" s="12" t="s">
        <v>246</v>
      </c>
      <c r="I172" s="12" t="s">
        <v>430</v>
      </c>
      <c r="J172" s="12" t="s">
        <v>90</v>
      </c>
      <c r="K172" s="12" t="s">
        <v>1026</v>
      </c>
      <c r="L172" s="12" t="s">
        <v>247</v>
      </c>
      <c r="M172" s="12" t="s">
        <v>994</v>
      </c>
      <c r="N172" s="13" t="s">
        <v>651</v>
      </c>
      <c r="O172" s="11" t="s">
        <v>599</v>
      </c>
      <c r="P172" s="11" t="s">
        <v>600</v>
      </c>
      <c r="Q172" s="11" t="s">
        <v>125</v>
      </c>
      <c r="R172" s="11" t="s">
        <v>150</v>
      </c>
      <c r="S172" s="11" t="s">
        <v>994</v>
      </c>
      <c r="T172" s="11" t="s">
        <v>126</v>
      </c>
      <c r="U172" s="11" t="s">
        <v>994</v>
      </c>
      <c r="V172" s="11" t="s">
        <v>994</v>
      </c>
      <c r="W172" s="11" t="s">
        <v>994</v>
      </c>
      <c r="X172" s="11" t="s">
        <v>994</v>
      </c>
      <c r="Y172" s="11" t="s">
        <v>994</v>
      </c>
      <c r="Z172" s="11" t="s">
        <v>994</v>
      </c>
      <c r="AA172" s="11" t="s">
        <v>994</v>
      </c>
      <c r="AB172" s="11" t="s">
        <v>994</v>
      </c>
      <c r="AC172" s="11" t="s">
        <v>994</v>
      </c>
      <c r="AD172" s="11" t="s">
        <v>994</v>
      </c>
      <c r="AE172" s="11" t="s">
        <v>1804</v>
      </c>
    </row>
    <row r="173">
      <c r="B173" s="26" t="s">
        <v>291</v>
      </c>
      <c r="C173" s="12" t="s">
        <v>1512</v>
      </c>
      <c r="D173" s="11" t="s">
        <v>652</v>
      </c>
      <c r="E173" s="11" t="s">
        <v>90</v>
      </c>
      <c r="F173" s="12" t="s">
        <v>291</v>
      </c>
      <c r="G173" s="12" t="s">
        <v>246</v>
      </c>
      <c r="H173" s="12" t="s">
        <v>246</v>
      </c>
      <c r="I173" s="12" t="s">
        <v>430</v>
      </c>
      <c r="J173" s="12" t="s">
        <v>90</v>
      </c>
      <c r="K173" s="12" t="s">
        <v>1025</v>
      </c>
      <c r="L173" s="12" t="s">
        <v>247</v>
      </c>
      <c r="M173" s="12" t="s">
        <v>994</v>
      </c>
      <c r="N173" s="13" t="s">
        <v>653</v>
      </c>
      <c r="O173" s="11" t="s">
        <v>599</v>
      </c>
      <c r="P173" s="11" t="s">
        <v>600</v>
      </c>
      <c r="Q173" s="11" t="s">
        <v>125</v>
      </c>
      <c r="R173" s="11" t="s">
        <v>150</v>
      </c>
      <c r="S173" s="11" t="s">
        <v>994</v>
      </c>
      <c r="T173" s="11" t="s">
        <v>126</v>
      </c>
      <c r="U173" s="11" t="s">
        <v>994</v>
      </c>
      <c r="V173" s="11" t="s">
        <v>994</v>
      </c>
      <c r="W173" s="11" t="s">
        <v>994</v>
      </c>
      <c r="X173" s="11" t="s">
        <v>994</v>
      </c>
      <c r="Y173" s="11" t="s">
        <v>994</v>
      </c>
      <c r="Z173" s="11" t="s">
        <v>994</v>
      </c>
      <c r="AA173" s="11" t="s">
        <v>994</v>
      </c>
      <c r="AB173" s="11" t="s">
        <v>994</v>
      </c>
      <c r="AC173" s="11" t="s">
        <v>994</v>
      </c>
      <c r="AD173" s="11" t="s">
        <v>994</v>
      </c>
      <c r="AE173" s="11" t="s">
        <v>1804</v>
      </c>
    </row>
    <row r="174">
      <c r="B174" s="26" t="s">
        <v>278</v>
      </c>
      <c r="C174" s="12" t="s">
        <v>1513</v>
      </c>
      <c r="D174" s="11" t="s">
        <v>654</v>
      </c>
      <c r="E174" s="11" t="s">
        <v>90</v>
      </c>
      <c r="F174" s="12" t="s">
        <v>278</v>
      </c>
      <c r="G174" s="12" t="s">
        <v>246</v>
      </c>
      <c r="H174" s="12" t="s">
        <v>246</v>
      </c>
      <c r="I174" s="12" t="s">
        <v>430</v>
      </c>
      <c r="J174" s="12" t="s">
        <v>90</v>
      </c>
      <c r="K174" s="12" t="s">
        <v>1025</v>
      </c>
      <c r="L174" s="12" t="s">
        <v>247</v>
      </c>
      <c r="M174" s="12" t="s">
        <v>994</v>
      </c>
      <c r="N174" s="13" t="s">
        <v>994</v>
      </c>
      <c r="O174" s="11" t="s">
        <v>599</v>
      </c>
      <c r="P174" s="11" t="s">
        <v>600</v>
      </c>
      <c r="Q174" s="11" t="s">
        <v>125</v>
      </c>
      <c r="R174" s="11" t="s">
        <v>150</v>
      </c>
      <c r="S174" s="11" t="s">
        <v>994</v>
      </c>
      <c r="T174" s="11" t="s">
        <v>126</v>
      </c>
      <c r="U174" s="11" t="s">
        <v>994</v>
      </c>
      <c r="V174" s="11" t="s">
        <v>994</v>
      </c>
      <c r="W174" s="11" t="s">
        <v>994</v>
      </c>
      <c r="X174" s="11" t="s">
        <v>994</v>
      </c>
      <c r="Y174" s="11" t="s">
        <v>994</v>
      </c>
      <c r="Z174" s="11" t="s">
        <v>994</v>
      </c>
      <c r="AA174" s="11" t="s">
        <v>994</v>
      </c>
      <c r="AB174" s="11" t="s">
        <v>994</v>
      </c>
      <c r="AC174" s="11" t="s">
        <v>994</v>
      </c>
      <c r="AD174" s="11" t="s">
        <v>994</v>
      </c>
      <c r="AE174" s="11" t="s">
        <v>1804</v>
      </c>
    </row>
    <row r="175">
      <c r="B175" s="26" t="s">
        <v>311</v>
      </c>
      <c r="C175" s="12" t="s">
        <v>1514</v>
      </c>
      <c r="D175" s="11" t="s">
        <v>655</v>
      </c>
      <c r="E175" s="11" t="s">
        <v>90</v>
      </c>
      <c r="F175" s="12" t="s">
        <v>311</v>
      </c>
      <c r="G175" s="12" t="s">
        <v>246</v>
      </c>
      <c r="H175" s="12" t="s">
        <v>246</v>
      </c>
      <c r="I175" s="12" t="s">
        <v>430</v>
      </c>
      <c r="J175" s="12" t="s">
        <v>90</v>
      </c>
      <c r="K175" s="12" t="s">
        <v>1025</v>
      </c>
      <c r="L175" s="12" t="s">
        <v>247</v>
      </c>
      <c r="M175" s="12" t="s">
        <v>994</v>
      </c>
      <c r="N175" s="13" t="s">
        <v>994</v>
      </c>
      <c r="O175" s="11" t="s">
        <v>599</v>
      </c>
      <c r="P175" s="11" t="s">
        <v>600</v>
      </c>
      <c r="Q175" s="11" t="s">
        <v>125</v>
      </c>
      <c r="R175" s="11" t="s">
        <v>150</v>
      </c>
      <c r="S175" s="11" t="s">
        <v>994</v>
      </c>
      <c r="T175" s="11" t="s">
        <v>126</v>
      </c>
      <c r="U175" s="11" t="s">
        <v>994</v>
      </c>
      <c r="V175" s="11" t="s">
        <v>994</v>
      </c>
      <c r="W175" s="11" t="s">
        <v>994</v>
      </c>
      <c r="X175" s="11" t="s">
        <v>994</v>
      </c>
      <c r="Y175" s="11" t="s">
        <v>994</v>
      </c>
      <c r="Z175" s="11" t="s">
        <v>994</v>
      </c>
      <c r="AA175" s="11" t="s">
        <v>994</v>
      </c>
      <c r="AB175" s="11" t="s">
        <v>994</v>
      </c>
      <c r="AC175" s="11" t="s">
        <v>994</v>
      </c>
      <c r="AD175" s="11" t="s">
        <v>994</v>
      </c>
      <c r="AE175" s="11" t="s">
        <v>1804</v>
      </c>
    </row>
    <row r="176">
      <c r="B176" s="26" t="s">
        <v>283</v>
      </c>
      <c r="C176" s="12" t="s">
        <v>1515</v>
      </c>
      <c r="D176" s="11" t="s">
        <v>656</v>
      </c>
      <c r="E176" s="11" t="s">
        <v>90</v>
      </c>
      <c r="F176" s="12" t="s">
        <v>283</v>
      </c>
      <c r="G176" s="12" t="s">
        <v>246</v>
      </c>
      <c r="H176" s="12" t="s">
        <v>246</v>
      </c>
      <c r="I176" s="12" t="s">
        <v>430</v>
      </c>
      <c r="J176" s="12" t="s">
        <v>90</v>
      </c>
      <c r="K176" s="12" t="s">
        <v>1025</v>
      </c>
      <c r="L176" s="12" t="s">
        <v>247</v>
      </c>
      <c r="M176" s="12" t="s">
        <v>994</v>
      </c>
      <c r="N176" s="13" t="s">
        <v>994</v>
      </c>
      <c r="O176" s="11" t="s">
        <v>599</v>
      </c>
      <c r="P176" s="11" t="s">
        <v>600</v>
      </c>
      <c r="Q176" s="11" t="s">
        <v>125</v>
      </c>
      <c r="R176" s="11" t="s">
        <v>150</v>
      </c>
      <c r="S176" s="11" t="s">
        <v>994</v>
      </c>
      <c r="T176" s="11" t="s">
        <v>126</v>
      </c>
      <c r="U176" s="11" t="s">
        <v>994</v>
      </c>
      <c r="V176" s="11" t="s">
        <v>994</v>
      </c>
      <c r="W176" s="11" t="s">
        <v>994</v>
      </c>
      <c r="X176" s="11" t="s">
        <v>994</v>
      </c>
      <c r="Y176" s="11" t="s">
        <v>994</v>
      </c>
      <c r="Z176" s="11" t="s">
        <v>994</v>
      </c>
      <c r="AA176" s="11" t="s">
        <v>994</v>
      </c>
      <c r="AB176" s="11" t="s">
        <v>994</v>
      </c>
      <c r="AC176" s="11" t="s">
        <v>994</v>
      </c>
      <c r="AD176" s="11" t="s">
        <v>994</v>
      </c>
      <c r="AE176" s="11" t="s">
        <v>1804</v>
      </c>
    </row>
    <row r="177">
      <c r="B177" s="26" t="s">
        <v>49</v>
      </c>
      <c r="C177" s="12" t="s">
        <v>1516</v>
      </c>
      <c r="D177" s="11" t="s">
        <v>657</v>
      </c>
      <c r="E177" s="11" t="s">
        <v>90</v>
      </c>
      <c r="F177" s="12" t="s">
        <v>377</v>
      </c>
      <c r="G177" s="12" t="s">
        <v>246</v>
      </c>
      <c r="H177" s="12" t="s">
        <v>246</v>
      </c>
      <c r="I177" s="12" t="s">
        <v>430</v>
      </c>
      <c r="J177" s="12" t="s">
        <v>90</v>
      </c>
      <c r="K177" s="12" t="s">
        <v>1025</v>
      </c>
      <c r="L177" s="12" t="s">
        <v>247</v>
      </c>
      <c r="M177" s="12" t="s">
        <v>994</v>
      </c>
      <c r="N177" s="13" t="s">
        <v>994</v>
      </c>
      <c r="O177" s="11" t="s">
        <v>599</v>
      </c>
      <c r="P177" s="11" t="s">
        <v>600</v>
      </c>
      <c r="Q177" s="11" t="s">
        <v>125</v>
      </c>
      <c r="R177" s="11" t="s">
        <v>150</v>
      </c>
      <c r="S177" s="11" t="s">
        <v>994</v>
      </c>
      <c r="T177" s="11" t="s">
        <v>126</v>
      </c>
      <c r="U177" s="11" t="s">
        <v>994</v>
      </c>
      <c r="V177" s="11" t="s">
        <v>994</v>
      </c>
      <c r="W177" s="11" t="s">
        <v>994</v>
      </c>
      <c r="X177" s="11" t="s">
        <v>994</v>
      </c>
      <c r="Y177" s="11" t="s">
        <v>994</v>
      </c>
      <c r="Z177" s="11" t="s">
        <v>994</v>
      </c>
      <c r="AA177" s="11" t="s">
        <v>994</v>
      </c>
      <c r="AB177" s="11" t="s">
        <v>994</v>
      </c>
      <c r="AC177" s="11" t="s">
        <v>994</v>
      </c>
      <c r="AD177" s="11" t="s">
        <v>994</v>
      </c>
      <c r="AE177" s="11" t="s">
        <v>1804</v>
      </c>
    </row>
    <row r="178">
      <c r="B178" s="26" t="s">
        <v>49</v>
      </c>
      <c r="C178" s="12" t="s">
        <v>1517</v>
      </c>
      <c r="D178" s="11" t="s">
        <v>658</v>
      </c>
      <c r="E178" s="11" t="s">
        <v>90</v>
      </c>
      <c r="F178" s="12" t="s">
        <v>377</v>
      </c>
      <c r="G178" s="12" t="s">
        <v>246</v>
      </c>
      <c r="H178" s="12" t="s">
        <v>246</v>
      </c>
      <c r="I178" s="12" t="s">
        <v>430</v>
      </c>
      <c r="J178" s="12" t="s">
        <v>90</v>
      </c>
      <c r="K178" s="12" t="s">
        <v>1025</v>
      </c>
      <c r="L178" s="12" t="s">
        <v>247</v>
      </c>
      <c r="M178" s="12" t="s">
        <v>994</v>
      </c>
      <c r="N178" s="13" t="s">
        <v>994</v>
      </c>
      <c r="O178" s="11" t="s">
        <v>599</v>
      </c>
      <c r="P178" s="11" t="s">
        <v>600</v>
      </c>
      <c r="Q178" s="11" t="s">
        <v>125</v>
      </c>
      <c r="R178" s="11" t="s">
        <v>150</v>
      </c>
      <c r="S178" s="11" t="s">
        <v>994</v>
      </c>
      <c r="T178" s="11" t="s">
        <v>126</v>
      </c>
      <c r="U178" s="11" t="s">
        <v>994</v>
      </c>
      <c r="V178" s="11" t="s">
        <v>994</v>
      </c>
      <c r="W178" s="11" t="s">
        <v>994</v>
      </c>
      <c r="X178" s="11" t="s">
        <v>994</v>
      </c>
      <c r="Y178" s="11" t="s">
        <v>994</v>
      </c>
      <c r="Z178" s="11" t="s">
        <v>994</v>
      </c>
      <c r="AA178" s="11" t="s">
        <v>994</v>
      </c>
      <c r="AB178" s="11" t="s">
        <v>994</v>
      </c>
      <c r="AC178" s="11" t="s">
        <v>994</v>
      </c>
      <c r="AD178" s="11" t="s">
        <v>994</v>
      </c>
      <c r="AE178" s="11" t="s">
        <v>1804</v>
      </c>
    </row>
    <row r="179">
      <c r="B179" s="26" t="s">
        <v>314</v>
      </c>
      <c r="C179" s="12" t="s">
        <v>1518</v>
      </c>
      <c r="D179" s="11" t="s">
        <v>659</v>
      </c>
      <c r="E179" s="11" t="s">
        <v>90</v>
      </c>
      <c r="F179" s="12" t="s">
        <v>314</v>
      </c>
      <c r="G179" s="12" t="s">
        <v>246</v>
      </c>
      <c r="H179" s="12" t="s">
        <v>246</v>
      </c>
      <c r="I179" s="12" t="s">
        <v>430</v>
      </c>
      <c r="J179" s="12" t="s">
        <v>90</v>
      </c>
      <c r="K179" s="12" t="s">
        <v>1025</v>
      </c>
      <c r="L179" s="12" t="s">
        <v>247</v>
      </c>
      <c r="M179" s="12" t="s">
        <v>994</v>
      </c>
      <c r="N179" s="13" t="s">
        <v>660</v>
      </c>
      <c r="O179" s="11" t="s">
        <v>599</v>
      </c>
      <c r="P179" s="11" t="s">
        <v>600</v>
      </c>
      <c r="Q179" s="11" t="s">
        <v>125</v>
      </c>
      <c r="R179" s="11" t="s">
        <v>150</v>
      </c>
      <c r="S179" s="11" t="s">
        <v>994</v>
      </c>
      <c r="T179" s="11" t="s">
        <v>126</v>
      </c>
      <c r="U179" s="11" t="s">
        <v>994</v>
      </c>
      <c r="V179" s="11" t="s">
        <v>994</v>
      </c>
      <c r="W179" s="11" t="s">
        <v>994</v>
      </c>
      <c r="X179" s="11" t="s">
        <v>994</v>
      </c>
      <c r="Y179" s="11" t="s">
        <v>994</v>
      </c>
      <c r="Z179" s="11" t="s">
        <v>994</v>
      </c>
      <c r="AA179" s="11" t="s">
        <v>994</v>
      </c>
      <c r="AB179" s="11" t="s">
        <v>994</v>
      </c>
      <c r="AC179" s="11" t="s">
        <v>994</v>
      </c>
      <c r="AD179" s="11" t="s">
        <v>994</v>
      </c>
      <c r="AE179" s="11" t="s">
        <v>1804</v>
      </c>
    </row>
    <row r="180">
      <c r="B180" s="26" t="s">
        <v>49</v>
      </c>
      <c r="C180" s="12" t="s">
        <v>994</v>
      </c>
      <c r="D180" s="11" t="s">
        <v>1290</v>
      </c>
      <c r="E180" s="11" t="s">
        <v>90</v>
      </c>
      <c r="F180" s="12" t="s">
        <v>606</v>
      </c>
      <c r="G180" s="12" t="s">
        <v>246</v>
      </c>
      <c r="H180" s="12" t="s">
        <v>246</v>
      </c>
      <c r="I180" s="12" t="s">
        <v>430</v>
      </c>
      <c r="J180" s="12" t="s">
        <v>90</v>
      </c>
      <c r="K180" s="12" t="s">
        <v>1025</v>
      </c>
      <c r="L180" s="12" t="s">
        <v>247</v>
      </c>
      <c r="M180" s="12" t="s">
        <v>994</v>
      </c>
      <c r="N180" s="13" t="s">
        <v>1291</v>
      </c>
      <c r="O180" s="11" t="s">
        <v>994</v>
      </c>
      <c r="P180" s="11" t="s">
        <v>994</v>
      </c>
      <c r="Q180" s="11" t="s">
        <v>994</v>
      </c>
      <c r="R180" s="11" t="s">
        <v>994</v>
      </c>
      <c r="S180" s="11" t="s">
        <v>994</v>
      </c>
      <c r="T180" s="11" t="s">
        <v>994</v>
      </c>
      <c r="U180" s="11" t="s">
        <v>1016</v>
      </c>
      <c r="V180" s="11" t="s">
        <v>994</v>
      </c>
      <c r="W180" s="11" t="s">
        <v>994</v>
      </c>
      <c r="X180" s="11" t="s">
        <v>994</v>
      </c>
      <c r="Y180" s="11" t="s">
        <v>994</v>
      </c>
      <c r="Z180" s="11" t="s">
        <v>994</v>
      </c>
      <c r="AA180" s="11" t="s">
        <v>994</v>
      </c>
      <c r="AB180" s="11" t="s">
        <v>30</v>
      </c>
      <c r="AC180" s="11" t="s">
        <v>994</v>
      </c>
      <c r="AD180" s="11" t="s">
        <v>994</v>
      </c>
      <c r="AE180" s="11" t="s">
        <v>995</v>
      </c>
    </row>
    <row r="181">
      <c r="B181" s="26" t="s">
        <v>283</v>
      </c>
      <c r="C181" s="12" t="s">
        <v>1519</v>
      </c>
      <c r="D181" s="11" t="s">
        <v>662</v>
      </c>
      <c r="E181" s="11" t="s">
        <v>661</v>
      </c>
      <c r="F181" s="12" t="s">
        <v>283</v>
      </c>
      <c r="G181" s="12" t="s">
        <v>246</v>
      </c>
      <c r="H181" s="12" t="s">
        <v>246</v>
      </c>
      <c r="I181" s="12" t="s">
        <v>60</v>
      </c>
      <c r="J181" s="12" t="s">
        <v>1027</v>
      </c>
      <c r="K181" s="12" t="s">
        <v>1028</v>
      </c>
      <c r="L181" s="12" t="s">
        <v>247</v>
      </c>
      <c r="M181" s="12" t="s">
        <v>994</v>
      </c>
      <c r="N181" s="13" t="s">
        <v>663</v>
      </c>
      <c r="O181" s="11" t="s">
        <v>118</v>
      </c>
      <c r="P181" s="11" t="s">
        <v>249</v>
      </c>
      <c r="Q181" s="11" t="s">
        <v>125</v>
      </c>
      <c r="R181" s="11" t="s">
        <v>150</v>
      </c>
      <c r="S181" s="11" t="s">
        <v>994</v>
      </c>
      <c r="T181" s="11" t="s">
        <v>126</v>
      </c>
      <c r="U181" s="11" t="s">
        <v>994</v>
      </c>
      <c r="V181" s="11" t="s">
        <v>994</v>
      </c>
      <c r="W181" s="11" t="s">
        <v>994</v>
      </c>
      <c r="X181" s="11" t="s">
        <v>994</v>
      </c>
      <c r="Y181" s="11" t="s">
        <v>994</v>
      </c>
      <c r="Z181" s="11" t="s">
        <v>994</v>
      </c>
      <c r="AA181" s="11" t="s">
        <v>994</v>
      </c>
      <c r="AB181" s="11" t="s">
        <v>994</v>
      </c>
      <c r="AC181" s="11" t="s">
        <v>994</v>
      </c>
      <c r="AD181" s="11" t="s">
        <v>994</v>
      </c>
      <c r="AE181" s="11" t="s">
        <v>1804</v>
      </c>
    </row>
    <row r="182">
      <c r="B182" s="26" t="s">
        <v>283</v>
      </c>
      <c r="C182" s="12" t="s">
        <v>1520</v>
      </c>
      <c r="D182" s="11" t="s">
        <v>664</v>
      </c>
      <c r="E182" s="11" t="s">
        <v>661</v>
      </c>
      <c r="F182" s="12" t="s">
        <v>283</v>
      </c>
      <c r="G182" s="12" t="s">
        <v>246</v>
      </c>
      <c r="H182" s="12" t="s">
        <v>246</v>
      </c>
      <c r="I182" s="12" t="s">
        <v>60</v>
      </c>
      <c r="J182" s="12" t="s">
        <v>1027</v>
      </c>
      <c r="K182" s="12" t="s">
        <v>1028</v>
      </c>
      <c r="L182" s="12" t="s">
        <v>247</v>
      </c>
      <c r="M182" s="12" t="s">
        <v>994</v>
      </c>
      <c r="N182" s="13" t="s">
        <v>665</v>
      </c>
      <c r="O182" s="11" t="s">
        <v>118</v>
      </c>
      <c r="P182" s="11" t="s">
        <v>249</v>
      </c>
      <c r="Q182" s="11" t="s">
        <v>125</v>
      </c>
      <c r="R182" s="11" t="s">
        <v>150</v>
      </c>
      <c r="S182" s="11" t="s">
        <v>994</v>
      </c>
      <c r="T182" s="11" t="s">
        <v>126</v>
      </c>
      <c r="U182" s="11" t="s">
        <v>994</v>
      </c>
      <c r="V182" s="11" t="s">
        <v>994</v>
      </c>
      <c r="W182" s="11" t="s">
        <v>994</v>
      </c>
      <c r="X182" s="11" t="s">
        <v>994</v>
      </c>
      <c r="Y182" s="11" t="s">
        <v>994</v>
      </c>
      <c r="Z182" s="11" t="s">
        <v>994</v>
      </c>
      <c r="AA182" s="11" t="s">
        <v>994</v>
      </c>
      <c r="AB182" s="11" t="s">
        <v>994</v>
      </c>
      <c r="AC182" s="11" t="s">
        <v>994</v>
      </c>
      <c r="AD182" s="11" t="s">
        <v>994</v>
      </c>
      <c r="AE182" s="11" t="s">
        <v>1804</v>
      </c>
    </row>
    <row r="183">
      <c r="B183" s="26" t="s">
        <v>278</v>
      </c>
      <c r="C183" s="12" t="s">
        <v>1521</v>
      </c>
      <c r="D183" s="11" t="s">
        <v>667</v>
      </c>
      <c r="E183" s="11" t="s">
        <v>661</v>
      </c>
      <c r="F183" s="12" t="s">
        <v>278</v>
      </c>
      <c r="G183" s="12" t="s">
        <v>246</v>
      </c>
      <c r="H183" s="12" t="s">
        <v>246</v>
      </c>
      <c r="I183" s="12" t="s">
        <v>60</v>
      </c>
      <c r="J183" s="12" t="s">
        <v>1027</v>
      </c>
      <c r="K183" s="12" t="s">
        <v>1028</v>
      </c>
      <c r="L183" s="12" t="s">
        <v>247</v>
      </c>
      <c r="M183" s="12" t="s">
        <v>994</v>
      </c>
      <c r="N183" s="13" t="s">
        <v>668</v>
      </c>
      <c r="O183" s="11" t="s">
        <v>118</v>
      </c>
      <c r="P183" s="11" t="s">
        <v>249</v>
      </c>
      <c r="Q183" s="11" t="s">
        <v>125</v>
      </c>
      <c r="R183" s="11" t="s">
        <v>150</v>
      </c>
      <c r="S183" s="11" t="s">
        <v>994</v>
      </c>
      <c r="T183" s="11" t="s">
        <v>126</v>
      </c>
      <c r="U183" s="11" t="s">
        <v>994</v>
      </c>
      <c r="V183" s="11" t="s">
        <v>994</v>
      </c>
      <c r="W183" s="11" t="s">
        <v>994</v>
      </c>
      <c r="X183" s="11" t="s">
        <v>994</v>
      </c>
      <c r="Y183" s="11" t="s">
        <v>994</v>
      </c>
      <c r="Z183" s="11" t="s">
        <v>994</v>
      </c>
      <c r="AA183" s="11" t="s">
        <v>994</v>
      </c>
      <c r="AB183" s="11" t="s">
        <v>994</v>
      </c>
      <c r="AC183" s="11" t="s">
        <v>994</v>
      </c>
      <c r="AD183" s="11" t="s">
        <v>994</v>
      </c>
      <c r="AE183" s="11" t="s">
        <v>1804</v>
      </c>
    </row>
    <row r="184">
      <c r="B184" s="26" t="s">
        <v>278</v>
      </c>
      <c r="C184" s="12" t="s">
        <v>1522</v>
      </c>
      <c r="D184" s="11" t="s">
        <v>669</v>
      </c>
      <c r="E184" s="11" t="s">
        <v>661</v>
      </c>
      <c r="F184" s="12" t="s">
        <v>278</v>
      </c>
      <c r="G184" s="12" t="s">
        <v>246</v>
      </c>
      <c r="H184" s="12" t="s">
        <v>246</v>
      </c>
      <c r="I184" s="12" t="s">
        <v>60</v>
      </c>
      <c r="J184" s="12" t="s">
        <v>1027</v>
      </c>
      <c r="K184" s="12" t="s">
        <v>1028</v>
      </c>
      <c r="L184" s="12" t="s">
        <v>247</v>
      </c>
      <c r="M184" s="12" t="s">
        <v>994</v>
      </c>
      <c r="N184" s="13" t="s">
        <v>670</v>
      </c>
      <c r="O184" s="11" t="s">
        <v>118</v>
      </c>
      <c r="P184" s="11" t="s">
        <v>249</v>
      </c>
      <c r="Q184" s="11" t="s">
        <v>125</v>
      </c>
      <c r="R184" s="11" t="s">
        <v>150</v>
      </c>
      <c r="S184" s="11" t="s">
        <v>994</v>
      </c>
      <c r="T184" s="11" t="s">
        <v>126</v>
      </c>
      <c r="U184" s="11" t="s">
        <v>994</v>
      </c>
      <c r="V184" s="11" t="s">
        <v>994</v>
      </c>
      <c r="W184" s="11" t="s">
        <v>994</v>
      </c>
      <c r="X184" s="11" t="s">
        <v>994</v>
      </c>
      <c r="Y184" s="11" t="s">
        <v>994</v>
      </c>
      <c r="Z184" s="11" t="s">
        <v>994</v>
      </c>
      <c r="AA184" s="11" t="s">
        <v>994</v>
      </c>
      <c r="AB184" s="11" t="s">
        <v>994</v>
      </c>
      <c r="AC184" s="11" t="s">
        <v>994</v>
      </c>
      <c r="AD184" s="11" t="s">
        <v>994</v>
      </c>
      <c r="AE184" s="11" t="s">
        <v>1804</v>
      </c>
    </row>
    <row r="185">
      <c r="B185" s="26" t="s">
        <v>308</v>
      </c>
      <c r="C185" s="12" t="s">
        <v>1523</v>
      </c>
      <c r="D185" s="11" t="s">
        <v>673</v>
      </c>
      <c r="E185" s="11" t="s">
        <v>661</v>
      </c>
      <c r="F185" s="12" t="s">
        <v>308</v>
      </c>
      <c r="G185" s="12" t="s">
        <v>246</v>
      </c>
      <c r="H185" s="12" t="s">
        <v>246</v>
      </c>
      <c r="I185" s="12" t="s">
        <v>60</v>
      </c>
      <c r="J185" s="12" t="s">
        <v>1027</v>
      </c>
      <c r="K185" s="12" t="s">
        <v>1028</v>
      </c>
      <c r="L185" s="12" t="s">
        <v>247</v>
      </c>
      <c r="M185" s="12" t="s">
        <v>994</v>
      </c>
      <c r="N185" s="13" t="s">
        <v>674</v>
      </c>
      <c r="O185" s="11" t="s">
        <v>118</v>
      </c>
      <c r="P185" s="11" t="s">
        <v>249</v>
      </c>
      <c r="Q185" s="11" t="s">
        <v>125</v>
      </c>
      <c r="R185" s="11" t="s">
        <v>150</v>
      </c>
      <c r="S185" s="11" t="s">
        <v>994</v>
      </c>
      <c r="T185" s="11" t="s">
        <v>126</v>
      </c>
      <c r="U185" s="11" t="s">
        <v>994</v>
      </c>
      <c r="V185" s="11" t="s">
        <v>994</v>
      </c>
      <c r="W185" s="11" t="s">
        <v>994</v>
      </c>
      <c r="X185" s="11" t="s">
        <v>994</v>
      </c>
      <c r="Y185" s="11" t="s">
        <v>994</v>
      </c>
      <c r="Z185" s="11" t="s">
        <v>994</v>
      </c>
      <c r="AA185" s="11" t="s">
        <v>994</v>
      </c>
      <c r="AB185" s="11" t="s">
        <v>994</v>
      </c>
      <c r="AC185" s="11" t="s">
        <v>994</v>
      </c>
      <c r="AD185" s="11" t="s">
        <v>994</v>
      </c>
      <c r="AE185" s="11" t="s">
        <v>1804</v>
      </c>
    </row>
    <row r="186">
      <c r="B186" s="26" t="s">
        <v>308</v>
      </c>
      <c r="C186" s="12" t="s">
        <v>1524</v>
      </c>
      <c r="D186" s="11" t="s">
        <v>675</v>
      </c>
      <c r="E186" s="11" t="s">
        <v>661</v>
      </c>
      <c r="F186" s="12" t="s">
        <v>308</v>
      </c>
      <c r="G186" s="12" t="s">
        <v>246</v>
      </c>
      <c r="H186" s="12" t="s">
        <v>246</v>
      </c>
      <c r="I186" s="12" t="s">
        <v>60</v>
      </c>
      <c r="J186" s="12" t="s">
        <v>1027</v>
      </c>
      <c r="K186" s="12" t="s">
        <v>1028</v>
      </c>
      <c r="L186" s="12" t="s">
        <v>247</v>
      </c>
      <c r="M186" s="12" t="s">
        <v>994</v>
      </c>
      <c r="N186" s="13" t="s">
        <v>676</v>
      </c>
      <c r="O186" s="11" t="s">
        <v>118</v>
      </c>
      <c r="P186" s="11" t="s">
        <v>249</v>
      </c>
      <c r="Q186" s="11" t="s">
        <v>125</v>
      </c>
      <c r="R186" s="11" t="s">
        <v>150</v>
      </c>
      <c r="S186" s="11" t="s">
        <v>994</v>
      </c>
      <c r="T186" s="11" t="s">
        <v>126</v>
      </c>
      <c r="U186" s="11" t="s">
        <v>994</v>
      </c>
      <c r="V186" s="11" t="s">
        <v>994</v>
      </c>
      <c r="W186" s="11" t="s">
        <v>994</v>
      </c>
      <c r="X186" s="11" t="s">
        <v>994</v>
      </c>
      <c r="Y186" s="11" t="s">
        <v>994</v>
      </c>
      <c r="Z186" s="11" t="s">
        <v>994</v>
      </c>
      <c r="AA186" s="11" t="s">
        <v>994</v>
      </c>
      <c r="AB186" s="11" t="s">
        <v>994</v>
      </c>
      <c r="AC186" s="11" t="s">
        <v>994</v>
      </c>
      <c r="AD186" s="11" t="s">
        <v>994</v>
      </c>
      <c r="AE186" s="11" t="s">
        <v>1804</v>
      </c>
    </row>
    <row r="187">
      <c r="B187" s="26" t="s">
        <v>308</v>
      </c>
      <c r="C187" s="12" t="s">
        <v>1525</v>
      </c>
      <c r="D187" s="11" t="s">
        <v>62</v>
      </c>
      <c r="E187" s="11" t="s">
        <v>661</v>
      </c>
      <c r="F187" s="12" t="s">
        <v>308</v>
      </c>
      <c r="G187" s="12" t="s">
        <v>247</v>
      </c>
      <c r="H187" s="12" t="s">
        <v>126</v>
      </c>
      <c r="I187" s="12" t="s">
        <v>60</v>
      </c>
      <c r="J187" s="12" t="s">
        <v>1027</v>
      </c>
      <c r="K187" s="12" t="s">
        <v>1028</v>
      </c>
      <c r="L187" s="12" t="s">
        <v>247</v>
      </c>
      <c r="M187" s="12" t="s">
        <v>994</v>
      </c>
      <c r="N187" s="13" t="s">
        <v>677</v>
      </c>
      <c r="O187" s="11" t="s">
        <v>118</v>
      </c>
      <c r="P187" s="11" t="s">
        <v>249</v>
      </c>
      <c r="Q187" s="11" t="s">
        <v>125</v>
      </c>
      <c r="R187" s="11" t="s">
        <v>150</v>
      </c>
      <c r="S187" s="11" t="s">
        <v>994</v>
      </c>
      <c r="T187" s="11" t="s">
        <v>126</v>
      </c>
      <c r="U187" s="11" t="s">
        <v>994</v>
      </c>
      <c r="V187" s="11" t="s">
        <v>994</v>
      </c>
      <c r="W187" s="11" t="s">
        <v>994</v>
      </c>
      <c r="X187" s="11" t="s">
        <v>994</v>
      </c>
      <c r="Y187" s="11" t="s">
        <v>994</v>
      </c>
      <c r="Z187" s="11" t="s">
        <v>994</v>
      </c>
      <c r="AA187" s="11" t="s">
        <v>994</v>
      </c>
      <c r="AB187" s="11" t="s">
        <v>994</v>
      </c>
      <c r="AC187" s="11" t="s">
        <v>994</v>
      </c>
      <c r="AD187" s="11" t="s">
        <v>994</v>
      </c>
      <c r="AE187" s="11" t="s">
        <v>1804</v>
      </c>
    </row>
    <row r="188">
      <c r="B188" s="26" t="s">
        <v>311</v>
      </c>
      <c r="C188" s="12" t="s">
        <v>1526</v>
      </c>
      <c r="D188" s="11" t="s">
        <v>682</v>
      </c>
      <c r="E188" s="11" t="s">
        <v>661</v>
      </c>
      <c r="F188" s="12" t="s">
        <v>311</v>
      </c>
      <c r="G188" s="12" t="s">
        <v>246</v>
      </c>
      <c r="H188" s="12" t="s">
        <v>246</v>
      </c>
      <c r="I188" s="12" t="s">
        <v>60</v>
      </c>
      <c r="J188" s="12" t="s">
        <v>1027</v>
      </c>
      <c r="K188" s="12" t="s">
        <v>1028</v>
      </c>
      <c r="L188" s="12" t="s">
        <v>247</v>
      </c>
      <c r="M188" s="12" t="s">
        <v>994</v>
      </c>
      <c r="N188" s="13" t="s">
        <v>683</v>
      </c>
      <c r="O188" s="11" t="s">
        <v>118</v>
      </c>
      <c r="P188" s="11" t="s">
        <v>249</v>
      </c>
      <c r="Q188" s="11" t="s">
        <v>125</v>
      </c>
      <c r="R188" s="11" t="s">
        <v>150</v>
      </c>
      <c r="S188" s="11" t="s">
        <v>994</v>
      </c>
      <c r="T188" s="11" t="s">
        <v>126</v>
      </c>
      <c r="U188" s="11" t="s">
        <v>994</v>
      </c>
      <c r="V188" s="11" t="s">
        <v>994</v>
      </c>
      <c r="W188" s="11" t="s">
        <v>994</v>
      </c>
      <c r="X188" s="11" t="s">
        <v>994</v>
      </c>
      <c r="Y188" s="11" t="s">
        <v>994</v>
      </c>
      <c r="Z188" s="11" t="s">
        <v>994</v>
      </c>
      <c r="AA188" s="11" t="s">
        <v>994</v>
      </c>
      <c r="AB188" s="11" t="s">
        <v>994</v>
      </c>
      <c r="AC188" s="11" t="s">
        <v>994</v>
      </c>
      <c r="AD188" s="11" t="s">
        <v>994</v>
      </c>
      <c r="AE188" s="11" t="s">
        <v>1804</v>
      </c>
    </row>
    <row r="189">
      <c r="B189" s="26" t="s">
        <v>311</v>
      </c>
      <c r="C189" s="12" t="s">
        <v>1527</v>
      </c>
      <c r="D189" s="11" t="s">
        <v>684</v>
      </c>
      <c r="E189" s="11" t="s">
        <v>661</v>
      </c>
      <c r="F189" s="12" t="s">
        <v>311</v>
      </c>
      <c r="G189" s="12" t="s">
        <v>246</v>
      </c>
      <c r="H189" s="12" t="s">
        <v>246</v>
      </c>
      <c r="I189" s="12" t="s">
        <v>60</v>
      </c>
      <c r="J189" s="12" t="s">
        <v>1027</v>
      </c>
      <c r="K189" s="12" t="s">
        <v>1028</v>
      </c>
      <c r="L189" s="12" t="s">
        <v>247</v>
      </c>
      <c r="M189" s="12" t="s">
        <v>994</v>
      </c>
      <c r="N189" s="13" t="s">
        <v>685</v>
      </c>
      <c r="O189" s="11" t="s">
        <v>118</v>
      </c>
      <c r="P189" s="11" t="s">
        <v>249</v>
      </c>
      <c r="Q189" s="11" t="s">
        <v>125</v>
      </c>
      <c r="R189" s="11" t="s">
        <v>150</v>
      </c>
      <c r="S189" s="11" t="s">
        <v>994</v>
      </c>
      <c r="T189" s="11" t="s">
        <v>126</v>
      </c>
      <c r="U189" s="11" t="s">
        <v>994</v>
      </c>
      <c r="V189" s="11" t="s">
        <v>994</v>
      </c>
      <c r="W189" s="11" t="s">
        <v>994</v>
      </c>
      <c r="X189" s="11" t="s">
        <v>994</v>
      </c>
      <c r="Y189" s="11" t="s">
        <v>994</v>
      </c>
      <c r="Z189" s="11" t="s">
        <v>994</v>
      </c>
      <c r="AA189" s="11" t="s">
        <v>994</v>
      </c>
      <c r="AB189" s="11" t="s">
        <v>994</v>
      </c>
      <c r="AC189" s="11" t="s">
        <v>994</v>
      </c>
      <c r="AD189" s="11" t="s">
        <v>994</v>
      </c>
      <c r="AE189" s="11" t="s">
        <v>1804</v>
      </c>
    </row>
    <row r="190">
      <c r="B190" s="26" t="s">
        <v>311</v>
      </c>
      <c r="C190" s="12" t="s">
        <v>1528</v>
      </c>
      <c r="D190" s="11" t="s">
        <v>63</v>
      </c>
      <c r="E190" s="11" t="s">
        <v>661</v>
      </c>
      <c r="F190" s="12" t="s">
        <v>311</v>
      </c>
      <c r="G190" s="12" t="s">
        <v>247</v>
      </c>
      <c r="H190" s="12" t="s">
        <v>126</v>
      </c>
      <c r="I190" s="12" t="s">
        <v>430</v>
      </c>
      <c r="J190" s="12" t="s">
        <v>1027</v>
      </c>
      <c r="K190" s="12" t="s">
        <v>1028</v>
      </c>
      <c r="L190" s="12" t="s">
        <v>247</v>
      </c>
      <c r="M190" s="12" t="s">
        <v>994</v>
      </c>
      <c r="N190" s="13" t="s">
        <v>686</v>
      </c>
      <c r="O190" s="11" t="s">
        <v>118</v>
      </c>
      <c r="P190" s="11" t="s">
        <v>249</v>
      </c>
      <c r="Q190" s="11" t="s">
        <v>125</v>
      </c>
      <c r="R190" s="11" t="s">
        <v>150</v>
      </c>
      <c r="S190" s="11" t="s">
        <v>125</v>
      </c>
      <c r="T190" s="11" t="s">
        <v>125</v>
      </c>
      <c r="U190" s="11" t="s">
        <v>38</v>
      </c>
      <c r="V190" s="11" t="s">
        <v>1378</v>
      </c>
      <c r="W190" s="11" t="s">
        <v>1777</v>
      </c>
      <c r="X190" s="11" t="s">
        <v>994</v>
      </c>
      <c r="Y190" s="11" t="s">
        <v>994</v>
      </c>
      <c r="Z190" s="11" t="s">
        <v>994</v>
      </c>
      <c r="AA190" s="11" t="s">
        <v>994</v>
      </c>
      <c r="AB190" s="11" t="s">
        <v>994</v>
      </c>
      <c r="AC190" s="11" t="s">
        <v>994</v>
      </c>
      <c r="AD190" s="11" t="s">
        <v>1262</v>
      </c>
      <c r="AE190" s="11" t="s">
        <v>995</v>
      </c>
    </row>
    <row r="191">
      <c r="B191" s="26" t="s">
        <v>49</v>
      </c>
      <c r="C191" s="12" t="s">
        <v>1529</v>
      </c>
      <c r="D191" s="11" t="s">
        <v>687</v>
      </c>
      <c r="E191" s="11" t="s">
        <v>661</v>
      </c>
      <c r="F191" s="12" t="s">
        <v>377</v>
      </c>
      <c r="G191" s="12" t="s">
        <v>246</v>
      </c>
      <c r="H191" s="12" t="s">
        <v>246</v>
      </c>
      <c r="I191" s="12" t="s">
        <v>430</v>
      </c>
      <c r="J191" s="12" t="s">
        <v>1027</v>
      </c>
      <c r="K191" s="12" t="s">
        <v>1028</v>
      </c>
      <c r="L191" s="12" t="s">
        <v>247</v>
      </c>
      <c r="M191" s="12" t="s">
        <v>994</v>
      </c>
      <c r="N191" s="13" t="s">
        <v>688</v>
      </c>
      <c r="O191" s="11" t="s">
        <v>118</v>
      </c>
      <c r="P191" s="11" t="s">
        <v>249</v>
      </c>
      <c r="Q191" s="11" t="s">
        <v>125</v>
      </c>
      <c r="R191" s="11" t="s">
        <v>150</v>
      </c>
      <c r="S191" s="11" t="s">
        <v>125</v>
      </c>
      <c r="T191" s="11" t="s">
        <v>125</v>
      </c>
      <c r="U191" s="11" t="s">
        <v>38</v>
      </c>
      <c r="V191" s="11" t="s">
        <v>1378</v>
      </c>
      <c r="W191" s="11" t="s">
        <v>994</v>
      </c>
      <c r="X191" s="11" t="s">
        <v>994</v>
      </c>
      <c r="Y191" s="11" t="s">
        <v>994</v>
      </c>
      <c r="Z191" s="11" t="s">
        <v>994</v>
      </c>
      <c r="AA191" s="11" t="s">
        <v>994</v>
      </c>
      <c r="AB191" s="11" t="s">
        <v>994</v>
      </c>
      <c r="AC191" s="11" t="s">
        <v>994</v>
      </c>
      <c r="AD191" s="11" t="s">
        <v>994</v>
      </c>
      <c r="AE191" s="11" t="s">
        <v>995</v>
      </c>
    </row>
    <row r="192">
      <c r="B192" s="26" t="s">
        <v>416</v>
      </c>
      <c r="C192" s="12" t="s">
        <v>1530</v>
      </c>
      <c r="D192" s="11" t="s">
        <v>689</v>
      </c>
      <c r="E192" s="11" t="s">
        <v>661</v>
      </c>
      <c r="F192" s="12" t="s">
        <v>416</v>
      </c>
      <c r="G192" s="12" t="s">
        <v>246</v>
      </c>
      <c r="H192" s="12" t="s">
        <v>246</v>
      </c>
      <c r="I192" s="12" t="s">
        <v>430</v>
      </c>
      <c r="J192" s="12" t="s">
        <v>1027</v>
      </c>
      <c r="K192" s="12" t="s">
        <v>1028</v>
      </c>
      <c r="L192" s="12" t="s">
        <v>247</v>
      </c>
      <c r="M192" s="12" t="s">
        <v>994</v>
      </c>
      <c r="N192" s="13" t="s">
        <v>690</v>
      </c>
      <c r="O192" s="11" t="s">
        <v>118</v>
      </c>
      <c r="P192" s="11" t="s">
        <v>249</v>
      </c>
      <c r="Q192" s="11" t="s">
        <v>125</v>
      </c>
      <c r="R192" s="11" t="s">
        <v>150</v>
      </c>
      <c r="S192" s="11" t="s">
        <v>125</v>
      </c>
      <c r="T192" s="11" t="s">
        <v>125</v>
      </c>
      <c r="U192" s="11" t="s">
        <v>38</v>
      </c>
      <c r="V192" s="11" t="s">
        <v>1378</v>
      </c>
      <c r="W192" s="11" t="s">
        <v>994</v>
      </c>
      <c r="X192" s="11" t="s">
        <v>994</v>
      </c>
      <c r="Y192" s="11" t="s">
        <v>994</v>
      </c>
      <c r="Z192" s="11" t="s">
        <v>994</v>
      </c>
      <c r="AA192" s="11" t="s">
        <v>994</v>
      </c>
      <c r="AB192" s="11" t="s">
        <v>994</v>
      </c>
      <c r="AC192" s="11" t="s">
        <v>994</v>
      </c>
      <c r="AD192" s="11" t="s">
        <v>994</v>
      </c>
      <c r="AE192" s="11" t="s">
        <v>995</v>
      </c>
    </row>
    <row r="193">
      <c r="B193" s="26" t="s">
        <v>49</v>
      </c>
      <c r="C193" s="12" t="s">
        <v>1531</v>
      </c>
      <c r="D193" s="11" t="s">
        <v>691</v>
      </c>
      <c r="E193" s="11" t="s">
        <v>661</v>
      </c>
      <c r="F193" s="12" t="s">
        <v>49</v>
      </c>
      <c r="G193" s="12" t="s">
        <v>246</v>
      </c>
      <c r="H193" s="12" t="s">
        <v>246</v>
      </c>
      <c r="I193" s="12" t="s">
        <v>430</v>
      </c>
      <c r="J193" s="12" t="s">
        <v>1027</v>
      </c>
      <c r="K193" s="12" t="s">
        <v>1028</v>
      </c>
      <c r="L193" s="12" t="s">
        <v>247</v>
      </c>
      <c r="M193" s="12" t="s">
        <v>994</v>
      </c>
      <c r="N193" s="13" t="s">
        <v>692</v>
      </c>
      <c r="O193" s="11" t="s">
        <v>118</v>
      </c>
      <c r="P193" s="11" t="s">
        <v>249</v>
      </c>
      <c r="Q193" s="11" t="s">
        <v>125</v>
      </c>
      <c r="R193" s="11" t="s">
        <v>150</v>
      </c>
      <c r="S193" s="11" t="s">
        <v>125</v>
      </c>
      <c r="T193" s="11" t="s">
        <v>125</v>
      </c>
      <c r="U193" s="11" t="s">
        <v>38</v>
      </c>
      <c r="V193" s="11" t="s">
        <v>1378</v>
      </c>
      <c r="W193" s="11" t="s">
        <v>994</v>
      </c>
      <c r="X193" s="11" t="s">
        <v>994</v>
      </c>
      <c r="Y193" s="11" t="s">
        <v>994</v>
      </c>
      <c r="Z193" s="11" t="s">
        <v>994</v>
      </c>
      <c r="AA193" s="11" t="s">
        <v>994</v>
      </c>
      <c r="AB193" s="11" t="s">
        <v>994</v>
      </c>
      <c r="AC193" s="11" t="s">
        <v>994</v>
      </c>
      <c r="AD193" s="11" t="s">
        <v>994</v>
      </c>
      <c r="AE193" s="11" t="s">
        <v>995</v>
      </c>
    </row>
    <row r="194">
      <c r="B194" s="26" t="s">
        <v>49</v>
      </c>
      <c r="C194" s="12" t="s">
        <v>1532</v>
      </c>
      <c r="D194" s="11" t="s">
        <v>693</v>
      </c>
      <c r="E194" s="11" t="s">
        <v>661</v>
      </c>
      <c r="F194" s="12" t="s">
        <v>694</v>
      </c>
      <c r="G194" s="12" t="s">
        <v>246</v>
      </c>
      <c r="H194" s="12" t="s">
        <v>246</v>
      </c>
      <c r="I194" s="12" t="s">
        <v>430</v>
      </c>
      <c r="J194" s="12" t="s">
        <v>1027</v>
      </c>
      <c r="K194" s="12" t="s">
        <v>1028</v>
      </c>
      <c r="L194" s="12" t="s">
        <v>247</v>
      </c>
      <c r="M194" s="12" t="s">
        <v>994</v>
      </c>
      <c r="N194" s="13" t="s">
        <v>695</v>
      </c>
      <c r="O194" s="11" t="s">
        <v>118</v>
      </c>
      <c r="P194" s="11" t="s">
        <v>249</v>
      </c>
      <c r="Q194" s="11" t="s">
        <v>125</v>
      </c>
      <c r="R194" s="11" t="s">
        <v>150</v>
      </c>
      <c r="S194" s="11" t="s">
        <v>125</v>
      </c>
      <c r="T194" s="11" t="s">
        <v>125</v>
      </c>
      <c r="U194" s="11" t="s">
        <v>38</v>
      </c>
      <c r="V194" s="11" t="s">
        <v>1378</v>
      </c>
      <c r="W194" s="11" t="s">
        <v>994</v>
      </c>
      <c r="X194" s="11" t="s">
        <v>994</v>
      </c>
      <c r="Y194" s="11" t="s">
        <v>994</v>
      </c>
      <c r="Z194" s="11" t="s">
        <v>994</v>
      </c>
      <c r="AA194" s="11" t="s">
        <v>994</v>
      </c>
      <c r="AB194" s="11" t="s">
        <v>994</v>
      </c>
      <c r="AC194" s="11" t="s">
        <v>994</v>
      </c>
      <c r="AD194" s="11" t="s">
        <v>994</v>
      </c>
      <c r="AE194" s="11" t="s">
        <v>995</v>
      </c>
    </row>
    <row r="195">
      <c r="B195" s="26" t="s">
        <v>49</v>
      </c>
      <c r="C195" s="12" t="s">
        <v>1533</v>
      </c>
      <c r="D195" s="11" t="s">
        <v>696</v>
      </c>
      <c r="E195" s="11" t="s">
        <v>661</v>
      </c>
      <c r="F195" s="12" t="s">
        <v>49</v>
      </c>
      <c r="G195" s="12" t="s">
        <v>246</v>
      </c>
      <c r="H195" s="12" t="s">
        <v>246</v>
      </c>
      <c r="I195" s="12" t="s">
        <v>430</v>
      </c>
      <c r="J195" s="12" t="s">
        <v>1027</v>
      </c>
      <c r="K195" s="12" t="s">
        <v>1028</v>
      </c>
      <c r="L195" s="12" t="s">
        <v>247</v>
      </c>
      <c r="M195" s="12" t="s">
        <v>994</v>
      </c>
      <c r="N195" s="13" t="s">
        <v>697</v>
      </c>
      <c r="O195" s="11" t="s">
        <v>118</v>
      </c>
      <c r="P195" s="11" t="s">
        <v>249</v>
      </c>
      <c r="Q195" s="11" t="s">
        <v>125</v>
      </c>
      <c r="R195" s="11" t="s">
        <v>150</v>
      </c>
      <c r="S195" s="11" t="s">
        <v>125</v>
      </c>
      <c r="T195" s="11" t="s">
        <v>125</v>
      </c>
      <c r="U195" s="11" t="s">
        <v>38</v>
      </c>
      <c r="V195" s="11" t="s">
        <v>1378</v>
      </c>
      <c r="W195" s="11" t="s">
        <v>994</v>
      </c>
      <c r="X195" s="11" t="s">
        <v>994</v>
      </c>
      <c r="Y195" s="11" t="s">
        <v>994</v>
      </c>
      <c r="Z195" s="11" t="s">
        <v>994</v>
      </c>
      <c r="AA195" s="11" t="s">
        <v>994</v>
      </c>
      <c r="AB195" s="11" t="s">
        <v>994</v>
      </c>
      <c r="AC195" s="11" t="s">
        <v>994</v>
      </c>
      <c r="AD195" s="11" t="s">
        <v>994</v>
      </c>
      <c r="AE195" s="11" t="s">
        <v>995</v>
      </c>
    </row>
    <row r="196">
      <c r="B196" s="26" t="s">
        <v>49</v>
      </c>
      <c r="C196" s="12" t="s">
        <v>1534</v>
      </c>
      <c r="D196" s="11" t="s">
        <v>698</v>
      </c>
      <c r="E196" s="11" t="s">
        <v>661</v>
      </c>
      <c r="F196" s="12" t="s">
        <v>49</v>
      </c>
      <c r="G196" s="12" t="s">
        <v>246</v>
      </c>
      <c r="H196" s="12" t="s">
        <v>246</v>
      </c>
      <c r="I196" s="12" t="s">
        <v>430</v>
      </c>
      <c r="J196" s="12" t="s">
        <v>1027</v>
      </c>
      <c r="K196" s="12" t="s">
        <v>1028</v>
      </c>
      <c r="L196" s="12" t="s">
        <v>247</v>
      </c>
      <c r="M196" s="12" t="s">
        <v>994</v>
      </c>
      <c r="N196" s="13" t="s">
        <v>699</v>
      </c>
      <c r="O196" s="11" t="s">
        <v>118</v>
      </c>
      <c r="P196" s="11" t="s">
        <v>249</v>
      </c>
      <c r="Q196" s="11" t="s">
        <v>125</v>
      </c>
      <c r="R196" s="11" t="s">
        <v>150</v>
      </c>
      <c r="S196" s="11" t="s">
        <v>125</v>
      </c>
      <c r="T196" s="11" t="s">
        <v>125</v>
      </c>
      <c r="U196" s="11" t="s">
        <v>38</v>
      </c>
      <c r="V196" s="11" t="s">
        <v>1378</v>
      </c>
      <c r="W196" s="11" t="s">
        <v>994</v>
      </c>
      <c r="X196" s="11" t="s">
        <v>994</v>
      </c>
      <c r="Y196" s="11" t="s">
        <v>994</v>
      </c>
      <c r="Z196" s="11" t="s">
        <v>994</v>
      </c>
      <c r="AA196" s="11" t="s">
        <v>994</v>
      </c>
      <c r="AB196" s="11" t="s">
        <v>994</v>
      </c>
      <c r="AC196" s="11" t="s">
        <v>994</v>
      </c>
      <c r="AD196" s="11" t="s">
        <v>994</v>
      </c>
      <c r="AE196" s="11" t="s">
        <v>995</v>
      </c>
    </row>
    <row r="197">
      <c r="B197" s="26" t="s">
        <v>49</v>
      </c>
      <c r="C197" s="12" t="s">
        <v>1535</v>
      </c>
      <c r="D197" s="11" t="s">
        <v>700</v>
      </c>
      <c r="E197" s="11" t="s">
        <v>661</v>
      </c>
      <c r="F197" s="12" t="s">
        <v>49</v>
      </c>
      <c r="G197" s="12" t="s">
        <v>246</v>
      </c>
      <c r="H197" s="12" t="s">
        <v>246</v>
      </c>
      <c r="I197" s="12" t="s">
        <v>430</v>
      </c>
      <c r="J197" s="12" t="s">
        <v>1027</v>
      </c>
      <c r="K197" s="12" t="s">
        <v>1028</v>
      </c>
      <c r="L197" s="12" t="s">
        <v>247</v>
      </c>
      <c r="M197" s="12" t="s">
        <v>994</v>
      </c>
      <c r="N197" s="13" t="s">
        <v>701</v>
      </c>
      <c r="O197" s="11" t="s">
        <v>118</v>
      </c>
      <c r="P197" s="11" t="s">
        <v>249</v>
      </c>
      <c r="Q197" s="11" t="s">
        <v>125</v>
      </c>
      <c r="R197" s="11" t="s">
        <v>150</v>
      </c>
      <c r="S197" s="11" t="s">
        <v>125</v>
      </c>
      <c r="T197" s="11" t="s">
        <v>125</v>
      </c>
      <c r="U197" s="11" t="s">
        <v>38</v>
      </c>
      <c r="V197" s="11" t="s">
        <v>1378</v>
      </c>
      <c r="W197" s="11" t="s">
        <v>994</v>
      </c>
      <c r="X197" s="11" t="s">
        <v>994</v>
      </c>
      <c r="Y197" s="11" t="s">
        <v>994</v>
      </c>
      <c r="Z197" s="11" t="s">
        <v>994</v>
      </c>
      <c r="AA197" s="11" t="s">
        <v>994</v>
      </c>
      <c r="AB197" s="11" t="s">
        <v>994</v>
      </c>
      <c r="AC197" s="11" t="s">
        <v>994</v>
      </c>
      <c r="AD197" s="11" t="s">
        <v>994</v>
      </c>
      <c r="AE197" s="11" t="s">
        <v>995</v>
      </c>
    </row>
    <row r="198">
      <c r="B198" s="26" t="s">
        <v>49</v>
      </c>
      <c r="C198" s="12" t="s">
        <v>1536</v>
      </c>
      <c r="D198" s="11" t="s">
        <v>702</v>
      </c>
      <c r="E198" s="11" t="s">
        <v>661</v>
      </c>
      <c r="F198" s="12" t="s">
        <v>286</v>
      </c>
      <c r="G198" s="12" t="s">
        <v>246</v>
      </c>
      <c r="H198" s="12" t="s">
        <v>246</v>
      </c>
      <c r="I198" s="12" t="s">
        <v>60</v>
      </c>
      <c r="J198" s="12" t="s">
        <v>1027</v>
      </c>
      <c r="K198" s="12" t="s">
        <v>1028</v>
      </c>
      <c r="L198" s="12" t="s">
        <v>247</v>
      </c>
      <c r="M198" s="12" t="s">
        <v>994</v>
      </c>
      <c r="N198" s="13" t="s">
        <v>703</v>
      </c>
      <c r="O198" s="11" t="s">
        <v>118</v>
      </c>
      <c r="P198" s="11" t="s">
        <v>249</v>
      </c>
      <c r="Q198" s="11" t="s">
        <v>125</v>
      </c>
      <c r="R198" s="11" t="s">
        <v>150</v>
      </c>
      <c r="S198" s="11" t="s">
        <v>994</v>
      </c>
      <c r="T198" s="11" t="s">
        <v>126</v>
      </c>
      <c r="U198" s="11" t="s">
        <v>994</v>
      </c>
      <c r="V198" s="11" t="s">
        <v>994</v>
      </c>
      <c r="W198" s="11" t="s">
        <v>994</v>
      </c>
      <c r="X198" s="11" t="s">
        <v>994</v>
      </c>
      <c r="Y198" s="11" t="s">
        <v>994</v>
      </c>
      <c r="Z198" s="11" t="s">
        <v>994</v>
      </c>
      <c r="AA198" s="11" t="s">
        <v>994</v>
      </c>
      <c r="AB198" s="11" t="s">
        <v>994</v>
      </c>
      <c r="AC198" s="11" t="s">
        <v>994</v>
      </c>
      <c r="AD198" s="11" t="s">
        <v>994</v>
      </c>
      <c r="AE198" s="11" t="s">
        <v>1804</v>
      </c>
    </row>
    <row r="199">
      <c r="B199" s="26" t="s">
        <v>49</v>
      </c>
      <c r="C199" s="12" t="s">
        <v>1537</v>
      </c>
      <c r="D199" s="11" t="s">
        <v>706</v>
      </c>
      <c r="E199" s="11" t="s">
        <v>661</v>
      </c>
      <c r="F199" s="12" t="s">
        <v>49</v>
      </c>
      <c r="G199" s="12" t="s">
        <v>246</v>
      </c>
      <c r="H199" s="12" t="s">
        <v>246</v>
      </c>
      <c r="I199" s="12" t="s">
        <v>60</v>
      </c>
      <c r="J199" s="12" t="s">
        <v>1027</v>
      </c>
      <c r="K199" s="12" t="s">
        <v>1028</v>
      </c>
      <c r="L199" s="12" t="s">
        <v>247</v>
      </c>
      <c r="M199" s="12" t="s">
        <v>994</v>
      </c>
      <c r="N199" s="13" t="s">
        <v>707</v>
      </c>
      <c r="O199" s="11" t="s">
        <v>118</v>
      </c>
      <c r="P199" s="11" t="s">
        <v>249</v>
      </c>
      <c r="Q199" s="11" t="s">
        <v>125</v>
      </c>
      <c r="R199" s="11" t="s">
        <v>150</v>
      </c>
      <c r="S199" s="11" t="s">
        <v>994</v>
      </c>
      <c r="T199" s="11" t="s">
        <v>126</v>
      </c>
      <c r="U199" s="11" t="s">
        <v>994</v>
      </c>
      <c r="V199" s="11" t="s">
        <v>994</v>
      </c>
      <c r="W199" s="11" t="s">
        <v>994</v>
      </c>
      <c r="X199" s="11" t="s">
        <v>994</v>
      </c>
      <c r="Y199" s="11" t="s">
        <v>994</v>
      </c>
      <c r="Z199" s="11" t="s">
        <v>994</v>
      </c>
      <c r="AA199" s="11" t="s">
        <v>994</v>
      </c>
      <c r="AB199" s="11" t="s">
        <v>994</v>
      </c>
      <c r="AC199" s="11" t="s">
        <v>994</v>
      </c>
      <c r="AD199" s="11" t="s">
        <v>994</v>
      </c>
      <c r="AE199" s="11" t="s">
        <v>1804</v>
      </c>
    </row>
    <row r="200">
      <c r="B200" s="26" t="s">
        <v>278</v>
      </c>
      <c r="C200" s="12" t="s">
        <v>1538</v>
      </c>
      <c r="D200" s="11" t="s">
        <v>708</v>
      </c>
      <c r="E200" s="11" t="s">
        <v>661</v>
      </c>
      <c r="F200" s="12" t="s">
        <v>278</v>
      </c>
      <c r="G200" s="12" t="s">
        <v>246</v>
      </c>
      <c r="H200" s="12" t="s">
        <v>246</v>
      </c>
      <c r="I200" s="12" t="s">
        <v>60</v>
      </c>
      <c r="J200" s="12" t="s">
        <v>1027</v>
      </c>
      <c r="K200" s="12" t="s">
        <v>1028</v>
      </c>
      <c r="L200" s="12" t="s">
        <v>247</v>
      </c>
      <c r="M200" s="12" t="s">
        <v>994</v>
      </c>
      <c r="N200" s="13" t="s">
        <v>709</v>
      </c>
      <c r="O200" s="11" t="s">
        <v>118</v>
      </c>
      <c r="P200" s="11" t="s">
        <v>249</v>
      </c>
      <c r="Q200" s="11" t="s">
        <v>125</v>
      </c>
      <c r="R200" s="11" t="s">
        <v>150</v>
      </c>
      <c r="S200" s="11" t="s">
        <v>994</v>
      </c>
      <c r="T200" s="11" t="s">
        <v>126</v>
      </c>
      <c r="U200" s="11" t="s">
        <v>994</v>
      </c>
      <c r="V200" s="11" t="s">
        <v>994</v>
      </c>
      <c r="W200" s="11" t="s">
        <v>994</v>
      </c>
      <c r="X200" s="11" t="s">
        <v>994</v>
      </c>
      <c r="Y200" s="11" t="s">
        <v>994</v>
      </c>
      <c r="Z200" s="11" t="s">
        <v>994</v>
      </c>
      <c r="AA200" s="11" t="s">
        <v>994</v>
      </c>
      <c r="AB200" s="11" t="s">
        <v>994</v>
      </c>
      <c r="AC200" s="11" t="s">
        <v>994</v>
      </c>
      <c r="AD200" s="11" t="s">
        <v>994</v>
      </c>
      <c r="AE200" s="11" t="s">
        <v>1804</v>
      </c>
    </row>
    <row r="201">
      <c r="B201" s="26" t="s">
        <v>49</v>
      </c>
      <c r="C201" s="12" t="s">
        <v>1539</v>
      </c>
      <c r="D201" s="11" t="s">
        <v>710</v>
      </c>
      <c r="E201" s="11" t="s">
        <v>661</v>
      </c>
      <c r="F201" s="12" t="s">
        <v>49</v>
      </c>
      <c r="G201" s="12" t="s">
        <v>246</v>
      </c>
      <c r="H201" s="12" t="s">
        <v>246</v>
      </c>
      <c r="I201" s="12" t="s">
        <v>60</v>
      </c>
      <c r="J201" s="12" t="s">
        <v>1027</v>
      </c>
      <c r="K201" s="12" t="s">
        <v>1028</v>
      </c>
      <c r="L201" s="12" t="s">
        <v>247</v>
      </c>
      <c r="M201" s="12" t="s">
        <v>994</v>
      </c>
      <c r="N201" s="13" t="s">
        <v>711</v>
      </c>
      <c r="O201" s="11" t="s">
        <v>118</v>
      </c>
      <c r="P201" s="11" t="s">
        <v>249</v>
      </c>
      <c r="Q201" s="11" t="s">
        <v>125</v>
      </c>
      <c r="R201" s="11" t="s">
        <v>150</v>
      </c>
      <c r="S201" s="11" t="s">
        <v>994</v>
      </c>
      <c r="T201" s="11" t="s">
        <v>126</v>
      </c>
      <c r="U201" s="11" t="s">
        <v>994</v>
      </c>
      <c r="V201" s="11" t="s">
        <v>994</v>
      </c>
      <c r="W201" s="11" t="s">
        <v>994</v>
      </c>
      <c r="X201" s="11" t="s">
        <v>994</v>
      </c>
      <c r="Y201" s="11" t="s">
        <v>994</v>
      </c>
      <c r="Z201" s="11" t="s">
        <v>994</v>
      </c>
      <c r="AA201" s="11" t="s">
        <v>994</v>
      </c>
      <c r="AB201" s="11" t="s">
        <v>994</v>
      </c>
      <c r="AC201" s="11" t="s">
        <v>994</v>
      </c>
      <c r="AD201" s="11" t="s">
        <v>994</v>
      </c>
      <c r="AE201" s="11" t="s">
        <v>1804</v>
      </c>
    </row>
    <row r="202">
      <c r="B202" s="26" t="s">
        <v>283</v>
      </c>
      <c r="C202" s="12" t="s">
        <v>1540</v>
      </c>
      <c r="D202" s="11" t="s">
        <v>712</v>
      </c>
      <c r="E202" s="11" t="s">
        <v>661</v>
      </c>
      <c r="F202" s="12" t="s">
        <v>283</v>
      </c>
      <c r="G202" s="12" t="s">
        <v>246</v>
      </c>
      <c r="H202" s="12" t="s">
        <v>246</v>
      </c>
      <c r="I202" s="12" t="s">
        <v>60</v>
      </c>
      <c r="J202" s="12" t="s">
        <v>1027</v>
      </c>
      <c r="K202" s="12" t="s">
        <v>1028</v>
      </c>
      <c r="L202" s="12" t="s">
        <v>247</v>
      </c>
      <c r="M202" s="12" t="s">
        <v>994</v>
      </c>
      <c r="N202" s="13" t="s">
        <v>713</v>
      </c>
      <c r="O202" s="11" t="s">
        <v>118</v>
      </c>
      <c r="P202" s="11" t="s">
        <v>249</v>
      </c>
      <c r="Q202" s="11" t="s">
        <v>125</v>
      </c>
      <c r="R202" s="11" t="s">
        <v>150</v>
      </c>
      <c r="S202" s="11" t="s">
        <v>994</v>
      </c>
      <c r="T202" s="11" t="s">
        <v>126</v>
      </c>
      <c r="U202" s="11" t="s">
        <v>994</v>
      </c>
      <c r="V202" s="11" t="s">
        <v>994</v>
      </c>
      <c r="W202" s="11" t="s">
        <v>994</v>
      </c>
      <c r="X202" s="11" t="s">
        <v>994</v>
      </c>
      <c r="Y202" s="11" t="s">
        <v>994</v>
      </c>
      <c r="Z202" s="11" t="s">
        <v>994</v>
      </c>
      <c r="AA202" s="11" t="s">
        <v>994</v>
      </c>
      <c r="AB202" s="11" t="s">
        <v>994</v>
      </c>
      <c r="AC202" s="11" t="s">
        <v>994</v>
      </c>
      <c r="AD202" s="11" t="s">
        <v>994</v>
      </c>
      <c r="AE202" s="11" t="s">
        <v>1804</v>
      </c>
    </row>
    <row r="203">
      <c r="B203" s="26" t="s">
        <v>49</v>
      </c>
      <c r="C203" s="12" t="s">
        <v>1541</v>
      </c>
      <c r="D203" s="11" t="s">
        <v>714</v>
      </c>
      <c r="E203" s="11" t="s">
        <v>661</v>
      </c>
      <c r="F203" s="12" t="s">
        <v>715</v>
      </c>
      <c r="G203" s="12" t="s">
        <v>246</v>
      </c>
      <c r="H203" s="12" t="s">
        <v>246</v>
      </c>
      <c r="I203" s="12" t="s">
        <v>60</v>
      </c>
      <c r="J203" s="12" t="s">
        <v>1027</v>
      </c>
      <c r="K203" s="12" t="s">
        <v>1028</v>
      </c>
      <c r="L203" s="12" t="s">
        <v>247</v>
      </c>
      <c r="M203" s="12" t="s">
        <v>994</v>
      </c>
      <c r="N203" s="13" t="s">
        <v>716</v>
      </c>
      <c r="O203" s="11" t="s">
        <v>118</v>
      </c>
      <c r="P203" s="11" t="s">
        <v>249</v>
      </c>
      <c r="Q203" s="11" t="s">
        <v>125</v>
      </c>
      <c r="R203" s="11" t="s">
        <v>150</v>
      </c>
      <c r="S203" s="11" t="s">
        <v>994</v>
      </c>
      <c r="T203" s="11" t="s">
        <v>126</v>
      </c>
      <c r="U203" s="11" t="s">
        <v>994</v>
      </c>
      <c r="V203" s="11" t="s">
        <v>994</v>
      </c>
      <c r="W203" s="11" t="s">
        <v>994</v>
      </c>
      <c r="X203" s="11" t="s">
        <v>994</v>
      </c>
      <c r="Y203" s="11" t="s">
        <v>994</v>
      </c>
      <c r="Z203" s="11" t="s">
        <v>994</v>
      </c>
      <c r="AA203" s="11" t="s">
        <v>994</v>
      </c>
      <c r="AB203" s="11" t="s">
        <v>994</v>
      </c>
      <c r="AC203" s="11" t="s">
        <v>994</v>
      </c>
      <c r="AD203" s="11" t="s">
        <v>994</v>
      </c>
      <c r="AE203" s="11" t="s">
        <v>1804</v>
      </c>
    </row>
    <row r="204">
      <c r="B204" s="26" t="s">
        <v>291</v>
      </c>
      <c r="C204" s="12" t="s">
        <v>1542</v>
      </c>
      <c r="D204" s="11" t="s">
        <v>717</v>
      </c>
      <c r="E204" s="11" t="s">
        <v>661</v>
      </c>
      <c r="F204" s="12" t="s">
        <v>291</v>
      </c>
      <c r="G204" s="12" t="s">
        <v>246</v>
      </c>
      <c r="H204" s="12" t="s">
        <v>246</v>
      </c>
      <c r="I204" s="12" t="s">
        <v>60</v>
      </c>
      <c r="J204" s="12" t="s">
        <v>1027</v>
      </c>
      <c r="K204" s="12" t="s">
        <v>1028</v>
      </c>
      <c r="L204" s="12" t="s">
        <v>247</v>
      </c>
      <c r="M204" s="12" t="s">
        <v>994</v>
      </c>
      <c r="N204" s="13" t="s">
        <v>1715</v>
      </c>
      <c r="O204" s="11" t="s">
        <v>118</v>
      </c>
      <c r="P204" s="11" t="s">
        <v>249</v>
      </c>
      <c r="Q204" s="11" t="s">
        <v>125</v>
      </c>
      <c r="R204" s="11" t="s">
        <v>150</v>
      </c>
      <c r="S204" s="11" t="s">
        <v>994</v>
      </c>
      <c r="T204" s="11" t="s">
        <v>126</v>
      </c>
      <c r="U204" s="11" t="s">
        <v>994</v>
      </c>
      <c r="V204" s="11" t="s">
        <v>994</v>
      </c>
      <c r="W204" s="11" t="s">
        <v>994</v>
      </c>
      <c r="X204" s="11" t="s">
        <v>994</v>
      </c>
      <c r="Y204" s="11" t="s">
        <v>994</v>
      </c>
      <c r="Z204" s="11" t="s">
        <v>994</v>
      </c>
      <c r="AA204" s="11" t="s">
        <v>994</v>
      </c>
      <c r="AB204" s="11" t="s">
        <v>994</v>
      </c>
      <c r="AC204" s="11" t="s">
        <v>994</v>
      </c>
      <c r="AD204" s="11" t="s">
        <v>994</v>
      </c>
      <c r="AE204" s="11" t="s">
        <v>1804</v>
      </c>
    </row>
    <row r="205">
      <c r="B205" s="26" t="s">
        <v>314</v>
      </c>
      <c r="C205" s="12" t="s">
        <v>1543</v>
      </c>
      <c r="D205" s="11" t="s">
        <v>718</v>
      </c>
      <c r="E205" s="11" t="s">
        <v>661</v>
      </c>
      <c r="F205" s="12" t="s">
        <v>314</v>
      </c>
      <c r="G205" s="12" t="s">
        <v>246</v>
      </c>
      <c r="H205" s="12" t="s">
        <v>246</v>
      </c>
      <c r="I205" s="12" t="s">
        <v>60</v>
      </c>
      <c r="J205" s="12" t="s">
        <v>1027</v>
      </c>
      <c r="K205" s="12" t="s">
        <v>1028</v>
      </c>
      <c r="L205" s="12" t="s">
        <v>247</v>
      </c>
      <c r="M205" s="12" t="s">
        <v>994</v>
      </c>
      <c r="N205" s="13" t="s">
        <v>719</v>
      </c>
      <c r="O205" s="11" t="s">
        <v>118</v>
      </c>
      <c r="P205" s="11" t="s">
        <v>249</v>
      </c>
      <c r="Q205" s="11" t="s">
        <v>125</v>
      </c>
      <c r="R205" s="11" t="s">
        <v>150</v>
      </c>
      <c r="S205" s="11" t="s">
        <v>994</v>
      </c>
      <c r="T205" s="11" t="s">
        <v>126</v>
      </c>
      <c r="U205" s="11" t="s">
        <v>994</v>
      </c>
      <c r="V205" s="11" t="s">
        <v>994</v>
      </c>
      <c r="W205" s="11" t="s">
        <v>994</v>
      </c>
      <c r="X205" s="11" t="s">
        <v>994</v>
      </c>
      <c r="Y205" s="11" t="s">
        <v>994</v>
      </c>
      <c r="Z205" s="11" t="s">
        <v>994</v>
      </c>
      <c r="AA205" s="11" t="s">
        <v>994</v>
      </c>
      <c r="AB205" s="11" t="s">
        <v>994</v>
      </c>
      <c r="AC205" s="11" t="s">
        <v>994</v>
      </c>
      <c r="AD205" s="11" t="s">
        <v>994</v>
      </c>
      <c r="AE205" s="11" t="s">
        <v>1804</v>
      </c>
    </row>
    <row r="206">
      <c r="B206" s="26" t="s">
        <v>311</v>
      </c>
      <c r="C206" s="12" t="s">
        <v>1544</v>
      </c>
      <c r="D206" s="11" t="s">
        <v>720</v>
      </c>
      <c r="E206" s="11" t="s">
        <v>661</v>
      </c>
      <c r="F206" s="12" t="s">
        <v>311</v>
      </c>
      <c r="G206" s="12" t="s">
        <v>246</v>
      </c>
      <c r="H206" s="12" t="s">
        <v>246</v>
      </c>
      <c r="I206" s="12" t="s">
        <v>60</v>
      </c>
      <c r="J206" s="12" t="s">
        <v>1027</v>
      </c>
      <c r="K206" s="12" t="s">
        <v>1028</v>
      </c>
      <c r="L206" s="12" t="s">
        <v>247</v>
      </c>
      <c r="M206" s="12" t="s">
        <v>994</v>
      </c>
      <c r="N206" s="13" t="s">
        <v>721</v>
      </c>
      <c r="O206" s="11" t="s">
        <v>118</v>
      </c>
      <c r="P206" s="11" t="s">
        <v>249</v>
      </c>
      <c r="Q206" s="11" t="s">
        <v>125</v>
      </c>
      <c r="R206" s="11" t="s">
        <v>150</v>
      </c>
      <c r="S206" s="11" t="s">
        <v>994</v>
      </c>
      <c r="T206" s="11" t="s">
        <v>126</v>
      </c>
      <c r="U206" s="11" t="s">
        <v>994</v>
      </c>
      <c r="V206" s="11" t="s">
        <v>994</v>
      </c>
      <c r="W206" s="11" t="s">
        <v>994</v>
      </c>
      <c r="X206" s="11" t="s">
        <v>994</v>
      </c>
      <c r="Y206" s="11" t="s">
        <v>994</v>
      </c>
      <c r="Z206" s="11" t="s">
        <v>994</v>
      </c>
      <c r="AA206" s="11" t="s">
        <v>994</v>
      </c>
      <c r="AB206" s="11" t="s">
        <v>994</v>
      </c>
      <c r="AC206" s="11" t="s">
        <v>994</v>
      </c>
      <c r="AD206" s="11" t="s">
        <v>994</v>
      </c>
      <c r="AE206" s="11" t="s">
        <v>1804</v>
      </c>
    </row>
    <row r="207">
      <c r="B207" s="26" t="s">
        <v>49</v>
      </c>
      <c r="C207" s="12" t="s">
        <v>1545</v>
      </c>
      <c r="D207" s="11" t="s">
        <v>722</v>
      </c>
      <c r="E207" s="11" t="s">
        <v>723</v>
      </c>
      <c r="F207" s="12" t="s">
        <v>49</v>
      </c>
      <c r="G207" s="12" t="s">
        <v>246</v>
      </c>
      <c r="H207" s="12" t="s">
        <v>246</v>
      </c>
      <c r="I207" s="12" t="s">
        <v>60</v>
      </c>
      <c r="J207" s="12" t="s">
        <v>1027</v>
      </c>
      <c r="K207" s="12" t="s">
        <v>1028</v>
      </c>
      <c r="L207" s="12" t="s">
        <v>247</v>
      </c>
      <c r="M207" s="12" t="s">
        <v>994</v>
      </c>
      <c r="N207" s="13" t="s">
        <v>724</v>
      </c>
      <c r="O207" s="11" t="s">
        <v>118</v>
      </c>
      <c r="P207" s="11" t="s">
        <v>310</v>
      </c>
      <c r="Q207" s="11" t="s">
        <v>125</v>
      </c>
      <c r="R207" s="11" t="s">
        <v>150</v>
      </c>
      <c r="S207" s="11" t="s">
        <v>994</v>
      </c>
      <c r="T207" s="11" t="s">
        <v>126</v>
      </c>
      <c r="U207" s="11" t="s">
        <v>994</v>
      </c>
      <c r="V207" s="11" t="s">
        <v>994</v>
      </c>
      <c r="W207" s="11" t="s">
        <v>994</v>
      </c>
      <c r="X207" s="11" t="s">
        <v>994</v>
      </c>
      <c r="Y207" s="11" t="s">
        <v>994</v>
      </c>
      <c r="Z207" s="11" t="s">
        <v>994</v>
      </c>
      <c r="AA207" s="11" t="s">
        <v>994</v>
      </c>
      <c r="AB207" s="11" t="s">
        <v>994</v>
      </c>
      <c r="AC207" s="11" t="s">
        <v>994</v>
      </c>
      <c r="AD207" s="11" t="s">
        <v>994</v>
      </c>
      <c r="AE207" s="11" t="s">
        <v>1804</v>
      </c>
    </row>
    <row r="208">
      <c r="B208" s="26" t="s">
        <v>49</v>
      </c>
      <c r="C208" s="12" t="s">
        <v>1546</v>
      </c>
      <c r="D208" s="11" t="s">
        <v>725</v>
      </c>
      <c r="E208" s="11" t="s">
        <v>723</v>
      </c>
      <c r="F208" s="12" t="s">
        <v>49</v>
      </c>
      <c r="G208" s="12" t="s">
        <v>246</v>
      </c>
      <c r="H208" s="12" t="s">
        <v>246</v>
      </c>
      <c r="I208" s="12" t="s">
        <v>430</v>
      </c>
      <c r="J208" s="12" t="s">
        <v>1027</v>
      </c>
      <c r="K208" s="12" t="s">
        <v>1028</v>
      </c>
      <c r="L208" s="12" t="s">
        <v>247</v>
      </c>
      <c r="M208" s="12" t="s">
        <v>994</v>
      </c>
      <c r="N208" s="13" t="s">
        <v>726</v>
      </c>
      <c r="O208" s="11" t="s">
        <v>118</v>
      </c>
      <c r="P208" s="11" t="s">
        <v>310</v>
      </c>
      <c r="Q208" s="11" t="s">
        <v>125</v>
      </c>
      <c r="R208" s="11" t="s">
        <v>150</v>
      </c>
      <c r="S208" s="11" t="s">
        <v>125</v>
      </c>
      <c r="T208" s="11" t="s">
        <v>125</v>
      </c>
      <c r="U208" s="11" t="s">
        <v>38</v>
      </c>
      <c r="V208" s="11" t="s">
        <v>1378</v>
      </c>
      <c r="W208" s="11" t="s">
        <v>994</v>
      </c>
      <c r="X208" s="11" t="s">
        <v>994</v>
      </c>
      <c r="Y208" s="11" t="s">
        <v>994</v>
      </c>
      <c r="Z208" s="11" t="s">
        <v>994</v>
      </c>
      <c r="AA208" s="11" t="s">
        <v>994</v>
      </c>
      <c r="AB208" s="11" t="s">
        <v>994</v>
      </c>
      <c r="AC208" s="11" t="s">
        <v>994</v>
      </c>
      <c r="AD208" s="11" t="s">
        <v>994</v>
      </c>
      <c r="AE208" s="11" t="s">
        <v>995</v>
      </c>
    </row>
    <row r="209">
      <c r="B209" s="26" t="s">
        <v>295</v>
      </c>
      <c r="C209" s="12" t="s">
        <v>1547</v>
      </c>
      <c r="D209" s="11" t="s">
        <v>727</v>
      </c>
      <c r="E209" s="11" t="s">
        <v>723</v>
      </c>
      <c r="F209" s="12" t="s">
        <v>295</v>
      </c>
      <c r="G209" s="12" t="s">
        <v>246</v>
      </c>
      <c r="H209" s="12" t="s">
        <v>246</v>
      </c>
      <c r="I209" s="12" t="s">
        <v>430</v>
      </c>
      <c r="J209" s="12" t="s">
        <v>1027</v>
      </c>
      <c r="K209" s="12" t="s">
        <v>1028</v>
      </c>
      <c r="L209" s="12" t="s">
        <v>247</v>
      </c>
      <c r="M209" s="12" t="s">
        <v>994</v>
      </c>
      <c r="N209" s="13" t="s">
        <v>728</v>
      </c>
      <c r="O209" s="11" t="s">
        <v>118</v>
      </c>
      <c r="P209" s="11" t="s">
        <v>310</v>
      </c>
      <c r="Q209" s="11" t="s">
        <v>125</v>
      </c>
      <c r="R209" s="11" t="s">
        <v>150</v>
      </c>
      <c r="S209" s="11" t="s">
        <v>125</v>
      </c>
      <c r="T209" s="11" t="s">
        <v>125</v>
      </c>
      <c r="U209" s="11" t="s">
        <v>38</v>
      </c>
      <c r="V209" s="11" t="s">
        <v>1378</v>
      </c>
      <c r="W209" s="11" t="s">
        <v>994</v>
      </c>
      <c r="X209" s="11" t="s">
        <v>994</v>
      </c>
      <c r="Y209" s="11" t="s">
        <v>994</v>
      </c>
      <c r="Z209" s="11" t="s">
        <v>994</v>
      </c>
      <c r="AA209" s="11" t="s">
        <v>994</v>
      </c>
      <c r="AB209" s="11" t="s">
        <v>994</v>
      </c>
      <c r="AC209" s="11" t="s">
        <v>994</v>
      </c>
      <c r="AD209" s="11" t="s">
        <v>994</v>
      </c>
      <c r="AE209" s="11" t="s">
        <v>995</v>
      </c>
    </row>
    <row r="210">
      <c r="B210" s="26" t="s">
        <v>49</v>
      </c>
      <c r="C210" s="12" t="s">
        <v>1548</v>
      </c>
      <c r="D210" s="11" t="s">
        <v>729</v>
      </c>
      <c r="E210" s="11" t="s">
        <v>723</v>
      </c>
      <c r="F210" s="12" t="s">
        <v>49</v>
      </c>
      <c r="G210" s="12" t="s">
        <v>246</v>
      </c>
      <c r="H210" s="12" t="s">
        <v>246</v>
      </c>
      <c r="I210" s="12" t="s">
        <v>430</v>
      </c>
      <c r="J210" s="12" t="s">
        <v>1027</v>
      </c>
      <c r="K210" s="12" t="s">
        <v>1028</v>
      </c>
      <c r="L210" s="12" t="s">
        <v>247</v>
      </c>
      <c r="M210" s="12" t="s">
        <v>994</v>
      </c>
      <c r="N210" s="13" t="s">
        <v>730</v>
      </c>
      <c r="O210" s="11" t="s">
        <v>118</v>
      </c>
      <c r="P210" s="11" t="s">
        <v>310</v>
      </c>
      <c r="Q210" s="11" t="s">
        <v>125</v>
      </c>
      <c r="R210" s="11" t="s">
        <v>150</v>
      </c>
      <c r="S210" s="11" t="s">
        <v>125</v>
      </c>
      <c r="T210" s="11" t="s">
        <v>125</v>
      </c>
      <c r="U210" s="11" t="s">
        <v>132</v>
      </c>
      <c r="V210" s="11" t="s">
        <v>1378</v>
      </c>
      <c r="W210" s="11" t="s">
        <v>994</v>
      </c>
      <c r="X210" s="11" t="s">
        <v>994</v>
      </c>
      <c r="Y210" s="11" t="s">
        <v>994</v>
      </c>
      <c r="Z210" s="11" t="s">
        <v>994</v>
      </c>
      <c r="AA210" s="11" t="s">
        <v>994</v>
      </c>
      <c r="AB210" s="11" t="s">
        <v>994</v>
      </c>
      <c r="AC210" s="11" t="s">
        <v>994</v>
      </c>
      <c r="AD210" s="11" t="s">
        <v>1209</v>
      </c>
      <c r="AE210" s="11" t="s">
        <v>995</v>
      </c>
    </row>
    <row r="211">
      <c r="B211" s="26" t="s">
        <v>49</v>
      </c>
      <c r="C211" s="12" t="s">
        <v>1549</v>
      </c>
      <c r="D211" s="11" t="s">
        <v>731</v>
      </c>
      <c r="E211" s="11" t="s">
        <v>732</v>
      </c>
      <c r="F211" s="12" t="s">
        <v>49</v>
      </c>
      <c r="G211" s="12" t="s">
        <v>246</v>
      </c>
      <c r="H211" s="12" t="s">
        <v>246</v>
      </c>
      <c r="I211" s="12" t="s">
        <v>60</v>
      </c>
      <c r="J211" s="12" t="s">
        <v>1018</v>
      </c>
      <c r="K211" s="12" t="s">
        <v>118</v>
      </c>
      <c r="L211" s="12" t="s">
        <v>247</v>
      </c>
      <c r="M211" s="12" t="s">
        <v>994</v>
      </c>
      <c r="N211" s="13" t="s">
        <v>733</v>
      </c>
      <c r="O211" s="11" t="s">
        <v>118</v>
      </c>
      <c r="P211" s="11" t="s">
        <v>323</v>
      </c>
      <c r="Q211" s="11" t="s">
        <v>126</v>
      </c>
      <c r="R211" s="11" t="s">
        <v>150</v>
      </c>
      <c r="S211" s="11" t="s">
        <v>994</v>
      </c>
      <c r="T211" s="11" t="s">
        <v>125</v>
      </c>
      <c r="U211" s="11" t="s">
        <v>131</v>
      </c>
      <c r="V211" s="11" t="s">
        <v>1762</v>
      </c>
      <c r="W211" s="11" t="s">
        <v>994</v>
      </c>
      <c r="X211" s="11" t="s">
        <v>994</v>
      </c>
      <c r="Y211" s="11" t="s">
        <v>994</v>
      </c>
      <c r="Z211" s="11" t="s">
        <v>994</v>
      </c>
      <c r="AA211" s="11" t="s">
        <v>994</v>
      </c>
      <c r="AB211" s="11" t="s">
        <v>994</v>
      </c>
      <c r="AC211" s="11" t="s">
        <v>994</v>
      </c>
      <c r="AD211" s="11" t="s">
        <v>989</v>
      </c>
      <c r="AE211" s="11" t="s">
        <v>995</v>
      </c>
    </row>
    <row r="212">
      <c r="B212" s="26" t="s">
        <v>49</v>
      </c>
      <c r="C212" s="12" t="s">
        <v>1550</v>
      </c>
      <c r="D212" s="11" t="s">
        <v>130</v>
      </c>
      <c r="E212" s="11" t="s">
        <v>734</v>
      </c>
      <c r="F212" s="12" t="s">
        <v>543</v>
      </c>
      <c r="G212" s="12" t="s">
        <v>246</v>
      </c>
      <c r="H212" s="12" t="s">
        <v>246</v>
      </c>
      <c r="I212" s="12" t="s">
        <v>60</v>
      </c>
      <c r="J212" s="12" t="s">
        <v>1029</v>
      </c>
      <c r="K212" s="12" t="s">
        <v>118</v>
      </c>
      <c r="L212" s="12" t="s">
        <v>247</v>
      </c>
      <c r="M212" s="12" t="s">
        <v>994</v>
      </c>
      <c r="N212" s="13" t="s">
        <v>735</v>
      </c>
      <c r="O212" s="11" t="s">
        <v>118</v>
      </c>
      <c r="P212" s="11" t="s">
        <v>323</v>
      </c>
      <c r="Q212" s="11" t="s">
        <v>126</v>
      </c>
      <c r="R212" s="11" t="s">
        <v>150</v>
      </c>
      <c r="S212" s="11" t="s">
        <v>994</v>
      </c>
      <c r="T212" s="11" t="s">
        <v>126</v>
      </c>
      <c r="U212" s="11" t="s">
        <v>994</v>
      </c>
      <c r="V212" s="11" t="s">
        <v>994</v>
      </c>
      <c r="W212" s="11" t="s">
        <v>994</v>
      </c>
      <c r="X212" s="11" t="s">
        <v>994</v>
      </c>
      <c r="Y212" s="11" t="s">
        <v>994</v>
      </c>
      <c r="Z212" s="11" t="s">
        <v>994</v>
      </c>
      <c r="AA212" s="11" t="s">
        <v>994</v>
      </c>
      <c r="AB212" s="11" t="s">
        <v>994</v>
      </c>
      <c r="AC212" s="11" t="s">
        <v>994</v>
      </c>
      <c r="AD212" s="11" t="s">
        <v>1292</v>
      </c>
      <c r="AE212" s="11" t="s">
        <v>1804</v>
      </c>
    </row>
    <row r="213">
      <c r="B213" s="26" t="s">
        <v>49</v>
      </c>
      <c r="C213" s="12" t="s">
        <v>1551</v>
      </c>
      <c r="D213" s="11" t="s">
        <v>736</v>
      </c>
      <c r="E213" s="11" t="s">
        <v>737</v>
      </c>
      <c r="F213" s="12" t="s">
        <v>286</v>
      </c>
      <c r="G213" s="12" t="s">
        <v>246</v>
      </c>
      <c r="H213" s="12" t="s">
        <v>246</v>
      </c>
      <c r="I213" s="12" t="s">
        <v>60</v>
      </c>
      <c r="J213" s="12" t="s">
        <v>1018</v>
      </c>
      <c r="K213" s="12" t="s">
        <v>118</v>
      </c>
      <c r="L213" s="12" t="s">
        <v>247</v>
      </c>
      <c r="M213" s="12" t="s">
        <v>994</v>
      </c>
      <c r="N213" s="13" t="s">
        <v>738</v>
      </c>
      <c r="O213" s="11" t="s">
        <v>118</v>
      </c>
      <c r="P213" s="11" t="s">
        <v>323</v>
      </c>
      <c r="Q213" s="11" t="s">
        <v>126</v>
      </c>
      <c r="R213" s="11" t="s">
        <v>150</v>
      </c>
      <c r="S213" s="11" t="s">
        <v>994</v>
      </c>
      <c r="T213" s="11" t="s">
        <v>126</v>
      </c>
      <c r="U213" s="11" t="s">
        <v>994</v>
      </c>
      <c r="V213" s="11" t="s">
        <v>994</v>
      </c>
      <c r="W213" s="11" t="s">
        <v>994</v>
      </c>
      <c r="X213" s="11" t="s">
        <v>994</v>
      </c>
      <c r="Y213" s="11" t="s">
        <v>994</v>
      </c>
      <c r="Z213" s="11" t="s">
        <v>994</v>
      </c>
      <c r="AA213" s="11" t="s">
        <v>994</v>
      </c>
      <c r="AB213" s="11" t="s">
        <v>994</v>
      </c>
      <c r="AC213" s="11" t="s">
        <v>994</v>
      </c>
      <c r="AD213" s="11" t="s">
        <v>994</v>
      </c>
      <c r="AE213" s="11" t="s">
        <v>1804</v>
      </c>
    </row>
    <row r="214">
      <c r="B214" s="26" t="s">
        <v>314</v>
      </c>
      <c r="C214" s="12" t="s">
        <v>1552</v>
      </c>
      <c r="D214" s="11" t="s">
        <v>739</v>
      </c>
      <c r="E214" s="11" t="s">
        <v>737</v>
      </c>
      <c r="F214" s="12" t="s">
        <v>314</v>
      </c>
      <c r="G214" s="12" t="s">
        <v>246</v>
      </c>
      <c r="H214" s="12" t="s">
        <v>246</v>
      </c>
      <c r="I214" s="12" t="s">
        <v>60</v>
      </c>
      <c r="J214" s="12" t="s">
        <v>1018</v>
      </c>
      <c r="K214" s="12" t="s">
        <v>118</v>
      </c>
      <c r="L214" s="12" t="s">
        <v>247</v>
      </c>
      <c r="M214" s="12" t="s">
        <v>994</v>
      </c>
      <c r="N214" s="13" t="s">
        <v>740</v>
      </c>
      <c r="O214" s="11" t="s">
        <v>118</v>
      </c>
      <c r="P214" s="11" t="s">
        <v>323</v>
      </c>
      <c r="Q214" s="11" t="s">
        <v>126</v>
      </c>
      <c r="R214" s="11" t="s">
        <v>150</v>
      </c>
      <c r="S214" s="11" t="s">
        <v>994</v>
      </c>
      <c r="T214" s="11" t="s">
        <v>126</v>
      </c>
      <c r="U214" s="11" t="s">
        <v>994</v>
      </c>
      <c r="V214" s="11" t="s">
        <v>994</v>
      </c>
      <c r="W214" s="11" t="s">
        <v>994</v>
      </c>
      <c r="X214" s="11" t="s">
        <v>994</v>
      </c>
      <c r="Y214" s="11" t="s">
        <v>994</v>
      </c>
      <c r="Z214" s="11" t="s">
        <v>994</v>
      </c>
      <c r="AA214" s="11" t="s">
        <v>994</v>
      </c>
      <c r="AB214" s="11" t="s">
        <v>994</v>
      </c>
      <c r="AC214" s="11" t="s">
        <v>994</v>
      </c>
      <c r="AD214" s="11" t="s">
        <v>994</v>
      </c>
      <c r="AE214" s="11" t="s">
        <v>1804</v>
      </c>
    </row>
    <row r="215">
      <c r="B215" s="26" t="s">
        <v>308</v>
      </c>
      <c r="C215" s="12" t="s">
        <v>1553</v>
      </c>
      <c r="D215" s="11" t="s">
        <v>741</v>
      </c>
      <c r="E215" s="11" t="s">
        <v>737</v>
      </c>
      <c r="F215" s="12" t="s">
        <v>308</v>
      </c>
      <c r="G215" s="12" t="s">
        <v>246</v>
      </c>
      <c r="H215" s="12" t="s">
        <v>246</v>
      </c>
      <c r="I215" s="12" t="s">
        <v>60</v>
      </c>
      <c r="J215" s="12" t="s">
        <v>1018</v>
      </c>
      <c r="K215" s="12" t="s">
        <v>118</v>
      </c>
      <c r="L215" s="12" t="s">
        <v>247</v>
      </c>
      <c r="M215" s="12" t="s">
        <v>994</v>
      </c>
      <c r="N215" s="13" t="s">
        <v>742</v>
      </c>
      <c r="O215" s="11" t="s">
        <v>118</v>
      </c>
      <c r="P215" s="11" t="s">
        <v>323</v>
      </c>
      <c r="Q215" s="11" t="s">
        <v>126</v>
      </c>
      <c r="R215" s="11" t="s">
        <v>150</v>
      </c>
      <c r="S215" s="11" t="s">
        <v>994</v>
      </c>
      <c r="T215" s="11" t="s">
        <v>126</v>
      </c>
      <c r="U215" s="11" t="s">
        <v>994</v>
      </c>
      <c r="V215" s="11" t="s">
        <v>994</v>
      </c>
      <c r="W215" s="11" t="s">
        <v>994</v>
      </c>
      <c r="X215" s="11" t="s">
        <v>994</v>
      </c>
      <c r="Y215" s="11" t="s">
        <v>994</v>
      </c>
      <c r="Z215" s="11" t="s">
        <v>994</v>
      </c>
      <c r="AA215" s="11" t="s">
        <v>994</v>
      </c>
      <c r="AB215" s="11" t="s">
        <v>994</v>
      </c>
      <c r="AC215" s="11" t="s">
        <v>994</v>
      </c>
      <c r="AD215" s="11" t="s">
        <v>994</v>
      </c>
      <c r="AE215" s="11" t="s">
        <v>1804</v>
      </c>
    </row>
    <row r="216">
      <c r="B216" s="26" t="s">
        <v>49</v>
      </c>
      <c r="C216" s="12" t="s">
        <v>1554</v>
      </c>
      <c r="D216" s="11" t="s">
        <v>743</v>
      </c>
      <c r="E216" s="11" t="s">
        <v>737</v>
      </c>
      <c r="F216" s="12" t="s">
        <v>286</v>
      </c>
      <c r="G216" s="12" t="s">
        <v>246</v>
      </c>
      <c r="H216" s="12" t="s">
        <v>246</v>
      </c>
      <c r="I216" s="12" t="s">
        <v>60</v>
      </c>
      <c r="J216" s="12" t="s">
        <v>1018</v>
      </c>
      <c r="K216" s="12" t="s">
        <v>118</v>
      </c>
      <c r="L216" s="12" t="s">
        <v>247</v>
      </c>
      <c r="M216" s="12" t="s">
        <v>994</v>
      </c>
      <c r="N216" s="13" t="s">
        <v>744</v>
      </c>
      <c r="O216" s="11" t="s">
        <v>118</v>
      </c>
      <c r="P216" s="11" t="s">
        <v>323</v>
      </c>
      <c r="Q216" s="11" t="s">
        <v>126</v>
      </c>
      <c r="R216" s="11" t="s">
        <v>150</v>
      </c>
      <c r="S216" s="11" t="s">
        <v>994</v>
      </c>
      <c r="T216" s="11" t="s">
        <v>125</v>
      </c>
      <c r="U216" s="11" t="s">
        <v>38</v>
      </c>
      <c r="V216" s="11" t="s">
        <v>1764</v>
      </c>
      <c r="W216" s="11" t="s">
        <v>994</v>
      </c>
      <c r="X216" s="11" t="s">
        <v>994</v>
      </c>
      <c r="Y216" s="11" t="s">
        <v>994</v>
      </c>
      <c r="Z216" s="11" t="s">
        <v>994</v>
      </c>
      <c r="AA216" s="11" t="s">
        <v>994</v>
      </c>
      <c r="AB216" s="11" t="s">
        <v>994</v>
      </c>
      <c r="AC216" s="11" t="s">
        <v>994</v>
      </c>
      <c r="AD216" s="11" t="s">
        <v>990</v>
      </c>
      <c r="AE216" s="11" t="s">
        <v>995</v>
      </c>
    </row>
    <row r="217">
      <c r="B217" s="26" t="s">
        <v>49</v>
      </c>
      <c r="C217" s="12" t="s">
        <v>1555</v>
      </c>
      <c r="D217" s="11" t="s">
        <v>747</v>
      </c>
      <c r="E217" s="11" t="s">
        <v>737</v>
      </c>
      <c r="F217" s="12" t="s">
        <v>557</v>
      </c>
      <c r="G217" s="12" t="s">
        <v>246</v>
      </c>
      <c r="H217" s="12" t="s">
        <v>246</v>
      </c>
      <c r="I217" s="12" t="s">
        <v>60</v>
      </c>
      <c r="J217" s="12" t="s">
        <v>1018</v>
      </c>
      <c r="K217" s="12" t="s">
        <v>118</v>
      </c>
      <c r="L217" s="12" t="s">
        <v>247</v>
      </c>
      <c r="M217" s="12" t="s">
        <v>994</v>
      </c>
      <c r="N217" s="13" t="s">
        <v>748</v>
      </c>
      <c r="O217" s="11" t="s">
        <v>118</v>
      </c>
      <c r="P217" s="11" t="s">
        <v>323</v>
      </c>
      <c r="Q217" s="11" t="s">
        <v>126</v>
      </c>
      <c r="R217" s="11" t="s">
        <v>150</v>
      </c>
      <c r="S217" s="11" t="s">
        <v>994</v>
      </c>
      <c r="T217" s="11" t="s">
        <v>125</v>
      </c>
      <c r="U217" s="11" t="s">
        <v>38</v>
      </c>
      <c r="V217" s="11" t="s">
        <v>1764</v>
      </c>
      <c r="W217" s="11" t="s">
        <v>994</v>
      </c>
      <c r="X217" s="11" t="s">
        <v>994</v>
      </c>
      <c r="Y217" s="11" t="s">
        <v>994</v>
      </c>
      <c r="Z217" s="11" t="s">
        <v>994</v>
      </c>
      <c r="AA217" s="11" t="s">
        <v>994</v>
      </c>
      <c r="AB217" s="11" t="s">
        <v>994</v>
      </c>
      <c r="AC217" s="11" t="s">
        <v>994</v>
      </c>
      <c r="AD217" s="11" t="s">
        <v>991</v>
      </c>
      <c r="AE217" s="11" t="s">
        <v>995</v>
      </c>
    </row>
    <row r="218">
      <c r="B218" s="26" t="s">
        <v>49</v>
      </c>
      <c r="C218" s="12" t="s">
        <v>1556</v>
      </c>
      <c r="D218" s="11" t="s">
        <v>749</v>
      </c>
      <c r="E218" s="11" t="s">
        <v>737</v>
      </c>
      <c r="F218" s="12" t="s">
        <v>447</v>
      </c>
      <c r="G218" s="12" t="s">
        <v>246</v>
      </c>
      <c r="H218" s="12" t="s">
        <v>246</v>
      </c>
      <c r="I218" s="12" t="s">
        <v>60</v>
      </c>
      <c r="J218" s="12" t="s">
        <v>1018</v>
      </c>
      <c r="K218" s="12" t="s">
        <v>118</v>
      </c>
      <c r="L218" s="12" t="s">
        <v>247</v>
      </c>
      <c r="M218" s="12" t="s">
        <v>994</v>
      </c>
      <c r="N218" s="13" t="s">
        <v>742</v>
      </c>
      <c r="O218" s="11" t="s">
        <v>118</v>
      </c>
      <c r="P218" s="11" t="s">
        <v>323</v>
      </c>
      <c r="Q218" s="11" t="s">
        <v>126</v>
      </c>
      <c r="R218" s="11" t="s">
        <v>150</v>
      </c>
      <c r="S218" s="11" t="s">
        <v>994</v>
      </c>
      <c r="T218" s="11" t="s">
        <v>126</v>
      </c>
      <c r="U218" s="11" t="s">
        <v>994</v>
      </c>
      <c r="V218" s="11" t="s">
        <v>994</v>
      </c>
      <c r="W218" s="11" t="s">
        <v>994</v>
      </c>
      <c r="X218" s="11" t="s">
        <v>994</v>
      </c>
      <c r="Y218" s="11" t="s">
        <v>994</v>
      </c>
      <c r="Z218" s="11" t="s">
        <v>994</v>
      </c>
      <c r="AA218" s="11" t="s">
        <v>994</v>
      </c>
      <c r="AB218" s="11" t="s">
        <v>994</v>
      </c>
      <c r="AC218" s="11" t="s">
        <v>994</v>
      </c>
      <c r="AD218" s="11" t="s">
        <v>994</v>
      </c>
      <c r="AE218" s="11" t="s">
        <v>1804</v>
      </c>
    </row>
    <row r="219">
      <c r="B219" s="26" t="s">
        <v>49</v>
      </c>
      <c r="C219" s="12" t="s">
        <v>1557</v>
      </c>
      <c r="D219" s="11" t="s">
        <v>752</v>
      </c>
      <c r="E219" s="11" t="s">
        <v>753</v>
      </c>
      <c r="F219" s="12" t="s">
        <v>450</v>
      </c>
      <c r="G219" s="12" t="s">
        <v>246</v>
      </c>
      <c r="H219" s="12" t="s">
        <v>246</v>
      </c>
      <c r="I219" s="12" t="s">
        <v>37</v>
      </c>
      <c r="J219" s="12" t="s">
        <v>1018</v>
      </c>
      <c r="K219" s="12" t="s">
        <v>1019</v>
      </c>
      <c r="L219" s="12" t="s">
        <v>247</v>
      </c>
      <c r="M219" s="12" t="s">
        <v>994</v>
      </c>
      <c r="N219" s="13" t="s">
        <v>754</v>
      </c>
      <c r="O219" s="11" t="s">
        <v>118</v>
      </c>
      <c r="P219" s="11" t="s">
        <v>323</v>
      </c>
      <c r="Q219" s="11" t="s">
        <v>126</v>
      </c>
      <c r="R219" s="11" t="s">
        <v>150</v>
      </c>
      <c r="S219" s="11" t="s">
        <v>994</v>
      </c>
      <c r="T219" s="11" t="s">
        <v>125</v>
      </c>
      <c r="U219" s="11" t="s">
        <v>29</v>
      </c>
      <c r="V219" s="11" t="s">
        <v>1788</v>
      </c>
      <c r="W219" s="11" t="s">
        <v>994</v>
      </c>
      <c r="X219" s="11" t="s">
        <v>994</v>
      </c>
      <c r="Y219" s="11" t="s">
        <v>994</v>
      </c>
      <c r="Z219" s="11" t="s">
        <v>994</v>
      </c>
      <c r="AA219" s="11" t="s">
        <v>994</v>
      </c>
      <c r="AB219" s="11" t="s">
        <v>994</v>
      </c>
      <c r="AC219" s="11" t="s">
        <v>994</v>
      </c>
      <c r="AD219" s="11" t="s">
        <v>1811</v>
      </c>
      <c r="AE219" s="11" t="s">
        <v>995</v>
      </c>
    </row>
    <row r="220">
      <c r="B220" s="26" t="s">
        <v>49</v>
      </c>
      <c r="C220" s="12" t="s">
        <v>1558</v>
      </c>
      <c r="D220" s="11" t="s">
        <v>755</v>
      </c>
      <c r="E220" s="11" t="s">
        <v>756</v>
      </c>
      <c r="F220" s="12" t="s">
        <v>450</v>
      </c>
      <c r="G220" s="12" t="s">
        <v>246</v>
      </c>
      <c r="H220" s="12" t="s">
        <v>246</v>
      </c>
      <c r="I220" s="12" t="s">
        <v>37</v>
      </c>
      <c r="J220" s="12" t="s">
        <v>1018</v>
      </c>
      <c r="K220" s="12" t="s">
        <v>1019</v>
      </c>
      <c r="L220" s="12" t="s">
        <v>247</v>
      </c>
      <c r="M220" s="12" t="s">
        <v>994</v>
      </c>
      <c r="N220" s="13" t="s">
        <v>757</v>
      </c>
      <c r="O220" s="11" t="s">
        <v>118</v>
      </c>
      <c r="P220" s="11" t="s">
        <v>323</v>
      </c>
      <c r="Q220" s="11" t="s">
        <v>126</v>
      </c>
      <c r="R220" s="11" t="s">
        <v>150</v>
      </c>
      <c r="S220" s="11" t="s">
        <v>994</v>
      </c>
      <c r="T220" s="11" t="s">
        <v>126</v>
      </c>
      <c r="U220" s="11" t="s">
        <v>994</v>
      </c>
      <c r="V220" s="11" t="s">
        <v>994</v>
      </c>
      <c r="W220" s="11" t="s">
        <v>994</v>
      </c>
      <c r="X220" s="11" t="s">
        <v>994</v>
      </c>
      <c r="Y220" s="11" t="s">
        <v>994</v>
      </c>
      <c r="Z220" s="11" t="s">
        <v>994</v>
      </c>
      <c r="AA220" s="11" t="s">
        <v>994</v>
      </c>
      <c r="AB220" s="11" t="s">
        <v>994</v>
      </c>
      <c r="AC220" s="11" t="s">
        <v>994</v>
      </c>
      <c r="AD220" s="11" t="s">
        <v>994</v>
      </c>
      <c r="AE220" s="11" t="s">
        <v>1804</v>
      </c>
    </row>
    <row r="221">
      <c r="B221" s="26" t="s">
        <v>291</v>
      </c>
      <c r="C221" s="12" t="s">
        <v>1559</v>
      </c>
      <c r="D221" s="11" t="s">
        <v>758</v>
      </c>
      <c r="E221" s="11" t="s">
        <v>759</v>
      </c>
      <c r="F221" s="12" t="s">
        <v>291</v>
      </c>
      <c r="G221" s="12" t="s">
        <v>246</v>
      </c>
      <c r="H221" s="12" t="s">
        <v>246</v>
      </c>
      <c r="I221" s="12" t="s">
        <v>37</v>
      </c>
      <c r="J221" s="12" t="s">
        <v>1018</v>
      </c>
      <c r="K221" s="12" t="s">
        <v>1024</v>
      </c>
      <c r="L221" s="12" t="s">
        <v>247</v>
      </c>
      <c r="M221" s="12" t="s">
        <v>994</v>
      </c>
      <c r="N221" s="13" t="s">
        <v>1293</v>
      </c>
      <c r="O221" s="11" t="s">
        <v>118</v>
      </c>
      <c r="P221" s="11" t="s">
        <v>323</v>
      </c>
      <c r="Q221" s="11" t="s">
        <v>126</v>
      </c>
      <c r="R221" s="11" t="s">
        <v>150</v>
      </c>
      <c r="S221" s="11" t="s">
        <v>994</v>
      </c>
      <c r="T221" s="11" t="s">
        <v>126</v>
      </c>
      <c r="U221" s="11" t="s">
        <v>994</v>
      </c>
      <c r="V221" s="11" t="s">
        <v>994</v>
      </c>
      <c r="W221" s="11" t="s">
        <v>994</v>
      </c>
      <c r="X221" s="11" t="s">
        <v>994</v>
      </c>
      <c r="Y221" s="11" t="s">
        <v>994</v>
      </c>
      <c r="Z221" s="11" t="s">
        <v>994</v>
      </c>
      <c r="AA221" s="11" t="s">
        <v>994</v>
      </c>
      <c r="AB221" s="11" t="s">
        <v>994</v>
      </c>
      <c r="AC221" s="11" t="s">
        <v>994</v>
      </c>
      <c r="AD221" s="11" t="s">
        <v>994</v>
      </c>
      <c r="AE221" s="11" t="s">
        <v>1804</v>
      </c>
    </row>
    <row r="222">
      <c r="B222" s="26" t="s">
        <v>49</v>
      </c>
      <c r="C222" s="12" t="s">
        <v>1560</v>
      </c>
      <c r="D222" s="11" t="s">
        <v>762</v>
      </c>
      <c r="E222" s="11" t="s">
        <v>763</v>
      </c>
      <c r="F222" s="12" t="s">
        <v>374</v>
      </c>
      <c r="G222" s="12" t="s">
        <v>246</v>
      </c>
      <c r="H222" s="12" t="s">
        <v>246</v>
      </c>
      <c r="I222" s="12" t="s">
        <v>60</v>
      </c>
      <c r="J222" s="12" t="s">
        <v>1018</v>
      </c>
      <c r="K222" s="12" t="s">
        <v>118</v>
      </c>
      <c r="L222" s="12" t="s">
        <v>247</v>
      </c>
      <c r="M222" s="12" t="s">
        <v>994</v>
      </c>
      <c r="N222" s="13" t="s">
        <v>764</v>
      </c>
      <c r="O222" s="11" t="s">
        <v>118</v>
      </c>
      <c r="P222" s="11" t="s">
        <v>323</v>
      </c>
      <c r="Q222" s="11" t="s">
        <v>126</v>
      </c>
      <c r="R222" s="11" t="s">
        <v>150</v>
      </c>
      <c r="S222" s="11" t="s">
        <v>994</v>
      </c>
      <c r="T222" s="11" t="s">
        <v>126</v>
      </c>
      <c r="U222" s="11" t="s">
        <v>994</v>
      </c>
      <c r="V222" s="11" t="s">
        <v>994</v>
      </c>
      <c r="W222" s="11" t="s">
        <v>994</v>
      </c>
      <c r="X222" s="11" t="s">
        <v>994</v>
      </c>
      <c r="Y222" s="11" t="s">
        <v>994</v>
      </c>
      <c r="Z222" s="11" t="s">
        <v>994</v>
      </c>
      <c r="AA222" s="11" t="s">
        <v>994</v>
      </c>
      <c r="AB222" s="11" t="s">
        <v>994</v>
      </c>
      <c r="AC222" s="11" t="s">
        <v>994</v>
      </c>
      <c r="AD222" s="11" t="s">
        <v>994</v>
      </c>
      <c r="AE222" s="11" t="s">
        <v>1804</v>
      </c>
    </row>
    <row r="223">
      <c r="B223" s="26" t="s">
        <v>49</v>
      </c>
      <c r="C223" s="12" t="s">
        <v>1561</v>
      </c>
      <c r="D223" s="11" t="s">
        <v>1294</v>
      </c>
      <c r="E223" s="11" t="s">
        <v>765</v>
      </c>
      <c r="F223" s="12" t="s">
        <v>411</v>
      </c>
      <c r="G223" s="12" t="s">
        <v>246</v>
      </c>
      <c r="H223" s="12" t="s">
        <v>246</v>
      </c>
      <c r="I223" s="12" t="s">
        <v>60</v>
      </c>
      <c r="J223" s="12" t="s">
        <v>1018</v>
      </c>
      <c r="K223" s="12" t="s">
        <v>118</v>
      </c>
      <c r="L223" s="12" t="s">
        <v>247</v>
      </c>
      <c r="M223" s="12" t="s">
        <v>994</v>
      </c>
      <c r="N223" s="13" t="s">
        <v>766</v>
      </c>
      <c r="O223" s="11" t="s">
        <v>118</v>
      </c>
      <c r="P223" s="11" t="s">
        <v>323</v>
      </c>
      <c r="Q223" s="11" t="s">
        <v>126</v>
      </c>
      <c r="R223" s="11" t="s">
        <v>150</v>
      </c>
      <c r="S223" s="11" t="s">
        <v>994</v>
      </c>
      <c r="T223" s="11" t="s">
        <v>126</v>
      </c>
      <c r="U223" s="11" t="s">
        <v>994</v>
      </c>
      <c r="V223" s="11" t="s">
        <v>994</v>
      </c>
      <c r="W223" s="11" t="s">
        <v>994</v>
      </c>
      <c r="X223" s="11" t="s">
        <v>994</v>
      </c>
      <c r="Y223" s="11" t="s">
        <v>994</v>
      </c>
      <c r="Z223" s="11" t="s">
        <v>994</v>
      </c>
      <c r="AA223" s="11" t="s">
        <v>994</v>
      </c>
      <c r="AB223" s="11" t="s">
        <v>994</v>
      </c>
      <c r="AC223" s="11" t="s">
        <v>994</v>
      </c>
      <c r="AD223" s="11" t="s">
        <v>994</v>
      </c>
      <c r="AE223" s="11" t="s">
        <v>1804</v>
      </c>
    </row>
    <row r="224">
      <c r="B224" s="26" t="s">
        <v>49</v>
      </c>
      <c r="C224" s="12" t="s">
        <v>1562</v>
      </c>
      <c r="D224" s="11" t="s">
        <v>767</v>
      </c>
      <c r="E224" s="11" t="s">
        <v>768</v>
      </c>
      <c r="F224" s="12" t="s">
        <v>332</v>
      </c>
      <c r="G224" s="12" t="s">
        <v>246</v>
      </c>
      <c r="H224" s="12" t="s">
        <v>246</v>
      </c>
      <c r="I224" s="12" t="s">
        <v>37</v>
      </c>
      <c r="J224" s="12" t="s">
        <v>1018</v>
      </c>
      <c r="K224" s="12" t="s">
        <v>1024</v>
      </c>
      <c r="L224" s="12" t="s">
        <v>247</v>
      </c>
      <c r="M224" s="12" t="s">
        <v>994</v>
      </c>
      <c r="N224" s="13" t="s">
        <v>769</v>
      </c>
      <c r="O224" s="11" t="s">
        <v>118</v>
      </c>
      <c r="P224" s="11" t="s">
        <v>323</v>
      </c>
      <c r="Q224" s="11" t="s">
        <v>126</v>
      </c>
      <c r="R224" s="11" t="s">
        <v>150</v>
      </c>
      <c r="S224" s="11" t="s">
        <v>994</v>
      </c>
      <c r="T224" s="11" t="s">
        <v>126</v>
      </c>
      <c r="U224" s="11" t="s">
        <v>994</v>
      </c>
      <c r="V224" s="11" t="s">
        <v>994</v>
      </c>
      <c r="W224" s="11" t="s">
        <v>994</v>
      </c>
      <c r="X224" s="11" t="s">
        <v>994</v>
      </c>
      <c r="Y224" s="11" t="s">
        <v>994</v>
      </c>
      <c r="Z224" s="11" t="s">
        <v>994</v>
      </c>
      <c r="AA224" s="11" t="s">
        <v>994</v>
      </c>
      <c r="AB224" s="11" t="s">
        <v>994</v>
      </c>
      <c r="AC224" s="11" t="s">
        <v>994</v>
      </c>
      <c r="AD224" s="11" t="s">
        <v>994</v>
      </c>
      <c r="AE224" s="11" t="s">
        <v>1804</v>
      </c>
    </row>
    <row r="225">
      <c r="B225" s="26" t="s">
        <v>49</v>
      </c>
      <c r="C225" s="12" t="s">
        <v>1563</v>
      </c>
      <c r="D225" s="11" t="s">
        <v>770</v>
      </c>
      <c r="E225" s="11" t="s">
        <v>768</v>
      </c>
      <c r="F225" s="12" t="s">
        <v>374</v>
      </c>
      <c r="G225" s="12" t="s">
        <v>246</v>
      </c>
      <c r="H225" s="12" t="s">
        <v>246</v>
      </c>
      <c r="I225" s="12" t="s">
        <v>37</v>
      </c>
      <c r="J225" s="12" t="s">
        <v>1018</v>
      </c>
      <c r="K225" s="12" t="s">
        <v>1024</v>
      </c>
      <c r="L225" s="12" t="s">
        <v>247</v>
      </c>
      <c r="M225" s="12" t="s">
        <v>994</v>
      </c>
      <c r="N225" s="13" t="s">
        <v>771</v>
      </c>
      <c r="O225" s="11" t="s">
        <v>118</v>
      </c>
      <c r="P225" s="11" t="s">
        <v>323</v>
      </c>
      <c r="Q225" s="11" t="s">
        <v>126</v>
      </c>
      <c r="R225" s="11" t="s">
        <v>150</v>
      </c>
      <c r="S225" s="11" t="s">
        <v>994</v>
      </c>
      <c r="T225" s="11" t="s">
        <v>126</v>
      </c>
      <c r="U225" s="11" t="s">
        <v>994</v>
      </c>
      <c r="V225" s="11" t="s">
        <v>994</v>
      </c>
      <c r="W225" s="11" t="s">
        <v>994</v>
      </c>
      <c r="X225" s="11" t="s">
        <v>994</v>
      </c>
      <c r="Y225" s="11" t="s">
        <v>994</v>
      </c>
      <c r="Z225" s="11" t="s">
        <v>994</v>
      </c>
      <c r="AA225" s="11" t="s">
        <v>994</v>
      </c>
      <c r="AB225" s="11" t="s">
        <v>994</v>
      </c>
      <c r="AC225" s="11" t="s">
        <v>994</v>
      </c>
      <c r="AD225" s="11" t="s">
        <v>994</v>
      </c>
      <c r="AE225" s="11" t="s">
        <v>1804</v>
      </c>
    </row>
    <row r="226">
      <c r="B226" s="26" t="s">
        <v>49</v>
      </c>
      <c r="C226" s="12" t="s">
        <v>1564</v>
      </c>
      <c r="D226" s="11" t="s">
        <v>772</v>
      </c>
      <c r="E226" s="11" t="s">
        <v>768</v>
      </c>
      <c r="F226" s="12" t="s">
        <v>557</v>
      </c>
      <c r="G226" s="12" t="s">
        <v>246</v>
      </c>
      <c r="H226" s="12" t="s">
        <v>246</v>
      </c>
      <c r="I226" s="12" t="s">
        <v>37</v>
      </c>
      <c r="J226" s="12" t="s">
        <v>1018</v>
      </c>
      <c r="K226" s="12" t="s">
        <v>1024</v>
      </c>
      <c r="L226" s="12" t="s">
        <v>247</v>
      </c>
      <c r="M226" s="12" t="s">
        <v>994</v>
      </c>
      <c r="N226" s="13" t="s">
        <v>773</v>
      </c>
      <c r="O226" s="11" t="s">
        <v>118</v>
      </c>
      <c r="P226" s="11" t="s">
        <v>323</v>
      </c>
      <c r="Q226" s="11" t="s">
        <v>126</v>
      </c>
      <c r="R226" s="11" t="s">
        <v>150</v>
      </c>
      <c r="S226" s="11" t="s">
        <v>994</v>
      </c>
      <c r="T226" s="11" t="s">
        <v>126</v>
      </c>
      <c r="U226" s="11" t="s">
        <v>994</v>
      </c>
      <c r="V226" s="11" t="s">
        <v>994</v>
      </c>
      <c r="W226" s="11" t="s">
        <v>994</v>
      </c>
      <c r="X226" s="11" t="s">
        <v>994</v>
      </c>
      <c r="Y226" s="11" t="s">
        <v>994</v>
      </c>
      <c r="Z226" s="11" t="s">
        <v>994</v>
      </c>
      <c r="AA226" s="11" t="s">
        <v>994</v>
      </c>
      <c r="AB226" s="11" t="s">
        <v>994</v>
      </c>
      <c r="AC226" s="11" t="s">
        <v>994</v>
      </c>
      <c r="AD226" s="11" t="s">
        <v>994</v>
      </c>
      <c r="AE226" s="11" t="s">
        <v>1804</v>
      </c>
    </row>
    <row r="227">
      <c r="B227" s="26" t="s">
        <v>314</v>
      </c>
      <c r="C227" s="12" t="s">
        <v>1565</v>
      </c>
      <c r="D227" s="11" t="s">
        <v>774</v>
      </c>
      <c r="E227" s="11" t="s">
        <v>775</v>
      </c>
      <c r="F227" s="12" t="s">
        <v>314</v>
      </c>
      <c r="G227" s="12" t="s">
        <v>246</v>
      </c>
      <c r="H227" s="12" t="s">
        <v>246</v>
      </c>
      <c r="I227" s="12" t="s">
        <v>60</v>
      </c>
      <c r="J227" s="12" t="s">
        <v>775</v>
      </c>
      <c r="K227" s="12" t="s">
        <v>118</v>
      </c>
      <c r="L227" s="12" t="s">
        <v>247</v>
      </c>
      <c r="M227" s="12" t="s">
        <v>994</v>
      </c>
      <c r="N227" s="13" t="s">
        <v>994</v>
      </c>
      <c r="O227" s="11" t="s">
        <v>118</v>
      </c>
      <c r="P227" s="11" t="s">
        <v>777</v>
      </c>
      <c r="Q227" s="11" t="s">
        <v>126</v>
      </c>
      <c r="R227" s="11" t="s">
        <v>150</v>
      </c>
      <c r="S227" s="11" t="s">
        <v>994</v>
      </c>
      <c r="T227" s="11" t="s">
        <v>126</v>
      </c>
      <c r="U227" s="11" t="s">
        <v>994</v>
      </c>
      <c r="V227" s="11" t="s">
        <v>994</v>
      </c>
      <c r="W227" s="11" t="s">
        <v>994</v>
      </c>
      <c r="X227" s="11" t="s">
        <v>994</v>
      </c>
      <c r="Y227" s="11" t="s">
        <v>994</v>
      </c>
      <c r="Z227" s="11" t="s">
        <v>994</v>
      </c>
      <c r="AA227" s="11" t="s">
        <v>994</v>
      </c>
      <c r="AB227" s="11" t="s">
        <v>994</v>
      </c>
      <c r="AC227" s="11" t="s">
        <v>994</v>
      </c>
      <c r="AD227" s="11" t="s">
        <v>994</v>
      </c>
      <c r="AE227" s="11" t="s">
        <v>1804</v>
      </c>
    </row>
    <row r="228">
      <c r="B228" s="26" t="s">
        <v>49</v>
      </c>
      <c r="C228" s="12" t="s">
        <v>1566</v>
      </c>
      <c r="D228" s="11" t="s">
        <v>779</v>
      </c>
      <c r="E228" s="11" t="s">
        <v>775</v>
      </c>
      <c r="F228" s="12" t="s">
        <v>435</v>
      </c>
      <c r="G228" s="12" t="s">
        <v>246</v>
      </c>
      <c r="H228" s="12" t="s">
        <v>246</v>
      </c>
      <c r="I228" s="12" t="s">
        <v>60</v>
      </c>
      <c r="J228" s="12" t="s">
        <v>775</v>
      </c>
      <c r="K228" s="12" t="s">
        <v>118</v>
      </c>
      <c r="L228" s="12" t="s">
        <v>247</v>
      </c>
      <c r="M228" s="12" t="s">
        <v>994</v>
      </c>
      <c r="N228" s="13" t="s">
        <v>994</v>
      </c>
      <c r="O228" s="11" t="s">
        <v>118</v>
      </c>
      <c r="P228" s="11" t="s">
        <v>777</v>
      </c>
      <c r="Q228" s="11" t="s">
        <v>126</v>
      </c>
      <c r="R228" s="11" t="s">
        <v>150</v>
      </c>
      <c r="S228" s="11" t="s">
        <v>994</v>
      </c>
      <c r="T228" s="11" t="s">
        <v>126</v>
      </c>
      <c r="U228" s="11" t="s">
        <v>994</v>
      </c>
      <c r="V228" s="11" t="s">
        <v>994</v>
      </c>
      <c r="W228" s="11" t="s">
        <v>994</v>
      </c>
      <c r="X228" s="11" t="s">
        <v>994</v>
      </c>
      <c r="Y228" s="11" t="s">
        <v>994</v>
      </c>
      <c r="Z228" s="11" t="s">
        <v>994</v>
      </c>
      <c r="AA228" s="11" t="s">
        <v>994</v>
      </c>
      <c r="AB228" s="11" t="s">
        <v>994</v>
      </c>
      <c r="AC228" s="11" t="s">
        <v>994</v>
      </c>
      <c r="AD228" s="11" t="s">
        <v>994</v>
      </c>
      <c r="AE228" s="11" t="s">
        <v>1804</v>
      </c>
    </row>
    <row r="229">
      <c r="B229" s="26" t="s">
        <v>49</v>
      </c>
      <c r="C229" s="12" t="s">
        <v>1567</v>
      </c>
      <c r="D229" s="11" t="s">
        <v>780</v>
      </c>
      <c r="E229" s="11" t="s">
        <v>775</v>
      </c>
      <c r="F229" s="12" t="s">
        <v>557</v>
      </c>
      <c r="G229" s="12" t="s">
        <v>246</v>
      </c>
      <c r="H229" s="12" t="s">
        <v>246</v>
      </c>
      <c r="I229" s="12" t="s">
        <v>60</v>
      </c>
      <c r="J229" s="12" t="s">
        <v>775</v>
      </c>
      <c r="K229" s="12" t="s">
        <v>118</v>
      </c>
      <c r="L229" s="12" t="s">
        <v>247</v>
      </c>
      <c r="M229" s="12" t="s">
        <v>994</v>
      </c>
      <c r="N229" s="13" t="s">
        <v>994</v>
      </c>
      <c r="O229" s="11" t="s">
        <v>118</v>
      </c>
      <c r="P229" s="11" t="s">
        <v>777</v>
      </c>
      <c r="Q229" s="11" t="s">
        <v>126</v>
      </c>
      <c r="R229" s="11" t="s">
        <v>150</v>
      </c>
      <c r="S229" s="11" t="s">
        <v>994</v>
      </c>
      <c r="T229" s="11" t="s">
        <v>126</v>
      </c>
      <c r="U229" s="11" t="s">
        <v>994</v>
      </c>
      <c r="V229" s="11" t="s">
        <v>994</v>
      </c>
      <c r="W229" s="11" t="s">
        <v>994</v>
      </c>
      <c r="X229" s="11" t="s">
        <v>994</v>
      </c>
      <c r="Y229" s="11" t="s">
        <v>994</v>
      </c>
      <c r="Z229" s="11" t="s">
        <v>994</v>
      </c>
      <c r="AA229" s="11" t="s">
        <v>994</v>
      </c>
      <c r="AB229" s="11" t="s">
        <v>994</v>
      </c>
      <c r="AC229" s="11" t="s">
        <v>994</v>
      </c>
      <c r="AD229" s="11" t="s">
        <v>994</v>
      </c>
      <c r="AE229" s="11" t="s">
        <v>1804</v>
      </c>
    </row>
    <row r="230">
      <c r="B230" s="26" t="s">
        <v>49</v>
      </c>
      <c r="C230" s="12" t="s">
        <v>1568</v>
      </c>
      <c r="D230" s="11" t="s">
        <v>782</v>
      </c>
      <c r="E230" s="11" t="s">
        <v>775</v>
      </c>
      <c r="F230" s="12" t="s">
        <v>447</v>
      </c>
      <c r="G230" s="12" t="s">
        <v>246</v>
      </c>
      <c r="H230" s="12" t="s">
        <v>246</v>
      </c>
      <c r="I230" s="12" t="s">
        <v>60</v>
      </c>
      <c r="J230" s="12" t="s">
        <v>775</v>
      </c>
      <c r="K230" s="12" t="s">
        <v>118</v>
      </c>
      <c r="L230" s="12" t="s">
        <v>247</v>
      </c>
      <c r="M230" s="12" t="s">
        <v>994</v>
      </c>
      <c r="N230" s="13" t="s">
        <v>994</v>
      </c>
      <c r="O230" s="11" t="s">
        <v>118</v>
      </c>
      <c r="P230" s="11" t="s">
        <v>777</v>
      </c>
      <c r="Q230" s="11" t="s">
        <v>126</v>
      </c>
      <c r="R230" s="11" t="s">
        <v>150</v>
      </c>
      <c r="S230" s="11" t="s">
        <v>994</v>
      </c>
      <c r="T230" s="11" t="s">
        <v>126</v>
      </c>
      <c r="U230" s="11" t="s">
        <v>994</v>
      </c>
      <c r="V230" s="11" t="s">
        <v>994</v>
      </c>
      <c r="W230" s="11" t="s">
        <v>994</v>
      </c>
      <c r="X230" s="11" t="s">
        <v>994</v>
      </c>
      <c r="Y230" s="11" t="s">
        <v>994</v>
      </c>
      <c r="Z230" s="11" t="s">
        <v>994</v>
      </c>
      <c r="AA230" s="11" t="s">
        <v>994</v>
      </c>
      <c r="AB230" s="11" t="s">
        <v>994</v>
      </c>
      <c r="AC230" s="11" t="s">
        <v>994</v>
      </c>
      <c r="AD230" s="11" t="s">
        <v>994</v>
      </c>
      <c r="AE230" s="11" t="s">
        <v>1804</v>
      </c>
    </row>
    <row r="231">
      <c r="B231" s="26" t="s">
        <v>49</v>
      </c>
      <c r="C231" s="12" t="s">
        <v>1569</v>
      </c>
      <c r="D231" s="11" t="s">
        <v>783</v>
      </c>
      <c r="E231" s="11" t="s">
        <v>775</v>
      </c>
      <c r="F231" s="12" t="s">
        <v>450</v>
      </c>
      <c r="G231" s="12" t="s">
        <v>246</v>
      </c>
      <c r="H231" s="12" t="s">
        <v>246</v>
      </c>
      <c r="I231" s="12" t="s">
        <v>60</v>
      </c>
      <c r="J231" s="12" t="s">
        <v>775</v>
      </c>
      <c r="K231" s="12" t="s">
        <v>118</v>
      </c>
      <c r="L231" s="12" t="s">
        <v>247</v>
      </c>
      <c r="M231" s="12" t="s">
        <v>994</v>
      </c>
      <c r="N231" s="13" t="s">
        <v>1716</v>
      </c>
      <c r="O231" s="11" t="s">
        <v>118</v>
      </c>
      <c r="P231" s="11" t="s">
        <v>777</v>
      </c>
      <c r="Q231" s="11" t="s">
        <v>126</v>
      </c>
      <c r="R231" s="11" t="s">
        <v>150</v>
      </c>
      <c r="S231" s="11" t="s">
        <v>994</v>
      </c>
      <c r="T231" s="11" t="s">
        <v>126</v>
      </c>
      <c r="U231" s="11" t="s">
        <v>994</v>
      </c>
      <c r="V231" s="11" t="s">
        <v>994</v>
      </c>
      <c r="W231" s="11" t="s">
        <v>994</v>
      </c>
      <c r="X231" s="11" t="s">
        <v>994</v>
      </c>
      <c r="Y231" s="11" t="s">
        <v>994</v>
      </c>
      <c r="Z231" s="11" t="s">
        <v>994</v>
      </c>
      <c r="AA231" s="11" t="s">
        <v>994</v>
      </c>
      <c r="AB231" s="11" t="s">
        <v>994</v>
      </c>
      <c r="AC231" s="11" t="s">
        <v>994</v>
      </c>
      <c r="AD231" s="11" t="s">
        <v>994</v>
      </c>
      <c r="AE231" s="11" t="s">
        <v>1804</v>
      </c>
    </row>
    <row r="232">
      <c r="B232" s="26" t="s">
        <v>49</v>
      </c>
      <c r="C232" s="12" t="s">
        <v>1570</v>
      </c>
      <c r="D232" s="11" t="s">
        <v>785</v>
      </c>
      <c r="E232" s="11" t="s">
        <v>775</v>
      </c>
      <c r="F232" s="12" t="s">
        <v>450</v>
      </c>
      <c r="G232" s="12" t="s">
        <v>246</v>
      </c>
      <c r="H232" s="12" t="s">
        <v>246</v>
      </c>
      <c r="I232" s="12" t="s">
        <v>60</v>
      </c>
      <c r="J232" s="12" t="s">
        <v>775</v>
      </c>
      <c r="K232" s="12" t="s">
        <v>118</v>
      </c>
      <c r="L232" s="12" t="s">
        <v>247</v>
      </c>
      <c r="M232" s="12" t="s">
        <v>994</v>
      </c>
      <c r="N232" s="13" t="s">
        <v>1717</v>
      </c>
      <c r="O232" s="11" t="s">
        <v>118</v>
      </c>
      <c r="P232" s="11" t="s">
        <v>777</v>
      </c>
      <c r="Q232" s="11" t="s">
        <v>126</v>
      </c>
      <c r="R232" s="11" t="s">
        <v>150</v>
      </c>
      <c r="S232" s="11" t="s">
        <v>994</v>
      </c>
      <c r="T232" s="11" t="s">
        <v>126</v>
      </c>
      <c r="U232" s="11" t="s">
        <v>994</v>
      </c>
      <c r="V232" s="11" t="s">
        <v>994</v>
      </c>
      <c r="W232" s="11" t="s">
        <v>994</v>
      </c>
      <c r="X232" s="11" t="s">
        <v>994</v>
      </c>
      <c r="Y232" s="11" t="s">
        <v>994</v>
      </c>
      <c r="Z232" s="11" t="s">
        <v>994</v>
      </c>
      <c r="AA232" s="11" t="s">
        <v>994</v>
      </c>
      <c r="AB232" s="11" t="s">
        <v>994</v>
      </c>
      <c r="AC232" s="11" t="s">
        <v>994</v>
      </c>
      <c r="AD232" s="11" t="s">
        <v>994</v>
      </c>
      <c r="AE232" s="11" t="s">
        <v>1804</v>
      </c>
    </row>
    <row r="233">
      <c r="B233" s="26" t="s">
        <v>291</v>
      </c>
      <c r="C233" s="12" t="s">
        <v>1571</v>
      </c>
      <c r="D233" s="11" t="s">
        <v>786</v>
      </c>
      <c r="E233" s="11" t="s">
        <v>775</v>
      </c>
      <c r="F233" s="12" t="s">
        <v>291</v>
      </c>
      <c r="G233" s="12" t="s">
        <v>246</v>
      </c>
      <c r="H233" s="12" t="s">
        <v>246</v>
      </c>
      <c r="I233" s="12" t="s">
        <v>60</v>
      </c>
      <c r="J233" s="12" t="s">
        <v>775</v>
      </c>
      <c r="K233" s="12" t="s">
        <v>118</v>
      </c>
      <c r="L233" s="12" t="s">
        <v>247</v>
      </c>
      <c r="M233" s="12" t="s">
        <v>994</v>
      </c>
      <c r="N233" s="13" t="s">
        <v>1718</v>
      </c>
      <c r="O233" s="11" t="s">
        <v>118</v>
      </c>
      <c r="P233" s="11" t="s">
        <v>777</v>
      </c>
      <c r="Q233" s="11" t="s">
        <v>125</v>
      </c>
      <c r="R233" s="11" t="s">
        <v>150</v>
      </c>
      <c r="S233" s="11" t="s">
        <v>994</v>
      </c>
      <c r="T233" s="11" t="s">
        <v>125</v>
      </c>
      <c r="U233" s="11" t="s">
        <v>38</v>
      </c>
      <c r="V233" s="11" t="s">
        <v>1753</v>
      </c>
      <c r="W233" s="11" t="s">
        <v>994</v>
      </c>
      <c r="X233" s="11" t="s">
        <v>994</v>
      </c>
      <c r="Y233" s="11" t="s">
        <v>994</v>
      </c>
      <c r="Z233" s="11" t="s">
        <v>994</v>
      </c>
      <c r="AA233" s="11" t="s">
        <v>994</v>
      </c>
      <c r="AB233" s="11" t="s">
        <v>994</v>
      </c>
      <c r="AC233" s="11" t="s">
        <v>994</v>
      </c>
      <c r="AD233" s="11" t="s">
        <v>994</v>
      </c>
      <c r="AE233" s="11" t="s">
        <v>995</v>
      </c>
    </row>
    <row r="234">
      <c r="B234" s="26" t="s">
        <v>278</v>
      </c>
      <c r="C234" s="12" t="s">
        <v>1572</v>
      </c>
      <c r="D234" s="11" t="s">
        <v>788</v>
      </c>
      <c r="E234" s="11" t="s">
        <v>775</v>
      </c>
      <c r="F234" s="12" t="s">
        <v>278</v>
      </c>
      <c r="G234" s="12" t="s">
        <v>246</v>
      </c>
      <c r="H234" s="12" t="s">
        <v>246</v>
      </c>
      <c r="I234" s="12" t="s">
        <v>60</v>
      </c>
      <c r="J234" s="12" t="s">
        <v>775</v>
      </c>
      <c r="K234" s="12" t="s">
        <v>118</v>
      </c>
      <c r="L234" s="12" t="s">
        <v>247</v>
      </c>
      <c r="M234" s="12" t="s">
        <v>994</v>
      </c>
      <c r="N234" s="13" t="s">
        <v>1719</v>
      </c>
      <c r="O234" s="11" t="s">
        <v>118</v>
      </c>
      <c r="P234" s="11" t="s">
        <v>777</v>
      </c>
      <c r="Q234" s="11" t="s">
        <v>126</v>
      </c>
      <c r="R234" s="11" t="s">
        <v>150</v>
      </c>
      <c r="S234" s="11" t="s">
        <v>994</v>
      </c>
      <c r="T234" s="11" t="s">
        <v>126</v>
      </c>
      <c r="U234" s="11" t="s">
        <v>994</v>
      </c>
      <c r="V234" s="11" t="s">
        <v>994</v>
      </c>
      <c r="W234" s="11" t="s">
        <v>994</v>
      </c>
      <c r="X234" s="11" t="s">
        <v>994</v>
      </c>
      <c r="Y234" s="11" t="s">
        <v>994</v>
      </c>
      <c r="Z234" s="11" t="s">
        <v>994</v>
      </c>
      <c r="AA234" s="11" t="s">
        <v>994</v>
      </c>
      <c r="AB234" s="11" t="s">
        <v>994</v>
      </c>
      <c r="AC234" s="11" t="s">
        <v>994</v>
      </c>
      <c r="AD234" s="11" t="s">
        <v>994</v>
      </c>
      <c r="AE234" s="11" t="s">
        <v>1804</v>
      </c>
    </row>
    <row r="235">
      <c r="B235" s="26" t="s">
        <v>49</v>
      </c>
      <c r="C235" s="12" t="s">
        <v>1573</v>
      </c>
      <c r="D235" s="11" t="s">
        <v>789</v>
      </c>
      <c r="E235" s="11" t="s">
        <v>775</v>
      </c>
      <c r="F235" s="12" t="s">
        <v>374</v>
      </c>
      <c r="G235" s="12" t="s">
        <v>246</v>
      </c>
      <c r="H235" s="12" t="s">
        <v>246</v>
      </c>
      <c r="I235" s="12" t="s">
        <v>60</v>
      </c>
      <c r="J235" s="12" t="s">
        <v>775</v>
      </c>
      <c r="K235" s="12" t="s">
        <v>118</v>
      </c>
      <c r="L235" s="12" t="s">
        <v>247</v>
      </c>
      <c r="M235" s="12" t="s">
        <v>994</v>
      </c>
      <c r="N235" s="13" t="s">
        <v>1720</v>
      </c>
      <c r="O235" s="11" t="s">
        <v>118</v>
      </c>
      <c r="P235" s="11" t="s">
        <v>777</v>
      </c>
      <c r="Q235" s="11" t="s">
        <v>126</v>
      </c>
      <c r="R235" s="11" t="s">
        <v>150</v>
      </c>
      <c r="S235" s="11" t="s">
        <v>994</v>
      </c>
      <c r="T235" s="11" t="s">
        <v>126</v>
      </c>
      <c r="U235" s="11" t="s">
        <v>994</v>
      </c>
      <c r="V235" s="11" t="s">
        <v>994</v>
      </c>
      <c r="W235" s="11" t="s">
        <v>994</v>
      </c>
      <c r="X235" s="11" t="s">
        <v>994</v>
      </c>
      <c r="Y235" s="11" t="s">
        <v>994</v>
      </c>
      <c r="Z235" s="11" t="s">
        <v>994</v>
      </c>
      <c r="AA235" s="11" t="s">
        <v>994</v>
      </c>
      <c r="AB235" s="11" t="s">
        <v>994</v>
      </c>
      <c r="AC235" s="11" t="s">
        <v>994</v>
      </c>
      <c r="AD235" s="11" t="s">
        <v>994</v>
      </c>
      <c r="AE235" s="11" t="s">
        <v>1804</v>
      </c>
    </row>
    <row r="236">
      <c r="B236" s="26" t="s">
        <v>49</v>
      </c>
      <c r="C236" s="12" t="s">
        <v>1574</v>
      </c>
      <c r="D236" s="11" t="s">
        <v>790</v>
      </c>
      <c r="E236" s="11" t="s">
        <v>775</v>
      </c>
      <c r="F236" s="12" t="s">
        <v>411</v>
      </c>
      <c r="G236" s="12" t="s">
        <v>246</v>
      </c>
      <c r="H236" s="12" t="s">
        <v>246</v>
      </c>
      <c r="I236" s="12" t="s">
        <v>60</v>
      </c>
      <c r="J236" s="12" t="s">
        <v>775</v>
      </c>
      <c r="K236" s="12" t="s">
        <v>118</v>
      </c>
      <c r="L236" s="12" t="s">
        <v>247</v>
      </c>
      <c r="M236" s="12" t="s">
        <v>994</v>
      </c>
      <c r="N236" s="13" t="s">
        <v>1721</v>
      </c>
      <c r="O236" s="11" t="s">
        <v>118</v>
      </c>
      <c r="P236" s="11" t="s">
        <v>777</v>
      </c>
      <c r="Q236" s="11" t="s">
        <v>126</v>
      </c>
      <c r="R236" s="11" t="s">
        <v>150</v>
      </c>
      <c r="S236" s="11" t="s">
        <v>994</v>
      </c>
      <c r="T236" s="11" t="s">
        <v>126</v>
      </c>
      <c r="U236" s="11" t="s">
        <v>994</v>
      </c>
      <c r="V236" s="11" t="s">
        <v>994</v>
      </c>
      <c r="W236" s="11" t="s">
        <v>994</v>
      </c>
      <c r="X236" s="11" t="s">
        <v>994</v>
      </c>
      <c r="Y236" s="11" t="s">
        <v>994</v>
      </c>
      <c r="Z236" s="11" t="s">
        <v>994</v>
      </c>
      <c r="AA236" s="11" t="s">
        <v>994</v>
      </c>
      <c r="AB236" s="11" t="s">
        <v>994</v>
      </c>
      <c r="AC236" s="11" t="s">
        <v>994</v>
      </c>
      <c r="AD236" s="11" t="s">
        <v>994</v>
      </c>
      <c r="AE236" s="11" t="s">
        <v>1804</v>
      </c>
    </row>
    <row r="237">
      <c r="B237" s="26" t="s">
        <v>49</v>
      </c>
      <c r="C237" s="12" t="s">
        <v>1575</v>
      </c>
      <c r="D237" s="11" t="s">
        <v>791</v>
      </c>
      <c r="E237" s="11" t="s">
        <v>775</v>
      </c>
      <c r="F237" s="12" t="s">
        <v>332</v>
      </c>
      <c r="G237" s="12" t="s">
        <v>246</v>
      </c>
      <c r="H237" s="12" t="s">
        <v>246</v>
      </c>
      <c r="I237" s="12" t="s">
        <v>60</v>
      </c>
      <c r="J237" s="12" t="s">
        <v>775</v>
      </c>
      <c r="K237" s="12" t="s">
        <v>118</v>
      </c>
      <c r="L237" s="12" t="s">
        <v>247</v>
      </c>
      <c r="M237" s="12" t="s">
        <v>994</v>
      </c>
      <c r="N237" s="13" t="s">
        <v>1722</v>
      </c>
      <c r="O237" s="11" t="s">
        <v>118</v>
      </c>
      <c r="P237" s="11" t="s">
        <v>777</v>
      </c>
      <c r="Q237" s="11" t="s">
        <v>126</v>
      </c>
      <c r="R237" s="11" t="s">
        <v>150</v>
      </c>
      <c r="S237" s="11" t="s">
        <v>994</v>
      </c>
      <c r="T237" s="11" t="s">
        <v>126</v>
      </c>
      <c r="U237" s="11" t="s">
        <v>994</v>
      </c>
      <c r="V237" s="11" t="s">
        <v>994</v>
      </c>
      <c r="W237" s="11" t="s">
        <v>994</v>
      </c>
      <c r="X237" s="11" t="s">
        <v>994</v>
      </c>
      <c r="Y237" s="11" t="s">
        <v>994</v>
      </c>
      <c r="Z237" s="11" t="s">
        <v>994</v>
      </c>
      <c r="AA237" s="11" t="s">
        <v>994</v>
      </c>
      <c r="AB237" s="11" t="s">
        <v>994</v>
      </c>
      <c r="AC237" s="11" t="s">
        <v>994</v>
      </c>
      <c r="AD237" s="11" t="s">
        <v>994</v>
      </c>
      <c r="AE237" s="11" t="s">
        <v>1804</v>
      </c>
    </row>
    <row r="238">
      <c r="B238" s="26" t="s">
        <v>49</v>
      </c>
      <c r="C238" s="12" t="s">
        <v>1576</v>
      </c>
      <c r="D238" s="11" t="s">
        <v>792</v>
      </c>
      <c r="E238" s="11" t="s">
        <v>775</v>
      </c>
      <c r="F238" s="12" t="s">
        <v>374</v>
      </c>
      <c r="G238" s="12" t="s">
        <v>246</v>
      </c>
      <c r="H238" s="12" t="s">
        <v>246</v>
      </c>
      <c r="I238" s="12" t="s">
        <v>60</v>
      </c>
      <c r="J238" s="12" t="s">
        <v>775</v>
      </c>
      <c r="K238" s="12" t="s">
        <v>118</v>
      </c>
      <c r="L238" s="12" t="s">
        <v>247</v>
      </c>
      <c r="M238" s="12" t="s">
        <v>994</v>
      </c>
      <c r="N238" s="13" t="s">
        <v>1723</v>
      </c>
      <c r="O238" s="11" t="s">
        <v>118</v>
      </c>
      <c r="P238" s="11" t="s">
        <v>777</v>
      </c>
      <c r="Q238" s="11" t="s">
        <v>126</v>
      </c>
      <c r="R238" s="11" t="s">
        <v>150</v>
      </c>
      <c r="S238" s="11" t="s">
        <v>994</v>
      </c>
      <c r="T238" s="11" t="s">
        <v>126</v>
      </c>
      <c r="U238" s="11" t="s">
        <v>994</v>
      </c>
      <c r="V238" s="11" t="s">
        <v>994</v>
      </c>
      <c r="W238" s="11" t="s">
        <v>994</v>
      </c>
      <c r="X238" s="11" t="s">
        <v>994</v>
      </c>
      <c r="Y238" s="11" t="s">
        <v>994</v>
      </c>
      <c r="Z238" s="11" t="s">
        <v>994</v>
      </c>
      <c r="AA238" s="11" t="s">
        <v>994</v>
      </c>
      <c r="AB238" s="11" t="s">
        <v>994</v>
      </c>
      <c r="AC238" s="11" t="s">
        <v>994</v>
      </c>
      <c r="AD238" s="11" t="s">
        <v>994</v>
      </c>
      <c r="AE238" s="11" t="s">
        <v>1804</v>
      </c>
    </row>
    <row r="239">
      <c r="B239" s="26" t="s">
        <v>49</v>
      </c>
      <c r="C239" s="12" t="s">
        <v>1577</v>
      </c>
      <c r="D239" s="11" t="s">
        <v>793</v>
      </c>
      <c r="E239" s="11" t="s">
        <v>775</v>
      </c>
      <c r="F239" s="12" t="s">
        <v>557</v>
      </c>
      <c r="G239" s="12" t="s">
        <v>246</v>
      </c>
      <c r="H239" s="12" t="s">
        <v>246</v>
      </c>
      <c r="I239" s="12" t="s">
        <v>60</v>
      </c>
      <c r="J239" s="12" t="s">
        <v>775</v>
      </c>
      <c r="K239" s="12" t="s">
        <v>118</v>
      </c>
      <c r="L239" s="12" t="s">
        <v>247</v>
      </c>
      <c r="M239" s="12" t="s">
        <v>994</v>
      </c>
      <c r="N239" s="13" t="s">
        <v>1724</v>
      </c>
      <c r="O239" s="11" t="s">
        <v>118</v>
      </c>
      <c r="P239" s="11" t="s">
        <v>777</v>
      </c>
      <c r="Q239" s="11" t="s">
        <v>126</v>
      </c>
      <c r="R239" s="11" t="s">
        <v>150</v>
      </c>
      <c r="S239" s="11" t="s">
        <v>994</v>
      </c>
      <c r="T239" s="11" t="s">
        <v>126</v>
      </c>
      <c r="U239" s="11" t="s">
        <v>994</v>
      </c>
      <c r="V239" s="11" t="s">
        <v>994</v>
      </c>
      <c r="W239" s="11" t="s">
        <v>994</v>
      </c>
      <c r="X239" s="11" t="s">
        <v>994</v>
      </c>
      <c r="Y239" s="11" t="s">
        <v>994</v>
      </c>
      <c r="Z239" s="11" t="s">
        <v>994</v>
      </c>
      <c r="AA239" s="11" t="s">
        <v>994</v>
      </c>
      <c r="AB239" s="11" t="s">
        <v>994</v>
      </c>
      <c r="AC239" s="11" t="s">
        <v>994</v>
      </c>
      <c r="AD239" s="11" t="s">
        <v>994</v>
      </c>
      <c r="AE239" s="11" t="s">
        <v>1804</v>
      </c>
    </row>
    <row r="240">
      <c r="B240" s="26" t="s">
        <v>49</v>
      </c>
      <c r="C240" s="12" t="s">
        <v>1578</v>
      </c>
      <c r="D240" s="11" t="s">
        <v>794</v>
      </c>
      <c r="E240" s="11" t="s">
        <v>775</v>
      </c>
      <c r="F240" s="12" t="s">
        <v>776</v>
      </c>
      <c r="G240" s="12" t="s">
        <v>246</v>
      </c>
      <c r="H240" s="12" t="s">
        <v>246</v>
      </c>
      <c r="I240" s="12" t="s">
        <v>60</v>
      </c>
      <c r="J240" s="12" t="s">
        <v>775</v>
      </c>
      <c r="K240" s="12" t="s">
        <v>118</v>
      </c>
      <c r="L240" s="12" t="s">
        <v>247</v>
      </c>
      <c r="M240" s="12" t="s">
        <v>994</v>
      </c>
      <c r="N240" s="13" t="s">
        <v>1725</v>
      </c>
      <c r="O240" s="11" t="s">
        <v>118</v>
      </c>
      <c r="P240" s="11" t="s">
        <v>777</v>
      </c>
      <c r="Q240" s="11" t="s">
        <v>126</v>
      </c>
      <c r="R240" s="11" t="s">
        <v>150</v>
      </c>
      <c r="S240" s="11" t="s">
        <v>994</v>
      </c>
      <c r="T240" s="11" t="s">
        <v>126</v>
      </c>
      <c r="U240" s="11" t="s">
        <v>994</v>
      </c>
      <c r="V240" s="11" t="s">
        <v>994</v>
      </c>
      <c r="W240" s="11" t="s">
        <v>994</v>
      </c>
      <c r="X240" s="11" t="s">
        <v>994</v>
      </c>
      <c r="Y240" s="11" t="s">
        <v>994</v>
      </c>
      <c r="Z240" s="11" t="s">
        <v>994</v>
      </c>
      <c r="AA240" s="11" t="s">
        <v>994</v>
      </c>
      <c r="AB240" s="11" t="s">
        <v>994</v>
      </c>
      <c r="AC240" s="11" t="s">
        <v>994</v>
      </c>
      <c r="AD240" s="11" t="s">
        <v>994</v>
      </c>
      <c r="AE240" s="11" t="s">
        <v>1804</v>
      </c>
    </row>
    <row r="241">
      <c r="B241" s="26" t="s">
        <v>49</v>
      </c>
      <c r="C241" s="12" t="s">
        <v>1579</v>
      </c>
      <c r="D241" s="11" t="s">
        <v>795</v>
      </c>
      <c r="E241" s="11" t="s">
        <v>775</v>
      </c>
      <c r="F241" s="12" t="s">
        <v>499</v>
      </c>
      <c r="G241" s="12" t="s">
        <v>246</v>
      </c>
      <c r="H241" s="12" t="s">
        <v>246</v>
      </c>
      <c r="I241" s="12" t="s">
        <v>60</v>
      </c>
      <c r="J241" s="12" t="s">
        <v>775</v>
      </c>
      <c r="K241" s="12" t="s">
        <v>118</v>
      </c>
      <c r="L241" s="12" t="s">
        <v>247</v>
      </c>
      <c r="M241" s="12" t="s">
        <v>994</v>
      </c>
      <c r="N241" s="13" t="s">
        <v>1726</v>
      </c>
      <c r="O241" s="11" t="s">
        <v>118</v>
      </c>
      <c r="P241" s="11" t="s">
        <v>777</v>
      </c>
      <c r="Q241" s="11" t="s">
        <v>126</v>
      </c>
      <c r="R241" s="11" t="s">
        <v>150</v>
      </c>
      <c r="S241" s="11" t="s">
        <v>994</v>
      </c>
      <c r="T241" s="11" t="s">
        <v>126</v>
      </c>
      <c r="U241" s="11" t="s">
        <v>994</v>
      </c>
      <c r="V241" s="11" t="s">
        <v>994</v>
      </c>
      <c r="W241" s="11" t="s">
        <v>994</v>
      </c>
      <c r="X241" s="11" t="s">
        <v>994</v>
      </c>
      <c r="Y241" s="11" t="s">
        <v>994</v>
      </c>
      <c r="Z241" s="11" t="s">
        <v>994</v>
      </c>
      <c r="AA241" s="11" t="s">
        <v>994</v>
      </c>
      <c r="AB241" s="11" t="s">
        <v>994</v>
      </c>
      <c r="AC241" s="11" t="s">
        <v>994</v>
      </c>
      <c r="AD241" s="11" t="s">
        <v>994</v>
      </c>
      <c r="AE241" s="11" t="s">
        <v>1804</v>
      </c>
    </row>
    <row r="242">
      <c r="B242" s="26" t="s">
        <v>49</v>
      </c>
      <c r="C242" s="12" t="s">
        <v>1580</v>
      </c>
      <c r="D242" s="11" t="s">
        <v>796</v>
      </c>
      <c r="E242" s="11" t="s">
        <v>775</v>
      </c>
      <c r="F242" s="12" t="s">
        <v>286</v>
      </c>
      <c r="G242" s="12" t="s">
        <v>246</v>
      </c>
      <c r="H242" s="12" t="s">
        <v>246</v>
      </c>
      <c r="I242" s="12" t="s">
        <v>60</v>
      </c>
      <c r="J242" s="12" t="s">
        <v>775</v>
      </c>
      <c r="K242" s="12" t="s">
        <v>118</v>
      </c>
      <c r="L242" s="12" t="s">
        <v>247</v>
      </c>
      <c r="M242" s="12" t="s">
        <v>994</v>
      </c>
      <c r="N242" s="13" t="s">
        <v>1727</v>
      </c>
      <c r="O242" s="11" t="s">
        <v>118</v>
      </c>
      <c r="P242" s="11" t="s">
        <v>777</v>
      </c>
      <c r="Q242" s="11" t="s">
        <v>126</v>
      </c>
      <c r="R242" s="11" t="s">
        <v>150</v>
      </c>
      <c r="S242" s="11" t="s">
        <v>994</v>
      </c>
      <c r="T242" s="11" t="s">
        <v>126</v>
      </c>
      <c r="U242" s="11" t="s">
        <v>994</v>
      </c>
      <c r="V242" s="11" t="s">
        <v>994</v>
      </c>
      <c r="W242" s="11" t="s">
        <v>994</v>
      </c>
      <c r="X242" s="11" t="s">
        <v>994</v>
      </c>
      <c r="Y242" s="11" t="s">
        <v>994</v>
      </c>
      <c r="Z242" s="11" t="s">
        <v>994</v>
      </c>
      <c r="AA242" s="11" t="s">
        <v>994</v>
      </c>
      <c r="AB242" s="11" t="s">
        <v>994</v>
      </c>
      <c r="AC242" s="11" t="s">
        <v>994</v>
      </c>
      <c r="AD242" s="11" t="s">
        <v>994</v>
      </c>
      <c r="AE242" s="11" t="s">
        <v>1804</v>
      </c>
    </row>
    <row r="243">
      <c r="B243" s="26" t="s">
        <v>49</v>
      </c>
      <c r="C243" s="12" t="s">
        <v>1581</v>
      </c>
      <c r="D243" s="11" t="s">
        <v>797</v>
      </c>
      <c r="E243" s="11" t="s">
        <v>775</v>
      </c>
      <c r="F243" s="12" t="s">
        <v>447</v>
      </c>
      <c r="G243" s="12" t="s">
        <v>246</v>
      </c>
      <c r="H243" s="12" t="s">
        <v>246</v>
      </c>
      <c r="I243" s="12" t="s">
        <v>60</v>
      </c>
      <c r="J243" s="12" t="s">
        <v>775</v>
      </c>
      <c r="K243" s="12" t="s">
        <v>118</v>
      </c>
      <c r="L243" s="12" t="s">
        <v>247</v>
      </c>
      <c r="M243" s="12" t="s">
        <v>994</v>
      </c>
      <c r="N243" s="13" t="s">
        <v>1728</v>
      </c>
      <c r="O243" s="11" t="s">
        <v>118</v>
      </c>
      <c r="P243" s="11" t="s">
        <v>777</v>
      </c>
      <c r="Q243" s="11" t="s">
        <v>126</v>
      </c>
      <c r="R243" s="11" t="s">
        <v>150</v>
      </c>
      <c r="S243" s="11" t="s">
        <v>994</v>
      </c>
      <c r="T243" s="11" t="s">
        <v>126</v>
      </c>
      <c r="U243" s="11" t="s">
        <v>994</v>
      </c>
      <c r="V243" s="11" t="s">
        <v>994</v>
      </c>
      <c r="W243" s="11" t="s">
        <v>994</v>
      </c>
      <c r="X243" s="11" t="s">
        <v>994</v>
      </c>
      <c r="Y243" s="11" t="s">
        <v>994</v>
      </c>
      <c r="Z243" s="11" t="s">
        <v>994</v>
      </c>
      <c r="AA243" s="11" t="s">
        <v>994</v>
      </c>
      <c r="AB243" s="11" t="s">
        <v>994</v>
      </c>
      <c r="AC243" s="11" t="s">
        <v>994</v>
      </c>
      <c r="AD243" s="11" t="s">
        <v>994</v>
      </c>
      <c r="AE243" s="11" t="s">
        <v>1804</v>
      </c>
    </row>
    <row r="244">
      <c r="B244" s="26" t="s">
        <v>49</v>
      </c>
      <c r="C244" s="12" t="s">
        <v>1582</v>
      </c>
      <c r="D244" s="11" t="s">
        <v>798</v>
      </c>
      <c r="E244" s="11" t="s">
        <v>775</v>
      </c>
      <c r="F244" s="12" t="s">
        <v>781</v>
      </c>
      <c r="G244" s="12" t="s">
        <v>246</v>
      </c>
      <c r="H244" s="12" t="s">
        <v>246</v>
      </c>
      <c r="I244" s="12" t="s">
        <v>60</v>
      </c>
      <c r="J244" s="12" t="s">
        <v>775</v>
      </c>
      <c r="K244" s="12" t="s">
        <v>118</v>
      </c>
      <c r="L244" s="12" t="s">
        <v>247</v>
      </c>
      <c r="M244" s="12" t="s">
        <v>994</v>
      </c>
      <c r="N244" s="13" t="s">
        <v>1729</v>
      </c>
      <c r="O244" s="11" t="s">
        <v>118</v>
      </c>
      <c r="P244" s="11" t="s">
        <v>777</v>
      </c>
      <c r="Q244" s="11" t="s">
        <v>126</v>
      </c>
      <c r="R244" s="11" t="s">
        <v>150</v>
      </c>
      <c r="S244" s="11" t="s">
        <v>994</v>
      </c>
      <c r="T244" s="11" t="s">
        <v>126</v>
      </c>
      <c r="U244" s="11" t="s">
        <v>994</v>
      </c>
      <c r="V244" s="11" t="s">
        <v>994</v>
      </c>
      <c r="W244" s="11" t="s">
        <v>994</v>
      </c>
      <c r="X244" s="11" t="s">
        <v>994</v>
      </c>
      <c r="Y244" s="11" t="s">
        <v>994</v>
      </c>
      <c r="Z244" s="11" t="s">
        <v>994</v>
      </c>
      <c r="AA244" s="11" t="s">
        <v>994</v>
      </c>
      <c r="AB244" s="11" t="s">
        <v>994</v>
      </c>
      <c r="AC244" s="11" t="s">
        <v>994</v>
      </c>
      <c r="AD244" s="11" t="s">
        <v>994</v>
      </c>
      <c r="AE244" s="11" t="s">
        <v>1804</v>
      </c>
    </row>
    <row r="245">
      <c r="B245" s="26" t="s">
        <v>49</v>
      </c>
      <c r="C245" s="12" t="s">
        <v>1583</v>
      </c>
      <c r="D245" s="11" t="s">
        <v>799</v>
      </c>
      <c r="E245" s="11" t="s">
        <v>775</v>
      </c>
      <c r="F245" s="12" t="s">
        <v>554</v>
      </c>
      <c r="G245" s="12" t="s">
        <v>246</v>
      </c>
      <c r="H245" s="12" t="s">
        <v>246</v>
      </c>
      <c r="I245" s="12" t="s">
        <v>60</v>
      </c>
      <c r="J245" s="12" t="s">
        <v>775</v>
      </c>
      <c r="K245" s="12" t="s">
        <v>118</v>
      </c>
      <c r="L245" s="12" t="s">
        <v>247</v>
      </c>
      <c r="M245" s="12" t="s">
        <v>994</v>
      </c>
      <c r="N245" s="13" t="s">
        <v>1730</v>
      </c>
      <c r="O245" s="11" t="s">
        <v>118</v>
      </c>
      <c r="P245" s="11" t="s">
        <v>777</v>
      </c>
      <c r="Q245" s="11" t="s">
        <v>126</v>
      </c>
      <c r="R245" s="11" t="s">
        <v>150</v>
      </c>
      <c r="S245" s="11" t="s">
        <v>994</v>
      </c>
      <c r="T245" s="11" t="s">
        <v>126</v>
      </c>
      <c r="U245" s="11" t="s">
        <v>994</v>
      </c>
      <c r="V245" s="11" t="s">
        <v>994</v>
      </c>
      <c r="W245" s="11" t="s">
        <v>994</v>
      </c>
      <c r="X245" s="11" t="s">
        <v>994</v>
      </c>
      <c r="Y245" s="11" t="s">
        <v>994</v>
      </c>
      <c r="Z245" s="11" t="s">
        <v>994</v>
      </c>
      <c r="AA245" s="11" t="s">
        <v>994</v>
      </c>
      <c r="AB245" s="11" t="s">
        <v>994</v>
      </c>
      <c r="AC245" s="11" t="s">
        <v>994</v>
      </c>
      <c r="AD245" s="11" t="s">
        <v>994</v>
      </c>
      <c r="AE245" s="11" t="s">
        <v>1804</v>
      </c>
    </row>
    <row r="246">
      <c r="B246" s="26" t="s">
        <v>49</v>
      </c>
      <c r="C246" s="12" t="s">
        <v>1584</v>
      </c>
      <c r="D246" s="11" t="s">
        <v>800</v>
      </c>
      <c r="E246" s="11" t="s">
        <v>775</v>
      </c>
      <c r="F246" s="12" t="s">
        <v>435</v>
      </c>
      <c r="G246" s="12" t="s">
        <v>246</v>
      </c>
      <c r="H246" s="12" t="s">
        <v>246</v>
      </c>
      <c r="I246" s="12" t="s">
        <v>60</v>
      </c>
      <c r="J246" s="12" t="s">
        <v>775</v>
      </c>
      <c r="K246" s="12" t="s">
        <v>118</v>
      </c>
      <c r="L246" s="12" t="s">
        <v>247</v>
      </c>
      <c r="M246" s="12" t="s">
        <v>994</v>
      </c>
      <c r="N246" s="13" t="s">
        <v>1731</v>
      </c>
      <c r="O246" s="11" t="s">
        <v>118</v>
      </c>
      <c r="P246" s="11" t="s">
        <v>777</v>
      </c>
      <c r="Q246" s="11" t="s">
        <v>126</v>
      </c>
      <c r="R246" s="11" t="s">
        <v>150</v>
      </c>
      <c r="S246" s="11" t="s">
        <v>994</v>
      </c>
      <c r="T246" s="11" t="s">
        <v>126</v>
      </c>
      <c r="U246" s="11" t="s">
        <v>994</v>
      </c>
      <c r="V246" s="11" t="s">
        <v>994</v>
      </c>
      <c r="W246" s="11" t="s">
        <v>994</v>
      </c>
      <c r="X246" s="11" t="s">
        <v>994</v>
      </c>
      <c r="Y246" s="11" t="s">
        <v>994</v>
      </c>
      <c r="Z246" s="11" t="s">
        <v>994</v>
      </c>
      <c r="AA246" s="11" t="s">
        <v>994</v>
      </c>
      <c r="AB246" s="11" t="s">
        <v>994</v>
      </c>
      <c r="AC246" s="11" t="s">
        <v>994</v>
      </c>
      <c r="AD246" s="11" t="s">
        <v>994</v>
      </c>
      <c r="AE246" s="11" t="s">
        <v>1804</v>
      </c>
    </row>
    <row r="247">
      <c r="B247" s="26" t="s">
        <v>49</v>
      </c>
      <c r="C247" s="12" t="s">
        <v>1585</v>
      </c>
      <c r="D247" s="11" t="s">
        <v>801</v>
      </c>
      <c r="E247" s="11" t="s">
        <v>775</v>
      </c>
      <c r="F247" s="12" t="s">
        <v>784</v>
      </c>
      <c r="G247" s="12" t="s">
        <v>246</v>
      </c>
      <c r="H247" s="12" t="s">
        <v>246</v>
      </c>
      <c r="I247" s="12" t="s">
        <v>60</v>
      </c>
      <c r="J247" s="12" t="s">
        <v>775</v>
      </c>
      <c r="K247" s="12" t="s">
        <v>118</v>
      </c>
      <c r="L247" s="12" t="s">
        <v>247</v>
      </c>
      <c r="M247" s="12" t="s">
        <v>994</v>
      </c>
      <c r="N247" s="13" t="s">
        <v>1732</v>
      </c>
      <c r="O247" s="11" t="s">
        <v>118</v>
      </c>
      <c r="P247" s="11" t="s">
        <v>777</v>
      </c>
      <c r="Q247" s="11" t="s">
        <v>126</v>
      </c>
      <c r="R247" s="11" t="s">
        <v>150</v>
      </c>
      <c r="S247" s="11" t="s">
        <v>994</v>
      </c>
      <c r="T247" s="11" t="s">
        <v>126</v>
      </c>
      <c r="U247" s="11" t="s">
        <v>994</v>
      </c>
      <c r="V247" s="11" t="s">
        <v>994</v>
      </c>
      <c r="W247" s="11" t="s">
        <v>994</v>
      </c>
      <c r="X247" s="11" t="s">
        <v>994</v>
      </c>
      <c r="Y247" s="11" t="s">
        <v>994</v>
      </c>
      <c r="Z247" s="11" t="s">
        <v>994</v>
      </c>
      <c r="AA247" s="11" t="s">
        <v>994</v>
      </c>
      <c r="AB247" s="11" t="s">
        <v>994</v>
      </c>
      <c r="AC247" s="11" t="s">
        <v>994</v>
      </c>
      <c r="AD247" s="11" t="s">
        <v>994</v>
      </c>
      <c r="AE247" s="11" t="s">
        <v>1804</v>
      </c>
    </row>
    <row r="248">
      <c r="B248" s="26" t="s">
        <v>295</v>
      </c>
      <c r="C248" s="12" t="s">
        <v>1586</v>
      </c>
      <c r="D248" s="11" t="s">
        <v>802</v>
      </c>
      <c r="E248" s="11" t="s">
        <v>775</v>
      </c>
      <c r="F248" s="12" t="s">
        <v>295</v>
      </c>
      <c r="G248" s="12" t="s">
        <v>246</v>
      </c>
      <c r="H248" s="12" t="s">
        <v>246</v>
      </c>
      <c r="I248" s="12" t="s">
        <v>60</v>
      </c>
      <c r="J248" s="12" t="s">
        <v>775</v>
      </c>
      <c r="K248" s="12" t="s">
        <v>118</v>
      </c>
      <c r="L248" s="12" t="s">
        <v>247</v>
      </c>
      <c r="M248" s="12" t="s">
        <v>994</v>
      </c>
      <c r="N248" s="13" t="s">
        <v>1733</v>
      </c>
      <c r="O248" s="11" t="s">
        <v>118</v>
      </c>
      <c r="P248" s="11" t="s">
        <v>777</v>
      </c>
      <c r="Q248" s="11" t="s">
        <v>126</v>
      </c>
      <c r="R248" s="11" t="s">
        <v>150</v>
      </c>
      <c r="S248" s="11" t="s">
        <v>994</v>
      </c>
      <c r="T248" s="11" t="s">
        <v>126</v>
      </c>
      <c r="U248" s="11" t="s">
        <v>994</v>
      </c>
      <c r="V248" s="11" t="s">
        <v>994</v>
      </c>
      <c r="W248" s="11" t="s">
        <v>994</v>
      </c>
      <c r="X248" s="11" t="s">
        <v>994</v>
      </c>
      <c r="Y248" s="11" t="s">
        <v>994</v>
      </c>
      <c r="Z248" s="11" t="s">
        <v>994</v>
      </c>
      <c r="AA248" s="11" t="s">
        <v>994</v>
      </c>
      <c r="AB248" s="11" t="s">
        <v>994</v>
      </c>
      <c r="AC248" s="11" t="s">
        <v>994</v>
      </c>
      <c r="AD248" s="11" t="s">
        <v>994</v>
      </c>
      <c r="AE248" s="11" t="s">
        <v>1804</v>
      </c>
    </row>
    <row r="249">
      <c r="B249" s="26" t="s">
        <v>49</v>
      </c>
      <c r="C249" s="12" t="s">
        <v>1587</v>
      </c>
      <c r="D249" s="11" t="s">
        <v>803</v>
      </c>
      <c r="E249" s="11" t="s">
        <v>775</v>
      </c>
      <c r="F249" s="12" t="s">
        <v>787</v>
      </c>
      <c r="G249" s="12" t="s">
        <v>246</v>
      </c>
      <c r="H249" s="12" t="s">
        <v>246</v>
      </c>
      <c r="I249" s="12" t="s">
        <v>60</v>
      </c>
      <c r="J249" s="12" t="s">
        <v>775</v>
      </c>
      <c r="K249" s="12" t="s">
        <v>118</v>
      </c>
      <c r="L249" s="12" t="s">
        <v>247</v>
      </c>
      <c r="M249" s="12" t="s">
        <v>994</v>
      </c>
      <c r="N249" s="13" t="s">
        <v>1734</v>
      </c>
      <c r="O249" s="11" t="s">
        <v>118</v>
      </c>
      <c r="P249" s="11" t="s">
        <v>777</v>
      </c>
      <c r="Q249" s="11" t="s">
        <v>126</v>
      </c>
      <c r="R249" s="11" t="s">
        <v>150</v>
      </c>
      <c r="S249" s="11" t="s">
        <v>994</v>
      </c>
      <c r="T249" s="11" t="s">
        <v>126</v>
      </c>
      <c r="U249" s="11" t="s">
        <v>994</v>
      </c>
      <c r="V249" s="11" t="s">
        <v>994</v>
      </c>
      <c r="W249" s="11" t="s">
        <v>994</v>
      </c>
      <c r="X249" s="11" t="s">
        <v>994</v>
      </c>
      <c r="Y249" s="11" t="s">
        <v>994</v>
      </c>
      <c r="Z249" s="11" t="s">
        <v>994</v>
      </c>
      <c r="AA249" s="11" t="s">
        <v>994</v>
      </c>
      <c r="AB249" s="11" t="s">
        <v>994</v>
      </c>
      <c r="AC249" s="11" t="s">
        <v>994</v>
      </c>
      <c r="AD249" s="11" t="s">
        <v>994</v>
      </c>
      <c r="AE249" s="11" t="s">
        <v>1804</v>
      </c>
    </row>
    <row r="250">
      <c r="B250" s="26" t="s">
        <v>49</v>
      </c>
      <c r="C250" s="12" t="s">
        <v>1588</v>
      </c>
      <c r="D250" s="11" t="s">
        <v>804</v>
      </c>
      <c r="E250" s="11" t="s">
        <v>775</v>
      </c>
      <c r="F250" s="12" t="s">
        <v>305</v>
      </c>
      <c r="G250" s="12" t="s">
        <v>246</v>
      </c>
      <c r="H250" s="12" t="s">
        <v>246</v>
      </c>
      <c r="I250" s="12" t="s">
        <v>60</v>
      </c>
      <c r="J250" s="12" t="s">
        <v>775</v>
      </c>
      <c r="K250" s="12" t="s">
        <v>118</v>
      </c>
      <c r="L250" s="12" t="s">
        <v>247</v>
      </c>
      <c r="M250" s="12" t="s">
        <v>994</v>
      </c>
      <c r="N250" s="13" t="s">
        <v>1735</v>
      </c>
      <c r="O250" s="11" t="s">
        <v>118</v>
      </c>
      <c r="P250" s="11" t="s">
        <v>777</v>
      </c>
      <c r="Q250" s="11" t="s">
        <v>126</v>
      </c>
      <c r="R250" s="11" t="s">
        <v>150</v>
      </c>
      <c r="S250" s="11" t="s">
        <v>994</v>
      </c>
      <c r="T250" s="11" t="s">
        <v>126</v>
      </c>
      <c r="U250" s="11" t="s">
        <v>994</v>
      </c>
      <c r="V250" s="11" t="s">
        <v>994</v>
      </c>
      <c r="W250" s="11" t="s">
        <v>994</v>
      </c>
      <c r="X250" s="11" t="s">
        <v>994</v>
      </c>
      <c r="Y250" s="11" t="s">
        <v>994</v>
      </c>
      <c r="Z250" s="11" t="s">
        <v>994</v>
      </c>
      <c r="AA250" s="11" t="s">
        <v>994</v>
      </c>
      <c r="AB250" s="11" t="s">
        <v>994</v>
      </c>
      <c r="AC250" s="11" t="s">
        <v>994</v>
      </c>
      <c r="AD250" s="11" t="s">
        <v>994</v>
      </c>
      <c r="AE250" s="11" t="s">
        <v>1804</v>
      </c>
    </row>
    <row r="251">
      <c r="B251" s="26" t="s">
        <v>49</v>
      </c>
      <c r="C251" s="12" t="s">
        <v>1589</v>
      </c>
      <c r="D251" s="11" t="s">
        <v>805</v>
      </c>
      <c r="E251" s="11" t="s">
        <v>775</v>
      </c>
      <c r="F251" s="12" t="s">
        <v>305</v>
      </c>
      <c r="G251" s="12" t="s">
        <v>246</v>
      </c>
      <c r="H251" s="12" t="s">
        <v>246</v>
      </c>
      <c r="I251" s="12" t="s">
        <v>60</v>
      </c>
      <c r="J251" s="12" t="s">
        <v>775</v>
      </c>
      <c r="K251" s="12" t="s">
        <v>118</v>
      </c>
      <c r="L251" s="12" t="s">
        <v>247</v>
      </c>
      <c r="M251" s="12" t="s">
        <v>994</v>
      </c>
      <c r="N251" s="13" t="s">
        <v>1736</v>
      </c>
      <c r="O251" s="11" t="s">
        <v>118</v>
      </c>
      <c r="P251" s="11" t="s">
        <v>777</v>
      </c>
      <c r="Q251" s="11" t="s">
        <v>126</v>
      </c>
      <c r="R251" s="11" t="s">
        <v>150</v>
      </c>
      <c r="S251" s="11" t="s">
        <v>994</v>
      </c>
      <c r="T251" s="11" t="s">
        <v>126</v>
      </c>
      <c r="U251" s="11" t="s">
        <v>994</v>
      </c>
      <c r="V251" s="11" t="s">
        <v>994</v>
      </c>
      <c r="W251" s="11" t="s">
        <v>994</v>
      </c>
      <c r="X251" s="11" t="s">
        <v>994</v>
      </c>
      <c r="Y251" s="11" t="s">
        <v>994</v>
      </c>
      <c r="Z251" s="11" t="s">
        <v>994</v>
      </c>
      <c r="AA251" s="11" t="s">
        <v>994</v>
      </c>
      <c r="AB251" s="11" t="s">
        <v>994</v>
      </c>
      <c r="AC251" s="11" t="s">
        <v>994</v>
      </c>
      <c r="AD251" s="11" t="s">
        <v>994</v>
      </c>
      <c r="AE251" s="11" t="s">
        <v>1804</v>
      </c>
    </row>
    <row r="252">
      <c r="B252" s="26" t="s">
        <v>295</v>
      </c>
      <c r="C252" s="12" t="s">
        <v>1590</v>
      </c>
      <c r="D252" s="11" t="s">
        <v>806</v>
      </c>
      <c r="E252" s="11" t="s">
        <v>775</v>
      </c>
      <c r="F252" s="12" t="s">
        <v>295</v>
      </c>
      <c r="G252" s="12" t="s">
        <v>246</v>
      </c>
      <c r="H252" s="12" t="s">
        <v>246</v>
      </c>
      <c r="I252" s="12" t="s">
        <v>60</v>
      </c>
      <c r="J252" s="12" t="s">
        <v>775</v>
      </c>
      <c r="K252" s="12" t="s">
        <v>118</v>
      </c>
      <c r="L252" s="12" t="s">
        <v>247</v>
      </c>
      <c r="M252" s="12" t="s">
        <v>994</v>
      </c>
      <c r="N252" s="13" t="s">
        <v>1737</v>
      </c>
      <c r="O252" s="11" t="s">
        <v>118</v>
      </c>
      <c r="P252" s="11" t="s">
        <v>777</v>
      </c>
      <c r="Q252" s="11" t="s">
        <v>126</v>
      </c>
      <c r="R252" s="11" t="s">
        <v>150</v>
      </c>
      <c r="S252" s="11" t="s">
        <v>994</v>
      </c>
      <c r="T252" s="11" t="s">
        <v>126</v>
      </c>
      <c r="U252" s="11" t="s">
        <v>994</v>
      </c>
      <c r="V252" s="11" t="s">
        <v>994</v>
      </c>
      <c r="W252" s="11" t="s">
        <v>994</v>
      </c>
      <c r="X252" s="11" t="s">
        <v>994</v>
      </c>
      <c r="Y252" s="11" t="s">
        <v>994</v>
      </c>
      <c r="Z252" s="11" t="s">
        <v>994</v>
      </c>
      <c r="AA252" s="11" t="s">
        <v>994</v>
      </c>
      <c r="AB252" s="11" t="s">
        <v>994</v>
      </c>
      <c r="AC252" s="11" t="s">
        <v>994</v>
      </c>
      <c r="AD252" s="11" t="s">
        <v>994</v>
      </c>
      <c r="AE252" s="11" t="s">
        <v>1804</v>
      </c>
    </row>
    <row r="253">
      <c r="B253" s="26" t="s">
        <v>314</v>
      </c>
      <c r="C253" s="12" t="s">
        <v>1591</v>
      </c>
      <c r="D253" s="11" t="s">
        <v>1002</v>
      </c>
      <c r="E253" s="11" t="s">
        <v>775</v>
      </c>
      <c r="F253" s="12" t="s">
        <v>314</v>
      </c>
      <c r="G253" s="12" t="s">
        <v>246</v>
      </c>
      <c r="H253" s="12" t="s">
        <v>246</v>
      </c>
      <c r="I253" s="12" t="s">
        <v>60</v>
      </c>
      <c r="J253" s="12" t="s">
        <v>775</v>
      </c>
      <c r="K253" s="12" t="s">
        <v>118</v>
      </c>
      <c r="L253" s="12" t="s">
        <v>247</v>
      </c>
      <c r="M253" s="12" t="s">
        <v>994</v>
      </c>
      <c r="N253" s="13" t="s">
        <v>1738</v>
      </c>
      <c r="O253" s="11" t="s">
        <v>118</v>
      </c>
      <c r="P253" s="11" t="s">
        <v>777</v>
      </c>
      <c r="Q253" s="11" t="s">
        <v>126</v>
      </c>
      <c r="R253" s="11" t="s">
        <v>150</v>
      </c>
      <c r="S253" s="11" t="s">
        <v>126</v>
      </c>
      <c r="T253" s="11" t="s">
        <v>125</v>
      </c>
      <c r="U253" s="11" t="s">
        <v>1016</v>
      </c>
      <c r="V253" s="11" t="s">
        <v>1753</v>
      </c>
      <c r="W253" s="11" t="s">
        <v>994</v>
      </c>
      <c r="X253" s="11" t="s">
        <v>994</v>
      </c>
      <c r="Y253" s="11" t="s">
        <v>1784</v>
      </c>
      <c r="Z253" s="11" t="s">
        <v>1784</v>
      </c>
      <c r="AA253" s="11" t="s">
        <v>994</v>
      </c>
      <c r="AB253" s="11" t="s">
        <v>30</v>
      </c>
      <c r="AC253" s="11" t="s">
        <v>1353</v>
      </c>
      <c r="AD253" s="11" t="s">
        <v>1005</v>
      </c>
      <c r="AE253" s="11" t="s">
        <v>995</v>
      </c>
    </row>
    <row r="254">
      <c r="B254" s="26" t="s">
        <v>283</v>
      </c>
      <c r="C254" s="12" t="s">
        <v>1592</v>
      </c>
      <c r="D254" s="11" t="s">
        <v>807</v>
      </c>
      <c r="E254" s="11" t="s">
        <v>775</v>
      </c>
      <c r="F254" s="12" t="s">
        <v>283</v>
      </c>
      <c r="G254" s="12" t="s">
        <v>246</v>
      </c>
      <c r="H254" s="12" t="s">
        <v>246</v>
      </c>
      <c r="I254" s="12" t="s">
        <v>60</v>
      </c>
      <c r="J254" s="12" t="s">
        <v>775</v>
      </c>
      <c r="K254" s="12" t="s">
        <v>118</v>
      </c>
      <c r="L254" s="12" t="s">
        <v>247</v>
      </c>
      <c r="M254" s="12" t="s">
        <v>994</v>
      </c>
      <c r="N254" s="13" t="s">
        <v>1739</v>
      </c>
      <c r="O254" s="11" t="s">
        <v>118</v>
      </c>
      <c r="P254" s="11" t="s">
        <v>777</v>
      </c>
      <c r="Q254" s="11" t="s">
        <v>126</v>
      </c>
      <c r="R254" s="11" t="s">
        <v>150</v>
      </c>
      <c r="S254" s="11" t="s">
        <v>994</v>
      </c>
      <c r="T254" s="11" t="s">
        <v>126</v>
      </c>
      <c r="U254" s="11" t="s">
        <v>994</v>
      </c>
      <c r="V254" s="11" t="s">
        <v>994</v>
      </c>
      <c r="W254" s="11" t="s">
        <v>994</v>
      </c>
      <c r="X254" s="11" t="s">
        <v>994</v>
      </c>
      <c r="Y254" s="11" t="s">
        <v>994</v>
      </c>
      <c r="Z254" s="11" t="s">
        <v>994</v>
      </c>
      <c r="AA254" s="11" t="s">
        <v>994</v>
      </c>
      <c r="AB254" s="11" t="s">
        <v>994</v>
      </c>
      <c r="AC254" s="11" t="s">
        <v>994</v>
      </c>
      <c r="AD254" s="11" t="s">
        <v>994</v>
      </c>
      <c r="AE254" s="11" t="s">
        <v>1804</v>
      </c>
    </row>
    <row r="255">
      <c r="B255" s="26" t="s">
        <v>49</v>
      </c>
      <c r="C255" s="12" t="s">
        <v>1593</v>
      </c>
      <c r="D255" s="11" t="s">
        <v>808</v>
      </c>
      <c r="E255" s="11" t="s">
        <v>775</v>
      </c>
      <c r="F255" s="12" t="s">
        <v>419</v>
      </c>
      <c r="G255" s="12" t="s">
        <v>246</v>
      </c>
      <c r="H255" s="12" t="s">
        <v>246</v>
      </c>
      <c r="I255" s="12" t="s">
        <v>60</v>
      </c>
      <c r="J255" s="12" t="s">
        <v>775</v>
      </c>
      <c r="K255" s="12" t="s">
        <v>118</v>
      </c>
      <c r="L255" s="12" t="s">
        <v>247</v>
      </c>
      <c r="M255" s="12" t="s">
        <v>994</v>
      </c>
      <c r="N255" s="13" t="s">
        <v>1740</v>
      </c>
      <c r="O255" s="11" t="s">
        <v>118</v>
      </c>
      <c r="P255" s="11" t="s">
        <v>777</v>
      </c>
      <c r="Q255" s="11" t="s">
        <v>126</v>
      </c>
      <c r="R255" s="11" t="s">
        <v>150</v>
      </c>
      <c r="S255" s="11" t="s">
        <v>994</v>
      </c>
      <c r="T255" s="11" t="s">
        <v>126</v>
      </c>
      <c r="U255" s="11" t="s">
        <v>994</v>
      </c>
      <c r="V255" s="11" t="s">
        <v>994</v>
      </c>
      <c r="W255" s="11" t="s">
        <v>994</v>
      </c>
      <c r="X255" s="11" t="s">
        <v>994</v>
      </c>
      <c r="Y255" s="11" t="s">
        <v>994</v>
      </c>
      <c r="Z255" s="11" t="s">
        <v>994</v>
      </c>
      <c r="AA255" s="11" t="s">
        <v>994</v>
      </c>
      <c r="AB255" s="11" t="s">
        <v>994</v>
      </c>
      <c r="AC255" s="11" t="s">
        <v>994</v>
      </c>
      <c r="AD255" s="11" t="s">
        <v>994</v>
      </c>
      <c r="AE255" s="11" t="s">
        <v>1804</v>
      </c>
    </row>
    <row r="256">
      <c r="B256" s="26" t="s">
        <v>49</v>
      </c>
      <c r="C256" s="12" t="s">
        <v>1594</v>
      </c>
      <c r="D256" s="11" t="s">
        <v>809</v>
      </c>
      <c r="E256" s="11" t="s">
        <v>775</v>
      </c>
      <c r="F256" s="12" t="s">
        <v>543</v>
      </c>
      <c r="G256" s="12" t="s">
        <v>246</v>
      </c>
      <c r="H256" s="12" t="s">
        <v>246</v>
      </c>
      <c r="I256" s="12" t="s">
        <v>60</v>
      </c>
      <c r="J256" s="12" t="s">
        <v>775</v>
      </c>
      <c r="K256" s="12" t="s">
        <v>118</v>
      </c>
      <c r="L256" s="12" t="s">
        <v>247</v>
      </c>
      <c r="M256" s="12" t="s">
        <v>994</v>
      </c>
      <c r="N256" s="13" t="s">
        <v>1741</v>
      </c>
      <c r="O256" s="11" t="s">
        <v>118</v>
      </c>
      <c r="P256" s="11" t="s">
        <v>777</v>
      </c>
      <c r="Q256" s="11" t="s">
        <v>126</v>
      </c>
      <c r="R256" s="11" t="s">
        <v>150</v>
      </c>
      <c r="S256" s="11" t="s">
        <v>994</v>
      </c>
      <c r="T256" s="11" t="s">
        <v>126</v>
      </c>
      <c r="U256" s="11" t="s">
        <v>994</v>
      </c>
      <c r="V256" s="11" t="s">
        <v>994</v>
      </c>
      <c r="W256" s="11" t="s">
        <v>994</v>
      </c>
      <c r="X256" s="11" t="s">
        <v>994</v>
      </c>
      <c r="Y256" s="11" t="s">
        <v>994</v>
      </c>
      <c r="Z256" s="11" t="s">
        <v>994</v>
      </c>
      <c r="AA256" s="11" t="s">
        <v>994</v>
      </c>
      <c r="AB256" s="11" t="s">
        <v>994</v>
      </c>
      <c r="AC256" s="11" t="s">
        <v>994</v>
      </c>
      <c r="AD256" s="11" t="s">
        <v>994</v>
      </c>
      <c r="AE256" s="11" t="s">
        <v>1804</v>
      </c>
    </row>
    <row r="257">
      <c r="B257" s="26" t="s">
        <v>283</v>
      </c>
      <c r="C257" s="12" t="s">
        <v>1595</v>
      </c>
      <c r="D257" s="11" t="s">
        <v>810</v>
      </c>
      <c r="E257" s="11" t="s">
        <v>775</v>
      </c>
      <c r="F257" s="12" t="s">
        <v>283</v>
      </c>
      <c r="G257" s="12" t="s">
        <v>246</v>
      </c>
      <c r="H257" s="12" t="s">
        <v>246</v>
      </c>
      <c r="I257" s="12" t="s">
        <v>60</v>
      </c>
      <c r="J257" s="12" t="s">
        <v>775</v>
      </c>
      <c r="K257" s="12" t="s">
        <v>118</v>
      </c>
      <c r="L257" s="12" t="s">
        <v>247</v>
      </c>
      <c r="M257" s="12" t="s">
        <v>994</v>
      </c>
      <c r="N257" s="13" t="s">
        <v>1741</v>
      </c>
      <c r="O257" s="11" t="s">
        <v>118</v>
      </c>
      <c r="P257" s="11" t="s">
        <v>777</v>
      </c>
      <c r="Q257" s="11" t="s">
        <v>126</v>
      </c>
      <c r="R257" s="11" t="s">
        <v>150</v>
      </c>
      <c r="S257" s="11" t="s">
        <v>994</v>
      </c>
      <c r="T257" s="11" t="s">
        <v>125</v>
      </c>
      <c r="U257" s="11" t="s">
        <v>1016</v>
      </c>
      <c r="V257" s="11" t="s">
        <v>1753</v>
      </c>
      <c r="W257" s="11" t="s">
        <v>994</v>
      </c>
      <c r="X257" s="11" t="s">
        <v>994</v>
      </c>
      <c r="Y257" s="11" t="s">
        <v>1774</v>
      </c>
      <c r="Z257" s="11" t="s">
        <v>1796</v>
      </c>
      <c r="AA257" s="11" t="s">
        <v>994</v>
      </c>
      <c r="AB257" s="11" t="s">
        <v>30</v>
      </c>
      <c r="AC257" s="11" t="s">
        <v>1361</v>
      </c>
      <c r="AD257" s="11" t="s">
        <v>994</v>
      </c>
      <c r="AE257" s="11" t="s">
        <v>995</v>
      </c>
    </row>
    <row r="258">
      <c r="B258" s="26" t="s">
        <v>283</v>
      </c>
      <c r="C258" s="12" t="s">
        <v>1596</v>
      </c>
      <c r="D258" s="11" t="s">
        <v>811</v>
      </c>
      <c r="E258" s="11" t="s">
        <v>775</v>
      </c>
      <c r="F258" s="12" t="s">
        <v>283</v>
      </c>
      <c r="G258" s="12" t="s">
        <v>246</v>
      </c>
      <c r="H258" s="12" t="s">
        <v>246</v>
      </c>
      <c r="I258" s="12" t="s">
        <v>60</v>
      </c>
      <c r="J258" s="12" t="s">
        <v>775</v>
      </c>
      <c r="K258" s="12" t="s">
        <v>118</v>
      </c>
      <c r="L258" s="12" t="s">
        <v>247</v>
      </c>
      <c r="M258" s="12" t="s">
        <v>994</v>
      </c>
      <c r="N258" s="13" t="s">
        <v>1742</v>
      </c>
      <c r="O258" s="11" t="s">
        <v>118</v>
      </c>
      <c r="P258" s="11" t="s">
        <v>777</v>
      </c>
      <c r="Q258" s="11" t="s">
        <v>126</v>
      </c>
      <c r="R258" s="11" t="s">
        <v>150</v>
      </c>
      <c r="S258" s="11" t="s">
        <v>994</v>
      </c>
      <c r="T258" s="11" t="s">
        <v>126</v>
      </c>
      <c r="U258" s="11" t="s">
        <v>994</v>
      </c>
      <c r="V258" s="11" t="s">
        <v>994</v>
      </c>
      <c r="W258" s="11" t="s">
        <v>994</v>
      </c>
      <c r="X258" s="11" t="s">
        <v>994</v>
      </c>
      <c r="Y258" s="11" t="s">
        <v>994</v>
      </c>
      <c r="Z258" s="11" t="s">
        <v>994</v>
      </c>
      <c r="AA258" s="11" t="s">
        <v>994</v>
      </c>
      <c r="AB258" s="11" t="s">
        <v>994</v>
      </c>
      <c r="AC258" s="11" t="s">
        <v>994</v>
      </c>
      <c r="AD258" s="11" t="s">
        <v>994</v>
      </c>
      <c r="AE258" s="11" t="s">
        <v>1804</v>
      </c>
    </row>
    <row r="259">
      <c r="B259" s="26" t="s">
        <v>49</v>
      </c>
      <c r="C259" s="12" t="s">
        <v>1597</v>
      </c>
      <c r="D259" s="11" t="s">
        <v>812</v>
      </c>
      <c r="E259" s="11" t="s">
        <v>775</v>
      </c>
      <c r="F259" s="12" t="s">
        <v>377</v>
      </c>
      <c r="G259" s="12" t="s">
        <v>246</v>
      </c>
      <c r="H259" s="12" t="s">
        <v>246</v>
      </c>
      <c r="I259" s="12" t="s">
        <v>60</v>
      </c>
      <c r="J259" s="12" t="s">
        <v>775</v>
      </c>
      <c r="K259" s="12" t="s">
        <v>118</v>
      </c>
      <c r="L259" s="12" t="s">
        <v>247</v>
      </c>
      <c r="M259" s="12" t="s">
        <v>994</v>
      </c>
      <c r="N259" s="13" t="s">
        <v>1743</v>
      </c>
      <c r="O259" s="11" t="s">
        <v>118</v>
      </c>
      <c r="P259" s="11" t="s">
        <v>777</v>
      </c>
      <c r="Q259" s="11" t="s">
        <v>126</v>
      </c>
      <c r="R259" s="11" t="s">
        <v>150</v>
      </c>
      <c r="S259" s="11" t="s">
        <v>994</v>
      </c>
      <c r="T259" s="11" t="s">
        <v>126</v>
      </c>
      <c r="U259" s="11" t="s">
        <v>994</v>
      </c>
      <c r="V259" s="11" t="s">
        <v>994</v>
      </c>
      <c r="W259" s="11" t="s">
        <v>994</v>
      </c>
      <c r="X259" s="11" t="s">
        <v>994</v>
      </c>
      <c r="Y259" s="11" t="s">
        <v>994</v>
      </c>
      <c r="Z259" s="11" t="s">
        <v>994</v>
      </c>
      <c r="AA259" s="11" t="s">
        <v>994</v>
      </c>
      <c r="AB259" s="11" t="s">
        <v>994</v>
      </c>
      <c r="AC259" s="11" t="s">
        <v>994</v>
      </c>
      <c r="AD259" s="11" t="s">
        <v>994</v>
      </c>
      <c r="AE259" s="11" t="s">
        <v>1804</v>
      </c>
    </row>
    <row r="260">
      <c r="B260" s="26" t="s">
        <v>308</v>
      </c>
      <c r="C260" s="12" t="s">
        <v>1598</v>
      </c>
      <c r="D260" s="11" t="s">
        <v>1030</v>
      </c>
      <c r="E260" s="11" t="s">
        <v>775</v>
      </c>
      <c r="F260" s="12" t="s">
        <v>308</v>
      </c>
      <c r="G260" s="12" t="s">
        <v>246</v>
      </c>
      <c r="H260" s="12" t="s">
        <v>246</v>
      </c>
      <c r="I260" s="12" t="s">
        <v>60</v>
      </c>
      <c r="J260" s="12" t="s">
        <v>775</v>
      </c>
      <c r="K260" s="12" t="s">
        <v>118</v>
      </c>
      <c r="L260" s="12" t="s">
        <v>247</v>
      </c>
      <c r="M260" s="12" t="s">
        <v>994</v>
      </c>
      <c r="N260" s="13" t="s">
        <v>1031</v>
      </c>
      <c r="O260" s="11" t="s">
        <v>118</v>
      </c>
      <c r="P260" s="11" t="s">
        <v>777</v>
      </c>
      <c r="Q260" s="11" t="s">
        <v>126</v>
      </c>
      <c r="R260" s="11" t="s">
        <v>150</v>
      </c>
      <c r="S260" s="11" t="s">
        <v>994</v>
      </c>
      <c r="T260" s="11" t="s">
        <v>125</v>
      </c>
      <c r="U260" s="11" t="s">
        <v>1016</v>
      </c>
      <c r="V260" s="11" t="s">
        <v>994</v>
      </c>
      <c r="W260" s="11" t="s">
        <v>994</v>
      </c>
      <c r="X260" s="11" t="s">
        <v>994</v>
      </c>
      <c r="Y260" s="11" t="s">
        <v>994</v>
      </c>
      <c r="Z260" s="11" t="s">
        <v>1796</v>
      </c>
      <c r="AA260" s="11" t="s">
        <v>994</v>
      </c>
      <c r="AB260" s="11" t="s">
        <v>30</v>
      </c>
      <c r="AC260" s="11" t="s">
        <v>1357</v>
      </c>
      <c r="AD260" s="11" t="s">
        <v>1032</v>
      </c>
      <c r="AE260" s="11" t="s">
        <v>995</v>
      </c>
    </row>
    <row r="261">
      <c r="B261" s="26" t="s">
        <v>49</v>
      </c>
      <c r="C261" s="12" t="s">
        <v>1599</v>
      </c>
      <c r="D261" s="11" t="s">
        <v>1112</v>
      </c>
      <c r="E261" s="11" t="s">
        <v>775</v>
      </c>
      <c r="F261" s="12" t="s">
        <v>694</v>
      </c>
      <c r="G261" s="12" t="s">
        <v>246</v>
      </c>
      <c r="H261" s="12" t="s">
        <v>246</v>
      </c>
      <c r="I261" s="12" t="s">
        <v>60</v>
      </c>
      <c r="J261" s="12" t="s">
        <v>775</v>
      </c>
      <c r="K261" s="12" t="s">
        <v>118</v>
      </c>
      <c r="L261" s="12" t="s">
        <v>247</v>
      </c>
      <c r="M261" s="12" t="s">
        <v>994</v>
      </c>
      <c r="N261" s="13" t="s">
        <v>1744</v>
      </c>
      <c r="O261" s="11" t="s">
        <v>118</v>
      </c>
      <c r="P261" s="11" t="s">
        <v>777</v>
      </c>
      <c r="Q261" s="11" t="s">
        <v>126</v>
      </c>
      <c r="R261" s="11" t="s">
        <v>150</v>
      </c>
      <c r="S261" s="11" t="s">
        <v>126</v>
      </c>
      <c r="T261" s="11" t="s">
        <v>125</v>
      </c>
      <c r="U261" s="11" t="s">
        <v>1016</v>
      </c>
      <c r="V261" s="11" t="s">
        <v>1753</v>
      </c>
      <c r="W261" s="11" t="s">
        <v>994</v>
      </c>
      <c r="X261" s="11" t="s">
        <v>994</v>
      </c>
      <c r="Y261" s="11" t="s">
        <v>1785</v>
      </c>
      <c r="Z261" s="11" t="s">
        <v>1797</v>
      </c>
      <c r="AA261" s="11" t="s">
        <v>994</v>
      </c>
      <c r="AB261" s="11" t="s">
        <v>30</v>
      </c>
      <c r="AC261" s="11" t="s">
        <v>1354</v>
      </c>
      <c r="AD261" s="11" t="s">
        <v>1033</v>
      </c>
      <c r="AE261" s="11" t="s">
        <v>995</v>
      </c>
    </row>
    <row r="262">
      <c r="B262" s="26" t="s">
        <v>49</v>
      </c>
      <c r="C262" s="12" t="s">
        <v>1600</v>
      </c>
      <c r="D262" s="11" t="s">
        <v>813</v>
      </c>
      <c r="E262" s="11" t="s">
        <v>775</v>
      </c>
      <c r="F262" s="12" t="s">
        <v>787</v>
      </c>
      <c r="G262" s="12" t="s">
        <v>246</v>
      </c>
      <c r="H262" s="12" t="s">
        <v>246</v>
      </c>
      <c r="I262" s="12" t="s">
        <v>60</v>
      </c>
      <c r="J262" s="12" t="s">
        <v>775</v>
      </c>
      <c r="K262" s="12" t="s">
        <v>118</v>
      </c>
      <c r="L262" s="12" t="s">
        <v>247</v>
      </c>
      <c r="M262" s="12" t="s">
        <v>994</v>
      </c>
      <c r="N262" s="13" t="s">
        <v>1745</v>
      </c>
      <c r="O262" s="11" t="s">
        <v>118</v>
      </c>
      <c r="P262" s="11" t="s">
        <v>777</v>
      </c>
      <c r="Q262" s="11" t="s">
        <v>126</v>
      </c>
      <c r="R262" s="11" t="s">
        <v>150</v>
      </c>
      <c r="S262" s="11" t="s">
        <v>125</v>
      </c>
      <c r="T262" s="11" t="s">
        <v>126</v>
      </c>
      <c r="U262" s="11" t="s">
        <v>38</v>
      </c>
      <c r="V262" s="11" t="s">
        <v>1765</v>
      </c>
      <c r="W262" s="11" t="s">
        <v>994</v>
      </c>
      <c r="X262" s="11" t="s">
        <v>994</v>
      </c>
      <c r="Y262" s="11" t="s">
        <v>994</v>
      </c>
      <c r="Z262" s="11" t="s">
        <v>994</v>
      </c>
      <c r="AA262" s="11" t="s">
        <v>994</v>
      </c>
      <c r="AB262" s="11" t="s">
        <v>994</v>
      </c>
      <c r="AC262" s="11" t="s">
        <v>994</v>
      </c>
      <c r="AD262" s="11" t="s">
        <v>994</v>
      </c>
      <c r="AE262" s="11" t="s">
        <v>995</v>
      </c>
    </row>
    <row r="263">
      <c r="B263" s="26" t="s">
        <v>49</v>
      </c>
      <c r="C263" s="12" t="s">
        <v>1601</v>
      </c>
      <c r="D263" s="11" t="s">
        <v>814</v>
      </c>
      <c r="E263" s="11" t="s">
        <v>775</v>
      </c>
      <c r="F263" s="12" t="s">
        <v>694</v>
      </c>
      <c r="G263" s="12" t="s">
        <v>246</v>
      </c>
      <c r="H263" s="12" t="s">
        <v>246</v>
      </c>
      <c r="I263" s="12" t="s">
        <v>60</v>
      </c>
      <c r="J263" s="12" t="s">
        <v>775</v>
      </c>
      <c r="K263" s="12" t="s">
        <v>118</v>
      </c>
      <c r="L263" s="12" t="s">
        <v>247</v>
      </c>
      <c r="M263" s="12" t="s">
        <v>994</v>
      </c>
      <c r="N263" s="13" t="s">
        <v>1746</v>
      </c>
      <c r="O263" s="11" t="s">
        <v>118</v>
      </c>
      <c r="P263" s="11" t="s">
        <v>777</v>
      </c>
      <c r="Q263" s="11" t="s">
        <v>126</v>
      </c>
      <c r="R263" s="11" t="s">
        <v>150</v>
      </c>
      <c r="S263" s="11" t="s">
        <v>994</v>
      </c>
      <c r="T263" s="11" t="s">
        <v>126</v>
      </c>
      <c r="U263" s="11" t="s">
        <v>994</v>
      </c>
      <c r="V263" s="11" t="s">
        <v>994</v>
      </c>
      <c r="W263" s="11" t="s">
        <v>994</v>
      </c>
      <c r="X263" s="11" t="s">
        <v>994</v>
      </c>
      <c r="Y263" s="11" t="s">
        <v>994</v>
      </c>
      <c r="Z263" s="11" t="s">
        <v>994</v>
      </c>
      <c r="AA263" s="11" t="s">
        <v>994</v>
      </c>
      <c r="AB263" s="11" t="s">
        <v>994</v>
      </c>
      <c r="AC263" s="11" t="s">
        <v>994</v>
      </c>
      <c r="AD263" s="11" t="s">
        <v>994</v>
      </c>
      <c r="AE263" s="11" t="s">
        <v>1804</v>
      </c>
    </row>
    <row r="264">
      <c r="B264" s="26" t="s">
        <v>49</v>
      </c>
      <c r="C264" s="12" t="s">
        <v>1602</v>
      </c>
      <c r="D264" s="11" t="s">
        <v>815</v>
      </c>
      <c r="E264" s="11" t="s">
        <v>775</v>
      </c>
      <c r="F264" s="12" t="s">
        <v>286</v>
      </c>
      <c r="G264" s="12" t="s">
        <v>246</v>
      </c>
      <c r="H264" s="12" t="s">
        <v>246</v>
      </c>
      <c r="I264" s="12" t="s">
        <v>60</v>
      </c>
      <c r="J264" s="12" t="s">
        <v>775</v>
      </c>
      <c r="K264" s="12" t="s">
        <v>118</v>
      </c>
      <c r="L264" s="12" t="s">
        <v>247</v>
      </c>
      <c r="M264" s="12" t="s">
        <v>994</v>
      </c>
      <c r="N264" s="13" t="s">
        <v>1747</v>
      </c>
      <c r="O264" s="11" t="s">
        <v>118</v>
      </c>
      <c r="P264" s="11" t="s">
        <v>777</v>
      </c>
      <c r="Q264" s="11" t="s">
        <v>126</v>
      </c>
      <c r="R264" s="11" t="s">
        <v>150</v>
      </c>
      <c r="S264" s="11" t="s">
        <v>994</v>
      </c>
      <c r="T264" s="11" t="s">
        <v>126</v>
      </c>
      <c r="U264" s="11" t="s">
        <v>994</v>
      </c>
      <c r="V264" s="11" t="s">
        <v>994</v>
      </c>
      <c r="W264" s="11" t="s">
        <v>994</v>
      </c>
      <c r="X264" s="11" t="s">
        <v>994</v>
      </c>
      <c r="Y264" s="11" t="s">
        <v>994</v>
      </c>
      <c r="Z264" s="11" t="s">
        <v>994</v>
      </c>
      <c r="AA264" s="11" t="s">
        <v>994</v>
      </c>
      <c r="AB264" s="11" t="s">
        <v>994</v>
      </c>
      <c r="AC264" s="11" t="s">
        <v>994</v>
      </c>
      <c r="AD264" s="11" t="s">
        <v>994</v>
      </c>
      <c r="AE264" s="11" t="s">
        <v>1804</v>
      </c>
    </row>
    <row r="265">
      <c r="B265" s="26" t="s">
        <v>49</v>
      </c>
      <c r="C265" s="12" t="s">
        <v>1603</v>
      </c>
      <c r="D265" s="11" t="s">
        <v>816</v>
      </c>
      <c r="E265" s="11" t="s">
        <v>69</v>
      </c>
      <c r="F265" s="12" t="s">
        <v>494</v>
      </c>
      <c r="G265" s="12" t="s">
        <v>246</v>
      </c>
      <c r="H265" s="12" t="s">
        <v>246</v>
      </c>
      <c r="I265" s="12" t="s">
        <v>430</v>
      </c>
      <c r="J265" s="12" t="s">
        <v>1027</v>
      </c>
      <c r="K265" s="12" t="s">
        <v>69</v>
      </c>
      <c r="L265" s="12" t="s">
        <v>247</v>
      </c>
      <c r="M265" s="12" t="s">
        <v>994</v>
      </c>
      <c r="N265" s="13" t="s">
        <v>817</v>
      </c>
      <c r="O265" s="11" t="s">
        <v>818</v>
      </c>
      <c r="P265" s="11" t="s">
        <v>600</v>
      </c>
      <c r="Q265" s="11" t="s">
        <v>125</v>
      </c>
      <c r="R265" s="11" t="s">
        <v>150</v>
      </c>
      <c r="S265" s="11" t="s">
        <v>125</v>
      </c>
      <c r="T265" s="11" t="s">
        <v>125</v>
      </c>
      <c r="U265" s="11" t="s">
        <v>38</v>
      </c>
      <c r="V265" s="11" t="s">
        <v>1378</v>
      </c>
      <c r="W265" s="11" t="s">
        <v>994</v>
      </c>
      <c r="X265" s="11" t="s">
        <v>994</v>
      </c>
      <c r="Y265" s="11" t="s">
        <v>994</v>
      </c>
      <c r="Z265" s="11" t="s">
        <v>994</v>
      </c>
      <c r="AA265" s="11" t="s">
        <v>994</v>
      </c>
      <c r="AB265" s="11" t="s">
        <v>994</v>
      </c>
      <c r="AC265" s="11" t="s">
        <v>994</v>
      </c>
      <c r="AD265" s="11" t="s">
        <v>994</v>
      </c>
      <c r="AE265" s="11" t="s">
        <v>995</v>
      </c>
    </row>
    <row r="266">
      <c r="B266" s="26" t="s">
        <v>49</v>
      </c>
      <c r="C266" s="12" t="s">
        <v>1604</v>
      </c>
      <c r="D266" s="11" t="s">
        <v>819</v>
      </c>
      <c r="E266" s="11" t="s">
        <v>69</v>
      </c>
      <c r="F266" s="12" t="s">
        <v>286</v>
      </c>
      <c r="G266" s="12" t="s">
        <v>246</v>
      </c>
      <c r="H266" s="12" t="s">
        <v>246</v>
      </c>
      <c r="I266" s="12" t="s">
        <v>430</v>
      </c>
      <c r="J266" s="12" t="s">
        <v>1027</v>
      </c>
      <c r="K266" s="12" t="s">
        <v>69</v>
      </c>
      <c r="L266" s="12" t="s">
        <v>247</v>
      </c>
      <c r="M266" s="12" t="s">
        <v>994</v>
      </c>
      <c r="N266" s="13" t="s">
        <v>820</v>
      </c>
      <c r="O266" s="11" t="s">
        <v>818</v>
      </c>
      <c r="P266" s="11" t="s">
        <v>600</v>
      </c>
      <c r="Q266" s="11" t="s">
        <v>125</v>
      </c>
      <c r="R266" s="11" t="s">
        <v>150</v>
      </c>
      <c r="S266" s="11" t="s">
        <v>125</v>
      </c>
      <c r="T266" s="11" t="s">
        <v>125</v>
      </c>
      <c r="U266" s="11" t="s">
        <v>38</v>
      </c>
      <c r="V266" s="11" t="s">
        <v>1378</v>
      </c>
      <c r="W266" s="11" t="s">
        <v>994</v>
      </c>
      <c r="X266" s="11" t="s">
        <v>994</v>
      </c>
      <c r="Y266" s="11" t="s">
        <v>994</v>
      </c>
      <c r="Z266" s="11" t="s">
        <v>994</v>
      </c>
      <c r="AA266" s="11" t="s">
        <v>994</v>
      </c>
      <c r="AB266" s="11" t="s">
        <v>994</v>
      </c>
      <c r="AC266" s="11" t="s">
        <v>994</v>
      </c>
      <c r="AD266" s="11" t="s">
        <v>994</v>
      </c>
      <c r="AE266" s="11" t="s">
        <v>995</v>
      </c>
    </row>
    <row r="267">
      <c r="B267" s="26" t="s">
        <v>49</v>
      </c>
      <c r="C267" s="12" t="s">
        <v>1605</v>
      </c>
      <c r="D267" s="11" t="s">
        <v>821</v>
      </c>
      <c r="E267" s="11" t="s">
        <v>69</v>
      </c>
      <c r="F267" s="12" t="s">
        <v>305</v>
      </c>
      <c r="G267" s="12" t="s">
        <v>246</v>
      </c>
      <c r="H267" s="12" t="s">
        <v>246</v>
      </c>
      <c r="I267" s="12" t="s">
        <v>430</v>
      </c>
      <c r="J267" s="12" t="s">
        <v>1027</v>
      </c>
      <c r="K267" s="12" t="s">
        <v>69</v>
      </c>
      <c r="L267" s="12" t="s">
        <v>247</v>
      </c>
      <c r="M267" s="12" t="s">
        <v>994</v>
      </c>
      <c r="N267" s="13" t="s">
        <v>822</v>
      </c>
      <c r="O267" s="11" t="s">
        <v>818</v>
      </c>
      <c r="P267" s="11" t="s">
        <v>600</v>
      </c>
      <c r="Q267" s="11" t="s">
        <v>125</v>
      </c>
      <c r="R267" s="11" t="s">
        <v>150</v>
      </c>
      <c r="S267" s="11" t="s">
        <v>125</v>
      </c>
      <c r="T267" s="11" t="s">
        <v>125</v>
      </c>
      <c r="U267" s="11" t="s">
        <v>38</v>
      </c>
      <c r="V267" s="11" t="s">
        <v>1378</v>
      </c>
      <c r="W267" s="11" t="s">
        <v>994</v>
      </c>
      <c r="X267" s="11" t="s">
        <v>994</v>
      </c>
      <c r="Y267" s="11" t="s">
        <v>994</v>
      </c>
      <c r="Z267" s="11" t="s">
        <v>994</v>
      </c>
      <c r="AA267" s="11" t="s">
        <v>994</v>
      </c>
      <c r="AB267" s="11" t="s">
        <v>994</v>
      </c>
      <c r="AC267" s="11" t="s">
        <v>994</v>
      </c>
      <c r="AD267" s="11" t="s">
        <v>994</v>
      </c>
      <c r="AE267" s="11" t="s">
        <v>995</v>
      </c>
    </row>
    <row r="268">
      <c r="B268" s="26" t="s">
        <v>295</v>
      </c>
      <c r="C268" s="12" t="s">
        <v>1606</v>
      </c>
      <c r="D268" s="11" t="s">
        <v>823</v>
      </c>
      <c r="E268" s="11" t="s">
        <v>69</v>
      </c>
      <c r="F268" s="12" t="s">
        <v>295</v>
      </c>
      <c r="G268" s="12" t="s">
        <v>246</v>
      </c>
      <c r="H268" s="12" t="s">
        <v>246</v>
      </c>
      <c r="I268" s="12" t="s">
        <v>430</v>
      </c>
      <c r="J268" s="12" t="s">
        <v>1027</v>
      </c>
      <c r="K268" s="12" t="s">
        <v>69</v>
      </c>
      <c r="L268" s="12" t="s">
        <v>247</v>
      </c>
      <c r="M268" s="12" t="s">
        <v>994</v>
      </c>
      <c r="N268" s="13" t="s">
        <v>824</v>
      </c>
      <c r="O268" s="11" t="s">
        <v>818</v>
      </c>
      <c r="P268" s="11" t="s">
        <v>600</v>
      </c>
      <c r="Q268" s="11" t="s">
        <v>125</v>
      </c>
      <c r="R268" s="11" t="s">
        <v>150</v>
      </c>
      <c r="S268" s="11" t="s">
        <v>125</v>
      </c>
      <c r="T268" s="11" t="s">
        <v>125</v>
      </c>
      <c r="U268" s="11" t="s">
        <v>29</v>
      </c>
      <c r="V268" s="11" t="s">
        <v>1378</v>
      </c>
      <c r="W268" s="11" t="s">
        <v>1779</v>
      </c>
      <c r="X268" s="11" t="s">
        <v>994</v>
      </c>
      <c r="Y268" s="11" t="s">
        <v>994</v>
      </c>
      <c r="Z268" s="11" t="s">
        <v>994</v>
      </c>
      <c r="AA268" s="11" t="s">
        <v>994</v>
      </c>
      <c r="AB268" s="11" t="s">
        <v>994</v>
      </c>
      <c r="AC268" s="11" t="s">
        <v>994</v>
      </c>
      <c r="AD268" s="11" t="s">
        <v>994</v>
      </c>
      <c r="AE268" s="11" t="s">
        <v>995</v>
      </c>
    </row>
    <row r="269">
      <c r="B269" s="26" t="s">
        <v>49</v>
      </c>
      <c r="C269" s="12" t="s">
        <v>1607</v>
      </c>
      <c r="D269" s="11" t="s">
        <v>825</v>
      </c>
      <c r="E269" s="11" t="s">
        <v>69</v>
      </c>
      <c r="F269" s="12" t="s">
        <v>374</v>
      </c>
      <c r="G269" s="12" t="s">
        <v>246</v>
      </c>
      <c r="H269" s="12" t="s">
        <v>246</v>
      </c>
      <c r="I269" s="12" t="s">
        <v>430</v>
      </c>
      <c r="J269" s="12" t="s">
        <v>1027</v>
      </c>
      <c r="K269" s="12" t="s">
        <v>69</v>
      </c>
      <c r="L269" s="12" t="s">
        <v>247</v>
      </c>
      <c r="M269" s="12" t="s">
        <v>994</v>
      </c>
      <c r="N269" s="13" t="s">
        <v>826</v>
      </c>
      <c r="O269" s="11" t="s">
        <v>818</v>
      </c>
      <c r="P269" s="11" t="s">
        <v>600</v>
      </c>
      <c r="Q269" s="11" t="s">
        <v>125</v>
      </c>
      <c r="R269" s="11" t="s">
        <v>150</v>
      </c>
      <c r="S269" s="11" t="s">
        <v>125</v>
      </c>
      <c r="T269" s="11" t="s">
        <v>125</v>
      </c>
      <c r="U269" s="11" t="s">
        <v>1016</v>
      </c>
      <c r="V269" s="11" t="s">
        <v>1378</v>
      </c>
      <c r="W269" s="11" t="s">
        <v>994</v>
      </c>
      <c r="X269" s="11" t="s">
        <v>994</v>
      </c>
      <c r="Y269" s="11" t="s">
        <v>994</v>
      </c>
      <c r="Z269" s="11" t="s">
        <v>1795</v>
      </c>
      <c r="AA269" s="11" t="s">
        <v>994</v>
      </c>
      <c r="AB269" s="11" t="s">
        <v>30</v>
      </c>
      <c r="AC269" s="11" t="s">
        <v>994</v>
      </c>
      <c r="AD269" s="11" t="s">
        <v>994</v>
      </c>
      <c r="AE269" s="11" t="s">
        <v>995</v>
      </c>
    </row>
    <row r="270">
      <c r="B270" s="26" t="s">
        <v>314</v>
      </c>
      <c r="C270" s="12" t="s">
        <v>1608</v>
      </c>
      <c r="D270" s="11" t="s">
        <v>827</v>
      </c>
      <c r="E270" s="11" t="s">
        <v>69</v>
      </c>
      <c r="F270" s="12" t="s">
        <v>314</v>
      </c>
      <c r="G270" s="12" t="s">
        <v>246</v>
      </c>
      <c r="H270" s="12" t="s">
        <v>246</v>
      </c>
      <c r="I270" s="12" t="s">
        <v>430</v>
      </c>
      <c r="J270" s="12" t="s">
        <v>1027</v>
      </c>
      <c r="K270" s="12" t="s">
        <v>69</v>
      </c>
      <c r="L270" s="12" t="s">
        <v>247</v>
      </c>
      <c r="M270" s="12" t="s">
        <v>994</v>
      </c>
      <c r="N270" s="13" t="s">
        <v>828</v>
      </c>
      <c r="O270" s="11" t="s">
        <v>818</v>
      </c>
      <c r="P270" s="11" t="s">
        <v>600</v>
      </c>
      <c r="Q270" s="11" t="s">
        <v>125</v>
      </c>
      <c r="R270" s="11" t="s">
        <v>150</v>
      </c>
      <c r="S270" s="11" t="s">
        <v>125</v>
      </c>
      <c r="T270" s="11" t="s">
        <v>125</v>
      </c>
      <c r="U270" s="11" t="s">
        <v>38</v>
      </c>
      <c r="V270" s="11" t="s">
        <v>1378</v>
      </c>
      <c r="W270" s="11" t="s">
        <v>994</v>
      </c>
      <c r="X270" s="11" t="s">
        <v>994</v>
      </c>
      <c r="Y270" s="11" t="s">
        <v>994</v>
      </c>
      <c r="Z270" s="11" t="s">
        <v>994</v>
      </c>
      <c r="AA270" s="11" t="s">
        <v>994</v>
      </c>
      <c r="AB270" s="11" t="s">
        <v>994</v>
      </c>
      <c r="AC270" s="11" t="s">
        <v>994</v>
      </c>
      <c r="AD270" s="11" t="s">
        <v>994</v>
      </c>
      <c r="AE270" s="11" t="s">
        <v>995</v>
      </c>
    </row>
    <row r="271">
      <c r="B271" s="26" t="s">
        <v>314</v>
      </c>
      <c r="C271" s="12" t="s">
        <v>1609</v>
      </c>
      <c r="D271" s="11" t="s">
        <v>829</v>
      </c>
      <c r="E271" s="11" t="s">
        <v>69</v>
      </c>
      <c r="F271" s="12" t="s">
        <v>314</v>
      </c>
      <c r="G271" s="12" t="s">
        <v>246</v>
      </c>
      <c r="H271" s="12" t="s">
        <v>246</v>
      </c>
      <c r="I271" s="12" t="s">
        <v>430</v>
      </c>
      <c r="J271" s="12" t="s">
        <v>1027</v>
      </c>
      <c r="K271" s="12" t="s">
        <v>69</v>
      </c>
      <c r="L271" s="12" t="s">
        <v>247</v>
      </c>
      <c r="M271" s="12" t="s">
        <v>994</v>
      </c>
      <c r="N271" s="13" t="s">
        <v>830</v>
      </c>
      <c r="O271" s="11" t="s">
        <v>818</v>
      </c>
      <c r="P271" s="11" t="s">
        <v>600</v>
      </c>
      <c r="Q271" s="11" t="s">
        <v>125</v>
      </c>
      <c r="R271" s="11" t="s">
        <v>150</v>
      </c>
      <c r="S271" s="11" t="s">
        <v>125</v>
      </c>
      <c r="T271" s="11" t="s">
        <v>125</v>
      </c>
      <c r="U271" s="11" t="s">
        <v>38</v>
      </c>
      <c r="V271" s="11" t="s">
        <v>1378</v>
      </c>
      <c r="W271" s="11" t="s">
        <v>994</v>
      </c>
      <c r="X271" s="11" t="s">
        <v>994</v>
      </c>
      <c r="Y271" s="11" t="s">
        <v>994</v>
      </c>
      <c r="Z271" s="11" t="s">
        <v>994</v>
      </c>
      <c r="AA271" s="11" t="s">
        <v>994</v>
      </c>
      <c r="AB271" s="11" t="s">
        <v>994</v>
      </c>
      <c r="AC271" s="11" t="s">
        <v>994</v>
      </c>
      <c r="AD271" s="11" t="s">
        <v>994</v>
      </c>
      <c r="AE271" s="11" t="s">
        <v>995</v>
      </c>
    </row>
    <row r="272">
      <c r="B272" s="26" t="s">
        <v>49</v>
      </c>
      <c r="C272" s="12" t="s">
        <v>1610</v>
      </c>
      <c r="D272" s="11" t="s">
        <v>831</v>
      </c>
      <c r="E272" s="11" t="s">
        <v>69</v>
      </c>
      <c r="F272" s="12" t="s">
        <v>554</v>
      </c>
      <c r="G272" s="12" t="s">
        <v>246</v>
      </c>
      <c r="H272" s="12" t="s">
        <v>246</v>
      </c>
      <c r="I272" s="12" t="s">
        <v>430</v>
      </c>
      <c r="J272" s="12" t="s">
        <v>1027</v>
      </c>
      <c r="K272" s="12" t="s">
        <v>69</v>
      </c>
      <c r="L272" s="12" t="s">
        <v>247</v>
      </c>
      <c r="M272" s="12" t="s">
        <v>994</v>
      </c>
      <c r="N272" s="13" t="s">
        <v>832</v>
      </c>
      <c r="O272" s="11" t="s">
        <v>818</v>
      </c>
      <c r="P272" s="11" t="s">
        <v>600</v>
      </c>
      <c r="Q272" s="11" t="s">
        <v>125</v>
      </c>
      <c r="R272" s="11" t="s">
        <v>150</v>
      </c>
      <c r="S272" s="11" t="s">
        <v>125</v>
      </c>
      <c r="T272" s="11" t="s">
        <v>125</v>
      </c>
      <c r="U272" s="11" t="s">
        <v>29</v>
      </c>
      <c r="V272" s="11" t="s">
        <v>1378</v>
      </c>
      <c r="W272" s="11" t="s">
        <v>1780</v>
      </c>
      <c r="X272" s="11" t="s">
        <v>994</v>
      </c>
      <c r="Y272" s="11" t="s">
        <v>994</v>
      </c>
      <c r="Z272" s="11" t="s">
        <v>994</v>
      </c>
      <c r="AA272" s="11" t="s">
        <v>994</v>
      </c>
      <c r="AB272" s="11" t="s">
        <v>994</v>
      </c>
      <c r="AC272" s="11" t="s">
        <v>994</v>
      </c>
      <c r="AD272" s="11" t="s">
        <v>1295</v>
      </c>
      <c r="AE272" s="11" t="s">
        <v>995</v>
      </c>
    </row>
    <row r="273">
      <c r="B273" s="26" t="s">
        <v>49</v>
      </c>
      <c r="C273" s="12" t="s">
        <v>1611</v>
      </c>
      <c r="D273" s="11" t="s">
        <v>833</v>
      </c>
      <c r="E273" s="11" t="s">
        <v>69</v>
      </c>
      <c r="F273" s="12" t="s">
        <v>557</v>
      </c>
      <c r="G273" s="12" t="s">
        <v>246</v>
      </c>
      <c r="H273" s="12" t="s">
        <v>246</v>
      </c>
      <c r="I273" s="12" t="s">
        <v>430</v>
      </c>
      <c r="J273" s="12" t="s">
        <v>1027</v>
      </c>
      <c r="K273" s="12" t="s">
        <v>69</v>
      </c>
      <c r="L273" s="12" t="s">
        <v>247</v>
      </c>
      <c r="M273" s="12" t="s">
        <v>994</v>
      </c>
      <c r="N273" s="13" t="s">
        <v>834</v>
      </c>
      <c r="O273" s="11" t="s">
        <v>818</v>
      </c>
      <c r="P273" s="11" t="s">
        <v>600</v>
      </c>
      <c r="Q273" s="11" t="s">
        <v>125</v>
      </c>
      <c r="R273" s="11" t="s">
        <v>150</v>
      </c>
      <c r="S273" s="11" t="s">
        <v>125</v>
      </c>
      <c r="T273" s="11" t="s">
        <v>125</v>
      </c>
      <c r="U273" s="11" t="s">
        <v>38</v>
      </c>
      <c r="V273" s="11" t="s">
        <v>1378</v>
      </c>
      <c r="W273" s="11" t="s">
        <v>994</v>
      </c>
      <c r="X273" s="11" t="s">
        <v>994</v>
      </c>
      <c r="Y273" s="11" t="s">
        <v>994</v>
      </c>
      <c r="Z273" s="11" t="s">
        <v>994</v>
      </c>
      <c r="AA273" s="11" t="s">
        <v>994</v>
      </c>
      <c r="AB273" s="11" t="s">
        <v>994</v>
      </c>
      <c r="AC273" s="11" t="s">
        <v>994</v>
      </c>
      <c r="AD273" s="11" t="s">
        <v>994</v>
      </c>
      <c r="AE273" s="11" t="s">
        <v>995</v>
      </c>
    </row>
    <row r="274">
      <c r="B274" s="26" t="s">
        <v>49</v>
      </c>
      <c r="C274" s="12" t="s">
        <v>1612</v>
      </c>
      <c r="D274" s="11" t="s">
        <v>835</v>
      </c>
      <c r="E274" s="11" t="s">
        <v>69</v>
      </c>
      <c r="F274" s="12" t="s">
        <v>407</v>
      </c>
      <c r="G274" s="12" t="s">
        <v>246</v>
      </c>
      <c r="H274" s="12" t="s">
        <v>246</v>
      </c>
      <c r="I274" s="12" t="s">
        <v>60</v>
      </c>
      <c r="J274" s="12" t="s">
        <v>1027</v>
      </c>
      <c r="K274" s="12" t="s">
        <v>69</v>
      </c>
      <c r="L274" s="12" t="s">
        <v>247</v>
      </c>
      <c r="M274" s="12" t="s">
        <v>994</v>
      </c>
      <c r="N274" s="13" t="s">
        <v>836</v>
      </c>
      <c r="O274" s="11" t="s">
        <v>818</v>
      </c>
      <c r="P274" s="11" t="s">
        <v>600</v>
      </c>
      <c r="Q274" s="11" t="s">
        <v>125</v>
      </c>
      <c r="R274" s="11" t="s">
        <v>150</v>
      </c>
      <c r="S274" s="11" t="s">
        <v>994</v>
      </c>
      <c r="T274" s="11" t="s">
        <v>126</v>
      </c>
      <c r="U274" s="11" t="s">
        <v>994</v>
      </c>
      <c r="V274" s="11" t="s">
        <v>994</v>
      </c>
      <c r="W274" s="11" t="s">
        <v>994</v>
      </c>
      <c r="X274" s="11" t="s">
        <v>994</v>
      </c>
      <c r="Y274" s="11" t="s">
        <v>994</v>
      </c>
      <c r="Z274" s="11" t="s">
        <v>994</v>
      </c>
      <c r="AA274" s="11" t="s">
        <v>994</v>
      </c>
      <c r="AB274" s="11" t="s">
        <v>994</v>
      </c>
      <c r="AC274" s="11" t="s">
        <v>994</v>
      </c>
      <c r="AD274" s="11" t="s">
        <v>994</v>
      </c>
      <c r="AE274" s="11" t="s">
        <v>1804</v>
      </c>
    </row>
    <row r="275">
      <c r="B275" s="26" t="s">
        <v>49</v>
      </c>
      <c r="C275" s="12" t="s">
        <v>1613</v>
      </c>
      <c r="D275" s="11" t="s">
        <v>837</v>
      </c>
      <c r="E275" s="11" t="s">
        <v>69</v>
      </c>
      <c r="F275" s="12" t="s">
        <v>411</v>
      </c>
      <c r="G275" s="12" t="s">
        <v>246</v>
      </c>
      <c r="H275" s="12" t="s">
        <v>246</v>
      </c>
      <c r="I275" s="12" t="s">
        <v>60</v>
      </c>
      <c r="J275" s="12" t="s">
        <v>1027</v>
      </c>
      <c r="K275" s="12" t="s">
        <v>69</v>
      </c>
      <c r="L275" s="12" t="s">
        <v>247</v>
      </c>
      <c r="M275" s="12" t="s">
        <v>994</v>
      </c>
      <c r="N275" s="13" t="s">
        <v>838</v>
      </c>
      <c r="O275" s="11" t="s">
        <v>818</v>
      </c>
      <c r="P275" s="11" t="s">
        <v>600</v>
      </c>
      <c r="Q275" s="11" t="s">
        <v>125</v>
      </c>
      <c r="R275" s="11" t="s">
        <v>150</v>
      </c>
      <c r="S275" s="11" t="s">
        <v>994</v>
      </c>
      <c r="T275" s="11" t="s">
        <v>126</v>
      </c>
      <c r="U275" s="11" t="s">
        <v>994</v>
      </c>
      <c r="V275" s="11" t="s">
        <v>994</v>
      </c>
      <c r="W275" s="11" t="s">
        <v>994</v>
      </c>
      <c r="X275" s="11" t="s">
        <v>994</v>
      </c>
      <c r="Y275" s="11" t="s">
        <v>994</v>
      </c>
      <c r="Z275" s="11" t="s">
        <v>994</v>
      </c>
      <c r="AA275" s="11" t="s">
        <v>994</v>
      </c>
      <c r="AB275" s="11" t="s">
        <v>994</v>
      </c>
      <c r="AC275" s="11" t="s">
        <v>994</v>
      </c>
      <c r="AD275" s="11" t="s">
        <v>994</v>
      </c>
      <c r="AE275" s="11" t="s">
        <v>1804</v>
      </c>
    </row>
    <row r="276">
      <c r="B276" s="26" t="s">
        <v>49</v>
      </c>
      <c r="C276" s="12" t="s">
        <v>1614</v>
      </c>
      <c r="D276" s="11" t="s">
        <v>839</v>
      </c>
      <c r="E276" s="11" t="s">
        <v>69</v>
      </c>
      <c r="F276" s="12" t="s">
        <v>606</v>
      </c>
      <c r="G276" s="12" t="s">
        <v>246</v>
      </c>
      <c r="H276" s="12" t="s">
        <v>246</v>
      </c>
      <c r="I276" s="12" t="s">
        <v>60</v>
      </c>
      <c r="J276" s="12" t="s">
        <v>1027</v>
      </c>
      <c r="K276" s="12" t="s">
        <v>69</v>
      </c>
      <c r="L276" s="12" t="s">
        <v>247</v>
      </c>
      <c r="M276" s="12" t="s">
        <v>994</v>
      </c>
      <c r="N276" s="13" t="s">
        <v>840</v>
      </c>
      <c r="O276" s="11" t="s">
        <v>818</v>
      </c>
      <c r="P276" s="11" t="s">
        <v>600</v>
      </c>
      <c r="Q276" s="11" t="s">
        <v>125</v>
      </c>
      <c r="R276" s="11" t="s">
        <v>150</v>
      </c>
      <c r="S276" s="11" t="s">
        <v>994</v>
      </c>
      <c r="T276" s="11" t="s">
        <v>126</v>
      </c>
      <c r="U276" s="11" t="s">
        <v>994</v>
      </c>
      <c r="V276" s="11" t="s">
        <v>994</v>
      </c>
      <c r="W276" s="11" t="s">
        <v>994</v>
      </c>
      <c r="X276" s="11" t="s">
        <v>994</v>
      </c>
      <c r="Y276" s="11" t="s">
        <v>994</v>
      </c>
      <c r="Z276" s="11" t="s">
        <v>994</v>
      </c>
      <c r="AA276" s="11" t="s">
        <v>994</v>
      </c>
      <c r="AB276" s="11" t="s">
        <v>994</v>
      </c>
      <c r="AC276" s="11" t="s">
        <v>994</v>
      </c>
      <c r="AD276" s="11" t="s">
        <v>994</v>
      </c>
      <c r="AE276" s="11" t="s">
        <v>1804</v>
      </c>
    </row>
    <row r="277">
      <c r="B277" s="26" t="s">
        <v>49</v>
      </c>
      <c r="C277" s="12" t="s">
        <v>1615</v>
      </c>
      <c r="D277" s="11" t="s">
        <v>841</v>
      </c>
      <c r="E277" s="11" t="s">
        <v>69</v>
      </c>
      <c r="F277" s="12" t="s">
        <v>842</v>
      </c>
      <c r="G277" s="12" t="s">
        <v>246</v>
      </c>
      <c r="H277" s="12" t="s">
        <v>246</v>
      </c>
      <c r="I277" s="12" t="s">
        <v>60</v>
      </c>
      <c r="J277" s="12" t="s">
        <v>1027</v>
      </c>
      <c r="K277" s="12" t="s">
        <v>69</v>
      </c>
      <c r="L277" s="12" t="s">
        <v>247</v>
      </c>
      <c r="M277" s="12" t="s">
        <v>994</v>
      </c>
      <c r="N277" s="13" t="s">
        <v>843</v>
      </c>
      <c r="O277" s="11" t="s">
        <v>818</v>
      </c>
      <c r="P277" s="11" t="s">
        <v>600</v>
      </c>
      <c r="Q277" s="11" t="s">
        <v>125</v>
      </c>
      <c r="R277" s="11" t="s">
        <v>150</v>
      </c>
      <c r="S277" s="11" t="s">
        <v>994</v>
      </c>
      <c r="T277" s="11" t="s">
        <v>126</v>
      </c>
      <c r="U277" s="11" t="s">
        <v>994</v>
      </c>
      <c r="V277" s="11" t="s">
        <v>994</v>
      </c>
      <c r="W277" s="11" t="s">
        <v>994</v>
      </c>
      <c r="X277" s="11" t="s">
        <v>994</v>
      </c>
      <c r="Y277" s="11" t="s">
        <v>994</v>
      </c>
      <c r="Z277" s="11" t="s">
        <v>994</v>
      </c>
      <c r="AA277" s="11" t="s">
        <v>994</v>
      </c>
      <c r="AB277" s="11" t="s">
        <v>994</v>
      </c>
      <c r="AC277" s="11" t="s">
        <v>994</v>
      </c>
      <c r="AD277" s="11" t="s">
        <v>994</v>
      </c>
      <c r="AE277" s="11" t="s">
        <v>1804</v>
      </c>
    </row>
    <row r="278">
      <c r="B278" s="26" t="s">
        <v>49</v>
      </c>
      <c r="C278" s="12" t="s">
        <v>1616</v>
      </c>
      <c r="D278" s="11" t="s">
        <v>844</v>
      </c>
      <c r="E278" s="11" t="s">
        <v>69</v>
      </c>
      <c r="F278" s="12" t="s">
        <v>543</v>
      </c>
      <c r="G278" s="12" t="s">
        <v>246</v>
      </c>
      <c r="H278" s="12" t="s">
        <v>246</v>
      </c>
      <c r="I278" s="12" t="s">
        <v>60</v>
      </c>
      <c r="J278" s="12" t="s">
        <v>1027</v>
      </c>
      <c r="K278" s="12" t="s">
        <v>69</v>
      </c>
      <c r="L278" s="12" t="s">
        <v>247</v>
      </c>
      <c r="M278" s="12" t="s">
        <v>994</v>
      </c>
      <c r="N278" s="13" t="s">
        <v>845</v>
      </c>
      <c r="O278" s="11" t="s">
        <v>818</v>
      </c>
      <c r="P278" s="11" t="s">
        <v>600</v>
      </c>
      <c r="Q278" s="11" t="s">
        <v>125</v>
      </c>
      <c r="R278" s="11" t="s">
        <v>150</v>
      </c>
      <c r="S278" s="11" t="s">
        <v>994</v>
      </c>
      <c r="T278" s="11" t="s">
        <v>126</v>
      </c>
      <c r="U278" s="11" t="s">
        <v>994</v>
      </c>
      <c r="V278" s="11" t="s">
        <v>994</v>
      </c>
      <c r="W278" s="11" t="s">
        <v>994</v>
      </c>
      <c r="X278" s="11" t="s">
        <v>994</v>
      </c>
      <c r="Y278" s="11" t="s">
        <v>994</v>
      </c>
      <c r="Z278" s="11" t="s">
        <v>994</v>
      </c>
      <c r="AA278" s="11" t="s">
        <v>994</v>
      </c>
      <c r="AB278" s="11" t="s">
        <v>994</v>
      </c>
      <c r="AC278" s="11" t="s">
        <v>994</v>
      </c>
      <c r="AD278" s="11" t="s">
        <v>994</v>
      </c>
      <c r="AE278" s="11" t="s">
        <v>1804</v>
      </c>
    </row>
    <row r="279">
      <c r="B279" s="26" t="s">
        <v>49</v>
      </c>
      <c r="C279" s="12" t="s">
        <v>1617</v>
      </c>
      <c r="D279" s="11" t="s">
        <v>846</v>
      </c>
      <c r="E279" s="11" t="s">
        <v>69</v>
      </c>
      <c r="F279" s="12" t="s">
        <v>435</v>
      </c>
      <c r="G279" s="12" t="s">
        <v>246</v>
      </c>
      <c r="H279" s="12" t="s">
        <v>246</v>
      </c>
      <c r="I279" s="12" t="s">
        <v>60</v>
      </c>
      <c r="J279" s="12" t="s">
        <v>1027</v>
      </c>
      <c r="K279" s="12" t="s">
        <v>69</v>
      </c>
      <c r="L279" s="12" t="s">
        <v>247</v>
      </c>
      <c r="M279" s="12" t="s">
        <v>994</v>
      </c>
      <c r="N279" s="13" t="s">
        <v>847</v>
      </c>
      <c r="O279" s="11" t="s">
        <v>818</v>
      </c>
      <c r="P279" s="11" t="s">
        <v>600</v>
      </c>
      <c r="Q279" s="11" t="s">
        <v>125</v>
      </c>
      <c r="R279" s="11" t="s">
        <v>150</v>
      </c>
      <c r="S279" s="11" t="s">
        <v>994</v>
      </c>
      <c r="T279" s="11" t="s">
        <v>126</v>
      </c>
      <c r="U279" s="11" t="s">
        <v>994</v>
      </c>
      <c r="V279" s="11" t="s">
        <v>994</v>
      </c>
      <c r="W279" s="11" t="s">
        <v>994</v>
      </c>
      <c r="X279" s="11" t="s">
        <v>994</v>
      </c>
      <c r="Y279" s="11" t="s">
        <v>994</v>
      </c>
      <c r="Z279" s="11" t="s">
        <v>994</v>
      </c>
      <c r="AA279" s="11" t="s">
        <v>994</v>
      </c>
      <c r="AB279" s="11" t="s">
        <v>994</v>
      </c>
      <c r="AC279" s="11" t="s">
        <v>994</v>
      </c>
      <c r="AD279" s="11" t="s">
        <v>994</v>
      </c>
      <c r="AE279" s="11" t="s">
        <v>1804</v>
      </c>
    </row>
    <row r="280">
      <c r="B280" s="26" t="s">
        <v>49</v>
      </c>
      <c r="C280" s="12" t="s">
        <v>1618</v>
      </c>
      <c r="D280" s="11" t="s">
        <v>848</v>
      </c>
      <c r="E280" s="11" t="s">
        <v>69</v>
      </c>
      <c r="F280" s="12" t="s">
        <v>447</v>
      </c>
      <c r="G280" s="12" t="s">
        <v>246</v>
      </c>
      <c r="H280" s="12" t="s">
        <v>246</v>
      </c>
      <c r="I280" s="12" t="s">
        <v>60</v>
      </c>
      <c r="J280" s="12" t="s">
        <v>1027</v>
      </c>
      <c r="K280" s="12" t="s">
        <v>69</v>
      </c>
      <c r="L280" s="12" t="s">
        <v>247</v>
      </c>
      <c r="M280" s="12" t="s">
        <v>994</v>
      </c>
      <c r="N280" s="13" t="s">
        <v>849</v>
      </c>
      <c r="O280" s="11" t="s">
        <v>818</v>
      </c>
      <c r="P280" s="11" t="s">
        <v>600</v>
      </c>
      <c r="Q280" s="11" t="s">
        <v>125</v>
      </c>
      <c r="R280" s="11" t="s">
        <v>150</v>
      </c>
      <c r="S280" s="11" t="s">
        <v>125</v>
      </c>
      <c r="T280" s="11" t="s">
        <v>126</v>
      </c>
      <c r="U280" s="11" t="s">
        <v>38</v>
      </c>
      <c r="V280" s="11" t="s">
        <v>1765</v>
      </c>
      <c r="W280" s="11" t="s">
        <v>994</v>
      </c>
      <c r="X280" s="11" t="s">
        <v>994</v>
      </c>
      <c r="Y280" s="11" t="s">
        <v>994</v>
      </c>
      <c r="Z280" s="11" t="s">
        <v>994</v>
      </c>
      <c r="AA280" s="11" t="s">
        <v>994</v>
      </c>
      <c r="AB280" s="11" t="s">
        <v>994</v>
      </c>
      <c r="AC280" s="11" t="s">
        <v>994</v>
      </c>
      <c r="AD280" s="11" t="s">
        <v>994</v>
      </c>
      <c r="AE280" s="11" t="s">
        <v>995</v>
      </c>
    </row>
    <row r="281">
      <c r="B281" s="26" t="s">
        <v>49</v>
      </c>
      <c r="C281" s="12" t="s">
        <v>1619</v>
      </c>
      <c r="D281" s="11" t="s">
        <v>850</v>
      </c>
      <c r="E281" s="11" t="s">
        <v>69</v>
      </c>
      <c r="F281" s="12" t="s">
        <v>784</v>
      </c>
      <c r="G281" s="12" t="s">
        <v>246</v>
      </c>
      <c r="H281" s="12" t="s">
        <v>246</v>
      </c>
      <c r="I281" s="12" t="s">
        <v>60</v>
      </c>
      <c r="J281" s="12" t="s">
        <v>1027</v>
      </c>
      <c r="K281" s="12" t="s">
        <v>69</v>
      </c>
      <c r="L281" s="12" t="s">
        <v>247</v>
      </c>
      <c r="M281" s="12" t="s">
        <v>994</v>
      </c>
      <c r="N281" s="13" t="s">
        <v>851</v>
      </c>
      <c r="O281" s="11" t="s">
        <v>818</v>
      </c>
      <c r="P281" s="11" t="s">
        <v>600</v>
      </c>
      <c r="Q281" s="11" t="s">
        <v>125</v>
      </c>
      <c r="R281" s="11" t="s">
        <v>150</v>
      </c>
      <c r="S281" s="11" t="s">
        <v>125</v>
      </c>
      <c r="T281" s="11" t="s">
        <v>126</v>
      </c>
      <c r="U281" s="11" t="s">
        <v>38</v>
      </c>
      <c r="V281" s="11" t="s">
        <v>1765</v>
      </c>
      <c r="W281" s="11" t="s">
        <v>994</v>
      </c>
      <c r="X281" s="11" t="s">
        <v>994</v>
      </c>
      <c r="Y281" s="11" t="s">
        <v>994</v>
      </c>
      <c r="Z281" s="11" t="s">
        <v>994</v>
      </c>
      <c r="AA281" s="11" t="s">
        <v>994</v>
      </c>
      <c r="AB281" s="11" t="s">
        <v>994</v>
      </c>
      <c r="AC281" s="11" t="s">
        <v>994</v>
      </c>
      <c r="AD281" s="11" t="s">
        <v>994</v>
      </c>
      <c r="AE281" s="11" t="s">
        <v>995</v>
      </c>
    </row>
    <row r="282">
      <c r="B282" s="26" t="s">
        <v>283</v>
      </c>
      <c r="C282" s="12" t="s">
        <v>1620</v>
      </c>
      <c r="D282" s="11" t="s">
        <v>852</v>
      </c>
      <c r="E282" s="11" t="s">
        <v>69</v>
      </c>
      <c r="F282" s="12" t="s">
        <v>283</v>
      </c>
      <c r="G282" s="12" t="s">
        <v>246</v>
      </c>
      <c r="H282" s="12" t="s">
        <v>246</v>
      </c>
      <c r="I282" s="12" t="s">
        <v>60</v>
      </c>
      <c r="J282" s="12" t="s">
        <v>1027</v>
      </c>
      <c r="K282" s="12" t="s">
        <v>69</v>
      </c>
      <c r="L282" s="12" t="s">
        <v>247</v>
      </c>
      <c r="M282" s="12" t="s">
        <v>994</v>
      </c>
      <c r="N282" s="13" t="s">
        <v>853</v>
      </c>
      <c r="O282" s="11" t="s">
        <v>818</v>
      </c>
      <c r="P282" s="11" t="s">
        <v>600</v>
      </c>
      <c r="Q282" s="11" t="s">
        <v>125</v>
      </c>
      <c r="R282" s="11" t="s">
        <v>150</v>
      </c>
      <c r="S282" s="11" t="s">
        <v>125</v>
      </c>
      <c r="T282" s="11" t="s">
        <v>126</v>
      </c>
      <c r="U282" s="11" t="s">
        <v>38</v>
      </c>
      <c r="V282" s="11" t="s">
        <v>1765</v>
      </c>
      <c r="W282" s="11" t="s">
        <v>994</v>
      </c>
      <c r="X282" s="11" t="s">
        <v>994</v>
      </c>
      <c r="Y282" s="11" t="s">
        <v>994</v>
      </c>
      <c r="Z282" s="11" t="s">
        <v>994</v>
      </c>
      <c r="AA282" s="11" t="s">
        <v>994</v>
      </c>
      <c r="AB282" s="11" t="s">
        <v>994</v>
      </c>
      <c r="AC282" s="11" t="s">
        <v>994</v>
      </c>
      <c r="AD282" s="11" t="s">
        <v>994</v>
      </c>
      <c r="AE282" s="11" t="s">
        <v>995</v>
      </c>
    </row>
    <row r="283">
      <c r="B283" s="26" t="s">
        <v>291</v>
      </c>
      <c r="C283" s="12" t="s">
        <v>1621</v>
      </c>
      <c r="D283" s="11" t="s">
        <v>854</v>
      </c>
      <c r="E283" s="11" t="s">
        <v>69</v>
      </c>
      <c r="F283" s="12" t="s">
        <v>291</v>
      </c>
      <c r="G283" s="12" t="s">
        <v>246</v>
      </c>
      <c r="H283" s="12" t="s">
        <v>246</v>
      </c>
      <c r="I283" s="12" t="s">
        <v>60</v>
      </c>
      <c r="J283" s="12" t="s">
        <v>1027</v>
      </c>
      <c r="K283" s="12" t="s">
        <v>69</v>
      </c>
      <c r="L283" s="12" t="s">
        <v>247</v>
      </c>
      <c r="M283" s="12" t="s">
        <v>994</v>
      </c>
      <c r="N283" s="13" t="s">
        <v>855</v>
      </c>
      <c r="O283" s="11" t="s">
        <v>818</v>
      </c>
      <c r="P283" s="11" t="s">
        <v>600</v>
      </c>
      <c r="Q283" s="11" t="s">
        <v>125</v>
      </c>
      <c r="R283" s="11" t="s">
        <v>150</v>
      </c>
      <c r="S283" s="11" t="s">
        <v>125</v>
      </c>
      <c r="T283" s="11" t="s">
        <v>126</v>
      </c>
      <c r="U283" s="11" t="s">
        <v>38</v>
      </c>
      <c r="V283" s="11" t="s">
        <v>1765</v>
      </c>
      <c r="W283" s="11" t="s">
        <v>994</v>
      </c>
      <c r="X283" s="11" t="s">
        <v>994</v>
      </c>
      <c r="Y283" s="11" t="s">
        <v>994</v>
      </c>
      <c r="Z283" s="11" t="s">
        <v>994</v>
      </c>
      <c r="AA283" s="11" t="s">
        <v>994</v>
      </c>
      <c r="AB283" s="11" t="s">
        <v>994</v>
      </c>
      <c r="AC283" s="11" t="s">
        <v>994</v>
      </c>
      <c r="AD283" s="11" t="s">
        <v>994</v>
      </c>
      <c r="AE283" s="11" t="s">
        <v>995</v>
      </c>
    </row>
    <row r="284">
      <c r="B284" s="26" t="s">
        <v>308</v>
      </c>
      <c r="C284" s="12" t="s">
        <v>1622</v>
      </c>
      <c r="D284" s="11" t="s">
        <v>856</v>
      </c>
      <c r="E284" s="11" t="s">
        <v>69</v>
      </c>
      <c r="F284" s="12" t="s">
        <v>308</v>
      </c>
      <c r="G284" s="12" t="s">
        <v>246</v>
      </c>
      <c r="H284" s="12" t="s">
        <v>246</v>
      </c>
      <c r="I284" s="12" t="s">
        <v>60</v>
      </c>
      <c r="J284" s="12" t="s">
        <v>1027</v>
      </c>
      <c r="K284" s="12" t="s">
        <v>69</v>
      </c>
      <c r="L284" s="12" t="s">
        <v>247</v>
      </c>
      <c r="M284" s="12" t="s">
        <v>994</v>
      </c>
      <c r="N284" s="13" t="s">
        <v>857</v>
      </c>
      <c r="O284" s="11" t="s">
        <v>818</v>
      </c>
      <c r="P284" s="11" t="s">
        <v>600</v>
      </c>
      <c r="Q284" s="11" t="s">
        <v>125</v>
      </c>
      <c r="R284" s="11" t="s">
        <v>150</v>
      </c>
      <c r="S284" s="11" t="s">
        <v>994</v>
      </c>
      <c r="T284" s="11" t="s">
        <v>126</v>
      </c>
      <c r="U284" s="11" t="s">
        <v>994</v>
      </c>
      <c r="V284" s="11" t="s">
        <v>994</v>
      </c>
      <c r="W284" s="11" t="s">
        <v>994</v>
      </c>
      <c r="X284" s="11" t="s">
        <v>994</v>
      </c>
      <c r="Y284" s="11" t="s">
        <v>994</v>
      </c>
      <c r="Z284" s="11" t="s">
        <v>994</v>
      </c>
      <c r="AA284" s="11" t="s">
        <v>994</v>
      </c>
      <c r="AB284" s="11" t="s">
        <v>994</v>
      </c>
      <c r="AC284" s="11" t="s">
        <v>994</v>
      </c>
      <c r="AD284" s="11" t="s">
        <v>994</v>
      </c>
      <c r="AE284" s="11" t="s">
        <v>1804</v>
      </c>
    </row>
    <row r="285">
      <c r="B285" s="26" t="s">
        <v>278</v>
      </c>
      <c r="C285" s="12" t="s">
        <v>1623</v>
      </c>
      <c r="D285" s="11" t="s">
        <v>858</v>
      </c>
      <c r="E285" s="11" t="s">
        <v>69</v>
      </c>
      <c r="F285" s="12" t="s">
        <v>278</v>
      </c>
      <c r="G285" s="12" t="s">
        <v>246</v>
      </c>
      <c r="H285" s="12" t="s">
        <v>246</v>
      </c>
      <c r="I285" s="12" t="s">
        <v>60</v>
      </c>
      <c r="J285" s="12" t="s">
        <v>1027</v>
      </c>
      <c r="K285" s="12" t="s">
        <v>69</v>
      </c>
      <c r="L285" s="12" t="s">
        <v>247</v>
      </c>
      <c r="M285" s="12" t="s">
        <v>994</v>
      </c>
      <c r="N285" s="13" t="s">
        <v>859</v>
      </c>
      <c r="O285" s="11" t="s">
        <v>818</v>
      </c>
      <c r="P285" s="11" t="s">
        <v>600</v>
      </c>
      <c r="Q285" s="11" t="s">
        <v>125</v>
      </c>
      <c r="R285" s="11" t="s">
        <v>150</v>
      </c>
      <c r="S285" s="11" t="s">
        <v>125</v>
      </c>
      <c r="T285" s="11" t="s">
        <v>126</v>
      </c>
      <c r="U285" s="11" t="s">
        <v>38</v>
      </c>
      <c r="V285" s="11" t="s">
        <v>1765</v>
      </c>
      <c r="W285" s="11" t="s">
        <v>994</v>
      </c>
      <c r="X285" s="11" t="s">
        <v>994</v>
      </c>
      <c r="Y285" s="11" t="s">
        <v>994</v>
      </c>
      <c r="Z285" s="11" t="s">
        <v>994</v>
      </c>
      <c r="AA285" s="11" t="s">
        <v>994</v>
      </c>
      <c r="AB285" s="11" t="s">
        <v>994</v>
      </c>
      <c r="AC285" s="11" t="s">
        <v>994</v>
      </c>
      <c r="AD285" s="11" t="s">
        <v>994</v>
      </c>
      <c r="AE285" s="11" t="s">
        <v>995</v>
      </c>
    </row>
    <row r="286">
      <c r="B286" s="26" t="s">
        <v>295</v>
      </c>
      <c r="C286" s="12" t="s">
        <v>1624</v>
      </c>
      <c r="D286" s="11" t="s">
        <v>860</v>
      </c>
      <c r="E286" s="11" t="s">
        <v>69</v>
      </c>
      <c r="F286" s="12" t="s">
        <v>295</v>
      </c>
      <c r="G286" s="12" t="s">
        <v>246</v>
      </c>
      <c r="H286" s="12" t="s">
        <v>246</v>
      </c>
      <c r="I286" s="12" t="s">
        <v>60</v>
      </c>
      <c r="J286" s="12" t="s">
        <v>1027</v>
      </c>
      <c r="K286" s="12" t="s">
        <v>69</v>
      </c>
      <c r="L286" s="12" t="s">
        <v>247</v>
      </c>
      <c r="M286" s="12" t="s">
        <v>994</v>
      </c>
      <c r="N286" s="13" t="s">
        <v>861</v>
      </c>
      <c r="O286" s="11" t="s">
        <v>818</v>
      </c>
      <c r="P286" s="11" t="s">
        <v>600</v>
      </c>
      <c r="Q286" s="11" t="s">
        <v>125</v>
      </c>
      <c r="R286" s="11" t="s">
        <v>150</v>
      </c>
      <c r="S286" s="11" t="s">
        <v>125</v>
      </c>
      <c r="T286" s="11" t="s">
        <v>126</v>
      </c>
      <c r="U286" s="11" t="s">
        <v>38</v>
      </c>
      <c r="V286" s="11" t="s">
        <v>1765</v>
      </c>
      <c r="W286" s="11" t="s">
        <v>994</v>
      </c>
      <c r="X286" s="11" t="s">
        <v>994</v>
      </c>
      <c r="Y286" s="11" t="s">
        <v>994</v>
      </c>
      <c r="Z286" s="11" t="s">
        <v>994</v>
      </c>
      <c r="AA286" s="11" t="s">
        <v>994</v>
      </c>
      <c r="AB286" s="11" t="s">
        <v>994</v>
      </c>
      <c r="AC286" s="11" t="s">
        <v>994</v>
      </c>
      <c r="AD286" s="11" t="s">
        <v>994</v>
      </c>
      <c r="AE286" s="11" t="s">
        <v>995</v>
      </c>
    </row>
    <row r="287">
      <c r="B287" s="26" t="s">
        <v>49</v>
      </c>
      <c r="C287" s="12" t="s">
        <v>1625</v>
      </c>
      <c r="D287" s="11" t="s">
        <v>862</v>
      </c>
      <c r="E287" s="11" t="s">
        <v>69</v>
      </c>
      <c r="F287" s="12" t="s">
        <v>419</v>
      </c>
      <c r="G287" s="12" t="s">
        <v>246</v>
      </c>
      <c r="H287" s="12" t="s">
        <v>246</v>
      </c>
      <c r="I287" s="12" t="s">
        <v>60</v>
      </c>
      <c r="J287" s="12" t="s">
        <v>1027</v>
      </c>
      <c r="K287" s="12" t="s">
        <v>69</v>
      </c>
      <c r="L287" s="12" t="s">
        <v>247</v>
      </c>
      <c r="M287" s="12" t="s">
        <v>994</v>
      </c>
      <c r="N287" s="13" t="s">
        <v>863</v>
      </c>
      <c r="O287" s="11" t="s">
        <v>818</v>
      </c>
      <c r="P287" s="11" t="s">
        <v>600</v>
      </c>
      <c r="Q287" s="11" t="s">
        <v>125</v>
      </c>
      <c r="R287" s="11" t="s">
        <v>150</v>
      </c>
      <c r="S287" s="11" t="s">
        <v>125</v>
      </c>
      <c r="T287" s="11" t="s">
        <v>125</v>
      </c>
      <c r="U287" s="11" t="s">
        <v>29</v>
      </c>
      <c r="V287" s="11" t="s">
        <v>1766</v>
      </c>
      <c r="W287" s="11" t="s">
        <v>994</v>
      </c>
      <c r="X287" s="11" t="s">
        <v>994</v>
      </c>
      <c r="Y287" s="11" t="s">
        <v>994</v>
      </c>
      <c r="Z287" s="11" t="s">
        <v>994</v>
      </c>
      <c r="AA287" s="11" t="s">
        <v>994</v>
      </c>
      <c r="AB287" s="11" t="s">
        <v>994</v>
      </c>
      <c r="AC287" s="11" t="s">
        <v>994</v>
      </c>
      <c r="AD287" s="11" t="s">
        <v>1296</v>
      </c>
      <c r="AE287" s="11" t="s">
        <v>995</v>
      </c>
    </row>
    <row r="288">
      <c r="B288" s="26" t="s">
        <v>49</v>
      </c>
      <c r="C288" s="12" t="s">
        <v>1626</v>
      </c>
      <c r="D288" s="11" t="s">
        <v>864</v>
      </c>
      <c r="E288" s="11" t="s">
        <v>69</v>
      </c>
      <c r="F288" s="12" t="s">
        <v>49</v>
      </c>
      <c r="G288" s="12" t="s">
        <v>246</v>
      </c>
      <c r="H288" s="12" t="s">
        <v>246</v>
      </c>
      <c r="I288" s="12" t="s">
        <v>60</v>
      </c>
      <c r="J288" s="12" t="s">
        <v>1027</v>
      </c>
      <c r="K288" s="12" t="s">
        <v>69</v>
      </c>
      <c r="L288" s="12" t="s">
        <v>247</v>
      </c>
      <c r="M288" s="12" t="s">
        <v>994</v>
      </c>
      <c r="N288" s="13" t="s">
        <v>865</v>
      </c>
      <c r="O288" s="11" t="s">
        <v>818</v>
      </c>
      <c r="P288" s="11" t="s">
        <v>600</v>
      </c>
      <c r="Q288" s="11" t="s">
        <v>125</v>
      </c>
      <c r="R288" s="11" t="s">
        <v>150</v>
      </c>
      <c r="S288" s="11" t="s">
        <v>125</v>
      </c>
      <c r="T288" s="11" t="s">
        <v>126</v>
      </c>
      <c r="U288" s="11" t="s">
        <v>38</v>
      </c>
      <c r="V288" s="11" t="s">
        <v>1765</v>
      </c>
      <c r="W288" s="11" t="s">
        <v>994</v>
      </c>
      <c r="X288" s="11" t="s">
        <v>994</v>
      </c>
      <c r="Y288" s="11" t="s">
        <v>994</v>
      </c>
      <c r="Z288" s="11" t="s">
        <v>994</v>
      </c>
      <c r="AA288" s="11" t="s">
        <v>994</v>
      </c>
      <c r="AB288" s="11" t="s">
        <v>994</v>
      </c>
      <c r="AC288" s="11" t="s">
        <v>994</v>
      </c>
      <c r="AD288" s="11" t="s">
        <v>994</v>
      </c>
      <c r="AE288" s="11" t="s">
        <v>995</v>
      </c>
    </row>
    <row r="289">
      <c r="B289" s="26" t="s">
        <v>49</v>
      </c>
      <c r="C289" s="12" t="s">
        <v>1627</v>
      </c>
      <c r="D289" s="11" t="s">
        <v>866</v>
      </c>
      <c r="E289" s="11" t="s">
        <v>69</v>
      </c>
      <c r="F289" s="12" t="s">
        <v>130</v>
      </c>
      <c r="G289" s="12" t="s">
        <v>246</v>
      </c>
      <c r="H289" s="12" t="s">
        <v>246</v>
      </c>
      <c r="I289" s="12" t="s">
        <v>60</v>
      </c>
      <c r="J289" s="12" t="s">
        <v>1027</v>
      </c>
      <c r="K289" s="12" t="s">
        <v>69</v>
      </c>
      <c r="L289" s="12" t="s">
        <v>247</v>
      </c>
      <c r="M289" s="12" t="s">
        <v>994</v>
      </c>
      <c r="N289" s="13" t="s">
        <v>867</v>
      </c>
      <c r="O289" s="11" t="s">
        <v>818</v>
      </c>
      <c r="P289" s="11" t="s">
        <v>600</v>
      </c>
      <c r="Q289" s="11" t="s">
        <v>125</v>
      </c>
      <c r="R289" s="11" t="s">
        <v>150</v>
      </c>
      <c r="S289" s="11" t="s">
        <v>125</v>
      </c>
      <c r="T289" s="11" t="s">
        <v>126</v>
      </c>
      <c r="U289" s="11" t="s">
        <v>38</v>
      </c>
      <c r="V289" s="11" t="s">
        <v>1765</v>
      </c>
      <c r="W289" s="11" t="s">
        <v>994</v>
      </c>
      <c r="X289" s="11" t="s">
        <v>994</v>
      </c>
      <c r="Y289" s="11" t="s">
        <v>994</v>
      </c>
      <c r="Z289" s="11" t="s">
        <v>994</v>
      </c>
      <c r="AA289" s="11" t="s">
        <v>994</v>
      </c>
      <c r="AB289" s="11" t="s">
        <v>994</v>
      </c>
      <c r="AC289" s="11" t="s">
        <v>994</v>
      </c>
      <c r="AD289" s="11" t="s">
        <v>994</v>
      </c>
      <c r="AE289" s="11" t="s">
        <v>995</v>
      </c>
    </row>
    <row r="290">
      <c r="B290" s="26" t="s">
        <v>49</v>
      </c>
      <c r="C290" s="12" t="s">
        <v>1628</v>
      </c>
      <c r="D290" s="11" t="s">
        <v>868</v>
      </c>
      <c r="E290" s="11" t="s">
        <v>69</v>
      </c>
      <c r="F290" s="12" t="s">
        <v>130</v>
      </c>
      <c r="G290" s="12" t="s">
        <v>246</v>
      </c>
      <c r="H290" s="12" t="s">
        <v>246</v>
      </c>
      <c r="I290" s="12" t="s">
        <v>60</v>
      </c>
      <c r="J290" s="12" t="s">
        <v>1027</v>
      </c>
      <c r="K290" s="12" t="s">
        <v>69</v>
      </c>
      <c r="L290" s="12" t="s">
        <v>247</v>
      </c>
      <c r="M290" s="12" t="s">
        <v>994</v>
      </c>
      <c r="N290" s="13" t="s">
        <v>869</v>
      </c>
      <c r="O290" s="11" t="s">
        <v>818</v>
      </c>
      <c r="P290" s="11" t="s">
        <v>600</v>
      </c>
      <c r="Q290" s="11" t="s">
        <v>125</v>
      </c>
      <c r="R290" s="11" t="s">
        <v>150</v>
      </c>
      <c r="S290" s="11" t="s">
        <v>125</v>
      </c>
      <c r="T290" s="11" t="s">
        <v>126</v>
      </c>
      <c r="U290" s="11" t="s">
        <v>38</v>
      </c>
      <c r="V290" s="11" t="s">
        <v>1765</v>
      </c>
      <c r="W290" s="11" t="s">
        <v>994</v>
      </c>
      <c r="X290" s="11" t="s">
        <v>994</v>
      </c>
      <c r="Y290" s="11" t="s">
        <v>994</v>
      </c>
      <c r="Z290" s="11" t="s">
        <v>994</v>
      </c>
      <c r="AA290" s="11" t="s">
        <v>994</v>
      </c>
      <c r="AB290" s="11" t="s">
        <v>994</v>
      </c>
      <c r="AC290" s="11" t="s">
        <v>994</v>
      </c>
      <c r="AD290" s="11" t="s">
        <v>994</v>
      </c>
      <c r="AE290" s="11" t="s">
        <v>995</v>
      </c>
    </row>
    <row r="291">
      <c r="B291" s="26" t="s">
        <v>49</v>
      </c>
      <c r="C291" s="12" t="s">
        <v>1629</v>
      </c>
      <c r="D291" s="11" t="s">
        <v>870</v>
      </c>
      <c r="E291" s="11" t="s">
        <v>69</v>
      </c>
      <c r="F291" s="12" t="s">
        <v>130</v>
      </c>
      <c r="G291" s="12" t="s">
        <v>246</v>
      </c>
      <c r="H291" s="12" t="s">
        <v>246</v>
      </c>
      <c r="I291" s="12" t="s">
        <v>60</v>
      </c>
      <c r="J291" s="12" t="s">
        <v>1027</v>
      </c>
      <c r="K291" s="12" t="s">
        <v>69</v>
      </c>
      <c r="L291" s="12" t="s">
        <v>247</v>
      </c>
      <c r="M291" s="12" t="s">
        <v>994</v>
      </c>
      <c r="N291" s="13" t="s">
        <v>871</v>
      </c>
      <c r="O291" s="11" t="s">
        <v>818</v>
      </c>
      <c r="P291" s="11" t="s">
        <v>600</v>
      </c>
      <c r="Q291" s="11" t="s">
        <v>125</v>
      </c>
      <c r="R291" s="11" t="s">
        <v>150</v>
      </c>
      <c r="S291" s="11" t="s">
        <v>125</v>
      </c>
      <c r="T291" s="11" t="s">
        <v>126</v>
      </c>
      <c r="U291" s="11" t="s">
        <v>38</v>
      </c>
      <c r="V291" s="11" t="s">
        <v>1765</v>
      </c>
      <c r="W291" s="11" t="s">
        <v>994</v>
      </c>
      <c r="X291" s="11" t="s">
        <v>994</v>
      </c>
      <c r="Y291" s="11" t="s">
        <v>994</v>
      </c>
      <c r="Z291" s="11" t="s">
        <v>994</v>
      </c>
      <c r="AA291" s="11" t="s">
        <v>994</v>
      </c>
      <c r="AB291" s="11" t="s">
        <v>994</v>
      </c>
      <c r="AC291" s="11" t="s">
        <v>994</v>
      </c>
      <c r="AD291" s="11" t="s">
        <v>994</v>
      </c>
      <c r="AE291" s="11" t="s">
        <v>995</v>
      </c>
    </row>
    <row r="292">
      <c r="B292" s="26" t="s">
        <v>49</v>
      </c>
      <c r="C292" s="12" t="s">
        <v>1630</v>
      </c>
      <c r="D292" s="11" t="s">
        <v>872</v>
      </c>
      <c r="E292" s="11" t="s">
        <v>69</v>
      </c>
      <c r="F292" s="12" t="s">
        <v>130</v>
      </c>
      <c r="G292" s="12" t="s">
        <v>246</v>
      </c>
      <c r="H292" s="12" t="s">
        <v>246</v>
      </c>
      <c r="I292" s="12" t="s">
        <v>60</v>
      </c>
      <c r="J292" s="12" t="s">
        <v>1027</v>
      </c>
      <c r="K292" s="12" t="s">
        <v>69</v>
      </c>
      <c r="L292" s="12" t="s">
        <v>247</v>
      </c>
      <c r="M292" s="12" t="s">
        <v>994</v>
      </c>
      <c r="N292" s="13" t="s">
        <v>873</v>
      </c>
      <c r="O292" s="11" t="s">
        <v>818</v>
      </c>
      <c r="P292" s="11" t="s">
        <v>600</v>
      </c>
      <c r="Q292" s="11" t="s">
        <v>125</v>
      </c>
      <c r="R292" s="11" t="s">
        <v>150</v>
      </c>
      <c r="S292" s="11" t="s">
        <v>125</v>
      </c>
      <c r="T292" s="11" t="s">
        <v>126</v>
      </c>
      <c r="U292" s="11" t="s">
        <v>38</v>
      </c>
      <c r="V292" s="11" t="s">
        <v>1765</v>
      </c>
      <c r="W292" s="11" t="s">
        <v>994</v>
      </c>
      <c r="X292" s="11" t="s">
        <v>994</v>
      </c>
      <c r="Y292" s="11" t="s">
        <v>994</v>
      </c>
      <c r="Z292" s="11" t="s">
        <v>994</v>
      </c>
      <c r="AA292" s="11" t="s">
        <v>994</v>
      </c>
      <c r="AB292" s="11" t="s">
        <v>994</v>
      </c>
      <c r="AC292" s="11" t="s">
        <v>994</v>
      </c>
      <c r="AD292" s="11" t="s">
        <v>994</v>
      </c>
      <c r="AE292" s="11" t="s">
        <v>995</v>
      </c>
    </row>
    <row r="293">
      <c r="B293" s="26" t="s">
        <v>49</v>
      </c>
      <c r="C293" s="12" t="s">
        <v>1631</v>
      </c>
      <c r="D293" s="11" t="s">
        <v>874</v>
      </c>
      <c r="E293" s="11" t="s">
        <v>69</v>
      </c>
      <c r="F293" s="12" t="s">
        <v>49</v>
      </c>
      <c r="G293" s="12" t="s">
        <v>246</v>
      </c>
      <c r="H293" s="12" t="s">
        <v>246</v>
      </c>
      <c r="I293" s="12" t="s">
        <v>60</v>
      </c>
      <c r="J293" s="12" t="s">
        <v>1027</v>
      </c>
      <c r="K293" s="12" t="s">
        <v>69</v>
      </c>
      <c r="L293" s="12" t="s">
        <v>247</v>
      </c>
      <c r="M293" s="12" t="s">
        <v>994</v>
      </c>
      <c r="N293" s="13" t="s">
        <v>875</v>
      </c>
      <c r="O293" s="11" t="s">
        <v>818</v>
      </c>
      <c r="P293" s="11" t="s">
        <v>600</v>
      </c>
      <c r="Q293" s="11" t="s">
        <v>125</v>
      </c>
      <c r="R293" s="11" t="s">
        <v>150</v>
      </c>
      <c r="S293" s="11" t="s">
        <v>125</v>
      </c>
      <c r="T293" s="11" t="s">
        <v>126</v>
      </c>
      <c r="U293" s="11" t="s">
        <v>38</v>
      </c>
      <c r="V293" s="11" t="s">
        <v>1765</v>
      </c>
      <c r="W293" s="11" t="s">
        <v>994</v>
      </c>
      <c r="X293" s="11" t="s">
        <v>994</v>
      </c>
      <c r="Y293" s="11" t="s">
        <v>994</v>
      </c>
      <c r="Z293" s="11" t="s">
        <v>994</v>
      </c>
      <c r="AA293" s="11" t="s">
        <v>994</v>
      </c>
      <c r="AB293" s="11" t="s">
        <v>994</v>
      </c>
      <c r="AC293" s="11" t="s">
        <v>994</v>
      </c>
      <c r="AD293" s="11" t="s">
        <v>994</v>
      </c>
      <c r="AE293" s="11" t="s">
        <v>995</v>
      </c>
    </row>
    <row r="294">
      <c r="B294" s="26" t="s">
        <v>49</v>
      </c>
      <c r="C294" s="12" t="s">
        <v>1632</v>
      </c>
      <c r="D294" s="11" t="s">
        <v>876</v>
      </c>
      <c r="E294" s="11" t="s">
        <v>69</v>
      </c>
      <c r="F294" s="12" t="s">
        <v>286</v>
      </c>
      <c r="G294" s="12" t="s">
        <v>246</v>
      </c>
      <c r="H294" s="12" t="s">
        <v>246</v>
      </c>
      <c r="I294" s="12" t="s">
        <v>60</v>
      </c>
      <c r="J294" s="12" t="s">
        <v>1027</v>
      </c>
      <c r="K294" s="12" t="s">
        <v>69</v>
      </c>
      <c r="L294" s="12" t="s">
        <v>247</v>
      </c>
      <c r="M294" s="12" t="s">
        <v>994</v>
      </c>
      <c r="N294" s="13" t="s">
        <v>877</v>
      </c>
      <c r="O294" s="11" t="s">
        <v>818</v>
      </c>
      <c r="P294" s="11" t="s">
        <v>600</v>
      </c>
      <c r="Q294" s="11" t="s">
        <v>125</v>
      </c>
      <c r="R294" s="11" t="s">
        <v>150</v>
      </c>
      <c r="S294" s="11" t="s">
        <v>125</v>
      </c>
      <c r="T294" s="11" t="s">
        <v>126</v>
      </c>
      <c r="U294" s="11" t="s">
        <v>38</v>
      </c>
      <c r="V294" s="11" t="s">
        <v>1765</v>
      </c>
      <c r="W294" s="11" t="s">
        <v>994</v>
      </c>
      <c r="X294" s="11" t="s">
        <v>994</v>
      </c>
      <c r="Y294" s="11" t="s">
        <v>994</v>
      </c>
      <c r="Z294" s="11" t="s">
        <v>994</v>
      </c>
      <c r="AA294" s="11" t="s">
        <v>994</v>
      </c>
      <c r="AB294" s="11" t="s">
        <v>994</v>
      </c>
      <c r="AC294" s="11" t="s">
        <v>994</v>
      </c>
      <c r="AD294" s="11" t="s">
        <v>994</v>
      </c>
      <c r="AE294" s="11" t="s">
        <v>995</v>
      </c>
    </row>
    <row r="295">
      <c r="B295" s="26" t="s">
        <v>49</v>
      </c>
      <c r="C295" s="12" t="s">
        <v>1633</v>
      </c>
      <c r="D295" s="11" t="s">
        <v>878</v>
      </c>
      <c r="E295" s="11" t="s">
        <v>69</v>
      </c>
      <c r="F295" s="12" t="s">
        <v>49</v>
      </c>
      <c r="G295" s="12" t="s">
        <v>246</v>
      </c>
      <c r="H295" s="12" t="s">
        <v>246</v>
      </c>
      <c r="I295" s="12" t="s">
        <v>60</v>
      </c>
      <c r="J295" s="12" t="s">
        <v>1027</v>
      </c>
      <c r="K295" s="12" t="s">
        <v>69</v>
      </c>
      <c r="L295" s="12" t="s">
        <v>247</v>
      </c>
      <c r="M295" s="12" t="s">
        <v>994</v>
      </c>
      <c r="N295" s="13" t="s">
        <v>879</v>
      </c>
      <c r="O295" s="11" t="s">
        <v>818</v>
      </c>
      <c r="P295" s="11" t="s">
        <v>600</v>
      </c>
      <c r="Q295" s="11" t="s">
        <v>125</v>
      </c>
      <c r="R295" s="11" t="s">
        <v>150</v>
      </c>
      <c r="S295" s="11" t="s">
        <v>125</v>
      </c>
      <c r="T295" s="11" t="s">
        <v>126</v>
      </c>
      <c r="U295" s="11" t="s">
        <v>38</v>
      </c>
      <c r="V295" s="11" t="s">
        <v>1765</v>
      </c>
      <c r="W295" s="11" t="s">
        <v>994</v>
      </c>
      <c r="X295" s="11" t="s">
        <v>994</v>
      </c>
      <c r="Y295" s="11" t="s">
        <v>994</v>
      </c>
      <c r="Z295" s="11" t="s">
        <v>994</v>
      </c>
      <c r="AA295" s="11" t="s">
        <v>994</v>
      </c>
      <c r="AB295" s="11" t="s">
        <v>994</v>
      </c>
      <c r="AC295" s="11" t="s">
        <v>994</v>
      </c>
      <c r="AD295" s="11" t="s">
        <v>994</v>
      </c>
      <c r="AE295" s="11" t="s">
        <v>995</v>
      </c>
    </row>
    <row r="296">
      <c r="B296" s="26" t="s">
        <v>278</v>
      </c>
      <c r="C296" s="12" t="s">
        <v>1634</v>
      </c>
      <c r="D296" s="11" t="s">
        <v>880</v>
      </c>
      <c r="E296" s="11" t="s">
        <v>69</v>
      </c>
      <c r="F296" s="12" t="s">
        <v>278</v>
      </c>
      <c r="G296" s="12" t="s">
        <v>246</v>
      </c>
      <c r="H296" s="12" t="s">
        <v>246</v>
      </c>
      <c r="I296" s="12" t="s">
        <v>60</v>
      </c>
      <c r="J296" s="12" t="s">
        <v>1027</v>
      </c>
      <c r="K296" s="12" t="s">
        <v>69</v>
      </c>
      <c r="L296" s="12" t="s">
        <v>247</v>
      </c>
      <c r="M296" s="12" t="s">
        <v>994</v>
      </c>
      <c r="N296" s="13" t="s">
        <v>881</v>
      </c>
      <c r="O296" s="11" t="s">
        <v>818</v>
      </c>
      <c r="P296" s="11" t="s">
        <v>600</v>
      </c>
      <c r="Q296" s="11" t="s">
        <v>125</v>
      </c>
      <c r="R296" s="11" t="s">
        <v>150</v>
      </c>
      <c r="S296" s="11" t="s">
        <v>125</v>
      </c>
      <c r="T296" s="11" t="s">
        <v>126</v>
      </c>
      <c r="U296" s="11" t="s">
        <v>38</v>
      </c>
      <c r="V296" s="11" t="s">
        <v>1765</v>
      </c>
      <c r="W296" s="11" t="s">
        <v>994</v>
      </c>
      <c r="X296" s="11" t="s">
        <v>994</v>
      </c>
      <c r="Y296" s="11" t="s">
        <v>994</v>
      </c>
      <c r="Z296" s="11" t="s">
        <v>994</v>
      </c>
      <c r="AA296" s="11" t="s">
        <v>994</v>
      </c>
      <c r="AB296" s="11" t="s">
        <v>994</v>
      </c>
      <c r="AC296" s="11" t="s">
        <v>994</v>
      </c>
      <c r="AD296" s="11" t="s">
        <v>994</v>
      </c>
      <c r="AE296" s="11" t="s">
        <v>995</v>
      </c>
    </row>
    <row r="297">
      <c r="B297" s="26" t="s">
        <v>295</v>
      </c>
      <c r="C297" s="12" t="s">
        <v>1635</v>
      </c>
      <c r="D297" s="11" t="s">
        <v>882</v>
      </c>
      <c r="E297" s="11" t="s">
        <v>69</v>
      </c>
      <c r="F297" s="12" t="s">
        <v>295</v>
      </c>
      <c r="G297" s="12" t="s">
        <v>246</v>
      </c>
      <c r="H297" s="12" t="s">
        <v>246</v>
      </c>
      <c r="I297" s="12" t="s">
        <v>60</v>
      </c>
      <c r="J297" s="12" t="s">
        <v>1027</v>
      </c>
      <c r="K297" s="12" t="s">
        <v>69</v>
      </c>
      <c r="L297" s="12" t="s">
        <v>247</v>
      </c>
      <c r="M297" s="12" t="s">
        <v>994</v>
      </c>
      <c r="N297" s="13" t="s">
        <v>883</v>
      </c>
      <c r="O297" s="11" t="s">
        <v>818</v>
      </c>
      <c r="P297" s="11" t="s">
        <v>600</v>
      </c>
      <c r="Q297" s="11" t="s">
        <v>125</v>
      </c>
      <c r="R297" s="11" t="s">
        <v>150</v>
      </c>
      <c r="S297" s="11" t="s">
        <v>125</v>
      </c>
      <c r="T297" s="11" t="s">
        <v>126</v>
      </c>
      <c r="U297" s="11" t="s">
        <v>38</v>
      </c>
      <c r="V297" s="11" t="s">
        <v>1765</v>
      </c>
      <c r="W297" s="11" t="s">
        <v>994</v>
      </c>
      <c r="X297" s="11" t="s">
        <v>994</v>
      </c>
      <c r="Y297" s="11" t="s">
        <v>994</v>
      </c>
      <c r="Z297" s="11" t="s">
        <v>994</v>
      </c>
      <c r="AA297" s="11" t="s">
        <v>994</v>
      </c>
      <c r="AB297" s="11" t="s">
        <v>994</v>
      </c>
      <c r="AC297" s="11" t="s">
        <v>994</v>
      </c>
      <c r="AD297" s="11" t="s">
        <v>994</v>
      </c>
      <c r="AE297" s="11" t="s">
        <v>995</v>
      </c>
    </row>
    <row r="298">
      <c r="B298" s="26" t="s">
        <v>311</v>
      </c>
      <c r="C298" s="12" t="s">
        <v>1636</v>
      </c>
      <c r="D298" s="11" t="s">
        <v>884</v>
      </c>
      <c r="E298" s="11" t="s">
        <v>69</v>
      </c>
      <c r="F298" s="12" t="s">
        <v>311</v>
      </c>
      <c r="G298" s="12" t="s">
        <v>246</v>
      </c>
      <c r="H298" s="12" t="s">
        <v>246</v>
      </c>
      <c r="I298" s="12" t="s">
        <v>60</v>
      </c>
      <c r="J298" s="12" t="s">
        <v>1027</v>
      </c>
      <c r="K298" s="12" t="s">
        <v>69</v>
      </c>
      <c r="L298" s="12" t="s">
        <v>247</v>
      </c>
      <c r="M298" s="12" t="s">
        <v>994</v>
      </c>
      <c r="N298" s="13" t="s">
        <v>885</v>
      </c>
      <c r="O298" s="11" t="s">
        <v>818</v>
      </c>
      <c r="P298" s="11" t="s">
        <v>600</v>
      </c>
      <c r="Q298" s="11" t="s">
        <v>125</v>
      </c>
      <c r="R298" s="11" t="s">
        <v>150</v>
      </c>
      <c r="S298" s="11" t="s">
        <v>125</v>
      </c>
      <c r="T298" s="11" t="s">
        <v>126</v>
      </c>
      <c r="U298" s="11" t="s">
        <v>38</v>
      </c>
      <c r="V298" s="11" t="s">
        <v>1765</v>
      </c>
      <c r="W298" s="11" t="s">
        <v>994</v>
      </c>
      <c r="X298" s="11" t="s">
        <v>994</v>
      </c>
      <c r="Y298" s="11" t="s">
        <v>994</v>
      </c>
      <c r="Z298" s="11" t="s">
        <v>994</v>
      </c>
      <c r="AA298" s="11" t="s">
        <v>994</v>
      </c>
      <c r="AB298" s="11" t="s">
        <v>994</v>
      </c>
      <c r="AC298" s="11" t="s">
        <v>994</v>
      </c>
      <c r="AD298" s="11" t="s">
        <v>994</v>
      </c>
      <c r="AE298" s="11" t="s">
        <v>995</v>
      </c>
    </row>
    <row r="299">
      <c r="B299" s="26" t="s">
        <v>49</v>
      </c>
      <c r="C299" s="12" t="s">
        <v>1637</v>
      </c>
      <c r="D299" s="11" t="s">
        <v>886</v>
      </c>
      <c r="E299" s="11" t="s">
        <v>69</v>
      </c>
      <c r="F299" s="12" t="s">
        <v>694</v>
      </c>
      <c r="G299" s="12" t="s">
        <v>246</v>
      </c>
      <c r="H299" s="12" t="s">
        <v>246</v>
      </c>
      <c r="I299" s="12" t="s">
        <v>60</v>
      </c>
      <c r="J299" s="12" t="s">
        <v>1027</v>
      </c>
      <c r="K299" s="12" t="s">
        <v>69</v>
      </c>
      <c r="L299" s="12" t="s">
        <v>247</v>
      </c>
      <c r="M299" s="12" t="s">
        <v>994</v>
      </c>
      <c r="N299" s="13" t="s">
        <v>1748</v>
      </c>
      <c r="O299" s="11" t="s">
        <v>818</v>
      </c>
      <c r="P299" s="11" t="s">
        <v>600</v>
      </c>
      <c r="Q299" s="11" t="s">
        <v>125</v>
      </c>
      <c r="R299" s="11" t="s">
        <v>150</v>
      </c>
      <c r="S299" s="11" t="s">
        <v>994</v>
      </c>
      <c r="T299" s="11" t="s">
        <v>126</v>
      </c>
      <c r="U299" s="11" t="s">
        <v>994</v>
      </c>
      <c r="V299" s="11" t="s">
        <v>994</v>
      </c>
      <c r="W299" s="11" t="s">
        <v>994</v>
      </c>
      <c r="X299" s="11" t="s">
        <v>994</v>
      </c>
      <c r="Y299" s="11" t="s">
        <v>994</v>
      </c>
      <c r="Z299" s="11" t="s">
        <v>994</v>
      </c>
      <c r="AA299" s="11" t="s">
        <v>994</v>
      </c>
      <c r="AB299" s="11" t="s">
        <v>994</v>
      </c>
      <c r="AC299" s="11" t="s">
        <v>994</v>
      </c>
      <c r="AD299" s="11" t="s">
        <v>994</v>
      </c>
      <c r="AE299" s="11" t="s">
        <v>1804</v>
      </c>
    </row>
    <row r="300">
      <c r="B300" s="26" t="s">
        <v>49</v>
      </c>
      <c r="C300" s="12" t="s">
        <v>1638</v>
      </c>
      <c r="D300" s="11" t="s">
        <v>887</v>
      </c>
      <c r="E300" s="11" t="s">
        <v>69</v>
      </c>
      <c r="F300" s="12" t="s">
        <v>49</v>
      </c>
      <c r="G300" s="12" t="s">
        <v>246</v>
      </c>
      <c r="H300" s="12" t="s">
        <v>246</v>
      </c>
      <c r="I300" s="12" t="s">
        <v>60</v>
      </c>
      <c r="J300" s="12" t="s">
        <v>1027</v>
      </c>
      <c r="K300" s="12" t="s">
        <v>69</v>
      </c>
      <c r="L300" s="12" t="s">
        <v>247</v>
      </c>
      <c r="M300" s="12" t="s">
        <v>994</v>
      </c>
      <c r="N300" s="13" t="s">
        <v>1749</v>
      </c>
      <c r="O300" s="11" t="s">
        <v>818</v>
      </c>
      <c r="P300" s="11" t="s">
        <v>600</v>
      </c>
      <c r="Q300" s="11" t="s">
        <v>125</v>
      </c>
      <c r="R300" s="11" t="s">
        <v>150</v>
      </c>
      <c r="S300" s="11" t="s">
        <v>994</v>
      </c>
      <c r="T300" s="11" t="s">
        <v>126</v>
      </c>
      <c r="U300" s="11" t="s">
        <v>994</v>
      </c>
      <c r="V300" s="11" t="s">
        <v>994</v>
      </c>
      <c r="W300" s="11" t="s">
        <v>994</v>
      </c>
      <c r="X300" s="11" t="s">
        <v>994</v>
      </c>
      <c r="Y300" s="11" t="s">
        <v>994</v>
      </c>
      <c r="Z300" s="11" t="s">
        <v>994</v>
      </c>
      <c r="AA300" s="11" t="s">
        <v>994</v>
      </c>
      <c r="AB300" s="11" t="s">
        <v>994</v>
      </c>
      <c r="AC300" s="11" t="s">
        <v>994</v>
      </c>
      <c r="AD300" s="11" t="s">
        <v>994</v>
      </c>
      <c r="AE300" s="11" t="s">
        <v>1804</v>
      </c>
    </row>
    <row r="301">
      <c r="B301" s="26" t="s">
        <v>49</v>
      </c>
      <c r="C301" s="12" t="s">
        <v>1639</v>
      </c>
      <c r="D301" s="11" t="s">
        <v>888</v>
      </c>
      <c r="E301" s="11" t="s">
        <v>69</v>
      </c>
      <c r="F301" s="12" t="s">
        <v>49</v>
      </c>
      <c r="G301" s="12" t="s">
        <v>246</v>
      </c>
      <c r="H301" s="12" t="s">
        <v>246</v>
      </c>
      <c r="I301" s="12" t="s">
        <v>430</v>
      </c>
      <c r="J301" s="12" t="s">
        <v>1027</v>
      </c>
      <c r="K301" s="12" t="s">
        <v>69</v>
      </c>
      <c r="L301" s="12" t="s">
        <v>247</v>
      </c>
      <c r="M301" s="12" t="s">
        <v>994</v>
      </c>
      <c r="N301" s="13" t="s">
        <v>1750</v>
      </c>
      <c r="O301" s="11" t="s">
        <v>818</v>
      </c>
      <c r="P301" s="11" t="s">
        <v>600</v>
      </c>
      <c r="Q301" s="11" t="s">
        <v>125</v>
      </c>
      <c r="R301" s="11" t="s">
        <v>150</v>
      </c>
      <c r="S301" s="11" t="s">
        <v>994</v>
      </c>
      <c r="T301" s="11" t="s">
        <v>125</v>
      </c>
      <c r="U301" s="11" t="s">
        <v>1016</v>
      </c>
      <c r="V301" s="11" t="s">
        <v>1762</v>
      </c>
      <c r="W301" s="11" t="s">
        <v>994</v>
      </c>
      <c r="X301" s="11" t="s">
        <v>994</v>
      </c>
      <c r="Y301" s="11" t="s">
        <v>994</v>
      </c>
      <c r="Z301" s="11" t="s">
        <v>1798</v>
      </c>
      <c r="AA301" s="11" t="s">
        <v>1798</v>
      </c>
      <c r="AB301" s="11" t="s">
        <v>30</v>
      </c>
      <c r="AC301" s="11" t="s">
        <v>1354</v>
      </c>
      <c r="AD301" s="11" t="s">
        <v>992</v>
      </c>
      <c r="AE301" s="11" t="s">
        <v>995</v>
      </c>
    </row>
    <row r="302">
      <c r="B302" s="26" t="s">
        <v>49</v>
      </c>
      <c r="C302" s="12" t="s">
        <v>1640</v>
      </c>
      <c r="D302" s="11" t="s">
        <v>889</v>
      </c>
      <c r="E302" s="11" t="s">
        <v>69</v>
      </c>
      <c r="F302" s="12" t="s">
        <v>49</v>
      </c>
      <c r="G302" s="12" t="s">
        <v>246</v>
      </c>
      <c r="H302" s="12" t="s">
        <v>246</v>
      </c>
      <c r="I302" s="12" t="s">
        <v>430</v>
      </c>
      <c r="J302" s="12" t="s">
        <v>1027</v>
      </c>
      <c r="K302" s="12" t="s">
        <v>69</v>
      </c>
      <c r="L302" s="12" t="s">
        <v>247</v>
      </c>
      <c r="M302" s="12" t="s">
        <v>994</v>
      </c>
      <c r="N302" s="13" t="s">
        <v>1751</v>
      </c>
      <c r="O302" s="11" t="s">
        <v>818</v>
      </c>
      <c r="P302" s="11" t="s">
        <v>600</v>
      </c>
      <c r="Q302" s="11" t="s">
        <v>125</v>
      </c>
      <c r="R302" s="11" t="s">
        <v>150</v>
      </c>
      <c r="S302" s="11" t="s">
        <v>994</v>
      </c>
      <c r="T302" s="11" t="s">
        <v>125</v>
      </c>
      <c r="U302" s="11" t="s">
        <v>1016</v>
      </c>
      <c r="V302" s="11" t="s">
        <v>1762</v>
      </c>
      <c r="W302" s="11" t="s">
        <v>1764</v>
      </c>
      <c r="X302" s="11" t="s">
        <v>994</v>
      </c>
      <c r="Y302" s="11" t="s">
        <v>994</v>
      </c>
      <c r="Z302" s="11" t="s">
        <v>1799</v>
      </c>
      <c r="AA302" s="11" t="s">
        <v>1803</v>
      </c>
      <c r="AB302" s="11" t="s">
        <v>30</v>
      </c>
      <c r="AC302" s="11" t="s">
        <v>1347</v>
      </c>
      <c r="AD302" s="11" t="s">
        <v>1006</v>
      </c>
      <c r="AE302" s="11" t="s">
        <v>995</v>
      </c>
    </row>
    <row r="303">
      <c r="B303" s="26" t="s">
        <v>49</v>
      </c>
      <c r="C303" s="12" t="s">
        <v>1641</v>
      </c>
      <c r="D303" s="11" t="s">
        <v>890</v>
      </c>
      <c r="E303" s="11" t="s">
        <v>69</v>
      </c>
      <c r="F303" s="12" t="s">
        <v>49</v>
      </c>
      <c r="G303" s="12" t="s">
        <v>246</v>
      </c>
      <c r="H303" s="12" t="s">
        <v>246</v>
      </c>
      <c r="I303" s="12" t="s">
        <v>430</v>
      </c>
      <c r="J303" s="12" t="s">
        <v>1027</v>
      </c>
      <c r="K303" s="12" t="s">
        <v>69</v>
      </c>
      <c r="L303" s="12" t="s">
        <v>247</v>
      </c>
      <c r="M303" s="12" t="s">
        <v>994</v>
      </c>
      <c r="N303" s="13" t="s">
        <v>891</v>
      </c>
      <c r="O303" s="11" t="s">
        <v>818</v>
      </c>
      <c r="P303" s="11" t="s">
        <v>600</v>
      </c>
      <c r="Q303" s="11" t="s">
        <v>125</v>
      </c>
      <c r="R303" s="11" t="s">
        <v>150</v>
      </c>
      <c r="S303" s="11" t="s">
        <v>994</v>
      </c>
      <c r="T303" s="11" t="s">
        <v>125</v>
      </c>
      <c r="U303" s="11" t="s">
        <v>38</v>
      </c>
      <c r="V303" s="11" t="s">
        <v>1762</v>
      </c>
      <c r="W303" s="11" t="s">
        <v>1765</v>
      </c>
      <c r="X303" s="11" t="s">
        <v>994</v>
      </c>
      <c r="Y303" s="11" t="s">
        <v>994</v>
      </c>
      <c r="Z303" s="11" t="s">
        <v>994</v>
      </c>
      <c r="AA303" s="11" t="s">
        <v>994</v>
      </c>
      <c r="AB303" s="11" t="s">
        <v>994</v>
      </c>
      <c r="AC303" s="11" t="s">
        <v>994</v>
      </c>
      <c r="AD303" s="11" t="s">
        <v>973</v>
      </c>
      <c r="AE303" s="11" t="s">
        <v>995</v>
      </c>
    </row>
    <row r="304">
      <c r="B304" s="26" t="s">
        <v>49</v>
      </c>
      <c r="C304" s="12" t="s">
        <v>1642</v>
      </c>
      <c r="D304" s="11" t="s">
        <v>130</v>
      </c>
      <c r="E304" s="11" t="s">
        <v>892</v>
      </c>
      <c r="F304" s="12" t="s">
        <v>49</v>
      </c>
      <c r="G304" s="12" t="s">
        <v>246</v>
      </c>
      <c r="H304" s="12" t="s">
        <v>246</v>
      </c>
      <c r="I304" s="12" t="s">
        <v>60</v>
      </c>
      <c r="J304" s="12" t="s">
        <v>1034</v>
      </c>
      <c r="K304" s="12" t="s">
        <v>118</v>
      </c>
      <c r="L304" s="12" t="s">
        <v>247</v>
      </c>
      <c r="M304" s="12" t="s">
        <v>994</v>
      </c>
      <c r="N304" s="13" t="s">
        <v>994</v>
      </c>
      <c r="O304" s="11" t="s">
        <v>118</v>
      </c>
      <c r="P304" s="11" t="s">
        <v>323</v>
      </c>
      <c r="Q304" s="11" t="s">
        <v>126</v>
      </c>
      <c r="R304" s="11" t="s">
        <v>150</v>
      </c>
      <c r="S304" s="11" t="s">
        <v>994</v>
      </c>
      <c r="T304" s="11" t="s">
        <v>126</v>
      </c>
      <c r="U304" s="11" t="s">
        <v>994</v>
      </c>
      <c r="V304" s="11" t="s">
        <v>994</v>
      </c>
      <c r="W304" s="11" t="s">
        <v>994</v>
      </c>
      <c r="X304" s="11" t="s">
        <v>994</v>
      </c>
      <c r="Y304" s="11" t="s">
        <v>994</v>
      </c>
      <c r="Z304" s="11" t="s">
        <v>994</v>
      </c>
      <c r="AA304" s="11" t="s">
        <v>994</v>
      </c>
      <c r="AB304" s="11" t="s">
        <v>994</v>
      </c>
      <c r="AC304" s="11" t="s">
        <v>994</v>
      </c>
      <c r="AD304" s="11" t="s">
        <v>994</v>
      </c>
      <c r="AE304" s="11" t="s">
        <v>1804</v>
      </c>
    </row>
    <row r="305">
      <c r="B305" s="26" t="s">
        <v>49</v>
      </c>
      <c r="C305" s="12" t="s">
        <v>1643</v>
      </c>
      <c r="D305" s="11" t="s">
        <v>130</v>
      </c>
      <c r="E305" s="11" t="s">
        <v>892</v>
      </c>
      <c r="F305" s="12" t="s">
        <v>49</v>
      </c>
      <c r="G305" s="12" t="s">
        <v>246</v>
      </c>
      <c r="H305" s="12" t="s">
        <v>246</v>
      </c>
      <c r="I305" s="12" t="s">
        <v>60</v>
      </c>
      <c r="J305" s="12" t="s">
        <v>1034</v>
      </c>
      <c r="K305" s="12" t="s">
        <v>118</v>
      </c>
      <c r="L305" s="12" t="s">
        <v>247</v>
      </c>
      <c r="M305" s="12" t="s">
        <v>994</v>
      </c>
      <c r="N305" s="13" t="s">
        <v>994</v>
      </c>
      <c r="O305" s="11" t="s">
        <v>118</v>
      </c>
      <c r="P305" s="11" t="s">
        <v>323</v>
      </c>
      <c r="Q305" s="11" t="s">
        <v>126</v>
      </c>
      <c r="R305" s="11" t="s">
        <v>150</v>
      </c>
      <c r="S305" s="11" t="s">
        <v>994</v>
      </c>
      <c r="T305" s="11" t="s">
        <v>126</v>
      </c>
      <c r="U305" s="11" t="s">
        <v>994</v>
      </c>
      <c r="V305" s="11" t="s">
        <v>994</v>
      </c>
      <c r="W305" s="11" t="s">
        <v>994</v>
      </c>
      <c r="X305" s="11" t="s">
        <v>994</v>
      </c>
      <c r="Y305" s="11" t="s">
        <v>994</v>
      </c>
      <c r="Z305" s="11" t="s">
        <v>994</v>
      </c>
      <c r="AA305" s="11" t="s">
        <v>994</v>
      </c>
      <c r="AB305" s="11" t="s">
        <v>994</v>
      </c>
      <c r="AC305" s="11" t="s">
        <v>994</v>
      </c>
      <c r="AD305" s="11" t="s">
        <v>994</v>
      </c>
      <c r="AE305" s="11" t="s">
        <v>1804</v>
      </c>
    </row>
    <row r="306">
      <c r="B306" s="26" t="s">
        <v>49</v>
      </c>
      <c r="C306" s="12" t="s">
        <v>1644</v>
      </c>
      <c r="D306" s="11" t="s">
        <v>130</v>
      </c>
      <c r="E306" s="11" t="s">
        <v>892</v>
      </c>
      <c r="F306" s="12" t="s">
        <v>49</v>
      </c>
      <c r="G306" s="12" t="s">
        <v>246</v>
      </c>
      <c r="H306" s="12" t="s">
        <v>246</v>
      </c>
      <c r="I306" s="12" t="s">
        <v>60</v>
      </c>
      <c r="J306" s="12" t="s">
        <v>1034</v>
      </c>
      <c r="K306" s="12" t="s">
        <v>118</v>
      </c>
      <c r="L306" s="12" t="s">
        <v>247</v>
      </c>
      <c r="M306" s="12" t="s">
        <v>994</v>
      </c>
      <c r="N306" s="13" t="s">
        <v>994</v>
      </c>
      <c r="O306" s="11" t="s">
        <v>118</v>
      </c>
      <c r="P306" s="11" t="s">
        <v>323</v>
      </c>
      <c r="Q306" s="11" t="s">
        <v>126</v>
      </c>
      <c r="R306" s="11" t="s">
        <v>150</v>
      </c>
      <c r="S306" s="11" t="s">
        <v>994</v>
      </c>
      <c r="T306" s="11" t="s">
        <v>126</v>
      </c>
      <c r="U306" s="11" t="s">
        <v>994</v>
      </c>
      <c r="V306" s="11" t="s">
        <v>994</v>
      </c>
      <c r="W306" s="11" t="s">
        <v>994</v>
      </c>
      <c r="X306" s="11" t="s">
        <v>994</v>
      </c>
      <c r="Y306" s="11" t="s">
        <v>994</v>
      </c>
      <c r="Z306" s="11" t="s">
        <v>994</v>
      </c>
      <c r="AA306" s="11" t="s">
        <v>994</v>
      </c>
      <c r="AB306" s="11" t="s">
        <v>994</v>
      </c>
      <c r="AC306" s="11" t="s">
        <v>994</v>
      </c>
      <c r="AD306" s="11" t="s">
        <v>994</v>
      </c>
      <c r="AE306" s="11" t="s">
        <v>1804</v>
      </c>
    </row>
    <row r="307">
      <c r="B307" s="26" t="s">
        <v>49</v>
      </c>
      <c r="C307" s="12" t="s">
        <v>1645</v>
      </c>
      <c r="D307" s="11" t="s">
        <v>130</v>
      </c>
      <c r="E307" s="11" t="s">
        <v>892</v>
      </c>
      <c r="F307" s="12" t="s">
        <v>49</v>
      </c>
      <c r="G307" s="12" t="s">
        <v>246</v>
      </c>
      <c r="H307" s="12" t="s">
        <v>246</v>
      </c>
      <c r="I307" s="12" t="s">
        <v>60</v>
      </c>
      <c r="J307" s="12" t="s">
        <v>1034</v>
      </c>
      <c r="K307" s="12" t="s">
        <v>118</v>
      </c>
      <c r="L307" s="12" t="s">
        <v>247</v>
      </c>
      <c r="M307" s="12" t="s">
        <v>994</v>
      </c>
      <c r="N307" s="13" t="s">
        <v>994</v>
      </c>
      <c r="O307" s="11" t="s">
        <v>118</v>
      </c>
      <c r="P307" s="11" t="s">
        <v>323</v>
      </c>
      <c r="Q307" s="11" t="s">
        <v>126</v>
      </c>
      <c r="R307" s="11" t="s">
        <v>150</v>
      </c>
      <c r="S307" s="11" t="s">
        <v>994</v>
      </c>
      <c r="T307" s="11" t="s">
        <v>126</v>
      </c>
      <c r="U307" s="11" t="s">
        <v>994</v>
      </c>
      <c r="V307" s="11" t="s">
        <v>994</v>
      </c>
      <c r="W307" s="11" t="s">
        <v>994</v>
      </c>
      <c r="X307" s="11" t="s">
        <v>994</v>
      </c>
      <c r="Y307" s="11" t="s">
        <v>994</v>
      </c>
      <c r="Z307" s="11" t="s">
        <v>994</v>
      </c>
      <c r="AA307" s="11" t="s">
        <v>994</v>
      </c>
      <c r="AB307" s="11" t="s">
        <v>994</v>
      </c>
      <c r="AC307" s="11" t="s">
        <v>994</v>
      </c>
      <c r="AD307" s="11" t="s">
        <v>994</v>
      </c>
      <c r="AE307" s="11" t="s">
        <v>1804</v>
      </c>
    </row>
    <row r="308">
      <c r="B308" s="26" t="s">
        <v>49</v>
      </c>
      <c r="C308" s="12" t="s">
        <v>1646</v>
      </c>
      <c r="D308" s="11" t="s">
        <v>893</v>
      </c>
      <c r="E308" s="11" t="s">
        <v>77</v>
      </c>
      <c r="F308" s="12" t="s">
        <v>49</v>
      </c>
      <c r="G308" s="12" t="s">
        <v>246</v>
      </c>
      <c r="H308" s="12" t="s">
        <v>246</v>
      </c>
      <c r="I308" s="12" t="s">
        <v>430</v>
      </c>
      <c r="J308" s="12" t="s">
        <v>1027</v>
      </c>
      <c r="K308" s="12" t="s">
        <v>77</v>
      </c>
      <c r="L308" s="12" t="s">
        <v>247</v>
      </c>
      <c r="M308" s="12" t="s">
        <v>994</v>
      </c>
      <c r="N308" s="13" t="s">
        <v>894</v>
      </c>
      <c r="O308" s="11" t="s">
        <v>895</v>
      </c>
      <c r="P308" s="11" t="s">
        <v>600</v>
      </c>
      <c r="Q308" s="11" t="s">
        <v>125</v>
      </c>
      <c r="R308" s="11" t="s">
        <v>150</v>
      </c>
      <c r="S308" s="11" t="s">
        <v>125</v>
      </c>
      <c r="T308" s="11" t="s">
        <v>125</v>
      </c>
      <c r="U308" s="11" t="s">
        <v>38</v>
      </c>
      <c r="V308" s="11" t="s">
        <v>1378</v>
      </c>
      <c r="W308" s="11" t="s">
        <v>994</v>
      </c>
      <c r="X308" s="11" t="s">
        <v>994</v>
      </c>
      <c r="Y308" s="11" t="s">
        <v>994</v>
      </c>
      <c r="Z308" s="11" t="s">
        <v>994</v>
      </c>
      <c r="AA308" s="11" t="s">
        <v>994</v>
      </c>
      <c r="AB308" s="11" t="s">
        <v>994</v>
      </c>
      <c r="AC308" s="11" t="s">
        <v>994</v>
      </c>
      <c r="AD308" s="11" t="s">
        <v>994</v>
      </c>
      <c r="AE308" s="11" t="s">
        <v>995</v>
      </c>
    </row>
    <row r="309">
      <c r="B309" s="26" t="s">
        <v>49</v>
      </c>
      <c r="C309" s="12" t="s">
        <v>1647</v>
      </c>
      <c r="D309" s="11" t="s">
        <v>896</v>
      </c>
      <c r="E309" s="11" t="s">
        <v>77</v>
      </c>
      <c r="F309" s="12" t="s">
        <v>49</v>
      </c>
      <c r="G309" s="12" t="s">
        <v>246</v>
      </c>
      <c r="H309" s="12" t="s">
        <v>246</v>
      </c>
      <c r="I309" s="12" t="s">
        <v>60</v>
      </c>
      <c r="J309" s="12" t="s">
        <v>1027</v>
      </c>
      <c r="K309" s="12" t="s">
        <v>77</v>
      </c>
      <c r="L309" s="12" t="s">
        <v>247</v>
      </c>
      <c r="M309" s="12" t="s">
        <v>994</v>
      </c>
      <c r="N309" s="13" t="s">
        <v>897</v>
      </c>
      <c r="O309" s="11" t="s">
        <v>895</v>
      </c>
      <c r="P309" s="11" t="s">
        <v>600</v>
      </c>
      <c r="Q309" s="11" t="s">
        <v>125</v>
      </c>
      <c r="R309" s="11" t="s">
        <v>150</v>
      </c>
      <c r="S309" s="11" t="s">
        <v>125</v>
      </c>
      <c r="T309" s="11" t="s">
        <v>126</v>
      </c>
      <c r="U309" s="11" t="s">
        <v>38</v>
      </c>
      <c r="V309" s="11" t="s">
        <v>1765</v>
      </c>
      <c r="W309" s="11" t="s">
        <v>994</v>
      </c>
      <c r="X309" s="11" t="s">
        <v>994</v>
      </c>
      <c r="Y309" s="11" t="s">
        <v>994</v>
      </c>
      <c r="Z309" s="11" t="s">
        <v>994</v>
      </c>
      <c r="AA309" s="11" t="s">
        <v>994</v>
      </c>
      <c r="AB309" s="11" t="s">
        <v>994</v>
      </c>
      <c r="AC309" s="11" t="s">
        <v>994</v>
      </c>
      <c r="AD309" s="11" t="s">
        <v>994</v>
      </c>
      <c r="AE309" s="11" t="s">
        <v>995</v>
      </c>
    </row>
    <row r="310">
      <c r="B310" s="26" t="s">
        <v>49</v>
      </c>
      <c r="C310" s="12" t="s">
        <v>1648</v>
      </c>
      <c r="D310" s="11" t="s">
        <v>898</v>
      </c>
      <c r="E310" s="11" t="s">
        <v>77</v>
      </c>
      <c r="F310" s="12" t="s">
        <v>49</v>
      </c>
      <c r="G310" s="12" t="s">
        <v>246</v>
      </c>
      <c r="H310" s="12" t="s">
        <v>246</v>
      </c>
      <c r="I310" s="12" t="s">
        <v>430</v>
      </c>
      <c r="J310" s="12" t="s">
        <v>1027</v>
      </c>
      <c r="K310" s="12" t="s">
        <v>77</v>
      </c>
      <c r="L310" s="12" t="s">
        <v>247</v>
      </c>
      <c r="M310" s="12" t="s">
        <v>994</v>
      </c>
      <c r="N310" s="13" t="s">
        <v>899</v>
      </c>
      <c r="O310" s="11" t="s">
        <v>895</v>
      </c>
      <c r="P310" s="11" t="s">
        <v>600</v>
      </c>
      <c r="Q310" s="11" t="s">
        <v>125</v>
      </c>
      <c r="R310" s="11" t="s">
        <v>150</v>
      </c>
      <c r="S310" s="11" t="s">
        <v>125</v>
      </c>
      <c r="T310" s="11" t="s">
        <v>125</v>
      </c>
      <c r="U310" s="11" t="s">
        <v>38</v>
      </c>
      <c r="V310" s="11" t="s">
        <v>1378</v>
      </c>
      <c r="W310" s="11" t="s">
        <v>994</v>
      </c>
      <c r="X310" s="11" t="s">
        <v>994</v>
      </c>
      <c r="Y310" s="11" t="s">
        <v>994</v>
      </c>
      <c r="Z310" s="11" t="s">
        <v>994</v>
      </c>
      <c r="AA310" s="11" t="s">
        <v>994</v>
      </c>
      <c r="AB310" s="11" t="s">
        <v>994</v>
      </c>
      <c r="AC310" s="11" t="s">
        <v>994</v>
      </c>
      <c r="AD310" s="11" t="s">
        <v>994</v>
      </c>
      <c r="AE310" s="11" t="s">
        <v>995</v>
      </c>
    </row>
    <row r="311">
      <c r="B311" s="26" t="s">
        <v>49</v>
      </c>
      <c r="C311" s="12" t="s">
        <v>1649</v>
      </c>
      <c r="D311" s="11" t="s">
        <v>900</v>
      </c>
      <c r="E311" s="11" t="s">
        <v>77</v>
      </c>
      <c r="F311" s="12" t="s">
        <v>49</v>
      </c>
      <c r="G311" s="12" t="s">
        <v>246</v>
      </c>
      <c r="H311" s="12" t="s">
        <v>246</v>
      </c>
      <c r="I311" s="12" t="s">
        <v>430</v>
      </c>
      <c r="J311" s="12" t="s">
        <v>1027</v>
      </c>
      <c r="K311" s="12" t="s">
        <v>77</v>
      </c>
      <c r="L311" s="12" t="s">
        <v>247</v>
      </c>
      <c r="M311" s="12" t="s">
        <v>994</v>
      </c>
      <c r="N311" s="13" t="s">
        <v>901</v>
      </c>
      <c r="O311" s="11" t="s">
        <v>895</v>
      </c>
      <c r="P311" s="11" t="s">
        <v>600</v>
      </c>
      <c r="Q311" s="11" t="s">
        <v>125</v>
      </c>
      <c r="R311" s="11" t="s">
        <v>150</v>
      </c>
      <c r="S311" s="11" t="s">
        <v>125</v>
      </c>
      <c r="T311" s="11" t="s">
        <v>125</v>
      </c>
      <c r="U311" s="11" t="s">
        <v>38</v>
      </c>
      <c r="V311" s="11" t="s">
        <v>1378</v>
      </c>
      <c r="W311" s="11" t="s">
        <v>994</v>
      </c>
      <c r="X311" s="11" t="s">
        <v>994</v>
      </c>
      <c r="Y311" s="11" t="s">
        <v>994</v>
      </c>
      <c r="Z311" s="11" t="s">
        <v>994</v>
      </c>
      <c r="AA311" s="11" t="s">
        <v>994</v>
      </c>
      <c r="AB311" s="11" t="s">
        <v>994</v>
      </c>
      <c r="AC311" s="11" t="s">
        <v>994</v>
      </c>
      <c r="AD311" s="11" t="s">
        <v>994</v>
      </c>
      <c r="AE311" s="11" t="s">
        <v>995</v>
      </c>
    </row>
    <row r="312">
      <c r="B312" s="26" t="s">
        <v>49</v>
      </c>
      <c r="C312" s="12" t="s">
        <v>1650</v>
      </c>
      <c r="D312" s="11" t="s">
        <v>902</v>
      </c>
      <c r="E312" s="11" t="s">
        <v>77</v>
      </c>
      <c r="F312" s="12" t="s">
        <v>49</v>
      </c>
      <c r="G312" s="12" t="s">
        <v>246</v>
      </c>
      <c r="H312" s="12" t="s">
        <v>246</v>
      </c>
      <c r="I312" s="12" t="s">
        <v>60</v>
      </c>
      <c r="J312" s="12" t="s">
        <v>1027</v>
      </c>
      <c r="K312" s="12" t="s">
        <v>77</v>
      </c>
      <c r="L312" s="12" t="s">
        <v>247</v>
      </c>
      <c r="M312" s="12" t="s">
        <v>994</v>
      </c>
      <c r="N312" s="13" t="s">
        <v>903</v>
      </c>
      <c r="O312" s="11" t="s">
        <v>895</v>
      </c>
      <c r="P312" s="11" t="s">
        <v>600</v>
      </c>
      <c r="Q312" s="11" t="s">
        <v>125</v>
      </c>
      <c r="R312" s="11" t="s">
        <v>150</v>
      </c>
      <c r="S312" s="11" t="s">
        <v>125</v>
      </c>
      <c r="T312" s="11" t="s">
        <v>126</v>
      </c>
      <c r="U312" s="11" t="s">
        <v>38</v>
      </c>
      <c r="V312" s="11" t="s">
        <v>1765</v>
      </c>
      <c r="W312" s="11" t="s">
        <v>994</v>
      </c>
      <c r="X312" s="11" t="s">
        <v>994</v>
      </c>
      <c r="Y312" s="11" t="s">
        <v>994</v>
      </c>
      <c r="Z312" s="11" t="s">
        <v>994</v>
      </c>
      <c r="AA312" s="11" t="s">
        <v>994</v>
      </c>
      <c r="AB312" s="11" t="s">
        <v>994</v>
      </c>
      <c r="AC312" s="11" t="s">
        <v>994</v>
      </c>
      <c r="AD312" s="11" t="s">
        <v>994</v>
      </c>
      <c r="AE312" s="11" t="s">
        <v>995</v>
      </c>
    </row>
    <row r="313">
      <c r="B313" s="26" t="s">
        <v>49</v>
      </c>
      <c r="C313" s="12" t="s">
        <v>1651</v>
      </c>
      <c r="D313" s="11" t="s">
        <v>904</v>
      </c>
      <c r="E313" s="11" t="s">
        <v>77</v>
      </c>
      <c r="F313" s="12" t="s">
        <v>49</v>
      </c>
      <c r="G313" s="12" t="s">
        <v>246</v>
      </c>
      <c r="H313" s="12" t="s">
        <v>246</v>
      </c>
      <c r="I313" s="12" t="s">
        <v>60</v>
      </c>
      <c r="J313" s="12" t="s">
        <v>1027</v>
      </c>
      <c r="K313" s="12" t="s">
        <v>77</v>
      </c>
      <c r="L313" s="12" t="s">
        <v>247</v>
      </c>
      <c r="M313" s="12" t="s">
        <v>994</v>
      </c>
      <c r="N313" s="13" t="s">
        <v>905</v>
      </c>
      <c r="O313" s="11" t="s">
        <v>895</v>
      </c>
      <c r="P313" s="11" t="s">
        <v>600</v>
      </c>
      <c r="Q313" s="11" t="s">
        <v>125</v>
      </c>
      <c r="R313" s="11" t="s">
        <v>150</v>
      </c>
      <c r="S313" s="11" t="s">
        <v>125</v>
      </c>
      <c r="T313" s="11" t="s">
        <v>126</v>
      </c>
      <c r="U313" s="11" t="s">
        <v>38</v>
      </c>
      <c r="V313" s="11" t="s">
        <v>1765</v>
      </c>
      <c r="W313" s="11" t="s">
        <v>994</v>
      </c>
      <c r="X313" s="11" t="s">
        <v>994</v>
      </c>
      <c r="Y313" s="11" t="s">
        <v>994</v>
      </c>
      <c r="Z313" s="11" t="s">
        <v>994</v>
      </c>
      <c r="AA313" s="11" t="s">
        <v>994</v>
      </c>
      <c r="AB313" s="11" t="s">
        <v>994</v>
      </c>
      <c r="AC313" s="11" t="s">
        <v>994</v>
      </c>
      <c r="AD313" s="11" t="s">
        <v>994</v>
      </c>
      <c r="AE313" s="11" t="s">
        <v>995</v>
      </c>
    </row>
    <row r="314">
      <c r="B314" s="26" t="s">
        <v>49</v>
      </c>
      <c r="C314" s="12" t="s">
        <v>1652</v>
      </c>
      <c r="D314" s="11" t="s">
        <v>906</v>
      </c>
      <c r="E314" s="11" t="s">
        <v>907</v>
      </c>
      <c r="F314" s="12" t="s">
        <v>49</v>
      </c>
      <c r="G314" s="12" t="s">
        <v>246</v>
      </c>
      <c r="H314" s="12" t="s">
        <v>246</v>
      </c>
      <c r="I314" s="12" t="s">
        <v>111</v>
      </c>
      <c r="J314" s="12" t="s">
        <v>1035</v>
      </c>
      <c r="K314" s="12" t="s">
        <v>118</v>
      </c>
      <c r="L314" s="12" t="s">
        <v>247</v>
      </c>
      <c r="M314" s="12" t="s">
        <v>994</v>
      </c>
      <c r="N314" s="13" t="s">
        <v>1297</v>
      </c>
      <c r="O314" s="11" t="s">
        <v>118</v>
      </c>
      <c r="P314" s="11" t="s">
        <v>323</v>
      </c>
      <c r="Q314" s="11" t="s">
        <v>126</v>
      </c>
      <c r="R314" s="11" t="s">
        <v>150</v>
      </c>
      <c r="S314" s="11" t="s">
        <v>994</v>
      </c>
      <c r="T314" s="11" t="s">
        <v>126</v>
      </c>
      <c r="U314" s="11" t="s">
        <v>994</v>
      </c>
      <c r="V314" s="11" t="s">
        <v>994</v>
      </c>
      <c r="W314" s="11" t="s">
        <v>994</v>
      </c>
      <c r="X314" s="11" t="s">
        <v>994</v>
      </c>
      <c r="Y314" s="11" t="s">
        <v>994</v>
      </c>
      <c r="Z314" s="11" t="s">
        <v>994</v>
      </c>
      <c r="AA314" s="11" t="s">
        <v>994</v>
      </c>
      <c r="AB314" s="11" t="s">
        <v>994</v>
      </c>
      <c r="AC314" s="11" t="s">
        <v>994</v>
      </c>
      <c r="AD314" s="11" t="s">
        <v>994</v>
      </c>
      <c r="AE314" s="11" t="s">
        <v>1804</v>
      </c>
    </row>
    <row r="315">
      <c r="B315" s="26" t="s">
        <v>49</v>
      </c>
      <c r="C315" s="12" t="s">
        <v>1653</v>
      </c>
      <c r="D315" s="11" t="s">
        <v>908</v>
      </c>
      <c r="E315" s="11" t="s">
        <v>909</v>
      </c>
      <c r="F315" s="12" t="s">
        <v>49</v>
      </c>
      <c r="G315" s="12" t="s">
        <v>246</v>
      </c>
      <c r="H315" s="12" t="s">
        <v>246</v>
      </c>
      <c r="I315" s="12" t="s">
        <v>111</v>
      </c>
      <c r="J315" s="12" t="s">
        <v>1035</v>
      </c>
      <c r="K315" s="12" t="s">
        <v>118</v>
      </c>
      <c r="L315" s="12" t="s">
        <v>247</v>
      </c>
      <c r="M315" s="12" t="s">
        <v>994</v>
      </c>
      <c r="N315" s="13" t="s">
        <v>910</v>
      </c>
      <c r="O315" s="11" t="s">
        <v>118</v>
      </c>
      <c r="P315" s="11" t="s">
        <v>323</v>
      </c>
      <c r="Q315" s="11" t="s">
        <v>126</v>
      </c>
      <c r="R315" s="11" t="s">
        <v>150</v>
      </c>
      <c r="S315" s="11" t="s">
        <v>994</v>
      </c>
      <c r="T315" s="11" t="s">
        <v>126</v>
      </c>
      <c r="U315" s="11" t="s">
        <v>994</v>
      </c>
      <c r="V315" s="11" t="s">
        <v>994</v>
      </c>
      <c r="W315" s="11" t="s">
        <v>994</v>
      </c>
      <c r="X315" s="11" t="s">
        <v>994</v>
      </c>
      <c r="Y315" s="11" t="s">
        <v>994</v>
      </c>
      <c r="Z315" s="11" t="s">
        <v>994</v>
      </c>
      <c r="AA315" s="11" t="s">
        <v>994</v>
      </c>
      <c r="AB315" s="11" t="s">
        <v>994</v>
      </c>
      <c r="AC315" s="11" t="s">
        <v>994</v>
      </c>
      <c r="AD315" s="11" t="s">
        <v>994</v>
      </c>
      <c r="AE315" s="11" t="s">
        <v>1804</v>
      </c>
    </row>
    <row r="316">
      <c r="B316" s="26" t="s">
        <v>49</v>
      </c>
      <c r="C316" s="12" t="s">
        <v>1654</v>
      </c>
      <c r="D316" s="11" t="s">
        <v>911</v>
      </c>
      <c r="E316" s="11" t="s">
        <v>912</v>
      </c>
      <c r="F316" s="12" t="s">
        <v>49</v>
      </c>
      <c r="G316" s="12" t="s">
        <v>246</v>
      </c>
      <c r="H316" s="12" t="s">
        <v>246</v>
      </c>
      <c r="I316" s="12" t="s">
        <v>111</v>
      </c>
      <c r="J316" s="12" t="s">
        <v>1035</v>
      </c>
      <c r="K316" s="12" t="s">
        <v>118</v>
      </c>
      <c r="L316" s="12" t="s">
        <v>247</v>
      </c>
      <c r="M316" s="12" t="s">
        <v>994</v>
      </c>
      <c r="N316" s="13" t="s">
        <v>913</v>
      </c>
      <c r="O316" s="11" t="s">
        <v>118</v>
      </c>
      <c r="P316" s="11" t="s">
        <v>323</v>
      </c>
      <c r="Q316" s="11" t="s">
        <v>126</v>
      </c>
      <c r="R316" s="11" t="s">
        <v>150</v>
      </c>
      <c r="S316" s="11" t="s">
        <v>994</v>
      </c>
      <c r="T316" s="11" t="s">
        <v>126</v>
      </c>
      <c r="U316" s="11" t="s">
        <v>994</v>
      </c>
      <c r="V316" s="11" t="s">
        <v>994</v>
      </c>
      <c r="W316" s="11" t="s">
        <v>994</v>
      </c>
      <c r="X316" s="11" t="s">
        <v>994</v>
      </c>
      <c r="Y316" s="11" t="s">
        <v>994</v>
      </c>
      <c r="Z316" s="11" t="s">
        <v>994</v>
      </c>
      <c r="AA316" s="11" t="s">
        <v>994</v>
      </c>
      <c r="AB316" s="11" t="s">
        <v>994</v>
      </c>
      <c r="AC316" s="11" t="s">
        <v>994</v>
      </c>
      <c r="AD316" s="11" t="s">
        <v>994</v>
      </c>
      <c r="AE316" s="11" t="s">
        <v>1804</v>
      </c>
    </row>
    <row r="317">
      <c r="B317" s="26" t="s">
        <v>49</v>
      </c>
      <c r="C317" s="12" t="s">
        <v>1655</v>
      </c>
      <c r="D317" s="11" t="s">
        <v>914</v>
      </c>
      <c r="E317" s="11" t="s">
        <v>912</v>
      </c>
      <c r="F317" s="12" t="s">
        <v>49</v>
      </c>
      <c r="G317" s="12" t="s">
        <v>246</v>
      </c>
      <c r="H317" s="12" t="s">
        <v>246</v>
      </c>
      <c r="I317" s="12" t="s">
        <v>111</v>
      </c>
      <c r="J317" s="12" t="s">
        <v>1035</v>
      </c>
      <c r="K317" s="12" t="s">
        <v>118</v>
      </c>
      <c r="L317" s="12" t="s">
        <v>247</v>
      </c>
      <c r="M317" s="12" t="s">
        <v>994</v>
      </c>
      <c r="N317" s="13" t="s">
        <v>915</v>
      </c>
      <c r="O317" s="11" t="s">
        <v>118</v>
      </c>
      <c r="P317" s="11" t="s">
        <v>323</v>
      </c>
      <c r="Q317" s="11" t="s">
        <v>126</v>
      </c>
      <c r="R317" s="11" t="s">
        <v>150</v>
      </c>
      <c r="S317" s="11" t="s">
        <v>994</v>
      </c>
      <c r="T317" s="11" t="s">
        <v>126</v>
      </c>
      <c r="U317" s="11" t="s">
        <v>994</v>
      </c>
      <c r="V317" s="11" t="s">
        <v>994</v>
      </c>
      <c r="W317" s="11" t="s">
        <v>994</v>
      </c>
      <c r="X317" s="11" t="s">
        <v>994</v>
      </c>
      <c r="Y317" s="11" t="s">
        <v>994</v>
      </c>
      <c r="Z317" s="11" t="s">
        <v>994</v>
      </c>
      <c r="AA317" s="11" t="s">
        <v>994</v>
      </c>
      <c r="AB317" s="11" t="s">
        <v>994</v>
      </c>
      <c r="AC317" s="11" t="s">
        <v>994</v>
      </c>
      <c r="AD317" s="11" t="s">
        <v>994</v>
      </c>
      <c r="AE317" s="11" t="s">
        <v>1804</v>
      </c>
    </row>
    <row r="318">
      <c r="B318" s="26" t="s">
        <v>49</v>
      </c>
      <c r="C318" s="12" t="s">
        <v>1656</v>
      </c>
      <c r="D318" s="11" t="s">
        <v>916</v>
      </c>
      <c r="E318" s="11" t="s">
        <v>912</v>
      </c>
      <c r="F318" s="12" t="s">
        <v>49</v>
      </c>
      <c r="G318" s="12" t="s">
        <v>246</v>
      </c>
      <c r="H318" s="12" t="s">
        <v>246</v>
      </c>
      <c r="I318" s="12" t="s">
        <v>111</v>
      </c>
      <c r="J318" s="12" t="s">
        <v>1035</v>
      </c>
      <c r="K318" s="12" t="s">
        <v>118</v>
      </c>
      <c r="L318" s="12" t="s">
        <v>247</v>
      </c>
      <c r="M318" s="12" t="s">
        <v>994</v>
      </c>
      <c r="N318" s="13" t="s">
        <v>917</v>
      </c>
      <c r="O318" s="11" t="s">
        <v>118</v>
      </c>
      <c r="P318" s="11" t="s">
        <v>323</v>
      </c>
      <c r="Q318" s="11" t="s">
        <v>126</v>
      </c>
      <c r="R318" s="11" t="s">
        <v>150</v>
      </c>
      <c r="S318" s="11" t="s">
        <v>994</v>
      </c>
      <c r="T318" s="11" t="s">
        <v>125</v>
      </c>
      <c r="U318" s="11" t="s">
        <v>1016</v>
      </c>
      <c r="V318" s="11" t="s">
        <v>1767</v>
      </c>
      <c r="W318" s="11" t="s">
        <v>994</v>
      </c>
      <c r="X318" s="11" t="s">
        <v>994</v>
      </c>
      <c r="Y318" s="11" t="s">
        <v>1767</v>
      </c>
      <c r="Z318" s="11" t="s">
        <v>1800</v>
      </c>
      <c r="AA318" s="11" t="s">
        <v>994</v>
      </c>
      <c r="AB318" s="11" t="s">
        <v>30</v>
      </c>
      <c r="AC318" s="11" t="s">
        <v>994</v>
      </c>
      <c r="AD318" s="11" t="s">
        <v>1210</v>
      </c>
      <c r="AE318" s="11" t="s">
        <v>995</v>
      </c>
    </row>
    <row r="319">
      <c r="B319" s="26" t="s">
        <v>49</v>
      </c>
      <c r="C319" s="12" t="s">
        <v>1657</v>
      </c>
      <c r="D319" s="11" t="s">
        <v>918</v>
      </c>
      <c r="E319" s="11" t="s">
        <v>919</v>
      </c>
      <c r="F319" s="12" t="s">
        <v>49</v>
      </c>
      <c r="G319" s="12" t="s">
        <v>246</v>
      </c>
      <c r="H319" s="12" t="s">
        <v>246</v>
      </c>
      <c r="I319" s="12" t="s">
        <v>111</v>
      </c>
      <c r="J319" s="12" t="s">
        <v>1035</v>
      </c>
      <c r="K319" s="12" t="s">
        <v>118</v>
      </c>
      <c r="L319" s="12" t="s">
        <v>247</v>
      </c>
      <c r="M319" s="12" t="s">
        <v>994</v>
      </c>
      <c r="N319" s="13" t="s">
        <v>920</v>
      </c>
      <c r="O319" s="11" t="s">
        <v>118</v>
      </c>
      <c r="P319" s="11" t="s">
        <v>323</v>
      </c>
      <c r="Q319" s="11" t="s">
        <v>125</v>
      </c>
      <c r="R319" s="11" t="s">
        <v>150</v>
      </c>
      <c r="S319" s="11" t="s">
        <v>125</v>
      </c>
      <c r="T319" s="11" t="s">
        <v>126</v>
      </c>
      <c r="U319" s="11" t="s">
        <v>38</v>
      </c>
      <c r="V319" s="11" t="s">
        <v>1765</v>
      </c>
      <c r="W319" s="11" t="s">
        <v>994</v>
      </c>
      <c r="X319" s="11" t="s">
        <v>994</v>
      </c>
      <c r="Y319" s="11" t="s">
        <v>994</v>
      </c>
      <c r="Z319" s="11" t="s">
        <v>994</v>
      </c>
      <c r="AA319" s="11" t="s">
        <v>994</v>
      </c>
      <c r="AB319" s="11" t="s">
        <v>994</v>
      </c>
      <c r="AC319" s="11" t="s">
        <v>994</v>
      </c>
      <c r="AD319" s="11" t="s">
        <v>994</v>
      </c>
      <c r="AE319" s="11" t="s">
        <v>995</v>
      </c>
    </row>
    <row r="320">
      <c r="B320" s="26" t="s">
        <v>49</v>
      </c>
      <c r="C320" s="12" t="s">
        <v>1658</v>
      </c>
      <c r="D320" s="11" t="s">
        <v>921</v>
      </c>
      <c r="E320" s="11" t="s">
        <v>919</v>
      </c>
      <c r="F320" s="12" t="s">
        <v>49</v>
      </c>
      <c r="G320" s="12" t="s">
        <v>246</v>
      </c>
      <c r="H320" s="12" t="s">
        <v>246</v>
      </c>
      <c r="I320" s="12" t="s">
        <v>111</v>
      </c>
      <c r="J320" s="12" t="s">
        <v>1035</v>
      </c>
      <c r="K320" s="12" t="s">
        <v>118</v>
      </c>
      <c r="L320" s="12" t="s">
        <v>247</v>
      </c>
      <c r="M320" s="12" t="s">
        <v>994</v>
      </c>
      <c r="N320" s="13" t="s">
        <v>922</v>
      </c>
      <c r="O320" s="11" t="s">
        <v>118</v>
      </c>
      <c r="P320" s="11" t="s">
        <v>323</v>
      </c>
      <c r="Q320" s="11" t="s">
        <v>125</v>
      </c>
      <c r="R320" s="11" t="s">
        <v>150</v>
      </c>
      <c r="S320" s="11" t="s">
        <v>125</v>
      </c>
      <c r="T320" s="11" t="s">
        <v>126</v>
      </c>
      <c r="U320" s="11" t="s">
        <v>38</v>
      </c>
      <c r="V320" s="11" t="s">
        <v>1765</v>
      </c>
      <c r="W320" s="11" t="s">
        <v>994</v>
      </c>
      <c r="X320" s="11" t="s">
        <v>994</v>
      </c>
      <c r="Y320" s="11" t="s">
        <v>994</v>
      </c>
      <c r="Z320" s="11" t="s">
        <v>994</v>
      </c>
      <c r="AA320" s="11" t="s">
        <v>994</v>
      </c>
      <c r="AB320" s="11" t="s">
        <v>994</v>
      </c>
      <c r="AC320" s="11" t="s">
        <v>994</v>
      </c>
      <c r="AD320" s="11" t="s">
        <v>994</v>
      </c>
      <c r="AE320" s="11" t="s">
        <v>995</v>
      </c>
    </row>
    <row r="321">
      <c r="B321" s="26" t="s">
        <v>49</v>
      </c>
      <c r="C321" s="12" t="s">
        <v>1659</v>
      </c>
      <c r="D321" s="11" t="s">
        <v>923</v>
      </c>
      <c r="E321" s="11" t="s">
        <v>924</v>
      </c>
      <c r="F321" s="12" t="s">
        <v>49</v>
      </c>
      <c r="G321" s="12" t="s">
        <v>246</v>
      </c>
      <c r="H321" s="12" t="s">
        <v>246</v>
      </c>
      <c r="I321" s="12" t="s">
        <v>111</v>
      </c>
      <c r="J321" s="12" t="s">
        <v>1035</v>
      </c>
      <c r="K321" s="12" t="s">
        <v>118</v>
      </c>
      <c r="L321" s="12" t="s">
        <v>247</v>
      </c>
      <c r="M321" s="12" t="s">
        <v>994</v>
      </c>
      <c r="N321" s="13" t="s">
        <v>925</v>
      </c>
      <c r="O321" s="11" t="s">
        <v>118</v>
      </c>
      <c r="P321" s="11" t="s">
        <v>323</v>
      </c>
      <c r="Q321" s="11" t="s">
        <v>126</v>
      </c>
      <c r="R321" s="11" t="s">
        <v>150</v>
      </c>
      <c r="S321" s="11" t="s">
        <v>994</v>
      </c>
      <c r="T321" s="11" t="s">
        <v>126</v>
      </c>
      <c r="U321" s="11" t="s">
        <v>994</v>
      </c>
      <c r="V321" s="11" t="s">
        <v>994</v>
      </c>
      <c r="W321" s="11" t="s">
        <v>994</v>
      </c>
      <c r="X321" s="11" t="s">
        <v>994</v>
      </c>
      <c r="Y321" s="11" t="s">
        <v>994</v>
      </c>
      <c r="Z321" s="11" t="s">
        <v>994</v>
      </c>
      <c r="AA321" s="11" t="s">
        <v>994</v>
      </c>
      <c r="AB321" s="11" t="s">
        <v>994</v>
      </c>
      <c r="AC321" s="11" t="s">
        <v>994</v>
      </c>
      <c r="AD321" s="11" t="s">
        <v>994</v>
      </c>
      <c r="AE321" s="11" t="s">
        <v>1804</v>
      </c>
    </row>
    <row r="322">
      <c r="B322" s="26" t="s">
        <v>49</v>
      </c>
      <c r="C322" s="12" t="s">
        <v>1660</v>
      </c>
      <c r="D322" s="11" t="s">
        <v>926</v>
      </c>
      <c r="E322" s="11" t="s">
        <v>927</v>
      </c>
      <c r="F322" s="12" t="s">
        <v>49</v>
      </c>
      <c r="G322" s="12" t="s">
        <v>246</v>
      </c>
      <c r="H322" s="12" t="s">
        <v>246</v>
      </c>
      <c r="I322" s="12" t="s">
        <v>111</v>
      </c>
      <c r="J322" s="12" t="s">
        <v>1035</v>
      </c>
      <c r="K322" s="12" t="s">
        <v>118</v>
      </c>
      <c r="L322" s="12" t="s">
        <v>247</v>
      </c>
      <c r="M322" s="12" t="s">
        <v>994</v>
      </c>
      <c r="N322" s="13" t="s">
        <v>928</v>
      </c>
      <c r="O322" s="11" t="s">
        <v>118</v>
      </c>
      <c r="P322" s="11" t="s">
        <v>323</v>
      </c>
      <c r="Q322" s="11" t="s">
        <v>126</v>
      </c>
      <c r="R322" s="11" t="s">
        <v>150</v>
      </c>
      <c r="S322" s="11" t="s">
        <v>994</v>
      </c>
      <c r="T322" s="11" t="s">
        <v>126</v>
      </c>
      <c r="U322" s="11" t="s">
        <v>994</v>
      </c>
      <c r="V322" s="11" t="s">
        <v>994</v>
      </c>
      <c r="W322" s="11" t="s">
        <v>994</v>
      </c>
      <c r="X322" s="11" t="s">
        <v>994</v>
      </c>
      <c r="Y322" s="11" t="s">
        <v>994</v>
      </c>
      <c r="Z322" s="11" t="s">
        <v>994</v>
      </c>
      <c r="AA322" s="11" t="s">
        <v>994</v>
      </c>
      <c r="AB322" s="11" t="s">
        <v>994</v>
      </c>
      <c r="AC322" s="11" t="s">
        <v>994</v>
      </c>
      <c r="AD322" s="11" t="s">
        <v>994</v>
      </c>
      <c r="AE322" s="11" t="s">
        <v>1804</v>
      </c>
    </row>
    <row r="323">
      <c r="B323" s="26" t="s">
        <v>49</v>
      </c>
      <c r="C323" s="12" t="s">
        <v>1661</v>
      </c>
      <c r="D323" s="11" t="s">
        <v>929</v>
      </c>
      <c r="E323" s="11" t="s">
        <v>930</v>
      </c>
      <c r="F323" s="12" t="s">
        <v>49</v>
      </c>
      <c r="G323" s="12" t="s">
        <v>246</v>
      </c>
      <c r="H323" s="12" t="s">
        <v>246</v>
      </c>
      <c r="I323" s="12" t="s">
        <v>111</v>
      </c>
      <c r="J323" s="12" t="s">
        <v>1036</v>
      </c>
      <c r="K323" s="12" t="s">
        <v>118</v>
      </c>
      <c r="L323" s="12" t="s">
        <v>247</v>
      </c>
      <c r="M323" s="12" t="s">
        <v>994</v>
      </c>
      <c r="N323" s="13" t="s">
        <v>931</v>
      </c>
      <c r="O323" s="11" t="s">
        <v>118</v>
      </c>
      <c r="P323" s="11" t="s">
        <v>323</v>
      </c>
      <c r="Q323" s="11" t="s">
        <v>126</v>
      </c>
      <c r="R323" s="11" t="s">
        <v>150</v>
      </c>
      <c r="S323" s="11" t="s">
        <v>125</v>
      </c>
      <c r="T323" s="11" t="s">
        <v>125</v>
      </c>
      <c r="U323" s="11" t="s">
        <v>38</v>
      </c>
      <c r="V323" s="11" t="s">
        <v>1764</v>
      </c>
      <c r="W323" s="11" t="s">
        <v>1378</v>
      </c>
      <c r="X323" s="11" t="s">
        <v>994</v>
      </c>
      <c r="Y323" s="11" t="s">
        <v>994</v>
      </c>
      <c r="Z323" s="11" t="s">
        <v>994</v>
      </c>
      <c r="AA323" s="11" t="s">
        <v>994</v>
      </c>
      <c r="AB323" s="11" t="s">
        <v>994</v>
      </c>
      <c r="AC323" s="11" t="s">
        <v>994</v>
      </c>
      <c r="AD323" s="11" t="s">
        <v>993</v>
      </c>
      <c r="AE323" s="11" t="s">
        <v>995</v>
      </c>
    </row>
    <row r="324">
      <c r="B324" s="26" t="s">
        <v>49</v>
      </c>
      <c r="C324" s="12" t="s">
        <v>1662</v>
      </c>
      <c r="D324" s="11" t="s">
        <v>932</v>
      </c>
      <c r="E324" s="11" t="s">
        <v>933</v>
      </c>
      <c r="F324" s="12" t="s">
        <v>49</v>
      </c>
      <c r="G324" s="12" t="s">
        <v>246</v>
      </c>
      <c r="H324" s="12" t="s">
        <v>246</v>
      </c>
      <c r="I324" s="12" t="s">
        <v>111</v>
      </c>
      <c r="J324" s="12" t="s">
        <v>1036</v>
      </c>
      <c r="K324" s="12" t="s">
        <v>118</v>
      </c>
      <c r="L324" s="12" t="s">
        <v>247</v>
      </c>
      <c r="M324" s="12" t="s">
        <v>994</v>
      </c>
      <c r="N324" s="13" t="s">
        <v>934</v>
      </c>
      <c r="O324" s="11" t="s">
        <v>118</v>
      </c>
      <c r="P324" s="11" t="s">
        <v>323</v>
      </c>
      <c r="Q324" s="11" t="s">
        <v>126</v>
      </c>
      <c r="R324" s="11" t="s">
        <v>150</v>
      </c>
      <c r="S324" s="11" t="s">
        <v>994</v>
      </c>
      <c r="T324" s="11" t="s">
        <v>126</v>
      </c>
      <c r="U324" s="11" t="s">
        <v>994</v>
      </c>
      <c r="V324" s="11" t="s">
        <v>994</v>
      </c>
      <c r="W324" s="11" t="s">
        <v>994</v>
      </c>
      <c r="X324" s="11" t="s">
        <v>994</v>
      </c>
      <c r="Y324" s="11" t="s">
        <v>994</v>
      </c>
      <c r="Z324" s="11" t="s">
        <v>994</v>
      </c>
      <c r="AA324" s="11" t="s">
        <v>994</v>
      </c>
      <c r="AB324" s="11" t="s">
        <v>994</v>
      </c>
      <c r="AC324" s="11" t="s">
        <v>994</v>
      </c>
      <c r="AD324" s="11" t="s">
        <v>994</v>
      </c>
      <c r="AE324" s="11" t="s">
        <v>1804</v>
      </c>
    </row>
    <row r="325">
      <c r="B325" s="26" t="s">
        <v>49</v>
      </c>
      <c r="C325" s="12" t="s">
        <v>1663</v>
      </c>
      <c r="D325" s="11" t="s">
        <v>935</v>
      </c>
      <c r="E325" s="11" t="s">
        <v>933</v>
      </c>
      <c r="F325" s="12" t="s">
        <v>49</v>
      </c>
      <c r="G325" s="12" t="s">
        <v>246</v>
      </c>
      <c r="H325" s="12" t="s">
        <v>246</v>
      </c>
      <c r="I325" s="12" t="s">
        <v>111</v>
      </c>
      <c r="J325" s="12" t="s">
        <v>1036</v>
      </c>
      <c r="K325" s="12" t="s">
        <v>118</v>
      </c>
      <c r="L325" s="12" t="s">
        <v>247</v>
      </c>
      <c r="M325" s="12" t="s">
        <v>994</v>
      </c>
      <c r="N325" s="13" t="s">
        <v>936</v>
      </c>
      <c r="O325" s="11" t="s">
        <v>118</v>
      </c>
      <c r="P325" s="11" t="s">
        <v>323</v>
      </c>
      <c r="Q325" s="11" t="s">
        <v>126</v>
      </c>
      <c r="R325" s="11" t="s">
        <v>150</v>
      </c>
      <c r="S325" s="11" t="s">
        <v>994</v>
      </c>
      <c r="T325" s="11" t="s">
        <v>126</v>
      </c>
      <c r="U325" s="11" t="s">
        <v>994</v>
      </c>
      <c r="V325" s="11" t="s">
        <v>994</v>
      </c>
      <c r="W325" s="11" t="s">
        <v>994</v>
      </c>
      <c r="X325" s="11" t="s">
        <v>994</v>
      </c>
      <c r="Y325" s="11" t="s">
        <v>994</v>
      </c>
      <c r="Z325" s="11" t="s">
        <v>994</v>
      </c>
      <c r="AA325" s="11" t="s">
        <v>994</v>
      </c>
      <c r="AB325" s="11" t="s">
        <v>994</v>
      </c>
      <c r="AC325" s="11" t="s">
        <v>994</v>
      </c>
      <c r="AD325" s="11" t="s">
        <v>994</v>
      </c>
      <c r="AE325" s="11" t="s">
        <v>1804</v>
      </c>
    </row>
    <row r="326">
      <c r="B326" s="26" t="s">
        <v>49</v>
      </c>
      <c r="C326" s="12" t="s">
        <v>1664</v>
      </c>
      <c r="D326" s="11" t="s">
        <v>937</v>
      </c>
      <c r="E326" s="11" t="s">
        <v>938</v>
      </c>
      <c r="F326" s="12" t="s">
        <v>49</v>
      </c>
      <c r="G326" s="12" t="s">
        <v>246</v>
      </c>
      <c r="H326" s="12" t="s">
        <v>246</v>
      </c>
      <c r="I326" s="12" t="s">
        <v>111</v>
      </c>
      <c r="J326" s="12" t="s">
        <v>1036</v>
      </c>
      <c r="K326" s="12" t="s">
        <v>118</v>
      </c>
      <c r="L326" s="12" t="s">
        <v>247</v>
      </c>
      <c r="M326" s="12" t="s">
        <v>994</v>
      </c>
      <c r="N326" s="13" t="s">
        <v>939</v>
      </c>
      <c r="O326" s="11" t="s">
        <v>118</v>
      </c>
      <c r="P326" s="11" t="s">
        <v>323</v>
      </c>
      <c r="Q326" s="11" t="s">
        <v>126</v>
      </c>
      <c r="R326" s="11" t="s">
        <v>150</v>
      </c>
      <c r="S326" s="11" t="s">
        <v>994</v>
      </c>
      <c r="T326" s="11" t="s">
        <v>126</v>
      </c>
      <c r="U326" s="11" t="s">
        <v>994</v>
      </c>
      <c r="V326" s="11" t="s">
        <v>994</v>
      </c>
      <c r="W326" s="11" t="s">
        <v>994</v>
      </c>
      <c r="X326" s="11" t="s">
        <v>994</v>
      </c>
      <c r="Y326" s="11" t="s">
        <v>994</v>
      </c>
      <c r="Z326" s="11" t="s">
        <v>994</v>
      </c>
      <c r="AA326" s="11" t="s">
        <v>994</v>
      </c>
      <c r="AB326" s="11" t="s">
        <v>994</v>
      </c>
      <c r="AC326" s="11" t="s">
        <v>994</v>
      </c>
      <c r="AD326" s="11" t="s">
        <v>994</v>
      </c>
      <c r="AE326" s="11" t="s">
        <v>1804</v>
      </c>
    </row>
    <row r="327">
      <c r="B327" s="26" t="s">
        <v>49</v>
      </c>
      <c r="C327" s="12" t="s">
        <v>1665</v>
      </c>
      <c r="D327" s="11" t="s">
        <v>940</v>
      </c>
      <c r="E327" s="11" t="s">
        <v>941</v>
      </c>
      <c r="F327" s="12" t="s">
        <v>49</v>
      </c>
      <c r="G327" s="12" t="s">
        <v>246</v>
      </c>
      <c r="H327" s="12" t="s">
        <v>246</v>
      </c>
      <c r="I327" s="12" t="s">
        <v>111</v>
      </c>
      <c r="J327" s="12" t="s">
        <v>1035</v>
      </c>
      <c r="K327" s="12" t="s">
        <v>118</v>
      </c>
      <c r="L327" s="12" t="s">
        <v>247</v>
      </c>
      <c r="M327" s="12" t="s">
        <v>994</v>
      </c>
      <c r="N327" s="13" t="s">
        <v>942</v>
      </c>
      <c r="O327" s="11" t="s">
        <v>118</v>
      </c>
      <c r="P327" s="11" t="s">
        <v>323</v>
      </c>
      <c r="Q327" s="11" t="s">
        <v>126</v>
      </c>
      <c r="R327" s="11" t="s">
        <v>150</v>
      </c>
      <c r="S327" s="11" t="s">
        <v>994</v>
      </c>
      <c r="T327" s="11" t="s">
        <v>126</v>
      </c>
      <c r="U327" s="11" t="s">
        <v>994</v>
      </c>
      <c r="V327" s="11" t="s">
        <v>994</v>
      </c>
      <c r="W327" s="11" t="s">
        <v>994</v>
      </c>
      <c r="X327" s="11" t="s">
        <v>994</v>
      </c>
      <c r="Y327" s="11" t="s">
        <v>994</v>
      </c>
      <c r="Z327" s="11" t="s">
        <v>994</v>
      </c>
      <c r="AA327" s="11" t="s">
        <v>994</v>
      </c>
      <c r="AB327" s="11" t="s">
        <v>994</v>
      </c>
      <c r="AC327" s="11" t="s">
        <v>994</v>
      </c>
      <c r="AD327" s="11" t="s">
        <v>994</v>
      </c>
      <c r="AE327" s="11" t="s">
        <v>1804</v>
      </c>
    </row>
    <row r="328">
      <c r="B328" s="26" t="s">
        <v>49</v>
      </c>
      <c r="C328" s="12" t="s">
        <v>1666</v>
      </c>
      <c r="D328" s="11" t="s">
        <v>943</v>
      </c>
      <c r="E328" s="11" t="s">
        <v>944</v>
      </c>
      <c r="F328" s="12" t="s">
        <v>49</v>
      </c>
      <c r="G328" s="12" t="s">
        <v>246</v>
      </c>
      <c r="H328" s="12" t="s">
        <v>246</v>
      </c>
      <c r="I328" s="12" t="s">
        <v>111</v>
      </c>
      <c r="J328" s="12" t="s">
        <v>1035</v>
      </c>
      <c r="K328" s="12" t="s">
        <v>118</v>
      </c>
      <c r="L328" s="12" t="s">
        <v>247</v>
      </c>
      <c r="M328" s="12" t="s">
        <v>994</v>
      </c>
      <c r="N328" s="13" t="s">
        <v>945</v>
      </c>
      <c r="O328" s="11" t="s">
        <v>118</v>
      </c>
      <c r="P328" s="11" t="s">
        <v>323</v>
      </c>
      <c r="Q328" s="11" t="s">
        <v>126</v>
      </c>
      <c r="R328" s="11" t="s">
        <v>150</v>
      </c>
      <c r="S328" s="11" t="s">
        <v>994</v>
      </c>
      <c r="T328" s="11" t="s">
        <v>126</v>
      </c>
      <c r="U328" s="11" t="s">
        <v>994</v>
      </c>
      <c r="V328" s="11" t="s">
        <v>994</v>
      </c>
      <c r="W328" s="11" t="s">
        <v>994</v>
      </c>
      <c r="X328" s="11" t="s">
        <v>994</v>
      </c>
      <c r="Y328" s="11" t="s">
        <v>994</v>
      </c>
      <c r="Z328" s="11" t="s">
        <v>994</v>
      </c>
      <c r="AA328" s="11" t="s">
        <v>994</v>
      </c>
      <c r="AB328" s="11" t="s">
        <v>994</v>
      </c>
      <c r="AC328" s="11" t="s">
        <v>994</v>
      </c>
      <c r="AD328" s="11" t="s">
        <v>994</v>
      </c>
      <c r="AE328" s="11" t="s">
        <v>1804</v>
      </c>
    </row>
    <row r="329">
      <c r="B329" s="26" t="s">
        <v>49</v>
      </c>
      <c r="C329" s="12" t="s">
        <v>1667</v>
      </c>
      <c r="D329" s="11" t="s">
        <v>946</v>
      </c>
      <c r="E329" s="11" t="s">
        <v>947</v>
      </c>
      <c r="F329" s="12" t="s">
        <v>49</v>
      </c>
      <c r="G329" s="12" t="s">
        <v>246</v>
      </c>
      <c r="H329" s="12" t="s">
        <v>246</v>
      </c>
      <c r="I329" s="12" t="s">
        <v>111</v>
      </c>
      <c r="J329" s="12" t="s">
        <v>1035</v>
      </c>
      <c r="K329" s="12" t="s">
        <v>118</v>
      </c>
      <c r="L329" s="12" t="s">
        <v>247</v>
      </c>
      <c r="M329" s="12" t="s">
        <v>994</v>
      </c>
      <c r="N329" s="13" t="s">
        <v>948</v>
      </c>
      <c r="O329" s="11" t="s">
        <v>118</v>
      </c>
      <c r="P329" s="11" t="s">
        <v>323</v>
      </c>
      <c r="Q329" s="11" t="s">
        <v>125</v>
      </c>
      <c r="R329" s="11" t="s">
        <v>150</v>
      </c>
      <c r="S329" s="11" t="s">
        <v>125</v>
      </c>
      <c r="T329" s="11" t="s">
        <v>126</v>
      </c>
      <c r="U329" s="11" t="s">
        <v>38</v>
      </c>
      <c r="V329" s="11" t="s">
        <v>1765</v>
      </c>
      <c r="W329" s="11" t="s">
        <v>994</v>
      </c>
      <c r="X329" s="11" t="s">
        <v>994</v>
      </c>
      <c r="Y329" s="11" t="s">
        <v>994</v>
      </c>
      <c r="Z329" s="11" t="s">
        <v>994</v>
      </c>
      <c r="AA329" s="11" t="s">
        <v>994</v>
      </c>
      <c r="AB329" s="11" t="s">
        <v>994</v>
      </c>
      <c r="AC329" s="11" t="s">
        <v>994</v>
      </c>
      <c r="AD329" s="11" t="s">
        <v>994</v>
      </c>
      <c r="AE329" s="11" t="s">
        <v>995</v>
      </c>
    </row>
    <row r="330">
      <c r="B330" s="26" t="s">
        <v>291</v>
      </c>
      <c r="C330" s="12" t="s">
        <v>1668</v>
      </c>
      <c r="D330" s="11" t="s">
        <v>1043</v>
      </c>
      <c r="E330" s="11" t="s">
        <v>307</v>
      </c>
      <c r="F330" s="12" t="s">
        <v>291</v>
      </c>
      <c r="G330" s="12" t="s">
        <v>246</v>
      </c>
      <c r="H330" s="12" t="s">
        <v>246</v>
      </c>
      <c r="I330" s="12" t="s">
        <v>430</v>
      </c>
      <c r="J330" s="12" t="s">
        <v>71</v>
      </c>
      <c r="K330" s="12" t="s">
        <v>191</v>
      </c>
      <c r="L330" s="12" t="s">
        <v>247</v>
      </c>
      <c r="M330" s="12" t="s">
        <v>994</v>
      </c>
      <c r="N330" s="13" t="s">
        <v>1081</v>
      </c>
      <c r="O330" s="11" t="s">
        <v>309</v>
      </c>
      <c r="P330" s="11" t="s">
        <v>323</v>
      </c>
      <c r="Q330" s="11" t="s">
        <v>125</v>
      </c>
      <c r="R330" s="11" t="s">
        <v>150</v>
      </c>
      <c r="S330" s="11" t="s">
        <v>125</v>
      </c>
      <c r="T330" s="11" t="s">
        <v>126</v>
      </c>
      <c r="U330" s="11" t="s">
        <v>38</v>
      </c>
      <c r="V330" s="11" t="s">
        <v>1765</v>
      </c>
      <c r="W330" s="11" t="s">
        <v>994</v>
      </c>
      <c r="X330" s="11" t="s">
        <v>994</v>
      </c>
      <c r="Y330" s="11" t="s">
        <v>994</v>
      </c>
      <c r="Z330" s="11" t="s">
        <v>994</v>
      </c>
      <c r="AA330" s="11" t="s">
        <v>994</v>
      </c>
      <c r="AB330" s="11" t="s">
        <v>994</v>
      </c>
      <c r="AC330" s="11" t="s">
        <v>994</v>
      </c>
      <c r="AD330" s="11" t="s">
        <v>994</v>
      </c>
      <c r="AE330" s="11" t="s">
        <v>995</v>
      </c>
    </row>
    <row r="331">
      <c r="B331" s="26" t="s">
        <v>291</v>
      </c>
      <c r="C331" s="12" t="s">
        <v>1669</v>
      </c>
      <c r="D331" s="11" t="s">
        <v>1044</v>
      </c>
      <c r="E331" s="11" t="s">
        <v>93</v>
      </c>
      <c r="F331" s="12" t="s">
        <v>291</v>
      </c>
      <c r="G331" s="12" t="s">
        <v>246</v>
      </c>
      <c r="H331" s="12" t="s">
        <v>246</v>
      </c>
      <c r="I331" s="12" t="s">
        <v>430</v>
      </c>
      <c r="J331" s="12" t="s">
        <v>93</v>
      </c>
      <c r="K331" s="12" t="s">
        <v>1025</v>
      </c>
      <c r="L331" s="12" t="s">
        <v>247</v>
      </c>
      <c r="M331" s="12" t="s">
        <v>994</v>
      </c>
      <c r="N331" s="13" t="s">
        <v>1752</v>
      </c>
      <c r="O331" s="11" t="s">
        <v>532</v>
      </c>
      <c r="P331" s="11" t="s">
        <v>323</v>
      </c>
      <c r="Q331" s="11" t="s">
        <v>125</v>
      </c>
      <c r="R331" s="11" t="s">
        <v>150</v>
      </c>
      <c r="S331" s="11" t="s">
        <v>994</v>
      </c>
      <c r="T331" s="11" t="s">
        <v>126</v>
      </c>
      <c r="U331" s="11" t="s">
        <v>994</v>
      </c>
      <c r="V331" s="11" t="s">
        <v>994</v>
      </c>
      <c r="W331" s="11" t="s">
        <v>994</v>
      </c>
      <c r="X331" s="11" t="s">
        <v>994</v>
      </c>
      <c r="Y331" s="11" t="s">
        <v>994</v>
      </c>
      <c r="Z331" s="11" t="s">
        <v>994</v>
      </c>
      <c r="AA331" s="11" t="s">
        <v>994</v>
      </c>
      <c r="AB331" s="11" t="s">
        <v>994</v>
      </c>
      <c r="AC331" s="11" t="s">
        <v>994</v>
      </c>
      <c r="AD331" s="11" t="s">
        <v>994</v>
      </c>
      <c r="AE331" s="11" t="s">
        <v>1804</v>
      </c>
    </row>
    <row r="332">
      <c r="B332" s="26" t="s">
        <v>291</v>
      </c>
      <c r="C332" s="12" t="s">
        <v>1670</v>
      </c>
      <c r="D332" s="11" t="s">
        <v>1298</v>
      </c>
      <c r="E332" s="11" t="s">
        <v>1062</v>
      </c>
      <c r="F332" s="12" t="s">
        <v>291</v>
      </c>
      <c r="G332" s="12" t="s">
        <v>246</v>
      </c>
      <c r="H332" s="12" t="s">
        <v>246</v>
      </c>
      <c r="I332" s="12" t="s">
        <v>37</v>
      </c>
      <c r="J332" s="12" t="s">
        <v>1018</v>
      </c>
      <c r="K332" s="12" t="s">
        <v>1024</v>
      </c>
      <c r="L332" s="12" t="s">
        <v>247</v>
      </c>
      <c r="M332" s="12" t="s">
        <v>994</v>
      </c>
      <c r="N332" s="13" t="s">
        <v>1082</v>
      </c>
      <c r="O332" s="11" t="s">
        <v>118</v>
      </c>
      <c r="P332" s="11" t="s">
        <v>323</v>
      </c>
      <c r="Q332" s="11" t="s">
        <v>126</v>
      </c>
      <c r="R332" s="11" t="s">
        <v>150</v>
      </c>
      <c r="S332" s="11" t="s">
        <v>994</v>
      </c>
      <c r="T332" s="11" t="s">
        <v>126</v>
      </c>
      <c r="U332" s="11" t="s">
        <v>994</v>
      </c>
      <c r="V332" s="11" t="s">
        <v>994</v>
      </c>
      <c r="W332" s="11" t="s">
        <v>994</v>
      </c>
      <c r="X332" s="11" t="s">
        <v>994</v>
      </c>
      <c r="Y332" s="11" t="s">
        <v>994</v>
      </c>
      <c r="Z332" s="11" t="s">
        <v>994</v>
      </c>
      <c r="AA332" s="11" t="s">
        <v>994</v>
      </c>
      <c r="AB332" s="11" t="s">
        <v>994</v>
      </c>
      <c r="AC332" s="11" t="s">
        <v>994</v>
      </c>
      <c r="AD332" s="11" t="s">
        <v>994</v>
      </c>
      <c r="AE332" s="11" t="s">
        <v>1804</v>
      </c>
    </row>
    <row r="333">
      <c r="B333" s="26" t="s">
        <v>291</v>
      </c>
      <c r="C333" s="12" t="s">
        <v>1671</v>
      </c>
      <c r="D333" s="11" t="s">
        <v>1299</v>
      </c>
      <c r="E333" s="11" t="s">
        <v>1063</v>
      </c>
      <c r="F333" s="12" t="s">
        <v>291</v>
      </c>
      <c r="G333" s="12" t="s">
        <v>246</v>
      </c>
      <c r="H333" s="12" t="s">
        <v>246</v>
      </c>
      <c r="I333" s="12" t="s">
        <v>111</v>
      </c>
      <c r="J333" s="12" t="s">
        <v>1036</v>
      </c>
      <c r="K333" s="12" t="s">
        <v>118</v>
      </c>
      <c r="L333" s="12" t="s">
        <v>247</v>
      </c>
      <c r="M333" s="12" t="s">
        <v>994</v>
      </c>
      <c r="N333" s="13" t="s">
        <v>1300</v>
      </c>
      <c r="O333" s="11" t="s">
        <v>118</v>
      </c>
      <c r="P333" s="11" t="s">
        <v>323</v>
      </c>
      <c r="Q333" s="11" t="s">
        <v>126</v>
      </c>
      <c r="R333" s="11" t="s">
        <v>150</v>
      </c>
      <c r="S333" s="11" t="s">
        <v>994</v>
      </c>
      <c r="T333" s="11" t="s">
        <v>126</v>
      </c>
      <c r="U333" s="11" t="s">
        <v>994</v>
      </c>
      <c r="V333" s="11" t="s">
        <v>994</v>
      </c>
      <c r="W333" s="11" t="s">
        <v>994</v>
      </c>
      <c r="X333" s="11" t="s">
        <v>994</v>
      </c>
      <c r="Y333" s="11" t="s">
        <v>994</v>
      </c>
      <c r="Z333" s="11" t="s">
        <v>994</v>
      </c>
      <c r="AA333" s="11" t="s">
        <v>994</v>
      </c>
      <c r="AB333" s="11" t="s">
        <v>994</v>
      </c>
      <c r="AC333" s="11" t="s">
        <v>994</v>
      </c>
      <c r="AD333" s="11" t="s">
        <v>994</v>
      </c>
      <c r="AE333" s="11" t="s">
        <v>1804</v>
      </c>
    </row>
    <row r="334">
      <c r="B334" s="26" t="s">
        <v>291</v>
      </c>
      <c r="C334" s="12" t="s">
        <v>1672</v>
      </c>
      <c r="D334" s="11" t="s">
        <v>1301</v>
      </c>
      <c r="E334" s="11" t="s">
        <v>1064</v>
      </c>
      <c r="F334" s="12" t="s">
        <v>291</v>
      </c>
      <c r="G334" s="12" t="s">
        <v>246</v>
      </c>
      <c r="H334" s="12" t="s">
        <v>246</v>
      </c>
      <c r="I334" s="12" t="s">
        <v>37</v>
      </c>
      <c r="J334" s="12" t="s">
        <v>1018</v>
      </c>
      <c r="K334" s="12" t="s">
        <v>1022</v>
      </c>
      <c r="L334" s="12" t="s">
        <v>247</v>
      </c>
      <c r="M334" s="12" t="s">
        <v>994</v>
      </c>
      <c r="N334" s="13" t="s">
        <v>1083</v>
      </c>
      <c r="O334" s="11" t="s">
        <v>118</v>
      </c>
      <c r="P334" s="11" t="s">
        <v>323</v>
      </c>
      <c r="Q334" s="11" t="s">
        <v>126</v>
      </c>
      <c r="R334" s="11" t="s">
        <v>150</v>
      </c>
      <c r="S334" s="11" t="s">
        <v>994</v>
      </c>
      <c r="T334" s="11" t="s">
        <v>126</v>
      </c>
      <c r="U334" s="11" t="s">
        <v>994</v>
      </c>
      <c r="V334" s="11" t="s">
        <v>994</v>
      </c>
      <c r="W334" s="11" t="s">
        <v>994</v>
      </c>
      <c r="X334" s="11" t="s">
        <v>994</v>
      </c>
      <c r="Y334" s="11" t="s">
        <v>994</v>
      </c>
      <c r="Z334" s="11" t="s">
        <v>994</v>
      </c>
      <c r="AA334" s="11" t="s">
        <v>994</v>
      </c>
      <c r="AB334" s="11" t="s">
        <v>994</v>
      </c>
      <c r="AC334" s="11" t="s">
        <v>994</v>
      </c>
      <c r="AD334" s="11" t="s">
        <v>994</v>
      </c>
      <c r="AE334" s="11" t="s">
        <v>1804</v>
      </c>
    </row>
    <row r="335">
      <c r="B335" s="26" t="s">
        <v>291</v>
      </c>
      <c r="C335" s="12" t="s">
        <v>1673</v>
      </c>
      <c r="D335" s="11" t="s">
        <v>1302</v>
      </c>
      <c r="E335" s="11" t="s">
        <v>1065</v>
      </c>
      <c r="F335" s="12" t="s">
        <v>291</v>
      </c>
      <c r="G335" s="12" t="s">
        <v>246</v>
      </c>
      <c r="H335" s="12" t="s">
        <v>246</v>
      </c>
      <c r="I335" s="12" t="s">
        <v>37</v>
      </c>
      <c r="J335" s="12" t="s">
        <v>1018</v>
      </c>
      <c r="K335" s="12" t="s">
        <v>1024</v>
      </c>
      <c r="L335" s="12" t="s">
        <v>247</v>
      </c>
      <c r="M335" s="12" t="s">
        <v>994</v>
      </c>
      <c r="N335" s="13" t="s">
        <v>1303</v>
      </c>
      <c r="O335" s="11" t="s">
        <v>118</v>
      </c>
      <c r="P335" s="11" t="s">
        <v>323</v>
      </c>
      <c r="Q335" s="11" t="s">
        <v>126</v>
      </c>
      <c r="R335" s="11" t="s">
        <v>150</v>
      </c>
      <c r="S335" s="11" t="s">
        <v>994</v>
      </c>
      <c r="T335" s="11" t="s">
        <v>126</v>
      </c>
      <c r="U335" s="11" t="s">
        <v>994</v>
      </c>
      <c r="V335" s="11" t="s">
        <v>994</v>
      </c>
      <c r="W335" s="11" t="s">
        <v>994</v>
      </c>
      <c r="X335" s="11" t="s">
        <v>994</v>
      </c>
      <c r="Y335" s="11" t="s">
        <v>994</v>
      </c>
      <c r="Z335" s="11" t="s">
        <v>994</v>
      </c>
      <c r="AA335" s="11" t="s">
        <v>994</v>
      </c>
      <c r="AB335" s="11" t="s">
        <v>994</v>
      </c>
      <c r="AC335" s="11" t="s">
        <v>994</v>
      </c>
      <c r="AD335" s="11" t="s">
        <v>994</v>
      </c>
      <c r="AE335" s="11" t="s">
        <v>1804</v>
      </c>
    </row>
    <row r="336">
      <c r="B336" s="26" t="s">
        <v>416</v>
      </c>
      <c r="C336" s="12" t="s">
        <v>1674</v>
      </c>
      <c r="D336" s="11" t="s">
        <v>1045</v>
      </c>
      <c r="E336" s="11" t="s">
        <v>93</v>
      </c>
      <c r="F336" s="12" t="s">
        <v>416</v>
      </c>
      <c r="G336" s="12" t="s">
        <v>246</v>
      </c>
      <c r="H336" s="12" t="s">
        <v>246</v>
      </c>
      <c r="I336" s="12" t="s">
        <v>430</v>
      </c>
      <c r="J336" s="12" t="s">
        <v>93</v>
      </c>
      <c r="K336" s="12" t="s">
        <v>1025</v>
      </c>
      <c r="L336" s="12" t="s">
        <v>247</v>
      </c>
      <c r="M336" s="12" t="s">
        <v>994</v>
      </c>
      <c r="N336" s="13" t="s">
        <v>1084</v>
      </c>
      <c r="O336" s="11" t="s">
        <v>532</v>
      </c>
      <c r="P336" s="11" t="s">
        <v>323</v>
      </c>
      <c r="Q336" s="11" t="s">
        <v>125</v>
      </c>
      <c r="R336" s="11" t="s">
        <v>150</v>
      </c>
      <c r="S336" s="11" t="s">
        <v>125</v>
      </c>
      <c r="T336" s="11" t="s">
        <v>126</v>
      </c>
      <c r="U336" s="11" t="s">
        <v>38</v>
      </c>
      <c r="V336" s="11" t="s">
        <v>1765</v>
      </c>
      <c r="W336" s="11" t="s">
        <v>994</v>
      </c>
      <c r="X336" s="11" t="s">
        <v>994</v>
      </c>
      <c r="Y336" s="11" t="s">
        <v>994</v>
      </c>
      <c r="Z336" s="11" t="s">
        <v>994</v>
      </c>
      <c r="AA336" s="11" t="s">
        <v>994</v>
      </c>
      <c r="AB336" s="11" t="s">
        <v>994</v>
      </c>
      <c r="AC336" s="11" t="s">
        <v>994</v>
      </c>
      <c r="AD336" s="11" t="s">
        <v>994</v>
      </c>
      <c r="AE336" s="11" t="s">
        <v>995</v>
      </c>
    </row>
    <row r="337">
      <c r="B337" s="26" t="s">
        <v>416</v>
      </c>
      <c r="C337" s="12" t="s">
        <v>1675</v>
      </c>
      <c r="D337" s="11" t="s">
        <v>1046</v>
      </c>
      <c r="E337" s="11" t="s">
        <v>661</v>
      </c>
      <c r="F337" s="12" t="s">
        <v>416</v>
      </c>
      <c r="G337" s="12" t="s">
        <v>246</v>
      </c>
      <c r="H337" s="12" t="s">
        <v>246</v>
      </c>
      <c r="I337" s="12" t="s">
        <v>430</v>
      </c>
      <c r="J337" s="12" t="s">
        <v>71</v>
      </c>
      <c r="K337" s="12" t="s">
        <v>1028</v>
      </c>
      <c r="L337" s="12" t="s">
        <v>247</v>
      </c>
      <c r="M337" s="12" t="s">
        <v>994</v>
      </c>
      <c r="N337" s="13" t="s">
        <v>1085</v>
      </c>
      <c r="O337" s="11" t="s">
        <v>118</v>
      </c>
      <c r="P337" s="11" t="s">
        <v>323</v>
      </c>
      <c r="Q337" s="11" t="s">
        <v>125</v>
      </c>
      <c r="R337" s="11" t="s">
        <v>150</v>
      </c>
      <c r="S337" s="11" t="s">
        <v>125</v>
      </c>
      <c r="T337" s="11" t="s">
        <v>125</v>
      </c>
      <c r="U337" s="11" t="s">
        <v>1016</v>
      </c>
      <c r="V337" s="11" t="s">
        <v>1765</v>
      </c>
      <c r="W337" s="11" t="s">
        <v>994</v>
      </c>
      <c r="X337" s="11" t="s">
        <v>994</v>
      </c>
      <c r="Y337" s="11" t="s">
        <v>994</v>
      </c>
      <c r="Z337" s="11" t="s">
        <v>1801</v>
      </c>
      <c r="AA337" s="11" t="s">
        <v>994</v>
      </c>
      <c r="AB337" s="11" t="s">
        <v>30</v>
      </c>
      <c r="AC337" s="11" t="s">
        <v>994</v>
      </c>
      <c r="AD337" s="11" t="s">
        <v>994</v>
      </c>
      <c r="AE337" s="11" t="s">
        <v>995</v>
      </c>
    </row>
    <row r="338">
      <c r="B338" s="26" t="s">
        <v>308</v>
      </c>
      <c r="C338" s="12" t="s">
        <v>1676</v>
      </c>
      <c r="D338" s="11" t="s">
        <v>1304</v>
      </c>
      <c r="E338" s="11" t="s">
        <v>1066</v>
      </c>
      <c r="F338" s="12" t="s">
        <v>308</v>
      </c>
      <c r="G338" s="12" t="s">
        <v>246</v>
      </c>
      <c r="H338" s="12" t="s">
        <v>246</v>
      </c>
      <c r="I338" s="12" t="s">
        <v>111</v>
      </c>
      <c r="J338" s="12" t="s">
        <v>1036</v>
      </c>
      <c r="K338" s="12" t="s">
        <v>118</v>
      </c>
      <c r="L338" s="12" t="s">
        <v>247</v>
      </c>
      <c r="M338" s="12" t="s">
        <v>994</v>
      </c>
      <c r="N338" s="13" t="s">
        <v>1305</v>
      </c>
      <c r="O338" s="11" t="s">
        <v>118</v>
      </c>
      <c r="P338" s="11" t="s">
        <v>323</v>
      </c>
      <c r="Q338" s="11" t="s">
        <v>126</v>
      </c>
      <c r="R338" s="11" t="s">
        <v>150</v>
      </c>
      <c r="S338" s="11" t="s">
        <v>994</v>
      </c>
      <c r="T338" s="11" t="s">
        <v>126</v>
      </c>
      <c r="U338" s="11" t="s">
        <v>994</v>
      </c>
      <c r="V338" s="11" t="s">
        <v>994</v>
      </c>
      <c r="W338" s="11" t="s">
        <v>994</v>
      </c>
      <c r="X338" s="11" t="s">
        <v>994</v>
      </c>
      <c r="Y338" s="11" t="s">
        <v>994</v>
      </c>
      <c r="Z338" s="11" t="s">
        <v>994</v>
      </c>
      <c r="AA338" s="11" t="s">
        <v>994</v>
      </c>
      <c r="AB338" s="11" t="s">
        <v>994</v>
      </c>
      <c r="AC338" s="11" t="s">
        <v>994</v>
      </c>
      <c r="AD338" s="11" t="s">
        <v>994</v>
      </c>
      <c r="AE338" s="11" t="s">
        <v>1804</v>
      </c>
    </row>
    <row r="339">
      <c r="B339" s="26" t="s">
        <v>314</v>
      </c>
      <c r="C339" s="12" t="s">
        <v>1677</v>
      </c>
      <c r="D339" s="11" t="s">
        <v>438</v>
      </c>
      <c r="E339" s="11" t="s">
        <v>429</v>
      </c>
      <c r="F339" s="12" t="s">
        <v>314</v>
      </c>
      <c r="G339" s="12" t="s">
        <v>246</v>
      </c>
      <c r="H339" s="12" t="s">
        <v>246</v>
      </c>
      <c r="I339" s="12" t="s">
        <v>430</v>
      </c>
      <c r="J339" s="12" t="s">
        <v>20</v>
      </c>
      <c r="K339" s="12" t="s">
        <v>1025</v>
      </c>
      <c r="L339" s="12" t="s">
        <v>247</v>
      </c>
      <c r="M339" s="12" t="s">
        <v>994</v>
      </c>
      <c r="N339" s="13" t="s">
        <v>440</v>
      </c>
      <c r="O339" s="11" t="s">
        <v>1091</v>
      </c>
      <c r="P339" s="11" t="s">
        <v>323</v>
      </c>
      <c r="Q339" s="11" t="s">
        <v>125</v>
      </c>
      <c r="R339" s="11" t="s">
        <v>150</v>
      </c>
      <c r="S339" s="11" t="s">
        <v>994</v>
      </c>
      <c r="T339" s="11" t="s">
        <v>125</v>
      </c>
      <c r="U339" s="11" t="s">
        <v>38</v>
      </c>
      <c r="V339" s="11" t="s">
        <v>1378</v>
      </c>
      <c r="W339" s="11" t="s">
        <v>994</v>
      </c>
      <c r="X339" s="11" t="s">
        <v>994</v>
      </c>
      <c r="Y339" s="11" t="s">
        <v>994</v>
      </c>
      <c r="Z339" s="11" t="s">
        <v>994</v>
      </c>
      <c r="AA339" s="11" t="s">
        <v>994</v>
      </c>
      <c r="AB339" s="11" t="s">
        <v>994</v>
      </c>
      <c r="AC339" s="11" t="s">
        <v>994</v>
      </c>
      <c r="AD339" s="11" t="s">
        <v>994</v>
      </c>
      <c r="AE339" s="11" t="s">
        <v>995</v>
      </c>
    </row>
    <row r="340">
      <c r="B340" s="26" t="s">
        <v>49</v>
      </c>
      <c r="C340" s="12" t="s">
        <v>1678</v>
      </c>
      <c r="D340" s="11" t="s">
        <v>1047</v>
      </c>
      <c r="E340" s="11" t="s">
        <v>1067</v>
      </c>
      <c r="F340" s="12" t="s">
        <v>49</v>
      </c>
      <c r="G340" s="12" t="s">
        <v>246</v>
      </c>
      <c r="H340" s="12" t="s">
        <v>246</v>
      </c>
      <c r="I340" s="12" t="s">
        <v>82</v>
      </c>
      <c r="J340" s="12" t="s">
        <v>1011</v>
      </c>
      <c r="K340" s="12" t="s">
        <v>118</v>
      </c>
      <c r="L340" s="12" t="s">
        <v>247</v>
      </c>
      <c r="M340" s="12" t="s">
        <v>994</v>
      </c>
      <c r="N340" s="13" t="s">
        <v>1086</v>
      </c>
      <c r="O340" s="11" t="s">
        <v>118</v>
      </c>
      <c r="P340" s="11" t="s">
        <v>323</v>
      </c>
      <c r="Q340" s="11" t="s">
        <v>126</v>
      </c>
      <c r="R340" s="11" t="s">
        <v>150</v>
      </c>
      <c r="S340" s="11" t="s">
        <v>125</v>
      </c>
      <c r="T340" s="11" t="s">
        <v>126</v>
      </c>
      <c r="U340" s="11" t="s">
        <v>38</v>
      </c>
      <c r="V340" s="11" t="s">
        <v>1765</v>
      </c>
      <c r="W340" s="11" t="s">
        <v>994</v>
      </c>
      <c r="X340" s="11" t="s">
        <v>994</v>
      </c>
      <c r="Y340" s="11" t="s">
        <v>994</v>
      </c>
      <c r="Z340" s="11" t="s">
        <v>994</v>
      </c>
      <c r="AA340" s="11" t="s">
        <v>994</v>
      </c>
      <c r="AB340" s="11" t="s">
        <v>994</v>
      </c>
      <c r="AC340" s="11" t="s">
        <v>994</v>
      </c>
      <c r="AD340" s="11" t="s">
        <v>994</v>
      </c>
      <c r="AE340" s="11" t="s">
        <v>995</v>
      </c>
    </row>
    <row r="341">
      <c r="B341" s="26" t="s">
        <v>49</v>
      </c>
      <c r="C341" s="12" t="s">
        <v>1679</v>
      </c>
      <c r="D341" s="11" t="s">
        <v>1048</v>
      </c>
      <c r="E341" s="11" t="s">
        <v>282</v>
      </c>
      <c r="F341" s="12" t="s">
        <v>49</v>
      </c>
      <c r="G341" s="12" t="s">
        <v>246</v>
      </c>
      <c r="H341" s="12" t="s">
        <v>246</v>
      </c>
      <c r="I341" s="12" t="s">
        <v>82</v>
      </c>
      <c r="J341" s="12" t="s">
        <v>1011</v>
      </c>
      <c r="K341" s="12" t="s">
        <v>118</v>
      </c>
      <c r="L341" s="12" t="s">
        <v>247</v>
      </c>
      <c r="M341" s="12" t="s">
        <v>994</v>
      </c>
      <c r="N341" s="13" t="s">
        <v>994</v>
      </c>
      <c r="O341" s="11" t="s">
        <v>1092</v>
      </c>
      <c r="P341" s="11" t="s">
        <v>249</v>
      </c>
      <c r="Q341" s="11" t="s">
        <v>125</v>
      </c>
      <c r="R341" s="11" t="s">
        <v>150</v>
      </c>
      <c r="S341" s="11" t="s">
        <v>125</v>
      </c>
      <c r="T341" s="11" t="s">
        <v>126</v>
      </c>
      <c r="U341" s="11" t="s">
        <v>38</v>
      </c>
      <c r="V341" s="11" t="s">
        <v>1765</v>
      </c>
      <c r="W341" s="11" t="s">
        <v>994</v>
      </c>
      <c r="X341" s="11" t="s">
        <v>994</v>
      </c>
      <c r="Y341" s="11" t="s">
        <v>994</v>
      </c>
      <c r="Z341" s="11" t="s">
        <v>994</v>
      </c>
      <c r="AA341" s="11" t="s">
        <v>994</v>
      </c>
      <c r="AB341" s="11" t="s">
        <v>994</v>
      </c>
      <c r="AC341" s="11" t="s">
        <v>994</v>
      </c>
      <c r="AD341" s="11" t="s">
        <v>994</v>
      </c>
      <c r="AE341" s="11" t="s">
        <v>995</v>
      </c>
    </row>
    <row r="342">
      <c r="B342" s="26" t="s">
        <v>311</v>
      </c>
      <c r="C342" s="12" t="s">
        <v>1680</v>
      </c>
      <c r="D342" s="11" t="s">
        <v>1049</v>
      </c>
      <c r="E342" s="11" t="s">
        <v>1068</v>
      </c>
      <c r="F342" s="12" t="s">
        <v>311</v>
      </c>
      <c r="G342" s="12" t="s">
        <v>246</v>
      </c>
      <c r="H342" s="12" t="s">
        <v>246</v>
      </c>
      <c r="I342" s="12" t="s">
        <v>82</v>
      </c>
      <c r="J342" s="12" t="s">
        <v>1011</v>
      </c>
      <c r="K342" s="12" t="s">
        <v>118</v>
      </c>
      <c r="L342" s="12" t="s">
        <v>247</v>
      </c>
      <c r="M342" s="12" t="s">
        <v>994</v>
      </c>
      <c r="N342" s="13" t="s">
        <v>1087</v>
      </c>
      <c r="O342" s="11" t="s">
        <v>1093</v>
      </c>
      <c r="P342" s="11" t="s">
        <v>1102</v>
      </c>
      <c r="Q342" s="11" t="s">
        <v>126</v>
      </c>
      <c r="R342" s="11" t="s">
        <v>150</v>
      </c>
      <c r="S342" s="11" t="s">
        <v>125</v>
      </c>
      <c r="T342" s="11" t="s">
        <v>125</v>
      </c>
      <c r="U342" s="11" t="s">
        <v>1016</v>
      </c>
      <c r="V342" s="11" t="s">
        <v>1768</v>
      </c>
      <c r="W342" s="11" t="s">
        <v>994</v>
      </c>
      <c r="X342" s="11" t="s">
        <v>994</v>
      </c>
      <c r="Y342" s="11" t="s">
        <v>1786</v>
      </c>
      <c r="Z342" s="11" t="s">
        <v>994</v>
      </c>
      <c r="AA342" s="11" t="s">
        <v>994</v>
      </c>
      <c r="AB342" s="11" t="s">
        <v>30</v>
      </c>
      <c r="AC342" s="11" t="s">
        <v>994</v>
      </c>
      <c r="AD342" s="11" t="s">
        <v>994</v>
      </c>
      <c r="AE342" s="11" t="s">
        <v>995</v>
      </c>
    </row>
    <row r="343">
      <c r="B343" s="26" t="s">
        <v>283</v>
      </c>
      <c r="C343" s="12" t="s">
        <v>1681</v>
      </c>
      <c r="D343" s="11" t="s">
        <v>1050</v>
      </c>
      <c r="E343" s="11" t="s">
        <v>1306</v>
      </c>
      <c r="F343" s="12" t="s">
        <v>283</v>
      </c>
      <c r="G343" s="12" t="s">
        <v>246</v>
      </c>
      <c r="H343" s="12" t="s">
        <v>246</v>
      </c>
      <c r="I343" s="12" t="s">
        <v>82</v>
      </c>
      <c r="J343" s="12" t="s">
        <v>1011</v>
      </c>
      <c r="K343" s="12" t="s">
        <v>118</v>
      </c>
      <c r="L343" s="12" t="s">
        <v>247</v>
      </c>
      <c r="M343" s="12" t="s">
        <v>994</v>
      </c>
      <c r="N343" s="13" t="s">
        <v>994</v>
      </c>
      <c r="O343" s="11" t="s">
        <v>1094</v>
      </c>
      <c r="P343" s="11" t="s">
        <v>1102</v>
      </c>
      <c r="Q343" s="11" t="s">
        <v>125</v>
      </c>
      <c r="R343" s="11" t="s">
        <v>150</v>
      </c>
      <c r="S343" s="11" t="s">
        <v>125</v>
      </c>
      <c r="T343" s="11" t="s">
        <v>126</v>
      </c>
      <c r="U343" s="11" t="s">
        <v>38</v>
      </c>
      <c r="V343" s="11" t="s">
        <v>1765</v>
      </c>
      <c r="W343" s="11" t="s">
        <v>994</v>
      </c>
      <c r="X343" s="11" t="s">
        <v>994</v>
      </c>
      <c r="Y343" s="11" t="s">
        <v>994</v>
      </c>
      <c r="Z343" s="11" t="s">
        <v>994</v>
      </c>
      <c r="AA343" s="11" t="s">
        <v>994</v>
      </c>
      <c r="AB343" s="11" t="s">
        <v>994</v>
      </c>
      <c r="AC343" s="11" t="s">
        <v>994</v>
      </c>
      <c r="AD343" s="11" t="s">
        <v>994</v>
      </c>
      <c r="AE343" s="11" t="s">
        <v>995</v>
      </c>
    </row>
    <row r="344">
      <c r="B344" s="26" t="s">
        <v>49</v>
      </c>
      <c r="C344" s="12" t="s">
        <v>1682</v>
      </c>
      <c r="D344" s="11" t="s">
        <v>1051</v>
      </c>
      <c r="E344" s="11" t="s">
        <v>1069</v>
      </c>
      <c r="F344" s="12" t="s">
        <v>49</v>
      </c>
      <c r="G344" s="12" t="s">
        <v>246</v>
      </c>
      <c r="H344" s="12" t="s">
        <v>246</v>
      </c>
      <c r="I344" s="12" t="s">
        <v>82</v>
      </c>
      <c r="J344" s="12" t="s">
        <v>1011</v>
      </c>
      <c r="K344" s="12" t="s">
        <v>118</v>
      </c>
      <c r="L344" s="12" t="s">
        <v>247</v>
      </c>
      <c r="M344" s="12" t="s">
        <v>994</v>
      </c>
      <c r="N344" s="13" t="s">
        <v>994</v>
      </c>
      <c r="O344" s="11" t="s">
        <v>1095</v>
      </c>
      <c r="P344" s="11" t="s">
        <v>1102</v>
      </c>
      <c r="Q344" s="11" t="s">
        <v>125</v>
      </c>
      <c r="R344" s="11" t="s">
        <v>150</v>
      </c>
      <c r="S344" s="11" t="s">
        <v>125</v>
      </c>
      <c r="T344" s="11" t="s">
        <v>125</v>
      </c>
      <c r="U344" s="11" t="s">
        <v>132</v>
      </c>
      <c r="V344" s="11" t="s">
        <v>994</v>
      </c>
      <c r="W344" s="11" t="s">
        <v>994</v>
      </c>
      <c r="X344" s="11" t="s">
        <v>994</v>
      </c>
      <c r="Y344" s="11" t="s">
        <v>994</v>
      </c>
      <c r="Z344" s="11" t="s">
        <v>994</v>
      </c>
      <c r="AA344" s="11" t="s">
        <v>994</v>
      </c>
      <c r="AB344" s="11" t="s">
        <v>994</v>
      </c>
      <c r="AC344" s="11" t="s">
        <v>994</v>
      </c>
      <c r="AD344" s="11" t="s">
        <v>1263</v>
      </c>
      <c r="AE344" s="11" t="s">
        <v>995</v>
      </c>
    </row>
    <row r="345">
      <c r="B345" s="26" t="s">
        <v>49</v>
      </c>
      <c r="C345" s="12" t="s">
        <v>1683</v>
      </c>
      <c r="D345" s="11" t="s">
        <v>1052</v>
      </c>
      <c r="E345" s="11" t="s">
        <v>1070</v>
      </c>
      <c r="F345" s="12" t="s">
        <v>49</v>
      </c>
      <c r="G345" s="12" t="s">
        <v>246</v>
      </c>
      <c r="H345" s="12" t="s">
        <v>246</v>
      </c>
      <c r="I345" s="12" t="s">
        <v>111</v>
      </c>
      <c r="J345" s="12" t="s">
        <v>1036</v>
      </c>
      <c r="K345" s="12" t="s">
        <v>118</v>
      </c>
      <c r="L345" s="12" t="s">
        <v>247</v>
      </c>
      <c r="M345" s="12" t="s">
        <v>994</v>
      </c>
      <c r="N345" s="13" t="s">
        <v>1088</v>
      </c>
      <c r="O345" s="11" t="s">
        <v>994</v>
      </c>
      <c r="P345" s="11" t="s">
        <v>1102</v>
      </c>
      <c r="Q345" s="11" t="s">
        <v>126</v>
      </c>
      <c r="R345" s="11" t="s">
        <v>150</v>
      </c>
      <c r="S345" s="11" t="s">
        <v>125</v>
      </c>
      <c r="T345" s="11" t="s">
        <v>126</v>
      </c>
      <c r="U345" s="11" t="s">
        <v>38</v>
      </c>
      <c r="V345" s="11" t="s">
        <v>1765</v>
      </c>
      <c r="W345" s="11" t="s">
        <v>994</v>
      </c>
      <c r="X345" s="11" t="s">
        <v>994</v>
      </c>
      <c r="Y345" s="11" t="s">
        <v>994</v>
      </c>
      <c r="Z345" s="11" t="s">
        <v>994</v>
      </c>
      <c r="AA345" s="11" t="s">
        <v>994</v>
      </c>
      <c r="AB345" s="11" t="s">
        <v>994</v>
      </c>
      <c r="AC345" s="11" t="s">
        <v>994</v>
      </c>
      <c r="AD345" s="11" t="s">
        <v>994</v>
      </c>
      <c r="AE345" s="11" t="s">
        <v>995</v>
      </c>
    </row>
    <row r="346">
      <c r="B346" s="26" t="s">
        <v>314</v>
      </c>
      <c r="C346" s="12" t="s">
        <v>1684</v>
      </c>
      <c r="D346" s="11" t="s">
        <v>1053</v>
      </c>
      <c r="E346" s="11" t="s">
        <v>1071</v>
      </c>
      <c r="F346" s="12" t="s">
        <v>314</v>
      </c>
      <c r="G346" s="12" t="s">
        <v>246</v>
      </c>
      <c r="H346" s="12" t="s">
        <v>246</v>
      </c>
      <c r="I346" s="12" t="s">
        <v>37</v>
      </c>
      <c r="J346" s="12" t="s">
        <v>1015</v>
      </c>
      <c r="K346" s="12" t="s">
        <v>118</v>
      </c>
      <c r="L346" s="12" t="s">
        <v>247</v>
      </c>
      <c r="M346" s="12" t="s">
        <v>994</v>
      </c>
      <c r="N346" s="13" t="s">
        <v>994</v>
      </c>
      <c r="O346" s="11" t="s">
        <v>1096</v>
      </c>
      <c r="P346" s="11" t="s">
        <v>1102</v>
      </c>
      <c r="Q346" s="11" t="s">
        <v>125</v>
      </c>
      <c r="R346" s="11" t="s">
        <v>150</v>
      </c>
      <c r="S346" s="11" t="s">
        <v>125</v>
      </c>
      <c r="T346" s="11" t="s">
        <v>126</v>
      </c>
      <c r="U346" s="11" t="s">
        <v>38</v>
      </c>
      <c r="V346" s="11" t="s">
        <v>1765</v>
      </c>
      <c r="W346" s="11" t="s">
        <v>994</v>
      </c>
      <c r="X346" s="11" t="s">
        <v>994</v>
      </c>
      <c r="Y346" s="11" t="s">
        <v>994</v>
      </c>
      <c r="Z346" s="11" t="s">
        <v>994</v>
      </c>
      <c r="AA346" s="11" t="s">
        <v>994</v>
      </c>
      <c r="AB346" s="11" t="s">
        <v>994</v>
      </c>
      <c r="AC346" s="11" t="s">
        <v>994</v>
      </c>
      <c r="AD346" s="11" t="s">
        <v>994</v>
      </c>
      <c r="AE346" s="11" t="s">
        <v>995</v>
      </c>
    </row>
    <row r="347">
      <c r="B347" s="26" t="s">
        <v>283</v>
      </c>
      <c r="C347" s="12" t="s">
        <v>1685</v>
      </c>
      <c r="D347" s="11" t="s">
        <v>1054</v>
      </c>
      <c r="E347" s="11" t="s">
        <v>1072</v>
      </c>
      <c r="F347" s="12" t="s">
        <v>283</v>
      </c>
      <c r="G347" s="12" t="s">
        <v>246</v>
      </c>
      <c r="H347" s="12" t="s">
        <v>246</v>
      </c>
      <c r="I347" s="12" t="s">
        <v>37</v>
      </c>
      <c r="J347" s="12" t="s">
        <v>1015</v>
      </c>
      <c r="K347" s="12" t="s">
        <v>118</v>
      </c>
      <c r="L347" s="12" t="s">
        <v>247</v>
      </c>
      <c r="M347" s="12" t="s">
        <v>994</v>
      </c>
      <c r="N347" s="13" t="s">
        <v>994</v>
      </c>
      <c r="O347" s="11" t="s">
        <v>1097</v>
      </c>
      <c r="P347" s="11" t="s">
        <v>1102</v>
      </c>
      <c r="Q347" s="11" t="s">
        <v>125</v>
      </c>
      <c r="R347" s="11" t="s">
        <v>150</v>
      </c>
      <c r="S347" s="11" t="s">
        <v>125</v>
      </c>
      <c r="T347" s="11" t="s">
        <v>126</v>
      </c>
      <c r="U347" s="11" t="s">
        <v>38</v>
      </c>
      <c r="V347" s="11" t="s">
        <v>1765</v>
      </c>
      <c r="W347" s="11" t="s">
        <v>994</v>
      </c>
      <c r="X347" s="11" t="s">
        <v>994</v>
      </c>
      <c r="Y347" s="11" t="s">
        <v>994</v>
      </c>
      <c r="Z347" s="11" t="s">
        <v>994</v>
      </c>
      <c r="AA347" s="11" t="s">
        <v>994</v>
      </c>
      <c r="AB347" s="11" t="s">
        <v>994</v>
      </c>
      <c r="AC347" s="11" t="s">
        <v>994</v>
      </c>
      <c r="AD347" s="11" t="s">
        <v>994</v>
      </c>
      <c r="AE347" s="11" t="s">
        <v>995</v>
      </c>
    </row>
    <row r="348">
      <c r="B348" s="26" t="s">
        <v>49</v>
      </c>
      <c r="C348" s="12" t="s">
        <v>1686</v>
      </c>
      <c r="D348" s="11" t="s">
        <v>1055</v>
      </c>
      <c r="E348" s="11" t="s">
        <v>1073</v>
      </c>
      <c r="F348" s="12" t="s">
        <v>49</v>
      </c>
      <c r="G348" s="12" t="s">
        <v>246</v>
      </c>
      <c r="H348" s="12" t="s">
        <v>246</v>
      </c>
      <c r="I348" s="12" t="s">
        <v>111</v>
      </c>
      <c r="J348" s="12" t="s">
        <v>1036</v>
      </c>
      <c r="K348" s="12" t="s">
        <v>118</v>
      </c>
      <c r="L348" s="12" t="s">
        <v>247</v>
      </c>
      <c r="M348" s="12" t="s">
        <v>994</v>
      </c>
      <c r="N348" s="13" t="s">
        <v>994</v>
      </c>
      <c r="O348" s="11" t="s">
        <v>1098</v>
      </c>
      <c r="P348" s="11" t="s">
        <v>1102</v>
      </c>
      <c r="Q348" s="11" t="s">
        <v>125</v>
      </c>
      <c r="R348" s="11" t="s">
        <v>150</v>
      </c>
      <c r="S348" s="11" t="s">
        <v>125</v>
      </c>
      <c r="T348" s="11" t="s">
        <v>126</v>
      </c>
      <c r="U348" s="11" t="s">
        <v>38</v>
      </c>
      <c r="V348" s="11" t="s">
        <v>1765</v>
      </c>
      <c r="W348" s="11" t="s">
        <v>994</v>
      </c>
      <c r="X348" s="11" t="s">
        <v>994</v>
      </c>
      <c r="Y348" s="11" t="s">
        <v>994</v>
      </c>
      <c r="Z348" s="11" t="s">
        <v>994</v>
      </c>
      <c r="AA348" s="11" t="s">
        <v>994</v>
      </c>
      <c r="AB348" s="11" t="s">
        <v>994</v>
      </c>
      <c r="AC348" s="11" t="s">
        <v>994</v>
      </c>
      <c r="AD348" s="11" t="s">
        <v>994</v>
      </c>
      <c r="AE348" s="11" t="s">
        <v>995</v>
      </c>
    </row>
    <row r="349">
      <c r="B349" s="26" t="s">
        <v>49</v>
      </c>
      <c r="C349" s="12" t="s">
        <v>1687</v>
      </c>
      <c r="D349" s="11" t="s">
        <v>1056</v>
      </c>
      <c r="E349" s="11" t="s">
        <v>907</v>
      </c>
      <c r="F349" s="12" t="s">
        <v>49</v>
      </c>
      <c r="G349" s="12" t="s">
        <v>246</v>
      </c>
      <c r="H349" s="12" t="s">
        <v>246</v>
      </c>
      <c r="I349" s="12" t="s">
        <v>111</v>
      </c>
      <c r="J349" s="12" t="s">
        <v>1035</v>
      </c>
      <c r="K349" s="12" t="s">
        <v>118</v>
      </c>
      <c r="L349" s="12" t="s">
        <v>247</v>
      </c>
      <c r="M349" s="12" t="s">
        <v>994</v>
      </c>
      <c r="N349" s="13" t="s">
        <v>1089</v>
      </c>
      <c r="O349" s="11" t="s">
        <v>994</v>
      </c>
      <c r="P349" s="11" t="s">
        <v>1103</v>
      </c>
      <c r="Q349" s="11" t="s">
        <v>126</v>
      </c>
      <c r="R349" s="11" t="s">
        <v>150</v>
      </c>
      <c r="S349" s="11" t="s">
        <v>994</v>
      </c>
      <c r="T349" s="11" t="s">
        <v>126</v>
      </c>
      <c r="U349" s="11" t="s">
        <v>994</v>
      </c>
      <c r="V349" s="11" t="s">
        <v>994</v>
      </c>
      <c r="W349" s="11" t="s">
        <v>994</v>
      </c>
      <c r="X349" s="11" t="s">
        <v>994</v>
      </c>
      <c r="Y349" s="11" t="s">
        <v>994</v>
      </c>
      <c r="Z349" s="11" t="s">
        <v>994</v>
      </c>
      <c r="AA349" s="11" t="s">
        <v>994</v>
      </c>
      <c r="AB349" s="11" t="s">
        <v>994</v>
      </c>
      <c r="AC349" s="11" t="s">
        <v>994</v>
      </c>
      <c r="AD349" s="11" t="s">
        <v>994</v>
      </c>
      <c r="AE349" s="11" t="s">
        <v>1804</v>
      </c>
    </row>
    <row r="350">
      <c r="B350" s="26" t="s">
        <v>49</v>
      </c>
      <c r="C350" s="12" t="s">
        <v>1688</v>
      </c>
      <c r="D350" s="11" t="s">
        <v>1057</v>
      </c>
      <c r="E350" s="11" t="s">
        <v>1074</v>
      </c>
      <c r="F350" s="12" t="s">
        <v>49</v>
      </c>
      <c r="G350" s="12" t="s">
        <v>246</v>
      </c>
      <c r="H350" s="12" t="s">
        <v>246</v>
      </c>
      <c r="I350" s="12" t="s">
        <v>111</v>
      </c>
      <c r="J350" s="12" t="s">
        <v>1036</v>
      </c>
      <c r="K350" s="12" t="s">
        <v>118</v>
      </c>
      <c r="L350" s="12" t="s">
        <v>247</v>
      </c>
      <c r="M350" s="12" t="s">
        <v>994</v>
      </c>
      <c r="N350" s="13" t="s">
        <v>1090</v>
      </c>
      <c r="O350" s="11" t="s">
        <v>994</v>
      </c>
      <c r="P350" s="11" t="s">
        <v>1103</v>
      </c>
      <c r="Q350" s="11" t="s">
        <v>126</v>
      </c>
      <c r="R350" s="11" t="s">
        <v>150</v>
      </c>
      <c r="S350" s="11" t="s">
        <v>994</v>
      </c>
      <c r="T350" s="11" t="s">
        <v>126</v>
      </c>
      <c r="U350" s="11" t="s">
        <v>994</v>
      </c>
      <c r="V350" s="11" t="s">
        <v>994</v>
      </c>
      <c r="W350" s="11" t="s">
        <v>994</v>
      </c>
      <c r="X350" s="11" t="s">
        <v>994</v>
      </c>
      <c r="Y350" s="11" t="s">
        <v>994</v>
      </c>
      <c r="Z350" s="11" t="s">
        <v>994</v>
      </c>
      <c r="AA350" s="11" t="s">
        <v>994</v>
      </c>
      <c r="AB350" s="11" t="s">
        <v>994</v>
      </c>
      <c r="AC350" s="11" t="s">
        <v>994</v>
      </c>
      <c r="AD350" s="11" t="s">
        <v>994</v>
      </c>
      <c r="AE350" s="11" t="s">
        <v>1804</v>
      </c>
    </row>
    <row r="351">
      <c r="B351" s="26" t="s">
        <v>49</v>
      </c>
      <c r="C351" s="12" t="s">
        <v>1689</v>
      </c>
      <c r="D351" s="11" t="s">
        <v>1058</v>
      </c>
      <c r="E351" s="11" t="s">
        <v>1075</v>
      </c>
      <c r="F351" s="12" t="s">
        <v>49</v>
      </c>
      <c r="G351" s="12" t="s">
        <v>246</v>
      </c>
      <c r="H351" s="12" t="s">
        <v>246</v>
      </c>
      <c r="I351" s="12" t="s">
        <v>111</v>
      </c>
      <c r="J351" s="12" t="s">
        <v>1036</v>
      </c>
      <c r="K351" s="12" t="s">
        <v>118</v>
      </c>
      <c r="L351" s="12" t="s">
        <v>247</v>
      </c>
      <c r="M351" s="12" t="s">
        <v>994</v>
      </c>
      <c r="N351" s="13" t="s">
        <v>1090</v>
      </c>
      <c r="O351" s="11" t="s">
        <v>994</v>
      </c>
      <c r="P351" s="11" t="s">
        <v>1103</v>
      </c>
      <c r="Q351" s="11" t="s">
        <v>126</v>
      </c>
      <c r="R351" s="11" t="s">
        <v>150</v>
      </c>
      <c r="S351" s="11" t="s">
        <v>994</v>
      </c>
      <c r="T351" s="11" t="s">
        <v>125</v>
      </c>
      <c r="U351" s="11" t="s">
        <v>1016</v>
      </c>
      <c r="V351" s="11" t="s">
        <v>1769</v>
      </c>
      <c r="W351" s="11" t="s">
        <v>994</v>
      </c>
      <c r="X351" s="11" t="s">
        <v>994</v>
      </c>
      <c r="Y351" s="11" t="s">
        <v>994</v>
      </c>
      <c r="Z351" s="11" t="s">
        <v>994</v>
      </c>
      <c r="AA351" s="11" t="s">
        <v>994</v>
      </c>
      <c r="AB351" s="11" t="s">
        <v>30</v>
      </c>
      <c r="AC351" s="11" t="s">
        <v>994</v>
      </c>
      <c r="AD351" s="11" t="s">
        <v>1307</v>
      </c>
      <c r="AE351" s="11" t="s">
        <v>995</v>
      </c>
    </row>
    <row r="352">
      <c r="B352" s="26" t="s">
        <v>49</v>
      </c>
      <c r="C352" s="12" t="s">
        <v>1690</v>
      </c>
      <c r="D352" s="11" t="s">
        <v>1059</v>
      </c>
      <c r="E352" s="11" t="s">
        <v>1076</v>
      </c>
      <c r="F352" s="12" t="s">
        <v>49</v>
      </c>
      <c r="G352" s="12" t="s">
        <v>246</v>
      </c>
      <c r="H352" s="12" t="s">
        <v>246</v>
      </c>
      <c r="I352" s="12" t="s">
        <v>111</v>
      </c>
      <c r="J352" s="12" t="s">
        <v>1036</v>
      </c>
      <c r="K352" s="12" t="s">
        <v>118</v>
      </c>
      <c r="L352" s="12" t="s">
        <v>247</v>
      </c>
      <c r="M352" s="12" t="s">
        <v>994</v>
      </c>
      <c r="N352" s="13" t="s">
        <v>994</v>
      </c>
      <c r="O352" s="11" t="s">
        <v>1099</v>
      </c>
      <c r="P352" s="11" t="s">
        <v>1102</v>
      </c>
      <c r="Q352" s="11" t="s">
        <v>125</v>
      </c>
      <c r="R352" s="11" t="s">
        <v>150</v>
      </c>
      <c r="S352" s="11" t="s">
        <v>125</v>
      </c>
      <c r="T352" s="11" t="s">
        <v>126</v>
      </c>
      <c r="U352" s="11" t="s">
        <v>38</v>
      </c>
      <c r="V352" s="11" t="s">
        <v>1765</v>
      </c>
      <c r="W352" s="11" t="s">
        <v>994</v>
      </c>
      <c r="X352" s="11" t="s">
        <v>994</v>
      </c>
      <c r="Y352" s="11" t="s">
        <v>994</v>
      </c>
      <c r="Z352" s="11" t="s">
        <v>994</v>
      </c>
      <c r="AA352" s="11" t="s">
        <v>994</v>
      </c>
      <c r="AB352" s="11" t="s">
        <v>994</v>
      </c>
      <c r="AC352" s="11" t="s">
        <v>994</v>
      </c>
      <c r="AD352" s="11" t="s">
        <v>994</v>
      </c>
      <c r="AE352" s="11" t="s">
        <v>995</v>
      </c>
    </row>
    <row r="353">
      <c r="B353" s="26" t="s">
        <v>283</v>
      </c>
      <c r="C353" s="12" t="s">
        <v>1691</v>
      </c>
      <c r="D353" s="11" t="s">
        <v>1060</v>
      </c>
      <c r="E353" s="11" t="s">
        <v>1077</v>
      </c>
      <c r="F353" s="12" t="s">
        <v>283</v>
      </c>
      <c r="G353" s="12" t="s">
        <v>246</v>
      </c>
      <c r="H353" s="12" t="s">
        <v>246</v>
      </c>
      <c r="I353" s="12" t="s">
        <v>37</v>
      </c>
      <c r="J353" s="12" t="s">
        <v>1015</v>
      </c>
      <c r="K353" s="12" t="s">
        <v>118</v>
      </c>
      <c r="L353" s="12" t="s">
        <v>247</v>
      </c>
      <c r="M353" s="12" t="s">
        <v>994</v>
      </c>
      <c r="N353" s="13" t="s">
        <v>994</v>
      </c>
      <c r="O353" s="11" t="s">
        <v>1100</v>
      </c>
      <c r="P353" s="11" t="s">
        <v>1102</v>
      </c>
      <c r="Q353" s="11" t="s">
        <v>125</v>
      </c>
      <c r="R353" s="11" t="s">
        <v>150</v>
      </c>
      <c r="S353" s="11" t="s">
        <v>125</v>
      </c>
      <c r="T353" s="11" t="s">
        <v>126</v>
      </c>
      <c r="U353" s="11" t="s">
        <v>29</v>
      </c>
      <c r="V353" s="11" t="s">
        <v>1765</v>
      </c>
      <c r="W353" s="11" t="s">
        <v>1781</v>
      </c>
      <c r="X353" s="11" t="s">
        <v>994</v>
      </c>
      <c r="Y353" s="11" t="s">
        <v>994</v>
      </c>
      <c r="Z353" s="11" t="s">
        <v>994</v>
      </c>
      <c r="AA353" s="11" t="s">
        <v>994</v>
      </c>
      <c r="AB353" s="11" t="s">
        <v>994</v>
      </c>
      <c r="AC353" s="11" t="s">
        <v>994</v>
      </c>
      <c r="AD353" s="11" t="s">
        <v>1308</v>
      </c>
      <c r="AE353" s="11" t="s">
        <v>995</v>
      </c>
    </row>
    <row r="354">
      <c r="B354" s="26" t="s">
        <v>49</v>
      </c>
      <c r="C354" s="12" t="s">
        <v>1692</v>
      </c>
      <c r="D354" s="11" t="s">
        <v>1061</v>
      </c>
      <c r="E354" s="11" t="s">
        <v>1078</v>
      </c>
      <c r="F354" s="12" t="s">
        <v>49</v>
      </c>
      <c r="G354" s="12" t="s">
        <v>246</v>
      </c>
      <c r="H354" s="12" t="s">
        <v>246</v>
      </c>
      <c r="I354" s="12" t="s">
        <v>37</v>
      </c>
      <c r="J354" s="12" t="s">
        <v>1015</v>
      </c>
      <c r="K354" s="12" t="s">
        <v>118</v>
      </c>
      <c r="L354" s="12" t="s">
        <v>247</v>
      </c>
      <c r="M354" s="12" t="s">
        <v>994</v>
      </c>
      <c r="N354" s="13" t="s">
        <v>994</v>
      </c>
      <c r="O354" s="11" t="s">
        <v>1101</v>
      </c>
      <c r="P354" s="11" t="s">
        <v>1102</v>
      </c>
      <c r="Q354" s="11" t="s">
        <v>125</v>
      </c>
      <c r="R354" s="11" t="s">
        <v>150</v>
      </c>
      <c r="S354" s="11" t="s">
        <v>994</v>
      </c>
      <c r="T354" s="11" t="s">
        <v>126</v>
      </c>
      <c r="U354" s="11" t="s">
        <v>994</v>
      </c>
      <c r="V354" s="11" t="s">
        <v>994</v>
      </c>
      <c r="W354" s="11" t="s">
        <v>994</v>
      </c>
      <c r="X354" s="11" t="s">
        <v>994</v>
      </c>
      <c r="Y354" s="11" t="s">
        <v>994</v>
      </c>
      <c r="Z354" s="11" t="s">
        <v>994</v>
      </c>
      <c r="AA354" s="11" t="s">
        <v>994</v>
      </c>
      <c r="AB354" s="11" t="s">
        <v>994</v>
      </c>
      <c r="AC354" s="11" t="s">
        <v>994</v>
      </c>
      <c r="AD354" s="11" t="s">
        <v>994</v>
      </c>
      <c r="AE354" s="11" t="s">
        <v>1804</v>
      </c>
    </row>
    <row r="355">
      <c r="B355" s="26" t="s">
        <v>49</v>
      </c>
      <c r="C355" s="12" t="s">
        <v>1693</v>
      </c>
      <c r="D355" s="11" t="s">
        <v>1161</v>
      </c>
      <c r="E355" s="11" t="s">
        <v>1150</v>
      </c>
      <c r="F355" s="12" t="s">
        <v>49</v>
      </c>
      <c r="G355" s="12" t="s">
        <v>246</v>
      </c>
      <c r="H355" s="12" t="s">
        <v>246</v>
      </c>
      <c r="I355" s="12" t="s">
        <v>37</v>
      </c>
      <c r="J355" s="12" t="s">
        <v>1018</v>
      </c>
      <c r="K355" s="12" t="s">
        <v>1022</v>
      </c>
      <c r="L355" s="12" t="s">
        <v>247</v>
      </c>
      <c r="M355" s="12" t="s">
        <v>994</v>
      </c>
      <c r="N355" s="13" t="s">
        <v>994</v>
      </c>
      <c r="O355" s="11" t="s">
        <v>1162</v>
      </c>
      <c r="P355" s="11" t="s">
        <v>323</v>
      </c>
      <c r="Q355" s="11" t="s">
        <v>125</v>
      </c>
      <c r="R355" s="11" t="s">
        <v>150</v>
      </c>
      <c r="S355" s="11" t="s">
        <v>125</v>
      </c>
      <c r="T355" s="11" t="s">
        <v>126</v>
      </c>
      <c r="U355" s="11" t="s">
        <v>1251</v>
      </c>
      <c r="V355" s="11" t="s">
        <v>1765</v>
      </c>
      <c r="W355" s="11" t="s">
        <v>994</v>
      </c>
      <c r="X355" s="11" t="s">
        <v>994</v>
      </c>
      <c r="Y355" s="11" t="s">
        <v>994</v>
      </c>
      <c r="Z355" s="11" t="s">
        <v>994</v>
      </c>
      <c r="AA355" s="11" t="s">
        <v>994</v>
      </c>
      <c r="AB355" s="11" t="s">
        <v>994</v>
      </c>
      <c r="AC355" s="11" t="s">
        <v>994</v>
      </c>
      <c r="AD355" s="11" t="s">
        <v>994</v>
      </c>
      <c r="AE355" s="11" t="s">
        <v>995</v>
      </c>
    </row>
    <row r="356">
      <c r="B356" s="26" t="s">
        <v>295</v>
      </c>
      <c r="C356" s="12" t="s">
        <v>1694</v>
      </c>
      <c r="D356" s="11" t="s">
        <v>1163</v>
      </c>
      <c r="E356" s="11" t="s">
        <v>1164</v>
      </c>
      <c r="F356" s="12" t="s">
        <v>295</v>
      </c>
      <c r="G356" s="12" t="s">
        <v>246</v>
      </c>
      <c r="H356" s="12" t="s">
        <v>246</v>
      </c>
      <c r="I356" s="12" t="s">
        <v>60</v>
      </c>
      <c r="J356" s="12" t="s">
        <v>1018</v>
      </c>
      <c r="K356" s="12" t="s">
        <v>118</v>
      </c>
      <c r="L356" s="12" t="s">
        <v>247</v>
      </c>
      <c r="M356" s="12" t="s">
        <v>994</v>
      </c>
      <c r="N356" s="13" t="s">
        <v>994</v>
      </c>
      <c r="O356" s="11" t="s">
        <v>1165</v>
      </c>
      <c r="P356" s="11" t="s">
        <v>323</v>
      </c>
      <c r="Q356" s="11" t="s">
        <v>125</v>
      </c>
      <c r="R356" s="11" t="s">
        <v>150</v>
      </c>
      <c r="S356" s="11" t="s">
        <v>125</v>
      </c>
      <c r="T356" s="11" t="s">
        <v>126</v>
      </c>
      <c r="U356" s="11" t="s">
        <v>1251</v>
      </c>
      <c r="V356" s="11" t="s">
        <v>1765</v>
      </c>
      <c r="W356" s="11" t="s">
        <v>994</v>
      </c>
      <c r="X356" s="11" t="s">
        <v>994</v>
      </c>
      <c r="Y356" s="11" t="s">
        <v>994</v>
      </c>
      <c r="Z356" s="11" t="s">
        <v>994</v>
      </c>
      <c r="AA356" s="11" t="s">
        <v>994</v>
      </c>
      <c r="AB356" s="11" t="s">
        <v>994</v>
      </c>
      <c r="AC356" s="11" t="s">
        <v>994</v>
      </c>
      <c r="AD356" s="11" t="s">
        <v>994</v>
      </c>
      <c r="AE356" s="11" t="s">
        <v>995</v>
      </c>
    </row>
    <row r="357">
      <c r="B357" s="26" t="s">
        <v>49</v>
      </c>
      <c r="C357" s="12" t="s">
        <v>1695</v>
      </c>
      <c r="D357" s="11" t="s">
        <v>1166</v>
      </c>
      <c r="E357" s="11" t="s">
        <v>1167</v>
      </c>
      <c r="F357" s="12" t="s">
        <v>49</v>
      </c>
      <c r="G357" s="12" t="s">
        <v>246</v>
      </c>
      <c r="H357" s="12" t="s">
        <v>246</v>
      </c>
      <c r="I357" s="12" t="s">
        <v>60</v>
      </c>
      <c r="J357" s="12" t="s">
        <v>1018</v>
      </c>
      <c r="K357" s="12" t="s">
        <v>118</v>
      </c>
      <c r="L357" s="12" t="s">
        <v>247</v>
      </c>
      <c r="M357" s="12" t="s">
        <v>994</v>
      </c>
      <c r="N357" s="13" t="s">
        <v>994</v>
      </c>
      <c r="O357" s="11" t="s">
        <v>1168</v>
      </c>
      <c r="P357" s="11" t="s">
        <v>323</v>
      </c>
      <c r="Q357" s="11" t="s">
        <v>125</v>
      </c>
      <c r="R357" s="11" t="s">
        <v>150</v>
      </c>
      <c r="S357" s="11" t="s">
        <v>125</v>
      </c>
      <c r="T357" s="11" t="s">
        <v>125</v>
      </c>
      <c r="U357" s="11" t="s">
        <v>1016</v>
      </c>
      <c r="V357" s="11" t="s">
        <v>1765</v>
      </c>
      <c r="W357" s="11" t="s">
        <v>994</v>
      </c>
      <c r="X357" s="11" t="s">
        <v>994</v>
      </c>
      <c r="Y357" s="11" t="s">
        <v>994</v>
      </c>
      <c r="Z357" s="11" t="s">
        <v>994</v>
      </c>
      <c r="AA357" s="11" t="s">
        <v>994</v>
      </c>
      <c r="AB357" s="11" t="s">
        <v>30</v>
      </c>
      <c r="AC357" s="11" t="s">
        <v>994</v>
      </c>
      <c r="AD357" s="11" t="s">
        <v>994</v>
      </c>
      <c r="AE357" s="11" t="s">
        <v>995</v>
      </c>
    </row>
    <row r="358">
      <c r="B358" s="26" t="s">
        <v>49</v>
      </c>
      <c r="C358" s="12" t="s">
        <v>1696</v>
      </c>
      <c r="D358" s="11" t="s">
        <v>1169</v>
      </c>
      <c r="E358" s="11" t="s">
        <v>1170</v>
      </c>
      <c r="F358" s="12" t="s">
        <v>49</v>
      </c>
      <c r="G358" s="12" t="s">
        <v>246</v>
      </c>
      <c r="H358" s="12" t="s">
        <v>246</v>
      </c>
      <c r="I358" s="12" t="s">
        <v>60</v>
      </c>
      <c r="J358" s="12" t="s">
        <v>1018</v>
      </c>
      <c r="K358" s="12" t="s">
        <v>118</v>
      </c>
      <c r="L358" s="12" t="s">
        <v>247</v>
      </c>
      <c r="M358" s="12" t="s">
        <v>994</v>
      </c>
      <c r="N358" s="13" t="s">
        <v>994</v>
      </c>
      <c r="O358" s="11" t="s">
        <v>1171</v>
      </c>
      <c r="P358" s="11" t="s">
        <v>323</v>
      </c>
      <c r="Q358" s="11" t="s">
        <v>125</v>
      </c>
      <c r="R358" s="11" t="s">
        <v>150</v>
      </c>
      <c r="S358" s="11" t="s">
        <v>125</v>
      </c>
      <c r="T358" s="11" t="s">
        <v>126</v>
      </c>
      <c r="U358" s="11" t="s">
        <v>1251</v>
      </c>
      <c r="V358" s="11" t="s">
        <v>1765</v>
      </c>
      <c r="W358" s="11" t="s">
        <v>994</v>
      </c>
      <c r="X358" s="11" t="s">
        <v>994</v>
      </c>
      <c r="Y358" s="11" t="s">
        <v>994</v>
      </c>
      <c r="Z358" s="11" t="s">
        <v>994</v>
      </c>
      <c r="AA358" s="11" t="s">
        <v>994</v>
      </c>
      <c r="AB358" s="11" t="s">
        <v>994</v>
      </c>
      <c r="AC358" s="11" t="s">
        <v>994</v>
      </c>
      <c r="AD358" s="11" t="s">
        <v>994</v>
      </c>
      <c r="AE358" s="11" t="s">
        <v>995</v>
      </c>
    </row>
    <row r="359">
      <c r="B359" s="26" t="s">
        <v>49</v>
      </c>
      <c r="C359" s="12" t="s">
        <v>1697</v>
      </c>
      <c r="D359" s="11" t="s">
        <v>1172</v>
      </c>
      <c r="E359" s="11" t="s">
        <v>1173</v>
      </c>
      <c r="F359" s="12" t="s">
        <v>286</v>
      </c>
      <c r="G359" s="12" t="s">
        <v>246</v>
      </c>
      <c r="H359" s="12" t="s">
        <v>246</v>
      </c>
      <c r="I359" s="12" t="s">
        <v>37</v>
      </c>
      <c r="J359" s="12" t="s">
        <v>1018</v>
      </c>
      <c r="K359" s="12" t="s">
        <v>1024</v>
      </c>
      <c r="L359" s="12" t="s">
        <v>247</v>
      </c>
      <c r="M359" s="12" t="s">
        <v>994</v>
      </c>
      <c r="N359" s="13" t="s">
        <v>994</v>
      </c>
      <c r="O359" s="11" t="s">
        <v>1174</v>
      </c>
      <c r="P359" s="11" t="s">
        <v>323</v>
      </c>
      <c r="Q359" s="11" t="s">
        <v>126</v>
      </c>
      <c r="R359" s="11" t="s">
        <v>150</v>
      </c>
      <c r="S359" s="11" t="s">
        <v>125</v>
      </c>
      <c r="T359" s="11" t="s">
        <v>126</v>
      </c>
      <c r="U359" s="11" t="s">
        <v>1251</v>
      </c>
      <c r="V359" s="11" t="s">
        <v>1765</v>
      </c>
      <c r="W359" s="11" t="s">
        <v>994</v>
      </c>
      <c r="X359" s="11" t="s">
        <v>994</v>
      </c>
      <c r="Y359" s="11" t="s">
        <v>994</v>
      </c>
      <c r="Z359" s="11" t="s">
        <v>994</v>
      </c>
      <c r="AA359" s="11" t="s">
        <v>994</v>
      </c>
      <c r="AB359" s="11" t="s">
        <v>994</v>
      </c>
      <c r="AC359" s="11" t="s">
        <v>994</v>
      </c>
      <c r="AD359" s="11" t="s">
        <v>994</v>
      </c>
      <c r="AE359" s="11" t="s">
        <v>995</v>
      </c>
    </row>
    <row r="360">
      <c r="B360" s="26" t="s">
        <v>49</v>
      </c>
      <c r="C360" s="12" t="s">
        <v>1698</v>
      </c>
      <c r="D360" s="11" t="s">
        <v>1175</v>
      </c>
      <c r="E360" s="11" t="s">
        <v>1176</v>
      </c>
      <c r="F360" s="12" t="s">
        <v>49</v>
      </c>
      <c r="G360" s="12" t="s">
        <v>246</v>
      </c>
      <c r="H360" s="12" t="s">
        <v>246</v>
      </c>
      <c r="I360" s="12" t="s">
        <v>37</v>
      </c>
      <c r="J360" s="12" t="s">
        <v>1018</v>
      </c>
      <c r="K360" s="12" t="s">
        <v>1024</v>
      </c>
      <c r="L360" s="12" t="s">
        <v>247</v>
      </c>
      <c r="M360" s="12" t="s">
        <v>994</v>
      </c>
      <c r="N360" s="13" t="s">
        <v>994</v>
      </c>
      <c r="O360" s="11" t="s">
        <v>1177</v>
      </c>
      <c r="P360" s="11" t="s">
        <v>323</v>
      </c>
      <c r="Q360" s="11" t="s">
        <v>126</v>
      </c>
      <c r="R360" s="11" t="s">
        <v>150</v>
      </c>
      <c r="S360" s="11" t="s">
        <v>125</v>
      </c>
      <c r="T360" s="11" t="s">
        <v>126</v>
      </c>
      <c r="U360" s="11" t="s">
        <v>1251</v>
      </c>
      <c r="V360" s="11" t="s">
        <v>1765</v>
      </c>
      <c r="W360" s="11" t="s">
        <v>994</v>
      </c>
      <c r="X360" s="11" t="s">
        <v>994</v>
      </c>
      <c r="Y360" s="11" t="s">
        <v>994</v>
      </c>
      <c r="Z360" s="11" t="s">
        <v>994</v>
      </c>
      <c r="AA360" s="11" t="s">
        <v>994</v>
      </c>
      <c r="AB360" s="11" t="s">
        <v>994</v>
      </c>
      <c r="AC360" s="11" t="s">
        <v>994</v>
      </c>
      <c r="AD360" s="11" t="s">
        <v>994</v>
      </c>
      <c r="AE360" s="11" t="s">
        <v>995</v>
      </c>
    </row>
    <row r="361">
      <c r="B361" s="26" t="s">
        <v>49</v>
      </c>
      <c r="C361" s="12" t="s">
        <v>1699</v>
      </c>
      <c r="D361" s="11" t="s">
        <v>1178</v>
      </c>
      <c r="E361" s="11" t="s">
        <v>1179</v>
      </c>
      <c r="F361" s="12" t="s">
        <v>49</v>
      </c>
      <c r="G361" s="12" t="s">
        <v>246</v>
      </c>
      <c r="H361" s="12" t="s">
        <v>246</v>
      </c>
      <c r="I361" s="12" t="s">
        <v>60</v>
      </c>
      <c r="J361" s="12" t="s">
        <v>1018</v>
      </c>
      <c r="K361" s="12" t="s">
        <v>118</v>
      </c>
      <c r="L361" s="12" t="s">
        <v>247</v>
      </c>
      <c r="M361" s="12" t="s">
        <v>994</v>
      </c>
      <c r="N361" s="13" t="s">
        <v>994</v>
      </c>
      <c r="O361" s="11" t="s">
        <v>1180</v>
      </c>
      <c r="P361" s="11" t="s">
        <v>323</v>
      </c>
      <c r="Q361" s="11" t="s">
        <v>126</v>
      </c>
      <c r="R361" s="11" t="s">
        <v>150</v>
      </c>
      <c r="S361" s="11" t="s">
        <v>125</v>
      </c>
      <c r="T361" s="11" t="s">
        <v>126</v>
      </c>
      <c r="U361" s="11" t="s">
        <v>1251</v>
      </c>
      <c r="V361" s="11" t="s">
        <v>1765</v>
      </c>
      <c r="W361" s="11" t="s">
        <v>994</v>
      </c>
      <c r="X361" s="11" t="s">
        <v>994</v>
      </c>
      <c r="Y361" s="11" t="s">
        <v>994</v>
      </c>
      <c r="Z361" s="11" t="s">
        <v>994</v>
      </c>
      <c r="AA361" s="11" t="s">
        <v>994</v>
      </c>
      <c r="AB361" s="11" t="s">
        <v>994</v>
      </c>
      <c r="AC361" s="11" t="s">
        <v>994</v>
      </c>
      <c r="AD361" s="11" t="s">
        <v>994</v>
      </c>
      <c r="AE361" s="11" t="s">
        <v>995</v>
      </c>
    </row>
    <row r="362">
      <c r="B362" s="26" t="s">
        <v>49</v>
      </c>
      <c r="C362" s="12" t="s">
        <v>1700</v>
      </c>
      <c r="D362" s="11" t="s">
        <v>1181</v>
      </c>
      <c r="E362" s="11" t="s">
        <v>1182</v>
      </c>
      <c r="F362" s="12" t="s">
        <v>49</v>
      </c>
      <c r="G362" s="12" t="s">
        <v>246</v>
      </c>
      <c r="H362" s="12" t="s">
        <v>246</v>
      </c>
      <c r="I362" s="12" t="s">
        <v>37</v>
      </c>
      <c r="J362" s="12" t="s">
        <v>1018</v>
      </c>
      <c r="K362" s="12" t="s">
        <v>1024</v>
      </c>
      <c r="L362" s="12" t="s">
        <v>247</v>
      </c>
      <c r="M362" s="12" t="s">
        <v>994</v>
      </c>
      <c r="N362" s="13" t="s">
        <v>994</v>
      </c>
      <c r="O362" s="11" t="s">
        <v>1183</v>
      </c>
      <c r="P362" s="11" t="s">
        <v>323</v>
      </c>
      <c r="Q362" s="11" t="s">
        <v>126</v>
      </c>
      <c r="R362" s="11" t="s">
        <v>150</v>
      </c>
      <c r="S362" s="11" t="s">
        <v>125</v>
      </c>
      <c r="T362" s="11" t="s">
        <v>126</v>
      </c>
      <c r="U362" s="11" t="s">
        <v>1251</v>
      </c>
      <c r="V362" s="11" t="s">
        <v>1766</v>
      </c>
      <c r="W362" s="11" t="s">
        <v>994</v>
      </c>
      <c r="X362" s="11" t="s">
        <v>994</v>
      </c>
      <c r="Y362" s="11" t="s">
        <v>994</v>
      </c>
      <c r="Z362" s="11" t="s">
        <v>994</v>
      </c>
      <c r="AA362" s="11" t="s">
        <v>994</v>
      </c>
      <c r="AB362" s="11" t="s">
        <v>994</v>
      </c>
      <c r="AC362" s="11" t="s">
        <v>994</v>
      </c>
      <c r="AD362" s="11" t="s">
        <v>994</v>
      </c>
      <c r="AE362" s="11" t="s">
        <v>995</v>
      </c>
    </row>
    <row r="363">
      <c r="B363" s="26" t="s">
        <v>49</v>
      </c>
      <c r="C363" s="12" t="s">
        <v>1701</v>
      </c>
      <c r="D363" s="11" t="s">
        <v>1184</v>
      </c>
      <c r="E363" s="11" t="s">
        <v>1185</v>
      </c>
      <c r="F363" s="12" t="s">
        <v>49</v>
      </c>
      <c r="G363" s="12" t="s">
        <v>246</v>
      </c>
      <c r="H363" s="12" t="s">
        <v>246</v>
      </c>
      <c r="I363" s="12" t="s">
        <v>60</v>
      </c>
      <c r="J363" s="12" t="s">
        <v>1018</v>
      </c>
      <c r="K363" s="12" t="s">
        <v>118</v>
      </c>
      <c r="L363" s="12" t="s">
        <v>247</v>
      </c>
      <c r="M363" s="12" t="s">
        <v>994</v>
      </c>
      <c r="N363" s="13" t="s">
        <v>994</v>
      </c>
      <c r="O363" s="11" t="s">
        <v>1186</v>
      </c>
      <c r="P363" s="11" t="s">
        <v>323</v>
      </c>
      <c r="Q363" s="11" t="s">
        <v>126</v>
      </c>
      <c r="R363" s="11" t="s">
        <v>150</v>
      </c>
      <c r="S363" s="11" t="s">
        <v>125</v>
      </c>
      <c r="T363" s="11" t="s">
        <v>126</v>
      </c>
      <c r="U363" s="11" t="s">
        <v>1251</v>
      </c>
      <c r="V363" s="11" t="s">
        <v>1770</v>
      </c>
      <c r="W363" s="11" t="s">
        <v>994</v>
      </c>
      <c r="X363" s="11" t="s">
        <v>994</v>
      </c>
      <c r="Y363" s="11" t="s">
        <v>994</v>
      </c>
      <c r="Z363" s="11" t="s">
        <v>994</v>
      </c>
      <c r="AA363" s="11" t="s">
        <v>994</v>
      </c>
      <c r="AB363" s="11" t="s">
        <v>994</v>
      </c>
      <c r="AC363" s="11" t="s">
        <v>994</v>
      </c>
      <c r="AD363" s="11" t="s">
        <v>994</v>
      </c>
      <c r="AE363" s="11" t="s">
        <v>995</v>
      </c>
    </row>
    <row r="364">
      <c r="B364" s="26" t="s">
        <v>49</v>
      </c>
      <c r="C364" s="12" t="s">
        <v>1702</v>
      </c>
      <c r="D364" s="11" t="s">
        <v>1187</v>
      </c>
      <c r="E364" s="11" t="s">
        <v>1188</v>
      </c>
      <c r="F364" s="12" t="s">
        <v>49</v>
      </c>
      <c r="G364" s="12" t="s">
        <v>246</v>
      </c>
      <c r="H364" s="12" t="s">
        <v>246</v>
      </c>
      <c r="I364" s="12" t="s">
        <v>37</v>
      </c>
      <c r="J364" s="12" t="s">
        <v>1018</v>
      </c>
      <c r="K364" s="12" t="s">
        <v>1024</v>
      </c>
      <c r="L364" s="12" t="s">
        <v>247</v>
      </c>
      <c r="M364" s="12" t="s">
        <v>994</v>
      </c>
      <c r="N364" s="13" t="s">
        <v>994</v>
      </c>
      <c r="O364" s="11" t="s">
        <v>1189</v>
      </c>
      <c r="P364" s="11" t="s">
        <v>323</v>
      </c>
      <c r="Q364" s="11" t="s">
        <v>126</v>
      </c>
      <c r="R364" s="11" t="s">
        <v>150</v>
      </c>
      <c r="S364" s="11" t="s">
        <v>994</v>
      </c>
      <c r="T364" s="11" t="s">
        <v>126</v>
      </c>
      <c r="U364" s="11" t="s">
        <v>994</v>
      </c>
      <c r="V364" s="11" t="s">
        <v>994</v>
      </c>
      <c r="W364" s="11" t="s">
        <v>994</v>
      </c>
      <c r="X364" s="11" t="s">
        <v>994</v>
      </c>
      <c r="Y364" s="11" t="s">
        <v>994</v>
      </c>
      <c r="Z364" s="11" t="s">
        <v>994</v>
      </c>
      <c r="AA364" s="11" t="s">
        <v>994</v>
      </c>
      <c r="AB364" s="11" t="s">
        <v>994</v>
      </c>
      <c r="AC364" s="11" t="s">
        <v>994</v>
      </c>
      <c r="AD364" s="11" t="s">
        <v>994</v>
      </c>
      <c r="AE364" s="11" t="s">
        <v>1804</v>
      </c>
    </row>
    <row r="365">
      <c r="B365" s="26" t="s">
        <v>49</v>
      </c>
      <c r="C365" s="12" t="s">
        <v>1703</v>
      </c>
      <c r="D365" s="11" t="s">
        <v>1190</v>
      </c>
      <c r="E365" s="11" t="s">
        <v>47</v>
      </c>
      <c r="F365" s="12" t="s">
        <v>49</v>
      </c>
      <c r="G365" s="12" t="s">
        <v>246</v>
      </c>
      <c r="H365" s="12" t="s">
        <v>246</v>
      </c>
      <c r="I365" s="12" t="s">
        <v>37</v>
      </c>
      <c r="J365" s="12" t="s">
        <v>1018</v>
      </c>
      <c r="K365" s="12" t="s">
        <v>1024</v>
      </c>
      <c r="L365" s="12" t="s">
        <v>247</v>
      </c>
      <c r="M365" s="12" t="s">
        <v>994</v>
      </c>
      <c r="N365" s="13" t="s">
        <v>994</v>
      </c>
      <c r="O365" s="11" t="s">
        <v>1191</v>
      </c>
      <c r="P365" s="11" t="s">
        <v>323</v>
      </c>
      <c r="Q365" s="11" t="s">
        <v>126</v>
      </c>
      <c r="R365" s="11" t="s">
        <v>150</v>
      </c>
      <c r="S365" s="11" t="s">
        <v>125</v>
      </c>
      <c r="T365" s="11" t="s">
        <v>126</v>
      </c>
      <c r="U365" s="11" t="s">
        <v>1251</v>
      </c>
      <c r="V365" s="11" t="s">
        <v>1770</v>
      </c>
      <c r="W365" s="11" t="s">
        <v>994</v>
      </c>
      <c r="X365" s="11" t="s">
        <v>994</v>
      </c>
      <c r="Y365" s="11" t="s">
        <v>994</v>
      </c>
      <c r="Z365" s="11" t="s">
        <v>994</v>
      </c>
      <c r="AA365" s="11" t="s">
        <v>994</v>
      </c>
      <c r="AB365" s="11" t="s">
        <v>994</v>
      </c>
      <c r="AC365" s="11" t="s">
        <v>994</v>
      </c>
      <c r="AD365" s="11" t="s">
        <v>994</v>
      </c>
      <c r="AE365" s="11" t="s">
        <v>995</v>
      </c>
    </row>
    <row r="366">
      <c r="B366" s="26" t="s">
        <v>49</v>
      </c>
      <c r="C366" s="12" t="s">
        <v>1704</v>
      </c>
      <c r="D366" s="11" t="s">
        <v>1278</v>
      </c>
      <c r="E366" s="11" t="s">
        <v>1280</v>
      </c>
      <c r="F366" s="12" t="s">
        <v>49</v>
      </c>
      <c r="G366" s="12" t="s">
        <v>246</v>
      </c>
      <c r="H366" s="12" t="s">
        <v>246</v>
      </c>
      <c r="I366" s="12" t="s">
        <v>111</v>
      </c>
      <c r="J366" s="12" t="s">
        <v>1036</v>
      </c>
      <c r="K366" s="12" t="s">
        <v>118</v>
      </c>
      <c r="L366" s="12" t="s">
        <v>247</v>
      </c>
      <c r="M366" s="12" t="s">
        <v>994</v>
      </c>
      <c r="N366" s="13" t="s">
        <v>994</v>
      </c>
      <c r="O366" s="11" t="s">
        <v>994</v>
      </c>
      <c r="P366" s="11" t="s">
        <v>994</v>
      </c>
      <c r="Q366" s="11" t="s">
        <v>994</v>
      </c>
      <c r="R366" s="11" t="s">
        <v>994</v>
      </c>
      <c r="S366" s="11" t="s">
        <v>994</v>
      </c>
      <c r="T366" s="11" t="s">
        <v>125</v>
      </c>
      <c r="U366" s="11" t="s">
        <v>1016</v>
      </c>
      <c r="V366" s="11" t="s">
        <v>994</v>
      </c>
      <c r="W366" s="11" t="s">
        <v>994</v>
      </c>
      <c r="X366" s="11" t="s">
        <v>994</v>
      </c>
      <c r="Y366" s="11" t="s">
        <v>994</v>
      </c>
      <c r="Z366" s="11" t="s">
        <v>1802</v>
      </c>
      <c r="AA366" s="11" t="s">
        <v>994</v>
      </c>
      <c r="AB366" s="11" t="s">
        <v>30</v>
      </c>
      <c r="AC366" s="11" t="s">
        <v>994</v>
      </c>
      <c r="AD366" s="11" t="s">
        <v>994</v>
      </c>
      <c r="AE366" s="11" t="s">
        <v>995</v>
      </c>
    </row>
    <row r="367">
      <c r="B367" s="26" t="s">
        <v>49</v>
      </c>
      <c r="C367" s="12" t="s">
        <v>1705</v>
      </c>
      <c r="D367" s="11" t="s">
        <v>1279</v>
      </c>
      <c r="E367" s="11" t="s">
        <v>80</v>
      </c>
      <c r="F367" s="12" t="s">
        <v>49</v>
      </c>
      <c r="G367" s="12" t="s">
        <v>246</v>
      </c>
      <c r="H367" s="12" t="s">
        <v>246</v>
      </c>
      <c r="I367" s="12" t="s">
        <v>82</v>
      </c>
      <c r="J367" s="12" t="s">
        <v>1011</v>
      </c>
      <c r="K367" s="12" t="s">
        <v>118</v>
      </c>
      <c r="L367" s="12" t="s">
        <v>247</v>
      </c>
      <c r="M367" s="12" t="s">
        <v>994</v>
      </c>
      <c r="N367" s="13" t="s">
        <v>994</v>
      </c>
      <c r="O367" s="11" t="s">
        <v>994</v>
      </c>
      <c r="P367" s="11" t="s">
        <v>994</v>
      </c>
      <c r="Q367" s="11" t="s">
        <v>994</v>
      </c>
      <c r="R367" s="11" t="s">
        <v>994</v>
      </c>
      <c r="S367" s="11" t="s">
        <v>994</v>
      </c>
      <c r="T367" s="11" t="s">
        <v>125</v>
      </c>
      <c r="U367" s="11" t="s">
        <v>1016</v>
      </c>
      <c r="V367" s="11" t="s">
        <v>994</v>
      </c>
      <c r="W367" s="11" t="s">
        <v>994</v>
      </c>
      <c r="X367" s="11" t="s">
        <v>994</v>
      </c>
      <c r="Y367" s="11" t="s">
        <v>994</v>
      </c>
      <c r="Z367" s="11" t="s">
        <v>1800</v>
      </c>
      <c r="AA367" s="11" t="s">
        <v>994</v>
      </c>
      <c r="AB367" s="11" t="s">
        <v>30</v>
      </c>
      <c r="AC367" s="11" t="s">
        <v>994</v>
      </c>
      <c r="AD367" s="11" t="s">
        <v>994</v>
      </c>
      <c r="AE367" s="11" t="s">
        <v>995</v>
      </c>
    </row>
    <row r="368">
      <c r="B368" s="26" t="s">
        <v>49</v>
      </c>
      <c r="C368" s="12" t="s">
        <v>1706</v>
      </c>
      <c r="D368" s="11" t="s">
        <v>1247</v>
      </c>
      <c r="E368" s="11" t="s">
        <v>1249</v>
      </c>
      <c r="F368" s="12" t="s">
        <v>49</v>
      </c>
      <c r="G368" s="12" t="s">
        <v>246</v>
      </c>
      <c r="H368" s="12" t="s">
        <v>246</v>
      </c>
      <c r="I368" s="12" t="s">
        <v>37</v>
      </c>
      <c r="J368" s="12" t="s">
        <v>1018</v>
      </c>
      <c r="K368" s="12" t="s">
        <v>1024</v>
      </c>
      <c r="L368" s="12" t="s">
        <v>247</v>
      </c>
      <c r="M368" s="12" t="s">
        <v>994</v>
      </c>
      <c r="N368" s="13" t="s">
        <v>1250</v>
      </c>
      <c r="O368" s="11" t="s">
        <v>994</v>
      </c>
      <c r="P368" s="11" t="s">
        <v>323</v>
      </c>
      <c r="Q368" s="11" t="s">
        <v>126</v>
      </c>
      <c r="R368" s="11" t="s">
        <v>150</v>
      </c>
      <c r="S368" s="11" t="s">
        <v>994</v>
      </c>
      <c r="T368" s="11" t="s">
        <v>125</v>
      </c>
      <c r="U368" s="11" t="s">
        <v>1016</v>
      </c>
      <c r="V368" s="11" t="s">
        <v>994</v>
      </c>
      <c r="W368" s="11" t="s">
        <v>994</v>
      </c>
      <c r="X368" s="11" t="s">
        <v>994</v>
      </c>
      <c r="Y368" s="11" t="s">
        <v>994</v>
      </c>
      <c r="Z368" s="11" t="s">
        <v>1792</v>
      </c>
      <c r="AA368" s="11" t="s">
        <v>994</v>
      </c>
      <c r="AB368" s="11" t="s">
        <v>30</v>
      </c>
      <c r="AC368" s="11" t="s">
        <v>994</v>
      </c>
      <c r="AD368" s="11" t="s">
        <v>994</v>
      </c>
      <c r="AE368" s="11" t="s">
        <v>995</v>
      </c>
    </row>
    <row r="369">
      <c r="B369" s="26" t="s">
        <v>49</v>
      </c>
      <c r="C369" s="12" t="s">
        <v>1707</v>
      </c>
      <c r="D369" s="11" t="s">
        <v>1248</v>
      </c>
      <c r="E369" s="11" t="s">
        <v>69</v>
      </c>
      <c r="F369" s="12" t="s">
        <v>994</v>
      </c>
      <c r="G369" s="12" t="s">
        <v>246</v>
      </c>
      <c r="H369" s="12" t="s">
        <v>246</v>
      </c>
      <c r="I369" s="12" t="s">
        <v>994</v>
      </c>
      <c r="J369" s="12" t="s">
        <v>994</v>
      </c>
      <c r="K369" s="12" t="s">
        <v>994</v>
      </c>
      <c r="L369" s="12" t="s">
        <v>247</v>
      </c>
      <c r="M369" s="12" t="s">
        <v>994</v>
      </c>
      <c r="N369" s="13" t="s">
        <v>994</v>
      </c>
      <c r="O369" s="11" t="s">
        <v>994</v>
      </c>
      <c r="P369" s="11" t="s">
        <v>994</v>
      </c>
      <c r="Q369" s="11" t="s">
        <v>1309</v>
      </c>
      <c r="R369" s="11" t="s">
        <v>994</v>
      </c>
      <c r="S369" s="11" t="s">
        <v>1309</v>
      </c>
      <c r="T369" s="11" t="s">
        <v>1310</v>
      </c>
      <c r="U369" s="11" t="s">
        <v>1251</v>
      </c>
      <c r="V369" s="11" t="s">
        <v>1765</v>
      </c>
      <c r="W369" s="11" t="s">
        <v>994</v>
      </c>
      <c r="X369" s="11" t="s">
        <v>994</v>
      </c>
      <c r="Y369" s="11" t="s">
        <v>994</v>
      </c>
      <c r="Z369" s="11" t="s">
        <v>994</v>
      </c>
      <c r="AA369" s="11" t="s">
        <v>994</v>
      </c>
      <c r="AB369" s="11" t="s">
        <v>994</v>
      </c>
      <c r="AC369" s="11" t="s">
        <v>994</v>
      </c>
      <c r="AD369" s="11" t="s">
        <v>994</v>
      </c>
      <c r="AE369" s="11" t="s">
        <v>995</v>
      </c>
    </row>
    <row r="370">
      <c r="B370" s="26" t="s">
        <v>278</v>
      </c>
      <c r="C370" s="12" t="s">
        <v>1708</v>
      </c>
      <c r="D370" s="11" t="s">
        <v>1311</v>
      </c>
      <c r="E370" s="11" t="s">
        <v>245</v>
      </c>
      <c r="F370" s="12" t="s">
        <v>278</v>
      </c>
      <c r="G370" s="12" t="s">
        <v>246</v>
      </c>
      <c r="H370" s="12" t="s">
        <v>246</v>
      </c>
      <c r="I370" s="12" t="s">
        <v>82</v>
      </c>
      <c r="J370" s="12" t="s">
        <v>1018</v>
      </c>
      <c r="K370" s="12" t="s">
        <v>1024</v>
      </c>
      <c r="L370" s="12" t="s">
        <v>247</v>
      </c>
      <c r="M370" s="12" t="s">
        <v>994</v>
      </c>
      <c r="N370" s="13" t="s">
        <v>1407</v>
      </c>
      <c r="O370" s="11" t="s">
        <v>994</v>
      </c>
      <c r="P370" s="11" t="s">
        <v>994</v>
      </c>
      <c r="Q370" s="11" t="s">
        <v>126</v>
      </c>
      <c r="R370" s="11" t="s">
        <v>150</v>
      </c>
      <c r="S370" s="11" t="s">
        <v>994</v>
      </c>
      <c r="T370" s="11" t="s">
        <v>125</v>
      </c>
      <c r="U370" s="11" t="s">
        <v>1016</v>
      </c>
      <c r="V370" s="11" t="s">
        <v>1771</v>
      </c>
      <c r="W370" s="11" t="s">
        <v>994</v>
      </c>
      <c r="X370" s="11" t="s">
        <v>994</v>
      </c>
      <c r="Y370" s="11" t="s">
        <v>1787</v>
      </c>
      <c r="Z370" s="11" t="s">
        <v>994</v>
      </c>
      <c r="AA370" s="11" t="s">
        <v>994</v>
      </c>
      <c r="AB370" s="11" t="s">
        <v>30</v>
      </c>
      <c r="AC370" s="11" t="s">
        <v>994</v>
      </c>
      <c r="AD370" s="11" t="s">
        <v>1409</v>
      </c>
      <c r="AE370" s="11" t="s">
        <v>995</v>
      </c>
    </row>
    <row r="371">
      <c r="B371" s="26" t="s">
        <v>49</v>
      </c>
      <c r="C371" s="12" t="s">
        <v>1709</v>
      </c>
      <c r="D371" s="11" t="s">
        <v>1142</v>
      </c>
      <c r="E371" s="11" t="s">
        <v>47</v>
      </c>
      <c r="F371" s="12" t="s">
        <v>49</v>
      </c>
      <c r="G371" s="12" t="s">
        <v>994</v>
      </c>
      <c r="H371" s="12" t="s">
        <v>994</v>
      </c>
      <c r="I371" s="12" t="s">
        <v>37</v>
      </c>
      <c r="J371" s="12" t="s">
        <v>1018</v>
      </c>
      <c r="K371" s="12" t="s">
        <v>1024</v>
      </c>
      <c r="L371" s="12" t="s">
        <v>247</v>
      </c>
      <c r="M371" s="12" t="s">
        <v>994</v>
      </c>
      <c r="N371" s="13" t="s">
        <v>994</v>
      </c>
      <c r="O371" s="11" t="s">
        <v>994</v>
      </c>
      <c r="P371" s="11" t="s">
        <v>994</v>
      </c>
      <c r="Q371" s="11" t="s">
        <v>994</v>
      </c>
      <c r="R371" s="11" t="s">
        <v>994</v>
      </c>
      <c r="S371" s="11" t="s">
        <v>994</v>
      </c>
      <c r="T371" s="11" t="s">
        <v>994</v>
      </c>
      <c r="U371" s="11" t="s">
        <v>1016</v>
      </c>
      <c r="V371" s="11" t="s">
        <v>994</v>
      </c>
      <c r="W371" s="11" t="s">
        <v>994</v>
      </c>
      <c r="X371" s="11" t="s">
        <v>994</v>
      </c>
      <c r="Y371" s="11" t="s">
        <v>994</v>
      </c>
      <c r="Z371" s="11" t="s">
        <v>994</v>
      </c>
      <c r="AA371" s="11" t="s">
        <v>994</v>
      </c>
      <c r="AB371" s="11" t="s">
        <v>30</v>
      </c>
      <c r="AC371" s="11" t="s">
        <v>994</v>
      </c>
      <c r="AD371" s="11" t="s">
        <v>994</v>
      </c>
      <c r="AE371" s="11" t="s">
        <v>995</v>
      </c>
    </row>
    <row r="372">
      <c r="B372" s="26" t="s">
        <v>49</v>
      </c>
      <c r="C372" s="12" t="s">
        <v>1710</v>
      </c>
      <c r="D372" s="11" t="s">
        <v>1312</v>
      </c>
      <c r="E372" s="11" t="s">
        <v>1313</v>
      </c>
      <c r="F372" s="12" t="s">
        <v>49</v>
      </c>
      <c r="G372" s="12" t="s">
        <v>994</v>
      </c>
      <c r="H372" s="12" t="s">
        <v>994</v>
      </c>
      <c r="I372" s="12" t="s">
        <v>37</v>
      </c>
      <c r="J372" s="12" t="s">
        <v>1018</v>
      </c>
      <c r="K372" s="12" t="s">
        <v>1024</v>
      </c>
      <c r="L372" s="12" t="s">
        <v>247</v>
      </c>
      <c r="M372" s="12" t="s">
        <v>994</v>
      </c>
      <c r="N372" s="13" t="s">
        <v>994</v>
      </c>
      <c r="O372" s="11" t="s">
        <v>994</v>
      </c>
      <c r="P372" s="11" t="s">
        <v>994</v>
      </c>
      <c r="Q372" s="11" t="s">
        <v>994</v>
      </c>
      <c r="R372" s="11" t="s">
        <v>994</v>
      </c>
      <c r="S372" s="11" t="s">
        <v>994</v>
      </c>
      <c r="T372" s="11" t="s">
        <v>994</v>
      </c>
      <c r="U372" s="11" t="s">
        <v>1016</v>
      </c>
      <c r="V372" s="11" t="s">
        <v>994</v>
      </c>
      <c r="W372" s="11" t="s">
        <v>994</v>
      </c>
      <c r="X372" s="11" t="s">
        <v>994</v>
      </c>
      <c r="Y372" s="11" t="s">
        <v>994</v>
      </c>
      <c r="Z372" s="11" t="s">
        <v>994</v>
      </c>
      <c r="AA372" s="11" t="s">
        <v>994</v>
      </c>
      <c r="AB372" s="11" t="s">
        <v>30</v>
      </c>
      <c r="AC372" s="11" t="s">
        <v>994</v>
      </c>
      <c r="AD372" s="11" t="s">
        <v>994</v>
      </c>
      <c r="AE372" s="11" t="s">
        <v>995</v>
      </c>
    </row>
    <row r="373">
      <c r="B373" s="26" t="s">
        <v>49</v>
      </c>
      <c r="C373" s="12" t="s">
        <v>1711</v>
      </c>
      <c r="D373" s="11" t="s">
        <v>1404</v>
      </c>
      <c r="E373" s="11" t="s">
        <v>1406</v>
      </c>
      <c r="F373" s="12" t="s">
        <v>49</v>
      </c>
      <c r="G373" s="12" t="s">
        <v>994</v>
      </c>
      <c r="H373" s="12" t="s">
        <v>994</v>
      </c>
      <c r="I373" s="12" t="s">
        <v>82</v>
      </c>
      <c r="J373" s="12" t="s">
        <v>1018</v>
      </c>
      <c r="K373" s="12" t="s">
        <v>1022</v>
      </c>
      <c r="L373" s="12" t="s">
        <v>247</v>
      </c>
      <c r="M373" s="12" t="s">
        <v>994</v>
      </c>
      <c r="N373" s="13" t="s">
        <v>994</v>
      </c>
      <c r="O373" s="11" t="s">
        <v>994</v>
      </c>
      <c r="P373" s="11" t="s">
        <v>994</v>
      </c>
      <c r="Q373" s="11" t="s">
        <v>994</v>
      </c>
      <c r="R373" s="11" t="s">
        <v>994</v>
      </c>
      <c r="S373" s="11" t="s">
        <v>994</v>
      </c>
      <c r="T373" s="11" t="s">
        <v>994</v>
      </c>
      <c r="U373" s="11" t="s">
        <v>1016</v>
      </c>
      <c r="V373" s="11" t="s">
        <v>994</v>
      </c>
      <c r="W373" s="11" t="s">
        <v>994</v>
      </c>
      <c r="X373" s="11" t="s">
        <v>994</v>
      </c>
      <c r="Y373" s="11" t="s">
        <v>994</v>
      </c>
      <c r="Z373" s="11" t="s">
        <v>994</v>
      </c>
      <c r="AA373" s="11" t="s">
        <v>994</v>
      </c>
      <c r="AB373" s="11" t="s">
        <v>30</v>
      </c>
      <c r="AC373" s="11" t="s">
        <v>994</v>
      </c>
      <c r="AD373" s="11" t="s">
        <v>994</v>
      </c>
      <c r="AE373" s="11" t="s">
        <v>995</v>
      </c>
    </row>
    <row r="374">
      <c r="B374" s="26" t="s">
        <v>314</v>
      </c>
      <c r="C374" s="12" t="s">
        <v>1806</v>
      </c>
      <c r="D374" s="11" t="s">
        <v>1405</v>
      </c>
      <c r="E374" s="11" t="s">
        <v>429</v>
      </c>
      <c r="F374" s="12" t="s">
        <v>314</v>
      </c>
      <c r="G374" s="12" t="s">
        <v>994</v>
      </c>
      <c r="H374" s="12" t="s">
        <v>994</v>
      </c>
      <c r="I374" s="12" t="s">
        <v>430</v>
      </c>
      <c r="J374" s="12" t="s">
        <v>20</v>
      </c>
      <c r="K374" s="12" t="s">
        <v>994</v>
      </c>
      <c r="L374" s="12" t="s">
        <v>247</v>
      </c>
      <c r="M374" s="12" t="s">
        <v>994</v>
      </c>
      <c r="N374" s="13" t="s">
        <v>1408</v>
      </c>
      <c r="O374" s="11" t="s">
        <v>994</v>
      </c>
      <c r="P374" s="11" t="s">
        <v>994</v>
      </c>
      <c r="Q374" s="11" t="s">
        <v>126</v>
      </c>
      <c r="R374" s="11" t="s">
        <v>150</v>
      </c>
      <c r="S374" s="11" t="s">
        <v>126</v>
      </c>
      <c r="T374" s="11" t="s">
        <v>125</v>
      </c>
      <c r="U374" s="11" t="s">
        <v>1016</v>
      </c>
      <c r="V374" s="11" t="s">
        <v>1772</v>
      </c>
      <c r="W374" s="11" t="s">
        <v>994</v>
      </c>
      <c r="X374" s="11" t="s">
        <v>994</v>
      </c>
      <c r="Y374" s="11" t="s">
        <v>994</v>
      </c>
      <c r="Z374" s="11" t="s">
        <v>1809</v>
      </c>
      <c r="AA374" s="11" t="s">
        <v>994</v>
      </c>
      <c r="AB374" s="11" t="s">
        <v>994</v>
      </c>
      <c r="AC374" s="11" t="s">
        <v>994</v>
      </c>
      <c r="AD374" s="11" t="s">
        <v>1410</v>
      </c>
      <c r="AE374" s="11" t="s">
        <v>995</v>
      </c>
    </row>
    <row r="375">
      <c r="B375" s="26" t="s">
        <v>295</v>
      </c>
      <c r="C375" s="12" t="s">
        <v>1807</v>
      </c>
      <c r="D375" s="11" t="s">
        <v>1808</v>
      </c>
      <c r="E375" s="11" t="s">
        <v>93</v>
      </c>
      <c r="F375" s="12" t="s">
        <v>295</v>
      </c>
      <c r="G375" s="12" t="s">
        <v>246</v>
      </c>
      <c r="H375" s="12" t="s">
        <v>246</v>
      </c>
      <c r="I375" s="12" t="s">
        <v>430</v>
      </c>
      <c r="J375" s="12" t="s">
        <v>93</v>
      </c>
      <c r="K375" s="12" t="s">
        <v>1026</v>
      </c>
      <c r="L375" s="12" t="s">
        <v>247</v>
      </c>
      <c r="M375" s="12" t="s">
        <v>994</v>
      </c>
      <c r="N375" s="13" t="s">
        <v>994</v>
      </c>
      <c r="O375" s="11" t="s">
        <v>994</v>
      </c>
      <c r="P375" s="11" t="s">
        <v>994</v>
      </c>
      <c r="Q375" s="11" t="s">
        <v>994</v>
      </c>
      <c r="R375" s="11" t="s">
        <v>994</v>
      </c>
      <c r="S375" s="11" t="s">
        <v>994</v>
      </c>
      <c r="T375" s="11" t="s">
        <v>994</v>
      </c>
      <c r="U375" s="11" t="s">
        <v>1016</v>
      </c>
      <c r="V375" s="11" t="s">
        <v>994</v>
      </c>
      <c r="W375" s="11" t="s">
        <v>994</v>
      </c>
      <c r="X375" s="11" t="s">
        <v>994</v>
      </c>
      <c r="Y375" s="11" t="s">
        <v>994</v>
      </c>
      <c r="Z375" s="11" t="s">
        <v>1810</v>
      </c>
      <c r="AA375" s="11" t="s">
        <v>994</v>
      </c>
      <c r="AB375" s="11" t="s">
        <v>994</v>
      </c>
      <c r="AC375" s="11" t="s">
        <v>994</v>
      </c>
      <c r="AD375" s="11" t="s">
        <v>994</v>
      </c>
      <c r="AE375" s="11" t="s">
        <v>994</v>
      </c>
    </row>
  </sheetData>
  <conditionalFormatting sqref="C51 J51:K51">
    <cfRule type="expression" dxfId="411" priority="261">
      <formula>$G51:$G365="Sí"</formula>
    </cfRule>
    <cfRule type="expression" dxfId="410" priority="260">
      <formula>$Q51:$Q365="APOYO"</formula>
    </cfRule>
  </conditionalFormatting>
  <conditionalFormatting sqref="C52:C180 J52:K180 O330">
    <cfRule type="expression" dxfId="409" priority="221">
      <formula>$G52:$G368="Sí"</formula>
    </cfRule>
    <cfRule type="expression" dxfId="408" priority="220">
      <formula>$Q52:$Q368="APOYO"</formula>
    </cfRule>
  </conditionalFormatting>
  <conditionalFormatting sqref="C366:C367">
    <cfRule type="expression" dxfId="407" priority="270">
      <formula>$G366:$G683="Sí"</formula>
    </cfRule>
    <cfRule type="expression" dxfId="406" priority="269">
      <formula>$Q366:$Q683="APOYO"</formula>
    </cfRule>
  </conditionalFormatting>
  <conditionalFormatting sqref="C33:H33 J33:S33 U33:AD33 D355:O364">
    <cfRule type="expression" dxfId="405" priority="197">
      <formula>$Q33:$Q354="APOYO"</formula>
    </cfRule>
    <cfRule type="expression" dxfId="404" priority="198">
      <formula>$G33:$G354="Sí"</formula>
    </cfRule>
  </conditionalFormatting>
  <conditionalFormatting sqref="C34:H34 J34:S34 V34:AD34 P365">
    <cfRule type="expression" dxfId="403" priority="202">
      <formula>$Q34:$Q354="APOYO"</formula>
    </cfRule>
    <cfRule type="expression" dxfId="402" priority="203">
      <formula>$G34:$G354="Sí"</formula>
    </cfRule>
  </conditionalFormatting>
  <conditionalFormatting sqref="C6:S6 W6:AD6 U6:U10 C25:H25 J25:S25 U25:AD25 U26:U31">
    <cfRule type="expression" dxfId="401" priority="266">
      <formula>$Q6:$Q329="APOYO"</formula>
    </cfRule>
    <cfRule type="expression" dxfId="400" priority="267">
      <formula>$G6:$G329="Sí"</formula>
    </cfRule>
  </conditionalFormatting>
  <conditionalFormatting sqref="C45:T46 V45:AD46">
    <cfRule type="expression" dxfId="399" priority="289">
      <formula>$Q45:$Q363="APOYO"</formula>
    </cfRule>
    <cfRule type="expression" dxfId="398" priority="288">
      <formula>$G45:$G363="Sí"</formula>
    </cfRule>
  </conditionalFormatting>
  <conditionalFormatting sqref="C47:T47 V47:AD48 C48:S48 U51:U180">
    <cfRule type="expression" dxfId="397" priority="291">
      <formula>$G47:$G364="Sí"</formula>
    </cfRule>
    <cfRule type="expression" dxfId="396" priority="290">
      <formula>$Q47:$Q364="APOYO"</formula>
    </cfRule>
  </conditionalFormatting>
  <conditionalFormatting sqref="D85:E86 G85:I86 L85:T86 V85:AD86 Z93:AA93 F101">
    <cfRule type="expression" dxfId="395" priority="229">
      <formula>$G85:$G347="Sí"</formula>
    </cfRule>
    <cfRule type="expression" dxfId="394" priority="228">
      <formula>$Q85:$Q347="APOYO"</formula>
    </cfRule>
  </conditionalFormatting>
  <conditionalFormatting sqref="D111:E112">
    <cfRule type="expression" dxfId="393" priority="293">
      <formula>$Q111:$Q364="APOYO"</formula>
    </cfRule>
    <cfRule type="expression" dxfId="392" priority="292">
      <formula>$G111:$G364="Sí"</formula>
    </cfRule>
  </conditionalFormatting>
  <conditionalFormatting sqref="D113:E113 G113:I113 L113:S113 V113:AD113">
    <cfRule type="expression" dxfId="391" priority="251">
      <formula>$G113:$G365="Sí"</formula>
    </cfRule>
    <cfRule type="expression" dxfId="390" priority="250">
      <formula>$Q113:$Q365="APOYO"</formula>
    </cfRule>
  </conditionalFormatting>
  <conditionalFormatting sqref="D171:E171 G171:I171 L171:T171 V171:AD171">
    <cfRule type="expression" dxfId="389" priority="224">
      <formula>$Q171:$Q354="APOYO"</formula>
    </cfRule>
    <cfRule type="expression" dxfId="388" priority="225">
      <formula>$G171:$G354="Sí"</formula>
    </cfRule>
  </conditionalFormatting>
  <conditionalFormatting sqref="D172:E172 G172:I172 V172:AD179 L172:T180 D173:I180 V180:AA180 AC180:AD180">
    <cfRule type="expression" dxfId="387" priority="295">
      <formula>$G172:$G354="Sí"</formula>
    </cfRule>
    <cfRule type="expression" dxfId="386" priority="294">
      <formula>$Q172:$Q354="APOYO"</formula>
    </cfRule>
  </conditionalFormatting>
  <conditionalFormatting sqref="D97:F100 G97:I106 L97:T106 V97:AD106 D101:E101 D102:F106 G111:I112 L111:T112 V111:AD112">
    <cfRule type="expression" dxfId="385" priority="235">
      <formula>$Q97:$Q354="APOYO"</formula>
    </cfRule>
    <cfRule type="expression" dxfId="384" priority="234">
      <formula>$G97:$G354="Sí"</formula>
    </cfRule>
  </conditionalFormatting>
  <conditionalFormatting sqref="D114:F119 G114:I126 L114:T139 V114:AD139 D120:E120 D121:F125 D126:E126 D127:I139">
    <cfRule type="expression" dxfId="383" priority="273">
      <formula>$G114:$G368="Sí"</formula>
    </cfRule>
    <cfRule type="expression" dxfId="382" priority="272">
      <formula>$Q114:$Q368="APOYO"</formula>
    </cfRule>
  </conditionalFormatting>
  <conditionalFormatting sqref="D190:F191 G190:I192 L190:S197 V190:AD211 D192:E192 D193:I211 L198:T207 L208:S209 L210:T211 I265:I273 I301:I303 I308 I310:I311">
    <cfRule type="expression" dxfId="381" priority="111">
      <formula>$Q190:$Q368="APOYO"</formula>
    </cfRule>
    <cfRule type="expression" dxfId="380" priority="112">
      <formula>$G190:$G368="Sí"</formula>
    </cfRule>
  </conditionalFormatting>
  <conditionalFormatting sqref="D366:F367 I366:I367">
    <cfRule type="expression" dxfId="379" priority="95">
      <formula>$Q366:$Q687="APOYO"</formula>
    </cfRule>
    <cfRule type="expression" dxfId="378" priority="96">
      <formula>$G366:$G687="Sí"</formula>
    </cfRule>
  </conditionalFormatting>
  <conditionalFormatting sqref="D368:F370">
    <cfRule type="expression" dxfId="377" priority="73">
      <formula>$Q368:$Q688="APOYO"</formula>
    </cfRule>
    <cfRule type="expression" dxfId="376" priority="74">
      <formula>$G368:$G688="Sí"</formula>
    </cfRule>
  </conditionalFormatting>
  <conditionalFormatting sqref="D26:H26 J26:T26 V26:AD31 C26:C32 D27:T27 D28:H28 J28 L28:T28 D29:T29 D30:H32 J30:S32 U32:AA32 AC32:AD32">
    <cfRule type="expression" dxfId="375" priority="301">
      <formula>$Q26:$Q348="APOYO"</formula>
    </cfRule>
    <cfRule type="expression" dxfId="374" priority="296">
      <formula>$G26:$G348="Sí"</formula>
    </cfRule>
  </conditionalFormatting>
  <conditionalFormatting sqref="D35:H35 C35:C44 V35:AD44 D36:S37 J38 L38:S38 D38:H41 J39:S40 J41:T41 D42:T42 D43:S43 D44:T44 U44:U45 V49:AA49 AC49:AD49 C49:T50 V50:AD50 P366:P367 J35:S35">
    <cfRule type="expression" dxfId="373" priority="216">
      <formula>$G35:$G354="Sí"</formula>
    </cfRule>
  </conditionalFormatting>
  <conditionalFormatting sqref="D35:H35 C35:C44 V35:AD44 D36:S37 J38 L38:S38 D38:H41 J39:S40 J41:T41 D42:T42 D43:S43 D44:T44 U44:U45 V49:AA49 AC49:AD49 C49:T50 V50:AD50 P366:P367">
    <cfRule type="expression" dxfId="372" priority="201">
      <formula>$Q35:$Q354="APOYO"</formula>
    </cfRule>
  </conditionalFormatting>
  <conditionalFormatting sqref="D51:I51 L51:T51 V51:AD51">
    <cfRule type="expression" dxfId="371" priority="178">
      <formula>$G51:$G329="Sí"</formula>
    </cfRule>
    <cfRule type="expression" dxfId="370" priority="177">
      <formula>$Q51:$Q329="APOYO"</formula>
    </cfRule>
  </conditionalFormatting>
  <conditionalFormatting sqref="D59:I59 L59:T59 V59:AD59">
    <cfRule type="expression" dxfId="369" priority="163">
      <formula>$G59:$G329="Sí"</formula>
    </cfRule>
    <cfRule type="expression" dxfId="368" priority="162">
      <formula>$Q59:$Q329="APOYO"</formula>
    </cfRule>
  </conditionalFormatting>
  <conditionalFormatting sqref="D60:I60 L60:T60 V60:AD60">
    <cfRule type="expression" dxfId="367" priority="170">
      <formula>$G60:$G329="Sí"</formula>
    </cfRule>
    <cfRule type="expression" dxfId="366" priority="169">
      <formula>$Q60:$Q329="APOYO"</formula>
    </cfRule>
  </conditionalFormatting>
  <conditionalFormatting sqref="D64:I64 L64:S64 V64:AD64 F84:F86">
    <cfRule type="expression" dxfId="365" priority="164">
      <formula>$Q64:$Q329="APOYO"</formula>
    </cfRule>
    <cfRule type="expression" dxfId="364" priority="165">
      <formula>$G64:$G329="Sí"</formula>
    </cfRule>
  </conditionalFormatting>
  <conditionalFormatting sqref="D65:I65 L65:T65 V65:AD65">
    <cfRule type="expression" dxfId="363" priority="172">
      <formula>$G65:$G329="Sí"</formula>
    </cfRule>
    <cfRule type="expression" dxfId="362" priority="171">
      <formula>$Q65:$Q329="APOYO"</formula>
    </cfRule>
  </conditionalFormatting>
  <conditionalFormatting sqref="D87:I87 L87:T87 V87:AD87">
    <cfRule type="expression" dxfId="361" priority="192">
      <formula>$Q87:$Q348="APOYO"</formula>
    </cfRule>
    <cfRule type="expression" dxfId="360" priority="185">
      <formula>$G87:$G348="Sí"</formula>
    </cfRule>
  </conditionalFormatting>
  <conditionalFormatting sqref="D95:I95 L95:T95 V95:AD95">
    <cfRule type="expression" dxfId="359" priority="211">
      <formula>$Q95:$Q354="APOYO"</formula>
    </cfRule>
    <cfRule type="expression" dxfId="358" priority="210">
      <formula>$G95:$G354="Sí"</formula>
    </cfRule>
  </conditionalFormatting>
  <conditionalFormatting sqref="D96:I96 L96:T96 V96:AD96">
    <cfRule type="expression" dxfId="357" priority="222">
      <formula>$G96:$G354="Sí"</formula>
    </cfRule>
    <cfRule type="expression" dxfId="356" priority="223">
      <formula>$Q96:$Q354="APOYO"</formula>
    </cfRule>
  </conditionalFormatting>
  <conditionalFormatting sqref="D107:I108 L107:T108 V107:AD108">
    <cfRule type="expression" dxfId="355" priority="297">
      <formula>$G107:$G363="Sí"</formula>
    </cfRule>
    <cfRule type="expression" dxfId="354" priority="298">
      <formula>$Q107:$Q363="APOYO"</formula>
    </cfRule>
  </conditionalFormatting>
  <conditionalFormatting sqref="D109:I110 L109:T110 V109:AD110">
    <cfRule type="expression" dxfId="353" priority="240">
      <formula>$G109:$G364="Sí"</formula>
    </cfRule>
    <cfRule type="expression" dxfId="352" priority="241">
      <formula>$Q109:$Q364="APOYO"</formula>
    </cfRule>
  </conditionalFormatting>
  <conditionalFormatting sqref="D140:I140 L140:T140 V140:AD140">
    <cfRule type="expression" dxfId="351" priority="173">
      <formula>$Q140:$Q329="APOYO"</formula>
    </cfRule>
    <cfRule type="expression" dxfId="350" priority="174">
      <formula>$G140:$G329="Sí"</formula>
    </cfRule>
  </conditionalFormatting>
  <conditionalFormatting sqref="D160:I161 L160:S161 W160:AD161">
    <cfRule type="expression" dxfId="349" priority="149">
      <formula>$Q160:$Q347="APOYO"</formula>
    </cfRule>
    <cfRule type="expression" dxfId="348" priority="150">
      <formula>$G160:$G347="Sí"</formula>
    </cfRule>
  </conditionalFormatting>
  <conditionalFormatting sqref="D162:I162">
    <cfRule type="expression" dxfId="347" priority="193">
      <formula>$Q162:$Q348="APOYO"</formula>
    </cfRule>
    <cfRule type="expression" dxfId="346" priority="194">
      <formula>$G162:$G348="Sí"</formula>
    </cfRule>
  </conditionalFormatting>
  <conditionalFormatting sqref="D170:I170 L170:T170 V170:AD170">
    <cfRule type="expression" dxfId="345" priority="213">
      <formula>$G170:$G354="Sí"</formula>
    </cfRule>
    <cfRule type="expression" dxfId="344" priority="212">
      <formula>$Q170:$Q354="APOYO"</formula>
    </cfRule>
  </conditionalFormatting>
  <conditionalFormatting sqref="D181:I182 L181:T182 V181:AD182 D187:I188 L187:T188 V187:AD188">
    <cfRule type="expression" dxfId="343" priority="236">
      <formula>$Q181:$Q362="APOYO"</formula>
    </cfRule>
    <cfRule type="expression" dxfId="342" priority="237">
      <formula>$G181:$G362="Sí"</formula>
    </cfRule>
  </conditionalFormatting>
  <conditionalFormatting sqref="D183:I184 L183:T184 V183:AD184">
    <cfRule type="expression" dxfId="341" priority="243">
      <formula>$G183:$G363="Sí"</formula>
    </cfRule>
    <cfRule type="expression" dxfId="340" priority="242">
      <formula>$Q183:$Q363="APOYO"</formula>
    </cfRule>
  </conditionalFormatting>
  <conditionalFormatting sqref="D185:I186 L185:T186 V185:AD186">
    <cfRule type="expression" dxfId="339" priority="255">
      <formula>$G185:$G364="Sí"</formula>
    </cfRule>
    <cfRule type="expression" dxfId="338" priority="254">
      <formula>$Q185:$Q364="APOYO"</formula>
    </cfRule>
  </conditionalFormatting>
  <conditionalFormatting sqref="D189:I189 V189:AD189">
    <cfRule type="expression" dxfId="337" priority="110">
      <formula>$G189:$G365="Sí"</formula>
    </cfRule>
    <cfRule type="expression" dxfId="336" priority="109">
      <formula>$Q189:$Q365="APOYO"</formula>
    </cfRule>
  </conditionalFormatting>
  <conditionalFormatting sqref="D212:I212 L212:T212 V212:AD212 D219:I230 L219:T230 V219:AD230">
    <cfRule type="expression" dxfId="335" priority="167">
      <formula>$G212:$G329="Sí"</formula>
    </cfRule>
    <cfRule type="expression" dxfId="334" priority="166">
      <formula>$Q212:$Q329="APOYO"</formula>
    </cfRule>
  </conditionalFormatting>
  <conditionalFormatting sqref="D213:I218 L213:T218 V213:AD218 D231:I232 L231:T232 V231:AD232">
    <cfRule type="expression" dxfId="333" priority="184">
      <formula>$G213:$G329="Sí"</formula>
    </cfRule>
    <cfRule type="expression" dxfId="332" priority="183">
      <formula>$Q213:$Q329="APOYO"</formula>
    </cfRule>
  </conditionalFormatting>
  <conditionalFormatting sqref="D233:I233 L233:T233 V233:AD233">
    <cfRule type="expression" dxfId="331" priority="188">
      <formula>$Q233:$Q348="APOYO"</formula>
    </cfRule>
    <cfRule type="expression" dxfId="330" priority="189">
      <formula>$G233:$G348="Sí"</formula>
    </cfRule>
  </conditionalFormatting>
  <conditionalFormatting sqref="D241:I241 L241:T241 V241:AD241">
    <cfRule type="expression" dxfId="329" priority="153">
      <formula>$Q241:$Q354="APOYO"</formula>
    </cfRule>
    <cfRule type="expression" dxfId="328" priority="154">
      <formula>$G241:$G354="Sí"</formula>
    </cfRule>
  </conditionalFormatting>
  <conditionalFormatting sqref="D242:I242 L242:T242 V242:AD242">
    <cfRule type="expression" dxfId="327" priority="215">
      <formula>$G242:$G354="Sí"</formula>
    </cfRule>
    <cfRule type="expression" dxfId="326" priority="214">
      <formula>$Q242:$Q354="APOYO"</formula>
    </cfRule>
  </conditionalFormatting>
  <conditionalFormatting sqref="D243:I252 L243:T252 V243:AD252 L257:S257 D257:I258 V257:AD258 L258:T258">
    <cfRule type="expression" dxfId="325" priority="226">
      <formula>$Q243:$Q354="APOYO"</formula>
    </cfRule>
    <cfRule type="expression" dxfId="324" priority="227">
      <formula>$G243:$G354="Sí"</formula>
    </cfRule>
  </conditionalFormatting>
  <conditionalFormatting sqref="D253:I254 L253:T254 V253:AD254">
    <cfRule type="expression" dxfId="323" priority="245">
      <formula>$G253:$G363="Sí"</formula>
    </cfRule>
    <cfRule type="expression" dxfId="322" priority="244">
      <formula>$Q253:$Q363="APOYO"</formula>
    </cfRule>
  </conditionalFormatting>
  <conditionalFormatting sqref="D255:I256 L255:T256 V255:AD256">
    <cfRule type="expression" dxfId="321" priority="257">
      <formula>$G255:$G364="Sí"</formula>
    </cfRule>
    <cfRule type="expression" dxfId="320" priority="256">
      <formula>$Q255:$Q364="APOYO"</formula>
    </cfRule>
  </conditionalFormatting>
  <conditionalFormatting sqref="D259:I259 L259:T259 V259:AD259">
    <cfRule type="expression" dxfId="319" priority="248">
      <formula>$G259:$G365="Sí"</formula>
    </cfRule>
    <cfRule type="expression" dxfId="318" priority="247">
      <formula>$Q259:$Q365="APOYO"</formula>
    </cfRule>
  </conditionalFormatting>
  <conditionalFormatting sqref="D260:I260 L260:T260 V260:AD260">
    <cfRule type="expression" dxfId="317" priority="275">
      <formula>$G260:$G368="Sí"</formula>
    </cfRule>
    <cfRule type="expression" dxfId="316" priority="274">
      <formula>$Q260:$Q368="APOYO"</formula>
    </cfRule>
  </conditionalFormatting>
  <conditionalFormatting sqref="D371:J373">
    <cfRule type="expression" dxfId="315" priority="49">
      <formula>$Q371:$Q691="APOYO"</formula>
    </cfRule>
    <cfRule type="expression" dxfId="314" priority="50">
      <formula>$G371:$G691="Sí"</formula>
    </cfRule>
  </conditionalFormatting>
  <conditionalFormatting sqref="E374">
    <cfRule type="expression" dxfId="313" priority="45">
      <formula>$Q374:$Q481="APOYO"</formula>
    </cfRule>
    <cfRule type="expression" dxfId="312" priority="46">
      <formula>$G374:$G481="Sí"</formula>
    </cfRule>
  </conditionalFormatting>
  <conditionalFormatting sqref="F111:F113 F120 F126 F171:F172">
    <cfRule type="expression" dxfId="311" priority="300">
      <formula>$G111:$G370="Sí"</formula>
    </cfRule>
    <cfRule type="expression" dxfId="310" priority="299">
      <formula>$Q111:$Q370="APOYO"</formula>
    </cfRule>
  </conditionalFormatting>
  <conditionalFormatting sqref="F192 F287">
    <cfRule type="expression" dxfId="309" priority="259">
      <formula>$G192:$G450="Sí"</formula>
    </cfRule>
    <cfRule type="expression" dxfId="308" priority="258">
      <formula>$Q192:$Q450="APOYO"</formula>
    </cfRule>
  </conditionalFormatting>
  <conditionalFormatting sqref="F374">
    <cfRule type="expression" dxfId="307" priority="47">
      <formula>$Q374:$Q694="APOYO"</formula>
    </cfRule>
    <cfRule type="expression" dxfId="306" priority="48">
      <formula>$G374:$G694="Sí"</formula>
    </cfRule>
  </conditionalFormatting>
  <conditionalFormatting sqref="G366:H369 G370:J370">
    <cfRule type="expression" dxfId="305" priority="75">
      <formula>$Q366:$Q686="APOYO"</formula>
    </cfRule>
    <cfRule type="expression" dxfId="304" priority="76">
      <formula>$G366:$G686="Sí"</formula>
    </cfRule>
  </conditionalFormatting>
  <conditionalFormatting sqref="I25:I26 I28">
    <cfRule type="expression" dxfId="303" priority="108">
      <formula>$G25:$G202="Sí"</formula>
    </cfRule>
    <cfRule type="expression" dxfId="302" priority="107">
      <formula>$Q25:$Q202="APOYO"</formula>
    </cfRule>
  </conditionalFormatting>
  <conditionalFormatting sqref="I41">
    <cfRule type="expression" dxfId="301" priority="281">
      <formula>$Q41:$Q368="APOYO"</formula>
    </cfRule>
    <cfRule type="expression" dxfId="300" priority="282">
      <formula>$G41:$G368="Sí"</formula>
    </cfRule>
  </conditionalFormatting>
  <conditionalFormatting sqref="I374">
    <cfRule type="expression" dxfId="299" priority="38">
      <formula>$G374:$G481="Sí"</formula>
    </cfRule>
    <cfRule type="expression" dxfId="298" priority="37">
      <formula>$Q374:$Q481="APOYO"</formula>
    </cfRule>
  </conditionalFormatting>
  <conditionalFormatting sqref="I368:K368">
    <cfRule type="expression" dxfId="297" priority="145">
      <formula>$Q368:$Q688="APOYO"</formula>
    </cfRule>
    <cfRule type="expression" dxfId="296" priority="146">
      <formula>$G368:$G688="Sí"</formula>
    </cfRule>
  </conditionalFormatting>
  <conditionalFormatting sqref="I369:O369 L370:M370 O370">
    <cfRule type="expression" dxfId="295" priority="62">
      <formula>$G369:$G689="Sí"</formula>
    </cfRule>
    <cfRule type="expression" dxfId="294" priority="61">
      <formula>$Q369:$Q689="APOYO"</formula>
    </cfRule>
  </conditionalFormatting>
  <conditionalFormatting sqref="J13 U22:U23 I23:I24 I30:I35 I38:I40">
    <cfRule type="expression" dxfId="293" priority="157">
      <formula>$Q13:$Q338="APOYO"</formula>
    </cfRule>
    <cfRule type="expression" dxfId="292" priority="158">
      <formula>$G13:$G338="Sí"</formula>
    </cfRule>
  </conditionalFormatting>
  <conditionalFormatting sqref="J374">
    <cfRule type="expression" dxfId="291" priority="35">
      <formula>$Q374:$Q690="APOYO"</formula>
    </cfRule>
    <cfRule type="expression" dxfId="290" priority="36">
      <formula>$G374:$G690="Sí"</formula>
    </cfRule>
  </conditionalFormatting>
  <conditionalFormatting sqref="J181:K218 C181:C219 U368:U373">
    <cfRule type="expression" dxfId="289" priority="147">
      <formula>$Q181:$Q496="APOYO"</formula>
    </cfRule>
    <cfRule type="expression" dxfId="288" priority="148">
      <formula>$G181:$G496="Sí"</formula>
    </cfRule>
  </conditionalFormatting>
  <conditionalFormatting sqref="J261:K329 K330:K340">
    <cfRule type="expression" dxfId="287" priority="284">
      <formula>$Q261:$Q576="APOYO"</formula>
    </cfRule>
    <cfRule type="expression" dxfId="286" priority="283">
      <formula>$G261:$G576="Sí"</formula>
    </cfRule>
  </conditionalFormatting>
  <conditionalFormatting sqref="J35:S35">
    <cfRule type="expression" dxfId="285" priority="199">
      <formula>$Q35:$Q354="APOYO"</formula>
    </cfRule>
  </conditionalFormatting>
  <conditionalFormatting sqref="J23:T23 V11:AA11 AC11:AD11 D11:J12 L12:T20 V12:AD20 D13:I13 C13:C20 D14:J20 C23:H24 V23:AD24 J24:S24 U24">
    <cfRule type="expression" dxfId="284" priority="191">
      <formula>$G11:$G335="Sí"</formula>
    </cfRule>
  </conditionalFormatting>
  <conditionalFormatting sqref="J23:T23">
    <cfRule type="expression" dxfId="283" priority="190">
      <formula>$Q23:$Q347="APOYO"</formula>
    </cfRule>
  </conditionalFormatting>
  <conditionalFormatting sqref="K7:K10 K28">
    <cfRule type="expression" dxfId="282" priority="218">
      <formula>$Q6:$Q329="APOYO"</formula>
    </cfRule>
    <cfRule type="expression" dxfId="281" priority="219">
      <formula>$G6:$G329="Sí"</formula>
    </cfRule>
  </conditionalFormatting>
  <conditionalFormatting sqref="K11">
    <cfRule type="expression" dxfId="280" priority="268">
      <formula>$G11:$G335="Sí"</formula>
    </cfRule>
  </conditionalFormatting>
  <conditionalFormatting sqref="K12:K20">
    <cfRule type="expression" dxfId="279" priority="303">
      <formula>$G11:$G336="Sí"</formula>
    </cfRule>
    <cfRule type="expression" dxfId="278" priority="302">
      <formula>$Q11:$Q336="APOYO"</formula>
    </cfRule>
  </conditionalFormatting>
  <conditionalFormatting sqref="K38">
    <cfRule type="expression" dxfId="277" priority="262">
      <formula>$Q37:$Q357="APOYO"</formula>
    </cfRule>
    <cfRule type="expression" dxfId="276" priority="263">
      <formula>$G37:$G357="Sí"</formula>
    </cfRule>
  </conditionalFormatting>
  <conditionalFormatting sqref="K341:K348">
    <cfRule type="expression" dxfId="275" priority="285">
      <formula>$Q340:$Q657="APOYO"</formula>
    </cfRule>
    <cfRule type="expression" dxfId="274" priority="286">
      <formula>$G340:$G657="Sí"</formula>
    </cfRule>
  </conditionalFormatting>
  <conditionalFormatting sqref="K366:K367 Q355:T356 V355:AD356 Q357:S357 V357:AA357 AC357:AD357 V358:AD358 Q358:T364 W359:AD359 V360:AD362 W363:AD363 V364:AD364 M366:O367 W366:AA367 AC366:AD367">
    <cfRule type="expression" dxfId="273" priority="204">
      <formula>$Q355:$Q676="APOYO"</formula>
    </cfRule>
  </conditionalFormatting>
  <conditionalFormatting sqref="K366:K367">
    <cfRule type="expression" dxfId="272" priority="101">
      <formula>$Q366:$Q687="APOYO"</formula>
    </cfRule>
    <cfRule type="expression" dxfId="271" priority="102">
      <formula>$G366:$G687="Sí"</formula>
    </cfRule>
  </conditionalFormatting>
  <conditionalFormatting sqref="K370:K373">
    <cfRule type="expression" dxfId="270" priority="67">
      <formula>$Q370:$Q690="APOYO"</formula>
    </cfRule>
    <cfRule type="expression" dxfId="269" priority="68">
      <formula>$G370:$G690="Sí"</formula>
    </cfRule>
    <cfRule type="expression" dxfId="268" priority="69">
      <formula>$Q370:$Q690="APOYO"</formula>
    </cfRule>
    <cfRule type="expression" dxfId="267" priority="70">
      <formula>$G370:$G690="Sí"</formula>
    </cfRule>
  </conditionalFormatting>
  <conditionalFormatting sqref="K368:O368">
    <cfRule type="expression" dxfId="266" priority="144">
      <formula>$G368:$G688="Sí"</formula>
    </cfRule>
    <cfRule type="expression" dxfId="265" priority="143">
      <formula>$Q368:$Q688="APOYO"</formula>
    </cfRule>
  </conditionalFormatting>
  <conditionalFormatting sqref="K11:S11">
    <cfRule type="expression" dxfId="264" priority="239">
      <formula>$Q11:$Q335="APOYO"</formula>
    </cfRule>
  </conditionalFormatting>
  <conditionalFormatting sqref="L374">
    <cfRule type="expression" dxfId="263" priority="34">
      <formula>$G374:$G481="Sí"</formula>
    </cfRule>
    <cfRule type="expression" dxfId="262" priority="33">
      <formula>$Q374:$Q481="APOYO"</formula>
    </cfRule>
  </conditionalFormatting>
  <conditionalFormatting sqref="L371:O373">
    <cfRule type="expression" dxfId="261" priority="2">
      <formula>$G371:$G691="Sí"</formula>
    </cfRule>
    <cfRule type="expression" dxfId="260" priority="1">
      <formula>$Q371:$Q691="APOYO"</formula>
    </cfRule>
  </conditionalFormatting>
  <conditionalFormatting sqref="L11:S11">
    <cfRule type="expression" dxfId="259" priority="238">
      <formula>$G11:$G335="Sí"</formula>
    </cfRule>
  </conditionalFormatting>
  <conditionalFormatting sqref="L88:S89 V88:AD92 D88:I94 L90:T94 V93:Y93 AB93:AD93 V94:AD94">
    <cfRule type="expression" dxfId="258" priority="207">
      <formula>$Q88:$Q348="APOYO"</formula>
    </cfRule>
    <cfRule type="expression" dxfId="257" priority="206">
      <formula>$G88:$G348="Sí"</formula>
    </cfRule>
  </conditionalFormatting>
  <conditionalFormatting sqref="L162:S162 W162:AD162">
    <cfRule type="expression" dxfId="256" priority="187">
      <formula>$G162:$G348="Sí"</formula>
    </cfRule>
    <cfRule type="expression" dxfId="255" priority="186">
      <formula>$Q162:$Q348="APOYO"</formula>
    </cfRule>
  </conditionalFormatting>
  <conditionalFormatting sqref="L261:S261 G261:I264 V261:AD268 D261:F286 L262:T264 G265:H273 L265:S273 V269:AA269 AC269:AD269 V270:AD317 G274:I287 L274:T307 D287:E287 D288:I300 D301:H303 D304:I307 D308:H308 L308:S308 D309:I309 L309:T309 D310:H311 L310:S311 L312:T329 D312:I340 V318:AA318 AC318:AD318 V319:AD336 P330:P338 L330:M340 O331:O338 V337:AA337 AC337:AD337 V338:AD339 O339:P340">
    <cfRule type="expression" dxfId="254" priority="176">
      <formula>$G261:$G368="Sí"</formula>
    </cfRule>
  </conditionalFormatting>
  <conditionalFormatting sqref="L52:T53 D52:I58 V52:AD58 L54:S54 L55:T57 L58:S58">
    <cfRule type="expression" dxfId="253" priority="230">
      <formula>$Q52:$Q329="APOYO"</formula>
    </cfRule>
    <cfRule type="expression" dxfId="252" priority="231">
      <formula>$G52:$G329="Sí"</formula>
    </cfRule>
  </conditionalFormatting>
  <conditionalFormatting sqref="L61:T62 D61:I63 V61:AD63 L63:S63">
    <cfRule type="expression" dxfId="251" priority="233">
      <formula>$G61:$G329="Sí"</formula>
    </cfRule>
    <cfRule type="expression" dxfId="250" priority="232">
      <formula>$Q61:$Q329="APOYO"</formula>
    </cfRule>
  </conditionalFormatting>
  <conditionalFormatting sqref="L66:T69 D66:F83 G66:I84 V66:AD84 L70:S70 L71:T80 L81:S81 L82:T84 D84:E84 T88:T89">
    <cfRule type="expression" dxfId="249" priority="179">
      <formula>$Q66:$Q329="APOYO"</formula>
    </cfRule>
    <cfRule type="expression" dxfId="248" priority="180">
      <formula>$G66:$G329="Sí"</formula>
    </cfRule>
  </conditionalFormatting>
  <conditionalFormatting sqref="L141:T148 D141:I159 V141:AD159 L149:S149 L150:T150 L151:S154 L155:T155 L156:S159 V160:V166">
    <cfRule type="expression" dxfId="247" priority="181">
      <formula>$Q141:$Q329="APOYO"</formula>
    </cfRule>
    <cfRule type="expression" dxfId="246" priority="182">
      <formula>$G141:$G329="Sí"</formula>
    </cfRule>
  </conditionalFormatting>
  <conditionalFormatting sqref="L189:T189">
    <cfRule type="expression" dxfId="245" priority="253">
      <formula>$G189:$G365="Sí"</formula>
    </cfRule>
    <cfRule type="expression" dxfId="244" priority="252">
      <formula>$Q189:$Q365="APOYO"</formula>
    </cfRule>
  </conditionalFormatting>
  <conditionalFormatting sqref="O331 O336:O340">
    <cfRule type="expression" dxfId="243" priority="277">
      <formula>$G331:$G585="Sí"</formula>
    </cfRule>
    <cfRule type="expression" dxfId="242" priority="271">
      <formula>$Q331:$Q585="APOYO"</formula>
    </cfRule>
  </conditionalFormatting>
  <conditionalFormatting sqref="P349:P351">
    <cfRule type="expression" dxfId="241" priority="279">
      <formula>$Q349:$Q456="APOYO"</formula>
    </cfRule>
    <cfRule type="expression" dxfId="240" priority="280">
      <formula>$G349:$G456="Sí"</formula>
    </cfRule>
  </conditionalFormatting>
  <conditionalFormatting sqref="Q370:R370">
    <cfRule type="expression" dxfId="239" priority="28">
      <formula>$G370:$G686="Sí"</formula>
    </cfRule>
    <cfRule type="expression" dxfId="238" priority="27">
      <formula>$Q370:$Q686="APOYO"</formula>
    </cfRule>
  </conditionalFormatting>
  <conditionalFormatting sqref="Q374:R374">
    <cfRule type="expression" dxfId="237" priority="25">
      <formula>$Q374:$Q690="APOYO"</formula>
    </cfRule>
    <cfRule type="expression" dxfId="236" priority="26">
      <formula>$G374:$G690="Sí"</formula>
    </cfRule>
  </conditionalFormatting>
  <conditionalFormatting sqref="Q366:S367">
    <cfRule type="expression" dxfId="235" priority="103">
      <formula>$Q366:$Q687="APOYO"</formula>
    </cfRule>
    <cfRule type="expression" dxfId="234" priority="104">
      <formula>$G366:$G687="Sí"</formula>
    </cfRule>
  </conditionalFormatting>
  <conditionalFormatting sqref="Q368:S369 S370">
    <cfRule type="expression" dxfId="233" priority="63">
      <formula>$Q368:$Q688="APOYO"</formula>
    </cfRule>
    <cfRule type="expression" dxfId="232" priority="64">
      <formula>$G368:$G688="Sí"</formula>
    </cfRule>
  </conditionalFormatting>
  <conditionalFormatting sqref="Q371:S373">
    <cfRule type="expression" dxfId="231" priority="56">
      <formula>$G371:$G691="Sí"</formula>
    </cfRule>
    <cfRule type="expression" dxfId="230" priority="55">
      <formula>$Q371:$Q691="APOYO"</formula>
    </cfRule>
  </conditionalFormatting>
  <conditionalFormatting sqref="Q349:T350 V349:AD350 D349:O354 Q351:S351 V351:AA351 AC351:AD351 Q352:T354 V352:AD354 C357:C365 P368:P373">
    <cfRule type="expression" dxfId="229" priority="200">
      <formula>$G349:$G667="Sí"</formula>
    </cfRule>
    <cfRule type="expression" dxfId="228" priority="217">
      <formula>$Q349:$Q667="APOYO"</formula>
    </cfRule>
  </conditionalFormatting>
  <conditionalFormatting sqref="Q355:T356 V355:AD356 Q357:S357 V357:AA357 AC357:AD357 V358:AD358 Q358:T364 W359:AD359 V360:AD362 W363:AD363 V364:AD364 K366:K367 M366:O367 W366:AA367 AC366:AD367">
    <cfRule type="expression" dxfId="227" priority="205">
      <formula>$G355:$G676="Sí"</formula>
    </cfRule>
  </conditionalFormatting>
  <conditionalFormatting sqref="Q365:T365 V365:AD365">
    <cfRule type="expression" dxfId="226" priority="156">
      <formula>$G365:$G687="Sí"</formula>
    </cfRule>
    <cfRule type="expression" dxfId="225" priority="155">
      <formula>$Q365:$Q687="APOYO"</formula>
    </cfRule>
  </conditionalFormatting>
  <conditionalFormatting sqref="T6 C7:J10 L7:T10 V7:AD10 C11:C12 T21:T22 T24:T25 T30:T40">
    <cfRule type="expression" dxfId="224" priority="133">
      <formula>$G6:$G328="Sí"</formula>
    </cfRule>
    <cfRule type="expression" dxfId="223" priority="134">
      <formula>$Q6:$Q328="APOYO"</formula>
    </cfRule>
  </conditionalFormatting>
  <conditionalFormatting sqref="T11">
    <cfRule type="expression" dxfId="222" priority="132">
      <formula>$Q11:$Q333="APOYO"</formula>
    </cfRule>
    <cfRule type="expression" dxfId="221" priority="131">
      <formula>$G11:$G333="Sí"</formula>
    </cfRule>
  </conditionalFormatting>
  <conditionalFormatting sqref="T43">
    <cfRule type="expression" dxfId="220" priority="123">
      <formula>$G43:$G365="Sí"</formula>
    </cfRule>
    <cfRule type="expression" dxfId="219" priority="124">
      <formula>$Q43:$Q365="APOYO"</formula>
    </cfRule>
  </conditionalFormatting>
  <conditionalFormatting sqref="T48 T54 T63:T64">
    <cfRule type="expression" dxfId="218" priority="119">
      <formula>$G48:$G372="Sí"</formula>
    </cfRule>
    <cfRule type="expression" dxfId="217" priority="120">
      <formula>$Q48:$Q372="APOYO"</formula>
    </cfRule>
  </conditionalFormatting>
  <conditionalFormatting sqref="T58">
    <cfRule type="expression" dxfId="216" priority="117">
      <formula>$G58:$G382="Sí"</formula>
    </cfRule>
    <cfRule type="expression" dxfId="215" priority="118">
      <formula>$Q58:$Q382="APOYO"</formula>
    </cfRule>
  </conditionalFormatting>
  <conditionalFormatting sqref="T70">
    <cfRule type="expression" dxfId="214" priority="116">
      <formula>$Q70:$Q394="APOYO"</formula>
    </cfRule>
    <cfRule type="expression" dxfId="213" priority="115">
      <formula>$G70:$G394="Sí"</formula>
    </cfRule>
  </conditionalFormatting>
  <conditionalFormatting sqref="T81">
    <cfRule type="expression" dxfId="212" priority="114">
      <formula>$Q81:$Q405="APOYO"</formula>
    </cfRule>
    <cfRule type="expression" dxfId="211" priority="113">
      <formula>$G81:$G405="Sí"</formula>
    </cfRule>
  </conditionalFormatting>
  <conditionalFormatting sqref="T113">
    <cfRule type="expression" dxfId="210" priority="139">
      <formula>$Q113:$Q378="APOYO"</formula>
    </cfRule>
    <cfRule type="expression" dxfId="209" priority="140">
      <formula>$G113:$G378="Sí"</formula>
    </cfRule>
  </conditionalFormatting>
  <conditionalFormatting sqref="T149">
    <cfRule type="expression" dxfId="208" priority="138">
      <formula>$G149:$G414="Sí"</formula>
    </cfRule>
    <cfRule type="expression" dxfId="207" priority="137">
      <formula>$Q149:$Q414="APOYO"</formula>
    </cfRule>
  </conditionalFormatting>
  <conditionalFormatting sqref="T151">
    <cfRule type="expression" dxfId="206" priority="136">
      <formula>$G151:$G416="Sí"</formula>
    </cfRule>
    <cfRule type="expression" dxfId="205" priority="135">
      <formula>$Q151:$Q416="APOYO"</formula>
    </cfRule>
  </conditionalFormatting>
  <conditionalFormatting sqref="T152:T154 T156:T162 W163:AD166 D163:I169 L163:T169 V167:AD169">
    <cfRule type="expression" dxfId="204" priority="304">
      <formula>$Q152:$Q337="APOYO"</formula>
    </cfRule>
    <cfRule type="expression" dxfId="203" priority="305">
      <formula>$G152:$G337="Sí"</formula>
    </cfRule>
  </conditionalFormatting>
  <conditionalFormatting sqref="T190:T197 T208:T209 T265:T273 T310:T311">
    <cfRule type="expression" dxfId="202" priority="122">
      <formula>$Q190:$Q513="APOYO"</formula>
    </cfRule>
    <cfRule type="expression" dxfId="201" priority="121">
      <formula>$G190:$G513="Sí"</formula>
    </cfRule>
  </conditionalFormatting>
  <conditionalFormatting sqref="T257">
    <cfRule type="expression" dxfId="200" priority="126">
      <formula>$Q257:$Q580="APOYO"</formula>
    </cfRule>
    <cfRule type="expression" dxfId="199" priority="125">
      <formula>$G257:$G580="Sí"</formula>
    </cfRule>
  </conditionalFormatting>
  <conditionalFormatting sqref="T261">
    <cfRule type="expression" dxfId="198" priority="127">
      <formula>$G261:$G584="Sí"</formula>
    </cfRule>
    <cfRule type="expression" dxfId="197" priority="128">
      <formula>$Q261:$Q584="APOYO"</formula>
    </cfRule>
  </conditionalFormatting>
  <conditionalFormatting sqref="T308">
    <cfRule type="expression" dxfId="196" priority="130">
      <formula>$Q308:$Q631="APOYO"</formula>
    </cfRule>
    <cfRule type="expression" dxfId="195" priority="129">
      <formula>$G308:$G631="Sí"</formula>
    </cfRule>
  </conditionalFormatting>
  <conditionalFormatting sqref="T368:T369 T371:T373">
    <cfRule type="expression" dxfId="194" priority="265">
      <formula>$Q368:$Q689="APOYO"</formula>
    </cfRule>
    <cfRule type="expression" dxfId="193" priority="264">
      <formula>$G368:$G689="Sí"</formula>
    </cfRule>
  </conditionalFormatting>
  <conditionalFormatting sqref="T370">
    <cfRule type="expression" dxfId="192" priority="24">
      <formula>$G370:$G686="Sí"</formula>
    </cfRule>
    <cfRule type="expression" dxfId="191" priority="23">
      <formula>$Q370:$Q686="APOYO"</formula>
    </cfRule>
  </conditionalFormatting>
  <conditionalFormatting sqref="U11:U20 C21:S22 V21:AD22">
    <cfRule type="expression" dxfId="190" priority="306">
      <formula>$G11:$G336="Sí"</formula>
    </cfRule>
    <cfRule type="expression" dxfId="189" priority="287">
      <formula>$Q11:$Q336="APOYO"</formula>
    </cfRule>
  </conditionalFormatting>
  <conditionalFormatting sqref="U21">
    <cfRule type="expression" dxfId="188" priority="160">
      <formula>$Q21:$Q347="APOYO"</formula>
    </cfRule>
    <cfRule type="expression" dxfId="187" priority="161">
      <formula>$G21:$G347="Sí"</formula>
    </cfRule>
  </conditionalFormatting>
  <conditionalFormatting sqref="U34:U43 U48:U49">
    <cfRule type="expression" dxfId="186" priority="141">
      <formula>$Q34:$Q354="APOYO"</formula>
    </cfRule>
    <cfRule type="expression" dxfId="185" priority="142">
      <formula>$G34:$G354="Sí"</formula>
    </cfRule>
  </conditionalFormatting>
  <conditionalFormatting sqref="U46:U47 J366:J367">
    <cfRule type="expression" dxfId="184" priority="99">
      <formula>$Q46:$Q364="APOYO"</formula>
    </cfRule>
    <cfRule type="expression" dxfId="183" priority="100">
      <formula>$G46:$G364="Sí"</formula>
    </cfRule>
  </conditionalFormatting>
  <conditionalFormatting sqref="U50">
    <cfRule type="expression" dxfId="182" priority="278">
      <formula>$G50:$G365="Sí"</formula>
    </cfRule>
    <cfRule type="expression" dxfId="181" priority="276">
      <formula>$Q50:$Q365="APOYO"</formula>
    </cfRule>
  </conditionalFormatting>
  <conditionalFormatting sqref="U181:U218 J219:K260 C220:C340 J330:J340 N330:N340 Q330:T340 V341:AD341 C341:J348 L341:T348 V342:AA342 AC342:AD342 V343:AD348 C349:C356 T351 P352:P354 T357 T366:U367 C368:C373">
    <cfRule type="expression" dxfId="180" priority="249">
      <formula>$G181:$G497="Sí"</formula>
    </cfRule>
    <cfRule type="expression" dxfId="179" priority="246">
      <formula>$Q181:$Q497="APOYO"</formula>
    </cfRule>
  </conditionalFormatting>
  <conditionalFormatting sqref="U219:U348">
    <cfRule type="expression" dxfId="178" priority="208">
      <formula>$Q219:$Q536="APOYO"</formula>
    </cfRule>
    <cfRule type="expression" dxfId="177" priority="209">
      <formula>$G219:$G536="Sí"</formula>
    </cfRule>
  </conditionalFormatting>
  <conditionalFormatting sqref="U349:U354 P355:P364">
    <cfRule type="expression" dxfId="176" priority="151">
      <formula>$Q349:$Q668="APOYO"</formula>
    </cfRule>
    <cfRule type="expression" dxfId="175" priority="152">
      <formula>$G349:$G668="Sí"</formula>
    </cfRule>
  </conditionalFormatting>
  <conditionalFormatting sqref="U355:U356 U358:U365 D365:O365 L366:L367">
    <cfRule type="expression" dxfId="174" priority="97">
      <formula>$Q355:$Q677="APOYO"</formula>
    </cfRule>
    <cfRule type="expression" dxfId="173" priority="98">
      <formula>$G355:$G677="Sí"</formula>
    </cfRule>
  </conditionalFormatting>
  <conditionalFormatting sqref="U357">
    <cfRule type="expression" dxfId="172" priority="78">
      <formula>$G357:$G676="Sí"</formula>
    </cfRule>
    <cfRule type="expression" dxfId="171" priority="77">
      <formula>$Q357:$Q676="APOYO"</formula>
    </cfRule>
  </conditionalFormatting>
  <conditionalFormatting sqref="U374">
    <cfRule type="expression" dxfId="170" priority="43">
      <formula>$Q374:$Q691="APOYO"</formula>
    </cfRule>
    <cfRule type="expression" dxfId="169" priority="44">
      <formula>$G374:$G691="Sí"</formula>
    </cfRule>
  </conditionalFormatting>
  <conditionalFormatting sqref="V6 D234:I240 L234:T240 V234:AD240">
    <cfRule type="expression" dxfId="168" priority="195">
      <formula>$Q6:$Q120="APOYO"</formula>
    </cfRule>
    <cfRule type="expression" dxfId="167" priority="196">
      <formula>$G6:$G120="Sí"</formula>
    </cfRule>
  </conditionalFormatting>
  <conditionalFormatting sqref="V359">
    <cfRule type="expression" dxfId="166" priority="79">
      <formula>$Q359:$Q681="APOYO"</formula>
    </cfRule>
    <cfRule type="expression" dxfId="165" priority="80">
      <formula>$G359:$G681="Sí"</formula>
    </cfRule>
  </conditionalFormatting>
  <conditionalFormatting sqref="V363">
    <cfRule type="expression" dxfId="164" priority="105">
      <formula>$Q363:$Q685="APOYO"</formula>
    </cfRule>
    <cfRule type="expression" dxfId="163" priority="106">
      <formula>$G363:$G685="Sí"</formula>
    </cfRule>
  </conditionalFormatting>
  <conditionalFormatting sqref="V366:V373">
    <cfRule type="expression" dxfId="162" priority="72">
      <formula>$G366:$G688="Sí"</formula>
    </cfRule>
    <cfRule type="expression" dxfId="161" priority="71">
      <formula>$Q366:$Q688="APOYO"</formula>
    </cfRule>
  </conditionalFormatting>
  <conditionalFormatting sqref="V374">
    <cfRule type="expression" dxfId="160" priority="42">
      <formula>$G374:$G690="Sí"</formula>
    </cfRule>
    <cfRule type="expression" dxfId="159" priority="41">
      <formula>$Q374:$Q690="APOYO"</formula>
    </cfRule>
  </conditionalFormatting>
  <conditionalFormatting sqref="V11:AA11 AC11:AD11 D11:J12 L12:T20 V12:AD20 D13:I13 C13:C20 D14:J20 C23:H24 V23:AD24 J24:S24 U24">
    <cfRule type="expression" dxfId="158" priority="168">
      <formula>$Q11:$Q335="APOYO"</formula>
    </cfRule>
  </conditionalFormatting>
  <conditionalFormatting sqref="V338:AD340 L261:S261 G261:I264 V261:AD268 D261:F286 L262:T264 G265:H273 L265:S273 V269:AA269 AC269:AD269 V270:AD317 G274:I287 L274:T307 D287:E287 D288:I300 D301:H303 D304:I307 D308:H308 L308:S308 D309:I309 L309:T309 D310:H311 L310:S311 L312:T329 D312:I340 V318:AA318 AC318:AD318 V319:AD336 P330:P338 L330:M340 O331:O338 V337:AA337 AC337:AD337 O339:P340">
    <cfRule type="expression" dxfId="157" priority="175">
      <formula>$Q261:$Q368="APOYO"</formula>
    </cfRule>
  </conditionalFormatting>
  <conditionalFormatting sqref="V340:AD340">
    <cfRule type="expression" dxfId="156" priority="159">
      <formula>$G340:$G447="Sí"</formula>
    </cfRule>
  </conditionalFormatting>
  <conditionalFormatting sqref="W368:AA369 W370:X370 Z370:AA370">
    <cfRule type="expression" dxfId="155" priority="60">
      <formula>$G368:$G688="Sí"</formula>
    </cfRule>
    <cfRule type="expression" dxfId="154" priority="59">
      <formula>$Q368:$Q688="APOYO"</formula>
    </cfRule>
  </conditionalFormatting>
  <conditionalFormatting sqref="Y370">
    <cfRule type="expression" dxfId="153" priority="21">
      <formula>$Q370:$Q480="APOYO"</formula>
    </cfRule>
    <cfRule type="expression" dxfId="152" priority="22">
      <formula>$G370:$G480="Sí"</formula>
    </cfRule>
  </conditionalFormatting>
  <conditionalFormatting sqref="Y374">
    <cfRule type="expression" dxfId="151" priority="39">
      <formula>$Q374:$Q484="APOYO"</formula>
    </cfRule>
    <cfRule type="expression" dxfId="150" priority="40">
      <formula>$G374:$G484="Sí"</formula>
    </cfRule>
  </conditionalFormatting>
  <conditionalFormatting sqref="AB11">
    <cfRule type="expression" dxfId="149" priority="89">
      <formula>$Q11:$Q279="APOYO"</formula>
    </cfRule>
    <cfRule type="expression" dxfId="148" priority="90">
      <formula>$G11:$G279="Sí"</formula>
    </cfRule>
  </conditionalFormatting>
  <conditionalFormatting sqref="AB32">
    <cfRule type="expression" dxfId="147" priority="91">
      <formula>$Q32:$Q300="APOYO"</formula>
    </cfRule>
    <cfRule type="expression" dxfId="146" priority="92">
      <formula>$G32:$G300="Sí"</formula>
    </cfRule>
  </conditionalFormatting>
  <conditionalFormatting sqref="AB49">
    <cfRule type="expression" dxfId="145" priority="93">
      <formula>$Q49:$Q317="APOYO"</formula>
    </cfRule>
    <cfRule type="expression" dxfId="144" priority="94">
      <formula>$G49:$G317="Sí"</formula>
    </cfRule>
  </conditionalFormatting>
  <conditionalFormatting sqref="AB180">
    <cfRule type="expression" dxfId="143" priority="18">
      <formula>$G180:$G503="Sí"</formula>
    </cfRule>
    <cfRule type="expression" dxfId="142" priority="17">
      <formula>$Q180:$Q503="APOYO"</formula>
    </cfRule>
  </conditionalFormatting>
  <conditionalFormatting sqref="AB269">
    <cfRule type="expression" dxfId="141" priority="87">
      <formula>$Q269:$Q536="APOYO"</formula>
    </cfRule>
    <cfRule type="expression" dxfId="140" priority="88">
      <formula>$G269:$G536="Sí"</formula>
    </cfRule>
  </conditionalFormatting>
  <conditionalFormatting sqref="AB318">
    <cfRule type="expression" dxfId="139" priority="85">
      <formula>$Q318:$Q585="APOYO"</formula>
    </cfRule>
    <cfRule type="expression" dxfId="138" priority="86">
      <formula>$G318:$G585="Sí"</formula>
    </cfRule>
  </conditionalFormatting>
  <conditionalFormatting sqref="AB337">
    <cfRule type="expression" dxfId="137" priority="83">
      <formula>$Q337:$Q604="APOYO"</formula>
    </cfRule>
    <cfRule type="expression" dxfId="136" priority="84">
      <formula>$G337:$G604="Sí"</formula>
    </cfRule>
  </conditionalFormatting>
  <conditionalFormatting sqref="AB342">
    <cfRule type="expression" dxfId="135" priority="16">
      <formula>$G342:$G665="Sí"</formula>
    </cfRule>
    <cfRule type="expression" dxfId="134" priority="15">
      <formula>$Q342:$Q665="APOYO"</formula>
    </cfRule>
  </conditionalFormatting>
  <conditionalFormatting sqref="AB351">
    <cfRule type="expression" dxfId="133" priority="14">
      <formula>$G351:$G674="Sí"</formula>
    </cfRule>
    <cfRule type="expression" dxfId="132" priority="13">
      <formula>$Q351:$Q674="APOYO"</formula>
    </cfRule>
  </conditionalFormatting>
  <conditionalFormatting sqref="AB357">
    <cfRule type="expression" dxfId="131" priority="12">
      <formula>$G357:$G680="Sí"</formula>
    </cfRule>
    <cfRule type="expression" dxfId="130" priority="11">
      <formula>$Q357:$Q680="APOYO"</formula>
    </cfRule>
  </conditionalFormatting>
  <conditionalFormatting sqref="AB366:AB369">
    <cfRule type="expression" dxfId="129" priority="81">
      <formula>$Q366:$Q633="APOYO"</formula>
    </cfRule>
    <cfRule type="expression" dxfId="128" priority="82">
      <formula>$G366:$G633="Sí"</formula>
    </cfRule>
  </conditionalFormatting>
  <conditionalFormatting sqref="AB370:AB373">
    <cfRule type="expression" dxfId="127" priority="4">
      <formula>$G370:$G693="Sí"</formula>
    </cfRule>
    <cfRule type="expression" dxfId="126" priority="3">
      <formula>$Q370:$Q693="APOYO"</formula>
    </cfRule>
  </conditionalFormatting>
  <conditionalFormatting sqref="AC368:AD373 W371:AA373">
    <cfRule type="expression" dxfId="125" priority="52">
      <formula>$G368:$G688="Sí"</formula>
    </cfRule>
    <cfRule type="expression" dxfId="124" priority="51">
      <formula>$Q368:$Q688="APOYO"</formula>
    </cfRule>
  </conditionalFormatting>
  <conditionalFormatting sqref="AD374">
    <cfRule type="expression" dxfId="123" priority="20">
      <formula>$G374:$G694="Sí"</formula>
    </cfRule>
    <cfRule type="expression" dxfId="122" priority="19">
      <formula>$Q374:$Q694="APOYO"</formula>
    </cfRule>
  </conditionalFormatting>
  <dataValidations disablePrompts="true" count="1">
    <dataValidation type="date" showInputMessage="true" showErrorMessage="true" sqref="V6:AA354 Y374 Y370">
      <formula1>46023</formula1>
      <formula2>46387</formula2>
    </dataValidation>
  </dataValidations>
  <hyperlinks>
    <hyperlink ref="N14" r:id="rId1"/>
    <hyperlink ref="N13" r:id="rId2"/>
    <hyperlink ref="N45" r:id="rId3"/>
    <hyperlink ref="N46" r:id="rId4"/>
    <hyperlink ref="N38" r:id="rId5"/>
    <hyperlink ref="N65" r:id="rId6"/>
    <hyperlink ref="N41" r:id="rId7"/>
    <hyperlink ref="N58" r:id="rId8"/>
    <hyperlink ref="N59" r:id="rId9"/>
    <hyperlink ref="N60" r:id="rId10"/>
    <hyperlink ref="N36" r:id="rId11"/>
    <hyperlink ref="N63" r:id="rId12"/>
    <hyperlink ref="N132" r:id="rId13"/>
    <hyperlink ref="N173" r:id="rId14"/>
    <hyperlink ref="N214" r:id="rId15"/>
    <hyperlink ref="N221" r:id="rId16"/>
    <hyperlink ref="N328" r:id="rId17"/>
    <hyperlink ref="N327" r:id="rId18" display="https://www.linkedin.com/in/lorena-alvarez-46b9a795/"/>
    <hyperlink ref="N325" r:id="rId19"/>
    <hyperlink ref="N323" r:id="rId20" display="https://www.linkedin.com/in/claudiacisneros/"/>
    <hyperlink ref="N322" r:id="rId21"/>
    <hyperlink ref="N321" r:id="rId22"/>
    <hyperlink ref="N317" r:id="rId23"/>
    <hyperlink ref="N318" r:id="rId24"/>
    <hyperlink ref="N316" r:id="rId25"/>
    <hyperlink ref="N315" r:id="rId26" display="https://www.instagram.com/adrianaleoncantella/?hl=es"/>
    <hyperlink ref="N319" r:id="rId27"/>
    <hyperlink ref="N324" r:id="rId28"/>
    <hyperlink ref="N320" r:id="rId29"/>
    <hyperlink ref="N314" r:id="rId30"/>
    <hyperlink ref="N329" r:id="rId31"/>
    <hyperlink ref="N112" r:id="rId32" display="arebaza@mpfn.gob.pe"/>
    <hyperlink ref="O114" r:id="rId33"/>
    <hyperlink ref="O143:O173" r:id="rId34" display="servicedesk@pj.gob.pe."/>
    <hyperlink ref="O266" r:id="rId35"/>
    <hyperlink ref="N15" r:id="rId36"/>
    <hyperlink ref="O22" r:id="rId37"/>
    <hyperlink ref="N31" r:id="rId38"/>
    <hyperlink ref="O21" r:id="rId39"/>
    <hyperlink ref="N40" r:id="rId40"/>
    <hyperlink ref="N35" r:id="rId41"/>
    <hyperlink ref="AD46" r:id="rId42"/>
    <hyperlink ref="N330" r:id="rId43"/>
    <hyperlink ref="N332" r:id="rId44"/>
    <hyperlink ref="N334" r:id="rId45"/>
    <hyperlink ref="O331" r:id="rId46"/>
    <hyperlink ref="O336" r:id="rId47"/>
    <hyperlink ref="N338" r:id="rId48"/>
    <hyperlink ref="O339" r:id="rId49"/>
    <hyperlink ref="O340" r:id="rId50" display="mesadepartes.fpedv.maynas@gmail.com"/>
    <hyperlink ref="N340" r:id="rId51"/>
    <hyperlink ref="N342" r:id="rId52"/>
    <hyperlink ref="O341" r:id="rId53"/>
    <hyperlink ref="O342" r:id="rId54"/>
    <hyperlink ref="O343" r:id="rId55"/>
    <hyperlink ref="O344" r:id="rId56"/>
    <hyperlink ref="N345" r:id="rId57"/>
    <hyperlink ref="O346" r:id="rId58"/>
    <hyperlink ref="O347" r:id="rId59"/>
    <hyperlink ref="O348" r:id="rId60"/>
    <hyperlink ref="N349" r:id="rId61"/>
    <hyperlink ref="N350" r:id="rId62"/>
    <hyperlink ref="N351" r:id="rId63"/>
    <hyperlink ref="O352" r:id="rId64"/>
    <hyperlink ref="O353" r:id="rId65"/>
    <hyperlink ref="O354" r:id="rId66"/>
    <hyperlink ref="O355" r:id="rId67"/>
    <hyperlink ref="O356" r:id="rId68"/>
    <hyperlink ref="O357" r:id="rId69"/>
    <hyperlink ref="O358" r:id="rId70"/>
    <hyperlink ref="O359" r:id="rId71"/>
    <hyperlink ref="O360" r:id="rId72"/>
    <hyperlink ref="O361" r:id="rId73"/>
    <hyperlink ref="O362" r:id="rId74"/>
    <hyperlink ref="O363" r:id="rId75"/>
    <hyperlink ref="O364" r:id="rId76"/>
    <hyperlink ref="O365" r:id="rId77"/>
    <hyperlink ref="N16" r:id="rId78"/>
    <hyperlink ref="N17" r:id="rId79"/>
    <hyperlink ref="N220" r:id="rId8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60" zoomScaleNormal="77" workbookViewId="0">
      <selection activeCell="F77" sqref="F77"/>
    </sheetView>
  </sheetViews>
  <sheetFormatPr baseColWidth="10" defaultColWidth="10.81640625" defaultRowHeight="14" x14ac:dyDescent="0.35"/>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ols>
  <sheetData>
    <row r="1">
      <c r="B1" s="12" t="s">
        <v>994</v>
      </c>
      <c r="C1" s="11" t="s">
        <v>227</v>
      </c>
      <c r="D1" s="11" t="s">
        <v>994</v>
      </c>
      <c r="E1" s="12" t="s">
        <v>994</v>
      </c>
      <c r="F1" s="12" t="s">
        <v>994</v>
      </c>
      <c r="G1" s="12" t="s">
        <v>994</v>
      </c>
      <c r="H1" s="12" t="s">
        <v>994</v>
      </c>
      <c r="I1" s="12" t="s">
        <v>994</v>
      </c>
      <c r="J1" s="12" t="s">
        <v>994</v>
      </c>
      <c r="K1" s="12" t="s">
        <v>994</v>
      </c>
      <c r="L1" s="13" t="s">
        <v>994</v>
      </c>
      <c r="M1" s="11" t="s">
        <v>994</v>
      </c>
      <c r="N1" s="11" t="s">
        <v>994</v>
      </c>
      <c r="O1" s="11" t="s">
        <v>994</v>
      </c>
      <c r="P1" s="11" t="s">
        <v>994</v>
      </c>
      <c r="Q1" s="11" t="s">
        <v>994</v>
      </c>
      <c r="R1" s="11" t="s">
        <v>994</v>
      </c>
      <c r="S1" s="11" t="s">
        <v>994</v>
      </c>
      <c r="T1" s="11" t="s">
        <v>994</v>
      </c>
      <c r="U1" s="11" t="s">
        <v>994</v>
      </c>
      <c r="V1" s="11" t="s">
        <v>994</v>
      </c>
      <c r="W1" s="11" t="s">
        <v>994</v>
      </c>
      <c r="X1" s="11" t="s">
        <v>994</v>
      </c>
      <c r="Y1" s="11" t="s">
        <v>994</v>
      </c>
      <c r="Z1" s="11" t="s">
        <v>994</v>
      </c>
      <c r="AA1" s="11" t="s">
        <v>994</v>
      </c>
      <c r="AB1" s="11" t="s">
        <v>994</v>
      </c>
      <c r="AC1" s="11" t="s">
        <v>994</v>
      </c>
      <c r="AD1" s="11" t="s">
        <v>994</v>
      </c>
    </row>
    <row r="2">
      <c r="B2" s="12" t="s">
        <v>994</v>
      </c>
      <c r="C2" s="11" t="s">
        <v>228</v>
      </c>
      <c r="D2" s="11" t="s">
        <v>994</v>
      </c>
      <c r="E2" s="12" t="s">
        <v>229</v>
      </c>
      <c r="F2" s="12" t="s">
        <v>994</v>
      </c>
      <c r="G2" s="12" t="s">
        <v>994</v>
      </c>
      <c r="H2" s="12" t="s">
        <v>994</v>
      </c>
      <c r="I2" s="12" t="s">
        <v>994</v>
      </c>
      <c r="J2" s="12" t="s">
        <v>994</v>
      </c>
      <c r="K2" s="12" t="s">
        <v>994</v>
      </c>
      <c r="L2" s="13" t="s">
        <v>994</v>
      </c>
      <c r="M2" s="11" t="s">
        <v>994</v>
      </c>
      <c r="N2" s="11" t="s">
        <v>994</v>
      </c>
      <c r="O2" s="11" t="s">
        <v>994</v>
      </c>
      <c r="P2" s="11" t="s">
        <v>994</v>
      </c>
      <c r="Q2" s="11" t="s">
        <v>994</v>
      </c>
      <c r="R2" s="11" t="s">
        <v>994</v>
      </c>
      <c r="S2" s="11" t="s">
        <v>994</v>
      </c>
      <c r="T2" s="11" t="s">
        <v>994</v>
      </c>
      <c r="U2" s="11" t="s">
        <v>994</v>
      </c>
      <c r="V2" s="11" t="s">
        <v>994</v>
      </c>
      <c r="W2" s="11" t="s">
        <v>994</v>
      </c>
      <c r="X2" s="11" t="s">
        <v>994</v>
      </c>
      <c r="Y2" s="11" t="s">
        <v>994</v>
      </c>
      <c r="Z2" s="11" t="s">
        <v>994</v>
      </c>
      <c r="AA2" s="11" t="s">
        <v>994</v>
      </c>
      <c r="AB2" s="11" t="s">
        <v>994</v>
      </c>
      <c r="AC2" s="11" t="s">
        <v>994</v>
      </c>
      <c r="AD2" s="11" t="s">
        <v>994</v>
      </c>
    </row>
    <row r="3">
      <c r="B3" s="12" t="s">
        <v>994</v>
      </c>
      <c r="C3" s="11" t="s">
        <v>994</v>
      </c>
      <c r="D3" s="11" t="s">
        <v>994</v>
      </c>
      <c r="E3" s="12" t="s">
        <v>230</v>
      </c>
      <c r="F3" s="12" t="s">
        <v>994</v>
      </c>
      <c r="G3" s="12" t="s">
        <v>994</v>
      </c>
      <c r="H3" s="12" t="s">
        <v>994</v>
      </c>
      <c r="I3" s="12" t="s">
        <v>994</v>
      </c>
      <c r="J3" s="12" t="s">
        <v>994</v>
      </c>
      <c r="K3" s="12" t="s">
        <v>994</v>
      </c>
      <c r="L3" s="13" t="s">
        <v>994</v>
      </c>
      <c r="M3" s="11" t="s">
        <v>994</v>
      </c>
      <c r="N3" s="11" t="s">
        <v>994</v>
      </c>
      <c r="O3" s="11" t="s">
        <v>994</v>
      </c>
      <c r="P3" s="11" t="s">
        <v>994</v>
      </c>
      <c r="Q3" s="11" t="s">
        <v>994</v>
      </c>
      <c r="R3" s="11" t="s">
        <v>994</v>
      </c>
      <c r="S3" s="11" t="s">
        <v>994</v>
      </c>
      <c r="T3" s="11" t="s">
        <v>994</v>
      </c>
      <c r="U3" s="11" t="s">
        <v>994</v>
      </c>
      <c r="V3" s="11" t="s">
        <v>994</v>
      </c>
      <c r="W3" s="11" t="s">
        <v>994</v>
      </c>
      <c r="X3" s="11" t="s">
        <v>994</v>
      </c>
      <c r="Y3" s="11" t="s">
        <v>994</v>
      </c>
      <c r="Z3" s="11" t="s">
        <v>994</v>
      </c>
      <c r="AA3" s="11" t="s">
        <v>994</v>
      </c>
      <c r="AB3" s="11" t="s">
        <v>994</v>
      </c>
      <c r="AC3" s="11" t="s">
        <v>994</v>
      </c>
      <c r="AD3" s="11" t="s">
        <v>994</v>
      </c>
    </row>
    <row r="4">
      <c r="B4" s="12" t="s">
        <v>994</v>
      </c>
      <c r="C4" s="11" t="s">
        <v>994</v>
      </c>
      <c r="D4" s="11" t="s">
        <v>994</v>
      </c>
      <c r="E4" s="12" t="s">
        <v>953</v>
      </c>
      <c r="F4" s="12" t="s">
        <v>994</v>
      </c>
      <c r="G4" s="12" t="s">
        <v>994</v>
      </c>
      <c r="H4" s="12" t="s">
        <v>994</v>
      </c>
      <c r="I4" s="12" t="s">
        <v>994</v>
      </c>
      <c r="J4" s="12" t="s">
        <v>994</v>
      </c>
      <c r="K4" s="12" t="s">
        <v>994</v>
      </c>
      <c r="L4" s="13" t="s">
        <v>994</v>
      </c>
      <c r="M4" s="11" t="s">
        <v>994</v>
      </c>
      <c r="N4" s="11" t="s">
        <v>994</v>
      </c>
      <c r="O4" s="11" t="s">
        <v>994</v>
      </c>
      <c r="P4" s="11" t="s">
        <v>994</v>
      </c>
      <c r="Q4" s="11" t="s">
        <v>994</v>
      </c>
      <c r="R4" s="11" t="s">
        <v>994</v>
      </c>
      <c r="S4" s="11" t="s">
        <v>994</v>
      </c>
      <c r="T4" s="11" t="s">
        <v>994</v>
      </c>
      <c r="U4" s="11" t="s">
        <v>994</v>
      </c>
      <c r="V4" s="11" t="s">
        <v>994</v>
      </c>
      <c r="W4" s="11" t="s">
        <v>994</v>
      </c>
      <c r="X4" s="11" t="s">
        <v>994</v>
      </c>
      <c r="Y4" s="11" t="s">
        <v>994</v>
      </c>
      <c r="Z4" s="11" t="s">
        <v>994</v>
      </c>
      <c r="AA4" s="11" t="s">
        <v>994</v>
      </c>
      <c r="AB4" s="11" t="s">
        <v>994</v>
      </c>
      <c r="AC4" s="11" t="s">
        <v>994</v>
      </c>
      <c r="AD4" s="11" t="s">
        <v>994</v>
      </c>
    </row>
    <row r="5">
      <c r="B5" s="12" t="s">
        <v>994</v>
      </c>
      <c r="C5" s="11" t="s">
        <v>994</v>
      </c>
      <c r="D5" s="11" t="s">
        <v>994</v>
      </c>
      <c r="E5" s="12" t="s">
        <v>1120</v>
      </c>
      <c r="F5" s="12" t="s">
        <v>994</v>
      </c>
      <c r="G5" s="12" t="s">
        <v>994</v>
      </c>
      <c r="H5" s="12" t="s">
        <v>994</v>
      </c>
      <c r="I5" s="12" t="s">
        <v>994</v>
      </c>
      <c r="J5" s="12" t="s">
        <v>994</v>
      </c>
      <c r="K5" s="12" t="s">
        <v>994</v>
      </c>
      <c r="L5" s="13" t="s">
        <v>994</v>
      </c>
      <c r="M5" s="11" t="s">
        <v>994</v>
      </c>
      <c r="N5" s="11" t="s">
        <v>994</v>
      </c>
      <c r="O5" s="11" t="s">
        <v>994</v>
      </c>
      <c r="P5" s="11" t="s">
        <v>994</v>
      </c>
      <c r="Q5" s="11" t="s">
        <v>994</v>
      </c>
      <c r="R5" s="11" t="s">
        <v>994</v>
      </c>
      <c r="S5" s="11" t="s">
        <v>994</v>
      </c>
      <c r="T5" s="11" t="s">
        <v>994</v>
      </c>
      <c r="U5" s="11" t="s">
        <v>994</v>
      </c>
      <c r="V5" s="11" t="s">
        <v>994</v>
      </c>
      <c r="W5" s="11" t="s">
        <v>994</v>
      </c>
      <c r="X5" s="11" t="s">
        <v>994</v>
      </c>
      <c r="Y5" s="11" t="s">
        <v>994</v>
      </c>
      <c r="Z5" s="11" t="s">
        <v>994</v>
      </c>
      <c r="AA5" s="11" t="s">
        <v>994</v>
      </c>
      <c r="AB5" s="11" t="s">
        <v>994</v>
      </c>
      <c r="AC5" s="11" t="s">
        <v>994</v>
      </c>
      <c r="AD5" s="11" t="s">
        <v>994</v>
      </c>
    </row>
    <row r="6">
      <c r="B6" s="12" t="s">
        <v>994</v>
      </c>
      <c r="C6" s="11" t="s">
        <v>231</v>
      </c>
      <c r="D6" s="11" t="s">
        <v>1</v>
      </c>
      <c r="E6" s="12" t="s">
        <v>2</v>
      </c>
      <c r="F6" s="12" t="s">
        <v>232</v>
      </c>
      <c r="G6" s="12" t="s">
        <v>233</v>
      </c>
      <c r="H6" s="12" t="s">
        <v>234</v>
      </c>
      <c r="I6" s="12" t="s">
        <v>7</v>
      </c>
      <c r="J6" s="12" t="s">
        <v>235</v>
      </c>
      <c r="K6" s="12" t="s">
        <v>997</v>
      </c>
      <c r="L6" s="13" t="s">
        <v>234</v>
      </c>
      <c r="M6" s="11" t="s">
        <v>236</v>
      </c>
      <c r="N6" s="11" t="s">
        <v>237</v>
      </c>
      <c r="O6" s="11" t="s">
        <v>238</v>
      </c>
      <c r="P6" s="11" t="s">
        <v>954</v>
      </c>
      <c r="Q6" s="11" t="s">
        <v>239</v>
      </c>
      <c r="R6" s="11" t="s">
        <v>955</v>
      </c>
      <c r="S6" s="11" t="s">
        <v>240</v>
      </c>
      <c r="T6" s="11" t="s">
        <v>241</v>
      </c>
      <c r="U6" s="11" t="s">
        <v>10</v>
      </c>
      <c r="V6" s="11" t="s">
        <v>11</v>
      </c>
      <c r="W6" s="11" t="s">
        <v>12</v>
      </c>
      <c r="X6" s="11" t="s">
        <v>952</v>
      </c>
      <c r="Y6" s="11" t="s">
        <v>242</v>
      </c>
      <c r="Z6" s="11" t="s">
        <v>243</v>
      </c>
      <c r="AA6" s="11" t="s">
        <v>18</v>
      </c>
      <c r="AB6" s="11" t="s">
        <v>16</v>
      </c>
      <c r="AC6" s="11" t="s">
        <v>17</v>
      </c>
      <c r="AD6" s="11" t="s">
        <v>956</v>
      </c>
    </row>
    <row r="7">
      <c r="B7" s="12" t="s">
        <v>994</v>
      </c>
      <c r="C7" s="11" t="s">
        <v>995</v>
      </c>
      <c r="D7" s="11" t="s">
        <v>265</v>
      </c>
      <c r="E7" s="12" t="s">
        <v>266</v>
      </c>
      <c r="F7" s="12" t="s">
        <v>49</v>
      </c>
      <c r="G7" s="12" t="s">
        <v>246</v>
      </c>
      <c r="H7" s="12" t="s">
        <v>246</v>
      </c>
      <c r="I7" s="12" t="s">
        <v>82</v>
      </c>
      <c r="J7" s="12" t="s">
        <v>267</v>
      </c>
      <c r="K7" s="12" t="s">
        <v>998</v>
      </c>
      <c r="L7" s="13" t="s">
        <v>994</v>
      </c>
      <c r="M7" s="11" t="s">
        <v>268</v>
      </c>
      <c r="N7" s="11" t="s">
        <v>118</v>
      </c>
      <c r="O7" s="11" t="s">
        <v>264</v>
      </c>
      <c r="P7" s="11" t="s">
        <v>125</v>
      </c>
      <c r="Q7" s="11" t="s">
        <v>150</v>
      </c>
      <c r="R7" s="11" t="s">
        <v>125</v>
      </c>
      <c r="S7" s="11" t="s">
        <v>125</v>
      </c>
      <c r="T7" s="11" t="s">
        <v>38</v>
      </c>
      <c r="U7" s="11" t="s">
        <v>1388</v>
      </c>
      <c r="V7" s="11" t="s">
        <v>1393</v>
      </c>
      <c r="W7" s="11" t="s">
        <v>994</v>
      </c>
      <c r="X7" s="11" t="s">
        <v>994</v>
      </c>
      <c r="Y7" s="11" t="s">
        <v>994</v>
      </c>
      <c r="Z7" s="11" t="s">
        <v>994</v>
      </c>
      <c r="AA7" s="11" t="s">
        <v>994</v>
      </c>
      <c r="AB7" s="11" t="s">
        <v>994</v>
      </c>
      <c r="AC7" s="11" t="s">
        <v>994</v>
      </c>
      <c r="AD7" s="11" t="s">
        <v>1121</v>
      </c>
    </row>
    <row r="8">
      <c r="B8" s="12" t="s">
        <v>994</v>
      </c>
      <c r="C8" s="11" t="s">
        <v>996</v>
      </c>
      <c r="D8" s="11" t="s">
        <v>175</v>
      </c>
      <c r="E8" s="12" t="s">
        <v>176</v>
      </c>
      <c r="F8" s="12" t="s">
        <v>49</v>
      </c>
      <c r="G8" s="12" t="s">
        <v>275</v>
      </c>
      <c r="H8" s="12" t="s">
        <v>126</v>
      </c>
      <c r="I8" s="12" t="s">
        <v>82</v>
      </c>
      <c r="J8" s="12" t="s">
        <v>267</v>
      </c>
      <c r="K8" s="12" t="s">
        <v>999</v>
      </c>
      <c r="L8" s="13" t="s">
        <v>994</v>
      </c>
      <c r="M8" s="11" t="s">
        <v>1215</v>
      </c>
      <c r="N8" s="11" t="s">
        <v>118</v>
      </c>
      <c r="O8" s="11" t="s">
        <v>264</v>
      </c>
      <c r="P8" s="11" t="s">
        <v>125</v>
      </c>
      <c r="Q8" s="11" t="s">
        <v>150</v>
      </c>
      <c r="R8" s="11" t="s">
        <v>125</v>
      </c>
      <c r="S8" s="11" t="s">
        <v>125</v>
      </c>
      <c r="T8" s="11" t="s">
        <v>38</v>
      </c>
      <c r="U8" s="11" t="s">
        <v>1388</v>
      </c>
      <c r="V8" s="11" t="s">
        <v>1393</v>
      </c>
      <c r="W8" s="11" t="s">
        <v>1396</v>
      </c>
      <c r="X8" s="11" t="s">
        <v>994</v>
      </c>
      <c r="Y8" s="11" t="s">
        <v>994</v>
      </c>
      <c r="Z8" s="11" t="s">
        <v>994</v>
      </c>
      <c r="AA8" s="11" t="s">
        <v>994</v>
      </c>
      <c r="AB8" s="11" t="s">
        <v>994</v>
      </c>
      <c r="AC8" s="11" t="s">
        <v>994</v>
      </c>
      <c r="AD8" s="11" t="s">
        <v>1122</v>
      </c>
    </row>
    <row r="9">
      <c r="B9" s="12" t="s">
        <v>994</v>
      </c>
      <c r="C9" s="11" t="s">
        <v>1040</v>
      </c>
      <c r="D9" s="11" t="s">
        <v>276</v>
      </c>
      <c r="E9" s="12" t="s">
        <v>277</v>
      </c>
      <c r="F9" s="12" t="s">
        <v>278</v>
      </c>
      <c r="G9" s="12" t="s">
        <v>275</v>
      </c>
      <c r="H9" s="12" t="s">
        <v>126</v>
      </c>
      <c r="I9" s="12" t="s">
        <v>82</v>
      </c>
      <c r="J9" s="12" t="s">
        <v>267</v>
      </c>
      <c r="K9" s="12" t="s">
        <v>999</v>
      </c>
      <c r="L9" s="13" t="s">
        <v>125</v>
      </c>
      <c r="M9" s="11" t="s">
        <v>279</v>
      </c>
      <c r="N9" s="11" t="s">
        <v>118</v>
      </c>
      <c r="O9" s="11" t="s">
        <v>280</v>
      </c>
      <c r="P9" s="11" t="s">
        <v>126</v>
      </c>
      <c r="Q9" s="11" t="s">
        <v>143</v>
      </c>
      <c r="R9" s="11" t="s">
        <v>125</v>
      </c>
      <c r="S9" s="11" t="s">
        <v>125</v>
      </c>
      <c r="T9" s="11" t="s">
        <v>131</v>
      </c>
      <c r="U9" s="11" t="s">
        <v>1389</v>
      </c>
      <c r="V9" s="11" t="s">
        <v>1379</v>
      </c>
      <c r="W9" s="11" t="s">
        <v>1398</v>
      </c>
      <c r="X9" s="11" t="s">
        <v>1400</v>
      </c>
      <c r="Y9" s="11" t="s">
        <v>994</v>
      </c>
      <c r="Z9" s="11" t="s">
        <v>994</v>
      </c>
      <c r="AA9" s="11" t="s">
        <v>994</v>
      </c>
      <c r="AB9" s="11" t="s">
        <v>121</v>
      </c>
      <c r="AC9" s="11" t="s">
        <v>994</v>
      </c>
      <c r="AD9" s="11" t="s">
        <v>1237</v>
      </c>
    </row>
    <row r="10">
      <c r="B10" s="12" t="s">
        <v>994</v>
      </c>
      <c r="C10" s="11" t="s">
        <v>1041</v>
      </c>
      <c r="D10" s="11" t="s">
        <v>288</v>
      </c>
      <c r="E10" s="12" t="s">
        <v>289</v>
      </c>
      <c r="F10" s="12" t="s">
        <v>49</v>
      </c>
      <c r="G10" s="12" t="s">
        <v>129</v>
      </c>
      <c r="H10" s="12" t="s">
        <v>126</v>
      </c>
      <c r="I10" s="12" t="s">
        <v>82</v>
      </c>
      <c r="J10" s="12" t="s">
        <v>267</v>
      </c>
      <c r="K10" s="12" t="s">
        <v>999</v>
      </c>
      <c r="L10" s="13" t="s">
        <v>994</v>
      </c>
      <c r="M10" s="11" t="s">
        <v>290</v>
      </c>
      <c r="N10" s="11" t="s">
        <v>118</v>
      </c>
      <c r="O10" s="11" t="s">
        <v>280</v>
      </c>
      <c r="P10" s="11" t="s">
        <v>126</v>
      </c>
      <c r="Q10" s="11" t="s">
        <v>143</v>
      </c>
      <c r="R10" s="11" t="s">
        <v>994</v>
      </c>
      <c r="S10" s="11" t="s">
        <v>125</v>
      </c>
      <c r="T10" s="11" t="s">
        <v>38</v>
      </c>
      <c r="U10" s="11" t="s">
        <v>1390</v>
      </c>
      <c r="V10" s="11" t="s">
        <v>1393</v>
      </c>
      <c r="W10" s="11" t="s">
        <v>994</v>
      </c>
      <c r="X10" s="11" t="s">
        <v>994</v>
      </c>
      <c r="Y10" s="11" t="s">
        <v>994</v>
      </c>
      <c r="Z10" s="11" t="s">
        <v>994</v>
      </c>
      <c r="AA10" s="11" t="s">
        <v>994</v>
      </c>
      <c r="AB10" s="11" t="s">
        <v>994</v>
      </c>
      <c r="AC10" s="11" t="s">
        <v>994</v>
      </c>
      <c r="AD10" s="11" t="s">
        <v>1123</v>
      </c>
    </row>
    <row r="11">
      <c r="B11" s="12" t="s">
        <v>994</v>
      </c>
      <c r="C11" s="11" t="s">
        <v>1314</v>
      </c>
      <c r="D11" s="11" t="s">
        <v>86</v>
      </c>
      <c r="E11" s="12" t="s">
        <v>87</v>
      </c>
      <c r="F11" s="12" t="s">
        <v>49</v>
      </c>
      <c r="G11" s="12" t="s">
        <v>129</v>
      </c>
      <c r="H11" s="12" t="s">
        <v>126</v>
      </c>
      <c r="I11" s="12" t="s">
        <v>82</v>
      </c>
      <c r="J11" s="12" t="s">
        <v>267</v>
      </c>
      <c r="K11" s="12" t="s">
        <v>998</v>
      </c>
      <c r="L11" s="13" t="s">
        <v>126</v>
      </c>
      <c r="M11" s="11" t="s">
        <v>296</v>
      </c>
      <c r="N11" s="11" t="s">
        <v>118</v>
      </c>
      <c r="O11" s="11" t="s">
        <v>249</v>
      </c>
      <c r="P11" s="11" t="s">
        <v>125</v>
      </c>
      <c r="Q11" s="11" t="s">
        <v>150</v>
      </c>
      <c r="R11" s="11" t="s">
        <v>125</v>
      </c>
      <c r="S11" s="11" t="s">
        <v>125</v>
      </c>
      <c r="T11" s="11" t="s">
        <v>131</v>
      </c>
      <c r="U11" s="11" t="s">
        <v>1388</v>
      </c>
      <c r="V11" s="11" t="s">
        <v>1380</v>
      </c>
      <c r="W11" s="11" t="s">
        <v>1398</v>
      </c>
      <c r="X11" s="11" t="s">
        <v>1391</v>
      </c>
      <c r="Y11" s="11" t="s">
        <v>994</v>
      </c>
      <c r="Z11" s="11" t="s">
        <v>994</v>
      </c>
      <c r="AA11" s="11" t="s">
        <v>994</v>
      </c>
      <c r="AB11" s="11" t="s">
        <v>994</v>
      </c>
      <c r="AC11" s="11" t="s">
        <v>994</v>
      </c>
      <c r="AD11" s="11" t="s">
        <v>1270</v>
      </c>
    </row>
    <row r="12">
      <c r="B12" s="12" t="s">
        <v>994</v>
      </c>
      <c r="C12" s="11" t="s">
        <v>1315</v>
      </c>
      <c r="D12" s="11" t="s">
        <v>1264</v>
      </c>
      <c r="E12" s="12" t="s">
        <v>87</v>
      </c>
      <c r="F12" s="12" t="s">
        <v>994</v>
      </c>
      <c r="G12" s="12" t="s">
        <v>994</v>
      </c>
      <c r="H12" s="12" t="s">
        <v>994</v>
      </c>
      <c r="I12" s="12" t="s">
        <v>994</v>
      </c>
      <c r="J12" s="12" t="s">
        <v>994</v>
      </c>
      <c r="K12" s="12" t="s">
        <v>994</v>
      </c>
      <c r="L12" s="13" t="s">
        <v>125</v>
      </c>
      <c r="M12" s="11" t="s">
        <v>1267</v>
      </c>
      <c r="N12" s="11" t="s">
        <v>994</v>
      </c>
      <c r="O12" s="11" t="s">
        <v>994</v>
      </c>
      <c r="P12" s="11" t="s">
        <v>994</v>
      </c>
      <c r="Q12" s="11" t="s">
        <v>994</v>
      </c>
      <c r="R12" s="11" t="s">
        <v>994</v>
      </c>
      <c r="S12" s="11" t="s">
        <v>994</v>
      </c>
      <c r="T12" s="11" t="s">
        <v>131</v>
      </c>
      <c r="U12" s="11" t="s">
        <v>994</v>
      </c>
      <c r="V12" s="11" t="s">
        <v>994</v>
      </c>
      <c r="W12" s="11" t="s">
        <v>994</v>
      </c>
      <c r="X12" s="11" t="s">
        <v>1400</v>
      </c>
      <c r="Y12" s="11" t="s">
        <v>994</v>
      </c>
      <c r="Z12" s="11" t="s">
        <v>994</v>
      </c>
      <c r="AA12" s="11" t="s">
        <v>994</v>
      </c>
      <c r="AB12" s="11" t="s">
        <v>121</v>
      </c>
      <c r="AC12" s="11" t="s">
        <v>994</v>
      </c>
      <c r="AD12" s="11" t="s">
        <v>1271</v>
      </c>
    </row>
    <row r="13">
      <c r="B13" s="12" t="s">
        <v>994</v>
      </c>
      <c r="C13" s="11" t="s">
        <v>1316</v>
      </c>
      <c r="D13" s="11" t="s">
        <v>302</v>
      </c>
      <c r="E13" s="12" t="s">
        <v>303</v>
      </c>
      <c r="F13" s="12" t="s">
        <v>283</v>
      </c>
      <c r="G13" s="12" t="s">
        <v>246</v>
      </c>
      <c r="H13" s="12" t="s">
        <v>246</v>
      </c>
      <c r="I13" s="12" t="s">
        <v>82</v>
      </c>
      <c r="J13" s="12" t="s">
        <v>267</v>
      </c>
      <c r="K13" s="12" t="s">
        <v>999</v>
      </c>
      <c r="L13" s="13" t="s">
        <v>994</v>
      </c>
      <c r="M13" s="11" t="s">
        <v>304</v>
      </c>
      <c r="N13" s="11" t="s">
        <v>118</v>
      </c>
      <c r="O13" s="11" t="s">
        <v>249</v>
      </c>
      <c r="P13" s="11" t="s">
        <v>125</v>
      </c>
      <c r="Q13" s="11" t="s">
        <v>150</v>
      </c>
      <c r="R13" s="11" t="s">
        <v>125</v>
      </c>
      <c r="S13" s="11" t="s">
        <v>125</v>
      </c>
      <c r="T13" s="11" t="s">
        <v>38</v>
      </c>
      <c r="U13" s="11" t="s">
        <v>1388</v>
      </c>
      <c r="V13" s="11" t="s">
        <v>1393</v>
      </c>
      <c r="W13" s="11" t="s">
        <v>1396</v>
      </c>
      <c r="X13" s="11" t="s">
        <v>994</v>
      </c>
      <c r="Y13" s="11" t="s">
        <v>994</v>
      </c>
      <c r="Z13" s="11" t="s">
        <v>994</v>
      </c>
      <c r="AA13" s="11" t="s">
        <v>994</v>
      </c>
      <c r="AB13" s="11" t="s">
        <v>994</v>
      </c>
      <c r="AC13" s="11" t="s">
        <v>994</v>
      </c>
      <c r="AD13" s="11" t="s">
        <v>1125</v>
      </c>
    </row>
    <row r="14">
      <c r="B14" s="12" t="s">
        <v>994</v>
      </c>
      <c r="C14" s="11" t="s">
        <v>1317</v>
      </c>
      <c r="D14" s="11" t="s">
        <v>181</v>
      </c>
      <c r="E14" s="12" t="s">
        <v>182</v>
      </c>
      <c r="F14" s="12" t="s">
        <v>305</v>
      </c>
      <c r="G14" s="12" t="s">
        <v>275</v>
      </c>
      <c r="H14" s="12" t="s">
        <v>126</v>
      </c>
      <c r="I14" s="12" t="s">
        <v>82</v>
      </c>
      <c r="J14" s="12" t="s">
        <v>267</v>
      </c>
      <c r="K14" s="12" t="s">
        <v>998</v>
      </c>
      <c r="L14" s="13" t="s">
        <v>994</v>
      </c>
      <c r="M14" s="11" t="s">
        <v>1381</v>
      </c>
      <c r="N14" s="11" t="s">
        <v>118</v>
      </c>
      <c r="O14" s="11" t="s">
        <v>280</v>
      </c>
      <c r="P14" s="11" t="s">
        <v>126</v>
      </c>
      <c r="Q14" s="11" t="s">
        <v>143</v>
      </c>
      <c r="R14" s="11" t="s">
        <v>125</v>
      </c>
      <c r="S14" s="11" t="s">
        <v>125</v>
      </c>
      <c r="T14" s="11" t="s">
        <v>38</v>
      </c>
      <c r="U14" s="11" t="s">
        <v>1389</v>
      </c>
      <c r="V14" s="11" t="s">
        <v>1393</v>
      </c>
      <c r="W14" s="11" t="s">
        <v>1398</v>
      </c>
      <c r="X14" s="11" t="s">
        <v>994</v>
      </c>
      <c r="Y14" s="11" t="s">
        <v>994</v>
      </c>
      <c r="Z14" s="11" t="s">
        <v>994</v>
      </c>
      <c r="AA14" s="11" t="s">
        <v>994</v>
      </c>
      <c r="AB14" s="11" t="s">
        <v>994</v>
      </c>
      <c r="AC14" s="11" t="s">
        <v>994</v>
      </c>
      <c r="AD14" s="11" t="s">
        <v>1126</v>
      </c>
    </row>
    <row r="15">
      <c r="B15" s="12" t="s">
        <v>994</v>
      </c>
      <c r="C15" s="11" t="s">
        <v>1318</v>
      </c>
      <c r="D15" s="11" t="s">
        <v>190</v>
      </c>
      <c r="E15" s="12" t="s">
        <v>307</v>
      </c>
      <c r="F15" s="12" t="s">
        <v>49</v>
      </c>
      <c r="G15" s="12" t="s">
        <v>275</v>
      </c>
      <c r="H15" s="12" t="s">
        <v>126</v>
      </c>
      <c r="I15" s="12" t="s">
        <v>37</v>
      </c>
      <c r="J15" s="12" t="s">
        <v>267</v>
      </c>
      <c r="K15" s="12" t="s">
        <v>999</v>
      </c>
      <c r="L15" s="13" t="s">
        <v>125</v>
      </c>
      <c r="M15" s="11" t="s">
        <v>312</v>
      </c>
      <c r="N15" s="11" t="s">
        <v>309</v>
      </c>
      <c r="O15" s="11" t="s">
        <v>310</v>
      </c>
      <c r="P15" s="11" t="s">
        <v>125</v>
      </c>
      <c r="Q15" s="11" t="s">
        <v>150</v>
      </c>
      <c r="R15" s="11" t="s">
        <v>125</v>
      </c>
      <c r="S15" s="11" t="s">
        <v>125</v>
      </c>
      <c r="T15" s="11" t="s">
        <v>131</v>
      </c>
      <c r="U15" s="11" t="s">
        <v>1388</v>
      </c>
      <c r="V15" s="11" t="s">
        <v>994</v>
      </c>
      <c r="W15" s="11" t="s">
        <v>994</v>
      </c>
      <c r="X15" s="11" t="s">
        <v>1400</v>
      </c>
      <c r="Y15" s="11" t="s">
        <v>994</v>
      </c>
      <c r="Z15" s="11" t="s">
        <v>994</v>
      </c>
      <c r="AA15" s="11" t="s">
        <v>994</v>
      </c>
      <c r="AB15" s="11" t="s">
        <v>121</v>
      </c>
      <c r="AC15" s="11" t="s">
        <v>994</v>
      </c>
      <c r="AD15" s="11" t="s">
        <v>1238</v>
      </c>
    </row>
    <row r="16">
      <c r="B16" s="12" t="s">
        <v>994</v>
      </c>
      <c r="C16" s="11" t="s">
        <v>1319</v>
      </c>
      <c r="D16" s="11" t="s">
        <v>326</v>
      </c>
      <c r="E16" s="12" t="s">
        <v>327</v>
      </c>
      <c r="F16" s="12" t="s">
        <v>49</v>
      </c>
      <c r="G16" s="12" t="s">
        <v>246</v>
      </c>
      <c r="H16" s="12" t="s">
        <v>246</v>
      </c>
      <c r="I16" s="12" t="s">
        <v>37</v>
      </c>
      <c r="J16" s="12" t="s">
        <v>267</v>
      </c>
      <c r="K16" s="12" t="s">
        <v>998</v>
      </c>
      <c r="L16" s="13" t="s">
        <v>994</v>
      </c>
      <c r="M16" s="11" t="s">
        <v>1107</v>
      </c>
      <c r="N16" s="11" t="s">
        <v>118</v>
      </c>
      <c r="O16" s="11" t="s">
        <v>323</v>
      </c>
      <c r="P16" s="11" t="s">
        <v>126</v>
      </c>
      <c r="Q16" s="11" t="s">
        <v>143</v>
      </c>
      <c r="R16" s="11" t="s">
        <v>125</v>
      </c>
      <c r="S16" s="11" t="s">
        <v>125</v>
      </c>
      <c r="T16" s="11" t="s">
        <v>38</v>
      </c>
      <c r="U16" s="11" t="s">
        <v>1389</v>
      </c>
      <c r="V16" s="11" t="s">
        <v>1393</v>
      </c>
      <c r="W16" s="11" t="s">
        <v>994</v>
      </c>
      <c r="X16" s="11" t="s">
        <v>994</v>
      </c>
      <c r="Y16" s="11" t="s">
        <v>994</v>
      </c>
      <c r="Z16" s="11" t="s">
        <v>994</v>
      </c>
      <c r="AA16" s="11" t="s">
        <v>994</v>
      </c>
      <c r="AB16" s="11" t="s">
        <v>994</v>
      </c>
      <c r="AC16" s="11" t="s">
        <v>994</v>
      </c>
      <c r="AD16" s="11" t="s">
        <v>1127</v>
      </c>
    </row>
    <row r="17">
      <c r="B17" s="12" t="s">
        <v>994</v>
      </c>
      <c r="C17" s="11" t="s">
        <v>1320</v>
      </c>
      <c r="D17" s="11" t="s">
        <v>331</v>
      </c>
      <c r="E17" s="12" t="s">
        <v>35</v>
      </c>
      <c r="F17" s="12" t="s">
        <v>295</v>
      </c>
      <c r="G17" s="12" t="s">
        <v>129</v>
      </c>
      <c r="H17" s="12" t="s">
        <v>126</v>
      </c>
      <c r="I17" s="12" t="s">
        <v>37</v>
      </c>
      <c r="J17" s="12" t="s">
        <v>267</v>
      </c>
      <c r="K17" s="12" t="s">
        <v>999</v>
      </c>
      <c r="L17" s="13" t="s">
        <v>994</v>
      </c>
      <c r="M17" s="11" t="s">
        <v>1108</v>
      </c>
      <c r="N17" s="11" t="s">
        <v>1128</v>
      </c>
      <c r="O17" s="11" t="s">
        <v>280</v>
      </c>
      <c r="P17" s="11" t="s">
        <v>126</v>
      </c>
      <c r="Q17" s="11" t="s">
        <v>143</v>
      </c>
      <c r="R17" s="11" t="s">
        <v>125</v>
      </c>
      <c r="S17" s="11" t="s">
        <v>125</v>
      </c>
      <c r="T17" s="11" t="s">
        <v>38</v>
      </c>
      <c r="U17" s="11" t="s">
        <v>1389</v>
      </c>
      <c r="V17" s="11" t="s">
        <v>1393</v>
      </c>
      <c r="W17" s="11" t="s">
        <v>1379</v>
      </c>
      <c r="X17" s="11" t="s">
        <v>994</v>
      </c>
      <c r="Y17" s="11" t="s">
        <v>994</v>
      </c>
      <c r="Z17" s="11" t="s">
        <v>994</v>
      </c>
      <c r="AA17" s="11" t="s">
        <v>994</v>
      </c>
      <c r="AB17" s="11" t="s">
        <v>994</v>
      </c>
      <c r="AC17" s="11" t="s">
        <v>994</v>
      </c>
      <c r="AD17" s="11" t="s">
        <v>45</v>
      </c>
    </row>
    <row r="18">
      <c r="B18" s="12" t="s">
        <v>994</v>
      </c>
      <c r="C18" s="11" t="s">
        <v>1321</v>
      </c>
      <c r="D18" s="11" t="s">
        <v>334</v>
      </c>
      <c r="E18" s="12" t="s">
        <v>35</v>
      </c>
      <c r="F18" s="12" t="s">
        <v>278</v>
      </c>
      <c r="G18" s="12" t="s">
        <v>246</v>
      </c>
      <c r="H18" s="12" t="s">
        <v>246</v>
      </c>
      <c r="I18" s="12" t="s">
        <v>37</v>
      </c>
      <c r="J18" s="12" t="s">
        <v>267</v>
      </c>
      <c r="K18" s="12" t="s">
        <v>998</v>
      </c>
      <c r="L18" s="13" t="s">
        <v>994</v>
      </c>
      <c r="M18" s="11" t="s">
        <v>335</v>
      </c>
      <c r="N18" s="11" t="s">
        <v>1129</v>
      </c>
      <c r="O18" s="11" t="s">
        <v>323</v>
      </c>
      <c r="P18" s="11" t="s">
        <v>126</v>
      </c>
      <c r="Q18" s="11" t="s">
        <v>143</v>
      </c>
      <c r="R18" s="11" t="s">
        <v>125</v>
      </c>
      <c r="S18" s="11" t="s">
        <v>125</v>
      </c>
      <c r="T18" s="11" t="s">
        <v>38</v>
      </c>
      <c r="U18" s="11" t="s">
        <v>1389</v>
      </c>
      <c r="V18" s="11" t="s">
        <v>1393</v>
      </c>
      <c r="W18" s="11" t="s">
        <v>1379</v>
      </c>
      <c r="X18" s="11" t="s">
        <v>994</v>
      </c>
      <c r="Y18" s="11" t="s">
        <v>994</v>
      </c>
      <c r="Z18" s="11" t="s">
        <v>994</v>
      </c>
      <c r="AA18" s="11" t="s">
        <v>994</v>
      </c>
      <c r="AB18" s="11" t="s">
        <v>994</v>
      </c>
      <c r="AC18" s="11" t="s">
        <v>994</v>
      </c>
      <c r="AD18" s="11" t="s">
        <v>45</v>
      </c>
    </row>
    <row r="19">
      <c r="B19" s="12" t="s">
        <v>994</v>
      </c>
      <c r="C19" s="11" t="s">
        <v>1322</v>
      </c>
      <c r="D19" s="11" t="s">
        <v>337</v>
      </c>
      <c r="E19" s="12" t="s">
        <v>35</v>
      </c>
      <c r="F19" s="12" t="s">
        <v>286</v>
      </c>
      <c r="G19" s="12" t="s">
        <v>246</v>
      </c>
      <c r="H19" s="12" t="s">
        <v>246</v>
      </c>
      <c r="I19" s="12" t="s">
        <v>37</v>
      </c>
      <c r="J19" s="12" t="s">
        <v>267</v>
      </c>
      <c r="K19" s="12" t="s">
        <v>999</v>
      </c>
      <c r="L19" s="13" t="s">
        <v>994</v>
      </c>
      <c r="M19" s="11" t="s">
        <v>338</v>
      </c>
      <c r="N19" s="11" t="s">
        <v>1130</v>
      </c>
      <c r="O19" s="11" t="s">
        <v>280</v>
      </c>
      <c r="P19" s="11" t="s">
        <v>126</v>
      </c>
      <c r="Q19" s="11" t="s">
        <v>143</v>
      </c>
      <c r="R19" s="11" t="s">
        <v>994</v>
      </c>
      <c r="S19" s="11" t="s">
        <v>126</v>
      </c>
      <c r="T19" s="11" t="s">
        <v>38</v>
      </c>
      <c r="U19" s="11" t="s">
        <v>1379</v>
      </c>
      <c r="V19" s="11" t="s">
        <v>1380</v>
      </c>
      <c r="W19" s="11" t="s">
        <v>1396</v>
      </c>
      <c r="X19" s="11" t="s">
        <v>994</v>
      </c>
      <c r="Y19" s="11" t="s">
        <v>994</v>
      </c>
      <c r="Z19" s="11" t="s">
        <v>994</v>
      </c>
      <c r="AA19" s="11" t="s">
        <v>994</v>
      </c>
      <c r="AB19" s="11" t="s">
        <v>994</v>
      </c>
      <c r="AC19" s="11" t="s">
        <v>994</v>
      </c>
      <c r="AD19" s="11" t="s">
        <v>45</v>
      </c>
    </row>
    <row r="20">
      <c r="B20" s="12" t="s">
        <v>994</v>
      </c>
      <c r="C20" s="11" t="s">
        <v>1323</v>
      </c>
      <c r="D20" s="11" t="s">
        <v>194</v>
      </c>
      <c r="E20" s="12" t="s">
        <v>35</v>
      </c>
      <c r="F20" s="12" t="s">
        <v>305</v>
      </c>
      <c r="G20" s="12" t="s">
        <v>275</v>
      </c>
      <c r="H20" s="12" t="s">
        <v>126</v>
      </c>
      <c r="I20" s="12" t="s">
        <v>37</v>
      </c>
      <c r="J20" s="12" t="s">
        <v>267</v>
      </c>
      <c r="K20" s="12" t="s">
        <v>999</v>
      </c>
      <c r="L20" s="13" t="s">
        <v>994</v>
      </c>
      <c r="M20" s="11" t="s">
        <v>195</v>
      </c>
      <c r="N20" s="11" t="s">
        <v>1192</v>
      </c>
      <c r="O20" s="11" t="s">
        <v>323</v>
      </c>
      <c r="P20" s="11" t="s">
        <v>126</v>
      </c>
      <c r="Q20" s="11" t="s">
        <v>143</v>
      </c>
      <c r="R20" s="11" t="s">
        <v>125</v>
      </c>
      <c r="S20" s="11" t="s">
        <v>125</v>
      </c>
      <c r="T20" s="11" t="s">
        <v>131</v>
      </c>
      <c r="U20" s="11" t="s">
        <v>1389</v>
      </c>
      <c r="V20" s="11" t="s">
        <v>1393</v>
      </c>
      <c r="W20" s="11" t="s">
        <v>1379</v>
      </c>
      <c r="X20" s="11" t="s">
        <v>1400</v>
      </c>
      <c r="Y20" s="11" t="s">
        <v>994</v>
      </c>
      <c r="Z20" s="11" t="s">
        <v>994</v>
      </c>
      <c r="AA20" s="11" t="s">
        <v>994</v>
      </c>
      <c r="AB20" s="11" t="s">
        <v>994</v>
      </c>
      <c r="AC20" s="11" t="s">
        <v>994</v>
      </c>
      <c r="AD20" s="11" t="s">
        <v>1239</v>
      </c>
    </row>
    <row r="21">
      <c r="B21" s="12" t="s">
        <v>994</v>
      </c>
      <c r="C21" s="11" t="s">
        <v>1324</v>
      </c>
      <c r="D21" s="11" t="s">
        <v>1217</v>
      </c>
      <c r="E21" s="12" t="s">
        <v>35</v>
      </c>
      <c r="F21" s="12" t="s">
        <v>305</v>
      </c>
      <c r="G21" s="12" t="s">
        <v>275</v>
      </c>
      <c r="H21" s="12" t="s">
        <v>126</v>
      </c>
      <c r="I21" s="12" t="s">
        <v>37</v>
      </c>
      <c r="J21" s="12" t="s">
        <v>267</v>
      </c>
      <c r="K21" s="12" t="s">
        <v>999</v>
      </c>
      <c r="L21" s="13" t="s">
        <v>994</v>
      </c>
      <c r="M21" s="11" t="s">
        <v>195</v>
      </c>
      <c r="N21" s="11" t="s">
        <v>1218</v>
      </c>
      <c r="O21" s="11" t="s">
        <v>323</v>
      </c>
      <c r="P21" s="11" t="s">
        <v>126</v>
      </c>
      <c r="Q21" s="11" t="s">
        <v>143</v>
      </c>
      <c r="R21" s="11" t="s">
        <v>125</v>
      </c>
      <c r="S21" s="11" t="s">
        <v>125</v>
      </c>
      <c r="T21" s="11" t="s">
        <v>131</v>
      </c>
      <c r="U21" s="11" t="s">
        <v>1391</v>
      </c>
      <c r="V21" s="11" t="s">
        <v>994</v>
      </c>
      <c r="W21" s="11" t="s">
        <v>994</v>
      </c>
      <c r="X21" s="11" t="s">
        <v>1400</v>
      </c>
      <c r="Y21" s="11" t="s">
        <v>994</v>
      </c>
      <c r="Z21" s="11" t="s">
        <v>994</v>
      </c>
      <c r="AA21" s="11" t="s">
        <v>994</v>
      </c>
      <c r="AB21" s="11" t="s">
        <v>994</v>
      </c>
      <c r="AC21" s="11" t="s">
        <v>994</v>
      </c>
      <c r="AD21" s="11" t="s">
        <v>1240</v>
      </c>
    </row>
    <row r="22">
      <c r="B22" s="12" t="s">
        <v>994</v>
      </c>
      <c r="C22" s="11" t="s">
        <v>1325</v>
      </c>
      <c r="D22" s="11" t="s">
        <v>185</v>
      </c>
      <c r="E22" s="12" t="s">
        <v>186</v>
      </c>
      <c r="F22" s="12" t="s">
        <v>286</v>
      </c>
      <c r="G22" s="12" t="s">
        <v>275</v>
      </c>
      <c r="H22" s="12" t="s">
        <v>126</v>
      </c>
      <c r="I22" s="12" t="s">
        <v>37</v>
      </c>
      <c r="J22" s="12" t="s">
        <v>267</v>
      </c>
      <c r="K22" s="12" t="s">
        <v>999</v>
      </c>
      <c r="L22" s="13" t="s">
        <v>994</v>
      </c>
      <c r="M22" s="11" t="s">
        <v>187</v>
      </c>
      <c r="N22" s="11" t="s">
        <v>118</v>
      </c>
      <c r="O22" s="11" t="s">
        <v>323</v>
      </c>
      <c r="P22" s="11" t="s">
        <v>126</v>
      </c>
      <c r="Q22" s="11" t="s">
        <v>143</v>
      </c>
      <c r="R22" s="11" t="s">
        <v>125</v>
      </c>
      <c r="S22" s="11" t="s">
        <v>125</v>
      </c>
      <c r="T22" s="11" t="s">
        <v>38</v>
      </c>
      <c r="U22" s="11" t="s">
        <v>1389</v>
      </c>
      <c r="V22" s="11" t="s">
        <v>1393</v>
      </c>
      <c r="W22" s="11" t="s">
        <v>994</v>
      </c>
      <c r="X22" s="11" t="s">
        <v>994</v>
      </c>
      <c r="Y22" s="11" t="s">
        <v>994</v>
      </c>
      <c r="Z22" s="11" t="s">
        <v>994</v>
      </c>
      <c r="AA22" s="11" t="s">
        <v>994</v>
      </c>
      <c r="AB22" s="11" t="s">
        <v>994</v>
      </c>
      <c r="AC22" s="11" t="s">
        <v>994</v>
      </c>
      <c r="AD22" s="11" t="s">
        <v>1127</v>
      </c>
    </row>
    <row r="23">
      <c r="B23" s="12" t="s">
        <v>994</v>
      </c>
      <c r="C23" s="11" t="s">
        <v>1326</v>
      </c>
      <c r="D23" s="11" t="s">
        <v>345</v>
      </c>
      <c r="E23" s="12" t="s">
        <v>51</v>
      </c>
      <c r="F23" s="12" t="s">
        <v>308</v>
      </c>
      <c r="G23" s="12" t="s">
        <v>247</v>
      </c>
      <c r="H23" s="12" t="s">
        <v>126</v>
      </c>
      <c r="I23" s="12" t="s">
        <v>37</v>
      </c>
      <c r="J23" s="12" t="s">
        <v>267</v>
      </c>
      <c r="K23" s="12" t="s">
        <v>998</v>
      </c>
      <c r="L23" s="13" t="s">
        <v>994</v>
      </c>
      <c r="M23" s="11" t="s">
        <v>346</v>
      </c>
      <c r="N23" s="11" t="s">
        <v>1110</v>
      </c>
      <c r="O23" s="11" t="s">
        <v>323</v>
      </c>
      <c r="P23" s="11" t="s">
        <v>126</v>
      </c>
      <c r="Q23" s="11" t="s">
        <v>143</v>
      </c>
      <c r="R23" s="11" t="s">
        <v>125</v>
      </c>
      <c r="S23" s="11" t="s">
        <v>125</v>
      </c>
      <c r="T23" s="11" t="s">
        <v>38</v>
      </c>
      <c r="U23" s="11" t="s">
        <v>1389</v>
      </c>
      <c r="V23" s="11" t="s">
        <v>1393</v>
      </c>
      <c r="W23" s="11" t="s">
        <v>1379</v>
      </c>
      <c r="X23" s="11" t="s">
        <v>994</v>
      </c>
      <c r="Y23" s="11" t="s">
        <v>994</v>
      </c>
      <c r="Z23" s="11" t="s">
        <v>994</v>
      </c>
      <c r="AA23" s="11" t="s">
        <v>994</v>
      </c>
      <c r="AB23" s="11" t="s">
        <v>994</v>
      </c>
      <c r="AC23" s="11" t="s">
        <v>994</v>
      </c>
      <c r="AD23" s="11" t="s">
        <v>1131</v>
      </c>
    </row>
    <row r="24">
      <c r="B24" s="12" t="s">
        <v>994</v>
      </c>
      <c r="C24" s="11" t="s">
        <v>1327</v>
      </c>
      <c r="D24" s="11" t="s">
        <v>189</v>
      </c>
      <c r="E24" s="12" t="s">
        <v>51</v>
      </c>
      <c r="F24" s="12" t="s">
        <v>49</v>
      </c>
      <c r="G24" s="12" t="s">
        <v>275</v>
      </c>
      <c r="H24" s="12" t="s">
        <v>126</v>
      </c>
      <c r="I24" s="12" t="s">
        <v>37</v>
      </c>
      <c r="J24" s="12" t="s">
        <v>267</v>
      </c>
      <c r="K24" s="12" t="s">
        <v>999</v>
      </c>
      <c r="L24" s="13" t="s">
        <v>994</v>
      </c>
      <c r="M24" s="11" t="s">
        <v>1109</v>
      </c>
      <c r="N24" s="11" t="s">
        <v>994</v>
      </c>
      <c r="O24" s="11" t="s">
        <v>323</v>
      </c>
      <c r="P24" s="11" t="s">
        <v>126</v>
      </c>
      <c r="Q24" s="11" t="s">
        <v>143</v>
      </c>
      <c r="R24" s="11" t="s">
        <v>125</v>
      </c>
      <c r="S24" s="11" t="s">
        <v>125</v>
      </c>
      <c r="T24" s="11" t="s">
        <v>38</v>
      </c>
      <c r="U24" s="11" t="s">
        <v>1389</v>
      </c>
      <c r="V24" s="11" t="s">
        <v>1393</v>
      </c>
      <c r="W24" s="11" t="s">
        <v>1379</v>
      </c>
      <c r="X24" s="11" t="s">
        <v>994</v>
      </c>
      <c r="Y24" s="11" t="s">
        <v>994</v>
      </c>
      <c r="Z24" s="11" t="s">
        <v>994</v>
      </c>
      <c r="AA24" s="11" t="s">
        <v>994</v>
      </c>
      <c r="AB24" s="11" t="s">
        <v>994</v>
      </c>
      <c r="AC24" s="11" t="s">
        <v>994</v>
      </c>
      <c r="AD24" s="11" t="s">
        <v>1131</v>
      </c>
    </row>
    <row r="25">
      <c r="B25" s="12" t="s">
        <v>994</v>
      </c>
      <c r="C25" s="11" t="s">
        <v>1328</v>
      </c>
      <c r="D25" s="11" t="s">
        <v>347</v>
      </c>
      <c r="E25" s="12" t="s">
        <v>348</v>
      </c>
      <c r="F25" s="12" t="s">
        <v>311</v>
      </c>
      <c r="G25" s="12" t="s">
        <v>129</v>
      </c>
      <c r="H25" s="12" t="s">
        <v>126</v>
      </c>
      <c r="I25" s="12" t="s">
        <v>37</v>
      </c>
      <c r="J25" s="12" t="s">
        <v>267</v>
      </c>
      <c r="K25" s="12" t="s">
        <v>999</v>
      </c>
      <c r="L25" s="13" t="s">
        <v>125</v>
      </c>
      <c r="M25" s="11" t="s">
        <v>1241</v>
      </c>
      <c r="N25" s="11" t="s">
        <v>118</v>
      </c>
      <c r="O25" s="11" t="s">
        <v>349</v>
      </c>
      <c r="P25" s="11" t="s">
        <v>126</v>
      </c>
      <c r="Q25" s="11" t="s">
        <v>143</v>
      </c>
      <c r="R25" s="11" t="s">
        <v>125</v>
      </c>
      <c r="S25" s="11" t="s">
        <v>125</v>
      </c>
      <c r="T25" s="11" t="s">
        <v>131</v>
      </c>
      <c r="U25" s="11" t="s">
        <v>1389</v>
      </c>
      <c r="V25" s="11" t="s">
        <v>1393</v>
      </c>
      <c r="W25" s="11" t="s">
        <v>994</v>
      </c>
      <c r="X25" s="11" t="s">
        <v>1400</v>
      </c>
      <c r="Y25" s="11" t="s">
        <v>994</v>
      </c>
      <c r="Z25" s="11" t="s">
        <v>994</v>
      </c>
      <c r="AA25" s="11" t="s">
        <v>994</v>
      </c>
      <c r="AB25" s="11" t="s">
        <v>121</v>
      </c>
      <c r="AC25" s="11" t="s">
        <v>994</v>
      </c>
      <c r="AD25" s="11" t="s">
        <v>1238</v>
      </c>
    </row>
    <row r="26">
      <c r="B26" s="12" t="s">
        <v>994</v>
      </c>
      <c r="C26" s="11" t="s">
        <v>1329</v>
      </c>
      <c r="D26" s="11" t="s">
        <v>204</v>
      </c>
      <c r="E26" s="12" t="s">
        <v>205</v>
      </c>
      <c r="F26" s="12" t="s">
        <v>295</v>
      </c>
      <c r="G26" s="12" t="s">
        <v>275</v>
      </c>
      <c r="H26" s="12" t="s">
        <v>126</v>
      </c>
      <c r="I26" s="12" t="s">
        <v>37</v>
      </c>
      <c r="J26" s="12" t="s">
        <v>267</v>
      </c>
      <c r="K26" s="12" t="s">
        <v>999</v>
      </c>
      <c r="L26" s="13" t="s">
        <v>994</v>
      </c>
      <c r="M26" s="11" t="s">
        <v>206</v>
      </c>
      <c r="N26" s="11" t="s">
        <v>118</v>
      </c>
      <c r="O26" s="11" t="s">
        <v>323</v>
      </c>
      <c r="P26" s="11" t="s">
        <v>126</v>
      </c>
      <c r="Q26" s="11" t="s">
        <v>143</v>
      </c>
      <c r="R26" s="11" t="s">
        <v>125</v>
      </c>
      <c r="S26" s="11" t="s">
        <v>125</v>
      </c>
      <c r="T26" s="11" t="s">
        <v>38</v>
      </c>
      <c r="U26" s="11" t="s">
        <v>1389</v>
      </c>
      <c r="V26" s="11" t="s">
        <v>1393</v>
      </c>
      <c r="W26" s="11" t="s">
        <v>994</v>
      </c>
      <c r="X26" s="11" t="s">
        <v>994</v>
      </c>
      <c r="Y26" s="11" t="s">
        <v>994</v>
      </c>
      <c r="Z26" s="11" t="s">
        <v>994</v>
      </c>
      <c r="AA26" s="11" t="s">
        <v>994</v>
      </c>
      <c r="AB26" s="11" t="s">
        <v>994</v>
      </c>
      <c r="AC26" s="11" t="s">
        <v>994</v>
      </c>
      <c r="AD26" s="11" t="s">
        <v>1127</v>
      </c>
    </row>
    <row r="27">
      <c r="B27" s="12" t="s">
        <v>994</v>
      </c>
      <c r="C27" s="11" t="s">
        <v>1330</v>
      </c>
      <c r="D27" s="11" t="s">
        <v>392</v>
      </c>
      <c r="E27" s="12" t="s">
        <v>393</v>
      </c>
      <c r="F27" s="12" t="s">
        <v>49</v>
      </c>
      <c r="G27" s="12" t="s">
        <v>246</v>
      </c>
      <c r="H27" s="12" t="s">
        <v>246</v>
      </c>
      <c r="I27" s="12" t="s">
        <v>37</v>
      </c>
      <c r="J27" s="12" t="s">
        <v>267</v>
      </c>
      <c r="K27" s="12" t="s">
        <v>998</v>
      </c>
      <c r="L27" s="13" t="s">
        <v>994</v>
      </c>
      <c r="M27" s="11" t="s">
        <v>394</v>
      </c>
      <c r="N27" s="11" t="s">
        <v>1132</v>
      </c>
      <c r="O27" s="11" t="s">
        <v>323</v>
      </c>
      <c r="P27" s="11" t="s">
        <v>126</v>
      </c>
      <c r="Q27" s="11" t="s">
        <v>143</v>
      </c>
      <c r="R27" s="11" t="s">
        <v>125</v>
      </c>
      <c r="S27" s="11" t="s">
        <v>125</v>
      </c>
      <c r="T27" s="11" t="s">
        <v>38</v>
      </c>
      <c r="U27" s="11" t="s">
        <v>1389</v>
      </c>
      <c r="V27" s="11" t="s">
        <v>1393</v>
      </c>
      <c r="W27" s="11" t="s">
        <v>994</v>
      </c>
      <c r="X27" s="11" t="s">
        <v>994</v>
      </c>
      <c r="Y27" s="11" t="s">
        <v>994</v>
      </c>
      <c r="Z27" s="11" t="s">
        <v>994</v>
      </c>
      <c r="AA27" s="11" t="s">
        <v>994</v>
      </c>
      <c r="AB27" s="11" t="s">
        <v>994</v>
      </c>
      <c r="AC27" s="11" t="s">
        <v>994</v>
      </c>
      <c r="AD27" s="11" t="s">
        <v>1127</v>
      </c>
    </row>
    <row r="28">
      <c r="B28" s="12" t="s">
        <v>994</v>
      </c>
      <c r="C28" s="11" t="s">
        <v>1331</v>
      </c>
      <c r="D28" s="11" t="s">
        <v>399</v>
      </c>
      <c r="E28" s="12" t="s">
        <v>400</v>
      </c>
      <c r="F28" s="12" t="s">
        <v>49</v>
      </c>
      <c r="G28" s="12" t="s">
        <v>246</v>
      </c>
      <c r="H28" s="12" t="s">
        <v>246</v>
      </c>
      <c r="I28" s="12" t="s">
        <v>37</v>
      </c>
      <c r="J28" s="12" t="s">
        <v>267</v>
      </c>
      <c r="K28" s="12" t="s">
        <v>999</v>
      </c>
      <c r="L28" s="13" t="s">
        <v>994</v>
      </c>
      <c r="M28" s="11" t="s">
        <v>401</v>
      </c>
      <c r="N28" s="11" t="s">
        <v>118</v>
      </c>
      <c r="O28" s="11" t="s">
        <v>323</v>
      </c>
      <c r="P28" s="11" t="s">
        <v>126</v>
      </c>
      <c r="Q28" s="11" t="s">
        <v>143</v>
      </c>
      <c r="R28" s="11" t="s">
        <v>125</v>
      </c>
      <c r="S28" s="11" t="s">
        <v>125</v>
      </c>
      <c r="T28" s="11" t="s">
        <v>38</v>
      </c>
      <c r="U28" s="11" t="s">
        <v>1389</v>
      </c>
      <c r="V28" s="11" t="s">
        <v>1393</v>
      </c>
      <c r="W28" s="11" t="s">
        <v>994</v>
      </c>
      <c r="X28" s="11" t="s">
        <v>994</v>
      </c>
      <c r="Y28" s="11" t="s">
        <v>994</v>
      </c>
      <c r="Z28" s="11" t="s">
        <v>994</v>
      </c>
      <c r="AA28" s="11" t="s">
        <v>994</v>
      </c>
      <c r="AB28" s="11" t="s">
        <v>994</v>
      </c>
      <c r="AC28" s="11" t="s">
        <v>994</v>
      </c>
      <c r="AD28" s="11" t="s">
        <v>1127</v>
      </c>
    </row>
    <row r="29">
      <c r="B29" s="12" t="s">
        <v>994</v>
      </c>
      <c r="C29" s="11" t="s">
        <v>1332</v>
      </c>
      <c r="D29" s="11" t="s">
        <v>212</v>
      </c>
      <c r="E29" s="12" t="s">
        <v>213</v>
      </c>
      <c r="F29" s="12" t="s">
        <v>332</v>
      </c>
      <c r="G29" s="12" t="s">
        <v>275</v>
      </c>
      <c r="H29" s="12" t="s">
        <v>126</v>
      </c>
      <c r="I29" s="12" t="s">
        <v>37</v>
      </c>
      <c r="J29" s="12" t="s">
        <v>267</v>
      </c>
      <c r="K29" s="12" t="s">
        <v>998</v>
      </c>
      <c r="L29" s="13" t="s">
        <v>994</v>
      </c>
      <c r="M29" s="11" t="s">
        <v>214</v>
      </c>
      <c r="N29" s="11" t="s">
        <v>118</v>
      </c>
      <c r="O29" s="11" t="s">
        <v>323</v>
      </c>
      <c r="P29" s="11" t="s">
        <v>126</v>
      </c>
      <c r="Q29" s="11" t="s">
        <v>143</v>
      </c>
      <c r="R29" s="11" t="s">
        <v>125</v>
      </c>
      <c r="S29" s="11" t="s">
        <v>125</v>
      </c>
      <c r="T29" s="11" t="s">
        <v>38</v>
      </c>
      <c r="U29" s="11" t="s">
        <v>1389</v>
      </c>
      <c r="V29" s="11" t="s">
        <v>1393</v>
      </c>
      <c r="W29" s="11" t="s">
        <v>994</v>
      </c>
      <c r="X29" s="11" t="s">
        <v>994</v>
      </c>
      <c r="Y29" s="11" t="s">
        <v>994</v>
      </c>
      <c r="Z29" s="11" t="s">
        <v>994</v>
      </c>
      <c r="AA29" s="11" t="s">
        <v>994</v>
      </c>
      <c r="AB29" s="11" t="s">
        <v>994</v>
      </c>
      <c r="AC29" s="11" t="s">
        <v>994</v>
      </c>
      <c r="AD29" s="11" t="s">
        <v>1127</v>
      </c>
    </row>
    <row r="30">
      <c r="B30" s="12" t="s">
        <v>994</v>
      </c>
      <c r="C30" s="11" t="s">
        <v>1333</v>
      </c>
      <c r="D30" s="11" t="s">
        <v>412</v>
      </c>
      <c r="E30" s="12" t="s">
        <v>216</v>
      </c>
      <c r="F30" s="12" t="s">
        <v>377</v>
      </c>
      <c r="G30" s="12" t="s">
        <v>246</v>
      </c>
      <c r="H30" s="12" t="s">
        <v>246</v>
      </c>
      <c r="I30" s="12" t="s">
        <v>37</v>
      </c>
      <c r="J30" s="12" t="s">
        <v>267</v>
      </c>
      <c r="K30" s="12" t="s">
        <v>999</v>
      </c>
      <c r="L30" s="13" t="s">
        <v>125</v>
      </c>
      <c r="M30" s="11" t="s">
        <v>217</v>
      </c>
      <c r="N30" s="11" t="s">
        <v>118</v>
      </c>
      <c r="O30" s="11" t="s">
        <v>323</v>
      </c>
      <c r="P30" s="11" t="s">
        <v>126</v>
      </c>
      <c r="Q30" s="11" t="s">
        <v>143</v>
      </c>
      <c r="R30" s="11" t="s">
        <v>125</v>
      </c>
      <c r="S30" s="11" t="s">
        <v>125</v>
      </c>
      <c r="T30" s="11" t="s">
        <v>131</v>
      </c>
      <c r="U30" s="11" t="s">
        <v>1389</v>
      </c>
      <c r="V30" s="11" t="s">
        <v>994</v>
      </c>
      <c r="W30" s="11" t="s">
        <v>994</v>
      </c>
      <c r="X30" s="11" t="s">
        <v>1400</v>
      </c>
      <c r="Y30" s="11" t="s">
        <v>994</v>
      </c>
      <c r="Z30" s="11" t="s">
        <v>994</v>
      </c>
      <c r="AA30" s="11" t="s">
        <v>994</v>
      </c>
      <c r="AB30" s="11" t="s">
        <v>121</v>
      </c>
      <c r="AC30" s="11" t="s">
        <v>994</v>
      </c>
      <c r="AD30" s="11" t="s">
        <v>1111</v>
      </c>
    </row>
    <row r="31">
      <c r="B31" s="12" t="s">
        <v>994</v>
      </c>
      <c r="C31" s="11" t="s">
        <v>1334</v>
      </c>
      <c r="D31" s="11" t="s">
        <v>72</v>
      </c>
      <c r="E31" s="12" t="s">
        <v>429</v>
      </c>
      <c r="F31" s="12" t="s">
        <v>308</v>
      </c>
      <c r="G31" s="12" t="s">
        <v>129</v>
      </c>
      <c r="H31" s="12" t="s">
        <v>126</v>
      </c>
      <c r="I31" s="12" t="s">
        <v>430</v>
      </c>
      <c r="J31" s="12" t="s">
        <v>267</v>
      </c>
      <c r="K31" s="12" t="s">
        <v>998</v>
      </c>
      <c r="L31" s="13" t="s">
        <v>125</v>
      </c>
      <c r="M31" s="11" t="s">
        <v>528</v>
      </c>
      <c r="N31" s="11" t="s">
        <v>432</v>
      </c>
      <c r="O31" s="11" t="s">
        <v>433</v>
      </c>
      <c r="P31" s="11" t="s">
        <v>125</v>
      </c>
      <c r="Q31" s="11" t="s">
        <v>150</v>
      </c>
      <c r="R31" s="11" t="s">
        <v>125</v>
      </c>
      <c r="S31" s="11" t="s">
        <v>125</v>
      </c>
      <c r="T31" s="11" t="s">
        <v>131</v>
      </c>
      <c r="U31" s="11" t="s">
        <v>1388</v>
      </c>
      <c r="V31" s="11" t="s">
        <v>1393</v>
      </c>
      <c r="W31" s="11" t="s">
        <v>994</v>
      </c>
      <c r="X31" s="11" t="s">
        <v>1391</v>
      </c>
      <c r="Y31" s="11" t="s">
        <v>994</v>
      </c>
      <c r="Z31" s="11" t="s">
        <v>994</v>
      </c>
      <c r="AA31" s="11" t="s">
        <v>994</v>
      </c>
      <c r="AB31" s="11" t="s">
        <v>121</v>
      </c>
      <c r="AC31" s="11" t="s">
        <v>994</v>
      </c>
      <c r="AD31" s="11" t="s">
        <v>1124</v>
      </c>
    </row>
    <row r="32">
      <c r="B32" s="12" t="s">
        <v>994</v>
      </c>
      <c r="C32" s="11" t="s">
        <v>1335</v>
      </c>
      <c r="D32" s="11" t="s">
        <v>1133</v>
      </c>
      <c r="E32" s="12" t="s">
        <v>429</v>
      </c>
      <c r="F32" s="12" t="s">
        <v>308</v>
      </c>
      <c r="G32" s="12" t="s">
        <v>246</v>
      </c>
      <c r="H32" s="12" t="s">
        <v>246</v>
      </c>
      <c r="I32" s="12" t="s">
        <v>430</v>
      </c>
      <c r="J32" s="12" t="s">
        <v>267</v>
      </c>
      <c r="K32" s="12" t="s">
        <v>999</v>
      </c>
      <c r="L32" s="13" t="s">
        <v>994</v>
      </c>
      <c r="M32" s="11" t="s">
        <v>1134</v>
      </c>
      <c r="N32" s="11" t="s">
        <v>994</v>
      </c>
      <c r="O32" s="11" t="s">
        <v>994</v>
      </c>
      <c r="P32" s="11" t="s">
        <v>994</v>
      </c>
      <c r="Q32" s="11" t="s">
        <v>994</v>
      </c>
      <c r="R32" s="11" t="s">
        <v>994</v>
      </c>
      <c r="S32" s="11" t="s">
        <v>125</v>
      </c>
      <c r="T32" s="11" t="s">
        <v>131</v>
      </c>
      <c r="U32" s="11" t="s">
        <v>1392</v>
      </c>
      <c r="V32" s="11" t="s">
        <v>1379</v>
      </c>
      <c r="W32" s="11" t="s">
        <v>994</v>
      </c>
      <c r="X32" s="11" t="s">
        <v>1400</v>
      </c>
      <c r="Y32" s="11" t="s">
        <v>994</v>
      </c>
      <c r="Z32" s="11" t="s">
        <v>994</v>
      </c>
      <c r="AA32" s="11" t="s">
        <v>994</v>
      </c>
      <c r="AB32" s="11" t="s">
        <v>994</v>
      </c>
      <c r="AC32" s="11" t="s">
        <v>994</v>
      </c>
      <c r="AD32" s="11" t="s">
        <v>1272</v>
      </c>
    </row>
    <row r="33">
      <c r="B33" s="12" t="s">
        <v>994</v>
      </c>
      <c r="C33" s="11" t="s">
        <v>1336</v>
      </c>
      <c r="D33" s="11" t="s">
        <v>94</v>
      </c>
      <c r="E33" s="12" t="s">
        <v>95</v>
      </c>
      <c r="F33" s="12" t="s">
        <v>291</v>
      </c>
      <c r="G33" s="12" t="s">
        <v>129</v>
      </c>
      <c r="H33" s="12" t="s">
        <v>126</v>
      </c>
      <c r="I33" s="12" t="s">
        <v>430</v>
      </c>
      <c r="J33" s="12" t="s">
        <v>267</v>
      </c>
      <c r="K33" s="12" t="s">
        <v>999</v>
      </c>
      <c r="L33" s="13" t="s">
        <v>994</v>
      </c>
      <c r="M33" s="11" t="s">
        <v>1382</v>
      </c>
      <c r="N33" s="11" t="s">
        <v>529</v>
      </c>
      <c r="O33" s="11" t="s">
        <v>433</v>
      </c>
      <c r="P33" s="11" t="s">
        <v>125</v>
      </c>
      <c r="Q33" s="11" t="s">
        <v>150</v>
      </c>
      <c r="R33" s="11" t="s">
        <v>125</v>
      </c>
      <c r="S33" s="11" t="s">
        <v>125</v>
      </c>
      <c r="T33" s="11" t="s">
        <v>132</v>
      </c>
      <c r="U33" s="11" t="s">
        <v>1388</v>
      </c>
      <c r="V33" s="11" t="s">
        <v>994</v>
      </c>
      <c r="W33" s="11" t="s">
        <v>994</v>
      </c>
      <c r="X33" s="11" t="s">
        <v>994</v>
      </c>
      <c r="Y33" s="11" t="s">
        <v>994</v>
      </c>
      <c r="Z33" s="11" t="s">
        <v>994</v>
      </c>
      <c r="AA33" s="11" t="s">
        <v>994</v>
      </c>
      <c r="AB33" s="11" t="s">
        <v>994</v>
      </c>
      <c r="AC33" s="11" t="s">
        <v>994</v>
      </c>
      <c r="AD33" s="11" t="s">
        <v>1273</v>
      </c>
    </row>
    <row r="34">
      <c r="B34" s="12" t="s">
        <v>994</v>
      </c>
      <c r="C34" s="11" t="s">
        <v>1337</v>
      </c>
      <c r="D34" s="11" t="s">
        <v>197</v>
      </c>
      <c r="E34" s="12" t="s">
        <v>661</v>
      </c>
      <c r="F34" s="12" t="s">
        <v>283</v>
      </c>
      <c r="G34" s="12" t="s">
        <v>275</v>
      </c>
      <c r="H34" s="12" t="s">
        <v>126</v>
      </c>
      <c r="I34" s="12" t="s">
        <v>60</v>
      </c>
      <c r="J34" s="12" t="s">
        <v>267</v>
      </c>
      <c r="K34" s="12" t="s">
        <v>998</v>
      </c>
      <c r="L34" s="13" t="s">
        <v>994</v>
      </c>
      <c r="M34" s="11" t="s">
        <v>666</v>
      </c>
      <c r="N34" s="11" t="s">
        <v>118</v>
      </c>
      <c r="O34" s="11" t="s">
        <v>249</v>
      </c>
      <c r="P34" s="11" t="s">
        <v>125</v>
      </c>
      <c r="Q34" s="11" t="s">
        <v>150</v>
      </c>
      <c r="R34" s="11" t="s">
        <v>125</v>
      </c>
      <c r="S34" s="11" t="s">
        <v>125</v>
      </c>
      <c r="T34" s="11" t="s">
        <v>38</v>
      </c>
      <c r="U34" s="11" t="s">
        <v>1388</v>
      </c>
      <c r="V34" s="11" t="s">
        <v>1393</v>
      </c>
      <c r="W34" s="11" t="s">
        <v>994</v>
      </c>
      <c r="X34" s="11" t="s">
        <v>994</v>
      </c>
      <c r="Y34" s="11" t="s">
        <v>994</v>
      </c>
      <c r="Z34" s="11" t="s">
        <v>994</v>
      </c>
      <c r="AA34" s="11" t="s">
        <v>994</v>
      </c>
      <c r="AB34" s="11" t="s">
        <v>994</v>
      </c>
      <c r="AC34" s="11" t="s">
        <v>994</v>
      </c>
      <c r="AD34" s="11" t="s">
        <v>1125</v>
      </c>
    </row>
    <row r="35">
      <c r="B35" s="12" t="s">
        <v>994</v>
      </c>
      <c r="C35" s="11" t="s">
        <v>1338</v>
      </c>
      <c r="D35" s="11" t="s">
        <v>671</v>
      </c>
      <c r="E35" s="12" t="s">
        <v>661</v>
      </c>
      <c r="F35" s="12" t="s">
        <v>278</v>
      </c>
      <c r="G35" s="12" t="s">
        <v>246</v>
      </c>
      <c r="H35" s="12" t="s">
        <v>246</v>
      </c>
      <c r="I35" s="12" t="s">
        <v>60</v>
      </c>
      <c r="J35" s="12" t="s">
        <v>267</v>
      </c>
      <c r="K35" s="12" t="s">
        <v>999</v>
      </c>
      <c r="L35" s="13" t="s">
        <v>994</v>
      </c>
      <c r="M35" s="11" t="s">
        <v>672</v>
      </c>
      <c r="N35" s="11" t="s">
        <v>118</v>
      </c>
      <c r="O35" s="11" t="s">
        <v>249</v>
      </c>
      <c r="P35" s="11" t="s">
        <v>125</v>
      </c>
      <c r="Q35" s="11" t="s">
        <v>150</v>
      </c>
      <c r="R35" s="11" t="s">
        <v>994</v>
      </c>
      <c r="S35" s="11" t="s">
        <v>126</v>
      </c>
      <c r="T35" s="11" t="s">
        <v>38</v>
      </c>
      <c r="U35" s="11" t="s">
        <v>1393</v>
      </c>
      <c r="V35" s="11" t="s">
        <v>1379</v>
      </c>
      <c r="W35" s="11" t="s">
        <v>994</v>
      </c>
      <c r="X35" s="11" t="s">
        <v>994</v>
      </c>
      <c r="Y35" s="11" t="s">
        <v>994</v>
      </c>
      <c r="Z35" s="11" t="s">
        <v>994</v>
      </c>
      <c r="AA35" s="11" t="s">
        <v>994</v>
      </c>
      <c r="AB35" s="11" t="s">
        <v>994</v>
      </c>
      <c r="AC35" s="11" t="s">
        <v>994</v>
      </c>
      <c r="AD35" s="11" t="s">
        <v>1135</v>
      </c>
    </row>
    <row r="36">
      <c r="B36" s="12" t="s">
        <v>994</v>
      </c>
      <c r="C36" s="11" t="s">
        <v>1339</v>
      </c>
      <c r="D36" s="11" t="s">
        <v>678</v>
      </c>
      <c r="E36" s="12" t="s">
        <v>661</v>
      </c>
      <c r="F36" s="12" t="s">
        <v>311</v>
      </c>
      <c r="G36" s="12" t="s">
        <v>246</v>
      </c>
      <c r="H36" s="12" t="s">
        <v>246</v>
      </c>
      <c r="I36" s="12" t="s">
        <v>60</v>
      </c>
      <c r="J36" s="12" t="s">
        <v>267</v>
      </c>
      <c r="K36" s="12" t="s">
        <v>998</v>
      </c>
      <c r="L36" s="13" t="s">
        <v>994</v>
      </c>
      <c r="M36" s="11" t="s">
        <v>679</v>
      </c>
      <c r="N36" s="11" t="s">
        <v>118</v>
      </c>
      <c r="O36" s="11" t="s">
        <v>249</v>
      </c>
      <c r="P36" s="11" t="s">
        <v>125</v>
      </c>
      <c r="Q36" s="11" t="s">
        <v>150</v>
      </c>
      <c r="R36" s="11" t="s">
        <v>994</v>
      </c>
      <c r="S36" s="11" t="s">
        <v>126</v>
      </c>
      <c r="T36" s="11" t="s">
        <v>38</v>
      </c>
      <c r="U36" s="11" t="s">
        <v>1393</v>
      </c>
      <c r="V36" s="11" t="s">
        <v>1379</v>
      </c>
      <c r="W36" s="11" t="s">
        <v>994</v>
      </c>
      <c r="X36" s="11" t="s">
        <v>994</v>
      </c>
      <c r="Y36" s="11" t="s">
        <v>994</v>
      </c>
      <c r="Z36" s="11" t="s">
        <v>994</v>
      </c>
      <c r="AA36" s="11" t="s">
        <v>994</v>
      </c>
      <c r="AB36" s="11" t="s">
        <v>994</v>
      </c>
      <c r="AC36" s="11" t="s">
        <v>994</v>
      </c>
      <c r="AD36" s="11" t="s">
        <v>1135</v>
      </c>
    </row>
    <row r="37">
      <c r="B37" s="12" t="s">
        <v>994</v>
      </c>
      <c r="C37" s="11" t="s">
        <v>1340</v>
      </c>
      <c r="D37" s="11" t="s">
        <v>680</v>
      </c>
      <c r="E37" s="12" t="s">
        <v>661</v>
      </c>
      <c r="F37" s="12" t="s">
        <v>311</v>
      </c>
      <c r="G37" s="12" t="s">
        <v>246</v>
      </c>
      <c r="H37" s="12" t="s">
        <v>246</v>
      </c>
      <c r="I37" s="12" t="s">
        <v>60</v>
      </c>
      <c r="J37" s="12" t="s">
        <v>267</v>
      </c>
      <c r="K37" s="12" t="s">
        <v>999</v>
      </c>
      <c r="L37" s="13" t="s">
        <v>994</v>
      </c>
      <c r="M37" s="11" t="s">
        <v>681</v>
      </c>
      <c r="N37" s="11" t="s">
        <v>118</v>
      </c>
      <c r="O37" s="11" t="s">
        <v>249</v>
      </c>
      <c r="P37" s="11" t="s">
        <v>125</v>
      </c>
      <c r="Q37" s="11" t="s">
        <v>150</v>
      </c>
      <c r="R37" s="11" t="s">
        <v>994</v>
      </c>
      <c r="S37" s="11" t="s">
        <v>125</v>
      </c>
      <c r="T37" s="11" t="s">
        <v>38</v>
      </c>
      <c r="U37" s="11" t="s">
        <v>1393</v>
      </c>
      <c r="V37" s="11" t="s">
        <v>994</v>
      </c>
      <c r="W37" s="11" t="s">
        <v>994</v>
      </c>
      <c r="X37" s="11" t="s">
        <v>994</v>
      </c>
      <c r="Y37" s="11" t="s">
        <v>994</v>
      </c>
      <c r="Z37" s="11" t="s">
        <v>994</v>
      </c>
      <c r="AA37" s="11" t="s">
        <v>994</v>
      </c>
      <c r="AB37" s="11" t="s">
        <v>994</v>
      </c>
      <c r="AC37" s="11" t="s">
        <v>994</v>
      </c>
      <c r="AD37" s="11" t="s">
        <v>1136</v>
      </c>
    </row>
    <row r="38">
      <c r="B38" s="12" t="s">
        <v>994</v>
      </c>
      <c r="C38" s="11" t="s">
        <v>1341</v>
      </c>
      <c r="D38" s="11" t="s">
        <v>1137</v>
      </c>
      <c r="E38" s="12" t="s">
        <v>661</v>
      </c>
      <c r="F38" s="12" t="s">
        <v>283</v>
      </c>
      <c r="G38" s="12" t="s">
        <v>246</v>
      </c>
      <c r="H38" s="12" t="s">
        <v>246</v>
      </c>
      <c r="I38" s="12" t="s">
        <v>60</v>
      </c>
      <c r="J38" s="12" t="s">
        <v>267</v>
      </c>
      <c r="K38" s="12" t="s">
        <v>994</v>
      </c>
      <c r="L38" s="13" t="s">
        <v>994</v>
      </c>
      <c r="M38" s="11" t="s">
        <v>994</v>
      </c>
      <c r="N38" s="11" t="s">
        <v>1138</v>
      </c>
      <c r="O38" s="11" t="s">
        <v>994</v>
      </c>
      <c r="P38" s="11" t="s">
        <v>994</v>
      </c>
      <c r="Q38" s="11" t="s">
        <v>994</v>
      </c>
      <c r="R38" s="11" t="s">
        <v>994</v>
      </c>
      <c r="S38" s="11" t="s">
        <v>125</v>
      </c>
      <c r="T38" s="11" t="s">
        <v>29</v>
      </c>
      <c r="U38" s="11" t="s">
        <v>1393</v>
      </c>
      <c r="V38" s="11" t="s">
        <v>1379</v>
      </c>
      <c r="W38" s="11" t="s">
        <v>994</v>
      </c>
      <c r="X38" s="11" t="s">
        <v>994</v>
      </c>
      <c r="Y38" s="11" t="s">
        <v>994</v>
      </c>
      <c r="Z38" s="11" t="s">
        <v>994</v>
      </c>
      <c r="AA38" s="11" t="s">
        <v>994</v>
      </c>
      <c r="AB38" s="11" t="s">
        <v>994</v>
      </c>
      <c r="AC38" s="11" t="s">
        <v>994</v>
      </c>
      <c r="AD38" s="11" t="s">
        <v>1139</v>
      </c>
    </row>
    <row r="39">
      <c r="B39" s="12" t="s">
        <v>994</v>
      </c>
      <c r="C39" s="11" t="s">
        <v>1342</v>
      </c>
      <c r="D39" s="11" t="s">
        <v>704</v>
      </c>
      <c r="E39" s="12" t="s">
        <v>661</v>
      </c>
      <c r="F39" s="12" t="s">
        <v>286</v>
      </c>
      <c r="G39" s="12" t="s">
        <v>246</v>
      </c>
      <c r="H39" s="12" t="s">
        <v>246</v>
      </c>
      <c r="I39" s="12" t="s">
        <v>60</v>
      </c>
      <c r="J39" s="12" t="s">
        <v>267</v>
      </c>
      <c r="K39" s="12" t="s">
        <v>998</v>
      </c>
      <c r="L39" s="13" t="s">
        <v>994</v>
      </c>
      <c r="M39" s="11" t="s">
        <v>705</v>
      </c>
      <c r="N39" s="11" t="s">
        <v>118</v>
      </c>
      <c r="O39" s="11" t="s">
        <v>249</v>
      </c>
      <c r="P39" s="11" t="s">
        <v>125</v>
      </c>
      <c r="Q39" s="11" t="s">
        <v>150</v>
      </c>
      <c r="R39" s="11" t="s">
        <v>125</v>
      </c>
      <c r="S39" s="11" t="s">
        <v>125</v>
      </c>
      <c r="T39" s="11" t="s">
        <v>38</v>
      </c>
      <c r="U39" s="11" t="s">
        <v>1388</v>
      </c>
      <c r="V39" s="11" t="s">
        <v>1393</v>
      </c>
      <c r="W39" s="11" t="s">
        <v>994</v>
      </c>
      <c r="X39" s="11" t="s">
        <v>994</v>
      </c>
      <c r="Y39" s="11" t="s">
        <v>994</v>
      </c>
      <c r="Z39" s="11" t="s">
        <v>994</v>
      </c>
      <c r="AA39" s="11" t="s">
        <v>994</v>
      </c>
      <c r="AB39" s="11" t="s">
        <v>994</v>
      </c>
      <c r="AC39" s="11" t="s">
        <v>994</v>
      </c>
      <c r="AD39" s="11" t="s">
        <v>1125</v>
      </c>
    </row>
    <row r="40">
      <c r="B40" s="12" t="s">
        <v>994</v>
      </c>
      <c r="C40" s="11" t="s">
        <v>1343</v>
      </c>
      <c r="D40" s="11" t="s">
        <v>224</v>
      </c>
      <c r="E40" s="12" t="s">
        <v>221</v>
      </c>
      <c r="F40" s="12" t="s">
        <v>286</v>
      </c>
      <c r="G40" s="12" t="s">
        <v>275</v>
      </c>
      <c r="H40" s="12" t="s">
        <v>126</v>
      </c>
      <c r="I40" s="12" t="s">
        <v>60</v>
      </c>
      <c r="J40" s="12" t="s">
        <v>267</v>
      </c>
      <c r="K40" s="12" t="s">
        <v>999</v>
      </c>
      <c r="L40" s="13" t="s">
        <v>125</v>
      </c>
      <c r="M40" s="11" t="s">
        <v>1242</v>
      </c>
      <c r="N40" s="11" t="s">
        <v>118</v>
      </c>
      <c r="O40" s="11" t="s">
        <v>310</v>
      </c>
      <c r="P40" s="11" t="s">
        <v>125</v>
      </c>
      <c r="Q40" s="11" t="s">
        <v>150</v>
      </c>
      <c r="R40" s="11" t="s">
        <v>125</v>
      </c>
      <c r="S40" s="11" t="s">
        <v>125</v>
      </c>
      <c r="T40" s="11" t="s">
        <v>131</v>
      </c>
      <c r="U40" s="11" t="s">
        <v>1388</v>
      </c>
      <c r="V40" s="11" t="s">
        <v>1393</v>
      </c>
      <c r="W40" s="11" t="s">
        <v>994</v>
      </c>
      <c r="X40" s="11" t="s">
        <v>1400</v>
      </c>
      <c r="Y40" s="11" t="s">
        <v>994</v>
      </c>
      <c r="Z40" s="11" t="s">
        <v>994</v>
      </c>
      <c r="AA40" s="11" t="s">
        <v>994</v>
      </c>
      <c r="AB40" s="11" t="s">
        <v>121</v>
      </c>
      <c r="AC40" s="11" t="s">
        <v>994</v>
      </c>
      <c r="AD40" s="11" t="s">
        <v>1274</v>
      </c>
    </row>
    <row r="41">
      <c r="B41" s="12" t="s">
        <v>994</v>
      </c>
      <c r="C41" s="11" t="s">
        <v>1344</v>
      </c>
      <c r="D41" s="11" t="s">
        <v>1265</v>
      </c>
      <c r="E41" s="12" t="s">
        <v>221</v>
      </c>
      <c r="F41" s="12" t="s">
        <v>314</v>
      </c>
      <c r="G41" s="12" t="s">
        <v>994</v>
      </c>
      <c r="H41" s="12" t="s">
        <v>994</v>
      </c>
      <c r="I41" s="12" t="s">
        <v>60</v>
      </c>
      <c r="J41" s="12" t="s">
        <v>994</v>
      </c>
      <c r="K41" s="12" t="s">
        <v>999</v>
      </c>
      <c r="L41" s="13" t="s">
        <v>125</v>
      </c>
      <c r="M41" s="11" t="s">
        <v>1268</v>
      </c>
      <c r="N41" s="11" t="s">
        <v>994</v>
      </c>
      <c r="O41" s="11" t="s">
        <v>994</v>
      </c>
      <c r="P41" s="11" t="s">
        <v>994</v>
      </c>
      <c r="Q41" s="11" t="s">
        <v>994</v>
      </c>
      <c r="R41" s="11" t="s">
        <v>994</v>
      </c>
      <c r="S41" s="11" t="s">
        <v>125</v>
      </c>
      <c r="T41" s="11" t="s">
        <v>131</v>
      </c>
      <c r="U41" s="11" t="s">
        <v>994</v>
      </c>
      <c r="V41" s="11" t="s">
        <v>994</v>
      </c>
      <c r="W41" s="11" t="s">
        <v>994</v>
      </c>
      <c r="X41" s="11" t="s">
        <v>1400</v>
      </c>
      <c r="Y41" s="11" t="s">
        <v>994</v>
      </c>
      <c r="Z41" s="11" t="s">
        <v>994</v>
      </c>
      <c r="AA41" s="11" t="s">
        <v>994</v>
      </c>
      <c r="AB41" s="11" t="s">
        <v>121</v>
      </c>
      <c r="AC41" s="11" t="s">
        <v>994</v>
      </c>
      <c r="AD41" s="11" t="s">
        <v>1275</v>
      </c>
    </row>
    <row r="42">
      <c r="B42" s="12" t="s">
        <v>994</v>
      </c>
      <c r="C42" s="11" t="s">
        <v>1345</v>
      </c>
      <c r="D42" s="11" t="s">
        <v>745</v>
      </c>
      <c r="E42" s="12" t="s">
        <v>737</v>
      </c>
      <c r="F42" s="12" t="s">
        <v>435</v>
      </c>
      <c r="G42" s="12" t="s">
        <v>246</v>
      </c>
      <c r="H42" s="12" t="s">
        <v>246</v>
      </c>
      <c r="I42" s="12" t="s">
        <v>60</v>
      </c>
      <c r="J42" s="12" t="s">
        <v>267</v>
      </c>
      <c r="K42" s="12" t="s">
        <v>998</v>
      </c>
      <c r="L42" s="13" t="s">
        <v>994</v>
      </c>
      <c r="M42" s="11" t="s">
        <v>746</v>
      </c>
      <c r="N42" s="11" t="s">
        <v>118</v>
      </c>
      <c r="O42" s="11" t="s">
        <v>323</v>
      </c>
      <c r="P42" s="11" t="s">
        <v>126</v>
      </c>
      <c r="Q42" s="11" t="s">
        <v>143</v>
      </c>
      <c r="R42" s="11" t="s">
        <v>125</v>
      </c>
      <c r="S42" s="11" t="s">
        <v>125</v>
      </c>
      <c r="T42" s="11" t="s">
        <v>29</v>
      </c>
      <c r="U42" s="11" t="s">
        <v>1389</v>
      </c>
      <c r="V42" s="11" t="s">
        <v>1393</v>
      </c>
      <c r="W42" s="11" t="s">
        <v>1379</v>
      </c>
      <c r="X42" s="11" t="s">
        <v>1391</v>
      </c>
      <c r="Y42" s="11" t="s">
        <v>994</v>
      </c>
      <c r="Z42" s="11" t="s">
        <v>994</v>
      </c>
      <c r="AA42" s="11" t="s">
        <v>994</v>
      </c>
      <c r="AB42" s="11" t="s">
        <v>994</v>
      </c>
      <c r="AC42" s="11" t="s">
        <v>994</v>
      </c>
      <c r="AD42" s="11" t="s">
        <v>1216</v>
      </c>
    </row>
    <row r="43">
      <c r="B43" s="12" t="s">
        <v>994</v>
      </c>
      <c r="C43" s="11" t="s">
        <v>1346</v>
      </c>
      <c r="D43" s="11" t="s">
        <v>760</v>
      </c>
      <c r="E43" s="12" t="s">
        <v>761</v>
      </c>
      <c r="F43" s="12" t="s">
        <v>278</v>
      </c>
      <c r="G43" s="12" t="s">
        <v>246</v>
      </c>
      <c r="H43" s="12" t="s">
        <v>246</v>
      </c>
      <c r="I43" s="12" t="s">
        <v>60</v>
      </c>
      <c r="J43" s="12" t="s">
        <v>267</v>
      </c>
      <c r="K43" s="12" t="s">
        <v>999</v>
      </c>
      <c r="L43" s="13" t="s">
        <v>125</v>
      </c>
      <c r="M43" s="11" t="s">
        <v>1219</v>
      </c>
      <c r="N43" s="11" t="s">
        <v>1220</v>
      </c>
      <c r="O43" s="11" t="s">
        <v>323</v>
      </c>
      <c r="P43" s="11" t="s">
        <v>126</v>
      </c>
      <c r="Q43" s="11" t="s">
        <v>143</v>
      </c>
      <c r="R43" s="11" t="s">
        <v>125</v>
      </c>
      <c r="S43" s="11" t="s">
        <v>125</v>
      </c>
      <c r="T43" s="11" t="s">
        <v>131</v>
      </c>
      <c r="U43" s="11" t="s">
        <v>1389</v>
      </c>
      <c r="V43" s="11" t="s">
        <v>1393</v>
      </c>
      <c r="W43" s="11" t="s">
        <v>994</v>
      </c>
      <c r="X43" s="11" t="s">
        <v>1400</v>
      </c>
      <c r="Y43" s="11" t="s">
        <v>994</v>
      </c>
      <c r="Z43" s="11" t="s">
        <v>994</v>
      </c>
      <c r="AA43" s="11" t="s">
        <v>994</v>
      </c>
      <c r="AB43" s="11" t="s">
        <v>121</v>
      </c>
      <c r="AC43" s="11" t="s">
        <v>994</v>
      </c>
      <c r="AD43" s="11" t="s">
        <v>1238</v>
      </c>
    </row>
    <row r="44">
      <c r="B44" s="12" t="s">
        <v>994</v>
      </c>
      <c r="C44" s="11" t="s">
        <v>1347</v>
      </c>
      <c r="D44" s="11" t="s">
        <v>778</v>
      </c>
      <c r="E44" s="12" t="s">
        <v>775</v>
      </c>
      <c r="F44" s="12" t="s">
        <v>308</v>
      </c>
      <c r="G44" s="12" t="s">
        <v>246</v>
      </c>
      <c r="H44" s="12" t="s">
        <v>246</v>
      </c>
      <c r="I44" s="12" t="s">
        <v>60</v>
      </c>
      <c r="J44" s="12" t="s">
        <v>267</v>
      </c>
      <c r="K44" s="12" t="s">
        <v>998</v>
      </c>
      <c r="L44" s="13" t="s">
        <v>125</v>
      </c>
      <c r="M44" s="11" t="s">
        <v>1383</v>
      </c>
      <c r="N44" s="11" t="s">
        <v>118</v>
      </c>
      <c r="O44" s="11" t="s">
        <v>777</v>
      </c>
      <c r="P44" s="11" t="s">
        <v>126</v>
      </c>
      <c r="Q44" s="11" t="s">
        <v>143</v>
      </c>
      <c r="R44" s="11" t="s">
        <v>125</v>
      </c>
      <c r="S44" s="11" t="s">
        <v>125</v>
      </c>
      <c r="T44" s="11" t="s">
        <v>131</v>
      </c>
      <c r="U44" s="11" t="s">
        <v>1389</v>
      </c>
      <c r="V44" s="11" t="s">
        <v>994</v>
      </c>
      <c r="W44" s="11" t="s">
        <v>994</v>
      </c>
      <c r="X44" s="11" t="s">
        <v>1391</v>
      </c>
      <c r="Y44" s="11" t="s">
        <v>994</v>
      </c>
      <c r="Z44" s="11" t="s">
        <v>994</v>
      </c>
      <c r="AA44" s="11" t="s">
        <v>994</v>
      </c>
      <c r="AB44" s="11" t="s">
        <v>121</v>
      </c>
      <c r="AC44" s="11" t="s">
        <v>994</v>
      </c>
      <c r="AD44" s="11" t="s">
        <v>1124</v>
      </c>
    </row>
    <row r="45">
      <c r="B45" s="12" t="s">
        <v>994</v>
      </c>
      <c r="C45" s="11" t="s">
        <v>1348</v>
      </c>
      <c r="D45" s="11" t="s">
        <v>210</v>
      </c>
      <c r="E45" s="12" t="s">
        <v>775</v>
      </c>
      <c r="F45" s="12" t="s">
        <v>286</v>
      </c>
      <c r="G45" s="12" t="s">
        <v>275</v>
      </c>
      <c r="H45" s="12" t="s">
        <v>126</v>
      </c>
      <c r="I45" s="12" t="s">
        <v>60</v>
      </c>
      <c r="J45" s="12" t="s">
        <v>267</v>
      </c>
      <c r="K45" s="12" t="s">
        <v>999</v>
      </c>
      <c r="L45" s="13" t="s">
        <v>994</v>
      </c>
      <c r="M45" s="11" t="s">
        <v>1384</v>
      </c>
      <c r="N45" s="11" t="s">
        <v>118</v>
      </c>
      <c r="O45" s="11" t="s">
        <v>777</v>
      </c>
      <c r="P45" s="11" t="s">
        <v>126</v>
      </c>
      <c r="Q45" s="11" t="s">
        <v>143</v>
      </c>
      <c r="R45" s="11" t="s">
        <v>125</v>
      </c>
      <c r="S45" s="11" t="s">
        <v>125</v>
      </c>
      <c r="T45" s="11" t="s">
        <v>38</v>
      </c>
      <c r="U45" s="11" t="s">
        <v>1389</v>
      </c>
      <c r="V45" s="11" t="s">
        <v>1393</v>
      </c>
      <c r="W45" s="11" t="s">
        <v>1379</v>
      </c>
      <c r="X45" s="11" t="s">
        <v>994</v>
      </c>
      <c r="Y45" s="11" t="s">
        <v>994</v>
      </c>
      <c r="Z45" s="11" t="s">
        <v>994</v>
      </c>
      <c r="AA45" s="11" t="s">
        <v>994</v>
      </c>
      <c r="AB45" s="11" t="s">
        <v>994</v>
      </c>
      <c r="AC45" s="11" t="s">
        <v>994</v>
      </c>
      <c r="AD45" s="11" t="s">
        <v>1140</v>
      </c>
    </row>
    <row r="46">
      <c r="B46" s="12" t="s">
        <v>994</v>
      </c>
      <c r="C46" s="11" t="s">
        <v>1349</v>
      </c>
      <c r="D46" s="11" t="s">
        <v>207</v>
      </c>
      <c r="E46" s="12" t="s">
        <v>775</v>
      </c>
      <c r="F46" s="12" t="s">
        <v>295</v>
      </c>
      <c r="G46" s="12" t="s">
        <v>275</v>
      </c>
      <c r="H46" s="12" t="s">
        <v>126</v>
      </c>
      <c r="I46" s="12" t="s">
        <v>60</v>
      </c>
      <c r="J46" s="12" t="s">
        <v>267</v>
      </c>
      <c r="K46" s="12" t="s">
        <v>998</v>
      </c>
      <c r="L46" s="13" t="s">
        <v>125</v>
      </c>
      <c r="M46" s="11" t="s">
        <v>1141</v>
      </c>
      <c r="N46" s="11" t="s">
        <v>118</v>
      </c>
      <c r="O46" s="11" t="s">
        <v>777</v>
      </c>
      <c r="P46" s="11" t="s">
        <v>126</v>
      </c>
      <c r="Q46" s="11" t="s">
        <v>143</v>
      </c>
      <c r="R46" s="11" t="s">
        <v>125</v>
      </c>
      <c r="S46" s="11" t="s">
        <v>125</v>
      </c>
      <c r="T46" s="11" t="s">
        <v>131</v>
      </c>
      <c r="U46" s="11" t="s">
        <v>1393</v>
      </c>
      <c r="V46" s="11" t="s">
        <v>994</v>
      </c>
      <c r="W46" s="11" t="s">
        <v>994</v>
      </c>
      <c r="X46" s="11" t="s">
        <v>1391</v>
      </c>
      <c r="Y46" s="11" t="s">
        <v>994</v>
      </c>
      <c r="Z46" s="11" t="s">
        <v>994</v>
      </c>
      <c r="AA46" s="11" t="s">
        <v>994</v>
      </c>
      <c r="AB46" s="11" t="s">
        <v>121</v>
      </c>
      <c r="AC46" s="11" t="s">
        <v>994</v>
      </c>
      <c r="AD46" s="11" t="s">
        <v>1124</v>
      </c>
    </row>
    <row r="47">
      <c r="B47" s="12" t="s">
        <v>994</v>
      </c>
      <c r="C47" s="11" t="s">
        <v>1350</v>
      </c>
      <c r="D47" s="11" t="s">
        <v>1221</v>
      </c>
      <c r="E47" s="12" t="s">
        <v>69</v>
      </c>
      <c r="F47" s="12" t="s">
        <v>49</v>
      </c>
      <c r="G47" s="12" t="s">
        <v>129</v>
      </c>
      <c r="H47" s="12" t="s">
        <v>126</v>
      </c>
      <c r="I47" s="12" t="s">
        <v>60</v>
      </c>
      <c r="J47" s="12" t="s">
        <v>267</v>
      </c>
      <c r="K47" s="12" t="s">
        <v>999</v>
      </c>
      <c r="L47" s="13" t="s">
        <v>125</v>
      </c>
      <c r="M47" s="11" t="s">
        <v>1222</v>
      </c>
      <c r="N47" s="11" t="s">
        <v>818</v>
      </c>
      <c r="O47" s="11" t="s">
        <v>600</v>
      </c>
      <c r="P47" s="11" t="s">
        <v>125</v>
      </c>
      <c r="Q47" s="11" t="s">
        <v>150</v>
      </c>
      <c r="R47" s="11" t="s">
        <v>125</v>
      </c>
      <c r="S47" s="11" t="s">
        <v>125</v>
      </c>
      <c r="T47" s="11" t="s">
        <v>131</v>
      </c>
      <c r="U47" s="11" t="s">
        <v>1388</v>
      </c>
      <c r="V47" s="11" t="s">
        <v>1397</v>
      </c>
      <c r="W47" s="11" t="s">
        <v>994</v>
      </c>
      <c r="X47" s="11" t="s">
        <v>1400</v>
      </c>
      <c r="Y47" s="11" t="s">
        <v>994</v>
      </c>
      <c r="Z47" s="11" t="s">
        <v>994</v>
      </c>
      <c r="AA47" s="11" t="s">
        <v>994</v>
      </c>
      <c r="AB47" s="11" t="s">
        <v>121</v>
      </c>
      <c r="AC47" s="11" t="s">
        <v>994</v>
      </c>
      <c r="AD47" s="11" t="s">
        <v>1238</v>
      </c>
    </row>
    <row r="48">
      <c r="B48" s="12" t="s">
        <v>994</v>
      </c>
      <c r="C48" s="11" t="s">
        <v>1351</v>
      </c>
      <c r="D48" s="11" t="s">
        <v>169</v>
      </c>
      <c r="E48" s="12" t="s">
        <v>77</v>
      </c>
      <c r="F48" s="12" t="s">
        <v>49</v>
      </c>
      <c r="G48" s="12" t="s">
        <v>129</v>
      </c>
      <c r="H48" s="12" t="s">
        <v>126</v>
      </c>
      <c r="I48" s="12" t="s">
        <v>60</v>
      </c>
      <c r="J48" s="12" t="s">
        <v>267</v>
      </c>
      <c r="K48" s="12" t="s">
        <v>998</v>
      </c>
      <c r="L48" s="13" t="s">
        <v>994</v>
      </c>
      <c r="M48" s="11" t="s">
        <v>1243</v>
      </c>
      <c r="N48" s="11" t="s">
        <v>895</v>
      </c>
      <c r="O48" s="11" t="s">
        <v>600</v>
      </c>
      <c r="P48" s="11" t="s">
        <v>125</v>
      </c>
      <c r="Q48" s="11" t="s">
        <v>150</v>
      </c>
      <c r="R48" s="11" t="s">
        <v>125</v>
      </c>
      <c r="S48" s="11" t="s">
        <v>125</v>
      </c>
      <c r="T48" s="11" t="s">
        <v>29</v>
      </c>
      <c r="U48" s="11" t="s">
        <v>1394</v>
      </c>
      <c r="V48" s="11" t="s">
        <v>1393</v>
      </c>
      <c r="W48" s="11" t="s">
        <v>1398</v>
      </c>
      <c r="X48" s="11" t="s">
        <v>1391</v>
      </c>
      <c r="Y48" s="11" t="s">
        <v>994</v>
      </c>
      <c r="Z48" s="11" t="s">
        <v>994</v>
      </c>
      <c r="AA48" s="11" t="s">
        <v>994</v>
      </c>
      <c r="AB48" s="11" t="s">
        <v>994</v>
      </c>
      <c r="AC48" s="11" t="s">
        <v>994</v>
      </c>
      <c r="AD48" s="11" t="s">
        <v>1216</v>
      </c>
    </row>
    <row r="49">
      <c r="B49" s="12" t="s">
        <v>994</v>
      </c>
      <c r="C49" s="11" t="s">
        <v>1352</v>
      </c>
      <c r="D49" s="11" t="s">
        <v>1142</v>
      </c>
      <c r="E49" s="12" t="s">
        <v>47</v>
      </c>
      <c r="F49" s="12" t="s">
        <v>49</v>
      </c>
      <c r="G49" s="12" t="s">
        <v>246</v>
      </c>
      <c r="H49" s="12" t="s">
        <v>126</v>
      </c>
      <c r="I49" s="12" t="s">
        <v>37</v>
      </c>
      <c r="J49" s="12" t="s">
        <v>267</v>
      </c>
      <c r="K49" s="12" t="s">
        <v>998</v>
      </c>
      <c r="L49" s="13" t="s">
        <v>994</v>
      </c>
      <c r="M49" s="11" t="s">
        <v>1143</v>
      </c>
      <c r="N49" s="11" t="s">
        <v>994</v>
      </c>
      <c r="O49" s="11" t="s">
        <v>323</v>
      </c>
      <c r="P49" s="11" t="s">
        <v>126</v>
      </c>
      <c r="Q49" s="11" t="s">
        <v>150</v>
      </c>
      <c r="R49" s="11" t="s">
        <v>994</v>
      </c>
      <c r="S49" s="11" t="s">
        <v>125</v>
      </c>
      <c r="T49" s="11" t="s">
        <v>29</v>
      </c>
      <c r="U49" s="11" t="s">
        <v>1378</v>
      </c>
      <c r="V49" s="11" t="s">
        <v>1398</v>
      </c>
      <c r="W49" s="11" t="s">
        <v>994</v>
      </c>
      <c r="X49" s="11" t="s">
        <v>1391</v>
      </c>
      <c r="Y49" s="11" t="s">
        <v>994</v>
      </c>
      <c r="Z49" s="11" t="s">
        <v>994</v>
      </c>
      <c r="AA49" s="11" t="s">
        <v>994</v>
      </c>
      <c r="AB49" s="11" t="s">
        <v>994</v>
      </c>
      <c r="AC49" s="11" t="s">
        <v>994</v>
      </c>
      <c r="AD49" s="11" t="s">
        <v>1216</v>
      </c>
    </row>
    <row r="50">
      <c r="B50" s="12" t="s">
        <v>994</v>
      </c>
      <c r="C50" s="11" t="s">
        <v>1353</v>
      </c>
      <c r="D50" s="11" t="s">
        <v>1145</v>
      </c>
      <c r="E50" s="12" t="s">
        <v>1146</v>
      </c>
      <c r="F50" s="12" t="s">
        <v>291</v>
      </c>
      <c r="G50" s="12" t="s">
        <v>246</v>
      </c>
      <c r="H50" s="12" t="s">
        <v>126</v>
      </c>
      <c r="I50" s="12" t="s">
        <v>60</v>
      </c>
      <c r="J50" s="12" t="s">
        <v>267</v>
      </c>
      <c r="K50" s="12" t="s">
        <v>998</v>
      </c>
      <c r="L50" s="13" t="s">
        <v>125</v>
      </c>
      <c r="M50" s="11" t="s">
        <v>45</v>
      </c>
      <c r="N50" s="11" t="s">
        <v>1147</v>
      </c>
      <c r="O50" s="11" t="s">
        <v>323</v>
      </c>
      <c r="P50" s="11" t="s">
        <v>126</v>
      </c>
      <c r="Q50" s="11" t="s">
        <v>150</v>
      </c>
      <c r="R50" s="11" t="s">
        <v>125</v>
      </c>
      <c r="S50" s="11" t="s">
        <v>125</v>
      </c>
      <c r="T50" s="11" t="s">
        <v>131</v>
      </c>
      <c r="U50" s="11" t="s">
        <v>1395</v>
      </c>
      <c r="V50" s="11" t="s">
        <v>994</v>
      </c>
      <c r="W50" s="11" t="s">
        <v>994</v>
      </c>
      <c r="X50" s="11" t="s">
        <v>1391</v>
      </c>
      <c r="Y50" s="11" t="s">
        <v>994</v>
      </c>
      <c r="Z50" s="11" t="s">
        <v>994</v>
      </c>
      <c r="AA50" s="11" t="s">
        <v>994</v>
      </c>
      <c r="AB50" s="11" t="s">
        <v>121</v>
      </c>
      <c r="AC50" s="11" t="s">
        <v>994</v>
      </c>
      <c r="AD50" s="11" t="s">
        <v>1144</v>
      </c>
    </row>
    <row r="51">
      <c r="B51" s="12" t="s">
        <v>994</v>
      </c>
      <c r="C51" s="11" t="s">
        <v>1354</v>
      </c>
      <c r="D51" s="11" t="s">
        <v>1148</v>
      </c>
      <c r="E51" s="12" t="s">
        <v>1149</v>
      </c>
      <c r="F51" s="12" t="s">
        <v>49</v>
      </c>
      <c r="G51" s="12" t="s">
        <v>246</v>
      </c>
      <c r="H51" s="12" t="s">
        <v>126</v>
      </c>
      <c r="I51" s="12" t="s">
        <v>37</v>
      </c>
      <c r="J51" s="12" t="s">
        <v>267</v>
      </c>
      <c r="K51" s="12" t="s">
        <v>999</v>
      </c>
      <c r="L51" s="13" t="s">
        <v>125</v>
      </c>
      <c r="M51" s="11" t="s">
        <v>1385</v>
      </c>
      <c r="N51" s="11" t="s">
        <v>994</v>
      </c>
      <c r="O51" s="11" t="s">
        <v>323</v>
      </c>
      <c r="P51" s="11" t="s">
        <v>126</v>
      </c>
      <c r="Q51" s="11" t="s">
        <v>150</v>
      </c>
      <c r="R51" s="11" t="s">
        <v>994</v>
      </c>
      <c r="S51" s="11" t="s">
        <v>125</v>
      </c>
      <c r="T51" s="11" t="s">
        <v>131</v>
      </c>
      <c r="U51" s="11" t="s">
        <v>994</v>
      </c>
      <c r="V51" s="11" t="s">
        <v>994</v>
      </c>
      <c r="W51" s="11" t="s">
        <v>994</v>
      </c>
      <c r="X51" s="11" t="s">
        <v>1400</v>
      </c>
      <c r="Y51" s="11" t="s">
        <v>994</v>
      </c>
      <c r="Z51" s="11" t="s">
        <v>994</v>
      </c>
      <c r="AA51" s="11" t="s">
        <v>994</v>
      </c>
      <c r="AB51" s="11" t="s">
        <v>121</v>
      </c>
      <c r="AC51" s="11" t="s">
        <v>994</v>
      </c>
      <c r="AD51" s="11" t="s">
        <v>1237</v>
      </c>
    </row>
    <row r="52">
      <c r="B52" s="12" t="s">
        <v>994</v>
      </c>
      <c r="C52" s="11" t="s">
        <v>1355</v>
      </c>
      <c r="D52" s="11" t="s">
        <v>1151</v>
      </c>
      <c r="E52" s="12" t="s">
        <v>1152</v>
      </c>
      <c r="F52" s="12" t="s">
        <v>49</v>
      </c>
      <c r="G52" s="12" t="s">
        <v>246</v>
      </c>
      <c r="H52" s="12" t="s">
        <v>126</v>
      </c>
      <c r="I52" s="12" t="s">
        <v>37</v>
      </c>
      <c r="J52" s="12" t="s">
        <v>267</v>
      </c>
      <c r="K52" s="12" t="s">
        <v>999</v>
      </c>
      <c r="L52" s="13" t="s">
        <v>125</v>
      </c>
      <c r="M52" s="11" t="s">
        <v>1153</v>
      </c>
      <c r="N52" s="11" t="s">
        <v>994</v>
      </c>
      <c r="O52" s="11" t="s">
        <v>323</v>
      </c>
      <c r="P52" s="11" t="s">
        <v>126</v>
      </c>
      <c r="Q52" s="11" t="s">
        <v>150</v>
      </c>
      <c r="R52" s="11" t="s">
        <v>994</v>
      </c>
      <c r="S52" s="11" t="s">
        <v>125</v>
      </c>
      <c r="T52" s="11" t="s">
        <v>131</v>
      </c>
      <c r="U52" s="11" t="s">
        <v>1379</v>
      </c>
      <c r="V52" s="11" t="s">
        <v>1398</v>
      </c>
      <c r="W52" s="11" t="s">
        <v>994</v>
      </c>
      <c r="X52" s="11" t="s">
        <v>1400</v>
      </c>
      <c r="Y52" s="11" t="s">
        <v>994</v>
      </c>
      <c r="Z52" s="11" t="s">
        <v>994</v>
      </c>
      <c r="AA52" s="11" t="s">
        <v>994</v>
      </c>
      <c r="AB52" s="11" t="s">
        <v>121</v>
      </c>
      <c r="AC52" s="11" t="s">
        <v>994</v>
      </c>
      <c r="AD52" s="11" t="s">
        <v>1276</v>
      </c>
    </row>
    <row r="53">
      <c r="B53" s="12" t="s">
        <v>994</v>
      </c>
      <c r="C53" s="11" t="s">
        <v>1356</v>
      </c>
      <c r="D53" s="11" t="s">
        <v>750</v>
      </c>
      <c r="E53" s="12" t="s">
        <v>751</v>
      </c>
      <c r="F53" s="12" t="s">
        <v>295</v>
      </c>
      <c r="G53" s="12" t="s">
        <v>246</v>
      </c>
      <c r="H53" s="12" t="s">
        <v>126</v>
      </c>
      <c r="I53" s="12" t="s">
        <v>60</v>
      </c>
      <c r="J53" s="12" t="s">
        <v>267</v>
      </c>
      <c r="K53" s="12" t="s">
        <v>999</v>
      </c>
      <c r="L53" s="13" t="s">
        <v>994</v>
      </c>
      <c r="M53" s="11" t="s">
        <v>1193</v>
      </c>
      <c r="N53" s="11" t="s">
        <v>1194</v>
      </c>
      <c r="O53" s="11" t="s">
        <v>323</v>
      </c>
      <c r="P53" s="11" t="s">
        <v>126</v>
      </c>
      <c r="Q53" s="11" t="s">
        <v>150</v>
      </c>
      <c r="R53" s="11" t="s">
        <v>125</v>
      </c>
      <c r="S53" s="11" t="s">
        <v>125</v>
      </c>
      <c r="T53" s="11" t="s">
        <v>994</v>
      </c>
      <c r="U53" s="11" t="s">
        <v>1396</v>
      </c>
      <c r="V53" s="11" t="s">
        <v>994</v>
      </c>
      <c r="W53" s="11" t="s">
        <v>994</v>
      </c>
      <c r="X53" s="11" t="s">
        <v>994</v>
      </c>
      <c r="Y53" s="11" t="s">
        <v>994</v>
      </c>
      <c r="Z53" s="11" t="s">
        <v>994</v>
      </c>
      <c r="AA53" s="11" t="s">
        <v>994</v>
      </c>
      <c r="AB53" s="11" t="s">
        <v>994</v>
      </c>
      <c r="AC53" s="11" t="s">
        <v>994</v>
      </c>
      <c r="AD53" s="11" t="s">
        <v>994</v>
      </c>
    </row>
    <row r="54">
      <c r="B54" s="12" t="s">
        <v>994</v>
      </c>
      <c r="C54" s="11" t="s">
        <v>1357</v>
      </c>
      <c r="D54" s="11" t="s">
        <v>300</v>
      </c>
      <c r="E54" s="12" t="s">
        <v>301</v>
      </c>
      <c r="F54" s="12" t="s">
        <v>278</v>
      </c>
      <c r="G54" s="12" t="s">
        <v>246</v>
      </c>
      <c r="H54" s="12" t="s">
        <v>126</v>
      </c>
      <c r="I54" s="12" t="s">
        <v>82</v>
      </c>
      <c r="J54" s="12" t="s">
        <v>267</v>
      </c>
      <c r="K54" s="12" t="s">
        <v>999</v>
      </c>
      <c r="L54" s="13" t="s">
        <v>994</v>
      </c>
      <c r="M54" s="11" t="s">
        <v>1195</v>
      </c>
      <c r="N54" s="11" t="s">
        <v>994</v>
      </c>
      <c r="O54" s="11" t="s">
        <v>323</v>
      </c>
      <c r="P54" s="11" t="s">
        <v>126</v>
      </c>
      <c r="Q54" s="11" t="s">
        <v>150</v>
      </c>
      <c r="R54" s="11" t="s">
        <v>125</v>
      </c>
      <c r="S54" s="11" t="s">
        <v>125</v>
      </c>
      <c r="T54" s="11" t="s">
        <v>994</v>
      </c>
      <c r="U54" s="11" t="s">
        <v>1396</v>
      </c>
      <c r="V54" s="11" t="s">
        <v>994</v>
      </c>
      <c r="W54" s="11" t="s">
        <v>994</v>
      </c>
      <c r="X54" s="11" t="s">
        <v>994</v>
      </c>
      <c r="Y54" s="11" t="s">
        <v>994</v>
      </c>
      <c r="Z54" s="11" t="s">
        <v>994</v>
      </c>
      <c r="AA54" s="11" t="s">
        <v>994</v>
      </c>
      <c r="AB54" s="11" t="s">
        <v>994</v>
      </c>
      <c r="AC54" s="11" t="s">
        <v>994</v>
      </c>
      <c r="AD54" s="11" t="s">
        <v>994</v>
      </c>
    </row>
    <row r="55">
      <c r="B55" s="12" t="s">
        <v>994</v>
      </c>
      <c r="C55" s="11" t="s">
        <v>1358</v>
      </c>
      <c r="D55" s="11" t="s">
        <v>1154</v>
      </c>
      <c r="E55" s="12" t="s">
        <v>258</v>
      </c>
      <c r="F55" s="12" t="s">
        <v>49</v>
      </c>
      <c r="G55" s="12" t="s">
        <v>246</v>
      </c>
      <c r="H55" s="12" t="s">
        <v>126</v>
      </c>
      <c r="I55" s="12" t="s">
        <v>82</v>
      </c>
      <c r="J55" s="12" t="s">
        <v>267</v>
      </c>
      <c r="K55" s="12" t="s">
        <v>999</v>
      </c>
      <c r="L55" s="13" t="s">
        <v>994</v>
      </c>
      <c r="M55" s="11" t="s">
        <v>1196</v>
      </c>
      <c r="N55" s="11" t="s">
        <v>1197</v>
      </c>
      <c r="O55" s="11" t="s">
        <v>323</v>
      </c>
      <c r="P55" s="11" t="s">
        <v>126</v>
      </c>
      <c r="Q55" s="11" t="s">
        <v>150</v>
      </c>
      <c r="R55" s="11" t="s">
        <v>125</v>
      </c>
      <c r="S55" s="11" t="s">
        <v>125</v>
      </c>
      <c r="T55" s="11" t="s">
        <v>994</v>
      </c>
      <c r="U55" s="11" t="s">
        <v>1396</v>
      </c>
      <c r="V55" s="11" t="s">
        <v>994</v>
      </c>
      <c r="W55" s="11" t="s">
        <v>994</v>
      </c>
      <c r="X55" s="11" t="s">
        <v>994</v>
      </c>
      <c r="Y55" s="11" t="s">
        <v>994</v>
      </c>
      <c r="Z55" s="11" t="s">
        <v>994</v>
      </c>
      <c r="AA55" s="11" t="s">
        <v>994</v>
      </c>
      <c r="AB55" s="11" t="s">
        <v>994</v>
      </c>
      <c r="AC55" s="11" t="s">
        <v>994</v>
      </c>
      <c r="AD55" s="11" t="s">
        <v>994</v>
      </c>
    </row>
    <row r="56">
      <c r="B56" s="12" t="s">
        <v>994</v>
      </c>
      <c r="C56" s="11" t="s">
        <v>1359</v>
      </c>
      <c r="D56" s="11" t="s">
        <v>1223</v>
      </c>
      <c r="E56" s="12" t="s">
        <v>258</v>
      </c>
      <c r="F56" s="12" t="s">
        <v>49</v>
      </c>
      <c r="G56" s="12" t="s">
        <v>246</v>
      </c>
      <c r="H56" s="12" t="s">
        <v>126</v>
      </c>
      <c r="I56" s="12" t="s">
        <v>82</v>
      </c>
      <c r="J56" s="12" t="s">
        <v>267</v>
      </c>
      <c r="K56" s="12" t="s">
        <v>999</v>
      </c>
      <c r="L56" s="13" t="s">
        <v>994</v>
      </c>
      <c r="M56" s="11" t="s">
        <v>1224</v>
      </c>
      <c r="N56" s="11" t="s">
        <v>994</v>
      </c>
      <c r="O56" s="11" t="s">
        <v>994</v>
      </c>
      <c r="P56" s="11" t="s">
        <v>994</v>
      </c>
      <c r="Q56" s="11" t="s">
        <v>994</v>
      </c>
      <c r="R56" s="11" t="s">
        <v>994</v>
      </c>
      <c r="S56" s="11" t="s">
        <v>125</v>
      </c>
      <c r="T56" s="11" t="s">
        <v>131</v>
      </c>
      <c r="U56" s="11" t="s">
        <v>1396</v>
      </c>
      <c r="V56" s="11" t="s">
        <v>1399</v>
      </c>
      <c r="W56" s="11" t="s">
        <v>994</v>
      </c>
      <c r="X56" s="11" t="s">
        <v>1400</v>
      </c>
      <c r="Y56" s="11" t="s">
        <v>994</v>
      </c>
      <c r="Z56" s="11" t="s">
        <v>994</v>
      </c>
      <c r="AA56" s="11" t="s">
        <v>994</v>
      </c>
      <c r="AB56" s="11" t="s">
        <v>994</v>
      </c>
      <c r="AC56" s="11" t="s">
        <v>994</v>
      </c>
      <c r="AD56" s="11" t="s">
        <v>1244</v>
      </c>
    </row>
    <row r="57">
      <c r="B57" s="12" t="s">
        <v>994</v>
      </c>
      <c r="C57" s="11" t="s">
        <v>1360</v>
      </c>
      <c r="D57" s="11" t="s">
        <v>1198</v>
      </c>
      <c r="E57" s="12" t="s">
        <v>1199</v>
      </c>
      <c r="F57" s="12" t="s">
        <v>49</v>
      </c>
      <c r="G57" s="12" t="s">
        <v>246</v>
      </c>
      <c r="H57" s="12" t="s">
        <v>126</v>
      </c>
      <c r="I57" s="12" t="s">
        <v>60</v>
      </c>
      <c r="J57" s="12" t="s">
        <v>267</v>
      </c>
      <c r="K57" s="12" t="s">
        <v>999</v>
      </c>
      <c r="L57" s="13" t="s">
        <v>994</v>
      </c>
      <c r="M57" s="11" t="s">
        <v>994</v>
      </c>
      <c r="N57" s="11" t="s">
        <v>1200</v>
      </c>
      <c r="O57" s="11" t="s">
        <v>323</v>
      </c>
      <c r="P57" s="11" t="s">
        <v>126</v>
      </c>
      <c r="Q57" s="11" t="s">
        <v>150</v>
      </c>
      <c r="R57" s="11" t="s">
        <v>125</v>
      </c>
      <c r="S57" s="11" t="s">
        <v>125</v>
      </c>
      <c r="T57" s="11" t="s">
        <v>131</v>
      </c>
      <c r="U57" s="11" t="s">
        <v>1396</v>
      </c>
      <c r="V57" s="11" t="s">
        <v>994</v>
      </c>
      <c r="W57" s="11" t="s">
        <v>994</v>
      </c>
      <c r="X57" s="11" t="s">
        <v>1400</v>
      </c>
      <c r="Y57" s="11" t="s">
        <v>994</v>
      </c>
      <c r="Z57" s="11" t="s">
        <v>994</v>
      </c>
      <c r="AA57" s="11" t="s">
        <v>994</v>
      </c>
      <c r="AB57" s="11" t="s">
        <v>994</v>
      </c>
      <c r="AC57" s="11" t="s">
        <v>994</v>
      </c>
      <c r="AD57" s="11" t="s">
        <v>1238</v>
      </c>
    </row>
    <row r="58">
      <c r="B58" s="12" t="s">
        <v>994</v>
      </c>
      <c r="C58" s="11" t="s">
        <v>1361</v>
      </c>
      <c r="D58" s="11" t="s">
        <v>1161</v>
      </c>
      <c r="E58" s="12" t="s">
        <v>1150</v>
      </c>
      <c r="F58" s="12" t="s">
        <v>49</v>
      </c>
      <c r="G58" s="12" t="s">
        <v>246</v>
      </c>
      <c r="H58" s="12" t="s">
        <v>126</v>
      </c>
      <c r="I58" s="12" t="s">
        <v>37</v>
      </c>
      <c r="J58" s="12" t="s">
        <v>267</v>
      </c>
      <c r="K58" s="12" t="s">
        <v>999</v>
      </c>
      <c r="L58" s="13" t="s">
        <v>994</v>
      </c>
      <c r="M58" s="11" t="s">
        <v>1162</v>
      </c>
      <c r="N58" s="11" t="s">
        <v>994</v>
      </c>
      <c r="O58" s="11" t="s">
        <v>323</v>
      </c>
      <c r="P58" s="11" t="s">
        <v>126</v>
      </c>
      <c r="Q58" s="11" t="s">
        <v>150</v>
      </c>
      <c r="R58" s="11" t="s">
        <v>994</v>
      </c>
      <c r="S58" s="11" t="s">
        <v>994</v>
      </c>
      <c r="T58" s="11" t="s">
        <v>994</v>
      </c>
      <c r="U58" s="11" t="s">
        <v>1396</v>
      </c>
      <c r="V58" s="11" t="s">
        <v>994</v>
      </c>
      <c r="W58" s="11" t="s">
        <v>994</v>
      </c>
      <c r="X58" s="11" t="s">
        <v>994</v>
      </c>
      <c r="Y58" s="11" t="s">
        <v>994</v>
      </c>
      <c r="Z58" s="11" t="s">
        <v>994</v>
      </c>
      <c r="AA58" s="11" t="s">
        <v>994</v>
      </c>
      <c r="AB58" s="11" t="s">
        <v>994</v>
      </c>
      <c r="AC58" s="11" t="s">
        <v>994</v>
      </c>
      <c r="AD58" s="11" t="s">
        <v>994</v>
      </c>
    </row>
    <row r="59">
      <c r="B59" s="12" t="s">
        <v>994</v>
      </c>
      <c r="C59" s="11" t="s">
        <v>1362</v>
      </c>
      <c r="D59" s="11" t="s">
        <v>1163</v>
      </c>
      <c r="E59" s="12" t="s">
        <v>1164</v>
      </c>
      <c r="F59" s="12" t="s">
        <v>305</v>
      </c>
      <c r="G59" s="12" t="s">
        <v>246</v>
      </c>
      <c r="H59" s="12" t="s">
        <v>126</v>
      </c>
      <c r="I59" s="12" t="s">
        <v>60</v>
      </c>
      <c r="J59" s="12" t="s">
        <v>267</v>
      </c>
      <c r="K59" s="12" t="s">
        <v>999</v>
      </c>
      <c r="L59" s="13" t="s">
        <v>994</v>
      </c>
      <c r="M59" s="11" t="s">
        <v>1165</v>
      </c>
      <c r="N59" s="11" t="s">
        <v>994</v>
      </c>
      <c r="O59" s="11" t="s">
        <v>323</v>
      </c>
      <c r="P59" s="11" t="s">
        <v>126</v>
      </c>
      <c r="Q59" s="11" t="s">
        <v>150</v>
      </c>
      <c r="R59" s="11" t="s">
        <v>125</v>
      </c>
      <c r="S59" s="11" t="s">
        <v>125</v>
      </c>
      <c r="T59" s="11" t="s">
        <v>994</v>
      </c>
      <c r="U59" s="11" t="s">
        <v>1396</v>
      </c>
      <c r="V59" s="11" t="s">
        <v>994</v>
      </c>
      <c r="W59" s="11" t="s">
        <v>994</v>
      </c>
      <c r="X59" s="11" t="s">
        <v>994</v>
      </c>
      <c r="Y59" s="11" t="s">
        <v>994</v>
      </c>
      <c r="Z59" s="11" t="s">
        <v>994</v>
      </c>
      <c r="AA59" s="11" t="s">
        <v>994</v>
      </c>
      <c r="AB59" s="11" t="s">
        <v>994</v>
      </c>
      <c r="AC59" s="11" t="s">
        <v>994</v>
      </c>
      <c r="AD59" s="11" t="s">
        <v>994</v>
      </c>
    </row>
    <row r="60">
      <c r="B60" s="12" t="s">
        <v>994</v>
      </c>
      <c r="C60" s="11" t="s">
        <v>1363</v>
      </c>
      <c r="D60" s="11" t="s">
        <v>259</v>
      </c>
      <c r="E60" s="12" t="s">
        <v>80</v>
      </c>
      <c r="F60" s="12" t="s">
        <v>49</v>
      </c>
      <c r="G60" s="12" t="s">
        <v>246</v>
      </c>
      <c r="H60" s="12" t="s">
        <v>246</v>
      </c>
      <c r="I60" s="12" t="s">
        <v>82</v>
      </c>
      <c r="J60" s="12" t="s">
        <v>267</v>
      </c>
      <c r="K60" s="12" t="s">
        <v>999</v>
      </c>
      <c r="L60" s="13" t="s">
        <v>994</v>
      </c>
      <c r="M60" s="11" t="s">
        <v>1201</v>
      </c>
      <c r="N60" s="11" t="s">
        <v>1202</v>
      </c>
      <c r="O60" s="11" t="s">
        <v>323</v>
      </c>
      <c r="P60" s="11" t="s">
        <v>126</v>
      </c>
      <c r="Q60" s="11" t="s">
        <v>150</v>
      </c>
      <c r="R60" s="11" t="s">
        <v>125</v>
      </c>
      <c r="S60" s="11" t="s">
        <v>125</v>
      </c>
      <c r="T60" s="11" t="s">
        <v>994</v>
      </c>
      <c r="U60" s="11" t="s">
        <v>1396</v>
      </c>
      <c r="V60" s="11" t="s">
        <v>994</v>
      </c>
      <c r="W60" s="11" t="s">
        <v>994</v>
      </c>
      <c r="X60" s="11" t="s">
        <v>994</v>
      </c>
      <c r="Y60" s="11" t="s">
        <v>994</v>
      </c>
      <c r="Z60" s="11" t="s">
        <v>994</v>
      </c>
      <c r="AA60" s="11" t="s">
        <v>994</v>
      </c>
      <c r="AB60" s="11" t="s">
        <v>994</v>
      </c>
      <c r="AC60" s="11" t="s">
        <v>994</v>
      </c>
      <c r="AD60" s="11" t="s">
        <v>994</v>
      </c>
    </row>
    <row r="61">
      <c r="B61" s="12" t="s">
        <v>994</v>
      </c>
      <c r="C61" s="11" t="s">
        <v>1364</v>
      </c>
      <c r="D61" s="11" t="s">
        <v>1203</v>
      </c>
      <c r="E61" s="12" t="s">
        <v>58</v>
      </c>
      <c r="F61" s="12" t="s">
        <v>585</v>
      </c>
      <c r="G61" s="12" t="s">
        <v>246</v>
      </c>
      <c r="H61" s="12" t="s">
        <v>246</v>
      </c>
      <c r="I61" s="12" t="s">
        <v>60</v>
      </c>
      <c r="J61" s="12" t="s">
        <v>267</v>
      </c>
      <c r="K61" s="12" t="s">
        <v>998</v>
      </c>
      <c r="L61" s="13" t="s">
        <v>125</v>
      </c>
      <c r="M61" s="11" t="s">
        <v>1386</v>
      </c>
      <c r="N61" s="11" t="s">
        <v>994</v>
      </c>
      <c r="O61" s="11" t="s">
        <v>994</v>
      </c>
      <c r="P61" s="11" t="s">
        <v>126</v>
      </c>
      <c r="Q61" s="11" t="s">
        <v>143</v>
      </c>
      <c r="R61" s="11" t="s">
        <v>125</v>
      </c>
      <c r="S61" s="11" t="s">
        <v>125</v>
      </c>
      <c r="T61" s="11" t="s">
        <v>131</v>
      </c>
      <c r="U61" s="11" t="s">
        <v>1391</v>
      </c>
      <c r="V61" s="11" t="s">
        <v>994</v>
      </c>
      <c r="W61" s="11" t="s">
        <v>994</v>
      </c>
      <c r="X61" s="11" t="s">
        <v>1391</v>
      </c>
      <c r="Y61" s="11" t="s">
        <v>994</v>
      </c>
      <c r="Z61" s="11" t="s">
        <v>994</v>
      </c>
      <c r="AA61" s="11" t="s">
        <v>994</v>
      </c>
      <c r="AB61" s="11" t="s">
        <v>121</v>
      </c>
      <c r="AC61" s="11" t="s">
        <v>994</v>
      </c>
      <c r="AD61" s="11" t="s">
        <v>994</v>
      </c>
    </row>
    <row r="62">
      <c r="B62" s="12" t="s">
        <v>994</v>
      </c>
      <c r="C62" s="11" t="s">
        <v>1365</v>
      </c>
      <c r="D62" s="11" t="s">
        <v>1204</v>
      </c>
      <c r="E62" s="12" t="s">
        <v>1199</v>
      </c>
      <c r="F62" s="12" t="s">
        <v>49</v>
      </c>
      <c r="G62" s="12" t="s">
        <v>246</v>
      </c>
      <c r="H62" s="12" t="s">
        <v>126</v>
      </c>
      <c r="I62" s="12" t="s">
        <v>60</v>
      </c>
      <c r="J62" s="12" t="s">
        <v>267</v>
      </c>
      <c r="K62" s="12" t="s">
        <v>998</v>
      </c>
      <c r="L62" s="13" t="s">
        <v>125</v>
      </c>
      <c r="M62" s="11" t="s">
        <v>1387</v>
      </c>
      <c r="N62" s="11" t="s">
        <v>994</v>
      </c>
      <c r="O62" s="11" t="s">
        <v>994</v>
      </c>
      <c r="P62" s="11" t="s">
        <v>126</v>
      </c>
      <c r="Q62" s="11" t="s">
        <v>143</v>
      </c>
      <c r="R62" s="11" t="s">
        <v>125</v>
      </c>
      <c r="S62" s="11" t="s">
        <v>125</v>
      </c>
      <c r="T62" s="11" t="s">
        <v>131</v>
      </c>
      <c r="U62" s="11" t="s">
        <v>1391</v>
      </c>
      <c r="V62" s="11" t="s">
        <v>994</v>
      </c>
      <c r="W62" s="11" t="s">
        <v>994</v>
      </c>
      <c r="X62" s="11" t="s">
        <v>1391</v>
      </c>
      <c r="Y62" s="11" t="s">
        <v>994</v>
      </c>
      <c r="Z62" s="11" t="s">
        <v>994</v>
      </c>
      <c r="AA62" s="11" t="s">
        <v>994</v>
      </c>
      <c r="AB62" s="11" t="s">
        <v>121</v>
      </c>
      <c r="AC62" s="11" t="s">
        <v>994</v>
      </c>
      <c r="AD62" s="11" t="s">
        <v>994</v>
      </c>
    </row>
    <row r="63">
      <c r="B63" s="12" t="s">
        <v>994</v>
      </c>
      <c r="C63" s="11" t="s">
        <v>1366</v>
      </c>
      <c r="D63" s="11" t="s">
        <v>1225</v>
      </c>
      <c r="E63" s="12" t="s">
        <v>1226</v>
      </c>
      <c r="F63" s="12" t="s">
        <v>49</v>
      </c>
      <c r="G63" s="12" t="s">
        <v>246</v>
      </c>
      <c r="H63" s="12" t="s">
        <v>246</v>
      </c>
      <c r="I63" s="12" t="s">
        <v>82</v>
      </c>
      <c r="J63" s="12" t="s">
        <v>267</v>
      </c>
      <c r="K63" s="12" t="s">
        <v>994</v>
      </c>
      <c r="L63" s="13" t="s">
        <v>994</v>
      </c>
      <c r="M63" s="11" t="s">
        <v>1227</v>
      </c>
      <c r="N63" s="11" t="s">
        <v>994</v>
      </c>
      <c r="O63" s="11" t="s">
        <v>994</v>
      </c>
      <c r="P63" s="11" t="s">
        <v>126</v>
      </c>
      <c r="Q63" s="11" t="s">
        <v>143</v>
      </c>
      <c r="R63" s="11" t="s">
        <v>125</v>
      </c>
      <c r="S63" s="11" t="s">
        <v>125</v>
      </c>
      <c r="T63" s="11" t="s">
        <v>994</v>
      </c>
      <c r="U63" s="11" t="s">
        <v>1396</v>
      </c>
      <c r="V63" s="11" t="s">
        <v>994</v>
      </c>
      <c r="W63" s="11" t="s">
        <v>994</v>
      </c>
      <c r="X63" s="11" t="s">
        <v>994</v>
      </c>
      <c r="Y63" s="11" t="s">
        <v>994</v>
      </c>
      <c r="Z63" s="11" t="s">
        <v>994</v>
      </c>
      <c r="AA63" s="11" t="s">
        <v>994</v>
      </c>
      <c r="AB63" s="11" t="s">
        <v>994</v>
      </c>
      <c r="AC63" s="11" t="s">
        <v>994</v>
      </c>
      <c r="AD63" s="11" t="s">
        <v>994</v>
      </c>
    </row>
    <row r="64">
      <c r="B64" s="12" t="s">
        <v>994</v>
      </c>
      <c r="C64" s="11" t="s">
        <v>1367</v>
      </c>
      <c r="D64" s="11" t="s">
        <v>1228</v>
      </c>
      <c r="E64" s="12" t="s">
        <v>1229</v>
      </c>
      <c r="F64" s="12" t="s">
        <v>49</v>
      </c>
      <c r="G64" s="12" t="s">
        <v>246</v>
      </c>
      <c r="H64" s="12" t="s">
        <v>246</v>
      </c>
      <c r="I64" s="12" t="s">
        <v>82</v>
      </c>
      <c r="J64" s="12" t="s">
        <v>267</v>
      </c>
      <c r="K64" s="12" t="s">
        <v>994</v>
      </c>
      <c r="L64" s="13" t="s">
        <v>994</v>
      </c>
      <c r="M64" s="11" t="s">
        <v>1230</v>
      </c>
      <c r="N64" s="11" t="s">
        <v>994</v>
      </c>
      <c r="O64" s="11" t="s">
        <v>994</v>
      </c>
      <c r="P64" s="11" t="s">
        <v>126</v>
      </c>
      <c r="Q64" s="11" t="s">
        <v>143</v>
      </c>
      <c r="R64" s="11" t="s">
        <v>125</v>
      </c>
      <c r="S64" s="11" t="s">
        <v>125</v>
      </c>
      <c r="T64" s="11" t="s">
        <v>994</v>
      </c>
      <c r="U64" s="11" t="s">
        <v>1396</v>
      </c>
      <c r="V64" s="11" t="s">
        <v>994</v>
      </c>
      <c r="W64" s="11" t="s">
        <v>994</v>
      </c>
      <c r="X64" s="11" t="s">
        <v>994</v>
      </c>
      <c r="Y64" s="11" t="s">
        <v>994</v>
      </c>
      <c r="Z64" s="11" t="s">
        <v>994</v>
      </c>
      <c r="AA64" s="11" t="s">
        <v>994</v>
      </c>
      <c r="AB64" s="11" t="s">
        <v>994</v>
      </c>
      <c r="AC64" s="11" t="s">
        <v>994</v>
      </c>
      <c r="AD64" s="11" t="s">
        <v>994</v>
      </c>
    </row>
    <row r="65">
      <c r="B65" s="12" t="s">
        <v>994</v>
      </c>
      <c r="C65" s="11" t="s">
        <v>1368</v>
      </c>
      <c r="D65" s="11" t="s">
        <v>1231</v>
      </c>
      <c r="E65" s="12" t="s">
        <v>1232</v>
      </c>
      <c r="F65" s="12" t="s">
        <v>286</v>
      </c>
      <c r="G65" s="12" t="s">
        <v>246</v>
      </c>
      <c r="H65" s="12" t="s">
        <v>246</v>
      </c>
      <c r="I65" s="12" t="s">
        <v>37</v>
      </c>
      <c r="J65" s="12" t="s">
        <v>267</v>
      </c>
      <c r="K65" s="12" t="s">
        <v>994</v>
      </c>
      <c r="L65" s="13" t="s">
        <v>994</v>
      </c>
      <c r="M65" s="11" t="s">
        <v>1168</v>
      </c>
      <c r="N65" s="11" t="s">
        <v>994</v>
      </c>
      <c r="O65" s="11" t="s">
        <v>994</v>
      </c>
      <c r="P65" s="11" t="s">
        <v>126</v>
      </c>
      <c r="Q65" s="11" t="s">
        <v>143</v>
      </c>
      <c r="R65" s="11" t="s">
        <v>125</v>
      </c>
      <c r="S65" s="11" t="s">
        <v>125</v>
      </c>
      <c r="T65" s="11" t="s">
        <v>994</v>
      </c>
      <c r="U65" s="11" t="s">
        <v>1396</v>
      </c>
      <c r="V65" s="11" t="s">
        <v>994</v>
      </c>
      <c r="W65" s="11" t="s">
        <v>994</v>
      </c>
      <c r="X65" s="11" t="s">
        <v>994</v>
      </c>
      <c r="Y65" s="11" t="s">
        <v>994</v>
      </c>
      <c r="Z65" s="11" t="s">
        <v>994</v>
      </c>
      <c r="AA65" s="11" t="s">
        <v>994</v>
      </c>
      <c r="AB65" s="11" t="s">
        <v>994</v>
      </c>
      <c r="AC65" s="11" t="s">
        <v>994</v>
      </c>
      <c r="AD65" s="11" t="s">
        <v>994</v>
      </c>
    </row>
    <row r="66">
      <c r="B66" s="12" t="s">
        <v>994</v>
      </c>
      <c r="C66" s="11" t="s">
        <v>1369</v>
      </c>
      <c r="D66" s="11" t="s">
        <v>1169</v>
      </c>
      <c r="E66" s="12" t="s">
        <v>1233</v>
      </c>
      <c r="F66" s="12" t="s">
        <v>332</v>
      </c>
      <c r="G66" s="12" t="s">
        <v>246</v>
      </c>
      <c r="H66" s="12" t="s">
        <v>246</v>
      </c>
      <c r="I66" s="12" t="s">
        <v>37</v>
      </c>
      <c r="J66" s="12" t="s">
        <v>267</v>
      </c>
      <c r="K66" s="12" t="s">
        <v>994</v>
      </c>
      <c r="L66" s="13" t="s">
        <v>994</v>
      </c>
      <c r="M66" s="11" t="s">
        <v>1171</v>
      </c>
      <c r="N66" s="11" t="s">
        <v>994</v>
      </c>
      <c r="O66" s="11" t="s">
        <v>994</v>
      </c>
      <c r="P66" s="11" t="s">
        <v>126</v>
      </c>
      <c r="Q66" s="11" t="s">
        <v>143</v>
      </c>
      <c r="R66" s="11" t="s">
        <v>125</v>
      </c>
      <c r="S66" s="11" t="s">
        <v>125</v>
      </c>
      <c r="T66" s="11" t="s">
        <v>994</v>
      </c>
      <c r="U66" s="11" t="s">
        <v>1396</v>
      </c>
      <c r="V66" s="11" t="s">
        <v>994</v>
      </c>
      <c r="W66" s="11" t="s">
        <v>994</v>
      </c>
      <c r="X66" s="11" t="s">
        <v>994</v>
      </c>
      <c r="Y66" s="11" t="s">
        <v>994</v>
      </c>
      <c r="Z66" s="11" t="s">
        <v>994</v>
      </c>
      <c r="AA66" s="11" t="s">
        <v>994</v>
      </c>
      <c r="AB66" s="11" t="s">
        <v>994</v>
      </c>
      <c r="AC66" s="11" t="s">
        <v>994</v>
      </c>
      <c r="AD66" s="11" t="s">
        <v>994</v>
      </c>
    </row>
    <row r="67">
      <c r="B67" s="12" t="s">
        <v>994</v>
      </c>
      <c r="C67" s="11" t="s">
        <v>1370</v>
      </c>
      <c r="D67" s="11" t="s">
        <v>1172</v>
      </c>
      <c r="E67" s="12" t="s">
        <v>1234</v>
      </c>
      <c r="F67" s="12" t="s">
        <v>286</v>
      </c>
      <c r="G67" s="12" t="s">
        <v>246</v>
      </c>
      <c r="H67" s="12" t="s">
        <v>246</v>
      </c>
      <c r="I67" s="12" t="s">
        <v>37</v>
      </c>
      <c r="J67" s="12" t="s">
        <v>267</v>
      </c>
      <c r="K67" s="12" t="s">
        <v>994</v>
      </c>
      <c r="L67" s="13" t="s">
        <v>994</v>
      </c>
      <c r="M67" s="11" t="s">
        <v>1174</v>
      </c>
      <c r="N67" s="11" t="s">
        <v>994</v>
      </c>
      <c r="O67" s="11" t="s">
        <v>994</v>
      </c>
      <c r="P67" s="11" t="s">
        <v>126</v>
      </c>
      <c r="Q67" s="11" t="s">
        <v>143</v>
      </c>
      <c r="R67" s="11" t="s">
        <v>125</v>
      </c>
      <c r="S67" s="11" t="s">
        <v>125</v>
      </c>
      <c r="T67" s="11" t="s">
        <v>994</v>
      </c>
      <c r="U67" s="11" t="s">
        <v>1396</v>
      </c>
      <c r="V67" s="11" t="s">
        <v>994</v>
      </c>
      <c r="W67" s="11" t="s">
        <v>994</v>
      </c>
      <c r="X67" s="11" t="s">
        <v>994</v>
      </c>
      <c r="Y67" s="11" t="s">
        <v>994</v>
      </c>
      <c r="Z67" s="11" t="s">
        <v>994</v>
      </c>
      <c r="AA67" s="11" t="s">
        <v>994</v>
      </c>
      <c r="AB67" s="11" t="s">
        <v>994</v>
      </c>
      <c r="AC67" s="11" t="s">
        <v>994</v>
      </c>
      <c r="AD67" s="11" t="s">
        <v>994</v>
      </c>
    </row>
    <row r="68">
      <c r="B68" s="12" t="s">
        <v>994</v>
      </c>
      <c r="C68" s="11" t="s">
        <v>1371</v>
      </c>
      <c r="D68" s="11" t="s">
        <v>1175</v>
      </c>
      <c r="E68" s="12" t="s">
        <v>1176</v>
      </c>
      <c r="F68" s="12" t="s">
        <v>286</v>
      </c>
      <c r="G68" s="12" t="s">
        <v>246</v>
      </c>
      <c r="H68" s="12" t="s">
        <v>246</v>
      </c>
      <c r="I68" s="12" t="s">
        <v>37</v>
      </c>
      <c r="J68" s="12" t="s">
        <v>267</v>
      </c>
      <c r="K68" s="12" t="s">
        <v>994</v>
      </c>
      <c r="L68" s="13" t="s">
        <v>994</v>
      </c>
      <c r="M68" s="11" t="s">
        <v>1177</v>
      </c>
      <c r="N68" s="11" t="s">
        <v>994</v>
      </c>
      <c r="O68" s="11" t="s">
        <v>994</v>
      </c>
      <c r="P68" s="11" t="s">
        <v>126</v>
      </c>
      <c r="Q68" s="11" t="s">
        <v>143</v>
      </c>
      <c r="R68" s="11" t="s">
        <v>125</v>
      </c>
      <c r="S68" s="11" t="s">
        <v>125</v>
      </c>
      <c r="T68" s="11" t="s">
        <v>994</v>
      </c>
      <c r="U68" s="11" t="s">
        <v>1396</v>
      </c>
      <c r="V68" s="11" t="s">
        <v>994</v>
      </c>
      <c r="W68" s="11" t="s">
        <v>994</v>
      </c>
      <c r="X68" s="11" t="s">
        <v>994</v>
      </c>
      <c r="Y68" s="11" t="s">
        <v>994</v>
      </c>
      <c r="Z68" s="11" t="s">
        <v>994</v>
      </c>
      <c r="AA68" s="11" t="s">
        <v>994</v>
      </c>
      <c r="AB68" s="11" t="s">
        <v>994</v>
      </c>
      <c r="AC68" s="11" t="s">
        <v>994</v>
      </c>
      <c r="AD68" s="11" t="s">
        <v>994</v>
      </c>
    </row>
    <row r="69">
      <c r="B69" s="12" t="s">
        <v>994</v>
      </c>
      <c r="C69" s="11" t="s">
        <v>1372</v>
      </c>
      <c r="D69" s="11" t="s">
        <v>1178</v>
      </c>
      <c r="E69" s="12" t="s">
        <v>1179</v>
      </c>
      <c r="F69" s="12" t="s">
        <v>286</v>
      </c>
      <c r="G69" s="12" t="s">
        <v>246</v>
      </c>
      <c r="H69" s="12" t="s">
        <v>246</v>
      </c>
      <c r="I69" s="12" t="s">
        <v>60</v>
      </c>
      <c r="J69" s="12" t="s">
        <v>267</v>
      </c>
      <c r="K69" s="12" t="s">
        <v>994</v>
      </c>
      <c r="L69" s="13" t="s">
        <v>994</v>
      </c>
      <c r="M69" s="11" t="s">
        <v>1180</v>
      </c>
      <c r="N69" s="11" t="s">
        <v>994</v>
      </c>
      <c r="O69" s="11" t="s">
        <v>994</v>
      </c>
      <c r="P69" s="11" t="s">
        <v>126</v>
      </c>
      <c r="Q69" s="11" t="s">
        <v>143</v>
      </c>
      <c r="R69" s="11" t="s">
        <v>125</v>
      </c>
      <c r="S69" s="11" t="s">
        <v>125</v>
      </c>
      <c r="T69" s="11" t="s">
        <v>994</v>
      </c>
      <c r="U69" s="11" t="s">
        <v>1396</v>
      </c>
      <c r="V69" s="11" t="s">
        <v>994</v>
      </c>
      <c r="W69" s="11" t="s">
        <v>994</v>
      </c>
      <c r="X69" s="11" t="s">
        <v>994</v>
      </c>
      <c r="Y69" s="11" t="s">
        <v>994</v>
      </c>
      <c r="Z69" s="11" t="s">
        <v>994</v>
      </c>
      <c r="AA69" s="11" t="s">
        <v>994</v>
      </c>
      <c r="AB69" s="11" t="s">
        <v>994</v>
      </c>
      <c r="AC69" s="11" t="s">
        <v>994</v>
      </c>
      <c r="AD69" s="11" t="s">
        <v>994</v>
      </c>
    </row>
    <row r="70">
      <c r="B70" s="12" t="s">
        <v>994</v>
      </c>
      <c r="C70" s="11" t="s">
        <v>1373</v>
      </c>
      <c r="D70" s="11" t="s">
        <v>1181</v>
      </c>
      <c r="E70" s="12" t="s">
        <v>1182</v>
      </c>
      <c r="F70" s="12" t="s">
        <v>49</v>
      </c>
      <c r="G70" s="12" t="s">
        <v>246</v>
      </c>
      <c r="H70" s="12" t="s">
        <v>246</v>
      </c>
      <c r="I70" s="12" t="s">
        <v>37</v>
      </c>
      <c r="J70" s="12" t="s">
        <v>267</v>
      </c>
      <c r="K70" s="12" t="s">
        <v>994</v>
      </c>
      <c r="L70" s="13" t="s">
        <v>994</v>
      </c>
      <c r="M70" s="11" t="s">
        <v>1183</v>
      </c>
      <c r="N70" s="11" t="s">
        <v>994</v>
      </c>
      <c r="O70" s="11" t="s">
        <v>994</v>
      </c>
      <c r="P70" s="11" t="s">
        <v>126</v>
      </c>
      <c r="Q70" s="11" t="s">
        <v>143</v>
      </c>
      <c r="R70" s="11" t="s">
        <v>125</v>
      </c>
      <c r="S70" s="11" t="s">
        <v>125</v>
      </c>
      <c r="T70" s="11" t="s">
        <v>994</v>
      </c>
      <c r="U70" s="11" t="s">
        <v>1396</v>
      </c>
      <c r="V70" s="11" t="s">
        <v>994</v>
      </c>
      <c r="W70" s="11" t="s">
        <v>994</v>
      </c>
      <c r="X70" s="11" t="s">
        <v>994</v>
      </c>
      <c r="Y70" s="11" t="s">
        <v>994</v>
      </c>
      <c r="Z70" s="11" t="s">
        <v>994</v>
      </c>
      <c r="AA70" s="11" t="s">
        <v>994</v>
      </c>
      <c r="AB70" s="11" t="s">
        <v>994</v>
      </c>
      <c r="AC70" s="11" t="s">
        <v>994</v>
      </c>
      <c r="AD70" s="11" t="s">
        <v>994</v>
      </c>
    </row>
    <row r="71">
      <c r="B71" s="12" t="s">
        <v>994</v>
      </c>
      <c r="C71" s="11" t="s">
        <v>1374</v>
      </c>
      <c r="D71" s="11" t="s">
        <v>1266</v>
      </c>
      <c r="E71" s="12" t="s">
        <v>1182</v>
      </c>
      <c r="F71" s="12" t="s">
        <v>286</v>
      </c>
      <c r="G71" s="12" t="s">
        <v>994</v>
      </c>
      <c r="H71" s="12" t="s">
        <v>994</v>
      </c>
      <c r="I71" s="12" t="s">
        <v>994</v>
      </c>
      <c r="J71" s="12" t="s">
        <v>994</v>
      </c>
      <c r="K71" s="12" t="s">
        <v>999</v>
      </c>
      <c r="L71" s="13" t="s">
        <v>125</v>
      </c>
      <c r="M71" s="11" t="s">
        <v>1269</v>
      </c>
      <c r="N71" s="11" t="s">
        <v>994</v>
      </c>
      <c r="O71" s="11" t="s">
        <v>994</v>
      </c>
      <c r="P71" s="11" t="s">
        <v>994</v>
      </c>
      <c r="Q71" s="11" t="s">
        <v>994</v>
      </c>
      <c r="R71" s="11" t="s">
        <v>994</v>
      </c>
      <c r="S71" s="11" t="s">
        <v>125</v>
      </c>
      <c r="T71" s="11" t="s">
        <v>131</v>
      </c>
      <c r="U71" s="11" t="s">
        <v>994</v>
      </c>
      <c r="V71" s="11" t="s">
        <v>994</v>
      </c>
      <c r="W71" s="11" t="s">
        <v>994</v>
      </c>
      <c r="X71" s="11" t="s">
        <v>1400</v>
      </c>
      <c r="Y71" s="11" t="s">
        <v>994</v>
      </c>
      <c r="Z71" s="11" t="s">
        <v>994</v>
      </c>
      <c r="AA71" s="11" t="s">
        <v>994</v>
      </c>
      <c r="AB71" s="11" t="s">
        <v>121</v>
      </c>
      <c r="AC71" s="11" t="s">
        <v>994</v>
      </c>
      <c r="AD71" s="11" t="s">
        <v>1277</v>
      </c>
    </row>
    <row r="72">
      <c r="B72" s="12" t="s">
        <v>994</v>
      </c>
      <c r="C72" s="11" t="s">
        <v>1375</v>
      </c>
      <c r="D72" s="11" t="s">
        <v>1184</v>
      </c>
      <c r="E72" s="12" t="s">
        <v>1185</v>
      </c>
      <c r="F72" s="12" t="s">
        <v>49</v>
      </c>
      <c r="G72" s="12" t="s">
        <v>246</v>
      </c>
      <c r="H72" s="12" t="s">
        <v>246</v>
      </c>
      <c r="I72" s="12" t="s">
        <v>60</v>
      </c>
      <c r="J72" s="12" t="s">
        <v>267</v>
      </c>
      <c r="K72" s="12" t="s">
        <v>994</v>
      </c>
      <c r="L72" s="13" t="s">
        <v>994</v>
      </c>
      <c r="M72" s="11" t="s">
        <v>1235</v>
      </c>
      <c r="N72" s="11" t="s">
        <v>994</v>
      </c>
      <c r="O72" s="11" t="s">
        <v>994</v>
      </c>
      <c r="P72" s="11" t="s">
        <v>126</v>
      </c>
      <c r="Q72" s="11" t="s">
        <v>143</v>
      </c>
      <c r="R72" s="11" t="s">
        <v>125</v>
      </c>
      <c r="S72" s="11" t="s">
        <v>125</v>
      </c>
      <c r="T72" s="11" t="s">
        <v>994</v>
      </c>
      <c r="U72" s="11" t="s">
        <v>1396</v>
      </c>
      <c r="V72" s="11" t="s">
        <v>994</v>
      </c>
      <c r="W72" s="11" t="s">
        <v>994</v>
      </c>
      <c r="X72" s="11" t="s">
        <v>994</v>
      </c>
      <c r="Y72" s="11" t="s">
        <v>994</v>
      </c>
      <c r="Z72" s="11" t="s">
        <v>994</v>
      </c>
      <c r="AA72" s="11" t="s">
        <v>994</v>
      </c>
      <c r="AB72" s="11" t="s">
        <v>994</v>
      </c>
      <c r="AC72" s="11" t="s">
        <v>994</v>
      </c>
      <c r="AD72" s="11" t="s">
        <v>994</v>
      </c>
    </row>
    <row r="73">
      <c r="B73" s="12" t="s">
        <v>994</v>
      </c>
      <c r="C73" s="11" t="s">
        <v>1376</v>
      </c>
      <c r="D73" s="11" t="s">
        <v>1187</v>
      </c>
      <c r="E73" s="12" t="s">
        <v>1188</v>
      </c>
      <c r="F73" s="12" t="s">
        <v>49</v>
      </c>
      <c r="G73" s="12" t="s">
        <v>246</v>
      </c>
      <c r="H73" s="12" t="s">
        <v>246</v>
      </c>
      <c r="I73" s="12" t="s">
        <v>37</v>
      </c>
      <c r="J73" s="12" t="s">
        <v>267</v>
      </c>
      <c r="K73" s="12" t="s">
        <v>994</v>
      </c>
      <c r="L73" s="13" t="s">
        <v>994</v>
      </c>
      <c r="M73" s="11" t="s">
        <v>1189</v>
      </c>
      <c r="N73" s="11" t="s">
        <v>994</v>
      </c>
      <c r="O73" s="11" t="s">
        <v>994</v>
      </c>
      <c r="P73" s="11" t="s">
        <v>126</v>
      </c>
      <c r="Q73" s="11" t="s">
        <v>143</v>
      </c>
      <c r="R73" s="11" t="s">
        <v>125</v>
      </c>
      <c r="S73" s="11" t="s">
        <v>125</v>
      </c>
      <c r="T73" s="11" t="s">
        <v>994</v>
      </c>
      <c r="U73" s="11" t="s">
        <v>1396</v>
      </c>
      <c r="V73" s="11" t="s">
        <v>994</v>
      </c>
      <c r="W73" s="11" t="s">
        <v>994</v>
      </c>
      <c r="X73" s="11" t="s">
        <v>994</v>
      </c>
      <c r="Y73" s="11" t="s">
        <v>994</v>
      </c>
      <c r="Z73" s="11" t="s">
        <v>994</v>
      </c>
      <c r="AA73" s="11" t="s">
        <v>994</v>
      </c>
      <c r="AB73" s="11" t="s">
        <v>994</v>
      </c>
      <c r="AC73" s="11" t="s">
        <v>994</v>
      </c>
      <c r="AD73" s="11" t="s">
        <v>994</v>
      </c>
    </row>
    <row r="74">
      <c r="B74" s="12" t="s">
        <v>994</v>
      </c>
      <c r="C74" s="11" t="s">
        <v>1377</v>
      </c>
      <c r="D74" s="11" t="s">
        <v>1190</v>
      </c>
      <c r="E74" s="12" t="s">
        <v>47</v>
      </c>
      <c r="F74" s="12" t="s">
        <v>49</v>
      </c>
      <c r="G74" s="12" t="s">
        <v>246</v>
      </c>
      <c r="H74" s="12" t="s">
        <v>246</v>
      </c>
      <c r="I74" s="12" t="s">
        <v>37</v>
      </c>
      <c r="J74" s="12" t="s">
        <v>267</v>
      </c>
      <c r="K74" s="12" t="s">
        <v>994</v>
      </c>
      <c r="L74" s="13" t="s">
        <v>994</v>
      </c>
      <c r="M74" s="11" t="s">
        <v>1236</v>
      </c>
      <c r="N74" s="11" t="s">
        <v>994</v>
      </c>
      <c r="O74" s="11" t="s">
        <v>994</v>
      </c>
      <c r="P74" s="11" t="s">
        <v>126</v>
      </c>
      <c r="Q74" s="11" t="s">
        <v>143</v>
      </c>
      <c r="R74" s="11" t="s">
        <v>125</v>
      </c>
      <c r="S74" s="11" t="s">
        <v>125</v>
      </c>
      <c r="T74" s="11" t="s">
        <v>994</v>
      </c>
      <c r="U74" s="11" t="s">
        <v>1396</v>
      </c>
      <c r="V74" s="11" t="s">
        <v>994</v>
      </c>
      <c r="W74" s="11" t="s">
        <v>994</v>
      </c>
      <c r="X74" s="11" t="s">
        <v>994</v>
      </c>
      <c r="Y74" s="11" t="s">
        <v>994</v>
      </c>
      <c r="Z74" s="11" t="s">
        <v>994</v>
      </c>
      <c r="AA74" s="11" t="s">
        <v>994</v>
      </c>
      <c r="AB74" s="11" t="s">
        <v>994</v>
      </c>
      <c r="AC74" s="11" t="s">
        <v>994</v>
      </c>
      <c r="AD74" s="11" t="s">
        <v>994</v>
      </c>
    </row>
    <row r="75">
      <c r="B75" s="12" t="s">
        <v>994</v>
      </c>
      <c r="C75" s="11" t="s">
        <v>994</v>
      </c>
      <c r="D75" s="11" t="s">
        <v>994</v>
      </c>
      <c r="E75" s="12" t="s">
        <v>994</v>
      </c>
      <c r="F75" s="12" t="s">
        <v>994</v>
      </c>
      <c r="G75" s="12" t="s">
        <v>994</v>
      </c>
      <c r="H75" s="12" t="s">
        <v>994</v>
      </c>
      <c r="I75" s="12" t="s">
        <v>994</v>
      </c>
      <c r="J75" s="12" t="s">
        <v>994</v>
      </c>
      <c r="K75" s="12" t="s">
        <v>994</v>
      </c>
      <c r="L75" s="13" t="s">
        <v>994</v>
      </c>
      <c r="M75" s="11" t="s">
        <v>994</v>
      </c>
      <c r="N75" s="11" t="s">
        <v>994</v>
      </c>
      <c r="O75" s="11" t="s">
        <v>994</v>
      </c>
      <c r="P75" s="11" t="s">
        <v>994</v>
      </c>
      <c r="Q75" s="11" t="s">
        <v>994</v>
      </c>
      <c r="R75" s="11" t="s">
        <v>994</v>
      </c>
      <c r="S75" s="11" t="s">
        <v>994</v>
      </c>
      <c r="T75" s="11" t="s">
        <v>994</v>
      </c>
      <c r="U75" s="11" t="s">
        <v>994</v>
      </c>
      <c r="V75" s="11" t="s">
        <v>994</v>
      </c>
      <c r="W75" s="11" t="s">
        <v>994</v>
      </c>
      <c r="X75" s="11" t="s">
        <v>994</v>
      </c>
      <c r="Y75" s="11" t="s">
        <v>994</v>
      </c>
      <c r="Z75" s="11" t="s">
        <v>994</v>
      </c>
      <c r="AA75" s="11" t="s">
        <v>994</v>
      </c>
      <c r="AB75" s="11" t="s">
        <v>994</v>
      </c>
      <c r="AC75" s="11" t="s">
        <v>994</v>
      </c>
      <c r="AD75" s="11" t="s">
        <v>994</v>
      </c>
    </row>
    <row r="76">
      <c r="B76" s="12" t="s">
        <v>994</v>
      </c>
      <c r="C76" s="11" t="s">
        <v>994</v>
      </c>
      <c r="D76" s="11" t="s">
        <v>994</v>
      </c>
      <c r="E76" s="12" t="s">
        <v>994</v>
      </c>
      <c r="F76" s="12" t="s">
        <v>994</v>
      </c>
      <c r="G76" s="12" t="s">
        <v>994</v>
      </c>
      <c r="H76" s="12" t="s">
        <v>994</v>
      </c>
      <c r="I76" s="12" t="s">
        <v>994</v>
      </c>
      <c r="J76" s="12" t="s">
        <v>994</v>
      </c>
      <c r="K76" s="12" t="s">
        <v>994</v>
      </c>
      <c r="L76" s="13" t="s">
        <v>994</v>
      </c>
      <c r="M76" s="11" t="s">
        <v>994</v>
      </c>
      <c r="N76" s="11" t="s">
        <v>994</v>
      </c>
      <c r="O76" s="11" t="s">
        <v>994</v>
      </c>
      <c r="P76" s="11" t="s">
        <v>994</v>
      </c>
      <c r="Q76" s="11" t="s">
        <v>994</v>
      </c>
      <c r="R76" s="11" t="s">
        <v>994</v>
      </c>
      <c r="S76" s="11" t="s">
        <v>994</v>
      </c>
      <c r="T76" s="11" t="s">
        <v>994</v>
      </c>
      <c r="U76" s="11" t="s">
        <v>994</v>
      </c>
      <c r="V76" s="11" t="s">
        <v>994</v>
      </c>
      <c r="W76" s="11" t="s">
        <v>994</v>
      </c>
      <c r="X76" s="11" t="s">
        <v>994</v>
      </c>
      <c r="Y76" s="11" t="s">
        <v>994</v>
      </c>
      <c r="Z76" s="11" t="s">
        <v>994</v>
      </c>
      <c r="AA76" s="11" t="s">
        <v>994</v>
      </c>
      <c r="AB76" s="11" t="s">
        <v>994</v>
      </c>
      <c r="AC76" s="11" t="s">
        <v>994</v>
      </c>
      <c r="AD76" s="11" t="s">
        <v>994</v>
      </c>
    </row>
    <row r="77">
      <c r="B77" s="12" t="s">
        <v>994</v>
      </c>
      <c r="C77" s="11" t="s">
        <v>994</v>
      </c>
      <c r="D77" s="11" t="s">
        <v>994</v>
      </c>
      <c r="E77" s="12" t="s">
        <v>994</v>
      </c>
      <c r="F77" s="12" t="s">
        <v>994</v>
      </c>
      <c r="G77" s="12" t="s">
        <v>994</v>
      </c>
      <c r="H77" s="12" t="s">
        <v>994</v>
      </c>
      <c r="I77" s="12" t="s">
        <v>994</v>
      </c>
      <c r="J77" s="12" t="s">
        <v>994</v>
      </c>
      <c r="K77" s="12" t="s">
        <v>994</v>
      </c>
      <c r="L77" s="13" t="s">
        <v>994</v>
      </c>
      <c r="M77" s="11" t="s">
        <v>994</v>
      </c>
      <c r="N77" s="11" t="s">
        <v>994</v>
      </c>
      <c r="O77" s="11" t="s">
        <v>994</v>
      </c>
      <c r="P77" s="11" t="s">
        <v>994</v>
      </c>
      <c r="Q77" s="11" t="s">
        <v>994</v>
      </c>
      <c r="R77" s="11" t="s">
        <v>994</v>
      </c>
      <c r="S77" s="11" t="s">
        <v>994</v>
      </c>
      <c r="T77" s="11" t="s">
        <v>994</v>
      </c>
      <c r="U77" s="11" t="s">
        <v>994</v>
      </c>
      <c r="V77" s="11" t="s">
        <v>994</v>
      </c>
      <c r="W77" s="11" t="s">
        <v>994</v>
      </c>
      <c r="X77" s="11" t="s">
        <v>994</v>
      </c>
      <c r="Y77" s="11" t="s">
        <v>994</v>
      </c>
      <c r="Z77" s="11" t="s">
        <v>994</v>
      </c>
      <c r="AA77" s="11" t="s">
        <v>994</v>
      </c>
      <c r="AB77" s="11" t="s">
        <v>994</v>
      </c>
      <c r="AC77" s="11" t="s">
        <v>994</v>
      </c>
      <c r="AD77" s="11" t="s">
        <v>994</v>
      </c>
    </row>
    <row r="78">
      <c r="B78" s="12" t="s">
        <v>994</v>
      </c>
      <c r="C78" s="11" t="s">
        <v>994</v>
      </c>
      <c r="D78" s="11" t="s">
        <v>994</v>
      </c>
      <c r="E78" s="12" t="s">
        <v>994</v>
      </c>
      <c r="F78" s="12" t="s">
        <v>994</v>
      </c>
      <c r="G78" s="12" t="s">
        <v>994</v>
      </c>
      <c r="H78" s="12" t="s">
        <v>994</v>
      </c>
      <c r="I78" s="12" t="s">
        <v>994</v>
      </c>
      <c r="J78" s="12" t="s">
        <v>994</v>
      </c>
      <c r="K78" s="12" t="s">
        <v>994</v>
      </c>
      <c r="L78" s="13" t="s">
        <v>994</v>
      </c>
      <c r="M78" s="11" t="s">
        <v>994</v>
      </c>
      <c r="N78" s="11" t="s">
        <v>994</v>
      </c>
      <c r="O78" s="11" t="s">
        <v>994</v>
      </c>
      <c r="P78" s="11" t="s">
        <v>994</v>
      </c>
      <c r="Q78" s="11" t="s">
        <v>994</v>
      </c>
      <c r="R78" s="11" t="s">
        <v>994</v>
      </c>
      <c r="S78" s="11" t="s">
        <v>994</v>
      </c>
      <c r="T78" s="11" t="s">
        <v>994</v>
      </c>
      <c r="U78" s="11" t="s">
        <v>994</v>
      </c>
      <c r="V78" s="11" t="s">
        <v>994</v>
      </c>
      <c r="W78" s="11" t="s">
        <v>994</v>
      </c>
      <c r="X78" s="11" t="s">
        <v>994</v>
      </c>
      <c r="Y78" s="11" t="s">
        <v>994</v>
      </c>
      <c r="Z78" s="11" t="s">
        <v>994</v>
      </c>
      <c r="AA78" s="11" t="s">
        <v>994</v>
      </c>
      <c r="AB78" s="11" t="s">
        <v>994</v>
      </c>
      <c r="AC78" s="11" t="s">
        <v>994</v>
      </c>
      <c r="AD78" s="11" t="s">
        <v>994</v>
      </c>
    </row>
    <row r="79">
      <c r="B79" s="12" t="s">
        <v>994</v>
      </c>
      <c r="C79" s="11" t="s">
        <v>994</v>
      </c>
      <c r="D79" s="11" t="s">
        <v>994</v>
      </c>
      <c r="E79" s="12" t="s">
        <v>994</v>
      </c>
      <c r="F79" s="12" t="s">
        <v>994</v>
      </c>
      <c r="G79" s="12" t="s">
        <v>994</v>
      </c>
      <c r="H79" s="12" t="s">
        <v>994</v>
      </c>
      <c r="I79" s="12" t="s">
        <v>994</v>
      </c>
      <c r="J79" s="12" t="s">
        <v>994</v>
      </c>
      <c r="K79" s="12" t="s">
        <v>994</v>
      </c>
      <c r="L79" s="13" t="s">
        <v>994</v>
      </c>
      <c r="M79" s="11" t="s">
        <v>994</v>
      </c>
      <c r="N79" s="11" t="s">
        <v>994</v>
      </c>
      <c r="O79" s="11" t="s">
        <v>994</v>
      </c>
      <c r="P79" s="11" t="s">
        <v>994</v>
      </c>
      <c r="Q79" s="11" t="s">
        <v>994</v>
      </c>
      <c r="R79" s="11" t="s">
        <v>994</v>
      </c>
      <c r="S79" s="11" t="s">
        <v>994</v>
      </c>
      <c r="T79" s="11" t="s">
        <v>994</v>
      </c>
      <c r="U79" s="11" t="s">
        <v>994</v>
      </c>
      <c r="V79" s="11" t="s">
        <v>994</v>
      </c>
      <c r="W79" s="11" t="s">
        <v>994</v>
      </c>
      <c r="X79" s="11" t="s">
        <v>994</v>
      </c>
      <c r="Y79" s="11" t="s">
        <v>994</v>
      </c>
      <c r="Z79" s="11" t="s">
        <v>994</v>
      </c>
      <c r="AA79" s="11" t="s">
        <v>994</v>
      </c>
      <c r="AB79" s="11" t="s">
        <v>994</v>
      </c>
      <c r="AC79" s="11" t="s">
        <v>994</v>
      </c>
      <c r="AD79" s="11" t="s">
        <v>994</v>
      </c>
    </row>
    <row r="80">
      <c r="B80" s="12" t="s">
        <v>994</v>
      </c>
      <c r="C80" s="11" t="s">
        <v>994</v>
      </c>
      <c r="D80" s="11" t="s">
        <v>994</v>
      </c>
      <c r="E80" s="12" t="s">
        <v>994</v>
      </c>
      <c r="F80" s="12" t="s">
        <v>994</v>
      </c>
      <c r="G80" s="12" t="s">
        <v>994</v>
      </c>
      <c r="H80" s="12" t="s">
        <v>994</v>
      </c>
      <c r="I80" s="12" t="s">
        <v>994</v>
      </c>
      <c r="J80" s="12" t="s">
        <v>994</v>
      </c>
      <c r="K80" s="12" t="s">
        <v>994</v>
      </c>
      <c r="L80" s="13" t="s">
        <v>994</v>
      </c>
      <c r="M80" s="11" t="s">
        <v>994</v>
      </c>
      <c r="N80" s="11" t="s">
        <v>994</v>
      </c>
      <c r="O80" s="11" t="s">
        <v>994</v>
      </c>
      <c r="P80" s="11" t="s">
        <v>994</v>
      </c>
      <c r="Q80" s="11" t="s">
        <v>994</v>
      </c>
      <c r="R80" s="11" t="s">
        <v>994</v>
      </c>
      <c r="S80" s="11" t="s">
        <v>994</v>
      </c>
      <c r="T80" s="11" t="s">
        <v>994</v>
      </c>
      <c r="U80" s="11" t="s">
        <v>994</v>
      </c>
      <c r="V80" s="11" t="s">
        <v>994</v>
      </c>
      <c r="W80" s="11" t="s">
        <v>994</v>
      </c>
      <c r="X80" s="11" t="s">
        <v>994</v>
      </c>
      <c r="Y80" s="11" t="s">
        <v>994</v>
      </c>
      <c r="Z80" s="11" t="s">
        <v>994</v>
      </c>
      <c r="AA80" s="11" t="s">
        <v>994</v>
      </c>
      <c r="AB80" s="11" t="s">
        <v>994</v>
      </c>
      <c r="AC80" s="11" t="s">
        <v>994</v>
      </c>
      <c r="AD80" s="11" t="s">
        <v>994</v>
      </c>
    </row>
    <row r="81">
      <c r="B81" s="12" t="s">
        <v>994</v>
      </c>
      <c r="C81" s="11" t="s">
        <v>994</v>
      </c>
      <c r="D81" s="11" t="s">
        <v>994</v>
      </c>
      <c r="E81" s="12" t="s">
        <v>994</v>
      </c>
      <c r="F81" s="12" t="s">
        <v>994</v>
      </c>
      <c r="G81" s="12" t="s">
        <v>994</v>
      </c>
      <c r="H81" s="12" t="s">
        <v>994</v>
      </c>
      <c r="I81" s="12" t="s">
        <v>994</v>
      </c>
      <c r="J81" s="12" t="s">
        <v>994</v>
      </c>
      <c r="K81" s="12" t="s">
        <v>994</v>
      </c>
      <c r="L81" s="13" t="s">
        <v>994</v>
      </c>
      <c r="M81" s="11" t="s">
        <v>994</v>
      </c>
      <c r="N81" s="11" t="s">
        <v>994</v>
      </c>
      <c r="O81" s="11" t="s">
        <v>994</v>
      </c>
      <c r="P81" s="11" t="s">
        <v>994</v>
      </c>
      <c r="Q81" s="11" t="s">
        <v>994</v>
      </c>
      <c r="R81" s="11" t="s">
        <v>994</v>
      </c>
      <c r="S81" s="11" t="s">
        <v>994</v>
      </c>
      <c r="T81" s="11" t="s">
        <v>994</v>
      </c>
      <c r="U81" s="11" t="s">
        <v>994</v>
      </c>
      <c r="V81" s="11" t="s">
        <v>994</v>
      </c>
      <c r="W81" s="11" t="s">
        <v>994</v>
      </c>
      <c r="X81" s="11" t="s">
        <v>994</v>
      </c>
      <c r="Y81" s="11" t="s">
        <v>994</v>
      </c>
      <c r="Z81" s="11" t="s">
        <v>994</v>
      </c>
      <c r="AA81" s="11" t="s">
        <v>994</v>
      </c>
      <c r="AB81" s="11" t="s">
        <v>994</v>
      </c>
      <c r="AC81" s="11" t="s">
        <v>994</v>
      </c>
      <c r="AD81" s="11" t="s">
        <v>994</v>
      </c>
    </row>
    <row r="82">
      <c r="B82" s="12" t="s">
        <v>994</v>
      </c>
      <c r="C82" s="11" t="s">
        <v>994</v>
      </c>
      <c r="D82" s="11" t="s">
        <v>994</v>
      </c>
      <c r="E82" s="12" t="s">
        <v>994</v>
      </c>
      <c r="F82" s="12" t="s">
        <v>994</v>
      </c>
      <c r="G82" s="12" t="s">
        <v>994</v>
      </c>
      <c r="H82" s="12" t="s">
        <v>994</v>
      </c>
      <c r="I82" s="12" t="s">
        <v>994</v>
      </c>
      <c r="J82" s="12" t="s">
        <v>994</v>
      </c>
      <c r="K82" s="12" t="s">
        <v>994</v>
      </c>
      <c r="L82" s="13" t="s">
        <v>994</v>
      </c>
      <c r="M82" s="11" t="s">
        <v>994</v>
      </c>
      <c r="N82" s="11" t="s">
        <v>994</v>
      </c>
      <c r="O82" s="11" t="s">
        <v>994</v>
      </c>
      <c r="P82" s="11" t="s">
        <v>994</v>
      </c>
      <c r="Q82" s="11" t="s">
        <v>994</v>
      </c>
      <c r="R82" s="11" t="s">
        <v>994</v>
      </c>
      <c r="S82" s="11" t="s">
        <v>994</v>
      </c>
      <c r="T82" s="11" t="s">
        <v>994</v>
      </c>
      <c r="U82" s="11" t="s">
        <v>994</v>
      </c>
      <c r="V82" s="11" t="s">
        <v>994</v>
      </c>
      <c r="W82" s="11" t="s">
        <v>994</v>
      </c>
      <c r="X82" s="11" t="s">
        <v>994</v>
      </c>
      <c r="Y82" s="11" t="s">
        <v>994</v>
      </c>
      <c r="Z82" s="11" t="s">
        <v>994</v>
      </c>
      <c r="AA82" s="11" t="s">
        <v>994</v>
      </c>
      <c r="AB82" s="11" t="s">
        <v>994</v>
      </c>
      <c r="AC82" s="11" t="s">
        <v>994</v>
      </c>
      <c r="AD82" s="11" t="s">
        <v>994</v>
      </c>
    </row>
    <row r="83">
      <c r="B83" s="12" t="s">
        <v>994</v>
      </c>
      <c r="C83" s="11" t="s">
        <v>994</v>
      </c>
      <c r="D83" s="11" t="s">
        <v>994</v>
      </c>
      <c r="E83" s="12" t="s">
        <v>994</v>
      </c>
      <c r="F83" s="12" t="s">
        <v>994</v>
      </c>
      <c r="G83" s="12" t="s">
        <v>994</v>
      </c>
      <c r="H83" s="12" t="s">
        <v>994</v>
      </c>
      <c r="I83" s="12" t="s">
        <v>994</v>
      </c>
      <c r="J83" s="12" t="s">
        <v>994</v>
      </c>
      <c r="K83" s="12" t="s">
        <v>994</v>
      </c>
      <c r="L83" s="13" t="s">
        <v>994</v>
      </c>
      <c r="M83" s="11" t="s">
        <v>994</v>
      </c>
      <c r="N83" s="11" t="s">
        <v>994</v>
      </c>
      <c r="O83" s="11" t="s">
        <v>994</v>
      </c>
      <c r="P83" s="11" t="s">
        <v>994</v>
      </c>
      <c r="Q83" s="11" t="s">
        <v>994</v>
      </c>
      <c r="R83" s="11" t="s">
        <v>994</v>
      </c>
      <c r="S83" s="11" t="s">
        <v>994</v>
      </c>
      <c r="T83" s="11" t="s">
        <v>994</v>
      </c>
      <c r="U83" s="11" t="s">
        <v>994</v>
      </c>
      <c r="V83" s="11" t="s">
        <v>994</v>
      </c>
      <c r="W83" s="11" t="s">
        <v>994</v>
      </c>
      <c r="X83" s="11" t="s">
        <v>994</v>
      </c>
      <c r="Y83" s="11" t="s">
        <v>994</v>
      </c>
      <c r="Z83" s="11" t="s">
        <v>994</v>
      </c>
      <c r="AA83" s="11" t="s">
        <v>994</v>
      </c>
      <c r="AB83" s="11" t="s">
        <v>994</v>
      </c>
      <c r="AC83" s="11" t="s">
        <v>994</v>
      </c>
      <c r="AD83" s="11" t="s">
        <v>994</v>
      </c>
    </row>
    <row r="84">
      <c r="B84" s="12" t="s">
        <v>994</v>
      </c>
      <c r="C84" s="11" t="s">
        <v>994</v>
      </c>
      <c r="D84" s="11" t="s">
        <v>994</v>
      </c>
      <c r="E84" s="12" t="s">
        <v>994</v>
      </c>
      <c r="F84" s="12" t="s">
        <v>994</v>
      </c>
      <c r="G84" s="12" t="s">
        <v>994</v>
      </c>
      <c r="H84" s="12" t="s">
        <v>994</v>
      </c>
      <c r="I84" s="12" t="s">
        <v>994</v>
      </c>
      <c r="J84" s="12" t="s">
        <v>994</v>
      </c>
      <c r="K84" s="12" t="s">
        <v>994</v>
      </c>
      <c r="L84" s="13" t="s">
        <v>994</v>
      </c>
      <c r="M84" s="11" t="s">
        <v>994</v>
      </c>
      <c r="N84" s="11" t="s">
        <v>994</v>
      </c>
      <c r="O84" s="11" t="s">
        <v>994</v>
      </c>
      <c r="P84" s="11" t="s">
        <v>994</v>
      </c>
      <c r="Q84" s="11" t="s">
        <v>994</v>
      </c>
      <c r="R84" s="11" t="s">
        <v>994</v>
      </c>
      <c r="S84" s="11" t="s">
        <v>994</v>
      </c>
      <c r="T84" s="11" t="s">
        <v>994</v>
      </c>
      <c r="U84" s="11" t="s">
        <v>994</v>
      </c>
      <c r="V84" s="11" t="s">
        <v>994</v>
      </c>
      <c r="W84" s="11" t="s">
        <v>994</v>
      </c>
      <c r="X84" s="11" t="s">
        <v>994</v>
      </c>
      <c r="Y84" s="11" t="s">
        <v>994</v>
      </c>
      <c r="Z84" s="11" t="s">
        <v>994</v>
      </c>
      <c r="AA84" s="11" t="s">
        <v>994</v>
      </c>
      <c r="AB84" s="11" t="s">
        <v>994</v>
      </c>
      <c r="AC84" s="11" t="s">
        <v>994</v>
      </c>
      <c r="AD84" s="11" t="s">
        <v>994</v>
      </c>
    </row>
    <row r="85">
      <c r="B85" s="12" t="s">
        <v>994</v>
      </c>
      <c r="C85" s="11" t="s">
        <v>994</v>
      </c>
      <c r="D85" s="11" t="s">
        <v>994</v>
      </c>
      <c r="E85" s="12" t="s">
        <v>994</v>
      </c>
      <c r="F85" s="12" t="s">
        <v>994</v>
      </c>
      <c r="G85" s="12" t="s">
        <v>994</v>
      </c>
      <c r="H85" s="12" t="s">
        <v>994</v>
      </c>
      <c r="I85" s="12" t="s">
        <v>994</v>
      </c>
      <c r="J85" s="12" t="s">
        <v>994</v>
      </c>
      <c r="K85" s="12" t="s">
        <v>994</v>
      </c>
      <c r="L85" s="13" t="s">
        <v>994</v>
      </c>
      <c r="M85" s="11" t="s">
        <v>994</v>
      </c>
      <c r="N85" s="11" t="s">
        <v>994</v>
      </c>
      <c r="O85" s="11" t="s">
        <v>994</v>
      </c>
      <c r="P85" s="11" t="s">
        <v>994</v>
      </c>
      <c r="Q85" s="11" t="s">
        <v>994</v>
      </c>
      <c r="R85" s="11" t="s">
        <v>994</v>
      </c>
      <c r="S85" s="11" t="s">
        <v>994</v>
      </c>
      <c r="T85" s="11" t="s">
        <v>994</v>
      </c>
      <c r="U85" s="11" t="s">
        <v>994</v>
      </c>
      <c r="V85" s="11" t="s">
        <v>994</v>
      </c>
      <c r="W85" s="11" t="s">
        <v>994</v>
      </c>
      <c r="X85" s="11" t="s">
        <v>994</v>
      </c>
      <c r="Y85" s="11" t="s">
        <v>994</v>
      </c>
      <c r="Z85" s="11" t="s">
        <v>994</v>
      </c>
      <c r="AA85" s="11" t="s">
        <v>994</v>
      </c>
      <c r="AB85" s="11" t="s">
        <v>994</v>
      </c>
      <c r="AC85" s="11" t="s">
        <v>994</v>
      </c>
      <c r="AD85" s="11" t="s">
        <v>994</v>
      </c>
    </row>
    <row r="86">
      <c r="B86" s="12" t="s">
        <v>994</v>
      </c>
      <c r="C86" s="11" t="s">
        <v>994</v>
      </c>
      <c r="D86" s="11" t="s">
        <v>994</v>
      </c>
      <c r="E86" s="12" t="s">
        <v>994</v>
      </c>
      <c r="F86" s="12" t="s">
        <v>994</v>
      </c>
      <c r="G86" s="12" t="s">
        <v>994</v>
      </c>
      <c r="H86" s="12" t="s">
        <v>994</v>
      </c>
      <c r="I86" s="12" t="s">
        <v>994</v>
      </c>
      <c r="J86" s="12" t="s">
        <v>994</v>
      </c>
      <c r="K86" s="12" t="s">
        <v>994</v>
      </c>
      <c r="L86" s="13" t="s">
        <v>994</v>
      </c>
      <c r="M86" s="11" t="s">
        <v>994</v>
      </c>
      <c r="N86" s="11" t="s">
        <v>994</v>
      </c>
      <c r="O86" s="11" t="s">
        <v>994</v>
      </c>
      <c r="P86" s="11" t="s">
        <v>994</v>
      </c>
      <c r="Q86" s="11" t="s">
        <v>994</v>
      </c>
      <c r="R86" s="11" t="s">
        <v>994</v>
      </c>
      <c r="S86" s="11" t="s">
        <v>994</v>
      </c>
      <c r="T86" s="11" t="s">
        <v>994</v>
      </c>
      <c r="U86" s="11" t="s">
        <v>994</v>
      </c>
      <c r="V86" s="11" t="s">
        <v>994</v>
      </c>
      <c r="W86" s="11" t="s">
        <v>994</v>
      </c>
      <c r="X86" s="11" t="s">
        <v>994</v>
      </c>
      <c r="Y86" s="11" t="s">
        <v>994</v>
      </c>
      <c r="Z86" s="11" t="s">
        <v>994</v>
      </c>
      <c r="AA86" s="11" t="s">
        <v>994</v>
      </c>
      <c r="AB86" s="11" t="s">
        <v>994</v>
      </c>
      <c r="AC86" s="11" t="s">
        <v>994</v>
      </c>
      <c r="AD86" s="11" t="s">
        <v>994</v>
      </c>
    </row>
    <row r="87">
      <c r="B87" s="12" t="s">
        <v>994</v>
      </c>
      <c r="C87" s="11" t="s">
        <v>994</v>
      </c>
      <c r="D87" s="11" t="s">
        <v>994</v>
      </c>
      <c r="E87" s="12" t="s">
        <v>994</v>
      </c>
      <c r="F87" s="12" t="s">
        <v>994</v>
      </c>
      <c r="G87" s="12" t="s">
        <v>994</v>
      </c>
      <c r="H87" s="12" t="s">
        <v>994</v>
      </c>
      <c r="I87" s="12" t="s">
        <v>994</v>
      </c>
      <c r="J87" s="12" t="s">
        <v>994</v>
      </c>
      <c r="K87" s="12" t="s">
        <v>994</v>
      </c>
      <c r="L87" s="13" t="s">
        <v>994</v>
      </c>
      <c r="M87" s="11" t="s">
        <v>994</v>
      </c>
      <c r="N87" s="11" t="s">
        <v>994</v>
      </c>
      <c r="O87" s="11" t="s">
        <v>994</v>
      </c>
      <c r="P87" s="11" t="s">
        <v>994</v>
      </c>
      <c r="Q87" s="11" t="s">
        <v>994</v>
      </c>
      <c r="R87" s="11" t="s">
        <v>994</v>
      </c>
      <c r="S87" s="11" t="s">
        <v>994</v>
      </c>
      <c r="T87" s="11" t="s">
        <v>994</v>
      </c>
      <c r="U87" s="11" t="s">
        <v>994</v>
      </c>
      <c r="V87" s="11" t="s">
        <v>994</v>
      </c>
      <c r="W87" s="11" t="s">
        <v>994</v>
      </c>
      <c r="X87" s="11" t="s">
        <v>994</v>
      </c>
      <c r="Y87" s="11" t="s">
        <v>994</v>
      </c>
      <c r="Z87" s="11" t="s">
        <v>994</v>
      </c>
      <c r="AA87" s="11" t="s">
        <v>994</v>
      </c>
      <c r="AB87" s="11" t="s">
        <v>994</v>
      </c>
      <c r="AC87" s="11" t="s">
        <v>994</v>
      </c>
      <c r="AD87" s="11" t="s">
        <v>994</v>
      </c>
    </row>
    <row r="88">
      <c r="B88" s="12" t="s">
        <v>994</v>
      </c>
      <c r="C88" s="11" t="s">
        <v>994</v>
      </c>
      <c r="D88" s="11" t="s">
        <v>994</v>
      </c>
      <c r="E88" s="12" t="s">
        <v>994</v>
      </c>
      <c r="F88" s="12" t="s">
        <v>994</v>
      </c>
      <c r="G88" s="12" t="s">
        <v>994</v>
      </c>
      <c r="H88" s="12" t="s">
        <v>994</v>
      </c>
      <c r="I88" s="12" t="s">
        <v>994</v>
      </c>
      <c r="J88" s="12" t="s">
        <v>994</v>
      </c>
      <c r="K88" s="12" t="s">
        <v>994</v>
      </c>
      <c r="L88" s="13" t="s">
        <v>994</v>
      </c>
      <c r="M88" s="11" t="s">
        <v>994</v>
      </c>
      <c r="N88" s="11" t="s">
        <v>994</v>
      </c>
      <c r="O88" s="11" t="s">
        <v>994</v>
      </c>
      <c r="P88" s="11" t="s">
        <v>994</v>
      </c>
      <c r="Q88" s="11" t="s">
        <v>994</v>
      </c>
      <c r="R88" s="11" t="s">
        <v>994</v>
      </c>
      <c r="S88" s="11" t="s">
        <v>994</v>
      </c>
      <c r="T88" s="11" t="s">
        <v>994</v>
      </c>
      <c r="U88" s="11" t="s">
        <v>994</v>
      </c>
      <c r="V88" s="11" t="s">
        <v>994</v>
      </c>
      <c r="W88" s="11" t="s">
        <v>994</v>
      </c>
      <c r="X88" s="11" t="s">
        <v>994</v>
      </c>
      <c r="Y88" s="11" t="s">
        <v>994</v>
      </c>
      <c r="Z88" s="11" t="s">
        <v>994</v>
      </c>
      <c r="AA88" s="11" t="s">
        <v>994</v>
      </c>
      <c r="AB88" s="11" t="s">
        <v>994</v>
      </c>
      <c r="AC88" s="11" t="s">
        <v>994</v>
      </c>
      <c r="AD88" s="11" t="s">
        <v>994</v>
      </c>
    </row>
    <row r="89">
      <c r="B89" s="12" t="s">
        <v>994</v>
      </c>
      <c r="C89" s="11" t="s">
        <v>994</v>
      </c>
      <c r="D89" s="11" t="s">
        <v>994</v>
      </c>
      <c r="E89" s="12" t="s">
        <v>994</v>
      </c>
      <c r="F89" s="12" t="s">
        <v>994</v>
      </c>
      <c r="G89" s="12" t="s">
        <v>994</v>
      </c>
      <c r="H89" s="12" t="s">
        <v>994</v>
      </c>
      <c r="I89" s="12" t="s">
        <v>994</v>
      </c>
      <c r="J89" s="12" t="s">
        <v>994</v>
      </c>
      <c r="K89" s="12" t="s">
        <v>994</v>
      </c>
      <c r="L89" s="13" t="s">
        <v>994</v>
      </c>
      <c r="M89" s="11" t="s">
        <v>994</v>
      </c>
      <c r="N89" s="11" t="s">
        <v>994</v>
      </c>
      <c r="O89" s="11" t="s">
        <v>994</v>
      </c>
      <c r="P89" s="11" t="s">
        <v>994</v>
      </c>
      <c r="Q89" s="11" t="s">
        <v>994</v>
      </c>
      <c r="R89" s="11" t="s">
        <v>994</v>
      </c>
      <c r="S89" s="11" t="s">
        <v>994</v>
      </c>
      <c r="T89" s="11" t="s">
        <v>994</v>
      </c>
      <c r="U89" s="11" t="s">
        <v>994</v>
      </c>
      <c r="V89" s="11" t="s">
        <v>994</v>
      </c>
      <c r="W89" s="11" t="s">
        <v>994</v>
      </c>
      <c r="X89" s="11" t="s">
        <v>994</v>
      </c>
      <c r="Y89" s="11" t="s">
        <v>994</v>
      </c>
      <c r="Z89" s="11" t="s">
        <v>994</v>
      </c>
      <c r="AA89" s="11" t="s">
        <v>994</v>
      </c>
      <c r="AB89" s="11" t="s">
        <v>994</v>
      </c>
      <c r="AC89" s="11" t="s">
        <v>994</v>
      </c>
      <c r="AD89" s="11" t="s">
        <v>994</v>
      </c>
    </row>
    <row r="90">
      <c r="B90" s="12" t="s">
        <v>994</v>
      </c>
      <c r="C90" s="11" t="s">
        <v>994</v>
      </c>
      <c r="D90" s="11" t="s">
        <v>994</v>
      </c>
      <c r="E90" s="12" t="s">
        <v>994</v>
      </c>
      <c r="F90" s="12" t="s">
        <v>994</v>
      </c>
      <c r="G90" s="12" t="s">
        <v>994</v>
      </c>
      <c r="H90" s="12" t="s">
        <v>994</v>
      </c>
      <c r="I90" s="12" t="s">
        <v>994</v>
      </c>
      <c r="J90" s="12" t="s">
        <v>994</v>
      </c>
      <c r="K90" s="12" t="s">
        <v>994</v>
      </c>
      <c r="L90" s="13" t="s">
        <v>994</v>
      </c>
      <c r="M90" s="11" t="s">
        <v>994</v>
      </c>
      <c r="N90" s="11" t="s">
        <v>994</v>
      </c>
      <c r="O90" s="11" t="s">
        <v>994</v>
      </c>
      <c r="P90" s="11" t="s">
        <v>994</v>
      </c>
      <c r="Q90" s="11" t="s">
        <v>994</v>
      </c>
      <c r="R90" s="11" t="s">
        <v>994</v>
      </c>
      <c r="S90" s="11" t="s">
        <v>994</v>
      </c>
      <c r="T90" s="11" t="s">
        <v>994</v>
      </c>
      <c r="U90" s="11" t="s">
        <v>994</v>
      </c>
      <c r="V90" s="11" t="s">
        <v>994</v>
      </c>
      <c r="W90" s="11" t="s">
        <v>994</v>
      </c>
      <c r="X90" s="11" t="s">
        <v>994</v>
      </c>
      <c r="Y90" s="11" t="s">
        <v>994</v>
      </c>
      <c r="Z90" s="11" t="s">
        <v>994</v>
      </c>
      <c r="AA90" s="11" t="s">
        <v>994</v>
      </c>
      <c r="AB90" s="11" t="s">
        <v>994</v>
      </c>
      <c r="AC90" s="11" t="s">
        <v>994</v>
      </c>
      <c r="AD90" s="11" t="s">
        <v>994</v>
      </c>
    </row>
    <row r="91">
      <c r="B91" s="12" t="s">
        <v>994</v>
      </c>
      <c r="C91" s="11" t="s">
        <v>994</v>
      </c>
      <c r="D91" s="11" t="s">
        <v>994</v>
      </c>
      <c r="E91" s="12" t="s">
        <v>994</v>
      </c>
      <c r="F91" s="12" t="s">
        <v>994</v>
      </c>
      <c r="G91" s="12" t="s">
        <v>994</v>
      </c>
      <c r="H91" s="12" t="s">
        <v>994</v>
      </c>
      <c r="I91" s="12" t="s">
        <v>994</v>
      </c>
      <c r="J91" s="12" t="s">
        <v>994</v>
      </c>
      <c r="K91" s="12" t="s">
        <v>994</v>
      </c>
      <c r="L91" s="13" t="s">
        <v>994</v>
      </c>
      <c r="M91" s="11" t="s">
        <v>994</v>
      </c>
      <c r="N91" s="11" t="s">
        <v>994</v>
      </c>
      <c r="O91" s="11" t="s">
        <v>994</v>
      </c>
      <c r="P91" s="11" t="s">
        <v>994</v>
      </c>
      <c r="Q91" s="11" t="s">
        <v>994</v>
      </c>
      <c r="R91" s="11" t="s">
        <v>994</v>
      </c>
      <c r="S91" s="11" t="s">
        <v>994</v>
      </c>
      <c r="T91" s="11" t="s">
        <v>994</v>
      </c>
      <c r="U91" s="11" t="s">
        <v>994</v>
      </c>
      <c r="V91" s="11" t="s">
        <v>994</v>
      </c>
      <c r="W91" s="11" t="s">
        <v>994</v>
      </c>
      <c r="X91" s="11" t="s">
        <v>994</v>
      </c>
      <c r="Y91" s="11" t="s">
        <v>994</v>
      </c>
      <c r="Z91" s="11" t="s">
        <v>994</v>
      </c>
      <c r="AA91" s="11" t="s">
        <v>994</v>
      </c>
      <c r="AB91" s="11" t="s">
        <v>994</v>
      </c>
      <c r="AC91" s="11" t="s">
        <v>994</v>
      </c>
      <c r="AD91" s="11" t="s">
        <v>994</v>
      </c>
    </row>
    <row r="92">
      <c r="B92" s="12" t="s">
        <v>994</v>
      </c>
      <c r="C92" s="11" t="s">
        <v>994</v>
      </c>
      <c r="D92" s="11" t="s">
        <v>994</v>
      </c>
      <c r="E92" s="12" t="s">
        <v>994</v>
      </c>
      <c r="F92" s="12" t="s">
        <v>994</v>
      </c>
      <c r="G92" s="12" t="s">
        <v>994</v>
      </c>
      <c r="H92" s="12" t="s">
        <v>994</v>
      </c>
      <c r="I92" s="12" t="s">
        <v>994</v>
      </c>
      <c r="J92" s="12" t="s">
        <v>994</v>
      </c>
      <c r="K92" s="12" t="s">
        <v>994</v>
      </c>
      <c r="L92" s="13" t="s">
        <v>994</v>
      </c>
      <c r="M92" s="11" t="s">
        <v>994</v>
      </c>
      <c r="N92" s="11" t="s">
        <v>994</v>
      </c>
      <c r="O92" s="11" t="s">
        <v>994</v>
      </c>
      <c r="P92" s="11" t="s">
        <v>994</v>
      </c>
      <c r="Q92" s="11" t="s">
        <v>994</v>
      </c>
      <c r="R92" s="11" t="s">
        <v>994</v>
      </c>
      <c r="S92" s="11" t="s">
        <v>994</v>
      </c>
      <c r="T92" s="11" t="s">
        <v>994</v>
      </c>
      <c r="U92" s="11" t="s">
        <v>994</v>
      </c>
      <c r="V92" s="11" t="s">
        <v>994</v>
      </c>
      <c r="W92" s="11" t="s">
        <v>994</v>
      </c>
      <c r="X92" s="11" t="s">
        <v>994</v>
      </c>
      <c r="Y92" s="11" t="s">
        <v>994</v>
      </c>
      <c r="Z92" s="11" t="s">
        <v>994</v>
      </c>
      <c r="AA92" s="11" t="s">
        <v>994</v>
      </c>
      <c r="AB92" s="11" t="s">
        <v>994</v>
      </c>
      <c r="AC92" s="11" t="s">
        <v>994</v>
      </c>
      <c r="AD92" s="11" t="s">
        <v>994</v>
      </c>
    </row>
    <row r="93">
      <c r="B93" s="12" t="s">
        <v>994</v>
      </c>
      <c r="C93" s="11" t="s">
        <v>994</v>
      </c>
      <c r="D93" s="11" t="s">
        <v>994</v>
      </c>
      <c r="E93" s="12" t="s">
        <v>994</v>
      </c>
      <c r="F93" s="12" t="s">
        <v>994</v>
      </c>
      <c r="G93" s="12" t="s">
        <v>994</v>
      </c>
      <c r="H93" s="12" t="s">
        <v>994</v>
      </c>
      <c r="I93" s="12" t="s">
        <v>994</v>
      </c>
      <c r="J93" s="12" t="s">
        <v>994</v>
      </c>
      <c r="K93" s="12" t="s">
        <v>994</v>
      </c>
      <c r="L93" s="13" t="s">
        <v>994</v>
      </c>
      <c r="M93" s="11" t="s">
        <v>994</v>
      </c>
      <c r="N93" s="11" t="s">
        <v>994</v>
      </c>
      <c r="O93" s="11" t="s">
        <v>994</v>
      </c>
      <c r="P93" s="11" t="s">
        <v>994</v>
      </c>
      <c r="Q93" s="11" t="s">
        <v>994</v>
      </c>
      <c r="R93" s="11" t="s">
        <v>994</v>
      </c>
      <c r="S93" s="11" t="s">
        <v>994</v>
      </c>
      <c r="T93" s="11" t="s">
        <v>994</v>
      </c>
      <c r="U93" s="11" t="s">
        <v>994</v>
      </c>
      <c r="V93" s="11" t="s">
        <v>994</v>
      </c>
      <c r="W93" s="11" t="s">
        <v>994</v>
      </c>
      <c r="X93" s="11" t="s">
        <v>994</v>
      </c>
      <c r="Y93" s="11" t="s">
        <v>994</v>
      </c>
      <c r="Z93" s="11" t="s">
        <v>994</v>
      </c>
      <c r="AA93" s="11" t="s">
        <v>994</v>
      </c>
      <c r="AB93" s="11" t="s">
        <v>994</v>
      </c>
      <c r="AC93" s="11" t="s">
        <v>994</v>
      </c>
      <c r="AD93" s="11" t="s">
        <v>994</v>
      </c>
    </row>
    <row r="94">
      <c r="B94" s="12" t="s">
        <v>994</v>
      </c>
      <c r="C94" s="11" t="s">
        <v>994</v>
      </c>
      <c r="D94" s="11" t="s">
        <v>994</v>
      </c>
      <c r="E94" s="12" t="s">
        <v>994</v>
      </c>
      <c r="F94" s="12" t="s">
        <v>994</v>
      </c>
      <c r="G94" s="12" t="s">
        <v>994</v>
      </c>
      <c r="H94" s="12" t="s">
        <v>994</v>
      </c>
      <c r="I94" s="12" t="s">
        <v>994</v>
      </c>
      <c r="J94" s="12" t="s">
        <v>994</v>
      </c>
      <c r="K94" s="12" t="s">
        <v>994</v>
      </c>
      <c r="L94" s="13" t="s">
        <v>994</v>
      </c>
      <c r="M94" s="11" t="s">
        <v>994</v>
      </c>
      <c r="N94" s="11" t="s">
        <v>994</v>
      </c>
      <c r="O94" s="11" t="s">
        <v>994</v>
      </c>
      <c r="P94" s="11" t="s">
        <v>994</v>
      </c>
      <c r="Q94" s="11" t="s">
        <v>994</v>
      </c>
      <c r="R94" s="11" t="s">
        <v>994</v>
      </c>
      <c r="S94" s="11" t="s">
        <v>994</v>
      </c>
      <c r="T94" s="11" t="s">
        <v>994</v>
      </c>
      <c r="U94" s="11" t="s">
        <v>994</v>
      </c>
      <c r="V94" s="11" t="s">
        <v>994</v>
      </c>
      <c r="W94" s="11" t="s">
        <v>994</v>
      </c>
      <c r="X94" s="11" t="s">
        <v>994</v>
      </c>
      <c r="Y94" s="11" t="s">
        <v>994</v>
      </c>
      <c r="Z94" s="11" t="s">
        <v>994</v>
      </c>
      <c r="AA94" s="11" t="s">
        <v>994</v>
      </c>
      <c r="AB94" s="11" t="s">
        <v>994</v>
      </c>
      <c r="AC94" s="11" t="s">
        <v>994</v>
      </c>
      <c r="AD94" s="11" t="s">
        <v>994</v>
      </c>
    </row>
    <row r="95">
      <c r="B95" s="12" t="s">
        <v>994</v>
      </c>
      <c r="C95" s="11" t="s">
        <v>994</v>
      </c>
      <c r="D95" s="11" t="s">
        <v>994</v>
      </c>
      <c r="E95" s="12" t="s">
        <v>994</v>
      </c>
      <c r="F95" s="12" t="s">
        <v>994</v>
      </c>
      <c r="G95" s="12" t="s">
        <v>994</v>
      </c>
      <c r="H95" s="12" t="s">
        <v>994</v>
      </c>
      <c r="I95" s="12" t="s">
        <v>994</v>
      </c>
      <c r="J95" s="12" t="s">
        <v>994</v>
      </c>
      <c r="K95" s="12" t="s">
        <v>994</v>
      </c>
      <c r="L95" s="13" t="s">
        <v>994</v>
      </c>
      <c r="M95" s="11" t="s">
        <v>994</v>
      </c>
      <c r="N95" s="11" t="s">
        <v>994</v>
      </c>
      <c r="O95" s="11" t="s">
        <v>994</v>
      </c>
      <c r="P95" s="11" t="s">
        <v>994</v>
      </c>
      <c r="Q95" s="11" t="s">
        <v>994</v>
      </c>
      <c r="R95" s="11" t="s">
        <v>994</v>
      </c>
      <c r="S95" s="11" t="s">
        <v>994</v>
      </c>
      <c r="T95" s="11" t="s">
        <v>994</v>
      </c>
      <c r="U95" s="11" t="s">
        <v>994</v>
      </c>
      <c r="V95" s="11" t="s">
        <v>994</v>
      </c>
      <c r="W95" s="11" t="s">
        <v>994</v>
      </c>
      <c r="X95" s="11" t="s">
        <v>994</v>
      </c>
      <c r="Y95" s="11" t="s">
        <v>994</v>
      </c>
      <c r="Z95" s="11" t="s">
        <v>994</v>
      </c>
      <c r="AA95" s="11" t="s">
        <v>994</v>
      </c>
      <c r="AB95" s="11" t="s">
        <v>994</v>
      </c>
      <c r="AC95" s="11" t="s">
        <v>994</v>
      </c>
      <c r="AD95" s="11" t="s">
        <v>994</v>
      </c>
    </row>
    <row r="96">
      <c r="B96" s="12" t="s">
        <v>994</v>
      </c>
      <c r="C96" s="11" t="s">
        <v>994</v>
      </c>
      <c r="D96" s="11" t="s">
        <v>994</v>
      </c>
      <c r="E96" s="12" t="s">
        <v>994</v>
      </c>
      <c r="F96" s="12" t="s">
        <v>994</v>
      </c>
      <c r="G96" s="12" t="s">
        <v>994</v>
      </c>
      <c r="H96" s="12" t="s">
        <v>994</v>
      </c>
      <c r="I96" s="12" t="s">
        <v>994</v>
      </c>
      <c r="J96" s="12" t="s">
        <v>994</v>
      </c>
      <c r="K96" s="12" t="s">
        <v>994</v>
      </c>
      <c r="L96" s="13" t="s">
        <v>994</v>
      </c>
      <c r="M96" s="11" t="s">
        <v>994</v>
      </c>
      <c r="N96" s="11" t="s">
        <v>994</v>
      </c>
      <c r="O96" s="11" t="s">
        <v>994</v>
      </c>
      <c r="P96" s="11" t="s">
        <v>994</v>
      </c>
      <c r="Q96" s="11" t="s">
        <v>994</v>
      </c>
      <c r="R96" s="11" t="s">
        <v>994</v>
      </c>
      <c r="S96" s="11" t="s">
        <v>994</v>
      </c>
      <c r="T96" s="11" t="s">
        <v>994</v>
      </c>
      <c r="U96" s="11" t="s">
        <v>994</v>
      </c>
      <c r="V96" s="11" t="s">
        <v>994</v>
      </c>
      <c r="W96" s="11" t="s">
        <v>994</v>
      </c>
      <c r="X96" s="11" t="s">
        <v>994</v>
      </c>
      <c r="Y96" s="11" t="s">
        <v>994</v>
      </c>
      <c r="Z96" s="11" t="s">
        <v>994</v>
      </c>
      <c r="AA96" s="11" t="s">
        <v>994</v>
      </c>
      <c r="AB96" s="11" t="s">
        <v>994</v>
      </c>
      <c r="AC96" s="11" t="s">
        <v>994</v>
      </c>
      <c r="AD96" s="11" t="s">
        <v>994</v>
      </c>
    </row>
    <row r="97">
      <c r="B97" s="12" t="s">
        <v>994</v>
      </c>
      <c r="C97" s="11" t="s">
        <v>994</v>
      </c>
      <c r="D97" s="11" t="s">
        <v>994</v>
      </c>
      <c r="E97" s="12" t="s">
        <v>994</v>
      </c>
      <c r="F97" s="12" t="s">
        <v>994</v>
      </c>
      <c r="G97" s="12" t="s">
        <v>994</v>
      </c>
      <c r="H97" s="12" t="s">
        <v>994</v>
      </c>
      <c r="I97" s="12" t="s">
        <v>994</v>
      </c>
      <c r="J97" s="12" t="s">
        <v>994</v>
      </c>
      <c r="K97" s="12" t="s">
        <v>994</v>
      </c>
      <c r="L97" s="13" t="s">
        <v>994</v>
      </c>
      <c r="M97" s="11" t="s">
        <v>994</v>
      </c>
      <c r="N97" s="11" t="s">
        <v>994</v>
      </c>
      <c r="O97" s="11" t="s">
        <v>994</v>
      </c>
      <c r="P97" s="11" t="s">
        <v>994</v>
      </c>
      <c r="Q97" s="11" t="s">
        <v>994</v>
      </c>
      <c r="R97" s="11" t="s">
        <v>994</v>
      </c>
      <c r="S97" s="11" t="s">
        <v>994</v>
      </c>
      <c r="T97" s="11" t="s">
        <v>994</v>
      </c>
      <c r="U97" s="11" t="s">
        <v>994</v>
      </c>
      <c r="V97" s="11" t="s">
        <v>994</v>
      </c>
      <c r="W97" s="11" t="s">
        <v>994</v>
      </c>
      <c r="X97" s="11" t="s">
        <v>994</v>
      </c>
      <c r="Y97" s="11" t="s">
        <v>994</v>
      </c>
      <c r="Z97" s="11" t="s">
        <v>994</v>
      </c>
      <c r="AA97" s="11" t="s">
        <v>994</v>
      </c>
      <c r="AB97" s="11" t="s">
        <v>994</v>
      </c>
      <c r="AC97" s="11" t="s">
        <v>994</v>
      </c>
      <c r="AD97" s="11" t="s">
        <v>994</v>
      </c>
    </row>
    <row r="98">
      <c r="B98" s="12" t="s">
        <v>994</v>
      </c>
      <c r="C98" s="11" t="s">
        <v>994</v>
      </c>
      <c r="D98" s="11" t="s">
        <v>994</v>
      </c>
      <c r="E98" s="12" t="s">
        <v>994</v>
      </c>
      <c r="F98" s="12" t="s">
        <v>994</v>
      </c>
      <c r="G98" s="12" t="s">
        <v>994</v>
      </c>
      <c r="H98" s="12" t="s">
        <v>994</v>
      </c>
      <c r="I98" s="12" t="s">
        <v>994</v>
      </c>
      <c r="J98" s="12" t="s">
        <v>994</v>
      </c>
      <c r="K98" s="12" t="s">
        <v>994</v>
      </c>
      <c r="L98" s="13" t="s">
        <v>994</v>
      </c>
      <c r="M98" s="11" t="s">
        <v>994</v>
      </c>
      <c r="N98" s="11" t="s">
        <v>994</v>
      </c>
      <c r="O98" s="11" t="s">
        <v>994</v>
      </c>
      <c r="P98" s="11" t="s">
        <v>994</v>
      </c>
      <c r="Q98" s="11" t="s">
        <v>994</v>
      </c>
      <c r="R98" s="11" t="s">
        <v>994</v>
      </c>
      <c r="S98" s="11" t="s">
        <v>994</v>
      </c>
      <c r="T98" s="11" t="s">
        <v>994</v>
      </c>
      <c r="U98" s="11" t="s">
        <v>994</v>
      </c>
      <c r="V98" s="11" t="s">
        <v>994</v>
      </c>
      <c r="W98" s="11" t="s">
        <v>994</v>
      </c>
      <c r="X98" s="11" t="s">
        <v>994</v>
      </c>
      <c r="Y98" s="11" t="s">
        <v>994</v>
      </c>
      <c r="Z98" s="11" t="s">
        <v>994</v>
      </c>
      <c r="AA98" s="11" t="s">
        <v>994</v>
      </c>
      <c r="AB98" s="11" t="s">
        <v>994</v>
      </c>
      <c r="AC98" s="11" t="s">
        <v>994</v>
      </c>
      <c r="AD98" s="11" t="s">
        <v>994</v>
      </c>
    </row>
    <row r="99">
      <c r="B99" s="12" t="s">
        <v>994</v>
      </c>
      <c r="C99" s="11" t="s">
        <v>994</v>
      </c>
      <c r="D99" s="11" t="s">
        <v>994</v>
      </c>
      <c r="E99" s="12" t="s">
        <v>994</v>
      </c>
      <c r="F99" s="12" t="s">
        <v>994</v>
      </c>
      <c r="G99" s="12" t="s">
        <v>994</v>
      </c>
      <c r="H99" s="12" t="s">
        <v>994</v>
      </c>
      <c r="I99" s="12" t="s">
        <v>994</v>
      </c>
      <c r="J99" s="12" t="s">
        <v>994</v>
      </c>
      <c r="K99" s="12" t="s">
        <v>994</v>
      </c>
      <c r="L99" s="13" t="s">
        <v>994</v>
      </c>
      <c r="M99" s="11" t="s">
        <v>994</v>
      </c>
      <c r="N99" s="11" t="s">
        <v>994</v>
      </c>
      <c r="O99" s="11" t="s">
        <v>994</v>
      </c>
      <c r="P99" s="11" t="s">
        <v>994</v>
      </c>
      <c r="Q99" s="11" t="s">
        <v>994</v>
      </c>
      <c r="R99" s="11" t="s">
        <v>994</v>
      </c>
      <c r="S99" s="11" t="s">
        <v>994</v>
      </c>
      <c r="T99" s="11" t="s">
        <v>994</v>
      </c>
      <c r="U99" s="11" t="s">
        <v>994</v>
      </c>
      <c r="V99" s="11" t="s">
        <v>994</v>
      </c>
      <c r="W99" s="11" t="s">
        <v>994</v>
      </c>
      <c r="X99" s="11" t="s">
        <v>994</v>
      </c>
      <c r="Y99" s="11" t="s">
        <v>994</v>
      </c>
      <c r="Z99" s="11" t="s">
        <v>994</v>
      </c>
      <c r="AA99" s="11" t="s">
        <v>994</v>
      </c>
      <c r="AB99" s="11" t="s">
        <v>994</v>
      </c>
      <c r="AC99" s="11" t="s">
        <v>994</v>
      </c>
      <c r="AD99" s="11" t="s">
        <v>994</v>
      </c>
    </row>
    <row r="100">
      <c r="B100" s="12" t="s">
        <v>994</v>
      </c>
      <c r="C100" s="11" t="s">
        <v>994</v>
      </c>
      <c r="D100" s="11" t="s">
        <v>994</v>
      </c>
      <c r="E100" s="12" t="s">
        <v>994</v>
      </c>
      <c r="F100" s="12" t="s">
        <v>994</v>
      </c>
      <c r="G100" s="12" t="s">
        <v>994</v>
      </c>
      <c r="H100" s="12" t="s">
        <v>994</v>
      </c>
      <c r="I100" s="12" t="s">
        <v>994</v>
      </c>
      <c r="J100" s="12" t="s">
        <v>994</v>
      </c>
      <c r="K100" s="12" t="s">
        <v>994</v>
      </c>
      <c r="L100" s="13" t="s">
        <v>994</v>
      </c>
      <c r="M100" s="11" t="s">
        <v>994</v>
      </c>
      <c r="N100" s="11" t="s">
        <v>994</v>
      </c>
      <c r="O100" s="11" t="s">
        <v>994</v>
      </c>
      <c r="P100" s="11" t="s">
        <v>994</v>
      </c>
      <c r="Q100" s="11" t="s">
        <v>994</v>
      </c>
      <c r="R100" s="11" t="s">
        <v>994</v>
      </c>
      <c r="S100" s="11" t="s">
        <v>994</v>
      </c>
      <c r="T100" s="11" t="s">
        <v>994</v>
      </c>
      <c r="U100" s="11" t="s">
        <v>994</v>
      </c>
      <c r="V100" s="11" t="s">
        <v>994</v>
      </c>
      <c r="W100" s="11" t="s">
        <v>994</v>
      </c>
      <c r="X100" s="11" t="s">
        <v>994</v>
      </c>
      <c r="Y100" s="11" t="s">
        <v>994</v>
      </c>
      <c r="Z100" s="11" t="s">
        <v>994</v>
      </c>
      <c r="AA100" s="11" t="s">
        <v>994</v>
      </c>
      <c r="AB100" s="11" t="s">
        <v>994</v>
      </c>
      <c r="AC100" s="11" t="s">
        <v>994</v>
      </c>
      <c r="AD100" s="11" t="s">
        <v>994</v>
      </c>
    </row>
    <row r="101">
      <c r="B101" s="12" t="s">
        <v>994</v>
      </c>
      <c r="C101" s="11" t="s">
        <v>994</v>
      </c>
      <c r="D101" s="11" t="s">
        <v>994</v>
      </c>
      <c r="E101" s="12" t="s">
        <v>994</v>
      </c>
      <c r="F101" s="12" t="s">
        <v>994</v>
      </c>
      <c r="G101" s="12" t="s">
        <v>994</v>
      </c>
      <c r="H101" s="12" t="s">
        <v>994</v>
      </c>
      <c r="I101" s="12" t="s">
        <v>994</v>
      </c>
      <c r="J101" s="12" t="s">
        <v>994</v>
      </c>
      <c r="K101" s="12" t="s">
        <v>994</v>
      </c>
      <c r="L101" s="13" t="s">
        <v>994</v>
      </c>
      <c r="M101" s="11" t="s">
        <v>994</v>
      </c>
      <c r="N101" s="11" t="s">
        <v>994</v>
      </c>
      <c r="O101" s="11" t="s">
        <v>994</v>
      </c>
      <c r="P101" s="11" t="s">
        <v>994</v>
      </c>
      <c r="Q101" s="11" t="s">
        <v>994</v>
      </c>
      <c r="R101" s="11" t="s">
        <v>994</v>
      </c>
      <c r="S101" s="11" t="s">
        <v>994</v>
      </c>
      <c r="T101" s="11" t="s">
        <v>994</v>
      </c>
      <c r="U101" s="11" t="s">
        <v>994</v>
      </c>
      <c r="V101" s="11" t="s">
        <v>994</v>
      </c>
      <c r="W101" s="11" t="s">
        <v>994</v>
      </c>
      <c r="X101" s="11" t="s">
        <v>994</v>
      </c>
      <c r="Y101" s="11" t="s">
        <v>994</v>
      </c>
      <c r="Z101" s="11" t="s">
        <v>994</v>
      </c>
      <c r="AA101" s="11" t="s">
        <v>994</v>
      </c>
      <c r="AB101" s="11" t="s">
        <v>994</v>
      </c>
      <c r="AC101" s="11" t="s">
        <v>994</v>
      </c>
      <c r="AD101" s="11" t="s">
        <v>994</v>
      </c>
    </row>
    <row r="102">
      <c r="B102" s="12" t="s">
        <v>994</v>
      </c>
      <c r="C102" s="11" t="s">
        <v>994</v>
      </c>
      <c r="D102" s="11" t="s">
        <v>994</v>
      </c>
      <c r="E102" s="12" t="s">
        <v>994</v>
      </c>
      <c r="F102" s="12" t="s">
        <v>994</v>
      </c>
      <c r="G102" s="12" t="s">
        <v>994</v>
      </c>
      <c r="H102" s="12" t="s">
        <v>994</v>
      </c>
      <c r="I102" s="12" t="s">
        <v>994</v>
      </c>
      <c r="J102" s="12" t="s">
        <v>994</v>
      </c>
      <c r="K102" s="12" t="s">
        <v>994</v>
      </c>
      <c r="L102" s="13" t="s">
        <v>994</v>
      </c>
      <c r="M102" s="11" t="s">
        <v>994</v>
      </c>
      <c r="N102" s="11" t="s">
        <v>994</v>
      </c>
      <c r="O102" s="11" t="s">
        <v>994</v>
      </c>
      <c r="P102" s="11" t="s">
        <v>994</v>
      </c>
      <c r="Q102" s="11" t="s">
        <v>994</v>
      </c>
      <c r="R102" s="11" t="s">
        <v>994</v>
      </c>
      <c r="S102" s="11" t="s">
        <v>994</v>
      </c>
      <c r="T102" s="11" t="s">
        <v>994</v>
      </c>
      <c r="U102" s="11" t="s">
        <v>994</v>
      </c>
      <c r="V102" s="11" t="s">
        <v>994</v>
      </c>
      <c r="W102" s="11" t="s">
        <v>994</v>
      </c>
      <c r="X102" s="11" t="s">
        <v>994</v>
      </c>
      <c r="Y102" s="11" t="s">
        <v>994</v>
      </c>
      <c r="Z102" s="11" t="s">
        <v>994</v>
      </c>
      <c r="AA102" s="11" t="s">
        <v>994</v>
      </c>
      <c r="AB102" s="11" t="s">
        <v>994</v>
      </c>
      <c r="AC102" s="11" t="s">
        <v>994</v>
      </c>
      <c r="AD102" s="11" t="s">
        <v>994</v>
      </c>
    </row>
    <row r="103">
      <c r="B103" s="12" t="s">
        <v>994</v>
      </c>
      <c r="C103" s="11" t="s">
        <v>994</v>
      </c>
      <c r="D103" s="11" t="s">
        <v>994</v>
      </c>
      <c r="E103" s="12" t="s">
        <v>994</v>
      </c>
      <c r="F103" s="12" t="s">
        <v>994</v>
      </c>
      <c r="G103" s="12" t="s">
        <v>994</v>
      </c>
      <c r="H103" s="12" t="s">
        <v>994</v>
      </c>
      <c r="I103" s="12" t="s">
        <v>994</v>
      </c>
      <c r="J103" s="12" t="s">
        <v>994</v>
      </c>
      <c r="K103" s="12" t="s">
        <v>994</v>
      </c>
      <c r="L103" s="13" t="s">
        <v>994</v>
      </c>
      <c r="M103" s="11" t="s">
        <v>994</v>
      </c>
      <c r="N103" s="11" t="s">
        <v>994</v>
      </c>
      <c r="O103" s="11" t="s">
        <v>994</v>
      </c>
      <c r="P103" s="11" t="s">
        <v>994</v>
      </c>
      <c r="Q103" s="11" t="s">
        <v>994</v>
      </c>
      <c r="R103" s="11" t="s">
        <v>994</v>
      </c>
      <c r="S103" s="11" t="s">
        <v>994</v>
      </c>
      <c r="T103" s="11" t="s">
        <v>994</v>
      </c>
      <c r="U103" s="11" t="s">
        <v>994</v>
      </c>
      <c r="V103" s="11" t="s">
        <v>994</v>
      </c>
      <c r="W103" s="11" t="s">
        <v>994</v>
      </c>
      <c r="X103" s="11" t="s">
        <v>994</v>
      </c>
      <c r="Y103" s="11" t="s">
        <v>994</v>
      </c>
      <c r="Z103" s="11" t="s">
        <v>994</v>
      </c>
      <c r="AA103" s="11" t="s">
        <v>994</v>
      </c>
      <c r="AB103" s="11" t="s">
        <v>994</v>
      </c>
      <c r="AC103" s="11" t="s">
        <v>994</v>
      </c>
      <c r="AD103" s="11" t="s">
        <v>994</v>
      </c>
    </row>
    <row r="104">
      <c r="B104" s="12" t="s">
        <v>994</v>
      </c>
      <c r="C104" s="11" t="s">
        <v>994</v>
      </c>
      <c r="D104" s="11" t="s">
        <v>994</v>
      </c>
      <c r="E104" s="12" t="s">
        <v>994</v>
      </c>
      <c r="F104" s="12" t="s">
        <v>994</v>
      </c>
      <c r="G104" s="12" t="s">
        <v>994</v>
      </c>
      <c r="H104" s="12" t="s">
        <v>994</v>
      </c>
      <c r="I104" s="12" t="s">
        <v>994</v>
      </c>
      <c r="J104" s="12" t="s">
        <v>994</v>
      </c>
      <c r="K104" s="12" t="s">
        <v>994</v>
      </c>
      <c r="L104" s="13" t="s">
        <v>994</v>
      </c>
      <c r="M104" s="11" t="s">
        <v>994</v>
      </c>
      <c r="N104" s="11" t="s">
        <v>994</v>
      </c>
      <c r="O104" s="11" t="s">
        <v>994</v>
      </c>
      <c r="P104" s="11" t="s">
        <v>994</v>
      </c>
      <c r="Q104" s="11" t="s">
        <v>994</v>
      </c>
      <c r="R104" s="11" t="s">
        <v>994</v>
      </c>
      <c r="S104" s="11" t="s">
        <v>994</v>
      </c>
      <c r="T104" s="11" t="s">
        <v>994</v>
      </c>
      <c r="U104" s="11" t="s">
        <v>994</v>
      </c>
      <c r="V104" s="11" t="s">
        <v>994</v>
      </c>
      <c r="W104" s="11" t="s">
        <v>994</v>
      </c>
      <c r="X104" s="11" t="s">
        <v>994</v>
      </c>
      <c r="Y104" s="11" t="s">
        <v>994</v>
      </c>
      <c r="Z104" s="11" t="s">
        <v>994</v>
      </c>
      <c r="AA104" s="11" t="s">
        <v>994</v>
      </c>
      <c r="AB104" s="11" t="s">
        <v>994</v>
      </c>
      <c r="AC104" s="11" t="s">
        <v>994</v>
      </c>
      <c r="AD104" s="11" t="s">
        <v>994</v>
      </c>
    </row>
    <row r="105">
      <c r="B105" s="12" t="s">
        <v>994</v>
      </c>
      <c r="C105" s="11" t="s">
        <v>994</v>
      </c>
      <c r="D105" s="11" t="s">
        <v>994</v>
      </c>
      <c r="E105" s="12" t="s">
        <v>994</v>
      </c>
      <c r="F105" s="12" t="s">
        <v>994</v>
      </c>
      <c r="G105" s="12" t="s">
        <v>994</v>
      </c>
      <c r="H105" s="12" t="s">
        <v>994</v>
      </c>
      <c r="I105" s="12" t="s">
        <v>994</v>
      </c>
      <c r="J105" s="12" t="s">
        <v>994</v>
      </c>
      <c r="K105" s="12" t="s">
        <v>994</v>
      </c>
      <c r="L105" s="13" t="s">
        <v>994</v>
      </c>
      <c r="M105" s="11" t="s">
        <v>994</v>
      </c>
      <c r="N105" s="11" t="s">
        <v>994</v>
      </c>
      <c r="O105" s="11" t="s">
        <v>994</v>
      </c>
      <c r="P105" s="11" t="s">
        <v>994</v>
      </c>
      <c r="Q105" s="11" t="s">
        <v>994</v>
      </c>
      <c r="R105" s="11" t="s">
        <v>994</v>
      </c>
      <c r="S105" s="11" t="s">
        <v>994</v>
      </c>
      <c r="T105" s="11" t="s">
        <v>994</v>
      </c>
      <c r="U105" s="11" t="s">
        <v>994</v>
      </c>
      <c r="V105" s="11" t="s">
        <v>994</v>
      </c>
      <c r="W105" s="11" t="s">
        <v>994</v>
      </c>
      <c r="X105" s="11" t="s">
        <v>994</v>
      </c>
      <c r="Y105" s="11" t="s">
        <v>994</v>
      </c>
      <c r="Z105" s="11" t="s">
        <v>994</v>
      </c>
      <c r="AA105" s="11" t="s">
        <v>994</v>
      </c>
      <c r="AB105" s="11" t="s">
        <v>994</v>
      </c>
      <c r="AC105" s="11" t="s">
        <v>994</v>
      </c>
      <c r="AD105" s="11" t="s">
        <v>994</v>
      </c>
    </row>
    <row r="106">
      <c r="B106" s="12" t="s">
        <v>994</v>
      </c>
      <c r="C106" s="11" t="s">
        <v>994</v>
      </c>
      <c r="D106" s="11" t="s">
        <v>994</v>
      </c>
      <c r="E106" s="12" t="s">
        <v>994</v>
      </c>
      <c r="F106" s="12" t="s">
        <v>994</v>
      </c>
      <c r="G106" s="12" t="s">
        <v>994</v>
      </c>
      <c r="H106" s="12" t="s">
        <v>994</v>
      </c>
      <c r="I106" s="12" t="s">
        <v>994</v>
      </c>
      <c r="J106" s="12" t="s">
        <v>994</v>
      </c>
      <c r="K106" s="12" t="s">
        <v>994</v>
      </c>
      <c r="L106" s="13" t="s">
        <v>994</v>
      </c>
      <c r="M106" s="11" t="s">
        <v>994</v>
      </c>
      <c r="N106" s="11" t="s">
        <v>994</v>
      </c>
      <c r="O106" s="11" t="s">
        <v>994</v>
      </c>
      <c r="P106" s="11" t="s">
        <v>994</v>
      </c>
      <c r="Q106" s="11" t="s">
        <v>994</v>
      </c>
      <c r="R106" s="11" t="s">
        <v>994</v>
      </c>
      <c r="S106" s="11" t="s">
        <v>994</v>
      </c>
      <c r="T106" s="11" t="s">
        <v>994</v>
      </c>
      <c r="U106" s="11" t="s">
        <v>994</v>
      </c>
      <c r="V106" s="11" t="s">
        <v>994</v>
      </c>
      <c r="W106" s="11" t="s">
        <v>994</v>
      </c>
      <c r="X106" s="11" t="s">
        <v>994</v>
      </c>
      <c r="Y106" s="11" t="s">
        <v>994</v>
      </c>
      <c r="Z106" s="11" t="s">
        <v>994</v>
      </c>
      <c r="AA106" s="11" t="s">
        <v>994</v>
      </c>
      <c r="AB106" s="11" t="s">
        <v>994</v>
      </c>
      <c r="AC106" s="11" t="s">
        <v>994</v>
      </c>
      <c r="AD106" s="11" t="s">
        <v>994</v>
      </c>
    </row>
    <row r="107">
      <c r="B107" s="12" t="s">
        <v>994</v>
      </c>
      <c r="C107" s="11" t="s">
        <v>994</v>
      </c>
      <c r="D107" s="11" t="s">
        <v>994</v>
      </c>
      <c r="E107" s="12" t="s">
        <v>994</v>
      </c>
      <c r="F107" s="12" t="s">
        <v>994</v>
      </c>
      <c r="G107" s="12" t="s">
        <v>994</v>
      </c>
      <c r="H107" s="12" t="s">
        <v>994</v>
      </c>
      <c r="I107" s="12" t="s">
        <v>994</v>
      </c>
      <c r="J107" s="12" t="s">
        <v>994</v>
      </c>
      <c r="K107" s="12" t="s">
        <v>994</v>
      </c>
      <c r="L107" s="13" t="s">
        <v>994</v>
      </c>
      <c r="M107" s="11" t="s">
        <v>994</v>
      </c>
      <c r="N107" s="11" t="s">
        <v>994</v>
      </c>
      <c r="O107" s="11" t="s">
        <v>994</v>
      </c>
      <c r="P107" s="11" t="s">
        <v>994</v>
      </c>
      <c r="Q107" s="11" t="s">
        <v>994</v>
      </c>
      <c r="R107" s="11" t="s">
        <v>994</v>
      </c>
      <c r="S107" s="11" t="s">
        <v>994</v>
      </c>
      <c r="T107" s="11" t="s">
        <v>994</v>
      </c>
      <c r="U107" s="11" t="s">
        <v>994</v>
      </c>
      <c r="V107" s="11" t="s">
        <v>994</v>
      </c>
      <c r="W107" s="11" t="s">
        <v>994</v>
      </c>
      <c r="X107" s="11" t="s">
        <v>994</v>
      </c>
      <c r="Y107" s="11" t="s">
        <v>994</v>
      </c>
      <c r="Z107" s="11" t="s">
        <v>994</v>
      </c>
      <c r="AA107" s="11" t="s">
        <v>994</v>
      </c>
      <c r="AB107" s="11" t="s">
        <v>994</v>
      </c>
      <c r="AC107" s="11" t="s">
        <v>994</v>
      </c>
      <c r="AD107" s="11" t="s">
        <v>994</v>
      </c>
    </row>
    <row r="108">
      <c r="B108" s="12" t="s">
        <v>994</v>
      </c>
      <c r="C108" s="11" t="s">
        <v>994</v>
      </c>
      <c r="D108" s="11" t="s">
        <v>994</v>
      </c>
      <c r="E108" s="12" t="s">
        <v>994</v>
      </c>
      <c r="F108" s="12" t="s">
        <v>994</v>
      </c>
      <c r="G108" s="12" t="s">
        <v>994</v>
      </c>
      <c r="H108" s="12" t="s">
        <v>994</v>
      </c>
      <c r="I108" s="12" t="s">
        <v>994</v>
      </c>
      <c r="J108" s="12" t="s">
        <v>994</v>
      </c>
      <c r="K108" s="12" t="s">
        <v>994</v>
      </c>
      <c r="L108" s="13" t="s">
        <v>994</v>
      </c>
      <c r="M108" s="11" t="s">
        <v>994</v>
      </c>
      <c r="N108" s="11" t="s">
        <v>994</v>
      </c>
      <c r="O108" s="11" t="s">
        <v>994</v>
      </c>
      <c r="P108" s="11" t="s">
        <v>994</v>
      </c>
      <c r="Q108" s="11" t="s">
        <v>994</v>
      </c>
      <c r="R108" s="11" t="s">
        <v>994</v>
      </c>
      <c r="S108" s="11" t="s">
        <v>994</v>
      </c>
      <c r="T108" s="11" t="s">
        <v>994</v>
      </c>
      <c r="U108" s="11" t="s">
        <v>994</v>
      </c>
      <c r="V108" s="11" t="s">
        <v>994</v>
      </c>
      <c r="W108" s="11" t="s">
        <v>994</v>
      </c>
      <c r="X108" s="11" t="s">
        <v>994</v>
      </c>
      <c r="Y108" s="11" t="s">
        <v>994</v>
      </c>
      <c r="Z108" s="11" t="s">
        <v>994</v>
      </c>
      <c r="AA108" s="11" t="s">
        <v>994</v>
      </c>
      <c r="AB108" s="11" t="s">
        <v>994</v>
      </c>
      <c r="AC108" s="11" t="s">
        <v>994</v>
      </c>
      <c r="AD108" s="11" t="s">
        <v>994</v>
      </c>
    </row>
    <row r="109">
      <c r="B109" s="12" t="s">
        <v>994</v>
      </c>
      <c r="C109" s="11" t="s">
        <v>994</v>
      </c>
      <c r="D109" s="11" t="s">
        <v>994</v>
      </c>
      <c r="E109" s="12" t="s">
        <v>994</v>
      </c>
      <c r="F109" s="12" t="s">
        <v>994</v>
      </c>
      <c r="G109" s="12" t="s">
        <v>994</v>
      </c>
      <c r="H109" s="12" t="s">
        <v>994</v>
      </c>
      <c r="I109" s="12" t="s">
        <v>994</v>
      </c>
      <c r="J109" s="12" t="s">
        <v>994</v>
      </c>
      <c r="K109" s="12" t="s">
        <v>994</v>
      </c>
      <c r="L109" s="13" t="s">
        <v>994</v>
      </c>
      <c r="M109" s="11" t="s">
        <v>994</v>
      </c>
      <c r="N109" s="11" t="s">
        <v>994</v>
      </c>
      <c r="O109" s="11" t="s">
        <v>994</v>
      </c>
      <c r="P109" s="11" t="s">
        <v>994</v>
      </c>
      <c r="Q109" s="11" t="s">
        <v>994</v>
      </c>
      <c r="R109" s="11" t="s">
        <v>994</v>
      </c>
      <c r="S109" s="11" t="s">
        <v>994</v>
      </c>
      <c r="T109" s="11" t="s">
        <v>994</v>
      </c>
      <c r="U109" s="11" t="s">
        <v>994</v>
      </c>
      <c r="V109" s="11" t="s">
        <v>994</v>
      </c>
      <c r="W109" s="11" t="s">
        <v>994</v>
      </c>
      <c r="X109" s="11" t="s">
        <v>994</v>
      </c>
      <c r="Y109" s="11" t="s">
        <v>994</v>
      </c>
      <c r="Z109" s="11" t="s">
        <v>994</v>
      </c>
      <c r="AA109" s="11" t="s">
        <v>994</v>
      </c>
      <c r="AB109" s="11" t="s">
        <v>994</v>
      </c>
      <c r="AC109" s="11" t="s">
        <v>994</v>
      </c>
      <c r="AD109" s="11" t="s">
        <v>994</v>
      </c>
    </row>
    <row r="110">
      <c r="B110" s="12" t="s">
        <v>994</v>
      </c>
      <c r="C110" s="11" t="s">
        <v>994</v>
      </c>
      <c r="D110" s="11" t="s">
        <v>994</v>
      </c>
      <c r="E110" s="12" t="s">
        <v>994</v>
      </c>
      <c r="F110" s="12" t="s">
        <v>994</v>
      </c>
      <c r="G110" s="12" t="s">
        <v>994</v>
      </c>
      <c r="H110" s="12" t="s">
        <v>994</v>
      </c>
      <c r="I110" s="12" t="s">
        <v>994</v>
      </c>
      <c r="J110" s="12" t="s">
        <v>994</v>
      </c>
      <c r="K110" s="12" t="s">
        <v>994</v>
      </c>
      <c r="L110" s="13" t="s">
        <v>994</v>
      </c>
      <c r="M110" s="11" t="s">
        <v>994</v>
      </c>
      <c r="N110" s="11" t="s">
        <v>994</v>
      </c>
      <c r="O110" s="11" t="s">
        <v>994</v>
      </c>
      <c r="P110" s="11" t="s">
        <v>994</v>
      </c>
      <c r="Q110" s="11" t="s">
        <v>994</v>
      </c>
      <c r="R110" s="11" t="s">
        <v>994</v>
      </c>
      <c r="S110" s="11" t="s">
        <v>994</v>
      </c>
      <c r="T110" s="11" t="s">
        <v>994</v>
      </c>
      <c r="U110" s="11" t="s">
        <v>994</v>
      </c>
      <c r="V110" s="11" t="s">
        <v>994</v>
      </c>
      <c r="W110" s="11" t="s">
        <v>994</v>
      </c>
      <c r="X110" s="11" t="s">
        <v>994</v>
      </c>
      <c r="Y110" s="11" t="s">
        <v>994</v>
      </c>
      <c r="Z110" s="11" t="s">
        <v>994</v>
      </c>
      <c r="AA110" s="11" t="s">
        <v>994</v>
      </c>
      <c r="AB110" s="11" t="s">
        <v>994</v>
      </c>
      <c r="AC110" s="11" t="s">
        <v>994</v>
      </c>
      <c r="AD110" s="11" t="s">
        <v>994</v>
      </c>
    </row>
    <row r="111">
      <c r="B111" s="12" t="s">
        <v>994</v>
      </c>
      <c r="C111" s="11" t="s">
        <v>994</v>
      </c>
      <c r="D111" s="11" t="s">
        <v>994</v>
      </c>
      <c r="E111" s="12" t="s">
        <v>994</v>
      </c>
      <c r="F111" s="12" t="s">
        <v>994</v>
      </c>
      <c r="G111" s="12" t="s">
        <v>994</v>
      </c>
      <c r="H111" s="12" t="s">
        <v>994</v>
      </c>
      <c r="I111" s="12" t="s">
        <v>994</v>
      </c>
      <c r="J111" s="12" t="s">
        <v>994</v>
      </c>
      <c r="K111" s="12" t="s">
        <v>994</v>
      </c>
      <c r="L111" s="13" t="s">
        <v>994</v>
      </c>
      <c r="M111" s="11" t="s">
        <v>994</v>
      </c>
      <c r="N111" s="11" t="s">
        <v>994</v>
      </c>
      <c r="O111" s="11" t="s">
        <v>994</v>
      </c>
      <c r="P111" s="11" t="s">
        <v>994</v>
      </c>
      <c r="Q111" s="11" t="s">
        <v>994</v>
      </c>
      <c r="R111" s="11" t="s">
        <v>994</v>
      </c>
      <c r="S111" s="11" t="s">
        <v>994</v>
      </c>
      <c r="T111" s="11" t="s">
        <v>994</v>
      </c>
      <c r="U111" s="11" t="s">
        <v>994</v>
      </c>
      <c r="V111" s="11" t="s">
        <v>994</v>
      </c>
      <c r="W111" s="11" t="s">
        <v>994</v>
      </c>
      <c r="X111" s="11" t="s">
        <v>994</v>
      </c>
      <c r="Y111" s="11" t="s">
        <v>994</v>
      </c>
      <c r="Z111" s="11" t="s">
        <v>994</v>
      </c>
      <c r="AA111" s="11" t="s">
        <v>994</v>
      </c>
      <c r="AB111" s="11" t="s">
        <v>994</v>
      </c>
      <c r="AC111" s="11" t="s">
        <v>994</v>
      </c>
      <c r="AD111" s="11" t="s">
        <v>994</v>
      </c>
    </row>
    <row r="112">
      <c r="B112" s="12" t="s">
        <v>994</v>
      </c>
      <c r="C112" s="11" t="s">
        <v>994</v>
      </c>
      <c r="D112" s="11" t="s">
        <v>994</v>
      </c>
      <c r="E112" s="12" t="s">
        <v>994</v>
      </c>
      <c r="F112" s="12" t="s">
        <v>994</v>
      </c>
      <c r="G112" s="12" t="s">
        <v>994</v>
      </c>
      <c r="H112" s="12" t="s">
        <v>994</v>
      </c>
      <c r="I112" s="12" t="s">
        <v>994</v>
      </c>
      <c r="J112" s="12" t="s">
        <v>994</v>
      </c>
      <c r="K112" s="12" t="s">
        <v>994</v>
      </c>
      <c r="L112" s="13" t="s">
        <v>994</v>
      </c>
      <c r="M112" s="11" t="s">
        <v>994</v>
      </c>
      <c r="N112" s="11" t="s">
        <v>994</v>
      </c>
      <c r="O112" s="11" t="s">
        <v>994</v>
      </c>
      <c r="P112" s="11" t="s">
        <v>994</v>
      </c>
      <c r="Q112" s="11" t="s">
        <v>994</v>
      </c>
      <c r="R112" s="11" t="s">
        <v>994</v>
      </c>
      <c r="S112" s="11" t="s">
        <v>994</v>
      </c>
      <c r="T112" s="11" t="s">
        <v>994</v>
      </c>
      <c r="U112" s="11" t="s">
        <v>994</v>
      </c>
      <c r="V112" s="11" t="s">
        <v>994</v>
      </c>
      <c r="W112" s="11" t="s">
        <v>994</v>
      </c>
      <c r="X112" s="11" t="s">
        <v>994</v>
      </c>
      <c r="Y112" s="11" t="s">
        <v>994</v>
      </c>
      <c r="Z112" s="11" t="s">
        <v>994</v>
      </c>
      <c r="AA112" s="11" t="s">
        <v>994</v>
      </c>
      <c r="AB112" s="11" t="s">
        <v>994</v>
      </c>
      <c r="AC112" s="11" t="s">
        <v>994</v>
      </c>
      <c r="AD112" s="11" t="s">
        <v>994</v>
      </c>
    </row>
    <row r="113">
      <c r="B113" s="12" t="s">
        <v>994</v>
      </c>
      <c r="C113" s="11" t="s">
        <v>994</v>
      </c>
      <c r="D113" s="11" t="s">
        <v>994</v>
      </c>
      <c r="E113" s="12" t="s">
        <v>994</v>
      </c>
      <c r="F113" s="12" t="s">
        <v>994</v>
      </c>
      <c r="G113" s="12" t="s">
        <v>994</v>
      </c>
      <c r="H113" s="12" t="s">
        <v>994</v>
      </c>
      <c r="I113" s="12" t="s">
        <v>994</v>
      </c>
      <c r="J113" s="12" t="s">
        <v>994</v>
      </c>
      <c r="K113" s="12" t="s">
        <v>994</v>
      </c>
      <c r="L113" s="13" t="s">
        <v>994</v>
      </c>
      <c r="M113" s="11" t="s">
        <v>994</v>
      </c>
      <c r="N113" s="11" t="s">
        <v>994</v>
      </c>
      <c r="O113" s="11" t="s">
        <v>994</v>
      </c>
      <c r="P113" s="11" t="s">
        <v>994</v>
      </c>
      <c r="Q113" s="11" t="s">
        <v>994</v>
      </c>
      <c r="R113" s="11" t="s">
        <v>994</v>
      </c>
      <c r="S113" s="11" t="s">
        <v>994</v>
      </c>
      <c r="T113" s="11" t="s">
        <v>994</v>
      </c>
      <c r="U113" s="11" t="s">
        <v>994</v>
      </c>
      <c r="V113" s="11" t="s">
        <v>994</v>
      </c>
      <c r="W113" s="11" t="s">
        <v>994</v>
      </c>
      <c r="X113" s="11" t="s">
        <v>994</v>
      </c>
      <c r="Y113" s="11" t="s">
        <v>994</v>
      </c>
      <c r="Z113" s="11" t="s">
        <v>994</v>
      </c>
      <c r="AA113" s="11" t="s">
        <v>994</v>
      </c>
      <c r="AB113" s="11" t="s">
        <v>994</v>
      </c>
      <c r="AC113" s="11" t="s">
        <v>994</v>
      </c>
      <c r="AD113" s="11" t="s">
        <v>994</v>
      </c>
    </row>
    <row r="114">
      <c r="B114" s="12" t="s">
        <v>994</v>
      </c>
      <c r="C114" s="11" t="s">
        <v>994</v>
      </c>
      <c r="D114" s="11" t="s">
        <v>994</v>
      </c>
      <c r="E114" s="12" t="s">
        <v>994</v>
      </c>
      <c r="F114" s="12" t="s">
        <v>994</v>
      </c>
      <c r="G114" s="12" t="s">
        <v>994</v>
      </c>
      <c r="H114" s="12" t="s">
        <v>994</v>
      </c>
      <c r="I114" s="12" t="s">
        <v>994</v>
      </c>
      <c r="J114" s="12" t="s">
        <v>994</v>
      </c>
      <c r="K114" s="12" t="s">
        <v>994</v>
      </c>
      <c r="L114" s="13" t="s">
        <v>994</v>
      </c>
      <c r="M114" s="11" t="s">
        <v>994</v>
      </c>
      <c r="N114" s="11" t="s">
        <v>994</v>
      </c>
      <c r="O114" s="11" t="s">
        <v>994</v>
      </c>
      <c r="P114" s="11" t="s">
        <v>994</v>
      </c>
      <c r="Q114" s="11" t="s">
        <v>994</v>
      </c>
      <c r="R114" s="11" t="s">
        <v>994</v>
      </c>
      <c r="S114" s="11" t="s">
        <v>994</v>
      </c>
      <c r="T114" s="11" t="s">
        <v>994</v>
      </c>
      <c r="U114" s="11" t="s">
        <v>994</v>
      </c>
      <c r="V114" s="11" t="s">
        <v>994</v>
      </c>
      <c r="W114" s="11" t="s">
        <v>994</v>
      </c>
      <c r="X114" s="11" t="s">
        <v>994</v>
      </c>
      <c r="Y114" s="11" t="s">
        <v>994</v>
      </c>
      <c r="Z114" s="11" t="s">
        <v>994</v>
      </c>
      <c r="AA114" s="11" t="s">
        <v>994</v>
      </c>
      <c r="AB114" s="11" t="s">
        <v>994</v>
      </c>
      <c r="AC114" s="11" t="s">
        <v>994</v>
      </c>
      <c r="AD114" s="11" t="s">
        <v>994</v>
      </c>
    </row>
    <row r="115">
      <c r="B115" s="12" t="s">
        <v>994</v>
      </c>
      <c r="C115" s="11" t="s">
        <v>994</v>
      </c>
      <c r="D115" s="11" t="s">
        <v>994</v>
      </c>
      <c r="E115" s="12" t="s">
        <v>994</v>
      </c>
      <c r="F115" s="12" t="s">
        <v>994</v>
      </c>
      <c r="G115" s="12" t="s">
        <v>994</v>
      </c>
      <c r="H115" s="12" t="s">
        <v>994</v>
      </c>
      <c r="I115" s="12" t="s">
        <v>994</v>
      </c>
      <c r="J115" s="12" t="s">
        <v>994</v>
      </c>
      <c r="K115" s="12" t="s">
        <v>994</v>
      </c>
      <c r="L115" s="13" t="s">
        <v>994</v>
      </c>
      <c r="M115" s="11" t="s">
        <v>994</v>
      </c>
      <c r="N115" s="11" t="s">
        <v>994</v>
      </c>
      <c r="O115" s="11" t="s">
        <v>994</v>
      </c>
      <c r="P115" s="11" t="s">
        <v>994</v>
      </c>
      <c r="Q115" s="11" t="s">
        <v>994</v>
      </c>
      <c r="R115" s="11" t="s">
        <v>994</v>
      </c>
      <c r="S115" s="11" t="s">
        <v>994</v>
      </c>
      <c r="T115" s="11" t="s">
        <v>994</v>
      </c>
      <c r="U115" s="11" t="s">
        <v>994</v>
      </c>
      <c r="V115" s="11" t="s">
        <v>994</v>
      </c>
      <c r="W115" s="11" t="s">
        <v>994</v>
      </c>
      <c r="X115" s="11" t="s">
        <v>994</v>
      </c>
      <c r="Y115" s="11" t="s">
        <v>994</v>
      </c>
      <c r="Z115" s="11" t="s">
        <v>994</v>
      </c>
      <c r="AA115" s="11" t="s">
        <v>994</v>
      </c>
      <c r="AB115" s="11" t="s">
        <v>994</v>
      </c>
      <c r="AC115" s="11" t="s">
        <v>994</v>
      </c>
      <c r="AD115" s="11" t="s">
        <v>994</v>
      </c>
    </row>
    <row r="116">
      <c r="B116" s="12" t="s">
        <v>994</v>
      </c>
      <c r="C116" s="11" t="s">
        <v>994</v>
      </c>
      <c r="D116" s="11" t="s">
        <v>994</v>
      </c>
      <c r="E116" s="12" t="s">
        <v>994</v>
      </c>
      <c r="F116" s="12" t="s">
        <v>994</v>
      </c>
      <c r="G116" s="12" t="s">
        <v>994</v>
      </c>
      <c r="H116" s="12" t="s">
        <v>994</v>
      </c>
      <c r="I116" s="12" t="s">
        <v>994</v>
      </c>
      <c r="J116" s="12" t="s">
        <v>994</v>
      </c>
      <c r="K116" s="12" t="s">
        <v>994</v>
      </c>
      <c r="L116" s="13" t="s">
        <v>994</v>
      </c>
      <c r="M116" s="11" t="s">
        <v>994</v>
      </c>
      <c r="N116" s="11" t="s">
        <v>994</v>
      </c>
      <c r="O116" s="11" t="s">
        <v>994</v>
      </c>
      <c r="P116" s="11" t="s">
        <v>994</v>
      </c>
      <c r="Q116" s="11" t="s">
        <v>994</v>
      </c>
      <c r="R116" s="11" t="s">
        <v>994</v>
      </c>
      <c r="S116" s="11" t="s">
        <v>994</v>
      </c>
      <c r="T116" s="11" t="s">
        <v>994</v>
      </c>
      <c r="U116" s="11" t="s">
        <v>994</v>
      </c>
      <c r="V116" s="11" t="s">
        <v>994</v>
      </c>
      <c r="W116" s="11" t="s">
        <v>994</v>
      </c>
      <c r="X116" s="11" t="s">
        <v>994</v>
      </c>
      <c r="Y116" s="11" t="s">
        <v>994</v>
      </c>
      <c r="Z116" s="11" t="s">
        <v>994</v>
      </c>
      <c r="AA116" s="11" t="s">
        <v>994</v>
      </c>
      <c r="AB116" s="11" t="s">
        <v>994</v>
      </c>
      <c r="AC116" s="11" t="s">
        <v>994</v>
      </c>
      <c r="AD116" s="11" t="s">
        <v>994</v>
      </c>
    </row>
    <row r="117">
      <c r="B117" s="12" t="s">
        <v>994</v>
      </c>
      <c r="C117" s="11" t="s">
        <v>994</v>
      </c>
      <c r="D117" s="11" t="s">
        <v>994</v>
      </c>
      <c r="E117" s="12" t="s">
        <v>994</v>
      </c>
      <c r="F117" s="12" t="s">
        <v>994</v>
      </c>
      <c r="G117" s="12" t="s">
        <v>994</v>
      </c>
      <c r="H117" s="12" t="s">
        <v>994</v>
      </c>
      <c r="I117" s="12" t="s">
        <v>994</v>
      </c>
      <c r="J117" s="12" t="s">
        <v>994</v>
      </c>
      <c r="K117" s="12" t="s">
        <v>994</v>
      </c>
      <c r="L117" s="13" t="s">
        <v>994</v>
      </c>
      <c r="M117" s="11" t="s">
        <v>994</v>
      </c>
      <c r="N117" s="11" t="s">
        <v>994</v>
      </c>
      <c r="O117" s="11" t="s">
        <v>994</v>
      </c>
      <c r="P117" s="11" t="s">
        <v>994</v>
      </c>
      <c r="Q117" s="11" t="s">
        <v>994</v>
      </c>
      <c r="R117" s="11" t="s">
        <v>994</v>
      </c>
      <c r="S117" s="11" t="s">
        <v>994</v>
      </c>
      <c r="T117" s="11" t="s">
        <v>994</v>
      </c>
      <c r="U117" s="11" t="s">
        <v>994</v>
      </c>
      <c r="V117" s="11" t="s">
        <v>994</v>
      </c>
      <c r="W117" s="11" t="s">
        <v>994</v>
      </c>
      <c r="X117" s="11" t="s">
        <v>994</v>
      </c>
      <c r="Y117" s="11" t="s">
        <v>994</v>
      </c>
      <c r="Z117" s="11" t="s">
        <v>994</v>
      </c>
      <c r="AA117" s="11" t="s">
        <v>994</v>
      </c>
      <c r="AB117" s="11" t="s">
        <v>994</v>
      </c>
      <c r="AC117" s="11" t="s">
        <v>994</v>
      </c>
      <c r="AD117" s="11" t="s">
        <v>994</v>
      </c>
    </row>
    <row r="118">
      <c r="B118" s="12" t="s">
        <v>994</v>
      </c>
      <c r="C118" s="11" t="s">
        <v>994</v>
      </c>
      <c r="D118" s="11" t="s">
        <v>994</v>
      </c>
      <c r="E118" s="12" t="s">
        <v>994</v>
      </c>
      <c r="F118" s="12" t="s">
        <v>994</v>
      </c>
      <c r="G118" s="12" t="s">
        <v>994</v>
      </c>
      <c r="H118" s="12" t="s">
        <v>994</v>
      </c>
      <c r="I118" s="12" t="s">
        <v>994</v>
      </c>
      <c r="J118" s="12" t="s">
        <v>994</v>
      </c>
      <c r="K118" s="12" t="s">
        <v>994</v>
      </c>
      <c r="L118" s="13" t="s">
        <v>994</v>
      </c>
      <c r="M118" s="11" t="s">
        <v>994</v>
      </c>
      <c r="N118" s="11" t="s">
        <v>994</v>
      </c>
      <c r="O118" s="11" t="s">
        <v>994</v>
      </c>
      <c r="P118" s="11" t="s">
        <v>994</v>
      </c>
      <c r="Q118" s="11" t="s">
        <v>994</v>
      </c>
      <c r="R118" s="11" t="s">
        <v>994</v>
      </c>
      <c r="S118" s="11" t="s">
        <v>994</v>
      </c>
      <c r="T118" s="11" t="s">
        <v>994</v>
      </c>
      <c r="U118" s="11" t="s">
        <v>994</v>
      </c>
      <c r="V118" s="11" t="s">
        <v>994</v>
      </c>
      <c r="W118" s="11" t="s">
        <v>994</v>
      </c>
      <c r="X118" s="11" t="s">
        <v>994</v>
      </c>
      <c r="Y118" s="11" t="s">
        <v>994</v>
      </c>
      <c r="Z118" s="11" t="s">
        <v>994</v>
      </c>
      <c r="AA118" s="11" t="s">
        <v>994</v>
      </c>
      <c r="AB118" s="11" t="s">
        <v>994</v>
      </c>
      <c r="AC118" s="11" t="s">
        <v>994</v>
      </c>
      <c r="AD118" s="11" t="s">
        <v>994</v>
      </c>
    </row>
    <row r="119">
      <c r="B119" s="12" t="s">
        <v>994</v>
      </c>
      <c r="C119" s="11" t="s">
        <v>994</v>
      </c>
      <c r="D119" s="11" t="s">
        <v>994</v>
      </c>
      <c r="E119" s="12" t="s">
        <v>994</v>
      </c>
      <c r="F119" s="12" t="s">
        <v>994</v>
      </c>
      <c r="G119" s="12" t="s">
        <v>994</v>
      </c>
      <c r="H119" s="12" t="s">
        <v>994</v>
      </c>
      <c r="I119" s="12" t="s">
        <v>994</v>
      </c>
      <c r="J119" s="12" t="s">
        <v>994</v>
      </c>
      <c r="K119" s="12" t="s">
        <v>994</v>
      </c>
      <c r="L119" s="13" t="s">
        <v>994</v>
      </c>
      <c r="M119" s="11" t="s">
        <v>994</v>
      </c>
      <c r="N119" s="11" t="s">
        <v>994</v>
      </c>
      <c r="O119" s="11" t="s">
        <v>994</v>
      </c>
      <c r="P119" s="11" t="s">
        <v>994</v>
      </c>
      <c r="Q119" s="11" t="s">
        <v>994</v>
      </c>
      <c r="R119" s="11" t="s">
        <v>994</v>
      </c>
      <c r="S119" s="11" t="s">
        <v>994</v>
      </c>
      <c r="T119" s="11" t="s">
        <v>994</v>
      </c>
      <c r="U119" s="11" t="s">
        <v>994</v>
      </c>
      <c r="V119" s="11" t="s">
        <v>994</v>
      </c>
      <c r="W119" s="11" t="s">
        <v>994</v>
      </c>
      <c r="X119" s="11" t="s">
        <v>994</v>
      </c>
      <c r="Y119" s="11" t="s">
        <v>994</v>
      </c>
      <c r="Z119" s="11" t="s">
        <v>994</v>
      </c>
      <c r="AA119" s="11" t="s">
        <v>994</v>
      </c>
      <c r="AB119" s="11" t="s">
        <v>994</v>
      </c>
      <c r="AC119" s="11" t="s">
        <v>994</v>
      </c>
      <c r="AD119" s="11" t="s">
        <v>994</v>
      </c>
    </row>
    <row r="120">
      <c r="B120" s="12" t="s">
        <v>994</v>
      </c>
      <c r="C120" s="11" t="s">
        <v>994</v>
      </c>
      <c r="D120" s="11" t="s">
        <v>994</v>
      </c>
      <c r="E120" s="12" t="s">
        <v>994</v>
      </c>
      <c r="F120" s="12" t="s">
        <v>994</v>
      </c>
      <c r="G120" s="12" t="s">
        <v>994</v>
      </c>
      <c r="H120" s="12" t="s">
        <v>994</v>
      </c>
      <c r="I120" s="12" t="s">
        <v>994</v>
      </c>
      <c r="J120" s="12" t="s">
        <v>994</v>
      </c>
      <c r="K120" s="12" t="s">
        <v>994</v>
      </c>
      <c r="L120" s="13" t="s">
        <v>994</v>
      </c>
      <c r="M120" s="11" t="s">
        <v>994</v>
      </c>
      <c r="N120" s="11" t="s">
        <v>994</v>
      </c>
      <c r="O120" s="11" t="s">
        <v>994</v>
      </c>
      <c r="P120" s="11" t="s">
        <v>994</v>
      </c>
      <c r="Q120" s="11" t="s">
        <v>994</v>
      </c>
      <c r="R120" s="11" t="s">
        <v>994</v>
      </c>
      <c r="S120" s="11" t="s">
        <v>994</v>
      </c>
      <c r="T120" s="11" t="s">
        <v>994</v>
      </c>
      <c r="U120" s="11" t="s">
        <v>994</v>
      </c>
      <c r="V120" s="11" t="s">
        <v>994</v>
      </c>
      <c r="W120" s="11" t="s">
        <v>994</v>
      </c>
      <c r="X120" s="11" t="s">
        <v>994</v>
      </c>
      <c r="Y120" s="11" t="s">
        <v>994</v>
      </c>
      <c r="Z120" s="11" t="s">
        <v>994</v>
      </c>
      <c r="AA120" s="11" t="s">
        <v>994</v>
      </c>
      <c r="AB120" s="11" t="s">
        <v>994</v>
      </c>
      <c r="AC120" s="11" t="s">
        <v>994</v>
      </c>
      <c r="AD120" s="11" t="s">
        <v>994</v>
      </c>
    </row>
    <row r="121">
      <c r="B121" s="12" t="s">
        <v>994</v>
      </c>
      <c r="C121" s="11" t="s">
        <v>994</v>
      </c>
      <c r="D121" s="11" t="s">
        <v>994</v>
      </c>
      <c r="E121" s="12" t="s">
        <v>994</v>
      </c>
      <c r="F121" s="12" t="s">
        <v>994</v>
      </c>
      <c r="G121" s="12" t="s">
        <v>994</v>
      </c>
      <c r="H121" s="12" t="s">
        <v>994</v>
      </c>
      <c r="I121" s="12" t="s">
        <v>994</v>
      </c>
      <c r="J121" s="12" t="s">
        <v>994</v>
      </c>
      <c r="K121" s="12" t="s">
        <v>994</v>
      </c>
      <c r="L121" s="13" t="s">
        <v>994</v>
      </c>
      <c r="M121" s="11" t="s">
        <v>994</v>
      </c>
      <c r="N121" s="11" t="s">
        <v>994</v>
      </c>
      <c r="O121" s="11" t="s">
        <v>994</v>
      </c>
      <c r="P121" s="11" t="s">
        <v>994</v>
      </c>
      <c r="Q121" s="11" t="s">
        <v>994</v>
      </c>
      <c r="R121" s="11" t="s">
        <v>994</v>
      </c>
      <c r="S121" s="11" t="s">
        <v>994</v>
      </c>
      <c r="T121" s="11" t="s">
        <v>994</v>
      </c>
      <c r="U121" s="11" t="s">
        <v>994</v>
      </c>
      <c r="V121" s="11" t="s">
        <v>994</v>
      </c>
      <c r="W121" s="11" t="s">
        <v>994</v>
      </c>
      <c r="X121" s="11" t="s">
        <v>994</v>
      </c>
      <c r="Y121" s="11" t="s">
        <v>994</v>
      </c>
      <c r="Z121" s="11" t="s">
        <v>994</v>
      </c>
      <c r="AA121" s="11" t="s">
        <v>994</v>
      </c>
      <c r="AB121" s="11" t="s">
        <v>994</v>
      </c>
      <c r="AC121" s="11" t="s">
        <v>994</v>
      </c>
      <c r="AD121" s="11" t="s">
        <v>994</v>
      </c>
    </row>
    <row r="122">
      <c r="B122" s="12" t="s">
        <v>994</v>
      </c>
      <c r="C122" s="11" t="s">
        <v>994</v>
      </c>
      <c r="D122" s="11" t="s">
        <v>994</v>
      </c>
      <c r="E122" s="12" t="s">
        <v>994</v>
      </c>
      <c r="F122" s="12" t="s">
        <v>994</v>
      </c>
      <c r="G122" s="12" t="s">
        <v>994</v>
      </c>
      <c r="H122" s="12" t="s">
        <v>994</v>
      </c>
      <c r="I122" s="12" t="s">
        <v>994</v>
      </c>
      <c r="J122" s="12" t="s">
        <v>994</v>
      </c>
      <c r="K122" s="12" t="s">
        <v>994</v>
      </c>
      <c r="L122" s="13" t="s">
        <v>994</v>
      </c>
      <c r="M122" s="11" t="s">
        <v>994</v>
      </c>
      <c r="N122" s="11" t="s">
        <v>994</v>
      </c>
      <c r="O122" s="11" t="s">
        <v>994</v>
      </c>
      <c r="P122" s="11" t="s">
        <v>994</v>
      </c>
      <c r="Q122" s="11" t="s">
        <v>994</v>
      </c>
      <c r="R122" s="11" t="s">
        <v>994</v>
      </c>
      <c r="S122" s="11" t="s">
        <v>994</v>
      </c>
      <c r="T122" s="11" t="s">
        <v>994</v>
      </c>
      <c r="U122" s="11" t="s">
        <v>994</v>
      </c>
      <c r="V122" s="11" t="s">
        <v>994</v>
      </c>
      <c r="W122" s="11" t="s">
        <v>994</v>
      </c>
      <c r="X122" s="11" t="s">
        <v>994</v>
      </c>
      <c r="Y122" s="11" t="s">
        <v>994</v>
      </c>
      <c r="Z122" s="11" t="s">
        <v>994</v>
      </c>
      <c r="AA122" s="11" t="s">
        <v>994</v>
      </c>
      <c r="AB122" s="11" t="s">
        <v>994</v>
      </c>
      <c r="AC122" s="11" t="s">
        <v>994</v>
      </c>
      <c r="AD122" s="11" t="s">
        <v>994</v>
      </c>
    </row>
    <row r="123">
      <c r="B123" s="12" t="s">
        <v>994</v>
      </c>
      <c r="C123" s="11" t="s">
        <v>994</v>
      </c>
      <c r="D123" s="11" t="s">
        <v>994</v>
      </c>
      <c r="E123" s="12" t="s">
        <v>994</v>
      </c>
      <c r="F123" s="12" t="s">
        <v>994</v>
      </c>
      <c r="G123" s="12" t="s">
        <v>994</v>
      </c>
      <c r="H123" s="12" t="s">
        <v>994</v>
      </c>
      <c r="I123" s="12" t="s">
        <v>994</v>
      </c>
      <c r="J123" s="12" t="s">
        <v>994</v>
      </c>
      <c r="K123" s="12" t="s">
        <v>994</v>
      </c>
      <c r="L123" s="13" t="s">
        <v>994</v>
      </c>
      <c r="M123" s="11" t="s">
        <v>994</v>
      </c>
      <c r="N123" s="11" t="s">
        <v>994</v>
      </c>
      <c r="O123" s="11" t="s">
        <v>994</v>
      </c>
      <c r="P123" s="11" t="s">
        <v>994</v>
      </c>
      <c r="Q123" s="11" t="s">
        <v>994</v>
      </c>
      <c r="R123" s="11" t="s">
        <v>994</v>
      </c>
      <c r="S123" s="11" t="s">
        <v>994</v>
      </c>
      <c r="T123" s="11" t="s">
        <v>994</v>
      </c>
      <c r="U123" s="11" t="s">
        <v>994</v>
      </c>
      <c r="V123" s="11" t="s">
        <v>994</v>
      </c>
      <c r="W123" s="11" t="s">
        <v>994</v>
      </c>
      <c r="X123" s="11" t="s">
        <v>994</v>
      </c>
      <c r="Y123" s="11" t="s">
        <v>994</v>
      </c>
      <c r="Z123" s="11" t="s">
        <v>994</v>
      </c>
      <c r="AA123" s="11" t="s">
        <v>994</v>
      </c>
      <c r="AB123" s="11" t="s">
        <v>994</v>
      </c>
      <c r="AC123" s="11" t="s">
        <v>994</v>
      </c>
      <c r="AD123" s="11" t="s">
        <v>994</v>
      </c>
    </row>
    <row r="124">
      <c r="B124" s="12" t="s">
        <v>994</v>
      </c>
      <c r="C124" s="11" t="s">
        <v>994</v>
      </c>
      <c r="D124" s="11" t="s">
        <v>994</v>
      </c>
      <c r="E124" s="12" t="s">
        <v>994</v>
      </c>
      <c r="F124" s="12" t="s">
        <v>994</v>
      </c>
      <c r="G124" s="12" t="s">
        <v>994</v>
      </c>
      <c r="H124" s="12" t="s">
        <v>994</v>
      </c>
      <c r="I124" s="12" t="s">
        <v>994</v>
      </c>
      <c r="J124" s="12" t="s">
        <v>994</v>
      </c>
      <c r="K124" s="12" t="s">
        <v>994</v>
      </c>
      <c r="L124" s="13" t="s">
        <v>994</v>
      </c>
      <c r="M124" s="11" t="s">
        <v>994</v>
      </c>
      <c r="N124" s="11" t="s">
        <v>994</v>
      </c>
      <c r="O124" s="11" t="s">
        <v>994</v>
      </c>
      <c r="P124" s="11" t="s">
        <v>994</v>
      </c>
      <c r="Q124" s="11" t="s">
        <v>994</v>
      </c>
      <c r="R124" s="11" t="s">
        <v>994</v>
      </c>
      <c r="S124" s="11" t="s">
        <v>994</v>
      </c>
      <c r="T124" s="11" t="s">
        <v>994</v>
      </c>
      <c r="U124" s="11" t="s">
        <v>994</v>
      </c>
      <c r="V124" s="11" t="s">
        <v>994</v>
      </c>
      <c r="W124" s="11" t="s">
        <v>994</v>
      </c>
      <c r="X124" s="11" t="s">
        <v>994</v>
      </c>
      <c r="Y124" s="11" t="s">
        <v>994</v>
      </c>
      <c r="Z124" s="11" t="s">
        <v>994</v>
      </c>
      <c r="AA124" s="11" t="s">
        <v>994</v>
      </c>
      <c r="AB124" s="11" t="s">
        <v>994</v>
      </c>
      <c r="AC124" s="11" t="s">
        <v>994</v>
      </c>
      <c r="AD124" s="11" t="s">
        <v>994</v>
      </c>
    </row>
    <row r="125">
      <c r="B125" s="12" t="s">
        <v>994</v>
      </c>
      <c r="C125" s="11" t="s">
        <v>994</v>
      </c>
      <c r="D125" s="11" t="s">
        <v>994</v>
      </c>
      <c r="E125" s="12" t="s">
        <v>994</v>
      </c>
      <c r="F125" s="12" t="s">
        <v>994</v>
      </c>
      <c r="G125" s="12" t="s">
        <v>994</v>
      </c>
      <c r="H125" s="12" t="s">
        <v>994</v>
      </c>
      <c r="I125" s="12" t="s">
        <v>994</v>
      </c>
      <c r="J125" s="12" t="s">
        <v>994</v>
      </c>
      <c r="K125" s="12" t="s">
        <v>994</v>
      </c>
      <c r="L125" s="13" t="s">
        <v>994</v>
      </c>
      <c r="M125" s="11" t="s">
        <v>994</v>
      </c>
      <c r="N125" s="11" t="s">
        <v>994</v>
      </c>
      <c r="O125" s="11" t="s">
        <v>994</v>
      </c>
      <c r="P125" s="11" t="s">
        <v>994</v>
      </c>
      <c r="Q125" s="11" t="s">
        <v>994</v>
      </c>
      <c r="R125" s="11" t="s">
        <v>994</v>
      </c>
      <c r="S125" s="11" t="s">
        <v>994</v>
      </c>
      <c r="T125" s="11" t="s">
        <v>994</v>
      </c>
      <c r="U125" s="11" t="s">
        <v>994</v>
      </c>
      <c r="V125" s="11" t="s">
        <v>994</v>
      </c>
      <c r="W125" s="11" t="s">
        <v>994</v>
      </c>
      <c r="X125" s="11" t="s">
        <v>994</v>
      </c>
      <c r="Y125" s="11" t="s">
        <v>994</v>
      </c>
      <c r="Z125" s="11" t="s">
        <v>994</v>
      </c>
      <c r="AA125" s="11" t="s">
        <v>994</v>
      </c>
      <c r="AB125" s="11" t="s">
        <v>994</v>
      </c>
      <c r="AC125" s="11" t="s">
        <v>994</v>
      </c>
      <c r="AD125" s="11" t="s">
        <v>994</v>
      </c>
    </row>
    <row r="126">
      <c r="B126" s="12" t="s">
        <v>994</v>
      </c>
      <c r="C126" s="11" t="s">
        <v>994</v>
      </c>
      <c r="D126" s="11" t="s">
        <v>994</v>
      </c>
      <c r="E126" s="12" t="s">
        <v>994</v>
      </c>
      <c r="F126" s="12" t="s">
        <v>994</v>
      </c>
      <c r="G126" s="12" t="s">
        <v>994</v>
      </c>
      <c r="H126" s="12" t="s">
        <v>994</v>
      </c>
      <c r="I126" s="12" t="s">
        <v>994</v>
      </c>
      <c r="J126" s="12" t="s">
        <v>994</v>
      </c>
      <c r="K126" s="12" t="s">
        <v>994</v>
      </c>
      <c r="L126" s="13" t="s">
        <v>994</v>
      </c>
      <c r="M126" s="11" t="s">
        <v>994</v>
      </c>
      <c r="N126" s="11" t="s">
        <v>994</v>
      </c>
      <c r="O126" s="11" t="s">
        <v>994</v>
      </c>
      <c r="P126" s="11" t="s">
        <v>994</v>
      </c>
      <c r="Q126" s="11" t="s">
        <v>994</v>
      </c>
      <c r="R126" s="11" t="s">
        <v>994</v>
      </c>
      <c r="S126" s="11" t="s">
        <v>994</v>
      </c>
      <c r="T126" s="11" t="s">
        <v>994</v>
      </c>
      <c r="U126" s="11" t="s">
        <v>994</v>
      </c>
      <c r="V126" s="11" t="s">
        <v>994</v>
      </c>
      <c r="W126" s="11" t="s">
        <v>994</v>
      </c>
      <c r="X126" s="11" t="s">
        <v>994</v>
      </c>
      <c r="Y126" s="11" t="s">
        <v>994</v>
      </c>
      <c r="Z126" s="11" t="s">
        <v>994</v>
      </c>
      <c r="AA126" s="11" t="s">
        <v>994</v>
      </c>
      <c r="AB126" s="11" t="s">
        <v>994</v>
      </c>
      <c r="AC126" s="11" t="s">
        <v>994</v>
      </c>
      <c r="AD126" s="11" t="s">
        <v>994</v>
      </c>
    </row>
    <row r="127">
      <c r="B127" s="12" t="s">
        <v>994</v>
      </c>
      <c r="C127" s="11" t="s">
        <v>994</v>
      </c>
      <c r="D127" s="11" t="s">
        <v>994</v>
      </c>
      <c r="E127" s="12" t="s">
        <v>994</v>
      </c>
      <c r="F127" s="12" t="s">
        <v>994</v>
      </c>
      <c r="G127" s="12" t="s">
        <v>994</v>
      </c>
      <c r="H127" s="12" t="s">
        <v>994</v>
      </c>
      <c r="I127" s="12" t="s">
        <v>994</v>
      </c>
      <c r="J127" s="12" t="s">
        <v>994</v>
      </c>
      <c r="K127" s="12" t="s">
        <v>994</v>
      </c>
      <c r="L127" s="13" t="s">
        <v>994</v>
      </c>
      <c r="M127" s="11" t="s">
        <v>994</v>
      </c>
      <c r="N127" s="11" t="s">
        <v>994</v>
      </c>
      <c r="O127" s="11" t="s">
        <v>994</v>
      </c>
      <c r="P127" s="11" t="s">
        <v>994</v>
      </c>
      <c r="Q127" s="11" t="s">
        <v>994</v>
      </c>
      <c r="R127" s="11" t="s">
        <v>994</v>
      </c>
      <c r="S127" s="11" t="s">
        <v>994</v>
      </c>
      <c r="T127" s="11" t="s">
        <v>994</v>
      </c>
      <c r="U127" s="11" t="s">
        <v>994</v>
      </c>
      <c r="V127" s="11" t="s">
        <v>994</v>
      </c>
      <c r="W127" s="11" t="s">
        <v>994</v>
      </c>
      <c r="X127" s="11" t="s">
        <v>994</v>
      </c>
      <c r="Y127" s="11" t="s">
        <v>994</v>
      </c>
      <c r="Z127" s="11" t="s">
        <v>994</v>
      </c>
      <c r="AA127" s="11" t="s">
        <v>994</v>
      </c>
      <c r="AB127" s="11" t="s">
        <v>994</v>
      </c>
      <c r="AC127" s="11" t="s">
        <v>994</v>
      </c>
      <c r="AD127" s="11" t="s">
        <v>994</v>
      </c>
    </row>
    <row r="128">
      <c r="B128" s="12" t="s">
        <v>994</v>
      </c>
      <c r="C128" s="11" t="s">
        <v>994</v>
      </c>
      <c r="D128" s="11" t="s">
        <v>994</v>
      </c>
      <c r="E128" s="12" t="s">
        <v>994</v>
      </c>
      <c r="F128" s="12" t="s">
        <v>994</v>
      </c>
      <c r="G128" s="12" t="s">
        <v>994</v>
      </c>
      <c r="H128" s="12" t="s">
        <v>994</v>
      </c>
      <c r="I128" s="12" t="s">
        <v>994</v>
      </c>
      <c r="J128" s="12" t="s">
        <v>994</v>
      </c>
      <c r="K128" s="12" t="s">
        <v>994</v>
      </c>
      <c r="L128" s="13" t="s">
        <v>994</v>
      </c>
      <c r="M128" s="11" t="s">
        <v>994</v>
      </c>
      <c r="N128" s="11" t="s">
        <v>994</v>
      </c>
      <c r="O128" s="11" t="s">
        <v>994</v>
      </c>
      <c r="P128" s="11" t="s">
        <v>994</v>
      </c>
      <c r="Q128" s="11" t="s">
        <v>994</v>
      </c>
      <c r="R128" s="11" t="s">
        <v>994</v>
      </c>
      <c r="S128" s="11" t="s">
        <v>994</v>
      </c>
      <c r="T128" s="11" t="s">
        <v>994</v>
      </c>
      <c r="U128" s="11" t="s">
        <v>994</v>
      </c>
      <c r="V128" s="11" t="s">
        <v>994</v>
      </c>
      <c r="W128" s="11" t="s">
        <v>994</v>
      </c>
      <c r="X128" s="11" t="s">
        <v>994</v>
      </c>
      <c r="Y128" s="11" t="s">
        <v>994</v>
      </c>
      <c r="Z128" s="11" t="s">
        <v>994</v>
      </c>
      <c r="AA128" s="11" t="s">
        <v>994</v>
      </c>
      <c r="AB128" s="11" t="s">
        <v>994</v>
      </c>
      <c r="AC128" s="11" t="s">
        <v>994</v>
      </c>
      <c r="AD128" s="11" t="s">
        <v>994</v>
      </c>
    </row>
    <row r="129">
      <c r="B129" s="12" t="s">
        <v>994</v>
      </c>
      <c r="C129" s="11" t="s">
        <v>994</v>
      </c>
      <c r="D129" s="11" t="s">
        <v>994</v>
      </c>
      <c r="E129" s="12" t="s">
        <v>994</v>
      </c>
      <c r="F129" s="12" t="s">
        <v>994</v>
      </c>
      <c r="G129" s="12" t="s">
        <v>994</v>
      </c>
      <c r="H129" s="12" t="s">
        <v>994</v>
      </c>
      <c r="I129" s="12" t="s">
        <v>994</v>
      </c>
      <c r="J129" s="12" t="s">
        <v>994</v>
      </c>
      <c r="K129" s="12" t="s">
        <v>994</v>
      </c>
      <c r="L129" s="13" t="s">
        <v>994</v>
      </c>
      <c r="M129" s="11" t="s">
        <v>994</v>
      </c>
      <c r="N129" s="11" t="s">
        <v>994</v>
      </c>
      <c r="O129" s="11" t="s">
        <v>994</v>
      </c>
      <c r="P129" s="11" t="s">
        <v>994</v>
      </c>
      <c r="Q129" s="11" t="s">
        <v>994</v>
      </c>
      <c r="R129" s="11" t="s">
        <v>994</v>
      </c>
      <c r="S129" s="11" t="s">
        <v>994</v>
      </c>
      <c r="T129" s="11" t="s">
        <v>994</v>
      </c>
      <c r="U129" s="11" t="s">
        <v>994</v>
      </c>
      <c r="V129" s="11" t="s">
        <v>994</v>
      </c>
      <c r="W129" s="11" t="s">
        <v>994</v>
      </c>
      <c r="X129" s="11" t="s">
        <v>994</v>
      </c>
      <c r="Y129" s="11" t="s">
        <v>994</v>
      </c>
      <c r="Z129" s="11" t="s">
        <v>994</v>
      </c>
      <c r="AA129" s="11" t="s">
        <v>994</v>
      </c>
      <c r="AB129" s="11" t="s">
        <v>994</v>
      </c>
      <c r="AC129" s="11" t="s">
        <v>994</v>
      </c>
      <c r="AD129" s="11" t="s">
        <v>994</v>
      </c>
    </row>
    <row r="130">
      <c r="B130" s="12" t="s">
        <v>994</v>
      </c>
      <c r="C130" s="11" t="s">
        <v>994</v>
      </c>
      <c r="D130" s="11" t="s">
        <v>994</v>
      </c>
      <c r="E130" s="12" t="s">
        <v>994</v>
      </c>
      <c r="F130" s="12" t="s">
        <v>994</v>
      </c>
      <c r="G130" s="12" t="s">
        <v>994</v>
      </c>
      <c r="H130" s="12" t="s">
        <v>994</v>
      </c>
      <c r="I130" s="12" t="s">
        <v>994</v>
      </c>
      <c r="J130" s="12" t="s">
        <v>994</v>
      </c>
      <c r="K130" s="12" t="s">
        <v>994</v>
      </c>
      <c r="L130" s="13" t="s">
        <v>994</v>
      </c>
      <c r="M130" s="11" t="s">
        <v>994</v>
      </c>
      <c r="N130" s="11" t="s">
        <v>994</v>
      </c>
      <c r="O130" s="11" t="s">
        <v>994</v>
      </c>
      <c r="P130" s="11" t="s">
        <v>994</v>
      </c>
      <c r="Q130" s="11" t="s">
        <v>994</v>
      </c>
      <c r="R130" s="11" t="s">
        <v>994</v>
      </c>
      <c r="S130" s="11" t="s">
        <v>994</v>
      </c>
      <c r="T130" s="11" t="s">
        <v>994</v>
      </c>
      <c r="U130" s="11" t="s">
        <v>994</v>
      </c>
      <c r="V130" s="11" t="s">
        <v>994</v>
      </c>
      <c r="W130" s="11" t="s">
        <v>994</v>
      </c>
      <c r="X130" s="11" t="s">
        <v>994</v>
      </c>
      <c r="Y130" s="11" t="s">
        <v>994</v>
      </c>
      <c r="Z130" s="11" t="s">
        <v>994</v>
      </c>
      <c r="AA130" s="11" t="s">
        <v>994</v>
      </c>
      <c r="AB130" s="11" t="s">
        <v>994</v>
      </c>
      <c r="AC130" s="11" t="s">
        <v>994</v>
      </c>
      <c r="AD130" s="11" t="s">
        <v>994</v>
      </c>
    </row>
    <row r="131">
      <c r="B131" s="12" t="s">
        <v>994</v>
      </c>
      <c r="C131" s="11" t="s">
        <v>994</v>
      </c>
      <c r="D131" s="11" t="s">
        <v>994</v>
      </c>
      <c r="E131" s="12" t="s">
        <v>994</v>
      </c>
      <c r="F131" s="12" t="s">
        <v>994</v>
      </c>
      <c r="G131" s="12" t="s">
        <v>994</v>
      </c>
      <c r="H131" s="12" t="s">
        <v>994</v>
      </c>
      <c r="I131" s="12" t="s">
        <v>994</v>
      </c>
      <c r="J131" s="12" t="s">
        <v>994</v>
      </c>
      <c r="K131" s="12" t="s">
        <v>994</v>
      </c>
      <c r="L131" s="13" t="s">
        <v>994</v>
      </c>
      <c r="M131" s="11" t="s">
        <v>994</v>
      </c>
      <c r="N131" s="11" t="s">
        <v>994</v>
      </c>
      <c r="O131" s="11" t="s">
        <v>994</v>
      </c>
      <c r="P131" s="11" t="s">
        <v>994</v>
      </c>
      <c r="Q131" s="11" t="s">
        <v>994</v>
      </c>
      <c r="R131" s="11" t="s">
        <v>994</v>
      </c>
      <c r="S131" s="11" t="s">
        <v>994</v>
      </c>
      <c r="T131" s="11" t="s">
        <v>994</v>
      </c>
      <c r="U131" s="11" t="s">
        <v>994</v>
      </c>
      <c r="V131" s="11" t="s">
        <v>994</v>
      </c>
      <c r="W131" s="11" t="s">
        <v>994</v>
      </c>
      <c r="X131" s="11" t="s">
        <v>994</v>
      </c>
      <c r="Y131" s="11" t="s">
        <v>994</v>
      </c>
      <c r="Z131" s="11" t="s">
        <v>994</v>
      </c>
      <c r="AA131" s="11" t="s">
        <v>994</v>
      </c>
      <c r="AB131" s="11" t="s">
        <v>994</v>
      </c>
      <c r="AC131" s="11" t="s">
        <v>994</v>
      </c>
      <c r="AD131" s="11" t="s">
        <v>994</v>
      </c>
    </row>
    <row r="132">
      <c r="B132" s="12" t="s">
        <v>994</v>
      </c>
      <c r="C132" s="11" t="s">
        <v>994</v>
      </c>
      <c r="D132" s="11" t="s">
        <v>994</v>
      </c>
      <c r="E132" s="12" t="s">
        <v>994</v>
      </c>
      <c r="F132" s="12" t="s">
        <v>994</v>
      </c>
      <c r="G132" s="12" t="s">
        <v>994</v>
      </c>
      <c r="H132" s="12" t="s">
        <v>994</v>
      </c>
      <c r="I132" s="12" t="s">
        <v>994</v>
      </c>
      <c r="J132" s="12" t="s">
        <v>994</v>
      </c>
      <c r="K132" s="12" t="s">
        <v>994</v>
      </c>
      <c r="L132" s="13" t="s">
        <v>994</v>
      </c>
      <c r="M132" s="11" t="s">
        <v>994</v>
      </c>
      <c r="N132" s="11" t="s">
        <v>994</v>
      </c>
      <c r="O132" s="11" t="s">
        <v>994</v>
      </c>
      <c r="P132" s="11" t="s">
        <v>994</v>
      </c>
      <c r="Q132" s="11" t="s">
        <v>994</v>
      </c>
      <c r="R132" s="11" t="s">
        <v>994</v>
      </c>
      <c r="S132" s="11" t="s">
        <v>994</v>
      </c>
      <c r="T132" s="11" t="s">
        <v>994</v>
      </c>
      <c r="U132" s="11" t="s">
        <v>994</v>
      </c>
      <c r="V132" s="11" t="s">
        <v>994</v>
      </c>
      <c r="W132" s="11" t="s">
        <v>994</v>
      </c>
      <c r="X132" s="11" t="s">
        <v>994</v>
      </c>
      <c r="Y132" s="11" t="s">
        <v>994</v>
      </c>
      <c r="Z132" s="11" t="s">
        <v>994</v>
      </c>
      <c r="AA132" s="11" t="s">
        <v>994</v>
      </c>
      <c r="AB132" s="11" t="s">
        <v>994</v>
      </c>
      <c r="AC132" s="11" t="s">
        <v>994</v>
      </c>
      <c r="AD132" s="11" t="s">
        <v>994</v>
      </c>
    </row>
    <row r="133">
      <c r="B133" s="12" t="s">
        <v>994</v>
      </c>
      <c r="C133" s="11" t="s">
        <v>994</v>
      </c>
      <c r="D133" s="11" t="s">
        <v>994</v>
      </c>
      <c r="E133" s="12" t="s">
        <v>994</v>
      </c>
      <c r="F133" s="12" t="s">
        <v>994</v>
      </c>
      <c r="G133" s="12" t="s">
        <v>994</v>
      </c>
      <c r="H133" s="12" t="s">
        <v>994</v>
      </c>
      <c r="I133" s="12" t="s">
        <v>994</v>
      </c>
      <c r="J133" s="12" t="s">
        <v>994</v>
      </c>
      <c r="K133" s="12" t="s">
        <v>994</v>
      </c>
      <c r="L133" s="13" t="s">
        <v>994</v>
      </c>
      <c r="M133" s="11" t="s">
        <v>994</v>
      </c>
      <c r="N133" s="11" t="s">
        <v>994</v>
      </c>
      <c r="O133" s="11" t="s">
        <v>994</v>
      </c>
      <c r="P133" s="11" t="s">
        <v>994</v>
      </c>
      <c r="Q133" s="11" t="s">
        <v>994</v>
      </c>
      <c r="R133" s="11" t="s">
        <v>994</v>
      </c>
      <c r="S133" s="11" t="s">
        <v>994</v>
      </c>
      <c r="T133" s="11" t="s">
        <v>994</v>
      </c>
      <c r="U133" s="11" t="s">
        <v>994</v>
      </c>
      <c r="V133" s="11" t="s">
        <v>994</v>
      </c>
      <c r="W133" s="11" t="s">
        <v>994</v>
      </c>
      <c r="X133" s="11" t="s">
        <v>994</v>
      </c>
      <c r="Y133" s="11" t="s">
        <v>994</v>
      </c>
      <c r="Z133" s="11" t="s">
        <v>994</v>
      </c>
      <c r="AA133" s="11" t="s">
        <v>994</v>
      </c>
      <c r="AB133" s="11" t="s">
        <v>994</v>
      </c>
      <c r="AC133" s="11" t="s">
        <v>994</v>
      </c>
      <c r="AD133" s="11" t="s">
        <v>994</v>
      </c>
    </row>
    <row r="134">
      <c r="B134" s="12" t="s">
        <v>994</v>
      </c>
      <c r="C134" s="11" t="s">
        <v>994</v>
      </c>
      <c r="D134" s="11" t="s">
        <v>994</v>
      </c>
      <c r="E134" s="12" t="s">
        <v>994</v>
      </c>
      <c r="F134" s="12" t="s">
        <v>994</v>
      </c>
      <c r="G134" s="12" t="s">
        <v>994</v>
      </c>
      <c r="H134" s="12" t="s">
        <v>994</v>
      </c>
      <c r="I134" s="12" t="s">
        <v>994</v>
      </c>
      <c r="J134" s="12" t="s">
        <v>994</v>
      </c>
      <c r="K134" s="12" t="s">
        <v>994</v>
      </c>
      <c r="L134" s="13" t="s">
        <v>994</v>
      </c>
      <c r="M134" s="11" t="s">
        <v>994</v>
      </c>
      <c r="N134" s="11" t="s">
        <v>994</v>
      </c>
      <c r="O134" s="11" t="s">
        <v>994</v>
      </c>
      <c r="P134" s="11" t="s">
        <v>994</v>
      </c>
      <c r="Q134" s="11" t="s">
        <v>994</v>
      </c>
      <c r="R134" s="11" t="s">
        <v>994</v>
      </c>
      <c r="S134" s="11" t="s">
        <v>994</v>
      </c>
      <c r="T134" s="11" t="s">
        <v>994</v>
      </c>
      <c r="U134" s="11" t="s">
        <v>994</v>
      </c>
      <c r="V134" s="11" t="s">
        <v>994</v>
      </c>
      <c r="W134" s="11" t="s">
        <v>994</v>
      </c>
      <c r="X134" s="11" t="s">
        <v>994</v>
      </c>
      <c r="Y134" s="11" t="s">
        <v>994</v>
      </c>
      <c r="Z134" s="11" t="s">
        <v>994</v>
      </c>
      <c r="AA134" s="11" t="s">
        <v>994</v>
      </c>
      <c r="AB134" s="11" t="s">
        <v>994</v>
      </c>
      <c r="AC134" s="11" t="s">
        <v>994</v>
      </c>
      <c r="AD134" s="11" t="s">
        <v>994</v>
      </c>
    </row>
    <row r="135">
      <c r="B135" s="12" t="s">
        <v>994</v>
      </c>
      <c r="C135" s="11" t="s">
        <v>994</v>
      </c>
      <c r="D135" s="11" t="s">
        <v>994</v>
      </c>
      <c r="E135" s="12" t="s">
        <v>994</v>
      </c>
      <c r="F135" s="12" t="s">
        <v>994</v>
      </c>
      <c r="G135" s="12" t="s">
        <v>994</v>
      </c>
      <c r="H135" s="12" t="s">
        <v>994</v>
      </c>
      <c r="I135" s="12" t="s">
        <v>994</v>
      </c>
      <c r="J135" s="12" t="s">
        <v>994</v>
      </c>
      <c r="K135" s="12" t="s">
        <v>994</v>
      </c>
      <c r="L135" s="13" t="s">
        <v>994</v>
      </c>
      <c r="M135" s="11" t="s">
        <v>994</v>
      </c>
      <c r="N135" s="11" t="s">
        <v>994</v>
      </c>
      <c r="O135" s="11" t="s">
        <v>994</v>
      </c>
      <c r="P135" s="11" t="s">
        <v>994</v>
      </c>
      <c r="Q135" s="11" t="s">
        <v>994</v>
      </c>
      <c r="R135" s="11" t="s">
        <v>994</v>
      </c>
      <c r="S135" s="11" t="s">
        <v>994</v>
      </c>
      <c r="T135" s="11" t="s">
        <v>994</v>
      </c>
      <c r="U135" s="11" t="s">
        <v>994</v>
      </c>
      <c r="V135" s="11" t="s">
        <v>994</v>
      </c>
      <c r="W135" s="11" t="s">
        <v>994</v>
      </c>
      <c r="X135" s="11" t="s">
        <v>994</v>
      </c>
      <c r="Y135" s="11" t="s">
        <v>994</v>
      </c>
      <c r="Z135" s="11" t="s">
        <v>994</v>
      </c>
      <c r="AA135" s="11" t="s">
        <v>994</v>
      </c>
      <c r="AB135" s="11" t="s">
        <v>994</v>
      </c>
      <c r="AC135" s="11" t="s">
        <v>994</v>
      </c>
      <c r="AD135" s="11" t="s">
        <v>994</v>
      </c>
    </row>
    <row r="136">
      <c r="B136" s="12" t="s">
        <v>994</v>
      </c>
      <c r="C136" s="11" t="s">
        <v>994</v>
      </c>
      <c r="D136" s="11" t="s">
        <v>994</v>
      </c>
      <c r="E136" s="12" t="s">
        <v>994</v>
      </c>
      <c r="F136" s="12" t="s">
        <v>994</v>
      </c>
      <c r="G136" s="12" t="s">
        <v>994</v>
      </c>
      <c r="H136" s="12" t="s">
        <v>994</v>
      </c>
      <c r="I136" s="12" t="s">
        <v>994</v>
      </c>
      <c r="J136" s="12" t="s">
        <v>994</v>
      </c>
      <c r="K136" s="12" t="s">
        <v>994</v>
      </c>
      <c r="L136" s="13" t="s">
        <v>994</v>
      </c>
      <c r="M136" s="11" t="s">
        <v>994</v>
      </c>
      <c r="N136" s="11" t="s">
        <v>994</v>
      </c>
      <c r="O136" s="11" t="s">
        <v>994</v>
      </c>
      <c r="P136" s="11" t="s">
        <v>994</v>
      </c>
      <c r="Q136" s="11" t="s">
        <v>994</v>
      </c>
      <c r="R136" s="11" t="s">
        <v>994</v>
      </c>
      <c r="S136" s="11" t="s">
        <v>994</v>
      </c>
      <c r="T136" s="11" t="s">
        <v>994</v>
      </c>
      <c r="U136" s="11" t="s">
        <v>994</v>
      </c>
      <c r="V136" s="11" t="s">
        <v>994</v>
      </c>
      <c r="W136" s="11" t="s">
        <v>994</v>
      </c>
      <c r="X136" s="11" t="s">
        <v>994</v>
      </c>
      <c r="Y136" s="11" t="s">
        <v>994</v>
      </c>
      <c r="Z136" s="11" t="s">
        <v>994</v>
      </c>
      <c r="AA136" s="11" t="s">
        <v>994</v>
      </c>
      <c r="AB136" s="11" t="s">
        <v>994</v>
      </c>
      <c r="AC136" s="11" t="s">
        <v>994</v>
      </c>
      <c r="AD136" s="11" t="s">
        <v>994</v>
      </c>
    </row>
    <row r="137">
      <c r="B137" s="12" t="s">
        <v>994</v>
      </c>
      <c r="C137" s="11" t="s">
        <v>994</v>
      </c>
      <c r="D137" s="11" t="s">
        <v>994</v>
      </c>
      <c r="E137" s="12" t="s">
        <v>994</v>
      </c>
      <c r="F137" s="12" t="s">
        <v>994</v>
      </c>
      <c r="G137" s="12" t="s">
        <v>994</v>
      </c>
      <c r="H137" s="12" t="s">
        <v>994</v>
      </c>
      <c r="I137" s="12" t="s">
        <v>994</v>
      </c>
      <c r="J137" s="12" t="s">
        <v>994</v>
      </c>
      <c r="K137" s="12" t="s">
        <v>994</v>
      </c>
      <c r="L137" s="13" t="s">
        <v>994</v>
      </c>
      <c r="M137" s="11" t="s">
        <v>994</v>
      </c>
      <c r="N137" s="11" t="s">
        <v>994</v>
      </c>
      <c r="O137" s="11" t="s">
        <v>994</v>
      </c>
      <c r="P137" s="11" t="s">
        <v>994</v>
      </c>
      <c r="Q137" s="11" t="s">
        <v>994</v>
      </c>
      <c r="R137" s="11" t="s">
        <v>994</v>
      </c>
      <c r="S137" s="11" t="s">
        <v>994</v>
      </c>
      <c r="T137" s="11" t="s">
        <v>994</v>
      </c>
      <c r="U137" s="11" t="s">
        <v>994</v>
      </c>
      <c r="V137" s="11" t="s">
        <v>994</v>
      </c>
      <c r="W137" s="11" t="s">
        <v>994</v>
      </c>
      <c r="X137" s="11" t="s">
        <v>994</v>
      </c>
      <c r="Y137" s="11" t="s">
        <v>994</v>
      </c>
      <c r="Z137" s="11" t="s">
        <v>994</v>
      </c>
      <c r="AA137" s="11" t="s">
        <v>994</v>
      </c>
      <c r="AB137" s="11" t="s">
        <v>994</v>
      </c>
      <c r="AC137" s="11" t="s">
        <v>994</v>
      </c>
      <c r="AD137" s="11" t="s">
        <v>994</v>
      </c>
    </row>
    <row r="138">
      <c r="B138" s="12" t="s">
        <v>994</v>
      </c>
      <c r="C138" s="11" t="s">
        <v>994</v>
      </c>
      <c r="D138" s="11" t="s">
        <v>994</v>
      </c>
      <c r="E138" s="12" t="s">
        <v>994</v>
      </c>
      <c r="F138" s="12" t="s">
        <v>994</v>
      </c>
      <c r="G138" s="12" t="s">
        <v>994</v>
      </c>
      <c r="H138" s="12" t="s">
        <v>994</v>
      </c>
      <c r="I138" s="12" t="s">
        <v>994</v>
      </c>
      <c r="J138" s="12" t="s">
        <v>994</v>
      </c>
      <c r="K138" s="12" t="s">
        <v>994</v>
      </c>
      <c r="L138" s="13" t="s">
        <v>994</v>
      </c>
      <c r="M138" s="11" t="s">
        <v>994</v>
      </c>
      <c r="N138" s="11" t="s">
        <v>994</v>
      </c>
      <c r="O138" s="11" t="s">
        <v>994</v>
      </c>
      <c r="P138" s="11" t="s">
        <v>994</v>
      </c>
      <c r="Q138" s="11" t="s">
        <v>994</v>
      </c>
      <c r="R138" s="11" t="s">
        <v>994</v>
      </c>
      <c r="S138" s="11" t="s">
        <v>994</v>
      </c>
      <c r="T138" s="11" t="s">
        <v>994</v>
      </c>
      <c r="U138" s="11" t="s">
        <v>994</v>
      </c>
      <c r="V138" s="11" t="s">
        <v>994</v>
      </c>
      <c r="W138" s="11" t="s">
        <v>994</v>
      </c>
      <c r="X138" s="11" t="s">
        <v>994</v>
      </c>
      <c r="Y138" s="11" t="s">
        <v>994</v>
      </c>
      <c r="Z138" s="11" t="s">
        <v>994</v>
      </c>
      <c r="AA138" s="11" t="s">
        <v>994</v>
      </c>
      <c r="AB138" s="11" t="s">
        <v>994</v>
      </c>
      <c r="AC138" s="11" t="s">
        <v>994</v>
      </c>
      <c r="AD138" s="11" t="s">
        <v>994</v>
      </c>
    </row>
    <row r="139">
      <c r="B139" s="12" t="s">
        <v>994</v>
      </c>
      <c r="C139" s="11" t="s">
        <v>994</v>
      </c>
      <c r="D139" s="11" t="s">
        <v>994</v>
      </c>
      <c r="E139" s="12" t="s">
        <v>994</v>
      </c>
      <c r="F139" s="12" t="s">
        <v>994</v>
      </c>
      <c r="G139" s="12" t="s">
        <v>994</v>
      </c>
      <c r="H139" s="12" t="s">
        <v>994</v>
      </c>
      <c r="I139" s="12" t="s">
        <v>994</v>
      </c>
      <c r="J139" s="12" t="s">
        <v>994</v>
      </c>
      <c r="K139" s="12" t="s">
        <v>994</v>
      </c>
      <c r="L139" s="13" t="s">
        <v>994</v>
      </c>
      <c r="M139" s="11" t="s">
        <v>994</v>
      </c>
      <c r="N139" s="11" t="s">
        <v>994</v>
      </c>
      <c r="O139" s="11" t="s">
        <v>994</v>
      </c>
      <c r="P139" s="11" t="s">
        <v>994</v>
      </c>
      <c r="Q139" s="11" t="s">
        <v>994</v>
      </c>
      <c r="R139" s="11" t="s">
        <v>994</v>
      </c>
      <c r="S139" s="11" t="s">
        <v>994</v>
      </c>
      <c r="T139" s="11" t="s">
        <v>994</v>
      </c>
      <c r="U139" s="11" t="s">
        <v>994</v>
      </c>
      <c r="V139" s="11" t="s">
        <v>994</v>
      </c>
      <c r="W139" s="11" t="s">
        <v>994</v>
      </c>
      <c r="X139" s="11" t="s">
        <v>994</v>
      </c>
      <c r="Y139" s="11" t="s">
        <v>994</v>
      </c>
      <c r="Z139" s="11" t="s">
        <v>994</v>
      </c>
      <c r="AA139" s="11" t="s">
        <v>994</v>
      </c>
      <c r="AB139" s="11" t="s">
        <v>994</v>
      </c>
      <c r="AC139" s="11" t="s">
        <v>994</v>
      </c>
      <c r="AD139" s="11" t="s">
        <v>994</v>
      </c>
    </row>
    <row r="140">
      <c r="B140" s="12" t="s">
        <v>994</v>
      </c>
      <c r="C140" s="11" t="s">
        <v>994</v>
      </c>
      <c r="D140" s="11" t="s">
        <v>994</v>
      </c>
      <c r="E140" s="12" t="s">
        <v>994</v>
      </c>
      <c r="F140" s="12" t="s">
        <v>994</v>
      </c>
      <c r="G140" s="12" t="s">
        <v>994</v>
      </c>
      <c r="H140" s="12" t="s">
        <v>994</v>
      </c>
      <c r="I140" s="12" t="s">
        <v>994</v>
      </c>
      <c r="J140" s="12" t="s">
        <v>994</v>
      </c>
      <c r="K140" s="12" t="s">
        <v>994</v>
      </c>
      <c r="L140" s="13" t="s">
        <v>994</v>
      </c>
      <c r="M140" s="11" t="s">
        <v>994</v>
      </c>
      <c r="N140" s="11" t="s">
        <v>994</v>
      </c>
      <c r="O140" s="11" t="s">
        <v>994</v>
      </c>
      <c r="P140" s="11" t="s">
        <v>994</v>
      </c>
      <c r="Q140" s="11" t="s">
        <v>994</v>
      </c>
      <c r="R140" s="11" t="s">
        <v>994</v>
      </c>
      <c r="S140" s="11" t="s">
        <v>994</v>
      </c>
      <c r="T140" s="11" t="s">
        <v>994</v>
      </c>
      <c r="U140" s="11" t="s">
        <v>994</v>
      </c>
      <c r="V140" s="11" t="s">
        <v>994</v>
      </c>
      <c r="W140" s="11" t="s">
        <v>994</v>
      </c>
      <c r="X140" s="11" t="s">
        <v>994</v>
      </c>
      <c r="Y140" s="11" t="s">
        <v>994</v>
      </c>
      <c r="Z140" s="11" t="s">
        <v>994</v>
      </c>
      <c r="AA140" s="11" t="s">
        <v>994</v>
      </c>
      <c r="AB140" s="11" t="s">
        <v>994</v>
      </c>
      <c r="AC140" s="11" t="s">
        <v>994</v>
      </c>
      <c r="AD140" s="11" t="s">
        <v>994</v>
      </c>
    </row>
    <row r="141">
      <c r="B141" s="12" t="s">
        <v>994</v>
      </c>
      <c r="C141" s="11" t="s">
        <v>994</v>
      </c>
      <c r="D141" s="11" t="s">
        <v>994</v>
      </c>
      <c r="E141" s="12" t="s">
        <v>994</v>
      </c>
      <c r="F141" s="12" t="s">
        <v>994</v>
      </c>
      <c r="G141" s="12" t="s">
        <v>994</v>
      </c>
      <c r="H141" s="12" t="s">
        <v>994</v>
      </c>
      <c r="I141" s="12" t="s">
        <v>994</v>
      </c>
      <c r="J141" s="12" t="s">
        <v>994</v>
      </c>
      <c r="K141" s="12" t="s">
        <v>994</v>
      </c>
      <c r="L141" s="13" t="s">
        <v>994</v>
      </c>
      <c r="M141" s="11" t="s">
        <v>994</v>
      </c>
      <c r="N141" s="11" t="s">
        <v>994</v>
      </c>
      <c r="O141" s="11" t="s">
        <v>994</v>
      </c>
      <c r="P141" s="11" t="s">
        <v>994</v>
      </c>
      <c r="Q141" s="11" t="s">
        <v>994</v>
      </c>
      <c r="R141" s="11" t="s">
        <v>994</v>
      </c>
      <c r="S141" s="11" t="s">
        <v>994</v>
      </c>
      <c r="T141" s="11" t="s">
        <v>994</v>
      </c>
      <c r="U141" s="11" t="s">
        <v>994</v>
      </c>
      <c r="V141" s="11" t="s">
        <v>994</v>
      </c>
      <c r="W141" s="11" t="s">
        <v>994</v>
      </c>
      <c r="X141" s="11" t="s">
        <v>994</v>
      </c>
      <c r="Y141" s="11" t="s">
        <v>994</v>
      </c>
      <c r="Z141" s="11" t="s">
        <v>994</v>
      </c>
      <c r="AA141" s="11" t="s">
        <v>994</v>
      </c>
      <c r="AB141" s="11" t="s">
        <v>994</v>
      </c>
      <c r="AC141" s="11" t="s">
        <v>994</v>
      </c>
      <c r="AD141" s="11" t="s">
        <v>994</v>
      </c>
    </row>
    <row r="142">
      <c r="B142" s="12" t="s">
        <v>994</v>
      </c>
      <c r="C142" s="11" t="s">
        <v>994</v>
      </c>
      <c r="D142" s="11" t="s">
        <v>994</v>
      </c>
      <c r="E142" s="12" t="s">
        <v>994</v>
      </c>
      <c r="F142" s="12" t="s">
        <v>994</v>
      </c>
      <c r="G142" s="12" t="s">
        <v>994</v>
      </c>
      <c r="H142" s="12" t="s">
        <v>994</v>
      </c>
      <c r="I142" s="12" t="s">
        <v>994</v>
      </c>
      <c r="J142" s="12" t="s">
        <v>994</v>
      </c>
      <c r="K142" s="12" t="s">
        <v>994</v>
      </c>
      <c r="L142" s="13" t="s">
        <v>994</v>
      </c>
      <c r="M142" s="11" t="s">
        <v>994</v>
      </c>
      <c r="N142" s="11" t="s">
        <v>994</v>
      </c>
      <c r="O142" s="11" t="s">
        <v>994</v>
      </c>
      <c r="P142" s="11" t="s">
        <v>994</v>
      </c>
      <c r="Q142" s="11" t="s">
        <v>994</v>
      </c>
      <c r="R142" s="11" t="s">
        <v>994</v>
      </c>
      <c r="S142" s="11" t="s">
        <v>994</v>
      </c>
      <c r="T142" s="11" t="s">
        <v>994</v>
      </c>
      <c r="U142" s="11" t="s">
        <v>994</v>
      </c>
      <c r="V142" s="11" t="s">
        <v>994</v>
      </c>
      <c r="W142" s="11" t="s">
        <v>994</v>
      </c>
      <c r="X142" s="11" t="s">
        <v>994</v>
      </c>
      <c r="Y142" s="11" t="s">
        <v>994</v>
      </c>
      <c r="Z142" s="11" t="s">
        <v>994</v>
      </c>
      <c r="AA142" s="11" t="s">
        <v>994</v>
      </c>
      <c r="AB142" s="11" t="s">
        <v>994</v>
      </c>
      <c r="AC142" s="11" t="s">
        <v>994</v>
      </c>
      <c r="AD142" s="11" t="s">
        <v>994</v>
      </c>
    </row>
    <row r="143">
      <c r="B143" s="12" t="s">
        <v>994</v>
      </c>
      <c r="C143" s="11" t="s">
        <v>994</v>
      </c>
      <c r="D143" s="11" t="s">
        <v>994</v>
      </c>
      <c r="E143" s="12" t="s">
        <v>994</v>
      </c>
      <c r="F143" s="12" t="s">
        <v>994</v>
      </c>
      <c r="G143" s="12" t="s">
        <v>994</v>
      </c>
      <c r="H143" s="12" t="s">
        <v>994</v>
      </c>
      <c r="I143" s="12" t="s">
        <v>994</v>
      </c>
      <c r="J143" s="12" t="s">
        <v>994</v>
      </c>
      <c r="K143" s="12" t="s">
        <v>994</v>
      </c>
      <c r="L143" s="13" t="s">
        <v>994</v>
      </c>
      <c r="M143" s="11" t="s">
        <v>994</v>
      </c>
      <c r="N143" s="11" t="s">
        <v>994</v>
      </c>
      <c r="O143" s="11" t="s">
        <v>994</v>
      </c>
      <c r="P143" s="11" t="s">
        <v>994</v>
      </c>
      <c r="Q143" s="11" t="s">
        <v>994</v>
      </c>
      <c r="R143" s="11" t="s">
        <v>994</v>
      </c>
      <c r="S143" s="11" t="s">
        <v>994</v>
      </c>
      <c r="T143" s="11" t="s">
        <v>994</v>
      </c>
      <c r="U143" s="11" t="s">
        <v>994</v>
      </c>
      <c r="V143" s="11" t="s">
        <v>994</v>
      </c>
      <c r="W143" s="11" t="s">
        <v>994</v>
      </c>
      <c r="X143" s="11" t="s">
        <v>994</v>
      </c>
      <c r="Y143" s="11" t="s">
        <v>994</v>
      </c>
      <c r="Z143" s="11" t="s">
        <v>994</v>
      </c>
      <c r="AA143" s="11" t="s">
        <v>994</v>
      </c>
      <c r="AB143" s="11" t="s">
        <v>994</v>
      </c>
      <c r="AC143" s="11" t="s">
        <v>994</v>
      </c>
      <c r="AD143" s="11" t="s">
        <v>994</v>
      </c>
    </row>
    <row r="144">
      <c r="B144" s="12" t="s">
        <v>994</v>
      </c>
      <c r="C144" s="11" t="s">
        <v>994</v>
      </c>
      <c r="D144" s="11" t="s">
        <v>994</v>
      </c>
      <c r="E144" s="12" t="s">
        <v>994</v>
      </c>
      <c r="F144" s="12" t="s">
        <v>994</v>
      </c>
      <c r="G144" s="12" t="s">
        <v>994</v>
      </c>
      <c r="H144" s="12" t="s">
        <v>994</v>
      </c>
      <c r="I144" s="12" t="s">
        <v>994</v>
      </c>
      <c r="J144" s="12" t="s">
        <v>994</v>
      </c>
      <c r="K144" s="12" t="s">
        <v>994</v>
      </c>
      <c r="L144" s="13" t="s">
        <v>994</v>
      </c>
      <c r="M144" s="11" t="s">
        <v>994</v>
      </c>
      <c r="N144" s="11" t="s">
        <v>994</v>
      </c>
      <c r="O144" s="11" t="s">
        <v>994</v>
      </c>
      <c r="P144" s="11" t="s">
        <v>994</v>
      </c>
      <c r="Q144" s="11" t="s">
        <v>994</v>
      </c>
      <c r="R144" s="11" t="s">
        <v>994</v>
      </c>
      <c r="S144" s="11" t="s">
        <v>994</v>
      </c>
      <c r="T144" s="11" t="s">
        <v>994</v>
      </c>
      <c r="U144" s="11" t="s">
        <v>994</v>
      </c>
      <c r="V144" s="11" t="s">
        <v>994</v>
      </c>
      <c r="W144" s="11" t="s">
        <v>994</v>
      </c>
      <c r="X144" s="11" t="s">
        <v>994</v>
      </c>
      <c r="Y144" s="11" t="s">
        <v>994</v>
      </c>
      <c r="Z144" s="11" t="s">
        <v>994</v>
      </c>
      <c r="AA144" s="11" t="s">
        <v>994</v>
      </c>
      <c r="AB144" s="11" t="s">
        <v>994</v>
      </c>
      <c r="AC144" s="11" t="s">
        <v>994</v>
      </c>
      <c r="AD144" s="11" t="s">
        <v>994</v>
      </c>
    </row>
    <row r="145">
      <c r="B145" s="12" t="s">
        <v>994</v>
      </c>
      <c r="C145" s="11" t="s">
        <v>994</v>
      </c>
      <c r="D145" s="11" t="s">
        <v>994</v>
      </c>
      <c r="E145" s="12" t="s">
        <v>994</v>
      </c>
      <c r="F145" s="12" t="s">
        <v>994</v>
      </c>
      <c r="G145" s="12" t="s">
        <v>994</v>
      </c>
      <c r="H145" s="12" t="s">
        <v>994</v>
      </c>
      <c r="I145" s="12" t="s">
        <v>994</v>
      </c>
      <c r="J145" s="12" t="s">
        <v>994</v>
      </c>
      <c r="K145" s="12" t="s">
        <v>994</v>
      </c>
      <c r="L145" s="13" t="s">
        <v>994</v>
      </c>
      <c r="M145" s="11" t="s">
        <v>994</v>
      </c>
      <c r="N145" s="11" t="s">
        <v>994</v>
      </c>
      <c r="O145" s="11" t="s">
        <v>994</v>
      </c>
      <c r="P145" s="11" t="s">
        <v>994</v>
      </c>
      <c r="Q145" s="11" t="s">
        <v>994</v>
      </c>
      <c r="R145" s="11" t="s">
        <v>994</v>
      </c>
      <c r="S145" s="11" t="s">
        <v>994</v>
      </c>
      <c r="T145" s="11" t="s">
        <v>994</v>
      </c>
      <c r="U145" s="11" t="s">
        <v>994</v>
      </c>
      <c r="V145" s="11" t="s">
        <v>994</v>
      </c>
      <c r="W145" s="11" t="s">
        <v>994</v>
      </c>
      <c r="X145" s="11" t="s">
        <v>994</v>
      </c>
      <c r="Y145" s="11" t="s">
        <v>994</v>
      </c>
      <c r="Z145" s="11" t="s">
        <v>994</v>
      </c>
      <c r="AA145" s="11" t="s">
        <v>994</v>
      </c>
      <c r="AB145" s="11" t="s">
        <v>994</v>
      </c>
      <c r="AC145" s="11" t="s">
        <v>994</v>
      </c>
      <c r="AD145" s="11" t="s">
        <v>994</v>
      </c>
    </row>
    <row r="146">
      <c r="B146" s="12" t="s">
        <v>994</v>
      </c>
      <c r="C146" s="11" t="s">
        <v>994</v>
      </c>
      <c r="D146" s="11" t="s">
        <v>994</v>
      </c>
      <c r="E146" s="12" t="s">
        <v>994</v>
      </c>
      <c r="F146" s="12" t="s">
        <v>994</v>
      </c>
      <c r="G146" s="12" t="s">
        <v>994</v>
      </c>
      <c r="H146" s="12" t="s">
        <v>994</v>
      </c>
      <c r="I146" s="12" t="s">
        <v>994</v>
      </c>
      <c r="J146" s="12" t="s">
        <v>994</v>
      </c>
      <c r="K146" s="12" t="s">
        <v>994</v>
      </c>
      <c r="L146" s="13" t="s">
        <v>994</v>
      </c>
      <c r="M146" s="11" t="s">
        <v>994</v>
      </c>
      <c r="N146" s="11" t="s">
        <v>994</v>
      </c>
      <c r="O146" s="11" t="s">
        <v>994</v>
      </c>
      <c r="P146" s="11" t="s">
        <v>994</v>
      </c>
      <c r="Q146" s="11" t="s">
        <v>994</v>
      </c>
      <c r="R146" s="11" t="s">
        <v>994</v>
      </c>
      <c r="S146" s="11" t="s">
        <v>994</v>
      </c>
      <c r="T146" s="11" t="s">
        <v>994</v>
      </c>
      <c r="U146" s="11" t="s">
        <v>994</v>
      </c>
      <c r="V146" s="11" t="s">
        <v>994</v>
      </c>
      <c r="W146" s="11" t="s">
        <v>994</v>
      </c>
      <c r="X146" s="11" t="s">
        <v>994</v>
      </c>
      <c r="Y146" s="11" t="s">
        <v>994</v>
      </c>
      <c r="Z146" s="11" t="s">
        <v>994</v>
      </c>
      <c r="AA146" s="11" t="s">
        <v>994</v>
      </c>
      <c r="AB146" s="11" t="s">
        <v>994</v>
      </c>
      <c r="AC146" s="11" t="s">
        <v>994</v>
      </c>
      <c r="AD146" s="11" t="s">
        <v>994</v>
      </c>
    </row>
    <row r="147">
      <c r="B147" s="12" t="s">
        <v>994</v>
      </c>
      <c r="C147" s="11" t="s">
        <v>994</v>
      </c>
      <c r="D147" s="11" t="s">
        <v>994</v>
      </c>
      <c r="E147" s="12" t="s">
        <v>994</v>
      </c>
      <c r="F147" s="12" t="s">
        <v>994</v>
      </c>
      <c r="G147" s="12" t="s">
        <v>994</v>
      </c>
      <c r="H147" s="12" t="s">
        <v>994</v>
      </c>
      <c r="I147" s="12" t="s">
        <v>994</v>
      </c>
      <c r="J147" s="12" t="s">
        <v>994</v>
      </c>
      <c r="K147" s="12" t="s">
        <v>994</v>
      </c>
      <c r="L147" s="13" t="s">
        <v>994</v>
      </c>
      <c r="M147" s="11" t="s">
        <v>994</v>
      </c>
      <c r="N147" s="11" t="s">
        <v>994</v>
      </c>
      <c r="O147" s="11" t="s">
        <v>994</v>
      </c>
      <c r="P147" s="11" t="s">
        <v>994</v>
      </c>
      <c r="Q147" s="11" t="s">
        <v>994</v>
      </c>
      <c r="R147" s="11" t="s">
        <v>994</v>
      </c>
      <c r="S147" s="11" t="s">
        <v>994</v>
      </c>
      <c r="T147" s="11" t="s">
        <v>994</v>
      </c>
      <c r="U147" s="11" t="s">
        <v>994</v>
      </c>
      <c r="V147" s="11" t="s">
        <v>994</v>
      </c>
      <c r="W147" s="11" t="s">
        <v>994</v>
      </c>
      <c r="X147" s="11" t="s">
        <v>994</v>
      </c>
      <c r="Y147" s="11" t="s">
        <v>994</v>
      </c>
      <c r="Z147" s="11" t="s">
        <v>994</v>
      </c>
      <c r="AA147" s="11" t="s">
        <v>994</v>
      </c>
      <c r="AB147" s="11" t="s">
        <v>994</v>
      </c>
      <c r="AC147" s="11" t="s">
        <v>994</v>
      </c>
      <c r="AD147" s="11" t="s">
        <v>994</v>
      </c>
    </row>
    <row r="148">
      <c r="B148" s="12" t="s">
        <v>994</v>
      </c>
      <c r="C148" s="11" t="s">
        <v>994</v>
      </c>
      <c r="D148" s="11" t="s">
        <v>994</v>
      </c>
      <c r="E148" s="12" t="s">
        <v>994</v>
      </c>
      <c r="F148" s="12" t="s">
        <v>994</v>
      </c>
      <c r="G148" s="12" t="s">
        <v>994</v>
      </c>
      <c r="H148" s="12" t="s">
        <v>994</v>
      </c>
      <c r="I148" s="12" t="s">
        <v>994</v>
      </c>
      <c r="J148" s="12" t="s">
        <v>994</v>
      </c>
      <c r="K148" s="12" t="s">
        <v>994</v>
      </c>
      <c r="L148" s="13" t="s">
        <v>994</v>
      </c>
      <c r="M148" s="11" t="s">
        <v>994</v>
      </c>
      <c r="N148" s="11" t="s">
        <v>994</v>
      </c>
      <c r="O148" s="11" t="s">
        <v>994</v>
      </c>
      <c r="P148" s="11" t="s">
        <v>994</v>
      </c>
      <c r="Q148" s="11" t="s">
        <v>994</v>
      </c>
      <c r="R148" s="11" t="s">
        <v>994</v>
      </c>
      <c r="S148" s="11" t="s">
        <v>994</v>
      </c>
      <c r="T148" s="11" t="s">
        <v>994</v>
      </c>
      <c r="U148" s="11" t="s">
        <v>994</v>
      </c>
      <c r="V148" s="11" t="s">
        <v>994</v>
      </c>
      <c r="W148" s="11" t="s">
        <v>994</v>
      </c>
      <c r="X148" s="11" t="s">
        <v>994</v>
      </c>
      <c r="Y148" s="11" t="s">
        <v>994</v>
      </c>
      <c r="Z148" s="11" t="s">
        <v>994</v>
      </c>
      <c r="AA148" s="11" t="s">
        <v>994</v>
      </c>
      <c r="AB148" s="11" t="s">
        <v>994</v>
      </c>
      <c r="AC148" s="11" t="s">
        <v>994</v>
      </c>
      <c r="AD148" s="11" t="s">
        <v>994</v>
      </c>
    </row>
    <row r="149">
      <c r="B149" s="12" t="s">
        <v>994</v>
      </c>
      <c r="C149" s="11" t="s">
        <v>994</v>
      </c>
      <c r="D149" s="11" t="s">
        <v>994</v>
      </c>
      <c r="E149" s="12" t="s">
        <v>994</v>
      </c>
      <c r="F149" s="12" t="s">
        <v>994</v>
      </c>
      <c r="G149" s="12" t="s">
        <v>994</v>
      </c>
      <c r="H149" s="12" t="s">
        <v>994</v>
      </c>
      <c r="I149" s="12" t="s">
        <v>994</v>
      </c>
      <c r="J149" s="12" t="s">
        <v>994</v>
      </c>
      <c r="K149" s="12" t="s">
        <v>994</v>
      </c>
      <c r="L149" s="13" t="s">
        <v>994</v>
      </c>
      <c r="M149" s="11" t="s">
        <v>994</v>
      </c>
      <c r="N149" s="11" t="s">
        <v>994</v>
      </c>
      <c r="O149" s="11" t="s">
        <v>994</v>
      </c>
      <c r="P149" s="11" t="s">
        <v>994</v>
      </c>
      <c r="Q149" s="11" t="s">
        <v>994</v>
      </c>
      <c r="R149" s="11" t="s">
        <v>994</v>
      </c>
      <c r="S149" s="11" t="s">
        <v>994</v>
      </c>
      <c r="T149" s="11" t="s">
        <v>994</v>
      </c>
      <c r="U149" s="11" t="s">
        <v>994</v>
      </c>
      <c r="V149" s="11" t="s">
        <v>994</v>
      </c>
      <c r="W149" s="11" t="s">
        <v>994</v>
      </c>
      <c r="X149" s="11" t="s">
        <v>994</v>
      </c>
      <c r="Y149" s="11" t="s">
        <v>994</v>
      </c>
      <c r="Z149" s="11" t="s">
        <v>994</v>
      </c>
      <c r="AA149" s="11" t="s">
        <v>994</v>
      </c>
      <c r="AB149" s="11" t="s">
        <v>994</v>
      </c>
      <c r="AC149" s="11" t="s">
        <v>994</v>
      </c>
      <c r="AD149" s="11" t="s">
        <v>994</v>
      </c>
    </row>
    <row r="150">
      <c r="B150" s="12" t="s">
        <v>994</v>
      </c>
      <c r="C150" s="11" t="s">
        <v>994</v>
      </c>
      <c r="D150" s="11" t="s">
        <v>994</v>
      </c>
      <c r="E150" s="12" t="s">
        <v>994</v>
      </c>
      <c r="F150" s="12" t="s">
        <v>994</v>
      </c>
      <c r="G150" s="12" t="s">
        <v>994</v>
      </c>
      <c r="H150" s="12" t="s">
        <v>994</v>
      </c>
      <c r="I150" s="12" t="s">
        <v>994</v>
      </c>
      <c r="J150" s="12" t="s">
        <v>994</v>
      </c>
      <c r="K150" s="12" t="s">
        <v>994</v>
      </c>
      <c r="L150" s="13" t="s">
        <v>994</v>
      </c>
      <c r="M150" s="11" t="s">
        <v>994</v>
      </c>
      <c r="N150" s="11" t="s">
        <v>994</v>
      </c>
      <c r="O150" s="11" t="s">
        <v>994</v>
      </c>
      <c r="P150" s="11" t="s">
        <v>994</v>
      </c>
      <c r="Q150" s="11" t="s">
        <v>994</v>
      </c>
      <c r="R150" s="11" t="s">
        <v>994</v>
      </c>
      <c r="S150" s="11" t="s">
        <v>994</v>
      </c>
      <c r="T150" s="11" t="s">
        <v>994</v>
      </c>
      <c r="U150" s="11" t="s">
        <v>994</v>
      </c>
      <c r="V150" s="11" t="s">
        <v>994</v>
      </c>
      <c r="W150" s="11" t="s">
        <v>994</v>
      </c>
      <c r="X150" s="11" t="s">
        <v>994</v>
      </c>
      <c r="Y150" s="11" t="s">
        <v>994</v>
      </c>
      <c r="Z150" s="11" t="s">
        <v>994</v>
      </c>
      <c r="AA150" s="11" t="s">
        <v>994</v>
      </c>
      <c r="AB150" s="11" t="s">
        <v>994</v>
      </c>
      <c r="AC150" s="11" t="s">
        <v>994</v>
      </c>
      <c r="AD150" s="11" t="s">
        <v>994</v>
      </c>
    </row>
    <row r="151">
      <c r="B151" s="12" t="s">
        <v>994</v>
      </c>
      <c r="C151" s="11" t="s">
        <v>994</v>
      </c>
      <c r="D151" s="11" t="s">
        <v>994</v>
      </c>
      <c r="E151" s="12" t="s">
        <v>994</v>
      </c>
      <c r="F151" s="12" t="s">
        <v>994</v>
      </c>
      <c r="G151" s="12" t="s">
        <v>994</v>
      </c>
      <c r="H151" s="12" t="s">
        <v>994</v>
      </c>
      <c r="I151" s="12" t="s">
        <v>994</v>
      </c>
      <c r="J151" s="12" t="s">
        <v>994</v>
      </c>
      <c r="K151" s="12" t="s">
        <v>994</v>
      </c>
      <c r="L151" s="13" t="s">
        <v>994</v>
      </c>
      <c r="M151" s="11" t="s">
        <v>994</v>
      </c>
      <c r="N151" s="11" t="s">
        <v>994</v>
      </c>
      <c r="O151" s="11" t="s">
        <v>994</v>
      </c>
      <c r="P151" s="11" t="s">
        <v>994</v>
      </c>
      <c r="Q151" s="11" t="s">
        <v>994</v>
      </c>
      <c r="R151" s="11" t="s">
        <v>994</v>
      </c>
      <c r="S151" s="11" t="s">
        <v>994</v>
      </c>
      <c r="T151" s="11" t="s">
        <v>994</v>
      </c>
      <c r="U151" s="11" t="s">
        <v>994</v>
      </c>
      <c r="V151" s="11" t="s">
        <v>994</v>
      </c>
      <c r="W151" s="11" t="s">
        <v>994</v>
      </c>
      <c r="X151" s="11" t="s">
        <v>994</v>
      </c>
      <c r="Y151" s="11" t="s">
        <v>994</v>
      </c>
      <c r="Z151" s="11" t="s">
        <v>994</v>
      </c>
      <c r="AA151" s="11" t="s">
        <v>994</v>
      </c>
      <c r="AB151" s="11" t="s">
        <v>994</v>
      </c>
      <c r="AC151" s="11" t="s">
        <v>994</v>
      </c>
      <c r="AD151" s="11" t="s">
        <v>994</v>
      </c>
    </row>
    <row r="152">
      <c r="B152" s="12" t="s">
        <v>994</v>
      </c>
      <c r="C152" s="11" t="s">
        <v>994</v>
      </c>
      <c r="D152" s="11" t="s">
        <v>994</v>
      </c>
      <c r="E152" s="12" t="s">
        <v>994</v>
      </c>
      <c r="F152" s="12" t="s">
        <v>994</v>
      </c>
      <c r="G152" s="12" t="s">
        <v>994</v>
      </c>
      <c r="H152" s="12" t="s">
        <v>994</v>
      </c>
      <c r="I152" s="12" t="s">
        <v>994</v>
      </c>
      <c r="J152" s="12" t="s">
        <v>994</v>
      </c>
      <c r="K152" s="12" t="s">
        <v>994</v>
      </c>
      <c r="L152" s="13" t="s">
        <v>994</v>
      </c>
      <c r="M152" s="11" t="s">
        <v>994</v>
      </c>
      <c r="N152" s="11" t="s">
        <v>994</v>
      </c>
      <c r="O152" s="11" t="s">
        <v>994</v>
      </c>
      <c r="P152" s="11" t="s">
        <v>994</v>
      </c>
      <c r="Q152" s="11" t="s">
        <v>994</v>
      </c>
      <c r="R152" s="11" t="s">
        <v>994</v>
      </c>
      <c r="S152" s="11" t="s">
        <v>994</v>
      </c>
      <c r="T152" s="11" t="s">
        <v>994</v>
      </c>
      <c r="U152" s="11" t="s">
        <v>994</v>
      </c>
      <c r="V152" s="11" t="s">
        <v>994</v>
      </c>
      <c r="W152" s="11" t="s">
        <v>994</v>
      </c>
      <c r="X152" s="11" t="s">
        <v>994</v>
      </c>
      <c r="Y152" s="11" t="s">
        <v>994</v>
      </c>
      <c r="Z152" s="11" t="s">
        <v>994</v>
      </c>
      <c r="AA152" s="11" t="s">
        <v>994</v>
      </c>
      <c r="AB152" s="11" t="s">
        <v>994</v>
      </c>
      <c r="AC152" s="11" t="s">
        <v>994</v>
      </c>
      <c r="AD152" s="11" t="s">
        <v>994</v>
      </c>
    </row>
    <row r="153">
      <c r="B153" s="12" t="s">
        <v>994</v>
      </c>
      <c r="C153" s="11" t="s">
        <v>994</v>
      </c>
      <c r="D153" s="11" t="s">
        <v>994</v>
      </c>
      <c r="E153" s="12" t="s">
        <v>994</v>
      </c>
      <c r="F153" s="12" t="s">
        <v>994</v>
      </c>
      <c r="G153" s="12" t="s">
        <v>994</v>
      </c>
      <c r="H153" s="12" t="s">
        <v>994</v>
      </c>
      <c r="I153" s="12" t="s">
        <v>994</v>
      </c>
      <c r="J153" s="12" t="s">
        <v>994</v>
      </c>
      <c r="K153" s="12" t="s">
        <v>994</v>
      </c>
      <c r="L153" s="13" t="s">
        <v>994</v>
      </c>
      <c r="M153" s="11" t="s">
        <v>994</v>
      </c>
      <c r="N153" s="11" t="s">
        <v>994</v>
      </c>
      <c r="O153" s="11" t="s">
        <v>994</v>
      </c>
      <c r="P153" s="11" t="s">
        <v>994</v>
      </c>
      <c r="Q153" s="11" t="s">
        <v>994</v>
      </c>
      <c r="R153" s="11" t="s">
        <v>994</v>
      </c>
      <c r="S153" s="11" t="s">
        <v>994</v>
      </c>
      <c r="T153" s="11" t="s">
        <v>994</v>
      </c>
      <c r="U153" s="11" t="s">
        <v>994</v>
      </c>
      <c r="V153" s="11" t="s">
        <v>994</v>
      </c>
      <c r="W153" s="11" t="s">
        <v>994</v>
      </c>
      <c r="X153" s="11" t="s">
        <v>994</v>
      </c>
      <c r="Y153" s="11" t="s">
        <v>994</v>
      </c>
      <c r="Z153" s="11" t="s">
        <v>994</v>
      </c>
      <c r="AA153" s="11" t="s">
        <v>994</v>
      </c>
      <c r="AB153" s="11" t="s">
        <v>994</v>
      </c>
      <c r="AC153" s="11" t="s">
        <v>994</v>
      </c>
      <c r="AD153" s="11" t="s">
        <v>994</v>
      </c>
    </row>
    <row r="154">
      <c r="B154" s="12" t="s">
        <v>994</v>
      </c>
      <c r="C154" s="11" t="s">
        <v>994</v>
      </c>
      <c r="D154" s="11" t="s">
        <v>994</v>
      </c>
      <c r="E154" s="12" t="s">
        <v>994</v>
      </c>
      <c r="F154" s="12" t="s">
        <v>994</v>
      </c>
      <c r="G154" s="12" t="s">
        <v>994</v>
      </c>
      <c r="H154" s="12" t="s">
        <v>994</v>
      </c>
      <c r="I154" s="12" t="s">
        <v>994</v>
      </c>
      <c r="J154" s="12" t="s">
        <v>994</v>
      </c>
      <c r="K154" s="12" t="s">
        <v>994</v>
      </c>
      <c r="L154" s="13" t="s">
        <v>994</v>
      </c>
      <c r="M154" s="11" t="s">
        <v>994</v>
      </c>
      <c r="N154" s="11" t="s">
        <v>994</v>
      </c>
      <c r="O154" s="11" t="s">
        <v>994</v>
      </c>
      <c r="P154" s="11" t="s">
        <v>994</v>
      </c>
      <c r="Q154" s="11" t="s">
        <v>994</v>
      </c>
      <c r="R154" s="11" t="s">
        <v>994</v>
      </c>
      <c r="S154" s="11" t="s">
        <v>994</v>
      </c>
      <c r="T154" s="11" t="s">
        <v>994</v>
      </c>
      <c r="U154" s="11" t="s">
        <v>994</v>
      </c>
      <c r="V154" s="11" t="s">
        <v>994</v>
      </c>
      <c r="W154" s="11" t="s">
        <v>994</v>
      </c>
      <c r="X154" s="11" t="s">
        <v>994</v>
      </c>
      <c r="Y154" s="11" t="s">
        <v>994</v>
      </c>
      <c r="Z154" s="11" t="s">
        <v>994</v>
      </c>
      <c r="AA154" s="11" t="s">
        <v>994</v>
      </c>
      <c r="AB154" s="11" t="s">
        <v>994</v>
      </c>
      <c r="AC154" s="11" t="s">
        <v>994</v>
      </c>
      <c r="AD154" s="11" t="s">
        <v>994</v>
      </c>
    </row>
    <row r="155">
      <c r="B155" s="12" t="s">
        <v>994</v>
      </c>
      <c r="C155" s="11" t="s">
        <v>994</v>
      </c>
      <c r="D155" s="11" t="s">
        <v>994</v>
      </c>
      <c r="E155" s="12" t="s">
        <v>994</v>
      </c>
      <c r="F155" s="12" t="s">
        <v>994</v>
      </c>
      <c r="G155" s="12" t="s">
        <v>994</v>
      </c>
      <c r="H155" s="12" t="s">
        <v>994</v>
      </c>
      <c r="I155" s="12" t="s">
        <v>994</v>
      </c>
      <c r="J155" s="12" t="s">
        <v>994</v>
      </c>
      <c r="K155" s="12" t="s">
        <v>994</v>
      </c>
      <c r="L155" s="13" t="s">
        <v>994</v>
      </c>
      <c r="M155" s="11" t="s">
        <v>994</v>
      </c>
      <c r="N155" s="11" t="s">
        <v>994</v>
      </c>
      <c r="O155" s="11" t="s">
        <v>994</v>
      </c>
      <c r="P155" s="11" t="s">
        <v>994</v>
      </c>
      <c r="Q155" s="11" t="s">
        <v>994</v>
      </c>
      <c r="R155" s="11" t="s">
        <v>994</v>
      </c>
      <c r="S155" s="11" t="s">
        <v>994</v>
      </c>
      <c r="T155" s="11" t="s">
        <v>994</v>
      </c>
      <c r="U155" s="11" t="s">
        <v>994</v>
      </c>
      <c r="V155" s="11" t="s">
        <v>994</v>
      </c>
      <c r="W155" s="11" t="s">
        <v>994</v>
      </c>
      <c r="X155" s="11" t="s">
        <v>994</v>
      </c>
      <c r="Y155" s="11" t="s">
        <v>994</v>
      </c>
      <c r="Z155" s="11" t="s">
        <v>994</v>
      </c>
      <c r="AA155" s="11" t="s">
        <v>994</v>
      </c>
      <c r="AB155" s="11" t="s">
        <v>994</v>
      </c>
      <c r="AC155" s="11" t="s">
        <v>994</v>
      </c>
      <c r="AD155" s="11" t="s">
        <v>994</v>
      </c>
    </row>
    <row r="156">
      <c r="B156" s="12" t="s">
        <v>994</v>
      </c>
      <c r="C156" s="11" t="s">
        <v>994</v>
      </c>
      <c r="D156" s="11" t="s">
        <v>994</v>
      </c>
      <c r="E156" s="12" t="s">
        <v>994</v>
      </c>
      <c r="F156" s="12" t="s">
        <v>994</v>
      </c>
      <c r="G156" s="12" t="s">
        <v>994</v>
      </c>
      <c r="H156" s="12" t="s">
        <v>994</v>
      </c>
      <c r="I156" s="12" t="s">
        <v>994</v>
      </c>
      <c r="J156" s="12" t="s">
        <v>994</v>
      </c>
      <c r="K156" s="12" t="s">
        <v>994</v>
      </c>
      <c r="L156" s="13" t="s">
        <v>994</v>
      </c>
      <c r="M156" s="11" t="s">
        <v>994</v>
      </c>
      <c r="N156" s="11" t="s">
        <v>994</v>
      </c>
      <c r="O156" s="11" t="s">
        <v>994</v>
      </c>
      <c r="P156" s="11" t="s">
        <v>994</v>
      </c>
      <c r="Q156" s="11" t="s">
        <v>994</v>
      </c>
      <c r="R156" s="11" t="s">
        <v>994</v>
      </c>
      <c r="S156" s="11" t="s">
        <v>994</v>
      </c>
      <c r="T156" s="11" t="s">
        <v>994</v>
      </c>
      <c r="U156" s="11" t="s">
        <v>994</v>
      </c>
      <c r="V156" s="11" t="s">
        <v>994</v>
      </c>
      <c r="W156" s="11" t="s">
        <v>994</v>
      </c>
      <c r="X156" s="11" t="s">
        <v>994</v>
      </c>
      <c r="Y156" s="11" t="s">
        <v>994</v>
      </c>
      <c r="Z156" s="11" t="s">
        <v>994</v>
      </c>
      <c r="AA156" s="11" t="s">
        <v>994</v>
      </c>
      <c r="AB156" s="11" t="s">
        <v>994</v>
      </c>
      <c r="AC156" s="11" t="s">
        <v>994</v>
      </c>
      <c r="AD156" s="11" t="s">
        <v>994</v>
      </c>
    </row>
    <row r="157">
      <c r="B157" s="12" t="s">
        <v>994</v>
      </c>
      <c r="C157" s="11" t="s">
        <v>994</v>
      </c>
      <c r="D157" s="11" t="s">
        <v>994</v>
      </c>
      <c r="E157" s="12" t="s">
        <v>994</v>
      </c>
      <c r="F157" s="12" t="s">
        <v>994</v>
      </c>
      <c r="G157" s="12" t="s">
        <v>994</v>
      </c>
      <c r="H157" s="12" t="s">
        <v>994</v>
      </c>
      <c r="I157" s="12" t="s">
        <v>994</v>
      </c>
      <c r="J157" s="12" t="s">
        <v>994</v>
      </c>
      <c r="K157" s="12" t="s">
        <v>994</v>
      </c>
      <c r="L157" s="13" t="s">
        <v>994</v>
      </c>
      <c r="M157" s="11" t="s">
        <v>994</v>
      </c>
      <c r="N157" s="11" t="s">
        <v>994</v>
      </c>
      <c r="O157" s="11" t="s">
        <v>994</v>
      </c>
      <c r="P157" s="11" t="s">
        <v>994</v>
      </c>
      <c r="Q157" s="11" t="s">
        <v>994</v>
      </c>
      <c r="R157" s="11" t="s">
        <v>994</v>
      </c>
      <c r="S157" s="11" t="s">
        <v>994</v>
      </c>
      <c r="T157" s="11" t="s">
        <v>994</v>
      </c>
      <c r="U157" s="11" t="s">
        <v>994</v>
      </c>
      <c r="V157" s="11" t="s">
        <v>994</v>
      </c>
      <c r="W157" s="11" t="s">
        <v>994</v>
      </c>
      <c r="X157" s="11" t="s">
        <v>994</v>
      </c>
      <c r="Y157" s="11" t="s">
        <v>994</v>
      </c>
      <c r="Z157" s="11" t="s">
        <v>994</v>
      </c>
      <c r="AA157" s="11" t="s">
        <v>994</v>
      </c>
      <c r="AB157" s="11" t="s">
        <v>994</v>
      </c>
      <c r="AC157" s="11" t="s">
        <v>994</v>
      </c>
      <c r="AD157" s="11" t="s">
        <v>994</v>
      </c>
    </row>
    <row r="158">
      <c r="B158" s="12" t="s">
        <v>994</v>
      </c>
      <c r="C158" s="11" t="s">
        <v>994</v>
      </c>
      <c r="D158" s="11" t="s">
        <v>994</v>
      </c>
      <c r="E158" s="12" t="s">
        <v>994</v>
      </c>
      <c r="F158" s="12" t="s">
        <v>994</v>
      </c>
      <c r="G158" s="12" t="s">
        <v>994</v>
      </c>
      <c r="H158" s="12" t="s">
        <v>994</v>
      </c>
      <c r="I158" s="12" t="s">
        <v>994</v>
      </c>
      <c r="J158" s="12" t="s">
        <v>994</v>
      </c>
      <c r="K158" s="12" t="s">
        <v>994</v>
      </c>
      <c r="L158" s="13" t="s">
        <v>994</v>
      </c>
      <c r="M158" s="11" t="s">
        <v>994</v>
      </c>
      <c r="N158" s="11" t="s">
        <v>994</v>
      </c>
      <c r="O158" s="11" t="s">
        <v>994</v>
      </c>
      <c r="P158" s="11" t="s">
        <v>994</v>
      </c>
      <c r="Q158" s="11" t="s">
        <v>994</v>
      </c>
      <c r="R158" s="11" t="s">
        <v>994</v>
      </c>
      <c r="S158" s="11" t="s">
        <v>994</v>
      </c>
      <c r="T158" s="11" t="s">
        <v>994</v>
      </c>
      <c r="U158" s="11" t="s">
        <v>994</v>
      </c>
      <c r="V158" s="11" t="s">
        <v>994</v>
      </c>
      <c r="W158" s="11" t="s">
        <v>994</v>
      </c>
      <c r="X158" s="11" t="s">
        <v>994</v>
      </c>
      <c r="Y158" s="11" t="s">
        <v>994</v>
      </c>
      <c r="Z158" s="11" t="s">
        <v>994</v>
      </c>
      <c r="AA158" s="11" t="s">
        <v>994</v>
      </c>
      <c r="AB158" s="11" t="s">
        <v>994</v>
      </c>
      <c r="AC158" s="11" t="s">
        <v>994</v>
      </c>
      <c r="AD158" s="11" t="s">
        <v>994</v>
      </c>
    </row>
    <row r="159">
      <c r="B159" s="12" t="s">
        <v>994</v>
      </c>
      <c r="C159" s="11" t="s">
        <v>994</v>
      </c>
      <c r="D159" s="11" t="s">
        <v>994</v>
      </c>
      <c r="E159" s="12" t="s">
        <v>994</v>
      </c>
      <c r="F159" s="12" t="s">
        <v>994</v>
      </c>
      <c r="G159" s="12" t="s">
        <v>994</v>
      </c>
      <c r="H159" s="12" t="s">
        <v>994</v>
      </c>
      <c r="I159" s="12" t="s">
        <v>994</v>
      </c>
      <c r="J159" s="12" t="s">
        <v>994</v>
      </c>
      <c r="K159" s="12" t="s">
        <v>994</v>
      </c>
      <c r="L159" s="13" t="s">
        <v>994</v>
      </c>
      <c r="M159" s="11" t="s">
        <v>994</v>
      </c>
      <c r="N159" s="11" t="s">
        <v>994</v>
      </c>
      <c r="O159" s="11" t="s">
        <v>994</v>
      </c>
      <c r="P159" s="11" t="s">
        <v>994</v>
      </c>
      <c r="Q159" s="11" t="s">
        <v>994</v>
      </c>
      <c r="R159" s="11" t="s">
        <v>994</v>
      </c>
      <c r="S159" s="11" t="s">
        <v>994</v>
      </c>
      <c r="T159" s="11" t="s">
        <v>994</v>
      </c>
      <c r="U159" s="11" t="s">
        <v>994</v>
      </c>
      <c r="V159" s="11" t="s">
        <v>994</v>
      </c>
      <c r="W159" s="11" t="s">
        <v>994</v>
      </c>
      <c r="X159" s="11" t="s">
        <v>994</v>
      </c>
      <c r="Y159" s="11" t="s">
        <v>994</v>
      </c>
      <c r="Z159" s="11" t="s">
        <v>994</v>
      </c>
      <c r="AA159" s="11" t="s">
        <v>994</v>
      </c>
      <c r="AB159" s="11" t="s">
        <v>994</v>
      </c>
      <c r="AC159" s="11" t="s">
        <v>994</v>
      </c>
      <c r="AD159" s="11" t="s">
        <v>994</v>
      </c>
    </row>
    <row r="160">
      <c r="B160" s="12" t="s">
        <v>994</v>
      </c>
      <c r="C160" s="11" t="s">
        <v>994</v>
      </c>
      <c r="D160" s="11" t="s">
        <v>994</v>
      </c>
      <c r="E160" s="12" t="s">
        <v>994</v>
      </c>
      <c r="F160" s="12" t="s">
        <v>994</v>
      </c>
      <c r="G160" s="12" t="s">
        <v>994</v>
      </c>
      <c r="H160" s="12" t="s">
        <v>994</v>
      </c>
      <c r="I160" s="12" t="s">
        <v>994</v>
      </c>
      <c r="J160" s="12" t="s">
        <v>994</v>
      </c>
      <c r="K160" s="12" t="s">
        <v>994</v>
      </c>
      <c r="L160" s="13" t="s">
        <v>994</v>
      </c>
      <c r="M160" s="11" t="s">
        <v>994</v>
      </c>
      <c r="N160" s="11" t="s">
        <v>994</v>
      </c>
      <c r="O160" s="11" t="s">
        <v>994</v>
      </c>
      <c r="P160" s="11" t="s">
        <v>994</v>
      </c>
      <c r="Q160" s="11" t="s">
        <v>994</v>
      </c>
      <c r="R160" s="11" t="s">
        <v>994</v>
      </c>
      <c r="S160" s="11" t="s">
        <v>994</v>
      </c>
      <c r="T160" s="11" t="s">
        <v>994</v>
      </c>
      <c r="U160" s="11" t="s">
        <v>994</v>
      </c>
      <c r="V160" s="11" t="s">
        <v>994</v>
      </c>
      <c r="W160" s="11" t="s">
        <v>994</v>
      </c>
      <c r="X160" s="11" t="s">
        <v>994</v>
      </c>
      <c r="Y160" s="11" t="s">
        <v>994</v>
      </c>
      <c r="Z160" s="11" t="s">
        <v>994</v>
      </c>
      <c r="AA160" s="11" t="s">
        <v>994</v>
      </c>
      <c r="AB160" s="11" t="s">
        <v>994</v>
      </c>
      <c r="AC160" s="11" t="s">
        <v>994</v>
      </c>
      <c r="AD160" s="11" t="s">
        <v>994</v>
      </c>
    </row>
    <row r="161">
      <c r="B161" s="12" t="s">
        <v>994</v>
      </c>
      <c r="C161" s="11" t="s">
        <v>994</v>
      </c>
      <c r="D161" s="11" t="s">
        <v>994</v>
      </c>
      <c r="E161" s="12" t="s">
        <v>994</v>
      </c>
      <c r="F161" s="12" t="s">
        <v>994</v>
      </c>
      <c r="G161" s="12" t="s">
        <v>994</v>
      </c>
      <c r="H161" s="12" t="s">
        <v>994</v>
      </c>
      <c r="I161" s="12" t="s">
        <v>994</v>
      </c>
      <c r="J161" s="12" t="s">
        <v>994</v>
      </c>
      <c r="K161" s="12" t="s">
        <v>994</v>
      </c>
      <c r="L161" s="13" t="s">
        <v>994</v>
      </c>
      <c r="M161" s="11" t="s">
        <v>994</v>
      </c>
      <c r="N161" s="11" t="s">
        <v>994</v>
      </c>
      <c r="O161" s="11" t="s">
        <v>994</v>
      </c>
      <c r="P161" s="11" t="s">
        <v>994</v>
      </c>
      <c r="Q161" s="11" t="s">
        <v>994</v>
      </c>
      <c r="R161" s="11" t="s">
        <v>994</v>
      </c>
      <c r="S161" s="11" t="s">
        <v>994</v>
      </c>
      <c r="T161" s="11" t="s">
        <v>994</v>
      </c>
      <c r="U161" s="11" t="s">
        <v>994</v>
      </c>
      <c r="V161" s="11" t="s">
        <v>994</v>
      </c>
      <c r="W161" s="11" t="s">
        <v>994</v>
      </c>
      <c r="X161" s="11" t="s">
        <v>994</v>
      </c>
      <c r="Y161" s="11" t="s">
        <v>994</v>
      </c>
      <c r="Z161" s="11" t="s">
        <v>994</v>
      </c>
      <c r="AA161" s="11" t="s">
        <v>994</v>
      </c>
      <c r="AB161" s="11" t="s">
        <v>994</v>
      </c>
      <c r="AC161" s="11" t="s">
        <v>994</v>
      </c>
      <c r="AD161" s="11" t="s">
        <v>994</v>
      </c>
    </row>
    <row r="162">
      <c r="B162" s="12" t="s">
        <v>994</v>
      </c>
      <c r="C162" s="11" t="s">
        <v>994</v>
      </c>
      <c r="D162" s="11" t="s">
        <v>994</v>
      </c>
      <c r="E162" s="12" t="s">
        <v>994</v>
      </c>
      <c r="F162" s="12" t="s">
        <v>994</v>
      </c>
      <c r="G162" s="12" t="s">
        <v>994</v>
      </c>
      <c r="H162" s="12" t="s">
        <v>994</v>
      </c>
      <c r="I162" s="12" t="s">
        <v>994</v>
      </c>
      <c r="J162" s="12" t="s">
        <v>994</v>
      </c>
      <c r="K162" s="12" t="s">
        <v>994</v>
      </c>
      <c r="L162" s="13" t="s">
        <v>994</v>
      </c>
      <c r="M162" s="11" t="s">
        <v>994</v>
      </c>
      <c r="N162" s="11" t="s">
        <v>994</v>
      </c>
      <c r="O162" s="11" t="s">
        <v>994</v>
      </c>
      <c r="P162" s="11" t="s">
        <v>994</v>
      </c>
      <c r="Q162" s="11" t="s">
        <v>994</v>
      </c>
      <c r="R162" s="11" t="s">
        <v>994</v>
      </c>
      <c r="S162" s="11" t="s">
        <v>994</v>
      </c>
      <c r="T162" s="11" t="s">
        <v>994</v>
      </c>
      <c r="U162" s="11" t="s">
        <v>994</v>
      </c>
      <c r="V162" s="11" t="s">
        <v>994</v>
      </c>
      <c r="W162" s="11" t="s">
        <v>994</v>
      </c>
      <c r="X162" s="11" t="s">
        <v>994</v>
      </c>
      <c r="Y162" s="11" t="s">
        <v>994</v>
      </c>
      <c r="Z162" s="11" t="s">
        <v>994</v>
      </c>
      <c r="AA162" s="11" t="s">
        <v>994</v>
      </c>
      <c r="AB162" s="11" t="s">
        <v>994</v>
      </c>
      <c r="AC162" s="11" t="s">
        <v>994</v>
      </c>
      <c r="AD162" s="11" t="s">
        <v>994</v>
      </c>
    </row>
    <row r="163">
      <c r="B163" s="12" t="s">
        <v>994</v>
      </c>
      <c r="C163" s="11" t="s">
        <v>994</v>
      </c>
      <c r="D163" s="11" t="s">
        <v>994</v>
      </c>
      <c r="E163" s="12" t="s">
        <v>994</v>
      </c>
      <c r="F163" s="12" t="s">
        <v>994</v>
      </c>
      <c r="G163" s="12" t="s">
        <v>994</v>
      </c>
      <c r="H163" s="12" t="s">
        <v>994</v>
      </c>
      <c r="I163" s="12" t="s">
        <v>994</v>
      </c>
      <c r="J163" s="12" t="s">
        <v>994</v>
      </c>
      <c r="K163" s="12" t="s">
        <v>994</v>
      </c>
      <c r="L163" s="13" t="s">
        <v>994</v>
      </c>
      <c r="M163" s="11" t="s">
        <v>994</v>
      </c>
      <c r="N163" s="11" t="s">
        <v>994</v>
      </c>
      <c r="O163" s="11" t="s">
        <v>994</v>
      </c>
      <c r="P163" s="11" t="s">
        <v>994</v>
      </c>
      <c r="Q163" s="11" t="s">
        <v>994</v>
      </c>
      <c r="R163" s="11" t="s">
        <v>994</v>
      </c>
      <c r="S163" s="11" t="s">
        <v>994</v>
      </c>
      <c r="T163" s="11" t="s">
        <v>994</v>
      </c>
      <c r="U163" s="11" t="s">
        <v>994</v>
      </c>
      <c r="V163" s="11" t="s">
        <v>994</v>
      </c>
      <c r="W163" s="11" t="s">
        <v>994</v>
      </c>
      <c r="X163" s="11" t="s">
        <v>994</v>
      </c>
      <c r="Y163" s="11" t="s">
        <v>994</v>
      </c>
      <c r="Z163" s="11" t="s">
        <v>994</v>
      </c>
      <c r="AA163" s="11" t="s">
        <v>994</v>
      </c>
      <c r="AB163" s="11" t="s">
        <v>994</v>
      </c>
      <c r="AC163" s="11" t="s">
        <v>994</v>
      </c>
      <c r="AD163" s="11" t="s">
        <v>994</v>
      </c>
    </row>
    <row r="164">
      <c r="B164" s="12" t="s">
        <v>994</v>
      </c>
      <c r="C164" s="11" t="s">
        <v>994</v>
      </c>
      <c r="D164" s="11" t="s">
        <v>994</v>
      </c>
      <c r="E164" s="12" t="s">
        <v>994</v>
      </c>
      <c r="F164" s="12" t="s">
        <v>994</v>
      </c>
      <c r="G164" s="12" t="s">
        <v>994</v>
      </c>
      <c r="H164" s="12" t="s">
        <v>994</v>
      </c>
      <c r="I164" s="12" t="s">
        <v>994</v>
      </c>
      <c r="J164" s="12" t="s">
        <v>994</v>
      </c>
      <c r="K164" s="12" t="s">
        <v>994</v>
      </c>
      <c r="L164" s="13" t="s">
        <v>994</v>
      </c>
      <c r="M164" s="11" t="s">
        <v>994</v>
      </c>
      <c r="N164" s="11" t="s">
        <v>994</v>
      </c>
      <c r="O164" s="11" t="s">
        <v>994</v>
      </c>
      <c r="P164" s="11" t="s">
        <v>994</v>
      </c>
      <c r="Q164" s="11" t="s">
        <v>994</v>
      </c>
      <c r="R164" s="11" t="s">
        <v>994</v>
      </c>
      <c r="S164" s="11" t="s">
        <v>994</v>
      </c>
      <c r="T164" s="11" t="s">
        <v>994</v>
      </c>
      <c r="U164" s="11" t="s">
        <v>994</v>
      </c>
      <c r="V164" s="11" t="s">
        <v>994</v>
      </c>
      <c r="W164" s="11" t="s">
        <v>994</v>
      </c>
      <c r="X164" s="11" t="s">
        <v>994</v>
      </c>
      <c r="Y164" s="11" t="s">
        <v>994</v>
      </c>
      <c r="Z164" s="11" t="s">
        <v>994</v>
      </c>
      <c r="AA164" s="11" t="s">
        <v>994</v>
      </c>
      <c r="AB164" s="11" t="s">
        <v>994</v>
      </c>
      <c r="AC164" s="11" t="s">
        <v>994</v>
      </c>
      <c r="AD164" s="11" t="s">
        <v>994</v>
      </c>
    </row>
    <row r="165">
      <c r="B165" s="12" t="s">
        <v>994</v>
      </c>
      <c r="C165" s="11" t="s">
        <v>994</v>
      </c>
      <c r="D165" s="11" t="s">
        <v>994</v>
      </c>
      <c r="E165" s="12" t="s">
        <v>994</v>
      </c>
      <c r="F165" s="12" t="s">
        <v>994</v>
      </c>
      <c r="G165" s="12" t="s">
        <v>994</v>
      </c>
      <c r="H165" s="12" t="s">
        <v>994</v>
      </c>
      <c r="I165" s="12" t="s">
        <v>994</v>
      </c>
      <c r="J165" s="12" t="s">
        <v>994</v>
      </c>
      <c r="K165" s="12" t="s">
        <v>994</v>
      </c>
      <c r="L165" s="13" t="s">
        <v>994</v>
      </c>
      <c r="M165" s="11" t="s">
        <v>994</v>
      </c>
      <c r="N165" s="11" t="s">
        <v>994</v>
      </c>
      <c r="O165" s="11" t="s">
        <v>994</v>
      </c>
      <c r="P165" s="11" t="s">
        <v>994</v>
      </c>
      <c r="Q165" s="11" t="s">
        <v>994</v>
      </c>
      <c r="R165" s="11" t="s">
        <v>994</v>
      </c>
      <c r="S165" s="11" t="s">
        <v>994</v>
      </c>
      <c r="T165" s="11" t="s">
        <v>994</v>
      </c>
      <c r="U165" s="11" t="s">
        <v>994</v>
      </c>
      <c r="V165" s="11" t="s">
        <v>994</v>
      </c>
      <c r="W165" s="11" t="s">
        <v>994</v>
      </c>
      <c r="X165" s="11" t="s">
        <v>994</v>
      </c>
      <c r="Y165" s="11" t="s">
        <v>994</v>
      </c>
      <c r="Z165" s="11" t="s">
        <v>994</v>
      </c>
      <c r="AA165" s="11" t="s">
        <v>994</v>
      </c>
      <c r="AB165" s="11" t="s">
        <v>994</v>
      </c>
      <c r="AC165" s="11" t="s">
        <v>994</v>
      </c>
      <c r="AD165" s="11" t="s">
        <v>994</v>
      </c>
    </row>
    <row r="166">
      <c r="B166" s="12" t="s">
        <v>994</v>
      </c>
      <c r="C166" s="11" t="s">
        <v>994</v>
      </c>
      <c r="D166" s="11" t="s">
        <v>994</v>
      </c>
      <c r="E166" s="12" t="s">
        <v>994</v>
      </c>
      <c r="F166" s="12" t="s">
        <v>994</v>
      </c>
      <c r="G166" s="12" t="s">
        <v>994</v>
      </c>
      <c r="H166" s="12" t="s">
        <v>994</v>
      </c>
      <c r="I166" s="12" t="s">
        <v>994</v>
      </c>
      <c r="J166" s="12" t="s">
        <v>994</v>
      </c>
      <c r="K166" s="12" t="s">
        <v>994</v>
      </c>
      <c r="L166" s="13" t="s">
        <v>994</v>
      </c>
      <c r="M166" s="11" t="s">
        <v>994</v>
      </c>
      <c r="N166" s="11" t="s">
        <v>994</v>
      </c>
      <c r="O166" s="11" t="s">
        <v>994</v>
      </c>
      <c r="P166" s="11" t="s">
        <v>994</v>
      </c>
      <c r="Q166" s="11" t="s">
        <v>994</v>
      </c>
      <c r="R166" s="11" t="s">
        <v>994</v>
      </c>
      <c r="S166" s="11" t="s">
        <v>994</v>
      </c>
      <c r="T166" s="11" t="s">
        <v>994</v>
      </c>
      <c r="U166" s="11" t="s">
        <v>994</v>
      </c>
      <c r="V166" s="11" t="s">
        <v>994</v>
      </c>
      <c r="W166" s="11" t="s">
        <v>994</v>
      </c>
      <c r="X166" s="11" t="s">
        <v>994</v>
      </c>
      <c r="Y166" s="11" t="s">
        <v>994</v>
      </c>
      <c r="Z166" s="11" t="s">
        <v>994</v>
      </c>
      <c r="AA166" s="11" t="s">
        <v>994</v>
      </c>
      <c r="AB166" s="11" t="s">
        <v>994</v>
      </c>
      <c r="AC166" s="11" t="s">
        <v>994</v>
      </c>
      <c r="AD166" s="11" t="s">
        <v>994</v>
      </c>
    </row>
    <row r="167">
      <c r="B167" s="12" t="s">
        <v>994</v>
      </c>
      <c r="C167" s="11" t="s">
        <v>994</v>
      </c>
      <c r="D167" s="11" t="s">
        <v>994</v>
      </c>
      <c r="E167" s="12" t="s">
        <v>994</v>
      </c>
      <c r="F167" s="12" t="s">
        <v>994</v>
      </c>
      <c r="G167" s="12" t="s">
        <v>994</v>
      </c>
      <c r="H167" s="12" t="s">
        <v>994</v>
      </c>
      <c r="I167" s="12" t="s">
        <v>994</v>
      </c>
      <c r="J167" s="12" t="s">
        <v>994</v>
      </c>
      <c r="K167" s="12" t="s">
        <v>994</v>
      </c>
      <c r="L167" s="13" t="s">
        <v>994</v>
      </c>
      <c r="M167" s="11" t="s">
        <v>994</v>
      </c>
      <c r="N167" s="11" t="s">
        <v>994</v>
      </c>
      <c r="O167" s="11" t="s">
        <v>994</v>
      </c>
      <c r="P167" s="11" t="s">
        <v>994</v>
      </c>
      <c r="Q167" s="11" t="s">
        <v>994</v>
      </c>
      <c r="R167" s="11" t="s">
        <v>994</v>
      </c>
      <c r="S167" s="11" t="s">
        <v>994</v>
      </c>
      <c r="T167" s="11" t="s">
        <v>994</v>
      </c>
      <c r="U167" s="11" t="s">
        <v>994</v>
      </c>
      <c r="V167" s="11" t="s">
        <v>994</v>
      </c>
      <c r="W167" s="11" t="s">
        <v>994</v>
      </c>
      <c r="X167" s="11" t="s">
        <v>994</v>
      </c>
      <c r="Y167" s="11" t="s">
        <v>994</v>
      </c>
      <c r="Z167" s="11" t="s">
        <v>994</v>
      </c>
      <c r="AA167" s="11" t="s">
        <v>994</v>
      </c>
      <c r="AB167" s="11" t="s">
        <v>994</v>
      </c>
      <c r="AC167" s="11" t="s">
        <v>994</v>
      </c>
      <c r="AD167" s="11" t="s">
        <v>994</v>
      </c>
    </row>
    <row r="168">
      <c r="B168" s="12" t="s">
        <v>994</v>
      </c>
      <c r="C168" s="11" t="s">
        <v>994</v>
      </c>
      <c r="D168" s="11" t="s">
        <v>994</v>
      </c>
      <c r="E168" s="12" t="s">
        <v>994</v>
      </c>
      <c r="F168" s="12" t="s">
        <v>994</v>
      </c>
      <c r="G168" s="12" t="s">
        <v>994</v>
      </c>
      <c r="H168" s="12" t="s">
        <v>994</v>
      </c>
      <c r="I168" s="12" t="s">
        <v>994</v>
      </c>
      <c r="J168" s="12" t="s">
        <v>994</v>
      </c>
      <c r="K168" s="12" t="s">
        <v>994</v>
      </c>
      <c r="L168" s="13" t="s">
        <v>994</v>
      </c>
      <c r="M168" s="11" t="s">
        <v>994</v>
      </c>
      <c r="N168" s="11" t="s">
        <v>994</v>
      </c>
      <c r="O168" s="11" t="s">
        <v>994</v>
      </c>
      <c r="P168" s="11" t="s">
        <v>994</v>
      </c>
      <c r="Q168" s="11" t="s">
        <v>994</v>
      </c>
      <c r="R168" s="11" t="s">
        <v>994</v>
      </c>
      <c r="S168" s="11" t="s">
        <v>994</v>
      </c>
      <c r="T168" s="11" t="s">
        <v>994</v>
      </c>
      <c r="U168" s="11" t="s">
        <v>994</v>
      </c>
      <c r="V168" s="11" t="s">
        <v>994</v>
      </c>
      <c r="W168" s="11" t="s">
        <v>994</v>
      </c>
      <c r="X168" s="11" t="s">
        <v>994</v>
      </c>
      <c r="Y168" s="11" t="s">
        <v>994</v>
      </c>
      <c r="Z168" s="11" t="s">
        <v>994</v>
      </c>
      <c r="AA168" s="11" t="s">
        <v>994</v>
      </c>
      <c r="AB168" s="11" t="s">
        <v>994</v>
      </c>
      <c r="AC168" s="11" t="s">
        <v>994</v>
      </c>
      <c r="AD168" s="11" t="s">
        <v>994</v>
      </c>
    </row>
    <row r="169">
      <c r="B169" s="12" t="s">
        <v>994</v>
      </c>
      <c r="C169" s="11" t="s">
        <v>994</v>
      </c>
      <c r="D169" s="11" t="s">
        <v>994</v>
      </c>
      <c r="E169" s="12" t="s">
        <v>994</v>
      </c>
      <c r="F169" s="12" t="s">
        <v>994</v>
      </c>
      <c r="G169" s="12" t="s">
        <v>994</v>
      </c>
      <c r="H169" s="12" t="s">
        <v>994</v>
      </c>
      <c r="I169" s="12" t="s">
        <v>994</v>
      </c>
      <c r="J169" s="12" t="s">
        <v>994</v>
      </c>
      <c r="K169" s="12" t="s">
        <v>994</v>
      </c>
      <c r="L169" s="13" t="s">
        <v>994</v>
      </c>
      <c r="M169" s="11" t="s">
        <v>994</v>
      </c>
      <c r="N169" s="11" t="s">
        <v>994</v>
      </c>
      <c r="O169" s="11" t="s">
        <v>994</v>
      </c>
      <c r="P169" s="11" t="s">
        <v>994</v>
      </c>
      <c r="Q169" s="11" t="s">
        <v>994</v>
      </c>
      <c r="R169" s="11" t="s">
        <v>994</v>
      </c>
      <c r="S169" s="11" t="s">
        <v>994</v>
      </c>
      <c r="T169" s="11" t="s">
        <v>994</v>
      </c>
      <c r="U169" s="11" t="s">
        <v>994</v>
      </c>
      <c r="V169" s="11" t="s">
        <v>994</v>
      </c>
      <c r="W169" s="11" t="s">
        <v>994</v>
      </c>
      <c r="X169" s="11" t="s">
        <v>994</v>
      </c>
      <c r="Y169" s="11" t="s">
        <v>994</v>
      </c>
      <c r="Z169" s="11" t="s">
        <v>994</v>
      </c>
      <c r="AA169" s="11" t="s">
        <v>994</v>
      </c>
      <c r="AB169" s="11" t="s">
        <v>994</v>
      </c>
      <c r="AC169" s="11" t="s">
        <v>994</v>
      </c>
      <c r="AD169" s="11" t="s">
        <v>994</v>
      </c>
    </row>
    <row r="170">
      <c r="B170" s="12" t="s">
        <v>994</v>
      </c>
      <c r="C170" s="11" t="s">
        <v>994</v>
      </c>
      <c r="D170" s="11" t="s">
        <v>994</v>
      </c>
      <c r="E170" s="12" t="s">
        <v>994</v>
      </c>
      <c r="F170" s="12" t="s">
        <v>994</v>
      </c>
      <c r="G170" s="12" t="s">
        <v>994</v>
      </c>
      <c r="H170" s="12" t="s">
        <v>994</v>
      </c>
      <c r="I170" s="12" t="s">
        <v>994</v>
      </c>
      <c r="J170" s="12" t="s">
        <v>994</v>
      </c>
      <c r="K170" s="12" t="s">
        <v>994</v>
      </c>
      <c r="L170" s="13" t="s">
        <v>994</v>
      </c>
      <c r="M170" s="11" t="s">
        <v>994</v>
      </c>
      <c r="N170" s="11" t="s">
        <v>994</v>
      </c>
      <c r="O170" s="11" t="s">
        <v>994</v>
      </c>
      <c r="P170" s="11" t="s">
        <v>994</v>
      </c>
      <c r="Q170" s="11" t="s">
        <v>994</v>
      </c>
      <c r="R170" s="11" t="s">
        <v>994</v>
      </c>
      <c r="S170" s="11" t="s">
        <v>994</v>
      </c>
      <c r="T170" s="11" t="s">
        <v>994</v>
      </c>
      <c r="U170" s="11" t="s">
        <v>994</v>
      </c>
      <c r="V170" s="11" t="s">
        <v>994</v>
      </c>
      <c r="W170" s="11" t="s">
        <v>994</v>
      </c>
      <c r="X170" s="11" t="s">
        <v>994</v>
      </c>
      <c r="Y170" s="11" t="s">
        <v>994</v>
      </c>
      <c r="Z170" s="11" t="s">
        <v>994</v>
      </c>
      <c r="AA170" s="11" t="s">
        <v>994</v>
      </c>
      <c r="AB170" s="11" t="s">
        <v>994</v>
      </c>
      <c r="AC170" s="11" t="s">
        <v>994</v>
      </c>
      <c r="AD170" s="11" t="s">
        <v>994</v>
      </c>
    </row>
    <row r="171">
      <c r="B171" s="12" t="s">
        <v>994</v>
      </c>
      <c r="C171" s="11" t="s">
        <v>994</v>
      </c>
      <c r="D171" s="11" t="s">
        <v>994</v>
      </c>
      <c r="E171" s="12" t="s">
        <v>994</v>
      </c>
      <c r="F171" s="12" t="s">
        <v>994</v>
      </c>
      <c r="G171" s="12" t="s">
        <v>994</v>
      </c>
      <c r="H171" s="12" t="s">
        <v>994</v>
      </c>
      <c r="I171" s="12" t="s">
        <v>994</v>
      </c>
      <c r="J171" s="12" t="s">
        <v>994</v>
      </c>
      <c r="K171" s="12" t="s">
        <v>994</v>
      </c>
      <c r="L171" s="13" t="s">
        <v>994</v>
      </c>
      <c r="M171" s="11" t="s">
        <v>994</v>
      </c>
      <c r="N171" s="11" t="s">
        <v>994</v>
      </c>
      <c r="O171" s="11" t="s">
        <v>994</v>
      </c>
      <c r="P171" s="11" t="s">
        <v>994</v>
      </c>
      <c r="Q171" s="11" t="s">
        <v>994</v>
      </c>
      <c r="R171" s="11" t="s">
        <v>994</v>
      </c>
      <c r="S171" s="11" t="s">
        <v>994</v>
      </c>
      <c r="T171" s="11" t="s">
        <v>994</v>
      </c>
      <c r="U171" s="11" t="s">
        <v>994</v>
      </c>
      <c r="V171" s="11" t="s">
        <v>994</v>
      </c>
      <c r="W171" s="11" t="s">
        <v>994</v>
      </c>
      <c r="X171" s="11" t="s">
        <v>994</v>
      </c>
      <c r="Y171" s="11" t="s">
        <v>994</v>
      </c>
      <c r="Z171" s="11" t="s">
        <v>994</v>
      </c>
      <c r="AA171" s="11" t="s">
        <v>994</v>
      </c>
      <c r="AB171" s="11" t="s">
        <v>994</v>
      </c>
      <c r="AC171" s="11" t="s">
        <v>994</v>
      </c>
      <c r="AD171" s="11" t="s">
        <v>994</v>
      </c>
    </row>
    <row r="172">
      <c r="B172" s="12" t="s">
        <v>994</v>
      </c>
      <c r="C172" s="11" t="s">
        <v>994</v>
      </c>
      <c r="D172" s="11" t="s">
        <v>994</v>
      </c>
      <c r="E172" s="12" t="s">
        <v>994</v>
      </c>
      <c r="F172" s="12" t="s">
        <v>994</v>
      </c>
      <c r="G172" s="12" t="s">
        <v>994</v>
      </c>
      <c r="H172" s="12" t="s">
        <v>994</v>
      </c>
      <c r="I172" s="12" t="s">
        <v>994</v>
      </c>
      <c r="J172" s="12" t="s">
        <v>994</v>
      </c>
      <c r="K172" s="12" t="s">
        <v>994</v>
      </c>
      <c r="L172" s="13" t="s">
        <v>994</v>
      </c>
      <c r="M172" s="11" t="s">
        <v>994</v>
      </c>
      <c r="N172" s="11" t="s">
        <v>994</v>
      </c>
      <c r="O172" s="11" t="s">
        <v>994</v>
      </c>
      <c r="P172" s="11" t="s">
        <v>994</v>
      </c>
      <c r="Q172" s="11" t="s">
        <v>994</v>
      </c>
      <c r="R172" s="11" t="s">
        <v>994</v>
      </c>
      <c r="S172" s="11" t="s">
        <v>994</v>
      </c>
      <c r="T172" s="11" t="s">
        <v>994</v>
      </c>
      <c r="U172" s="11" t="s">
        <v>994</v>
      </c>
      <c r="V172" s="11" t="s">
        <v>994</v>
      </c>
      <c r="W172" s="11" t="s">
        <v>994</v>
      </c>
      <c r="X172" s="11" t="s">
        <v>994</v>
      </c>
      <c r="Y172" s="11" t="s">
        <v>994</v>
      </c>
      <c r="Z172" s="11" t="s">
        <v>994</v>
      </c>
      <c r="AA172" s="11" t="s">
        <v>994</v>
      </c>
      <c r="AB172" s="11" t="s">
        <v>994</v>
      </c>
      <c r="AC172" s="11" t="s">
        <v>994</v>
      </c>
      <c r="AD172" s="11" t="s">
        <v>994</v>
      </c>
    </row>
    <row r="173">
      <c r="B173" s="12" t="s">
        <v>994</v>
      </c>
      <c r="C173" s="11" t="s">
        <v>994</v>
      </c>
      <c r="D173" s="11" t="s">
        <v>994</v>
      </c>
      <c r="E173" s="12" t="s">
        <v>994</v>
      </c>
      <c r="F173" s="12" t="s">
        <v>994</v>
      </c>
      <c r="G173" s="12" t="s">
        <v>994</v>
      </c>
      <c r="H173" s="12" t="s">
        <v>994</v>
      </c>
      <c r="I173" s="12" t="s">
        <v>994</v>
      </c>
      <c r="J173" s="12" t="s">
        <v>994</v>
      </c>
      <c r="K173" s="12" t="s">
        <v>994</v>
      </c>
      <c r="L173" s="13" t="s">
        <v>994</v>
      </c>
      <c r="M173" s="11" t="s">
        <v>994</v>
      </c>
      <c r="N173" s="11" t="s">
        <v>994</v>
      </c>
      <c r="O173" s="11" t="s">
        <v>994</v>
      </c>
      <c r="P173" s="11" t="s">
        <v>994</v>
      </c>
      <c r="Q173" s="11" t="s">
        <v>994</v>
      </c>
      <c r="R173" s="11" t="s">
        <v>994</v>
      </c>
      <c r="S173" s="11" t="s">
        <v>994</v>
      </c>
      <c r="T173" s="11" t="s">
        <v>994</v>
      </c>
      <c r="U173" s="11" t="s">
        <v>994</v>
      </c>
      <c r="V173" s="11" t="s">
        <v>994</v>
      </c>
      <c r="W173" s="11" t="s">
        <v>994</v>
      </c>
      <c r="X173" s="11" t="s">
        <v>994</v>
      </c>
      <c r="Y173" s="11" t="s">
        <v>994</v>
      </c>
      <c r="Z173" s="11" t="s">
        <v>994</v>
      </c>
      <c r="AA173" s="11" t="s">
        <v>994</v>
      </c>
      <c r="AB173" s="11" t="s">
        <v>994</v>
      </c>
      <c r="AC173" s="11" t="s">
        <v>994</v>
      </c>
      <c r="AD173" s="11" t="s">
        <v>994</v>
      </c>
    </row>
    <row r="174">
      <c r="B174" s="12" t="s">
        <v>994</v>
      </c>
      <c r="C174" s="11" t="s">
        <v>994</v>
      </c>
      <c r="D174" s="11" t="s">
        <v>994</v>
      </c>
      <c r="E174" s="12" t="s">
        <v>994</v>
      </c>
      <c r="F174" s="12" t="s">
        <v>994</v>
      </c>
      <c r="G174" s="12" t="s">
        <v>994</v>
      </c>
      <c r="H174" s="12" t="s">
        <v>994</v>
      </c>
      <c r="I174" s="12" t="s">
        <v>994</v>
      </c>
      <c r="J174" s="12" t="s">
        <v>994</v>
      </c>
      <c r="K174" s="12" t="s">
        <v>994</v>
      </c>
      <c r="L174" s="13" t="s">
        <v>994</v>
      </c>
      <c r="M174" s="11" t="s">
        <v>994</v>
      </c>
      <c r="N174" s="11" t="s">
        <v>994</v>
      </c>
      <c r="O174" s="11" t="s">
        <v>994</v>
      </c>
      <c r="P174" s="11" t="s">
        <v>994</v>
      </c>
      <c r="Q174" s="11" t="s">
        <v>994</v>
      </c>
      <c r="R174" s="11" t="s">
        <v>994</v>
      </c>
      <c r="S174" s="11" t="s">
        <v>994</v>
      </c>
      <c r="T174" s="11" t="s">
        <v>994</v>
      </c>
      <c r="U174" s="11" t="s">
        <v>994</v>
      </c>
      <c r="V174" s="11" t="s">
        <v>994</v>
      </c>
      <c r="W174" s="11" t="s">
        <v>994</v>
      </c>
      <c r="X174" s="11" t="s">
        <v>994</v>
      </c>
      <c r="Y174" s="11" t="s">
        <v>994</v>
      </c>
      <c r="Z174" s="11" t="s">
        <v>994</v>
      </c>
      <c r="AA174" s="11" t="s">
        <v>994</v>
      </c>
      <c r="AB174" s="11" t="s">
        <v>994</v>
      </c>
      <c r="AC174" s="11" t="s">
        <v>994</v>
      </c>
      <c r="AD174" s="11" t="s">
        <v>994</v>
      </c>
    </row>
    <row r="175">
      <c r="B175" s="12" t="s">
        <v>994</v>
      </c>
      <c r="C175" s="11" t="s">
        <v>994</v>
      </c>
      <c r="D175" s="11" t="s">
        <v>994</v>
      </c>
      <c r="E175" s="12" t="s">
        <v>994</v>
      </c>
      <c r="F175" s="12" t="s">
        <v>994</v>
      </c>
      <c r="G175" s="12" t="s">
        <v>994</v>
      </c>
      <c r="H175" s="12" t="s">
        <v>994</v>
      </c>
      <c r="I175" s="12" t="s">
        <v>994</v>
      </c>
      <c r="J175" s="12" t="s">
        <v>994</v>
      </c>
      <c r="K175" s="12" t="s">
        <v>994</v>
      </c>
      <c r="L175" s="13" t="s">
        <v>994</v>
      </c>
      <c r="M175" s="11" t="s">
        <v>994</v>
      </c>
      <c r="N175" s="11" t="s">
        <v>994</v>
      </c>
      <c r="O175" s="11" t="s">
        <v>994</v>
      </c>
      <c r="P175" s="11" t="s">
        <v>994</v>
      </c>
      <c r="Q175" s="11" t="s">
        <v>994</v>
      </c>
      <c r="R175" s="11" t="s">
        <v>994</v>
      </c>
      <c r="S175" s="11" t="s">
        <v>994</v>
      </c>
      <c r="T175" s="11" t="s">
        <v>994</v>
      </c>
      <c r="U175" s="11" t="s">
        <v>994</v>
      </c>
      <c r="V175" s="11" t="s">
        <v>994</v>
      </c>
      <c r="W175" s="11" t="s">
        <v>994</v>
      </c>
      <c r="X175" s="11" t="s">
        <v>994</v>
      </c>
      <c r="Y175" s="11" t="s">
        <v>994</v>
      </c>
      <c r="Z175" s="11" t="s">
        <v>994</v>
      </c>
      <c r="AA175" s="11" t="s">
        <v>994</v>
      </c>
      <c r="AB175" s="11" t="s">
        <v>994</v>
      </c>
      <c r="AC175" s="11" t="s">
        <v>994</v>
      </c>
      <c r="AD175" s="11" t="s">
        <v>994</v>
      </c>
    </row>
    <row r="176">
      <c r="B176" s="12" t="s">
        <v>994</v>
      </c>
      <c r="C176" s="11" t="s">
        <v>994</v>
      </c>
      <c r="D176" s="11" t="s">
        <v>994</v>
      </c>
      <c r="E176" s="12" t="s">
        <v>994</v>
      </c>
      <c r="F176" s="12" t="s">
        <v>994</v>
      </c>
      <c r="G176" s="12" t="s">
        <v>994</v>
      </c>
      <c r="H176" s="12" t="s">
        <v>994</v>
      </c>
      <c r="I176" s="12" t="s">
        <v>994</v>
      </c>
      <c r="J176" s="12" t="s">
        <v>994</v>
      </c>
      <c r="K176" s="12" t="s">
        <v>994</v>
      </c>
      <c r="L176" s="13" t="s">
        <v>994</v>
      </c>
      <c r="M176" s="11" t="s">
        <v>994</v>
      </c>
      <c r="N176" s="11" t="s">
        <v>994</v>
      </c>
      <c r="O176" s="11" t="s">
        <v>994</v>
      </c>
      <c r="P176" s="11" t="s">
        <v>994</v>
      </c>
      <c r="Q176" s="11" t="s">
        <v>994</v>
      </c>
      <c r="R176" s="11" t="s">
        <v>994</v>
      </c>
      <c r="S176" s="11" t="s">
        <v>994</v>
      </c>
      <c r="T176" s="11" t="s">
        <v>994</v>
      </c>
      <c r="U176" s="11" t="s">
        <v>994</v>
      </c>
      <c r="V176" s="11" t="s">
        <v>994</v>
      </c>
      <c r="W176" s="11" t="s">
        <v>994</v>
      </c>
      <c r="X176" s="11" t="s">
        <v>994</v>
      </c>
      <c r="Y176" s="11" t="s">
        <v>994</v>
      </c>
      <c r="Z176" s="11" t="s">
        <v>994</v>
      </c>
      <c r="AA176" s="11" t="s">
        <v>994</v>
      </c>
      <c r="AB176" s="11" t="s">
        <v>994</v>
      </c>
      <c r="AC176" s="11" t="s">
        <v>994</v>
      </c>
      <c r="AD176" s="11" t="s">
        <v>994</v>
      </c>
    </row>
    <row r="177">
      <c r="B177" s="12" t="s">
        <v>994</v>
      </c>
      <c r="C177" s="11" t="s">
        <v>994</v>
      </c>
      <c r="D177" s="11" t="s">
        <v>994</v>
      </c>
      <c r="E177" s="12" t="s">
        <v>994</v>
      </c>
      <c r="F177" s="12" t="s">
        <v>994</v>
      </c>
      <c r="G177" s="12" t="s">
        <v>994</v>
      </c>
      <c r="H177" s="12" t="s">
        <v>994</v>
      </c>
      <c r="I177" s="12" t="s">
        <v>994</v>
      </c>
      <c r="J177" s="12" t="s">
        <v>994</v>
      </c>
      <c r="K177" s="12" t="s">
        <v>994</v>
      </c>
      <c r="L177" s="13" t="s">
        <v>994</v>
      </c>
      <c r="M177" s="11" t="s">
        <v>994</v>
      </c>
      <c r="N177" s="11" t="s">
        <v>994</v>
      </c>
      <c r="O177" s="11" t="s">
        <v>994</v>
      </c>
      <c r="P177" s="11" t="s">
        <v>994</v>
      </c>
      <c r="Q177" s="11" t="s">
        <v>994</v>
      </c>
      <c r="R177" s="11" t="s">
        <v>994</v>
      </c>
      <c r="S177" s="11" t="s">
        <v>994</v>
      </c>
      <c r="T177" s="11" t="s">
        <v>994</v>
      </c>
      <c r="U177" s="11" t="s">
        <v>994</v>
      </c>
      <c r="V177" s="11" t="s">
        <v>994</v>
      </c>
      <c r="W177" s="11" t="s">
        <v>994</v>
      </c>
      <c r="X177" s="11" t="s">
        <v>994</v>
      </c>
      <c r="Y177" s="11" t="s">
        <v>994</v>
      </c>
      <c r="Z177" s="11" t="s">
        <v>994</v>
      </c>
      <c r="AA177" s="11" t="s">
        <v>994</v>
      </c>
      <c r="AB177" s="11" t="s">
        <v>994</v>
      </c>
      <c r="AC177" s="11" t="s">
        <v>994</v>
      </c>
      <c r="AD177" s="11" t="s">
        <v>994</v>
      </c>
    </row>
    <row r="178">
      <c r="B178" s="12" t="s">
        <v>994</v>
      </c>
      <c r="C178" s="11" t="s">
        <v>994</v>
      </c>
      <c r="D178" s="11" t="s">
        <v>994</v>
      </c>
      <c r="E178" s="12" t="s">
        <v>994</v>
      </c>
      <c r="F178" s="12" t="s">
        <v>994</v>
      </c>
      <c r="G178" s="12" t="s">
        <v>994</v>
      </c>
      <c r="H178" s="12" t="s">
        <v>994</v>
      </c>
      <c r="I178" s="12" t="s">
        <v>994</v>
      </c>
      <c r="J178" s="12" t="s">
        <v>994</v>
      </c>
      <c r="K178" s="12" t="s">
        <v>994</v>
      </c>
      <c r="L178" s="13" t="s">
        <v>994</v>
      </c>
      <c r="M178" s="11" t="s">
        <v>994</v>
      </c>
      <c r="N178" s="11" t="s">
        <v>994</v>
      </c>
      <c r="O178" s="11" t="s">
        <v>994</v>
      </c>
      <c r="P178" s="11" t="s">
        <v>994</v>
      </c>
      <c r="Q178" s="11" t="s">
        <v>994</v>
      </c>
      <c r="R178" s="11" t="s">
        <v>994</v>
      </c>
      <c r="S178" s="11" t="s">
        <v>994</v>
      </c>
      <c r="T178" s="11" t="s">
        <v>994</v>
      </c>
      <c r="U178" s="11" t="s">
        <v>994</v>
      </c>
      <c r="V178" s="11" t="s">
        <v>994</v>
      </c>
      <c r="W178" s="11" t="s">
        <v>994</v>
      </c>
      <c r="X178" s="11" t="s">
        <v>994</v>
      </c>
      <c r="Y178" s="11" t="s">
        <v>994</v>
      </c>
      <c r="Z178" s="11" t="s">
        <v>994</v>
      </c>
      <c r="AA178" s="11" t="s">
        <v>994</v>
      </c>
      <c r="AB178" s="11" t="s">
        <v>994</v>
      </c>
      <c r="AC178" s="11" t="s">
        <v>994</v>
      </c>
      <c r="AD178" s="11" t="s">
        <v>994</v>
      </c>
    </row>
    <row r="179">
      <c r="B179" s="12" t="s">
        <v>994</v>
      </c>
      <c r="C179" s="11" t="s">
        <v>994</v>
      </c>
      <c r="D179" s="11" t="s">
        <v>994</v>
      </c>
      <c r="E179" s="12" t="s">
        <v>994</v>
      </c>
      <c r="F179" s="12" t="s">
        <v>994</v>
      </c>
      <c r="G179" s="12" t="s">
        <v>994</v>
      </c>
      <c r="H179" s="12" t="s">
        <v>994</v>
      </c>
      <c r="I179" s="12" t="s">
        <v>994</v>
      </c>
      <c r="J179" s="12" t="s">
        <v>994</v>
      </c>
      <c r="K179" s="12" t="s">
        <v>994</v>
      </c>
      <c r="L179" s="13" t="s">
        <v>994</v>
      </c>
      <c r="M179" s="11" t="s">
        <v>994</v>
      </c>
      <c r="N179" s="11" t="s">
        <v>994</v>
      </c>
      <c r="O179" s="11" t="s">
        <v>994</v>
      </c>
      <c r="P179" s="11" t="s">
        <v>994</v>
      </c>
      <c r="Q179" s="11" t="s">
        <v>994</v>
      </c>
      <c r="R179" s="11" t="s">
        <v>994</v>
      </c>
      <c r="S179" s="11" t="s">
        <v>994</v>
      </c>
      <c r="T179" s="11" t="s">
        <v>994</v>
      </c>
      <c r="U179" s="11" t="s">
        <v>994</v>
      </c>
      <c r="V179" s="11" t="s">
        <v>994</v>
      </c>
      <c r="W179" s="11" t="s">
        <v>994</v>
      </c>
      <c r="X179" s="11" t="s">
        <v>994</v>
      </c>
      <c r="Y179" s="11" t="s">
        <v>994</v>
      </c>
      <c r="Z179" s="11" t="s">
        <v>994</v>
      </c>
      <c r="AA179" s="11" t="s">
        <v>994</v>
      </c>
      <c r="AB179" s="11" t="s">
        <v>994</v>
      </c>
      <c r="AC179" s="11" t="s">
        <v>994</v>
      </c>
      <c r="AD179" s="11" t="s">
        <v>994</v>
      </c>
    </row>
    <row r="180">
      <c r="B180" s="12" t="s">
        <v>994</v>
      </c>
      <c r="C180" s="11" t="s">
        <v>994</v>
      </c>
      <c r="D180" s="11" t="s">
        <v>994</v>
      </c>
      <c r="E180" s="12" t="s">
        <v>994</v>
      </c>
      <c r="F180" s="12" t="s">
        <v>994</v>
      </c>
      <c r="G180" s="12" t="s">
        <v>994</v>
      </c>
      <c r="H180" s="12" t="s">
        <v>994</v>
      </c>
      <c r="I180" s="12" t="s">
        <v>994</v>
      </c>
      <c r="J180" s="12" t="s">
        <v>994</v>
      </c>
      <c r="K180" s="12" t="s">
        <v>994</v>
      </c>
      <c r="L180" s="13" t="s">
        <v>994</v>
      </c>
      <c r="M180" s="11" t="s">
        <v>994</v>
      </c>
      <c r="N180" s="11" t="s">
        <v>994</v>
      </c>
      <c r="O180" s="11" t="s">
        <v>994</v>
      </c>
      <c r="P180" s="11" t="s">
        <v>994</v>
      </c>
      <c r="Q180" s="11" t="s">
        <v>994</v>
      </c>
      <c r="R180" s="11" t="s">
        <v>994</v>
      </c>
      <c r="S180" s="11" t="s">
        <v>994</v>
      </c>
      <c r="T180" s="11" t="s">
        <v>994</v>
      </c>
      <c r="U180" s="11" t="s">
        <v>994</v>
      </c>
      <c r="V180" s="11" t="s">
        <v>994</v>
      </c>
      <c r="W180" s="11" t="s">
        <v>994</v>
      </c>
      <c r="X180" s="11" t="s">
        <v>994</v>
      </c>
      <c r="Y180" s="11" t="s">
        <v>994</v>
      </c>
      <c r="Z180" s="11" t="s">
        <v>994</v>
      </c>
      <c r="AA180" s="11" t="s">
        <v>994</v>
      </c>
      <c r="AB180" s="11" t="s">
        <v>994</v>
      </c>
      <c r="AC180" s="11" t="s">
        <v>994</v>
      </c>
      <c r="AD180" s="11" t="s">
        <v>994</v>
      </c>
    </row>
    <row r="181">
      <c r="B181" s="12" t="s">
        <v>994</v>
      </c>
      <c r="C181" s="11" t="s">
        <v>994</v>
      </c>
      <c r="D181" s="11" t="s">
        <v>994</v>
      </c>
      <c r="E181" s="12" t="s">
        <v>994</v>
      </c>
      <c r="F181" s="12" t="s">
        <v>994</v>
      </c>
      <c r="G181" s="12" t="s">
        <v>994</v>
      </c>
      <c r="H181" s="12" t="s">
        <v>994</v>
      </c>
      <c r="I181" s="12" t="s">
        <v>994</v>
      </c>
      <c r="J181" s="12" t="s">
        <v>994</v>
      </c>
      <c r="K181" s="12" t="s">
        <v>994</v>
      </c>
      <c r="L181" s="13" t="s">
        <v>994</v>
      </c>
      <c r="M181" s="11" t="s">
        <v>994</v>
      </c>
      <c r="N181" s="11" t="s">
        <v>994</v>
      </c>
      <c r="O181" s="11" t="s">
        <v>994</v>
      </c>
      <c r="P181" s="11" t="s">
        <v>994</v>
      </c>
      <c r="Q181" s="11" t="s">
        <v>994</v>
      </c>
      <c r="R181" s="11" t="s">
        <v>994</v>
      </c>
      <c r="S181" s="11" t="s">
        <v>994</v>
      </c>
      <c r="T181" s="11" t="s">
        <v>994</v>
      </c>
      <c r="U181" s="11" t="s">
        <v>994</v>
      </c>
      <c r="V181" s="11" t="s">
        <v>994</v>
      </c>
      <c r="W181" s="11" t="s">
        <v>994</v>
      </c>
      <c r="X181" s="11" t="s">
        <v>994</v>
      </c>
      <c r="Y181" s="11" t="s">
        <v>994</v>
      </c>
      <c r="Z181" s="11" t="s">
        <v>994</v>
      </c>
      <c r="AA181" s="11" t="s">
        <v>994</v>
      </c>
      <c r="AB181" s="11" t="s">
        <v>994</v>
      </c>
      <c r="AC181" s="11" t="s">
        <v>994</v>
      </c>
      <c r="AD181" s="11" t="s">
        <v>994</v>
      </c>
    </row>
    <row r="182">
      <c r="B182" s="12" t="s">
        <v>994</v>
      </c>
      <c r="C182" s="11" t="s">
        <v>994</v>
      </c>
      <c r="D182" s="11" t="s">
        <v>994</v>
      </c>
      <c r="E182" s="12" t="s">
        <v>994</v>
      </c>
      <c r="F182" s="12" t="s">
        <v>994</v>
      </c>
      <c r="G182" s="12" t="s">
        <v>994</v>
      </c>
      <c r="H182" s="12" t="s">
        <v>994</v>
      </c>
      <c r="I182" s="12" t="s">
        <v>994</v>
      </c>
      <c r="J182" s="12" t="s">
        <v>994</v>
      </c>
      <c r="K182" s="12" t="s">
        <v>994</v>
      </c>
      <c r="L182" s="13" t="s">
        <v>994</v>
      </c>
      <c r="M182" s="11" t="s">
        <v>994</v>
      </c>
      <c r="N182" s="11" t="s">
        <v>994</v>
      </c>
      <c r="O182" s="11" t="s">
        <v>994</v>
      </c>
      <c r="P182" s="11" t="s">
        <v>994</v>
      </c>
      <c r="Q182" s="11" t="s">
        <v>994</v>
      </c>
      <c r="R182" s="11" t="s">
        <v>994</v>
      </c>
      <c r="S182" s="11" t="s">
        <v>994</v>
      </c>
      <c r="T182" s="11" t="s">
        <v>994</v>
      </c>
      <c r="U182" s="11" t="s">
        <v>994</v>
      </c>
      <c r="V182" s="11" t="s">
        <v>994</v>
      </c>
      <c r="W182" s="11" t="s">
        <v>994</v>
      </c>
      <c r="X182" s="11" t="s">
        <v>994</v>
      </c>
      <c r="Y182" s="11" t="s">
        <v>994</v>
      </c>
      <c r="Z182" s="11" t="s">
        <v>994</v>
      </c>
      <c r="AA182" s="11" t="s">
        <v>994</v>
      </c>
      <c r="AB182" s="11" t="s">
        <v>994</v>
      </c>
      <c r="AC182" s="11" t="s">
        <v>994</v>
      </c>
      <c r="AD182" s="11" t="s">
        <v>994</v>
      </c>
    </row>
    <row r="183">
      <c r="B183" s="12" t="s">
        <v>994</v>
      </c>
      <c r="C183" s="11" t="s">
        <v>994</v>
      </c>
      <c r="D183" s="11" t="s">
        <v>994</v>
      </c>
      <c r="E183" s="12" t="s">
        <v>994</v>
      </c>
      <c r="F183" s="12" t="s">
        <v>994</v>
      </c>
      <c r="G183" s="12" t="s">
        <v>994</v>
      </c>
      <c r="H183" s="12" t="s">
        <v>994</v>
      </c>
      <c r="I183" s="12" t="s">
        <v>994</v>
      </c>
      <c r="J183" s="12" t="s">
        <v>994</v>
      </c>
      <c r="K183" s="12" t="s">
        <v>994</v>
      </c>
      <c r="L183" s="13" t="s">
        <v>994</v>
      </c>
      <c r="M183" s="11" t="s">
        <v>994</v>
      </c>
      <c r="N183" s="11" t="s">
        <v>994</v>
      </c>
      <c r="O183" s="11" t="s">
        <v>994</v>
      </c>
      <c r="P183" s="11" t="s">
        <v>994</v>
      </c>
      <c r="Q183" s="11" t="s">
        <v>994</v>
      </c>
      <c r="R183" s="11" t="s">
        <v>994</v>
      </c>
      <c r="S183" s="11" t="s">
        <v>994</v>
      </c>
      <c r="T183" s="11" t="s">
        <v>994</v>
      </c>
      <c r="U183" s="11" t="s">
        <v>994</v>
      </c>
      <c r="V183" s="11" t="s">
        <v>994</v>
      </c>
      <c r="W183" s="11" t="s">
        <v>994</v>
      </c>
      <c r="X183" s="11" t="s">
        <v>994</v>
      </c>
      <c r="Y183" s="11" t="s">
        <v>994</v>
      </c>
      <c r="Z183" s="11" t="s">
        <v>994</v>
      </c>
      <c r="AA183" s="11" t="s">
        <v>994</v>
      </c>
      <c r="AB183" s="11" t="s">
        <v>994</v>
      </c>
      <c r="AC183" s="11" t="s">
        <v>994</v>
      </c>
      <c r="AD183" s="11" t="s">
        <v>994</v>
      </c>
    </row>
    <row r="184">
      <c r="B184" s="12" t="s">
        <v>994</v>
      </c>
      <c r="C184" s="11" t="s">
        <v>994</v>
      </c>
      <c r="D184" s="11" t="s">
        <v>994</v>
      </c>
      <c r="E184" s="12" t="s">
        <v>994</v>
      </c>
      <c r="F184" s="12" t="s">
        <v>994</v>
      </c>
      <c r="G184" s="12" t="s">
        <v>994</v>
      </c>
      <c r="H184" s="12" t="s">
        <v>994</v>
      </c>
      <c r="I184" s="12" t="s">
        <v>994</v>
      </c>
      <c r="J184" s="12" t="s">
        <v>994</v>
      </c>
      <c r="K184" s="12" t="s">
        <v>994</v>
      </c>
      <c r="L184" s="13" t="s">
        <v>994</v>
      </c>
      <c r="M184" s="11" t="s">
        <v>994</v>
      </c>
      <c r="N184" s="11" t="s">
        <v>994</v>
      </c>
      <c r="O184" s="11" t="s">
        <v>994</v>
      </c>
      <c r="P184" s="11" t="s">
        <v>994</v>
      </c>
      <c r="Q184" s="11" t="s">
        <v>994</v>
      </c>
      <c r="R184" s="11" t="s">
        <v>994</v>
      </c>
      <c r="S184" s="11" t="s">
        <v>994</v>
      </c>
      <c r="T184" s="11" t="s">
        <v>994</v>
      </c>
      <c r="U184" s="11" t="s">
        <v>994</v>
      </c>
      <c r="V184" s="11" t="s">
        <v>994</v>
      </c>
      <c r="W184" s="11" t="s">
        <v>994</v>
      </c>
      <c r="X184" s="11" t="s">
        <v>994</v>
      </c>
      <c r="Y184" s="11" t="s">
        <v>994</v>
      </c>
      <c r="Z184" s="11" t="s">
        <v>994</v>
      </c>
      <c r="AA184" s="11" t="s">
        <v>994</v>
      </c>
      <c r="AB184" s="11" t="s">
        <v>994</v>
      </c>
      <c r="AC184" s="11" t="s">
        <v>994</v>
      </c>
      <c r="AD184" s="11" t="s">
        <v>994</v>
      </c>
    </row>
    <row r="185">
      <c r="B185" s="12" t="s">
        <v>994</v>
      </c>
      <c r="C185" s="11" t="s">
        <v>994</v>
      </c>
      <c r="D185" s="11" t="s">
        <v>994</v>
      </c>
      <c r="E185" s="12" t="s">
        <v>994</v>
      </c>
      <c r="F185" s="12" t="s">
        <v>994</v>
      </c>
      <c r="G185" s="12" t="s">
        <v>994</v>
      </c>
      <c r="H185" s="12" t="s">
        <v>994</v>
      </c>
      <c r="I185" s="12" t="s">
        <v>994</v>
      </c>
      <c r="J185" s="12" t="s">
        <v>994</v>
      </c>
      <c r="K185" s="12" t="s">
        <v>994</v>
      </c>
      <c r="L185" s="13" t="s">
        <v>994</v>
      </c>
      <c r="M185" s="11" t="s">
        <v>994</v>
      </c>
      <c r="N185" s="11" t="s">
        <v>994</v>
      </c>
      <c r="O185" s="11" t="s">
        <v>994</v>
      </c>
      <c r="P185" s="11" t="s">
        <v>994</v>
      </c>
      <c r="Q185" s="11" t="s">
        <v>994</v>
      </c>
      <c r="R185" s="11" t="s">
        <v>994</v>
      </c>
      <c r="S185" s="11" t="s">
        <v>994</v>
      </c>
      <c r="T185" s="11" t="s">
        <v>994</v>
      </c>
      <c r="U185" s="11" t="s">
        <v>994</v>
      </c>
      <c r="V185" s="11" t="s">
        <v>994</v>
      </c>
      <c r="W185" s="11" t="s">
        <v>994</v>
      </c>
      <c r="X185" s="11" t="s">
        <v>994</v>
      </c>
      <c r="Y185" s="11" t="s">
        <v>994</v>
      </c>
      <c r="Z185" s="11" t="s">
        <v>994</v>
      </c>
      <c r="AA185" s="11" t="s">
        <v>994</v>
      </c>
      <c r="AB185" s="11" t="s">
        <v>994</v>
      </c>
      <c r="AC185" s="11" t="s">
        <v>994</v>
      </c>
      <c r="AD185" s="11" t="s">
        <v>994</v>
      </c>
    </row>
    <row r="186">
      <c r="B186" s="12" t="s">
        <v>994</v>
      </c>
      <c r="C186" s="11" t="s">
        <v>994</v>
      </c>
      <c r="D186" s="11" t="s">
        <v>994</v>
      </c>
      <c r="E186" s="12" t="s">
        <v>994</v>
      </c>
      <c r="F186" s="12" t="s">
        <v>994</v>
      </c>
      <c r="G186" s="12" t="s">
        <v>994</v>
      </c>
      <c r="H186" s="12" t="s">
        <v>994</v>
      </c>
      <c r="I186" s="12" t="s">
        <v>994</v>
      </c>
      <c r="J186" s="12" t="s">
        <v>994</v>
      </c>
      <c r="K186" s="12" t="s">
        <v>994</v>
      </c>
      <c r="L186" s="13" t="s">
        <v>994</v>
      </c>
      <c r="M186" s="11" t="s">
        <v>994</v>
      </c>
      <c r="N186" s="11" t="s">
        <v>994</v>
      </c>
      <c r="O186" s="11" t="s">
        <v>994</v>
      </c>
      <c r="P186" s="11" t="s">
        <v>994</v>
      </c>
      <c r="Q186" s="11" t="s">
        <v>994</v>
      </c>
      <c r="R186" s="11" t="s">
        <v>994</v>
      </c>
      <c r="S186" s="11" t="s">
        <v>994</v>
      </c>
      <c r="T186" s="11" t="s">
        <v>994</v>
      </c>
      <c r="U186" s="11" t="s">
        <v>994</v>
      </c>
      <c r="V186" s="11" t="s">
        <v>994</v>
      </c>
      <c r="W186" s="11" t="s">
        <v>994</v>
      </c>
      <c r="X186" s="11" t="s">
        <v>994</v>
      </c>
      <c r="Y186" s="11" t="s">
        <v>994</v>
      </c>
      <c r="Z186" s="11" t="s">
        <v>994</v>
      </c>
      <c r="AA186" s="11" t="s">
        <v>994</v>
      </c>
      <c r="AB186" s="11" t="s">
        <v>994</v>
      </c>
      <c r="AC186" s="11" t="s">
        <v>994</v>
      </c>
      <c r="AD186" s="11" t="s">
        <v>994</v>
      </c>
    </row>
    <row r="187">
      <c r="B187" s="12" t="s">
        <v>994</v>
      </c>
      <c r="C187" s="11" t="s">
        <v>994</v>
      </c>
      <c r="D187" s="11" t="s">
        <v>994</v>
      </c>
      <c r="E187" s="12" t="s">
        <v>994</v>
      </c>
      <c r="F187" s="12" t="s">
        <v>994</v>
      </c>
      <c r="G187" s="12" t="s">
        <v>994</v>
      </c>
      <c r="H187" s="12" t="s">
        <v>994</v>
      </c>
      <c r="I187" s="12" t="s">
        <v>994</v>
      </c>
      <c r="J187" s="12" t="s">
        <v>994</v>
      </c>
      <c r="K187" s="12" t="s">
        <v>994</v>
      </c>
      <c r="L187" s="13" t="s">
        <v>994</v>
      </c>
      <c r="M187" s="11" t="s">
        <v>994</v>
      </c>
      <c r="N187" s="11" t="s">
        <v>994</v>
      </c>
      <c r="O187" s="11" t="s">
        <v>994</v>
      </c>
      <c r="P187" s="11" t="s">
        <v>994</v>
      </c>
      <c r="Q187" s="11" t="s">
        <v>994</v>
      </c>
      <c r="R187" s="11" t="s">
        <v>994</v>
      </c>
      <c r="S187" s="11" t="s">
        <v>994</v>
      </c>
      <c r="T187" s="11" t="s">
        <v>994</v>
      </c>
      <c r="U187" s="11" t="s">
        <v>994</v>
      </c>
      <c r="V187" s="11" t="s">
        <v>994</v>
      </c>
      <c r="W187" s="11" t="s">
        <v>994</v>
      </c>
      <c r="X187" s="11" t="s">
        <v>994</v>
      </c>
      <c r="Y187" s="11" t="s">
        <v>994</v>
      </c>
      <c r="Z187" s="11" t="s">
        <v>994</v>
      </c>
      <c r="AA187" s="11" t="s">
        <v>994</v>
      </c>
      <c r="AB187" s="11" t="s">
        <v>994</v>
      </c>
      <c r="AC187" s="11" t="s">
        <v>994</v>
      </c>
      <c r="AD187" s="11" t="s">
        <v>994</v>
      </c>
    </row>
    <row r="188">
      <c r="B188" s="12" t="s">
        <v>994</v>
      </c>
      <c r="C188" s="11" t="s">
        <v>994</v>
      </c>
      <c r="D188" s="11" t="s">
        <v>994</v>
      </c>
      <c r="E188" s="12" t="s">
        <v>994</v>
      </c>
      <c r="F188" s="12" t="s">
        <v>994</v>
      </c>
      <c r="G188" s="12" t="s">
        <v>994</v>
      </c>
      <c r="H188" s="12" t="s">
        <v>994</v>
      </c>
      <c r="I188" s="12" t="s">
        <v>994</v>
      </c>
      <c r="J188" s="12" t="s">
        <v>994</v>
      </c>
      <c r="K188" s="12" t="s">
        <v>994</v>
      </c>
      <c r="L188" s="13" t="s">
        <v>994</v>
      </c>
      <c r="M188" s="11" t="s">
        <v>994</v>
      </c>
      <c r="N188" s="11" t="s">
        <v>994</v>
      </c>
      <c r="O188" s="11" t="s">
        <v>994</v>
      </c>
      <c r="P188" s="11" t="s">
        <v>994</v>
      </c>
      <c r="Q188" s="11" t="s">
        <v>994</v>
      </c>
      <c r="R188" s="11" t="s">
        <v>994</v>
      </c>
      <c r="S188" s="11" t="s">
        <v>994</v>
      </c>
      <c r="T188" s="11" t="s">
        <v>994</v>
      </c>
      <c r="U188" s="11" t="s">
        <v>994</v>
      </c>
      <c r="V188" s="11" t="s">
        <v>994</v>
      </c>
      <c r="W188" s="11" t="s">
        <v>994</v>
      </c>
      <c r="X188" s="11" t="s">
        <v>994</v>
      </c>
      <c r="Y188" s="11" t="s">
        <v>994</v>
      </c>
      <c r="Z188" s="11" t="s">
        <v>994</v>
      </c>
      <c r="AA188" s="11" t="s">
        <v>994</v>
      </c>
      <c r="AB188" s="11" t="s">
        <v>994</v>
      </c>
      <c r="AC188" s="11" t="s">
        <v>994</v>
      </c>
      <c r="AD188" s="11" t="s">
        <v>994</v>
      </c>
    </row>
    <row r="189">
      <c r="B189" s="12" t="s">
        <v>994</v>
      </c>
      <c r="C189" s="11" t="s">
        <v>994</v>
      </c>
      <c r="D189" s="11" t="s">
        <v>994</v>
      </c>
      <c r="E189" s="12" t="s">
        <v>994</v>
      </c>
      <c r="F189" s="12" t="s">
        <v>994</v>
      </c>
      <c r="G189" s="12" t="s">
        <v>994</v>
      </c>
      <c r="H189" s="12" t="s">
        <v>994</v>
      </c>
      <c r="I189" s="12" t="s">
        <v>994</v>
      </c>
      <c r="J189" s="12" t="s">
        <v>994</v>
      </c>
      <c r="K189" s="12" t="s">
        <v>994</v>
      </c>
      <c r="L189" s="13" t="s">
        <v>994</v>
      </c>
      <c r="M189" s="11" t="s">
        <v>994</v>
      </c>
      <c r="N189" s="11" t="s">
        <v>994</v>
      </c>
      <c r="O189" s="11" t="s">
        <v>994</v>
      </c>
      <c r="P189" s="11" t="s">
        <v>994</v>
      </c>
      <c r="Q189" s="11" t="s">
        <v>994</v>
      </c>
      <c r="R189" s="11" t="s">
        <v>994</v>
      </c>
      <c r="S189" s="11" t="s">
        <v>994</v>
      </c>
      <c r="T189" s="11" t="s">
        <v>994</v>
      </c>
      <c r="U189" s="11" t="s">
        <v>994</v>
      </c>
      <c r="V189" s="11" t="s">
        <v>994</v>
      </c>
      <c r="W189" s="11" t="s">
        <v>994</v>
      </c>
      <c r="X189" s="11" t="s">
        <v>994</v>
      </c>
      <c r="Y189" s="11" t="s">
        <v>994</v>
      </c>
      <c r="Z189" s="11" t="s">
        <v>994</v>
      </c>
      <c r="AA189" s="11" t="s">
        <v>994</v>
      </c>
      <c r="AB189" s="11" t="s">
        <v>994</v>
      </c>
      <c r="AC189" s="11" t="s">
        <v>994</v>
      </c>
      <c r="AD189" s="11" t="s">
        <v>994</v>
      </c>
    </row>
    <row r="190">
      <c r="B190" s="12" t="s">
        <v>994</v>
      </c>
      <c r="C190" s="11" t="s">
        <v>994</v>
      </c>
      <c r="D190" s="11" t="s">
        <v>994</v>
      </c>
      <c r="E190" s="12" t="s">
        <v>994</v>
      </c>
      <c r="F190" s="12" t="s">
        <v>994</v>
      </c>
      <c r="G190" s="12" t="s">
        <v>994</v>
      </c>
      <c r="H190" s="12" t="s">
        <v>994</v>
      </c>
      <c r="I190" s="12" t="s">
        <v>994</v>
      </c>
      <c r="J190" s="12" t="s">
        <v>994</v>
      </c>
      <c r="K190" s="12" t="s">
        <v>994</v>
      </c>
      <c r="L190" s="13" t="s">
        <v>994</v>
      </c>
      <c r="M190" s="11" t="s">
        <v>994</v>
      </c>
      <c r="N190" s="11" t="s">
        <v>994</v>
      </c>
      <c r="O190" s="11" t="s">
        <v>994</v>
      </c>
      <c r="P190" s="11" t="s">
        <v>994</v>
      </c>
      <c r="Q190" s="11" t="s">
        <v>994</v>
      </c>
      <c r="R190" s="11" t="s">
        <v>994</v>
      </c>
      <c r="S190" s="11" t="s">
        <v>994</v>
      </c>
      <c r="T190" s="11" t="s">
        <v>994</v>
      </c>
      <c r="U190" s="11" t="s">
        <v>994</v>
      </c>
      <c r="V190" s="11" t="s">
        <v>994</v>
      </c>
      <c r="W190" s="11" t="s">
        <v>994</v>
      </c>
      <c r="X190" s="11" t="s">
        <v>994</v>
      </c>
      <c r="Y190" s="11" t="s">
        <v>994</v>
      </c>
      <c r="Z190" s="11" t="s">
        <v>994</v>
      </c>
      <c r="AA190" s="11" t="s">
        <v>994</v>
      </c>
      <c r="AB190" s="11" t="s">
        <v>994</v>
      </c>
      <c r="AC190" s="11" t="s">
        <v>994</v>
      </c>
      <c r="AD190" s="11" t="s">
        <v>994</v>
      </c>
    </row>
    <row r="191">
      <c r="B191" s="12" t="s">
        <v>994</v>
      </c>
      <c r="C191" s="11" t="s">
        <v>994</v>
      </c>
      <c r="D191" s="11" t="s">
        <v>994</v>
      </c>
      <c r="E191" s="12" t="s">
        <v>994</v>
      </c>
      <c r="F191" s="12" t="s">
        <v>994</v>
      </c>
      <c r="G191" s="12" t="s">
        <v>994</v>
      </c>
      <c r="H191" s="12" t="s">
        <v>994</v>
      </c>
      <c r="I191" s="12" t="s">
        <v>994</v>
      </c>
      <c r="J191" s="12" t="s">
        <v>994</v>
      </c>
      <c r="K191" s="12" t="s">
        <v>994</v>
      </c>
      <c r="L191" s="13" t="s">
        <v>994</v>
      </c>
      <c r="M191" s="11" t="s">
        <v>994</v>
      </c>
      <c r="N191" s="11" t="s">
        <v>994</v>
      </c>
      <c r="O191" s="11" t="s">
        <v>994</v>
      </c>
      <c r="P191" s="11" t="s">
        <v>994</v>
      </c>
      <c r="Q191" s="11" t="s">
        <v>994</v>
      </c>
      <c r="R191" s="11" t="s">
        <v>994</v>
      </c>
      <c r="S191" s="11" t="s">
        <v>994</v>
      </c>
      <c r="T191" s="11" t="s">
        <v>994</v>
      </c>
      <c r="U191" s="11" t="s">
        <v>994</v>
      </c>
      <c r="V191" s="11" t="s">
        <v>994</v>
      </c>
      <c r="W191" s="11" t="s">
        <v>994</v>
      </c>
      <c r="X191" s="11" t="s">
        <v>994</v>
      </c>
      <c r="Y191" s="11" t="s">
        <v>994</v>
      </c>
      <c r="Z191" s="11" t="s">
        <v>994</v>
      </c>
      <c r="AA191" s="11" t="s">
        <v>994</v>
      </c>
      <c r="AB191" s="11" t="s">
        <v>994</v>
      </c>
      <c r="AC191" s="11" t="s">
        <v>994</v>
      </c>
      <c r="AD191" s="11" t="s">
        <v>994</v>
      </c>
    </row>
    <row r="192">
      <c r="B192" s="12" t="s">
        <v>994</v>
      </c>
      <c r="C192" s="11" t="s">
        <v>994</v>
      </c>
      <c r="D192" s="11" t="s">
        <v>994</v>
      </c>
      <c r="E192" s="12" t="s">
        <v>994</v>
      </c>
      <c r="F192" s="12" t="s">
        <v>994</v>
      </c>
      <c r="G192" s="12" t="s">
        <v>994</v>
      </c>
      <c r="H192" s="12" t="s">
        <v>994</v>
      </c>
      <c r="I192" s="12" t="s">
        <v>994</v>
      </c>
      <c r="J192" s="12" t="s">
        <v>994</v>
      </c>
      <c r="K192" s="12" t="s">
        <v>994</v>
      </c>
      <c r="L192" s="13" t="s">
        <v>994</v>
      </c>
      <c r="M192" s="11" t="s">
        <v>994</v>
      </c>
      <c r="N192" s="11" t="s">
        <v>994</v>
      </c>
      <c r="O192" s="11" t="s">
        <v>994</v>
      </c>
      <c r="P192" s="11" t="s">
        <v>994</v>
      </c>
      <c r="Q192" s="11" t="s">
        <v>994</v>
      </c>
      <c r="R192" s="11" t="s">
        <v>994</v>
      </c>
      <c r="S192" s="11" t="s">
        <v>994</v>
      </c>
      <c r="T192" s="11" t="s">
        <v>994</v>
      </c>
      <c r="U192" s="11" t="s">
        <v>994</v>
      </c>
      <c r="V192" s="11" t="s">
        <v>994</v>
      </c>
      <c r="W192" s="11" t="s">
        <v>994</v>
      </c>
      <c r="X192" s="11" t="s">
        <v>994</v>
      </c>
      <c r="Y192" s="11" t="s">
        <v>994</v>
      </c>
      <c r="Z192" s="11" t="s">
        <v>994</v>
      </c>
      <c r="AA192" s="11" t="s">
        <v>994</v>
      </c>
      <c r="AB192" s="11" t="s">
        <v>994</v>
      </c>
      <c r="AC192" s="11" t="s">
        <v>994</v>
      </c>
      <c r="AD192" s="11" t="s">
        <v>994</v>
      </c>
    </row>
    <row r="193">
      <c r="B193" s="12" t="s">
        <v>994</v>
      </c>
      <c r="C193" s="11" t="s">
        <v>994</v>
      </c>
      <c r="D193" s="11" t="s">
        <v>994</v>
      </c>
      <c r="E193" s="12" t="s">
        <v>994</v>
      </c>
      <c r="F193" s="12" t="s">
        <v>994</v>
      </c>
      <c r="G193" s="12" t="s">
        <v>994</v>
      </c>
      <c r="H193" s="12" t="s">
        <v>994</v>
      </c>
      <c r="I193" s="12" t="s">
        <v>994</v>
      </c>
      <c r="J193" s="12" t="s">
        <v>994</v>
      </c>
      <c r="K193" s="12" t="s">
        <v>994</v>
      </c>
      <c r="L193" s="13" t="s">
        <v>994</v>
      </c>
      <c r="M193" s="11" t="s">
        <v>994</v>
      </c>
      <c r="N193" s="11" t="s">
        <v>994</v>
      </c>
      <c r="O193" s="11" t="s">
        <v>994</v>
      </c>
      <c r="P193" s="11" t="s">
        <v>994</v>
      </c>
      <c r="Q193" s="11" t="s">
        <v>994</v>
      </c>
      <c r="R193" s="11" t="s">
        <v>994</v>
      </c>
      <c r="S193" s="11" t="s">
        <v>994</v>
      </c>
      <c r="T193" s="11" t="s">
        <v>994</v>
      </c>
      <c r="U193" s="11" t="s">
        <v>994</v>
      </c>
      <c r="V193" s="11" t="s">
        <v>994</v>
      </c>
      <c r="W193" s="11" t="s">
        <v>994</v>
      </c>
      <c r="X193" s="11" t="s">
        <v>994</v>
      </c>
      <c r="Y193" s="11" t="s">
        <v>994</v>
      </c>
      <c r="Z193" s="11" t="s">
        <v>994</v>
      </c>
      <c r="AA193" s="11" t="s">
        <v>994</v>
      </c>
      <c r="AB193" s="11" t="s">
        <v>994</v>
      </c>
      <c r="AC193" s="11" t="s">
        <v>994</v>
      </c>
      <c r="AD193" s="11" t="s">
        <v>994</v>
      </c>
    </row>
    <row r="194">
      <c r="B194" s="12" t="s">
        <v>994</v>
      </c>
      <c r="C194" s="11" t="s">
        <v>994</v>
      </c>
      <c r="D194" s="11" t="s">
        <v>994</v>
      </c>
      <c r="E194" s="12" t="s">
        <v>994</v>
      </c>
      <c r="F194" s="12" t="s">
        <v>994</v>
      </c>
      <c r="G194" s="12" t="s">
        <v>994</v>
      </c>
      <c r="H194" s="12" t="s">
        <v>994</v>
      </c>
      <c r="I194" s="12" t="s">
        <v>994</v>
      </c>
      <c r="J194" s="12" t="s">
        <v>994</v>
      </c>
      <c r="K194" s="12" t="s">
        <v>994</v>
      </c>
      <c r="L194" s="13" t="s">
        <v>994</v>
      </c>
      <c r="M194" s="11" t="s">
        <v>994</v>
      </c>
      <c r="N194" s="11" t="s">
        <v>994</v>
      </c>
      <c r="O194" s="11" t="s">
        <v>994</v>
      </c>
      <c r="P194" s="11" t="s">
        <v>994</v>
      </c>
      <c r="Q194" s="11" t="s">
        <v>994</v>
      </c>
      <c r="R194" s="11" t="s">
        <v>994</v>
      </c>
      <c r="S194" s="11" t="s">
        <v>994</v>
      </c>
      <c r="T194" s="11" t="s">
        <v>994</v>
      </c>
      <c r="U194" s="11" t="s">
        <v>994</v>
      </c>
      <c r="V194" s="11" t="s">
        <v>994</v>
      </c>
      <c r="W194" s="11" t="s">
        <v>994</v>
      </c>
      <c r="X194" s="11" t="s">
        <v>994</v>
      </c>
      <c r="Y194" s="11" t="s">
        <v>994</v>
      </c>
      <c r="Z194" s="11" t="s">
        <v>994</v>
      </c>
      <c r="AA194" s="11" t="s">
        <v>994</v>
      </c>
      <c r="AB194" s="11" t="s">
        <v>994</v>
      </c>
      <c r="AC194" s="11" t="s">
        <v>994</v>
      </c>
      <c r="AD194" s="11" t="s">
        <v>994</v>
      </c>
    </row>
    <row r="195">
      <c r="B195" s="12" t="s">
        <v>994</v>
      </c>
      <c r="C195" s="11" t="s">
        <v>994</v>
      </c>
      <c r="D195" s="11" t="s">
        <v>994</v>
      </c>
      <c r="E195" s="12" t="s">
        <v>994</v>
      </c>
      <c r="F195" s="12" t="s">
        <v>994</v>
      </c>
      <c r="G195" s="12" t="s">
        <v>994</v>
      </c>
      <c r="H195" s="12" t="s">
        <v>994</v>
      </c>
      <c r="I195" s="12" t="s">
        <v>994</v>
      </c>
      <c r="J195" s="12" t="s">
        <v>994</v>
      </c>
      <c r="K195" s="12" t="s">
        <v>994</v>
      </c>
      <c r="L195" s="13" t="s">
        <v>994</v>
      </c>
      <c r="M195" s="11" t="s">
        <v>994</v>
      </c>
      <c r="N195" s="11" t="s">
        <v>994</v>
      </c>
      <c r="O195" s="11" t="s">
        <v>994</v>
      </c>
      <c r="P195" s="11" t="s">
        <v>994</v>
      </c>
      <c r="Q195" s="11" t="s">
        <v>994</v>
      </c>
      <c r="R195" s="11" t="s">
        <v>994</v>
      </c>
      <c r="S195" s="11" t="s">
        <v>994</v>
      </c>
      <c r="T195" s="11" t="s">
        <v>994</v>
      </c>
      <c r="U195" s="11" t="s">
        <v>994</v>
      </c>
      <c r="V195" s="11" t="s">
        <v>994</v>
      </c>
      <c r="W195" s="11" t="s">
        <v>994</v>
      </c>
      <c r="X195" s="11" t="s">
        <v>994</v>
      </c>
      <c r="Y195" s="11" t="s">
        <v>994</v>
      </c>
      <c r="Z195" s="11" t="s">
        <v>994</v>
      </c>
      <c r="AA195" s="11" t="s">
        <v>994</v>
      </c>
      <c r="AB195" s="11" t="s">
        <v>994</v>
      </c>
      <c r="AC195" s="11" t="s">
        <v>994</v>
      </c>
      <c r="AD195" s="11" t="s">
        <v>994</v>
      </c>
    </row>
    <row r="196">
      <c r="B196" s="12" t="s">
        <v>994</v>
      </c>
      <c r="C196" s="11" t="s">
        <v>994</v>
      </c>
      <c r="D196" s="11" t="s">
        <v>994</v>
      </c>
      <c r="E196" s="12" t="s">
        <v>994</v>
      </c>
      <c r="F196" s="12" t="s">
        <v>994</v>
      </c>
      <c r="G196" s="12" t="s">
        <v>994</v>
      </c>
      <c r="H196" s="12" t="s">
        <v>994</v>
      </c>
      <c r="I196" s="12" t="s">
        <v>994</v>
      </c>
      <c r="J196" s="12" t="s">
        <v>994</v>
      </c>
      <c r="K196" s="12" t="s">
        <v>994</v>
      </c>
      <c r="L196" s="13" t="s">
        <v>994</v>
      </c>
      <c r="M196" s="11" t="s">
        <v>994</v>
      </c>
      <c r="N196" s="11" t="s">
        <v>994</v>
      </c>
      <c r="O196" s="11" t="s">
        <v>994</v>
      </c>
      <c r="P196" s="11" t="s">
        <v>994</v>
      </c>
      <c r="Q196" s="11" t="s">
        <v>994</v>
      </c>
      <c r="R196" s="11" t="s">
        <v>994</v>
      </c>
      <c r="S196" s="11" t="s">
        <v>994</v>
      </c>
      <c r="T196" s="11" t="s">
        <v>994</v>
      </c>
      <c r="U196" s="11" t="s">
        <v>994</v>
      </c>
      <c r="V196" s="11" t="s">
        <v>994</v>
      </c>
      <c r="W196" s="11" t="s">
        <v>994</v>
      </c>
      <c r="X196" s="11" t="s">
        <v>994</v>
      </c>
      <c r="Y196" s="11" t="s">
        <v>994</v>
      </c>
      <c r="Z196" s="11" t="s">
        <v>994</v>
      </c>
      <c r="AA196" s="11" t="s">
        <v>994</v>
      </c>
      <c r="AB196" s="11" t="s">
        <v>994</v>
      </c>
      <c r="AC196" s="11" t="s">
        <v>994</v>
      </c>
      <c r="AD196" s="11" t="s">
        <v>994</v>
      </c>
    </row>
    <row r="197">
      <c r="B197" s="12" t="s">
        <v>994</v>
      </c>
      <c r="C197" s="11" t="s">
        <v>994</v>
      </c>
      <c r="D197" s="11" t="s">
        <v>994</v>
      </c>
      <c r="E197" s="12" t="s">
        <v>994</v>
      </c>
      <c r="F197" s="12" t="s">
        <v>994</v>
      </c>
      <c r="G197" s="12" t="s">
        <v>994</v>
      </c>
      <c r="H197" s="12" t="s">
        <v>994</v>
      </c>
      <c r="I197" s="12" t="s">
        <v>994</v>
      </c>
      <c r="J197" s="12" t="s">
        <v>994</v>
      </c>
      <c r="K197" s="12" t="s">
        <v>994</v>
      </c>
      <c r="L197" s="13" t="s">
        <v>994</v>
      </c>
      <c r="M197" s="11" t="s">
        <v>994</v>
      </c>
      <c r="N197" s="11" t="s">
        <v>994</v>
      </c>
      <c r="O197" s="11" t="s">
        <v>994</v>
      </c>
      <c r="P197" s="11" t="s">
        <v>994</v>
      </c>
      <c r="Q197" s="11" t="s">
        <v>994</v>
      </c>
      <c r="R197" s="11" t="s">
        <v>994</v>
      </c>
      <c r="S197" s="11" t="s">
        <v>994</v>
      </c>
      <c r="T197" s="11" t="s">
        <v>994</v>
      </c>
      <c r="U197" s="11" t="s">
        <v>994</v>
      </c>
      <c r="V197" s="11" t="s">
        <v>994</v>
      </c>
      <c r="W197" s="11" t="s">
        <v>994</v>
      </c>
      <c r="X197" s="11" t="s">
        <v>994</v>
      </c>
      <c r="Y197" s="11" t="s">
        <v>994</v>
      </c>
      <c r="Z197" s="11" t="s">
        <v>994</v>
      </c>
      <c r="AA197" s="11" t="s">
        <v>994</v>
      </c>
      <c r="AB197" s="11" t="s">
        <v>994</v>
      </c>
      <c r="AC197" s="11" t="s">
        <v>994</v>
      </c>
      <c r="AD197" s="11" t="s">
        <v>994</v>
      </c>
    </row>
    <row r="198">
      <c r="B198" s="12" t="s">
        <v>994</v>
      </c>
      <c r="C198" s="11" t="s">
        <v>994</v>
      </c>
      <c r="D198" s="11" t="s">
        <v>994</v>
      </c>
      <c r="E198" s="12" t="s">
        <v>994</v>
      </c>
      <c r="F198" s="12" t="s">
        <v>994</v>
      </c>
      <c r="G198" s="12" t="s">
        <v>994</v>
      </c>
      <c r="H198" s="12" t="s">
        <v>994</v>
      </c>
      <c r="I198" s="12" t="s">
        <v>994</v>
      </c>
      <c r="J198" s="12" t="s">
        <v>994</v>
      </c>
      <c r="K198" s="12" t="s">
        <v>994</v>
      </c>
      <c r="L198" s="13" t="s">
        <v>994</v>
      </c>
      <c r="M198" s="11" t="s">
        <v>994</v>
      </c>
      <c r="N198" s="11" t="s">
        <v>994</v>
      </c>
      <c r="O198" s="11" t="s">
        <v>994</v>
      </c>
      <c r="P198" s="11" t="s">
        <v>994</v>
      </c>
      <c r="Q198" s="11" t="s">
        <v>994</v>
      </c>
      <c r="R198" s="11" t="s">
        <v>994</v>
      </c>
      <c r="S198" s="11" t="s">
        <v>994</v>
      </c>
      <c r="T198" s="11" t="s">
        <v>994</v>
      </c>
      <c r="U198" s="11" t="s">
        <v>994</v>
      </c>
      <c r="V198" s="11" t="s">
        <v>994</v>
      </c>
      <c r="W198" s="11" t="s">
        <v>994</v>
      </c>
      <c r="X198" s="11" t="s">
        <v>994</v>
      </c>
      <c r="Y198" s="11" t="s">
        <v>994</v>
      </c>
      <c r="Z198" s="11" t="s">
        <v>994</v>
      </c>
      <c r="AA198" s="11" t="s">
        <v>994</v>
      </c>
      <c r="AB198" s="11" t="s">
        <v>994</v>
      </c>
      <c r="AC198" s="11" t="s">
        <v>994</v>
      </c>
      <c r="AD198" s="11" t="s">
        <v>994</v>
      </c>
    </row>
    <row r="199">
      <c r="B199" s="12" t="s">
        <v>994</v>
      </c>
      <c r="C199" s="11" t="s">
        <v>994</v>
      </c>
      <c r="D199" s="11" t="s">
        <v>994</v>
      </c>
      <c r="E199" s="12" t="s">
        <v>994</v>
      </c>
      <c r="F199" s="12" t="s">
        <v>994</v>
      </c>
      <c r="G199" s="12" t="s">
        <v>994</v>
      </c>
      <c r="H199" s="12" t="s">
        <v>994</v>
      </c>
      <c r="I199" s="12" t="s">
        <v>994</v>
      </c>
      <c r="J199" s="12" t="s">
        <v>994</v>
      </c>
      <c r="K199" s="12" t="s">
        <v>994</v>
      </c>
      <c r="L199" s="13" t="s">
        <v>994</v>
      </c>
      <c r="M199" s="11" t="s">
        <v>994</v>
      </c>
      <c r="N199" s="11" t="s">
        <v>994</v>
      </c>
      <c r="O199" s="11" t="s">
        <v>994</v>
      </c>
      <c r="P199" s="11" t="s">
        <v>994</v>
      </c>
      <c r="Q199" s="11" t="s">
        <v>994</v>
      </c>
      <c r="R199" s="11" t="s">
        <v>994</v>
      </c>
      <c r="S199" s="11" t="s">
        <v>994</v>
      </c>
      <c r="T199" s="11" t="s">
        <v>994</v>
      </c>
      <c r="U199" s="11" t="s">
        <v>994</v>
      </c>
      <c r="V199" s="11" t="s">
        <v>994</v>
      </c>
      <c r="W199" s="11" t="s">
        <v>994</v>
      </c>
      <c r="X199" s="11" t="s">
        <v>994</v>
      </c>
      <c r="Y199" s="11" t="s">
        <v>994</v>
      </c>
      <c r="Z199" s="11" t="s">
        <v>994</v>
      </c>
      <c r="AA199" s="11" t="s">
        <v>994</v>
      </c>
      <c r="AB199" s="11" t="s">
        <v>994</v>
      </c>
      <c r="AC199" s="11" t="s">
        <v>994</v>
      </c>
      <c r="AD199" s="11" t="s">
        <v>994</v>
      </c>
    </row>
    <row r="200">
      <c r="B200" s="12" t="s">
        <v>994</v>
      </c>
      <c r="C200" s="11" t="s">
        <v>994</v>
      </c>
      <c r="D200" s="11" t="s">
        <v>994</v>
      </c>
      <c r="E200" s="12" t="s">
        <v>994</v>
      </c>
      <c r="F200" s="12" t="s">
        <v>994</v>
      </c>
      <c r="G200" s="12" t="s">
        <v>994</v>
      </c>
      <c r="H200" s="12" t="s">
        <v>994</v>
      </c>
      <c r="I200" s="12" t="s">
        <v>994</v>
      </c>
      <c r="J200" s="12" t="s">
        <v>994</v>
      </c>
      <c r="K200" s="12" t="s">
        <v>994</v>
      </c>
      <c r="L200" s="13" t="s">
        <v>994</v>
      </c>
      <c r="M200" s="11" t="s">
        <v>994</v>
      </c>
      <c r="N200" s="11" t="s">
        <v>994</v>
      </c>
      <c r="O200" s="11" t="s">
        <v>994</v>
      </c>
      <c r="P200" s="11" t="s">
        <v>994</v>
      </c>
      <c r="Q200" s="11" t="s">
        <v>994</v>
      </c>
      <c r="R200" s="11" t="s">
        <v>994</v>
      </c>
      <c r="S200" s="11" t="s">
        <v>994</v>
      </c>
      <c r="T200" s="11" t="s">
        <v>994</v>
      </c>
      <c r="U200" s="11" t="s">
        <v>994</v>
      </c>
      <c r="V200" s="11" t="s">
        <v>994</v>
      </c>
      <c r="W200" s="11" t="s">
        <v>994</v>
      </c>
      <c r="X200" s="11" t="s">
        <v>994</v>
      </c>
      <c r="Y200" s="11" t="s">
        <v>994</v>
      </c>
      <c r="Z200" s="11" t="s">
        <v>994</v>
      </c>
      <c r="AA200" s="11" t="s">
        <v>994</v>
      </c>
      <c r="AB200" s="11" t="s">
        <v>994</v>
      </c>
      <c r="AC200" s="11" t="s">
        <v>994</v>
      </c>
      <c r="AD200" s="11" t="s">
        <v>994</v>
      </c>
    </row>
    <row r="201">
      <c r="B201" s="12" t="s">
        <v>994</v>
      </c>
      <c r="C201" s="11" t="s">
        <v>994</v>
      </c>
      <c r="D201" s="11" t="s">
        <v>994</v>
      </c>
      <c r="E201" s="12" t="s">
        <v>994</v>
      </c>
      <c r="F201" s="12" t="s">
        <v>994</v>
      </c>
      <c r="G201" s="12" t="s">
        <v>994</v>
      </c>
      <c r="H201" s="12" t="s">
        <v>994</v>
      </c>
      <c r="I201" s="12" t="s">
        <v>994</v>
      </c>
      <c r="J201" s="12" t="s">
        <v>994</v>
      </c>
      <c r="K201" s="12" t="s">
        <v>994</v>
      </c>
      <c r="L201" s="13" t="s">
        <v>994</v>
      </c>
      <c r="M201" s="11" t="s">
        <v>994</v>
      </c>
      <c r="N201" s="11" t="s">
        <v>994</v>
      </c>
      <c r="O201" s="11" t="s">
        <v>994</v>
      </c>
      <c r="P201" s="11" t="s">
        <v>994</v>
      </c>
      <c r="Q201" s="11" t="s">
        <v>994</v>
      </c>
      <c r="R201" s="11" t="s">
        <v>994</v>
      </c>
      <c r="S201" s="11" t="s">
        <v>994</v>
      </c>
      <c r="T201" s="11" t="s">
        <v>994</v>
      </c>
      <c r="U201" s="11" t="s">
        <v>994</v>
      </c>
      <c r="V201" s="11" t="s">
        <v>994</v>
      </c>
      <c r="W201" s="11" t="s">
        <v>994</v>
      </c>
      <c r="X201" s="11" t="s">
        <v>994</v>
      </c>
      <c r="Y201" s="11" t="s">
        <v>994</v>
      </c>
      <c r="Z201" s="11" t="s">
        <v>994</v>
      </c>
      <c r="AA201" s="11" t="s">
        <v>994</v>
      </c>
      <c r="AB201" s="11" t="s">
        <v>994</v>
      </c>
      <c r="AC201" s="11" t="s">
        <v>994</v>
      </c>
      <c r="AD201" s="11" t="s">
        <v>994</v>
      </c>
    </row>
    <row r="202">
      <c r="B202" s="12" t="s">
        <v>994</v>
      </c>
      <c r="C202" s="11" t="s">
        <v>994</v>
      </c>
      <c r="D202" s="11" t="s">
        <v>994</v>
      </c>
      <c r="E202" s="12" t="s">
        <v>994</v>
      </c>
      <c r="F202" s="12" t="s">
        <v>994</v>
      </c>
      <c r="G202" s="12" t="s">
        <v>994</v>
      </c>
      <c r="H202" s="12" t="s">
        <v>994</v>
      </c>
      <c r="I202" s="12" t="s">
        <v>994</v>
      </c>
      <c r="J202" s="12" t="s">
        <v>994</v>
      </c>
      <c r="K202" s="12" t="s">
        <v>994</v>
      </c>
      <c r="L202" s="13" t="s">
        <v>994</v>
      </c>
      <c r="M202" s="11" t="s">
        <v>994</v>
      </c>
      <c r="N202" s="11" t="s">
        <v>994</v>
      </c>
      <c r="O202" s="11" t="s">
        <v>994</v>
      </c>
      <c r="P202" s="11" t="s">
        <v>994</v>
      </c>
      <c r="Q202" s="11" t="s">
        <v>994</v>
      </c>
      <c r="R202" s="11" t="s">
        <v>994</v>
      </c>
      <c r="S202" s="11" t="s">
        <v>994</v>
      </c>
      <c r="T202" s="11" t="s">
        <v>994</v>
      </c>
      <c r="U202" s="11" t="s">
        <v>994</v>
      </c>
      <c r="V202" s="11" t="s">
        <v>994</v>
      </c>
      <c r="W202" s="11" t="s">
        <v>994</v>
      </c>
      <c r="X202" s="11" t="s">
        <v>994</v>
      </c>
      <c r="Y202" s="11" t="s">
        <v>994</v>
      </c>
      <c r="Z202" s="11" t="s">
        <v>994</v>
      </c>
      <c r="AA202" s="11" t="s">
        <v>994</v>
      </c>
      <c r="AB202" s="11" t="s">
        <v>994</v>
      </c>
      <c r="AC202" s="11" t="s">
        <v>994</v>
      </c>
      <c r="AD202" s="11" t="s">
        <v>994</v>
      </c>
    </row>
    <row r="203">
      <c r="B203" s="12" t="s">
        <v>994</v>
      </c>
      <c r="C203" s="11" t="s">
        <v>994</v>
      </c>
      <c r="D203" s="11" t="s">
        <v>994</v>
      </c>
      <c r="E203" s="12" t="s">
        <v>994</v>
      </c>
      <c r="F203" s="12" t="s">
        <v>994</v>
      </c>
      <c r="G203" s="12" t="s">
        <v>994</v>
      </c>
      <c r="H203" s="12" t="s">
        <v>994</v>
      </c>
      <c r="I203" s="12" t="s">
        <v>994</v>
      </c>
      <c r="J203" s="12" t="s">
        <v>994</v>
      </c>
      <c r="K203" s="12" t="s">
        <v>994</v>
      </c>
      <c r="L203" s="13" t="s">
        <v>994</v>
      </c>
      <c r="M203" s="11" t="s">
        <v>994</v>
      </c>
      <c r="N203" s="11" t="s">
        <v>994</v>
      </c>
      <c r="O203" s="11" t="s">
        <v>994</v>
      </c>
      <c r="P203" s="11" t="s">
        <v>994</v>
      </c>
      <c r="Q203" s="11" t="s">
        <v>994</v>
      </c>
      <c r="R203" s="11" t="s">
        <v>994</v>
      </c>
      <c r="S203" s="11" t="s">
        <v>994</v>
      </c>
      <c r="T203" s="11" t="s">
        <v>994</v>
      </c>
      <c r="U203" s="11" t="s">
        <v>994</v>
      </c>
      <c r="V203" s="11" t="s">
        <v>994</v>
      </c>
      <c r="W203" s="11" t="s">
        <v>994</v>
      </c>
      <c r="X203" s="11" t="s">
        <v>994</v>
      </c>
      <c r="Y203" s="11" t="s">
        <v>994</v>
      </c>
      <c r="Z203" s="11" t="s">
        <v>994</v>
      </c>
      <c r="AA203" s="11" t="s">
        <v>994</v>
      </c>
      <c r="AB203" s="11" t="s">
        <v>994</v>
      </c>
      <c r="AC203" s="11" t="s">
        <v>994</v>
      </c>
      <c r="AD203" s="11" t="s">
        <v>994</v>
      </c>
    </row>
    <row r="204">
      <c r="B204" s="12" t="s">
        <v>994</v>
      </c>
      <c r="C204" s="11" t="s">
        <v>994</v>
      </c>
      <c r="D204" s="11" t="s">
        <v>994</v>
      </c>
      <c r="E204" s="12" t="s">
        <v>994</v>
      </c>
      <c r="F204" s="12" t="s">
        <v>994</v>
      </c>
      <c r="G204" s="12" t="s">
        <v>994</v>
      </c>
      <c r="H204" s="12" t="s">
        <v>994</v>
      </c>
      <c r="I204" s="12" t="s">
        <v>994</v>
      </c>
      <c r="J204" s="12" t="s">
        <v>994</v>
      </c>
      <c r="K204" s="12" t="s">
        <v>994</v>
      </c>
      <c r="L204" s="13" t="s">
        <v>994</v>
      </c>
      <c r="M204" s="11" t="s">
        <v>994</v>
      </c>
      <c r="N204" s="11" t="s">
        <v>994</v>
      </c>
      <c r="O204" s="11" t="s">
        <v>994</v>
      </c>
      <c r="P204" s="11" t="s">
        <v>994</v>
      </c>
      <c r="Q204" s="11" t="s">
        <v>994</v>
      </c>
      <c r="R204" s="11" t="s">
        <v>994</v>
      </c>
      <c r="S204" s="11" t="s">
        <v>994</v>
      </c>
      <c r="T204" s="11" t="s">
        <v>994</v>
      </c>
      <c r="U204" s="11" t="s">
        <v>994</v>
      </c>
      <c r="V204" s="11" t="s">
        <v>994</v>
      </c>
      <c r="W204" s="11" t="s">
        <v>994</v>
      </c>
      <c r="X204" s="11" t="s">
        <v>994</v>
      </c>
      <c r="Y204" s="11" t="s">
        <v>994</v>
      </c>
      <c r="Z204" s="11" t="s">
        <v>994</v>
      </c>
      <c r="AA204" s="11" t="s">
        <v>994</v>
      </c>
      <c r="AB204" s="11" t="s">
        <v>994</v>
      </c>
      <c r="AC204" s="11" t="s">
        <v>994</v>
      </c>
      <c r="AD204" s="11" t="s">
        <v>994</v>
      </c>
    </row>
    <row r="205">
      <c r="B205" s="12" t="s">
        <v>994</v>
      </c>
      <c r="C205" s="11" t="s">
        <v>994</v>
      </c>
      <c r="D205" s="11" t="s">
        <v>994</v>
      </c>
      <c r="E205" s="12" t="s">
        <v>994</v>
      </c>
      <c r="F205" s="12" t="s">
        <v>994</v>
      </c>
      <c r="G205" s="12" t="s">
        <v>994</v>
      </c>
      <c r="H205" s="12" t="s">
        <v>994</v>
      </c>
      <c r="I205" s="12" t="s">
        <v>994</v>
      </c>
      <c r="J205" s="12" t="s">
        <v>994</v>
      </c>
      <c r="K205" s="12" t="s">
        <v>994</v>
      </c>
      <c r="L205" s="13" t="s">
        <v>994</v>
      </c>
      <c r="M205" s="11" t="s">
        <v>994</v>
      </c>
      <c r="N205" s="11" t="s">
        <v>994</v>
      </c>
      <c r="O205" s="11" t="s">
        <v>994</v>
      </c>
      <c r="P205" s="11" t="s">
        <v>994</v>
      </c>
      <c r="Q205" s="11" t="s">
        <v>994</v>
      </c>
      <c r="R205" s="11" t="s">
        <v>994</v>
      </c>
      <c r="S205" s="11" t="s">
        <v>994</v>
      </c>
      <c r="T205" s="11" t="s">
        <v>994</v>
      </c>
      <c r="U205" s="11" t="s">
        <v>994</v>
      </c>
      <c r="V205" s="11" t="s">
        <v>994</v>
      </c>
      <c r="W205" s="11" t="s">
        <v>994</v>
      </c>
      <c r="X205" s="11" t="s">
        <v>994</v>
      </c>
      <c r="Y205" s="11" t="s">
        <v>994</v>
      </c>
      <c r="Z205" s="11" t="s">
        <v>994</v>
      </c>
      <c r="AA205" s="11" t="s">
        <v>994</v>
      </c>
      <c r="AB205" s="11" t="s">
        <v>994</v>
      </c>
      <c r="AC205" s="11" t="s">
        <v>994</v>
      </c>
      <c r="AD205" s="11" t="s">
        <v>994</v>
      </c>
    </row>
    <row r="206">
      <c r="B206" s="12" t="s">
        <v>994</v>
      </c>
      <c r="C206" s="11" t="s">
        <v>994</v>
      </c>
      <c r="D206" s="11" t="s">
        <v>994</v>
      </c>
      <c r="E206" s="12" t="s">
        <v>994</v>
      </c>
      <c r="F206" s="12" t="s">
        <v>994</v>
      </c>
      <c r="G206" s="12" t="s">
        <v>994</v>
      </c>
      <c r="H206" s="12" t="s">
        <v>994</v>
      </c>
      <c r="I206" s="12" t="s">
        <v>994</v>
      </c>
      <c r="J206" s="12" t="s">
        <v>994</v>
      </c>
      <c r="K206" s="12" t="s">
        <v>994</v>
      </c>
      <c r="L206" s="13" t="s">
        <v>994</v>
      </c>
      <c r="M206" s="11" t="s">
        <v>994</v>
      </c>
      <c r="N206" s="11" t="s">
        <v>994</v>
      </c>
      <c r="O206" s="11" t="s">
        <v>994</v>
      </c>
      <c r="P206" s="11" t="s">
        <v>994</v>
      </c>
      <c r="Q206" s="11" t="s">
        <v>994</v>
      </c>
      <c r="R206" s="11" t="s">
        <v>994</v>
      </c>
      <c r="S206" s="11" t="s">
        <v>994</v>
      </c>
      <c r="T206" s="11" t="s">
        <v>994</v>
      </c>
      <c r="U206" s="11" t="s">
        <v>994</v>
      </c>
      <c r="V206" s="11" t="s">
        <v>994</v>
      </c>
      <c r="W206" s="11" t="s">
        <v>994</v>
      </c>
      <c r="X206" s="11" t="s">
        <v>994</v>
      </c>
      <c r="Y206" s="11" t="s">
        <v>994</v>
      </c>
      <c r="Z206" s="11" t="s">
        <v>994</v>
      </c>
      <c r="AA206" s="11" t="s">
        <v>994</v>
      </c>
      <c r="AB206" s="11" t="s">
        <v>994</v>
      </c>
      <c r="AC206" s="11" t="s">
        <v>994</v>
      </c>
      <c r="AD206" s="11" t="s">
        <v>994</v>
      </c>
    </row>
    <row r="207">
      <c r="B207" s="12" t="s">
        <v>994</v>
      </c>
      <c r="C207" s="11" t="s">
        <v>994</v>
      </c>
      <c r="D207" s="11" t="s">
        <v>994</v>
      </c>
      <c r="E207" s="12" t="s">
        <v>994</v>
      </c>
      <c r="F207" s="12" t="s">
        <v>994</v>
      </c>
      <c r="G207" s="12" t="s">
        <v>994</v>
      </c>
      <c r="H207" s="12" t="s">
        <v>994</v>
      </c>
      <c r="I207" s="12" t="s">
        <v>994</v>
      </c>
      <c r="J207" s="12" t="s">
        <v>994</v>
      </c>
      <c r="K207" s="12" t="s">
        <v>994</v>
      </c>
      <c r="L207" s="13" t="s">
        <v>994</v>
      </c>
      <c r="M207" s="11" t="s">
        <v>994</v>
      </c>
      <c r="N207" s="11" t="s">
        <v>994</v>
      </c>
      <c r="O207" s="11" t="s">
        <v>994</v>
      </c>
      <c r="P207" s="11" t="s">
        <v>994</v>
      </c>
      <c r="Q207" s="11" t="s">
        <v>994</v>
      </c>
      <c r="R207" s="11" t="s">
        <v>994</v>
      </c>
      <c r="S207" s="11" t="s">
        <v>994</v>
      </c>
      <c r="T207" s="11" t="s">
        <v>994</v>
      </c>
      <c r="U207" s="11" t="s">
        <v>994</v>
      </c>
      <c r="V207" s="11" t="s">
        <v>994</v>
      </c>
      <c r="W207" s="11" t="s">
        <v>994</v>
      </c>
      <c r="X207" s="11" t="s">
        <v>994</v>
      </c>
      <c r="Y207" s="11" t="s">
        <v>994</v>
      </c>
      <c r="Z207" s="11" t="s">
        <v>994</v>
      </c>
      <c r="AA207" s="11" t="s">
        <v>994</v>
      </c>
      <c r="AB207" s="11" t="s">
        <v>994</v>
      </c>
      <c r="AC207" s="11" t="s">
        <v>994</v>
      </c>
      <c r="AD207" s="11" t="s">
        <v>994</v>
      </c>
    </row>
    <row r="208">
      <c r="B208" s="12" t="s">
        <v>994</v>
      </c>
      <c r="C208" s="11" t="s">
        <v>994</v>
      </c>
      <c r="D208" s="11" t="s">
        <v>994</v>
      </c>
      <c r="E208" s="12" t="s">
        <v>994</v>
      </c>
      <c r="F208" s="12" t="s">
        <v>994</v>
      </c>
      <c r="G208" s="12" t="s">
        <v>994</v>
      </c>
      <c r="H208" s="12" t="s">
        <v>994</v>
      </c>
      <c r="I208" s="12" t="s">
        <v>994</v>
      </c>
      <c r="J208" s="12" t="s">
        <v>994</v>
      </c>
      <c r="K208" s="12" t="s">
        <v>994</v>
      </c>
      <c r="L208" s="13" t="s">
        <v>994</v>
      </c>
      <c r="M208" s="11" t="s">
        <v>994</v>
      </c>
      <c r="N208" s="11" t="s">
        <v>994</v>
      </c>
      <c r="O208" s="11" t="s">
        <v>994</v>
      </c>
      <c r="P208" s="11" t="s">
        <v>994</v>
      </c>
      <c r="Q208" s="11" t="s">
        <v>994</v>
      </c>
      <c r="R208" s="11" t="s">
        <v>994</v>
      </c>
      <c r="S208" s="11" t="s">
        <v>994</v>
      </c>
      <c r="T208" s="11" t="s">
        <v>994</v>
      </c>
      <c r="U208" s="11" t="s">
        <v>994</v>
      </c>
      <c r="V208" s="11" t="s">
        <v>994</v>
      </c>
      <c r="W208" s="11" t="s">
        <v>994</v>
      </c>
      <c r="X208" s="11" t="s">
        <v>994</v>
      </c>
      <c r="Y208" s="11" t="s">
        <v>994</v>
      </c>
      <c r="Z208" s="11" t="s">
        <v>994</v>
      </c>
      <c r="AA208" s="11" t="s">
        <v>994</v>
      </c>
      <c r="AB208" s="11" t="s">
        <v>994</v>
      </c>
      <c r="AC208" s="11" t="s">
        <v>994</v>
      </c>
      <c r="AD208" s="11" t="s">
        <v>994</v>
      </c>
    </row>
    <row r="209">
      <c r="B209" s="12" t="s">
        <v>994</v>
      </c>
      <c r="C209" s="11" t="s">
        <v>994</v>
      </c>
      <c r="D209" s="11" t="s">
        <v>994</v>
      </c>
      <c r="E209" s="12" t="s">
        <v>994</v>
      </c>
      <c r="F209" s="12" t="s">
        <v>994</v>
      </c>
      <c r="G209" s="12" t="s">
        <v>994</v>
      </c>
      <c r="H209" s="12" t="s">
        <v>994</v>
      </c>
      <c r="I209" s="12" t="s">
        <v>994</v>
      </c>
      <c r="J209" s="12" t="s">
        <v>994</v>
      </c>
      <c r="K209" s="12" t="s">
        <v>994</v>
      </c>
      <c r="L209" s="13" t="s">
        <v>994</v>
      </c>
      <c r="M209" s="11" t="s">
        <v>994</v>
      </c>
      <c r="N209" s="11" t="s">
        <v>994</v>
      </c>
      <c r="O209" s="11" t="s">
        <v>994</v>
      </c>
      <c r="P209" s="11" t="s">
        <v>994</v>
      </c>
      <c r="Q209" s="11" t="s">
        <v>994</v>
      </c>
      <c r="R209" s="11" t="s">
        <v>994</v>
      </c>
      <c r="S209" s="11" t="s">
        <v>994</v>
      </c>
      <c r="T209" s="11" t="s">
        <v>994</v>
      </c>
      <c r="U209" s="11" t="s">
        <v>994</v>
      </c>
      <c r="V209" s="11" t="s">
        <v>994</v>
      </c>
      <c r="W209" s="11" t="s">
        <v>994</v>
      </c>
      <c r="X209" s="11" t="s">
        <v>994</v>
      </c>
      <c r="Y209" s="11" t="s">
        <v>994</v>
      </c>
      <c r="Z209" s="11" t="s">
        <v>994</v>
      </c>
      <c r="AA209" s="11" t="s">
        <v>994</v>
      </c>
      <c r="AB209" s="11" t="s">
        <v>994</v>
      </c>
      <c r="AC209" s="11" t="s">
        <v>994</v>
      </c>
      <c r="AD209" s="11" t="s">
        <v>994</v>
      </c>
    </row>
    <row r="210">
      <c r="B210" s="12" t="s">
        <v>994</v>
      </c>
      <c r="C210" s="11" t="s">
        <v>994</v>
      </c>
      <c r="D210" s="11" t="s">
        <v>994</v>
      </c>
      <c r="E210" s="12" t="s">
        <v>994</v>
      </c>
      <c r="F210" s="12" t="s">
        <v>994</v>
      </c>
      <c r="G210" s="12" t="s">
        <v>994</v>
      </c>
      <c r="H210" s="12" t="s">
        <v>994</v>
      </c>
      <c r="I210" s="12" t="s">
        <v>994</v>
      </c>
      <c r="J210" s="12" t="s">
        <v>994</v>
      </c>
      <c r="K210" s="12" t="s">
        <v>994</v>
      </c>
      <c r="L210" s="13" t="s">
        <v>994</v>
      </c>
      <c r="M210" s="11" t="s">
        <v>994</v>
      </c>
      <c r="N210" s="11" t="s">
        <v>994</v>
      </c>
      <c r="O210" s="11" t="s">
        <v>994</v>
      </c>
      <c r="P210" s="11" t="s">
        <v>994</v>
      </c>
      <c r="Q210" s="11" t="s">
        <v>994</v>
      </c>
      <c r="R210" s="11" t="s">
        <v>994</v>
      </c>
      <c r="S210" s="11" t="s">
        <v>994</v>
      </c>
      <c r="T210" s="11" t="s">
        <v>994</v>
      </c>
      <c r="U210" s="11" t="s">
        <v>994</v>
      </c>
      <c r="V210" s="11" t="s">
        <v>994</v>
      </c>
      <c r="W210" s="11" t="s">
        <v>994</v>
      </c>
      <c r="X210" s="11" t="s">
        <v>994</v>
      </c>
      <c r="Y210" s="11" t="s">
        <v>994</v>
      </c>
      <c r="Z210" s="11" t="s">
        <v>994</v>
      </c>
      <c r="AA210" s="11" t="s">
        <v>994</v>
      </c>
      <c r="AB210" s="11" t="s">
        <v>994</v>
      </c>
      <c r="AC210" s="11" t="s">
        <v>994</v>
      </c>
      <c r="AD210" s="11" t="s">
        <v>994</v>
      </c>
    </row>
    <row r="211">
      <c r="B211" s="12" t="s">
        <v>994</v>
      </c>
      <c r="C211" s="11" t="s">
        <v>994</v>
      </c>
      <c r="D211" s="11" t="s">
        <v>994</v>
      </c>
      <c r="E211" s="12" t="s">
        <v>994</v>
      </c>
      <c r="F211" s="12" t="s">
        <v>994</v>
      </c>
      <c r="G211" s="12" t="s">
        <v>994</v>
      </c>
      <c r="H211" s="12" t="s">
        <v>994</v>
      </c>
      <c r="I211" s="12" t="s">
        <v>994</v>
      </c>
      <c r="J211" s="12" t="s">
        <v>994</v>
      </c>
      <c r="K211" s="12" t="s">
        <v>994</v>
      </c>
      <c r="L211" s="13" t="s">
        <v>994</v>
      </c>
      <c r="M211" s="11" t="s">
        <v>994</v>
      </c>
      <c r="N211" s="11" t="s">
        <v>994</v>
      </c>
      <c r="O211" s="11" t="s">
        <v>994</v>
      </c>
      <c r="P211" s="11" t="s">
        <v>994</v>
      </c>
      <c r="Q211" s="11" t="s">
        <v>994</v>
      </c>
      <c r="R211" s="11" t="s">
        <v>994</v>
      </c>
      <c r="S211" s="11" t="s">
        <v>994</v>
      </c>
      <c r="T211" s="11" t="s">
        <v>994</v>
      </c>
      <c r="U211" s="11" t="s">
        <v>994</v>
      </c>
      <c r="V211" s="11" t="s">
        <v>994</v>
      </c>
      <c r="W211" s="11" t="s">
        <v>994</v>
      </c>
      <c r="X211" s="11" t="s">
        <v>994</v>
      </c>
      <c r="Y211" s="11" t="s">
        <v>994</v>
      </c>
      <c r="Z211" s="11" t="s">
        <v>994</v>
      </c>
      <c r="AA211" s="11" t="s">
        <v>994</v>
      </c>
      <c r="AB211" s="11" t="s">
        <v>994</v>
      </c>
      <c r="AC211" s="11" t="s">
        <v>994</v>
      </c>
      <c r="AD211" s="11" t="s">
        <v>994</v>
      </c>
    </row>
    <row r="212">
      <c r="B212" s="12" t="s">
        <v>994</v>
      </c>
      <c r="C212" s="11" t="s">
        <v>994</v>
      </c>
      <c r="D212" s="11" t="s">
        <v>994</v>
      </c>
      <c r="E212" s="12" t="s">
        <v>994</v>
      </c>
      <c r="F212" s="12" t="s">
        <v>994</v>
      </c>
      <c r="G212" s="12" t="s">
        <v>994</v>
      </c>
      <c r="H212" s="12" t="s">
        <v>994</v>
      </c>
      <c r="I212" s="12" t="s">
        <v>994</v>
      </c>
      <c r="J212" s="12" t="s">
        <v>994</v>
      </c>
      <c r="K212" s="12" t="s">
        <v>994</v>
      </c>
      <c r="L212" s="13" t="s">
        <v>994</v>
      </c>
      <c r="M212" s="11" t="s">
        <v>994</v>
      </c>
      <c r="N212" s="11" t="s">
        <v>994</v>
      </c>
      <c r="O212" s="11" t="s">
        <v>994</v>
      </c>
      <c r="P212" s="11" t="s">
        <v>994</v>
      </c>
      <c r="Q212" s="11" t="s">
        <v>994</v>
      </c>
      <c r="R212" s="11" t="s">
        <v>994</v>
      </c>
      <c r="S212" s="11" t="s">
        <v>994</v>
      </c>
      <c r="T212" s="11" t="s">
        <v>994</v>
      </c>
      <c r="U212" s="11" t="s">
        <v>994</v>
      </c>
      <c r="V212" s="11" t="s">
        <v>994</v>
      </c>
      <c r="W212" s="11" t="s">
        <v>994</v>
      </c>
      <c r="X212" s="11" t="s">
        <v>994</v>
      </c>
      <c r="Y212" s="11" t="s">
        <v>994</v>
      </c>
      <c r="Z212" s="11" t="s">
        <v>994</v>
      </c>
      <c r="AA212" s="11" t="s">
        <v>994</v>
      </c>
      <c r="AB212" s="11" t="s">
        <v>994</v>
      </c>
      <c r="AC212" s="11" t="s">
        <v>994</v>
      </c>
      <c r="AD212" s="11" t="s">
        <v>994</v>
      </c>
    </row>
    <row r="213">
      <c r="B213" s="12" t="s">
        <v>994</v>
      </c>
      <c r="C213" s="11" t="s">
        <v>994</v>
      </c>
      <c r="D213" s="11" t="s">
        <v>994</v>
      </c>
      <c r="E213" s="12" t="s">
        <v>994</v>
      </c>
      <c r="F213" s="12" t="s">
        <v>994</v>
      </c>
      <c r="G213" s="12" t="s">
        <v>994</v>
      </c>
      <c r="H213" s="12" t="s">
        <v>994</v>
      </c>
      <c r="I213" s="12" t="s">
        <v>994</v>
      </c>
      <c r="J213" s="12" t="s">
        <v>994</v>
      </c>
      <c r="K213" s="12" t="s">
        <v>994</v>
      </c>
      <c r="L213" s="13" t="s">
        <v>994</v>
      </c>
      <c r="M213" s="11" t="s">
        <v>994</v>
      </c>
      <c r="N213" s="11" t="s">
        <v>994</v>
      </c>
      <c r="O213" s="11" t="s">
        <v>994</v>
      </c>
      <c r="P213" s="11" t="s">
        <v>994</v>
      </c>
      <c r="Q213" s="11" t="s">
        <v>994</v>
      </c>
      <c r="R213" s="11" t="s">
        <v>994</v>
      </c>
      <c r="S213" s="11" t="s">
        <v>994</v>
      </c>
      <c r="T213" s="11" t="s">
        <v>994</v>
      </c>
      <c r="U213" s="11" t="s">
        <v>994</v>
      </c>
      <c r="V213" s="11" t="s">
        <v>994</v>
      </c>
      <c r="W213" s="11" t="s">
        <v>994</v>
      </c>
      <c r="X213" s="11" t="s">
        <v>994</v>
      </c>
      <c r="Y213" s="11" t="s">
        <v>994</v>
      </c>
      <c r="Z213" s="11" t="s">
        <v>994</v>
      </c>
      <c r="AA213" s="11" t="s">
        <v>994</v>
      </c>
      <c r="AB213" s="11" t="s">
        <v>994</v>
      </c>
      <c r="AC213" s="11" t="s">
        <v>994</v>
      </c>
      <c r="AD213" s="11" t="s">
        <v>994</v>
      </c>
    </row>
    <row r="214">
      <c r="B214" s="12" t="s">
        <v>994</v>
      </c>
      <c r="C214" s="11" t="s">
        <v>994</v>
      </c>
      <c r="D214" s="11" t="s">
        <v>994</v>
      </c>
      <c r="E214" s="12" t="s">
        <v>994</v>
      </c>
      <c r="F214" s="12" t="s">
        <v>994</v>
      </c>
      <c r="G214" s="12" t="s">
        <v>994</v>
      </c>
      <c r="H214" s="12" t="s">
        <v>994</v>
      </c>
      <c r="I214" s="12" t="s">
        <v>994</v>
      </c>
      <c r="J214" s="12" t="s">
        <v>994</v>
      </c>
      <c r="K214" s="12" t="s">
        <v>994</v>
      </c>
      <c r="L214" s="13" t="s">
        <v>994</v>
      </c>
      <c r="M214" s="11" t="s">
        <v>994</v>
      </c>
      <c r="N214" s="11" t="s">
        <v>994</v>
      </c>
      <c r="O214" s="11" t="s">
        <v>994</v>
      </c>
      <c r="P214" s="11" t="s">
        <v>994</v>
      </c>
      <c r="Q214" s="11" t="s">
        <v>994</v>
      </c>
      <c r="R214" s="11" t="s">
        <v>994</v>
      </c>
      <c r="S214" s="11" t="s">
        <v>994</v>
      </c>
      <c r="T214" s="11" t="s">
        <v>994</v>
      </c>
      <c r="U214" s="11" t="s">
        <v>994</v>
      </c>
      <c r="V214" s="11" t="s">
        <v>994</v>
      </c>
      <c r="W214" s="11" t="s">
        <v>994</v>
      </c>
      <c r="X214" s="11" t="s">
        <v>994</v>
      </c>
      <c r="Y214" s="11" t="s">
        <v>994</v>
      </c>
      <c r="Z214" s="11" t="s">
        <v>994</v>
      </c>
      <c r="AA214" s="11" t="s">
        <v>994</v>
      </c>
      <c r="AB214" s="11" t="s">
        <v>994</v>
      </c>
      <c r="AC214" s="11" t="s">
        <v>994</v>
      </c>
      <c r="AD214" s="11" t="s">
        <v>994</v>
      </c>
    </row>
    <row r="215">
      <c r="B215" s="12" t="s">
        <v>994</v>
      </c>
      <c r="C215" s="11" t="s">
        <v>994</v>
      </c>
      <c r="D215" s="11" t="s">
        <v>994</v>
      </c>
      <c r="E215" s="12" t="s">
        <v>994</v>
      </c>
      <c r="F215" s="12" t="s">
        <v>994</v>
      </c>
      <c r="G215" s="12" t="s">
        <v>994</v>
      </c>
      <c r="H215" s="12" t="s">
        <v>994</v>
      </c>
      <c r="I215" s="12" t="s">
        <v>994</v>
      </c>
      <c r="J215" s="12" t="s">
        <v>994</v>
      </c>
      <c r="K215" s="12" t="s">
        <v>994</v>
      </c>
      <c r="L215" s="13" t="s">
        <v>994</v>
      </c>
      <c r="M215" s="11" t="s">
        <v>994</v>
      </c>
      <c r="N215" s="11" t="s">
        <v>994</v>
      </c>
      <c r="O215" s="11" t="s">
        <v>994</v>
      </c>
      <c r="P215" s="11" t="s">
        <v>994</v>
      </c>
      <c r="Q215" s="11" t="s">
        <v>994</v>
      </c>
      <c r="R215" s="11" t="s">
        <v>994</v>
      </c>
      <c r="S215" s="11" t="s">
        <v>994</v>
      </c>
      <c r="T215" s="11" t="s">
        <v>994</v>
      </c>
      <c r="U215" s="11" t="s">
        <v>994</v>
      </c>
      <c r="V215" s="11" t="s">
        <v>994</v>
      </c>
      <c r="W215" s="11" t="s">
        <v>994</v>
      </c>
      <c r="X215" s="11" t="s">
        <v>994</v>
      </c>
      <c r="Y215" s="11" t="s">
        <v>994</v>
      </c>
      <c r="Z215" s="11" t="s">
        <v>994</v>
      </c>
      <c r="AA215" s="11" t="s">
        <v>994</v>
      </c>
      <c r="AB215" s="11" t="s">
        <v>994</v>
      </c>
      <c r="AC215" s="11" t="s">
        <v>994</v>
      </c>
      <c r="AD215" s="11" t="s">
        <v>994</v>
      </c>
    </row>
    <row r="216">
      <c r="B216" s="12" t="s">
        <v>994</v>
      </c>
      <c r="C216" s="11" t="s">
        <v>994</v>
      </c>
      <c r="D216" s="11" t="s">
        <v>994</v>
      </c>
      <c r="E216" s="12" t="s">
        <v>994</v>
      </c>
      <c r="F216" s="12" t="s">
        <v>994</v>
      </c>
      <c r="G216" s="12" t="s">
        <v>994</v>
      </c>
      <c r="H216" s="12" t="s">
        <v>994</v>
      </c>
      <c r="I216" s="12" t="s">
        <v>994</v>
      </c>
      <c r="J216" s="12" t="s">
        <v>994</v>
      </c>
      <c r="K216" s="12" t="s">
        <v>994</v>
      </c>
      <c r="L216" s="13" t="s">
        <v>994</v>
      </c>
      <c r="M216" s="11" t="s">
        <v>994</v>
      </c>
      <c r="N216" s="11" t="s">
        <v>994</v>
      </c>
      <c r="O216" s="11" t="s">
        <v>994</v>
      </c>
      <c r="P216" s="11" t="s">
        <v>994</v>
      </c>
      <c r="Q216" s="11" t="s">
        <v>994</v>
      </c>
      <c r="R216" s="11" t="s">
        <v>994</v>
      </c>
      <c r="S216" s="11" t="s">
        <v>994</v>
      </c>
      <c r="T216" s="11" t="s">
        <v>994</v>
      </c>
      <c r="U216" s="11" t="s">
        <v>994</v>
      </c>
      <c r="V216" s="11" t="s">
        <v>994</v>
      </c>
      <c r="W216" s="11" t="s">
        <v>994</v>
      </c>
      <c r="X216" s="11" t="s">
        <v>994</v>
      </c>
      <c r="Y216" s="11" t="s">
        <v>994</v>
      </c>
      <c r="Z216" s="11" t="s">
        <v>994</v>
      </c>
      <c r="AA216" s="11" t="s">
        <v>994</v>
      </c>
      <c r="AB216" s="11" t="s">
        <v>994</v>
      </c>
      <c r="AC216" s="11" t="s">
        <v>994</v>
      </c>
      <c r="AD216" s="11" t="s">
        <v>994</v>
      </c>
    </row>
    <row r="217">
      <c r="B217" s="12" t="s">
        <v>994</v>
      </c>
      <c r="C217" s="11" t="s">
        <v>994</v>
      </c>
      <c r="D217" s="11" t="s">
        <v>994</v>
      </c>
      <c r="E217" s="12" t="s">
        <v>994</v>
      </c>
      <c r="F217" s="12" t="s">
        <v>994</v>
      </c>
      <c r="G217" s="12" t="s">
        <v>994</v>
      </c>
      <c r="H217" s="12" t="s">
        <v>994</v>
      </c>
      <c r="I217" s="12" t="s">
        <v>994</v>
      </c>
      <c r="J217" s="12" t="s">
        <v>994</v>
      </c>
      <c r="K217" s="12" t="s">
        <v>994</v>
      </c>
      <c r="L217" s="13" t="s">
        <v>994</v>
      </c>
      <c r="M217" s="11" t="s">
        <v>994</v>
      </c>
      <c r="N217" s="11" t="s">
        <v>994</v>
      </c>
      <c r="O217" s="11" t="s">
        <v>994</v>
      </c>
      <c r="P217" s="11" t="s">
        <v>994</v>
      </c>
      <c r="Q217" s="11" t="s">
        <v>994</v>
      </c>
      <c r="R217" s="11" t="s">
        <v>994</v>
      </c>
      <c r="S217" s="11" t="s">
        <v>994</v>
      </c>
      <c r="T217" s="11" t="s">
        <v>994</v>
      </c>
      <c r="U217" s="11" t="s">
        <v>994</v>
      </c>
      <c r="V217" s="11" t="s">
        <v>994</v>
      </c>
      <c r="W217" s="11" t="s">
        <v>994</v>
      </c>
      <c r="X217" s="11" t="s">
        <v>994</v>
      </c>
      <c r="Y217" s="11" t="s">
        <v>994</v>
      </c>
      <c r="Z217" s="11" t="s">
        <v>994</v>
      </c>
      <c r="AA217" s="11" t="s">
        <v>994</v>
      </c>
      <c r="AB217" s="11" t="s">
        <v>994</v>
      </c>
      <c r="AC217" s="11" t="s">
        <v>994</v>
      </c>
      <c r="AD217" s="11" t="s">
        <v>994</v>
      </c>
    </row>
    <row r="218">
      <c r="B218" s="12" t="s">
        <v>994</v>
      </c>
      <c r="C218" s="11" t="s">
        <v>994</v>
      </c>
      <c r="D218" s="11" t="s">
        <v>994</v>
      </c>
      <c r="E218" s="12" t="s">
        <v>994</v>
      </c>
      <c r="F218" s="12" t="s">
        <v>994</v>
      </c>
      <c r="G218" s="12" t="s">
        <v>994</v>
      </c>
      <c r="H218" s="12" t="s">
        <v>994</v>
      </c>
      <c r="I218" s="12" t="s">
        <v>994</v>
      </c>
      <c r="J218" s="12" t="s">
        <v>994</v>
      </c>
      <c r="K218" s="12" t="s">
        <v>994</v>
      </c>
      <c r="L218" s="13" t="s">
        <v>994</v>
      </c>
      <c r="M218" s="11" t="s">
        <v>994</v>
      </c>
      <c r="N218" s="11" t="s">
        <v>994</v>
      </c>
      <c r="O218" s="11" t="s">
        <v>994</v>
      </c>
      <c r="P218" s="11" t="s">
        <v>994</v>
      </c>
      <c r="Q218" s="11" t="s">
        <v>994</v>
      </c>
      <c r="R218" s="11" t="s">
        <v>994</v>
      </c>
      <c r="S218" s="11" t="s">
        <v>994</v>
      </c>
      <c r="T218" s="11" t="s">
        <v>994</v>
      </c>
      <c r="U218" s="11" t="s">
        <v>994</v>
      </c>
      <c r="V218" s="11" t="s">
        <v>994</v>
      </c>
      <c r="W218" s="11" t="s">
        <v>994</v>
      </c>
      <c r="X218" s="11" t="s">
        <v>994</v>
      </c>
      <c r="Y218" s="11" t="s">
        <v>994</v>
      </c>
      <c r="Z218" s="11" t="s">
        <v>994</v>
      </c>
      <c r="AA218" s="11" t="s">
        <v>994</v>
      </c>
      <c r="AB218" s="11" t="s">
        <v>994</v>
      </c>
      <c r="AC218" s="11" t="s">
        <v>994</v>
      </c>
      <c r="AD218" s="11" t="s">
        <v>994</v>
      </c>
    </row>
    <row r="219">
      <c r="B219" s="12" t="s">
        <v>994</v>
      </c>
      <c r="C219" s="11" t="s">
        <v>994</v>
      </c>
      <c r="D219" s="11" t="s">
        <v>994</v>
      </c>
      <c r="E219" s="12" t="s">
        <v>994</v>
      </c>
      <c r="F219" s="12" t="s">
        <v>994</v>
      </c>
      <c r="G219" s="12" t="s">
        <v>994</v>
      </c>
      <c r="H219" s="12" t="s">
        <v>994</v>
      </c>
      <c r="I219" s="12" t="s">
        <v>994</v>
      </c>
      <c r="J219" s="12" t="s">
        <v>994</v>
      </c>
      <c r="K219" s="12" t="s">
        <v>994</v>
      </c>
      <c r="L219" s="13" t="s">
        <v>994</v>
      </c>
      <c r="M219" s="11" t="s">
        <v>994</v>
      </c>
      <c r="N219" s="11" t="s">
        <v>994</v>
      </c>
      <c r="O219" s="11" t="s">
        <v>994</v>
      </c>
      <c r="P219" s="11" t="s">
        <v>994</v>
      </c>
      <c r="Q219" s="11" t="s">
        <v>994</v>
      </c>
      <c r="R219" s="11" t="s">
        <v>994</v>
      </c>
      <c r="S219" s="11" t="s">
        <v>994</v>
      </c>
      <c r="T219" s="11" t="s">
        <v>994</v>
      </c>
      <c r="U219" s="11" t="s">
        <v>994</v>
      </c>
      <c r="V219" s="11" t="s">
        <v>994</v>
      </c>
      <c r="W219" s="11" t="s">
        <v>994</v>
      </c>
      <c r="X219" s="11" t="s">
        <v>994</v>
      </c>
      <c r="Y219" s="11" t="s">
        <v>994</v>
      </c>
      <c r="Z219" s="11" t="s">
        <v>994</v>
      </c>
      <c r="AA219" s="11" t="s">
        <v>994</v>
      </c>
      <c r="AB219" s="11" t="s">
        <v>994</v>
      </c>
      <c r="AC219" s="11" t="s">
        <v>994</v>
      </c>
      <c r="AD219" s="11" t="s">
        <v>994</v>
      </c>
    </row>
    <row r="220">
      <c r="B220" s="12" t="s">
        <v>994</v>
      </c>
      <c r="C220" s="11" t="s">
        <v>994</v>
      </c>
      <c r="D220" s="11" t="s">
        <v>994</v>
      </c>
      <c r="E220" s="12" t="s">
        <v>994</v>
      </c>
      <c r="F220" s="12" t="s">
        <v>994</v>
      </c>
      <c r="G220" s="12" t="s">
        <v>994</v>
      </c>
      <c r="H220" s="12" t="s">
        <v>994</v>
      </c>
      <c r="I220" s="12" t="s">
        <v>994</v>
      </c>
      <c r="J220" s="12" t="s">
        <v>994</v>
      </c>
      <c r="K220" s="12" t="s">
        <v>994</v>
      </c>
      <c r="L220" s="13" t="s">
        <v>994</v>
      </c>
      <c r="M220" s="11" t="s">
        <v>994</v>
      </c>
      <c r="N220" s="11" t="s">
        <v>994</v>
      </c>
      <c r="O220" s="11" t="s">
        <v>994</v>
      </c>
      <c r="P220" s="11" t="s">
        <v>994</v>
      </c>
      <c r="Q220" s="11" t="s">
        <v>994</v>
      </c>
      <c r="R220" s="11" t="s">
        <v>994</v>
      </c>
      <c r="S220" s="11" t="s">
        <v>994</v>
      </c>
      <c r="T220" s="11" t="s">
        <v>994</v>
      </c>
      <c r="U220" s="11" t="s">
        <v>994</v>
      </c>
      <c r="V220" s="11" t="s">
        <v>994</v>
      </c>
      <c r="W220" s="11" t="s">
        <v>994</v>
      </c>
      <c r="X220" s="11" t="s">
        <v>994</v>
      </c>
      <c r="Y220" s="11" t="s">
        <v>994</v>
      </c>
      <c r="Z220" s="11" t="s">
        <v>994</v>
      </c>
      <c r="AA220" s="11" t="s">
        <v>994</v>
      </c>
      <c r="AB220" s="11" t="s">
        <v>994</v>
      </c>
      <c r="AC220" s="11" t="s">
        <v>994</v>
      </c>
      <c r="AD220" s="11" t="s">
        <v>994</v>
      </c>
    </row>
    <row r="221">
      <c r="B221" s="12" t="s">
        <v>994</v>
      </c>
      <c r="C221" s="11" t="s">
        <v>994</v>
      </c>
      <c r="D221" s="11" t="s">
        <v>994</v>
      </c>
      <c r="E221" s="12" t="s">
        <v>994</v>
      </c>
      <c r="F221" s="12" t="s">
        <v>994</v>
      </c>
      <c r="G221" s="12" t="s">
        <v>994</v>
      </c>
      <c r="H221" s="12" t="s">
        <v>994</v>
      </c>
      <c r="I221" s="12" t="s">
        <v>994</v>
      </c>
      <c r="J221" s="12" t="s">
        <v>994</v>
      </c>
      <c r="K221" s="12" t="s">
        <v>994</v>
      </c>
      <c r="L221" s="13" t="s">
        <v>994</v>
      </c>
      <c r="M221" s="11" t="s">
        <v>994</v>
      </c>
      <c r="N221" s="11" t="s">
        <v>994</v>
      </c>
      <c r="O221" s="11" t="s">
        <v>994</v>
      </c>
      <c r="P221" s="11" t="s">
        <v>994</v>
      </c>
      <c r="Q221" s="11" t="s">
        <v>994</v>
      </c>
      <c r="R221" s="11" t="s">
        <v>994</v>
      </c>
      <c r="S221" s="11" t="s">
        <v>994</v>
      </c>
      <c r="T221" s="11" t="s">
        <v>994</v>
      </c>
      <c r="U221" s="11" t="s">
        <v>994</v>
      </c>
      <c r="V221" s="11" t="s">
        <v>994</v>
      </c>
      <c r="W221" s="11" t="s">
        <v>994</v>
      </c>
      <c r="X221" s="11" t="s">
        <v>994</v>
      </c>
      <c r="Y221" s="11" t="s">
        <v>994</v>
      </c>
      <c r="Z221" s="11" t="s">
        <v>994</v>
      </c>
      <c r="AA221" s="11" t="s">
        <v>994</v>
      </c>
      <c r="AB221" s="11" t="s">
        <v>994</v>
      </c>
      <c r="AC221" s="11" t="s">
        <v>994</v>
      </c>
      <c r="AD221" s="11" t="s">
        <v>994</v>
      </c>
    </row>
    <row r="222">
      <c r="B222" s="12" t="s">
        <v>994</v>
      </c>
      <c r="C222" s="11" t="s">
        <v>994</v>
      </c>
      <c r="D222" s="11" t="s">
        <v>994</v>
      </c>
      <c r="E222" s="12" t="s">
        <v>994</v>
      </c>
      <c r="F222" s="12" t="s">
        <v>994</v>
      </c>
      <c r="G222" s="12" t="s">
        <v>994</v>
      </c>
      <c r="H222" s="12" t="s">
        <v>994</v>
      </c>
      <c r="I222" s="12" t="s">
        <v>994</v>
      </c>
      <c r="J222" s="12" t="s">
        <v>994</v>
      </c>
      <c r="K222" s="12" t="s">
        <v>994</v>
      </c>
      <c r="L222" s="13" t="s">
        <v>994</v>
      </c>
      <c r="M222" s="11" t="s">
        <v>994</v>
      </c>
      <c r="N222" s="11" t="s">
        <v>994</v>
      </c>
      <c r="O222" s="11" t="s">
        <v>994</v>
      </c>
      <c r="P222" s="11" t="s">
        <v>994</v>
      </c>
      <c r="Q222" s="11" t="s">
        <v>994</v>
      </c>
      <c r="R222" s="11" t="s">
        <v>994</v>
      </c>
      <c r="S222" s="11" t="s">
        <v>994</v>
      </c>
      <c r="T222" s="11" t="s">
        <v>994</v>
      </c>
      <c r="U222" s="11" t="s">
        <v>994</v>
      </c>
      <c r="V222" s="11" t="s">
        <v>994</v>
      </c>
      <c r="W222" s="11" t="s">
        <v>994</v>
      </c>
      <c r="X222" s="11" t="s">
        <v>994</v>
      </c>
      <c r="Y222" s="11" t="s">
        <v>994</v>
      </c>
      <c r="Z222" s="11" t="s">
        <v>994</v>
      </c>
      <c r="AA222" s="11" t="s">
        <v>994</v>
      </c>
      <c r="AB222" s="11" t="s">
        <v>994</v>
      </c>
      <c r="AC222" s="11" t="s">
        <v>994</v>
      </c>
      <c r="AD222" s="11" t="s">
        <v>994</v>
      </c>
    </row>
    <row r="223">
      <c r="B223" s="12" t="s">
        <v>994</v>
      </c>
      <c r="C223" s="11" t="s">
        <v>994</v>
      </c>
      <c r="D223" s="11" t="s">
        <v>994</v>
      </c>
      <c r="E223" s="12" t="s">
        <v>994</v>
      </c>
      <c r="F223" s="12" t="s">
        <v>994</v>
      </c>
      <c r="G223" s="12" t="s">
        <v>994</v>
      </c>
      <c r="H223" s="12" t="s">
        <v>994</v>
      </c>
      <c r="I223" s="12" t="s">
        <v>994</v>
      </c>
      <c r="J223" s="12" t="s">
        <v>994</v>
      </c>
      <c r="K223" s="12" t="s">
        <v>994</v>
      </c>
      <c r="L223" s="13" t="s">
        <v>994</v>
      </c>
      <c r="M223" s="11" t="s">
        <v>994</v>
      </c>
      <c r="N223" s="11" t="s">
        <v>994</v>
      </c>
      <c r="O223" s="11" t="s">
        <v>994</v>
      </c>
      <c r="P223" s="11" t="s">
        <v>994</v>
      </c>
      <c r="Q223" s="11" t="s">
        <v>994</v>
      </c>
      <c r="R223" s="11" t="s">
        <v>994</v>
      </c>
      <c r="S223" s="11" t="s">
        <v>994</v>
      </c>
      <c r="T223" s="11" t="s">
        <v>994</v>
      </c>
      <c r="U223" s="11" t="s">
        <v>994</v>
      </c>
      <c r="V223" s="11" t="s">
        <v>994</v>
      </c>
      <c r="W223" s="11" t="s">
        <v>994</v>
      </c>
      <c r="X223" s="11" t="s">
        <v>994</v>
      </c>
      <c r="Y223" s="11" t="s">
        <v>994</v>
      </c>
      <c r="Z223" s="11" t="s">
        <v>994</v>
      </c>
      <c r="AA223" s="11" t="s">
        <v>994</v>
      </c>
      <c r="AB223" s="11" t="s">
        <v>994</v>
      </c>
      <c r="AC223" s="11" t="s">
        <v>994</v>
      </c>
      <c r="AD223" s="11" t="s">
        <v>994</v>
      </c>
    </row>
    <row r="224">
      <c r="B224" s="12" t="s">
        <v>994</v>
      </c>
      <c r="C224" s="11" t="s">
        <v>994</v>
      </c>
      <c r="D224" s="11" t="s">
        <v>994</v>
      </c>
      <c r="E224" s="12" t="s">
        <v>994</v>
      </c>
      <c r="F224" s="12" t="s">
        <v>994</v>
      </c>
      <c r="G224" s="12" t="s">
        <v>994</v>
      </c>
      <c r="H224" s="12" t="s">
        <v>994</v>
      </c>
      <c r="I224" s="12" t="s">
        <v>994</v>
      </c>
      <c r="J224" s="12" t="s">
        <v>994</v>
      </c>
      <c r="K224" s="12" t="s">
        <v>994</v>
      </c>
      <c r="L224" s="13" t="s">
        <v>994</v>
      </c>
      <c r="M224" s="11" t="s">
        <v>994</v>
      </c>
      <c r="N224" s="11" t="s">
        <v>994</v>
      </c>
      <c r="O224" s="11" t="s">
        <v>994</v>
      </c>
      <c r="P224" s="11" t="s">
        <v>994</v>
      </c>
      <c r="Q224" s="11" t="s">
        <v>994</v>
      </c>
      <c r="R224" s="11" t="s">
        <v>994</v>
      </c>
      <c r="S224" s="11" t="s">
        <v>994</v>
      </c>
      <c r="T224" s="11" t="s">
        <v>994</v>
      </c>
      <c r="U224" s="11" t="s">
        <v>994</v>
      </c>
      <c r="V224" s="11" t="s">
        <v>994</v>
      </c>
      <c r="W224" s="11" t="s">
        <v>994</v>
      </c>
      <c r="X224" s="11" t="s">
        <v>994</v>
      </c>
      <c r="Y224" s="11" t="s">
        <v>994</v>
      </c>
      <c r="Z224" s="11" t="s">
        <v>994</v>
      </c>
      <c r="AA224" s="11" t="s">
        <v>994</v>
      </c>
      <c r="AB224" s="11" t="s">
        <v>994</v>
      </c>
      <c r="AC224" s="11" t="s">
        <v>994</v>
      </c>
      <c r="AD224" s="11" t="s">
        <v>994</v>
      </c>
    </row>
    <row r="225">
      <c r="B225" s="12" t="s">
        <v>994</v>
      </c>
      <c r="C225" s="11" t="s">
        <v>994</v>
      </c>
      <c r="D225" s="11" t="s">
        <v>994</v>
      </c>
      <c r="E225" s="12" t="s">
        <v>994</v>
      </c>
      <c r="F225" s="12" t="s">
        <v>994</v>
      </c>
      <c r="G225" s="12" t="s">
        <v>994</v>
      </c>
      <c r="H225" s="12" t="s">
        <v>994</v>
      </c>
      <c r="I225" s="12" t="s">
        <v>994</v>
      </c>
      <c r="J225" s="12" t="s">
        <v>994</v>
      </c>
      <c r="K225" s="12" t="s">
        <v>994</v>
      </c>
      <c r="L225" s="13" t="s">
        <v>994</v>
      </c>
      <c r="M225" s="11" t="s">
        <v>994</v>
      </c>
      <c r="N225" s="11" t="s">
        <v>994</v>
      </c>
      <c r="O225" s="11" t="s">
        <v>994</v>
      </c>
      <c r="P225" s="11" t="s">
        <v>994</v>
      </c>
      <c r="Q225" s="11" t="s">
        <v>994</v>
      </c>
      <c r="R225" s="11" t="s">
        <v>994</v>
      </c>
      <c r="S225" s="11" t="s">
        <v>994</v>
      </c>
      <c r="T225" s="11" t="s">
        <v>994</v>
      </c>
      <c r="U225" s="11" t="s">
        <v>994</v>
      </c>
      <c r="V225" s="11" t="s">
        <v>994</v>
      </c>
      <c r="W225" s="11" t="s">
        <v>994</v>
      </c>
      <c r="X225" s="11" t="s">
        <v>994</v>
      </c>
      <c r="Y225" s="11" t="s">
        <v>994</v>
      </c>
      <c r="Z225" s="11" t="s">
        <v>994</v>
      </c>
      <c r="AA225" s="11" t="s">
        <v>994</v>
      </c>
      <c r="AB225" s="11" t="s">
        <v>994</v>
      </c>
      <c r="AC225" s="11" t="s">
        <v>994</v>
      </c>
      <c r="AD225" s="11" t="s">
        <v>994</v>
      </c>
    </row>
    <row r="226">
      <c r="B226" s="12" t="s">
        <v>994</v>
      </c>
      <c r="C226" s="11" t="s">
        <v>994</v>
      </c>
      <c r="D226" s="11" t="s">
        <v>994</v>
      </c>
      <c r="E226" s="12" t="s">
        <v>994</v>
      </c>
      <c r="F226" s="12" t="s">
        <v>994</v>
      </c>
      <c r="G226" s="12" t="s">
        <v>994</v>
      </c>
      <c r="H226" s="12" t="s">
        <v>994</v>
      </c>
      <c r="I226" s="12" t="s">
        <v>994</v>
      </c>
      <c r="J226" s="12" t="s">
        <v>994</v>
      </c>
      <c r="K226" s="12" t="s">
        <v>994</v>
      </c>
      <c r="L226" s="13" t="s">
        <v>994</v>
      </c>
      <c r="M226" s="11" t="s">
        <v>994</v>
      </c>
      <c r="N226" s="11" t="s">
        <v>994</v>
      </c>
      <c r="O226" s="11" t="s">
        <v>994</v>
      </c>
      <c r="P226" s="11" t="s">
        <v>994</v>
      </c>
      <c r="Q226" s="11" t="s">
        <v>994</v>
      </c>
      <c r="R226" s="11" t="s">
        <v>994</v>
      </c>
      <c r="S226" s="11" t="s">
        <v>994</v>
      </c>
      <c r="T226" s="11" t="s">
        <v>994</v>
      </c>
      <c r="U226" s="11" t="s">
        <v>994</v>
      </c>
      <c r="V226" s="11" t="s">
        <v>994</v>
      </c>
      <c r="W226" s="11" t="s">
        <v>994</v>
      </c>
      <c r="X226" s="11" t="s">
        <v>994</v>
      </c>
      <c r="Y226" s="11" t="s">
        <v>994</v>
      </c>
      <c r="Z226" s="11" t="s">
        <v>994</v>
      </c>
      <c r="AA226" s="11" t="s">
        <v>994</v>
      </c>
      <c r="AB226" s="11" t="s">
        <v>994</v>
      </c>
      <c r="AC226" s="11" t="s">
        <v>994</v>
      </c>
      <c r="AD226" s="11" t="s">
        <v>994</v>
      </c>
    </row>
    <row r="227">
      <c r="B227" s="12" t="s">
        <v>994</v>
      </c>
      <c r="C227" s="11" t="s">
        <v>994</v>
      </c>
      <c r="D227" s="11" t="s">
        <v>994</v>
      </c>
      <c r="E227" s="12" t="s">
        <v>994</v>
      </c>
      <c r="F227" s="12" t="s">
        <v>994</v>
      </c>
      <c r="G227" s="12" t="s">
        <v>994</v>
      </c>
      <c r="H227" s="12" t="s">
        <v>994</v>
      </c>
      <c r="I227" s="12" t="s">
        <v>994</v>
      </c>
      <c r="J227" s="12" t="s">
        <v>994</v>
      </c>
      <c r="K227" s="12" t="s">
        <v>994</v>
      </c>
      <c r="L227" s="13" t="s">
        <v>994</v>
      </c>
      <c r="M227" s="11" t="s">
        <v>994</v>
      </c>
      <c r="N227" s="11" t="s">
        <v>994</v>
      </c>
      <c r="O227" s="11" t="s">
        <v>994</v>
      </c>
      <c r="P227" s="11" t="s">
        <v>994</v>
      </c>
      <c r="Q227" s="11" t="s">
        <v>994</v>
      </c>
      <c r="R227" s="11" t="s">
        <v>994</v>
      </c>
      <c r="S227" s="11" t="s">
        <v>994</v>
      </c>
      <c r="T227" s="11" t="s">
        <v>994</v>
      </c>
      <c r="U227" s="11" t="s">
        <v>994</v>
      </c>
      <c r="V227" s="11" t="s">
        <v>994</v>
      </c>
      <c r="W227" s="11" t="s">
        <v>994</v>
      </c>
      <c r="X227" s="11" t="s">
        <v>994</v>
      </c>
      <c r="Y227" s="11" t="s">
        <v>994</v>
      </c>
      <c r="Z227" s="11" t="s">
        <v>994</v>
      </c>
      <c r="AA227" s="11" t="s">
        <v>994</v>
      </c>
      <c r="AB227" s="11" t="s">
        <v>994</v>
      </c>
      <c r="AC227" s="11" t="s">
        <v>994</v>
      </c>
      <c r="AD227" s="11" t="s">
        <v>994</v>
      </c>
    </row>
    <row r="228">
      <c r="B228" s="12" t="s">
        <v>994</v>
      </c>
      <c r="C228" s="11" t="s">
        <v>994</v>
      </c>
      <c r="D228" s="11" t="s">
        <v>994</v>
      </c>
      <c r="E228" s="12" t="s">
        <v>994</v>
      </c>
      <c r="F228" s="12" t="s">
        <v>994</v>
      </c>
      <c r="G228" s="12" t="s">
        <v>994</v>
      </c>
      <c r="H228" s="12" t="s">
        <v>994</v>
      </c>
      <c r="I228" s="12" t="s">
        <v>994</v>
      </c>
      <c r="J228" s="12" t="s">
        <v>994</v>
      </c>
      <c r="K228" s="12" t="s">
        <v>994</v>
      </c>
      <c r="L228" s="13" t="s">
        <v>994</v>
      </c>
      <c r="M228" s="11" t="s">
        <v>994</v>
      </c>
      <c r="N228" s="11" t="s">
        <v>994</v>
      </c>
      <c r="O228" s="11" t="s">
        <v>994</v>
      </c>
      <c r="P228" s="11" t="s">
        <v>994</v>
      </c>
      <c r="Q228" s="11" t="s">
        <v>994</v>
      </c>
      <c r="R228" s="11" t="s">
        <v>994</v>
      </c>
      <c r="S228" s="11" t="s">
        <v>994</v>
      </c>
      <c r="T228" s="11" t="s">
        <v>994</v>
      </c>
      <c r="U228" s="11" t="s">
        <v>994</v>
      </c>
      <c r="V228" s="11" t="s">
        <v>994</v>
      </c>
      <c r="W228" s="11" t="s">
        <v>994</v>
      </c>
      <c r="X228" s="11" t="s">
        <v>994</v>
      </c>
      <c r="Y228" s="11" t="s">
        <v>994</v>
      </c>
      <c r="Z228" s="11" t="s">
        <v>994</v>
      </c>
      <c r="AA228" s="11" t="s">
        <v>994</v>
      </c>
      <c r="AB228" s="11" t="s">
        <v>994</v>
      </c>
      <c r="AC228" s="11" t="s">
        <v>994</v>
      </c>
      <c r="AD228" s="11" t="s">
        <v>994</v>
      </c>
    </row>
    <row r="229">
      <c r="B229" s="12" t="s">
        <v>994</v>
      </c>
      <c r="C229" s="11" t="s">
        <v>994</v>
      </c>
      <c r="D229" s="11" t="s">
        <v>994</v>
      </c>
      <c r="E229" s="12" t="s">
        <v>994</v>
      </c>
      <c r="F229" s="12" t="s">
        <v>994</v>
      </c>
      <c r="G229" s="12" t="s">
        <v>994</v>
      </c>
      <c r="H229" s="12" t="s">
        <v>994</v>
      </c>
      <c r="I229" s="12" t="s">
        <v>994</v>
      </c>
      <c r="J229" s="12" t="s">
        <v>994</v>
      </c>
      <c r="K229" s="12" t="s">
        <v>994</v>
      </c>
      <c r="L229" s="13" t="s">
        <v>994</v>
      </c>
      <c r="M229" s="11" t="s">
        <v>994</v>
      </c>
      <c r="N229" s="11" t="s">
        <v>994</v>
      </c>
      <c r="O229" s="11" t="s">
        <v>994</v>
      </c>
      <c r="P229" s="11" t="s">
        <v>994</v>
      </c>
      <c r="Q229" s="11" t="s">
        <v>994</v>
      </c>
      <c r="R229" s="11" t="s">
        <v>994</v>
      </c>
      <c r="S229" s="11" t="s">
        <v>994</v>
      </c>
      <c r="T229" s="11" t="s">
        <v>994</v>
      </c>
      <c r="U229" s="11" t="s">
        <v>994</v>
      </c>
      <c r="V229" s="11" t="s">
        <v>994</v>
      </c>
      <c r="W229" s="11" t="s">
        <v>994</v>
      </c>
      <c r="X229" s="11" t="s">
        <v>994</v>
      </c>
      <c r="Y229" s="11" t="s">
        <v>994</v>
      </c>
      <c r="Z229" s="11" t="s">
        <v>994</v>
      </c>
      <c r="AA229" s="11" t="s">
        <v>994</v>
      </c>
      <c r="AB229" s="11" t="s">
        <v>994</v>
      </c>
      <c r="AC229" s="11" t="s">
        <v>994</v>
      </c>
      <c r="AD229" s="11" t="s">
        <v>994</v>
      </c>
    </row>
    <row r="230">
      <c r="B230" s="12" t="s">
        <v>994</v>
      </c>
      <c r="C230" s="11" t="s">
        <v>994</v>
      </c>
      <c r="D230" s="11" t="s">
        <v>994</v>
      </c>
      <c r="E230" s="12" t="s">
        <v>994</v>
      </c>
      <c r="F230" s="12" t="s">
        <v>994</v>
      </c>
      <c r="G230" s="12" t="s">
        <v>994</v>
      </c>
      <c r="H230" s="12" t="s">
        <v>994</v>
      </c>
      <c r="I230" s="12" t="s">
        <v>994</v>
      </c>
      <c r="J230" s="12" t="s">
        <v>994</v>
      </c>
      <c r="K230" s="12" t="s">
        <v>994</v>
      </c>
      <c r="L230" s="13" t="s">
        <v>994</v>
      </c>
      <c r="M230" s="11" t="s">
        <v>994</v>
      </c>
      <c r="N230" s="11" t="s">
        <v>994</v>
      </c>
      <c r="O230" s="11" t="s">
        <v>994</v>
      </c>
      <c r="P230" s="11" t="s">
        <v>994</v>
      </c>
      <c r="Q230" s="11" t="s">
        <v>994</v>
      </c>
      <c r="R230" s="11" t="s">
        <v>994</v>
      </c>
      <c r="S230" s="11" t="s">
        <v>994</v>
      </c>
      <c r="T230" s="11" t="s">
        <v>994</v>
      </c>
      <c r="U230" s="11" t="s">
        <v>994</v>
      </c>
      <c r="V230" s="11" t="s">
        <v>994</v>
      </c>
      <c r="W230" s="11" t="s">
        <v>994</v>
      </c>
      <c r="X230" s="11" t="s">
        <v>994</v>
      </c>
      <c r="Y230" s="11" t="s">
        <v>994</v>
      </c>
      <c r="Z230" s="11" t="s">
        <v>994</v>
      </c>
      <c r="AA230" s="11" t="s">
        <v>994</v>
      </c>
      <c r="AB230" s="11" t="s">
        <v>994</v>
      </c>
      <c r="AC230" s="11" t="s">
        <v>994</v>
      </c>
      <c r="AD230" s="11" t="s">
        <v>994</v>
      </c>
    </row>
    <row r="231">
      <c r="B231" s="12" t="s">
        <v>994</v>
      </c>
      <c r="C231" s="11" t="s">
        <v>994</v>
      </c>
      <c r="D231" s="11" t="s">
        <v>994</v>
      </c>
      <c r="E231" s="12" t="s">
        <v>994</v>
      </c>
      <c r="F231" s="12" t="s">
        <v>994</v>
      </c>
      <c r="G231" s="12" t="s">
        <v>994</v>
      </c>
      <c r="H231" s="12" t="s">
        <v>994</v>
      </c>
      <c r="I231" s="12" t="s">
        <v>994</v>
      </c>
      <c r="J231" s="12" t="s">
        <v>994</v>
      </c>
      <c r="K231" s="12" t="s">
        <v>994</v>
      </c>
      <c r="L231" s="13" t="s">
        <v>994</v>
      </c>
      <c r="M231" s="11" t="s">
        <v>994</v>
      </c>
      <c r="N231" s="11" t="s">
        <v>994</v>
      </c>
      <c r="O231" s="11" t="s">
        <v>994</v>
      </c>
      <c r="P231" s="11" t="s">
        <v>994</v>
      </c>
      <c r="Q231" s="11" t="s">
        <v>994</v>
      </c>
      <c r="R231" s="11" t="s">
        <v>994</v>
      </c>
      <c r="S231" s="11" t="s">
        <v>994</v>
      </c>
      <c r="T231" s="11" t="s">
        <v>994</v>
      </c>
      <c r="U231" s="11" t="s">
        <v>994</v>
      </c>
      <c r="V231" s="11" t="s">
        <v>994</v>
      </c>
      <c r="W231" s="11" t="s">
        <v>994</v>
      </c>
      <c r="X231" s="11" t="s">
        <v>994</v>
      </c>
      <c r="Y231" s="11" t="s">
        <v>994</v>
      </c>
      <c r="Z231" s="11" t="s">
        <v>994</v>
      </c>
      <c r="AA231" s="11" t="s">
        <v>994</v>
      </c>
      <c r="AB231" s="11" t="s">
        <v>994</v>
      </c>
      <c r="AC231" s="11" t="s">
        <v>994</v>
      </c>
      <c r="AD231" s="11" t="s">
        <v>994</v>
      </c>
    </row>
    <row r="232">
      <c r="B232" s="12" t="s">
        <v>994</v>
      </c>
      <c r="C232" s="11" t="s">
        <v>994</v>
      </c>
      <c r="D232" s="11" t="s">
        <v>994</v>
      </c>
      <c r="E232" s="12" t="s">
        <v>994</v>
      </c>
      <c r="F232" s="12" t="s">
        <v>994</v>
      </c>
      <c r="G232" s="12" t="s">
        <v>994</v>
      </c>
      <c r="H232" s="12" t="s">
        <v>994</v>
      </c>
      <c r="I232" s="12" t="s">
        <v>994</v>
      </c>
      <c r="J232" s="12" t="s">
        <v>994</v>
      </c>
      <c r="K232" s="12" t="s">
        <v>994</v>
      </c>
      <c r="L232" s="13" t="s">
        <v>994</v>
      </c>
      <c r="M232" s="11" t="s">
        <v>994</v>
      </c>
      <c r="N232" s="11" t="s">
        <v>994</v>
      </c>
      <c r="O232" s="11" t="s">
        <v>994</v>
      </c>
      <c r="P232" s="11" t="s">
        <v>994</v>
      </c>
      <c r="Q232" s="11" t="s">
        <v>994</v>
      </c>
      <c r="R232" s="11" t="s">
        <v>994</v>
      </c>
      <c r="S232" s="11" t="s">
        <v>994</v>
      </c>
      <c r="T232" s="11" t="s">
        <v>994</v>
      </c>
      <c r="U232" s="11" t="s">
        <v>994</v>
      </c>
      <c r="V232" s="11" t="s">
        <v>994</v>
      </c>
      <c r="W232" s="11" t="s">
        <v>994</v>
      </c>
      <c r="X232" s="11" t="s">
        <v>994</v>
      </c>
      <c r="Y232" s="11" t="s">
        <v>994</v>
      </c>
      <c r="Z232" s="11" t="s">
        <v>994</v>
      </c>
      <c r="AA232" s="11" t="s">
        <v>994</v>
      </c>
      <c r="AB232" s="11" t="s">
        <v>994</v>
      </c>
      <c r="AC232" s="11" t="s">
        <v>994</v>
      </c>
      <c r="AD232" s="11" t="s">
        <v>994</v>
      </c>
    </row>
    <row r="233">
      <c r="B233" s="12" t="s">
        <v>994</v>
      </c>
      <c r="C233" s="11" t="s">
        <v>994</v>
      </c>
      <c r="D233" s="11" t="s">
        <v>994</v>
      </c>
      <c r="E233" s="12" t="s">
        <v>994</v>
      </c>
      <c r="F233" s="12" t="s">
        <v>994</v>
      </c>
      <c r="G233" s="12" t="s">
        <v>994</v>
      </c>
      <c r="H233" s="12" t="s">
        <v>994</v>
      </c>
      <c r="I233" s="12" t="s">
        <v>994</v>
      </c>
      <c r="J233" s="12" t="s">
        <v>994</v>
      </c>
      <c r="K233" s="12" t="s">
        <v>994</v>
      </c>
      <c r="L233" s="13" t="s">
        <v>994</v>
      </c>
      <c r="M233" s="11" t="s">
        <v>994</v>
      </c>
      <c r="N233" s="11" t="s">
        <v>994</v>
      </c>
      <c r="O233" s="11" t="s">
        <v>994</v>
      </c>
      <c r="P233" s="11" t="s">
        <v>994</v>
      </c>
      <c r="Q233" s="11" t="s">
        <v>994</v>
      </c>
      <c r="R233" s="11" t="s">
        <v>994</v>
      </c>
      <c r="S233" s="11" t="s">
        <v>994</v>
      </c>
      <c r="T233" s="11" t="s">
        <v>994</v>
      </c>
      <c r="U233" s="11" t="s">
        <v>994</v>
      </c>
      <c r="V233" s="11" t="s">
        <v>994</v>
      </c>
      <c r="W233" s="11" t="s">
        <v>994</v>
      </c>
      <c r="X233" s="11" t="s">
        <v>994</v>
      </c>
      <c r="Y233" s="11" t="s">
        <v>994</v>
      </c>
      <c r="Z233" s="11" t="s">
        <v>994</v>
      </c>
      <c r="AA233" s="11" t="s">
        <v>994</v>
      </c>
      <c r="AB233" s="11" t="s">
        <v>994</v>
      </c>
      <c r="AC233" s="11" t="s">
        <v>994</v>
      </c>
      <c r="AD233" s="11" t="s">
        <v>994</v>
      </c>
    </row>
    <row r="234">
      <c r="B234" s="12" t="s">
        <v>994</v>
      </c>
      <c r="C234" s="11" t="s">
        <v>994</v>
      </c>
      <c r="D234" s="11" t="s">
        <v>994</v>
      </c>
      <c r="E234" s="12" t="s">
        <v>994</v>
      </c>
      <c r="F234" s="12" t="s">
        <v>994</v>
      </c>
      <c r="G234" s="12" t="s">
        <v>994</v>
      </c>
      <c r="H234" s="12" t="s">
        <v>994</v>
      </c>
      <c r="I234" s="12" t="s">
        <v>994</v>
      </c>
      <c r="J234" s="12" t="s">
        <v>994</v>
      </c>
      <c r="K234" s="12" t="s">
        <v>994</v>
      </c>
      <c r="L234" s="13" t="s">
        <v>994</v>
      </c>
      <c r="M234" s="11" t="s">
        <v>994</v>
      </c>
      <c r="N234" s="11" t="s">
        <v>994</v>
      </c>
      <c r="O234" s="11" t="s">
        <v>994</v>
      </c>
      <c r="P234" s="11" t="s">
        <v>994</v>
      </c>
      <c r="Q234" s="11" t="s">
        <v>994</v>
      </c>
      <c r="R234" s="11" t="s">
        <v>994</v>
      </c>
      <c r="S234" s="11" t="s">
        <v>994</v>
      </c>
      <c r="T234" s="11" t="s">
        <v>994</v>
      </c>
      <c r="U234" s="11" t="s">
        <v>994</v>
      </c>
      <c r="V234" s="11" t="s">
        <v>994</v>
      </c>
      <c r="W234" s="11" t="s">
        <v>994</v>
      </c>
      <c r="X234" s="11" t="s">
        <v>994</v>
      </c>
      <c r="Y234" s="11" t="s">
        <v>994</v>
      </c>
      <c r="Z234" s="11" t="s">
        <v>994</v>
      </c>
      <c r="AA234" s="11" t="s">
        <v>994</v>
      </c>
      <c r="AB234" s="11" t="s">
        <v>994</v>
      </c>
      <c r="AC234" s="11" t="s">
        <v>994</v>
      </c>
      <c r="AD234" s="11" t="s">
        <v>994</v>
      </c>
    </row>
    <row r="235">
      <c r="B235" s="12" t="s">
        <v>994</v>
      </c>
      <c r="C235" s="11" t="s">
        <v>994</v>
      </c>
      <c r="D235" s="11" t="s">
        <v>994</v>
      </c>
      <c r="E235" s="12" t="s">
        <v>994</v>
      </c>
      <c r="F235" s="12" t="s">
        <v>994</v>
      </c>
      <c r="G235" s="12" t="s">
        <v>994</v>
      </c>
      <c r="H235" s="12" t="s">
        <v>994</v>
      </c>
      <c r="I235" s="12" t="s">
        <v>994</v>
      </c>
      <c r="J235" s="12" t="s">
        <v>994</v>
      </c>
      <c r="K235" s="12" t="s">
        <v>994</v>
      </c>
      <c r="L235" s="13" t="s">
        <v>994</v>
      </c>
      <c r="M235" s="11" t="s">
        <v>994</v>
      </c>
      <c r="N235" s="11" t="s">
        <v>994</v>
      </c>
      <c r="O235" s="11" t="s">
        <v>994</v>
      </c>
      <c r="P235" s="11" t="s">
        <v>994</v>
      </c>
      <c r="Q235" s="11" t="s">
        <v>994</v>
      </c>
      <c r="R235" s="11" t="s">
        <v>994</v>
      </c>
      <c r="S235" s="11" t="s">
        <v>994</v>
      </c>
      <c r="T235" s="11" t="s">
        <v>994</v>
      </c>
      <c r="U235" s="11" t="s">
        <v>994</v>
      </c>
      <c r="V235" s="11" t="s">
        <v>994</v>
      </c>
      <c r="W235" s="11" t="s">
        <v>994</v>
      </c>
      <c r="X235" s="11" t="s">
        <v>994</v>
      </c>
      <c r="Y235" s="11" t="s">
        <v>994</v>
      </c>
      <c r="Z235" s="11" t="s">
        <v>994</v>
      </c>
      <c r="AA235" s="11" t="s">
        <v>994</v>
      </c>
      <c r="AB235" s="11" t="s">
        <v>994</v>
      </c>
      <c r="AC235" s="11" t="s">
        <v>994</v>
      </c>
      <c r="AD235" s="11" t="s">
        <v>994</v>
      </c>
    </row>
    <row r="236">
      <c r="B236" s="12" t="s">
        <v>994</v>
      </c>
      <c r="C236" s="11" t="s">
        <v>994</v>
      </c>
      <c r="D236" s="11" t="s">
        <v>994</v>
      </c>
      <c r="E236" s="12" t="s">
        <v>994</v>
      </c>
      <c r="F236" s="12" t="s">
        <v>994</v>
      </c>
      <c r="G236" s="12" t="s">
        <v>994</v>
      </c>
      <c r="H236" s="12" t="s">
        <v>994</v>
      </c>
      <c r="I236" s="12" t="s">
        <v>994</v>
      </c>
      <c r="J236" s="12" t="s">
        <v>994</v>
      </c>
      <c r="K236" s="12" t="s">
        <v>994</v>
      </c>
      <c r="L236" s="13" t="s">
        <v>994</v>
      </c>
      <c r="M236" s="11" t="s">
        <v>994</v>
      </c>
      <c r="N236" s="11" t="s">
        <v>994</v>
      </c>
      <c r="O236" s="11" t="s">
        <v>994</v>
      </c>
      <c r="P236" s="11" t="s">
        <v>994</v>
      </c>
      <c r="Q236" s="11" t="s">
        <v>994</v>
      </c>
      <c r="R236" s="11" t="s">
        <v>994</v>
      </c>
      <c r="S236" s="11" t="s">
        <v>994</v>
      </c>
      <c r="T236" s="11" t="s">
        <v>994</v>
      </c>
      <c r="U236" s="11" t="s">
        <v>994</v>
      </c>
      <c r="V236" s="11" t="s">
        <v>994</v>
      </c>
      <c r="W236" s="11" t="s">
        <v>994</v>
      </c>
      <c r="X236" s="11" t="s">
        <v>994</v>
      </c>
      <c r="Y236" s="11" t="s">
        <v>994</v>
      </c>
      <c r="Z236" s="11" t="s">
        <v>994</v>
      </c>
      <c r="AA236" s="11" t="s">
        <v>994</v>
      </c>
      <c r="AB236" s="11" t="s">
        <v>994</v>
      </c>
      <c r="AC236" s="11" t="s">
        <v>994</v>
      </c>
      <c r="AD236" s="11" t="s">
        <v>994</v>
      </c>
    </row>
    <row r="237">
      <c r="B237" s="12" t="s">
        <v>994</v>
      </c>
      <c r="C237" s="11" t="s">
        <v>994</v>
      </c>
      <c r="D237" s="11" t="s">
        <v>994</v>
      </c>
      <c r="E237" s="12" t="s">
        <v>994</v>
      </c>
      <c r="F237" s="12" t="s">
        <v>994</v>
      </c>
      <c r="G237" s="12" t="s">
        <v>994</v>
      </c>
      <c r="H237" s="12" t="s">
        <v>994</v>
      </c>
      <c r="I237" s="12" t="s">
        <v>994</v>
      </c>
      <c r="J237" s="12" t="s">
        <v>994</v>
      </c>
      <c r="K237" s="12" t="s">
        <v>994</v>
      </c>
      <c r="L237" s="13" t="s">
        <v>994</v>
      </c>
      <c r="M237" s="11" t="s">
        <v>994</v>
      </c>
      <c r="N237" s="11" t="s">
        <v>994</v>
      </c>
      <c r="O237" s="11" t="s">
        <v>994</v>
      </c>
      <c r="P237" s="11" t="s">
        <v>994</v>
      </c>
      <c r="Q237" s="11" t="s">
        <v>994</v>
      </c>
      <c r="R237" s="11" t="s">
        <v>994</v>
      </c>
      <c r="S237" s="11" t="s">
        <v>994</v>
      </c>
      <c r="T237" s="11" t="s">
        <v>994</v>
      </c>
      <c r="U237" s="11" t="s">
        <v>994</v>
      </c>
      <c r="V237" s="11" t="s">
        <v>994</v>
      </c>
      <c r="W237" s="11" t="s">
        <v>994</v>
      </c>
      <c r="X237" s="11" t="s">
        <v>994</v>
      </c>
      <c r="Y237" s="11" t="s">
        <v>994</v>
      </c>
      <c r="Z237" s="11" t="s">
        <v>994</v>
      </c>
      <c r="AA237" s="11" t="s">
        <v>994</v>
      </c>
      <c r="AB237" s="11" t="s">
        <v>994</v>
      </c>
      <c r="AC237" s="11" t="s">
        <v>994</v>
      </c>
      <c r="AD237" s="11" t="s">
        <v>994</v>
      </c>
    </row>
    <row r="238">
      <c r="B238" s="12" t="s">
        <v>994</v>
      </c>
      <c r="C238" s="11" t="s">
        <v>994</v>
      </c>
      <c r="D238" s="11" t="s">
        <v>994</v>
      </c>
      <c r="E238" s="12" t="s">
        <v>994</v>
      </c>
      <c r="F238" s="12" t="s">
        <v>994</v>
      </c>
      <c r="G238" s="12" t="s">
        <v>994</v>
      </c>
      <c r="H238" s="12" t="s">
        <v>994</v>
      </c>
      <c r="I238" s="12" t="s">
        <v>994</v>
      </c>
      <c r="J238" s="12" t="s">
        <v>994</v>
      </c>
      <c r="K238" s="12" t="s">
        <v>994</v>
      </c>
      <c r="L238" s="13" t="s">
        <v>994</v>
      </c>
      <c r="M238" s="11" t="s">
        <v>994</v>
      </c>
      <c r="N238" s="11" t="s">
        <v>994</v>
      </c>
      <c r="O238" s="11" t="s">
        <v>994</v>
      </c>
      <c r="P238" s="11" t="s">
        <v>994</v>
      </c>
      <c r="Q238" s="11" t="s">
        <v>994</v>
      </c>
      <c r="R238" s="11" t="s">
        <v>994</v>
      </c>
      <c r="S238" s="11" t="s">
        <v>994</v>
      </c>
      <c r="T238" s="11" t="s">
        <v>994</v>
      </c>
      <c r="U238" s="11" t="s">
        <v>994</v>
      </c>
      <c r="V238" s="11" t="s">
        <v>994</v>
      </c>
      <c r="W238" s="11" t="s">
        <v>994</v>
      </c>
      <c r="X238" s="11" t="s">
        <v>994</v>
      </c>
      <c r="Y238" s="11" t="s">
        <v>994</v>
      </c>
      <c r="Z238" s="11" t="s">
        <v>994</v>
      </c>
      <c r="AA238" s="11" t="s">
        <v>994</v>
      </c>
      <c r="AB238" s="11" t="s">
        <v>994</v>
      </c>
      <c r="AC238" s="11" t="s">
        <v>994</v>
      </c>
      <c r="AD238" s="11" t="s">
        <v>994</v>
      </c>
    </row>
    <row r="239">
      <c r="B239" s="12" t="s">
        <v>994</v>
      </c>
      <c r="C239" s="11" t="s">
        <v>994</v>
      </c>
      <c r="D239" s="11" t="s">
        <v>994</v>
      </c>
      <c r="E239" s="12" t="s">
        <v>994</v>
      </c>
      <c r="F239" s="12" t="s">
        <v>994</v>
      </c>
      <c r="G239" s="12" t="s">
        <v>994</v>
      </c>
      <c r="H239" s="12" t="s">
        <v>994</v>
      </c>
      <c r="I239" s="12" t="s">
        <v>994</v>
      </c>
      <c r="J239" s="12" t="s">
        <v>994</v>
      </c>
      <c r="K239" s="12" t="s">
        <v>994</v>
      </c>
      <c r="L239" s="13" t="s">
        <v>994</v>
      </c>
      <c r="M239" s="11" t="s">
        <v>994</v>
      </c>
      <c r="N239" s="11" t="s">
        <v>994</v>
      </c>
      <c r="O239" s="11" t="s">
        <v>994</v>
      </c>
      <c r="P239" s="11" t="s">
        <v>994</v>
      </c>
      <c r="Q239" s="11" t="s">
        <v>994</v>
      </c>
      <c r="R239" s="11" t="s">
        <v>994</v>
      </c>
      <c r="S239" s="11" t="s">
        <v>994</v>
      </c>
      <c r="T239" s="11" t="s">
        <v>994</v>
      </c>
      <c r="U239" s="11" t="s">
        <v>994</v>
      </c>
      <c r="V239" s="11" t="s">
        <v>994</v>
      </c>
      <c r="W239" s="11" t="s">
        <v>994</v>
      </c>
      <c r="X239" s="11" t="s">
        <v>994</v>
      </c>
      <c r="Y239" s="11" t="s">
        <v>994</v>
      </c>
      <c r="Z239" s="11" t="s">
        <v>994</v>
      </c>
      <c r="AA239" s="11" t="s">
        <v>994</v>
      </c>
      <c r="AB239" s="11" t="s">
        <v>994</v>
      </c>
      <c r="AC239" s="11" t="s">
        <v>994</v>
      </c>
      <c r="AD239" s="11" t="s">
        <v>994</v>
      </c>
    </row>
    <row r="240">
      <c r="B240" s="12" t="s">
        <v>994</v>
      </c>
      <c r="C240" s="11" t="s">
        <v>994</v>
      </c>
      <c r="D240" s="11" t="s">
        <v>994</v>
      </c>
      <c r="E240" s="12" t="s">
        <v>994</v>
      </c>
      <c r="F240" s="12" t="s">
        <v>994</v>
      </c>
      <c r="G240" s="12" t="s">
        <v>994</v>
      </c>
      <c r="H240" s="12" t="s">
        <v>994</v>
      </c>
      <c r="I240" s="12" t="s">
        <v>994</v>
      </c>
      <c r="J240" s="12" t="s">
        <v>994</v>
      </c>
      <c r="K240" s="12" t="s">
        <v>994</v>
      </c>
      <c r="L240" s="13" t="s">
        <v>994</v>
      </c>
      <c r="M240" s="11" t="s">
        <v>994</v>
      </c>
      <c r="N240" s="11" t="s">
        <v>994</v>
      </c>
      <c r="O240" s="11" t="s">
        <v>994</v>
      </c>
      <c r="P240" s="11" t="s">
        <v>994</v>
      </c>
      <c r="Q240" s="11" t="s">
        <v>994</v>
      </c>
      <c r="R240" s="11" t="s">
        <v>994</v>
      </c>
      <c r="S240" s="11" t="s">
        <v>994</v>
      </c>
      <c r="T240" s="11" t="s">
        <v>994</v>
      </c>
      <c r="U240" s="11" t="s">
        <v>994</v>
      </c>
      <c r="V240" s="11" t="s">
        <v>994</v>
      </c>
      <c r="W240" s="11" t="s">
        <v>994</v>
      </c>
      <c r="X240" s="11" t="s">
        <v>994</v>
      </c>
      <c r="Y240" s="11" t="s">
        <v>994</v>
      </c>
      <c r="Z240" s="11" t="s">
        <v>994</v>
      </c>
      <c r="AA240" s="11" t="s">
        <v>994</v>
      </c>
      <c r="AB240" s="11" t="s">
        <v>994</v>
      </c>
      <c r="AC240" s="11" t="s">
        <v>994</v>
      </c>
      <c r="AD240" s="11" t="s">
        <v>994</v>
      </c>
    </row>
    <row r="241">
      <c r="B241" s="12" t="s">
        <v>994</v>
      </c>
      <c r="C241" s="11" t="s">
        <v>994</v>
      </c>
      <c r="D241" s="11" t="s">
        <v>994</v>
      </c>
      <c r="E241" s="12" t="s">
        <v>994</v>
      </c>
      <c r="F241" s="12" t="s">
        <v>994</v>
      </c>
      <c r="G241" s="12" t="s">
        <v>994</v>
      </c>
      <c r="H241" s="12" t="s">
        <v>994</v>
      </c>
      <c r="I241" s="12" t="s">
        <v>994</v>
      </c>
      <c r="J241" s="12" t="s">
        <v>994</v>
      </c>
      <c r="K241" s="12" t="s">
        <v>994</v>
      </c>
      <c r="L241" s="13" t="s">
        <v>994</v>
      </c>
      <c r="M241" s="11" t="s">
        <v>994</v>
      </c>
      <c r="N241" s="11" t="s">
        <v>994</v>
      </c>
      <c r="O241" s="11" t="s">
        <v>994</v>
      </c>
      <c r="P241" s="11" t="s">
        <v>994</v>
      </c>
      <c r="Q241" s="11" t="s">
        <v>994</v>
      </c>
      <c r="R241" s="11" t="s">
        <v>994</v>
      </c>
      <c r="S241" s="11" t="s">
        <v>994</v>
      </c>
      <c r="T241" s="11" t="s">
        <v>994</v>
      </c>
      <c r="U241" s="11" t="s">
        <v>994</v>
      </c>
      <c r="V241" s="11" t="s">
        <v>994</v>
      </c>
      <c r="W241" s="11" t="s">
        <v>994</v>
      </c>
      <c r="X241" s="11" t="s">
        <v>994</v>
      </c>
      <c r="Y241" s="11" t="s">
        <v>994</v>
      </c>
      <c r="Z241" s="11" t="s">
        <v>994</v>
      </c>
      <c r="AA241" s="11" t="s">
        <v>994</v>
      </c>
      <c r="AB241" s="11" t="s">
        <v>994</v>
      </c>
      <c r="AC241" s="11" t="s">
        <v>994</v>
      </c>
      <c r="AD241" s="11" t="s">
        <v>994</v>
      </c>
    </row>
    <row r="242">
      <c r="B242" s="12" t="s">
        <v>994</v>
      </c>
      <c r="C242" s="11" t="s">
        <v>994</v>
      </c>
      <c r="D242" s="11" t="s">
        <v>994</v>
      </c>
      <c r="E242" s="12" t="s">
        <v>994</v>
      </c>
      <c r="F242" s="12" t="s">
        <v>994</v>
      </c>
      <c r="G242" s="12" t="s">
        <v>994</v>
      </c>
      <c r="H242" s="12" t="s">
        <v>994</v>
      </c>
      <c r="I242" s="12" t="s">
        <v>994</v>
      </c>
      <c r="J242" s="12" t="s">
        <v>994</v>
      </c>
      <c r="K242" s="12" t="s">
        <v>994</v>
      </c>
      <c r="L242" s="13" t="s">
        <v>994</v>
      </c>
      <c r="M242" s="11" t="s">
        <v>994</v>
      </c>
      <c r="N242" s="11" t="s">
        <v>994</v>
      </c>
      <c r="O242" s="11" t="s">
        <v>994</v>
      </c>
      <c r="P242" s="11" t="s">
        <v>994</v>
      </c>
      <c r="Q242" s="11" t="s">
        <v>994</v>
      </c>
      <c r="R242" s="11" t="s">
        <v>994</v>
      </c>
      <c r="S242" s="11" t="s">
        <v>994</v>
      </c>
      <c r="T242" s="11" t="s">
        <v>994</v>
      </c>
      <c r="U242" s="11" t="s">
        <v>994</v>
      </c>
      <c r="V242" s="11" t="s">
        <v>994</v>
      </c>
      <c r="W242" s="11" t="s">
        <v>994</v>
      </c>
      <c r="X242" s="11" t="s">
        <v>994</v>
      </c>
      <c r="Y242" s="11" t="s">
        <v>994</v>
      </c>
      <c r="Z242" s="11" t="s">
        <v>994</v>
      </c>
      <c r="AA242" s="11" t="s">
        <v>994</v>
      </c>
      <c r="AB242" s="11" t="s">
        <v>994</v>
      </c>
      <c r="AC242" s="11" t="s">
        <v>994</v>
      </c>
      <c r="AD242" s="11" t="s">
        <v>994</v>
      </c>
    </row>
    <row r="243">
      <c r="B243" s="12" t="s">
        <v>994</v>
      </c>
      <c r="C243" s="11" t="s">
        <v>994</v>
      </c>
      <c r="D243" s="11" t="s">
        <v>994</v>
      </c>
      <c r="E243" s="12" t="s">
        <v>994</v>
      </c>
      <c r="F243" s="12" t="s">
        <v>994</v>
      </c>
      <c r="G243" s="12" t="s">
        <v>994</v>
      </c>
      <c r="H243" s="12" t="s">
        <v>994</v>
      </c>
      <c r="I243" s="12" t="s">
        <v>994</v>
      </c>
      <c r="J243" s="12" t="s">
        <v>994</v>
      </c>
      <c r="K243" s="12" t="s">
        <v>994</v>
      </c>
      <c r="L243" s="13" t="s">
        <v>994</v>
      </c>
      <c r="M243" s="11" t="s">
        <v>994</v>
      </c>
      <c r="N243" s="11" t="s">
        <v>994</v>
      </c>
      <c r="O243" s="11" t="s">
        <v>994</v>
      </c>
      <c r="P243" s="11" t="s">
        <v>994</v>
      </c>
      <c r="Q243" s="11" t="s">
        <v>994</v>
      </c>
      <c r="R243" s="11" t="s">
        <v>994</v>
      </c>
      <c r="S243" s="11" t="s">
        <v>994</v>
      </c>
      <c r="T243" s="11" t="s">
        <v>994</v>
      </c>
      <c r="U243" s="11" t="s">
        <v>994</v>
      </c>
      <c r="V243" s="11" t="s">
        <v>994</v>
      </c>
      <c r="W243" s="11" t="s">
        <v>994</v>
      </c>
      <c r="X243" s="11" t="s">
        <v>994</v>
      </c>
      <c r="Y243" s="11" t="s">
        <v>994</v>
      </c>
      <c r="Z243" s="11" t="s">
        <v>994</v>
      </c>
      <c r="AA243" s="11" t="s">
        <v>994</v>
      </c>
      <c r="AB243" s="11" t="s">
        <v>994</v>
      </c>
      <c r="AC243" s="11" t="s">
        <v>994</v>
      </c>
      <c r="AD243" s="11" t="s">
        <v>994</v>
      </c>
    </row>
    <row r="244">
      <c r="B244" s="12" t="s">
        <v>994</v>
      </c>
      <c r="C244" s="11" t="s">
        <v>994</v>
      </c>
      <c r="D244" s="11" t="s">
        <v>994</v>
      </c>
      <c r="E244" s="12" t="s">
        <v>994</v>
      </c>
      <c r="F244" s="12" t="s">
        <v>994</v>
      </c>
      <c r="G244" s="12" t="s">
        <v>994</v>
      </c>
      <c r="H244" s="12" t="s">
        <v>994</v>
      </c>
      <c r="I244" s="12" t="s">
        <v>994</v>
      </c>
      <c r="J244" s="12" t="s">
        <v>994</v>
      </c>
      <c r="K244" s="12" t="s">
        <v>994</v>
      </c>
      <c r="L244" s="13" t="s">
        <v>994</v>
      </c>
      <c r="M244" s="11" t="s">
        <v>994</v>
      </c>
      <c r="N244" s="11" t="s">
        <v>994</v>
      </c>
      <c r="O244" s="11" t="s">
        <v>994</v>
      </c>
      <c r="P244" s="11" t="s">
        <v>994</v>
      </c>
      <c r="Q244" s="11" t="s">
        <v>994</v>
      </c>
      <c r="R244" s="11" t="s">
        <v>994</v>
      </c>
      <c r="S244" s="11" t="s">
        <v>994</v>
      </c>
      <c r="T244" s="11" t="s">
        <v>994</v>
      </c>
      <c r="U244" s="11" t="s">
        <v>994</v>
      </c>
      <c r="V244" s="11" t="s">
        <v>994</v>
      </c>
      <c r="W244" s="11" t="s">
        <v>994</v>
      </c>
      <c r="X244" s="11" t="s">
        <v>994</v>
      </c>
      <c r="Y244" s="11" t="s">
        <v>994</v>
      </c>
      <c r="Z244" s="11" t="s">
        <v>994</v>
      </c>
      <c r="AA244" s="11" t="s">
        <v>994</v>
      </c>
      <c r="AB244" s="11" t="s">
        <v>994</v>
      </c>
      <c r="AC244" s="11" t="s">
        <v>994</v>
      </c>
      <c r="AD244" s="11" t="s">
        <v>994</v>
      </c>
    </row>
    <row r="245">
      <c r="B245" s="12" t="s">
        <v>994</v>
      </c>
      <c r="C245" s="11" t="s">
        <v>994</v>
      </c>
      <c r="D245" s="11" t="s">
        <v>994</v>
      </c>
      <c r="E245" s="12" t="s">
        <v>994</v>
      </c>
      <c r="F245" s="12" t="s">
        <v>994</v>
      </c>
      <c r="G245" s="12" t="s">
        <v>994</v>
      </c>
      <c r="H245" s="12" t="s">
        <v>994</v>
      </c>
      <c r="I245" s="12" t="s">
        <v>994</v>
      </c>
      <c r="J245" s="12" t="s">
        <v>994</v>
      </c>
      <c r="K245" s="12" t="s">
        <v>994</v>
      </c>
      <c r="L245" s="13" t="s">
        <v>994</v>
      </c>
      <c r="M245" s="11" t="s">
        <v>994</v>
      </c>
      <c r="N245" s="11" t="s">
        <v>994</v>
      </c>
      <c r="O245" s="11" t="s">
        <v>994</v>
      </c>
      <c r="P245" s="11" t="s">
        <v>994</v>
      </c>
      <c r="Q245" s="11" t="s">
        <v>994</v>
      </c>
      <c r="R245" s="11" t="s">
        <v>994</v>
      </c>
      <c r="S245" s="11" t="s">
        <v>994</v>
      </c>
      <c r="T245" s="11" t="s">
        <v>994</v>
      </c>
      <c r="U245" s="11" t="s">
        <v>994</v>
      </c>
      <c r="V245" s="11" t="s">
        <v>994</v>
      </c>
      <c r="W245" s="11" t="s">
        <v>994</v>
      </c>
      <c r="X245" s="11" t="s">
        <v>994</v>
      </c>
      <c r="Y245" s="11" t="s">
        <v>994</v>
      </c>
      <c r="Z245" s="11" t="s">
        <v>994</v>
      </c>
      <c r="AA245" s="11" t="s">
        <v>994</v>
      </c>
      <c r="AB245" s="11" t="s">
        <v>994</v>
      </c>
      <c r="AC245" s="11" t="s">
        <v>994</v>
      </c>
      <c r="AD245" s="11" t="s">
        <v>994</v>
      </c>
    </row>
    <row r="246">
      <c r="B246" s="12" t="s">
        <v>994</v>
      </c>
      <c r="C246" s="11" t="s">
        <v>994</v>
      </c>
      <c r="D246" s="11" t="s">
        <v>994</v>
      </c>
      <c r="E246" s="12" t="s">
        <v>994</v>
      </c>
      <c r="F246" s="12" t="s">
        <v>994</v>
      </c>
      <c r="G246" s="12" t="s">
        <v>994</v>
      </c>
      <c r="H246" s="12" t="s">
        <v>994</v>
      </c>
      <c r="I246" s="12" t="s">
        <v>994</v>
      </c>
      <c r="J246" s="12" t="s">
        <v>994</v>
      </c>
      <c r="K246" s="12" t="s">
        <v>994</v>
      </c>
      <c r="L246" s="13" t="s">
        <v>994</v>
      </c>
      <c r="M246" s="11" t="s">
        <v>994</v>
      </c>
      <c r="N246" s="11" t="s">
        <v>994</v>
      </c>
      <c r="O246" s="11" t="s">
        <v>994</v>
      </c>
      <c r="P246" s="11" t="s">
        <v>994</v>
      </c>
      <c r="Q246" s="11" t="s">
        <v>994</v>
      </c>
      <c r="R246" s="11" t="s">
        <v>994</v>
      </c>
      <c r="S246" s="11" t="s">
        <v>994</v>
      </c>
      <c r="T246" s="11" t="s">
        <v>994</v>
      </c>
      <c r="U246" s="11" t="s">
        <v>994</v>
      </c>
      <c r="V246" s="11" t="s">
        <v>994</v>
      </c>
      <c r="W246" s="11" t="s">
        <v>994</v>
      </c>
      <c r="X246" s="11" t="s">
        <v>994</v>
      </c>
      <c r="Y246" s="11" t="s">
        <v>994</v>
      </c>
      <c r="Z246" s="11" t="s">
        <v>994</v>
      </c>
      <c r="AA246" s="11" t="s">
        <v>994</v>
      </c>
      <c r="AB246" s="11" t="s">
        <v>994</v>
      </c>
      <c r="AC246" s="11" t="s">
        <v>994</v>
      </c>
      <c r="AD246" s="11" t="s">
        <v>994</v>
      </c>
    </row>
    <row r="247">
      <c r="B247" s="12" t="s">
        <v>994</v>
      </c>
      <c r="C247" s="11" t="s">
        <v>994</v>
      </c>
      <c r="D247" s="11" t="s">
        <v>994</v>
      </c>
      <c r="E247" s="12" t="s">
        <v>994</v>
      </c>
      <c r="F247" s="12" t="s">
        <v>994</v>
      </c>
      <c r="G247" s="12" t="s">
        <v>994</v>
      </c>
      <c r="H247" s="12" t="s">
        <v>994</v>
      </c>
      <c r="I247" s="12" t="s">
        <v>994</v>
      </c>
      <c r="J247" s="12" t="s">
        <v>994</v>
      </c>
      <c r="K247" s="12" t="s">
        <v>994</v>
      </c>
      <c r="L247" s="13" t="s">
        <v>994</v>
      </c>
      <c r="M247" s="11" t="s">
        <v>994</v>
      </c>
      <c r="N247" s="11" t="s">
        <v>994</v>
      </c>
      <c r="O247" s="11" t="s">
        <v>994</v>
      </c>
      <c r="P247" s="11" t="s">
        <v>994</v>
      </c>
      <c r="Q247" s="11" t="s">
        <v>994</v>
      </c>
      <c r="R247" s="11" t="s">
        <v>994</v>
      </c>
      <c r="S247" s="11" t="s">
        <v>994</v>
      </c>
      <c r="T247" s="11" t="s">
        <v>994</v>
      </c>
      <c r="U247" s="11" t="s">
        <v>994</v>
      </c>
      <c r="V247" s="11" t="s">
        <v>994</v>
      </c>
      <c r="W247" s="11" t="s">
        <v>994</v>
      </c>
      <c r="X247" s="11" t="s">
        <v>994</v>
      </c>
      <c r="Y247" s="11" t="s">
        <v>994</v>
      </c>
      <c r="Z247" s="11" t="s">
        <v>994</v>
      </c>
      <c r="AA247" s="11" t="s">
        <v>994</v>
      </c>
      <c r="AB247" s="11" t="s">
        <v>994</v>
      </c>
      <c r="AC247" s="11" t="s">
        <v>994</v>
      </c>
      <c r="AD247" s="11" t="s">
        <v>994</v>
      </c>
    </row>
    <row r="248">
      <c r="B248" s="12" t="s">
        <v>994</v>
      </c>
      <c r="C248" s="11" t="s">
        <v>994</v>
      </c>
      <c r="D248" s="11" t="s">
        <v>994</v>
      </c>
      <c r="E248" s="12" t="s">
        <v>994</v>
      </c>
      <c r="F248" s="12" t="s">
        <v>994</v>
      </c>
      <c r="G248" s="12" t="s">
        <v>994</v>
      </c>
      <c r="H248" s="12" t="s">
        <v>994</v>
      </c>
      <c r="I248" s="12" t="s">
        <v>994</v>
      </c>
      <c r="J248" s="12" t="s">
        <v>994</v>
      </c>
      <c r="K248" s="12" t="s">
        <v>994</v>
      </c>
      <c r="L248" s="13" t="s">
        <v>994</v>
      </c>
      <c r="M248" s="11" t="s">
        <v>994</v>
      </c>
      <c r="N248" s="11" t="s">
        <v>994</v>
      </c>
      <c r="O248" s="11" t="s">
        <v>994</v>
      </c>
      <c r="P248" s="11" t="s">
        <v>994</v>
      </c>
      <c r="Q248" s="11" t="s">
        <v>994</v>
      </c>
      <c r="R248" s="11" t="s">
        <v>994</v>
      </c>
      <c r="S248" s="11" t="s">
        <v>994</v>
      </c>
      <c r="T248" s="11" t="s">
        <v>994</v>
      </c>
      <c r="U248" s="11" t="s">
        <v>994</v>
      </c>
      <c r="V248" s="11" t="s">
        <v>994</v>
      </c>
      <c r="W248" s="11" t="s">
        <v>994</v>
      </c>
      <c r="X248" s="11" t="s">
        <v>994</v>
      </c>
      <c r="Y248" s="11" t="s">
        <v>994</v>
      </c>
      <c r="Z248" s="11" t="s">
        <v>994</v>
      </c>
      <c r="AA248" s="11" t="s">
        <v>994</v>
      </c>
      <c r="AB248" s="11" t="s">
        <v>994</v>
      </c>
      <c r="AC248" s="11" t="s">
        <v>994</v>
      </c>
      <c r="AD248" s="11" t="s">
        <v>994</v>
      </c>
    </row>
    <row r="249">
      <c r="B249" s="12" t="s">
        <v>994</v>
      </c>
      <c r="C249" s="11" t="s">
        <v>994</v>
      </c>
      <c r="D249" s="11" t="s">
        <v>994</v>
      </c>
      <c r="E249" s="12" t="s">
        <v>994</v>
      </c>
      <c r="F249" s="12" t="s">
        <v>994</v>
      </c>
      <c r="G249" s="12" t="s">
        <v>994</v>
      </c>
      <c r="H249" s="12" t="s">
        <v>994</v>
      </c>
      <c r="I249" s="12" t="s">
        <v>994</v>
      </c>
      <c r="J249" s="12" t="s">
        <v>994</v>
      </c>
      <c r="K249" s="12" t="s">
        <v>994</v>
      </c>
      <c r="L249" s="13" t="s">
        <v>994</v>
      </c>
      <c r="M249" s="11" t="s">
        <v>994</v>
      </c>
      <c r="N249" s="11" t="s">
        <v>994</v>
      </c>
      <c r="O249" s="11" t="s">
        <v>994</v>
      </c>
      <c r="P249" s="11" t="s">
        <v>994</v>
      </c>
      <c r="Q249" s="11" t="s">
        <v>994</v>
      </c>
      <c r="R249" s="11" t="s">
        <v>994</v>
      </c>
      <c r="S249" s="11" t="s">
        <v>994</v>
      </c>
      <c r="T249" s="11" t="s">
        <v>994</v>
      </c>
      <c r="U249" s="11" t="s">
        <v>994</v>
      </c>
      <c r="V249" s="11" t="s">
        <v>994</v>
      </c>
      <c r="W249" s="11" t="s">
        <v>994</v>
      </c>
      <c r="X249" s="11" t="s">
        <v>994</v>
      </c>
      <c r="Y249" s="11" t="s">
        <v>994</v>
      </c>
      <c r="Z249" s="11" t="s">
        <v>994</v>
      </c>
      <c r="AA249" s="11" t="s">
        <v>994</v>
      </c>
      <c r="AB249" s="11" t="s">
        <v>994</v>
      </c>
      <c r="AC249" s="11" t="s">
        <v>994</v>
      </c>
      <c r="AD249" s="11" t="s">
        <v>994</v>
      </c>
    </row>
    <row r="250">
      <c r="B250" s="12" t="s">
        <v>994</v>
      </c>
      <c r="C250" s="11" t="s">
        <v>994</v>
      </c>
      <c r="D250" s="11" t="s">
        <v>994</v>
      </c>
      <c r="E250" s="12" t="s">
        <v>994</v>
      </c>
      <c r="F250" s="12" t="s">
        <v>994</v>
      </c>
      <c r="G250" s="12" t="s">
        <v>994</v>
      </c>
      <c r="H250" s="12" t="s">
        <v>994</v>
      </c>
      <c r="I250" s="12" t="s">
        <v>994</v>
      </c>
      <c r="J250" s="12" t="s">
        <v>994</v>
      </c>
      <c r="K250" s="12" t="s">
        <v>994</v>
      </c>
      <c r="L250" s="13" t="s">
        <v>994</v>
      </c>
      <c r="M250" s="11" t="s">
        <v>994</v>
      </c>
      <c r="N250" s="11" t="s">
        <v>994</v>
      </c>
      <c r="O250" s="11" t="s">
        <v>994</v>
      </c>
      <c r="P250" s="11" t="s">
        <v>994</v>
      </c>
      <c r="Q250" s="11" t="s">
        <v>994</v>
      </c>
      <c r="R250" s="11" t="s">
        <v>994</v>
      </c>
      <c r="S250" s="11" t="s">
        <v>994</v>
      </c>
      <c r="T250" s="11" t="s">
        <v>994</v>
      </c>
      <c r="U250" s="11" t="s">
        <v>994</v>
      </c>
      <c r="V250" s="11" t="s">
        <v>994</v>
      </c>
      <c r="W250" s="11" t="s">
        <v>994</v>
      </c>
      <c r="X250" s="11" t="s">
        <v>994</v>
      </c>
      <c r="Y250" s="11" t="s">
        <v>994</v>
      </c>
      <c r="Z250" s="11" t="s">
        <v>994</v>
      </c>
      <c r="AA250" s="11" t="s">
        <v>994</v>
      </c>
      <c r="AB250" s="11" t="s">
        <v>994</v>
      </c>
      <c r="AC250" s="11" t="s">
        <v>994</v>
      </c>
      <c r="AD250" s="11" t="s">
        <v>994</v>
      </c>
    </row>
    <row r="251">
      <c r="B251" s="12" t="s">
        <v>994</v>
      </c>
      <c r="C251" s="11" t="s">
        <v>994</v>
      </c>
      <c r="D251" s="11" t="s">
        <v>994</v>
      </c>
      <c r="E251" s="12" t="s">
        <v>994</v>
      </c>
      <c r="F251" s="12" t="s">
        <v>994</v>
      </c>
      <c r="G251" s="12" t="s">
        <v>994</v>
      </c>
      <c r="H251" s="12" t="s">
        <v>994</v>
      </c>
      <c r="I251" s="12" t="s">
        <v>994</v>
      </c>
      <c r="J251" s="12" t="s">
        <v>994</v>
      </c>
      <c r="K251" s="12" t="s">
        <v>994</v>
      </c>
      <c r="L251" s="13" t="s">
        <v>994</v>
      </c>
      <c r="M251" s="11" t="s">
        <v>994</v>
      </c>
      <c r="N251" s="11" t="s">
        <v>994</v>
      </c>
      <c r="O251" s="11" t="s">
        <v>994</v>
      </c>
      <c r="P251" s="11" t="s">
        <v>994</v>
      </c>
      <c r="Q251" s="11" t="s">
        <v>994</v>
      </c>
      <c r="R251" s="11" t="s">
        <v>994</v>
      </c>
      <c r="S251" s="11" t="s">
        <v>994</v>
      </c>
      <c r="T251" s="11" t="s">
        <v>994</v>
      </c>
      <c r="U251" s="11" t="s">
        <v>994</v>
      </c>
      <c r="V251" s="11" t="s">
        <v>994</v>
      </c>
      <c r="W251" s="11" t="s">
        <v>994</v>
      </c>
      <c r="X251" s="11" t="s">
        <v>994</v>
      </c>
      <c r="Y251" s="11" t="s">
        <v>994</v>
      </c>
      <c r="Z251" s="11" t="s">
        <v>994</v>
      </c>
      <c r="AA251" s="11" t="s">
        <v>994</v>
      </c>
      <c r="AB251" s="11" t="s">
        <v>994</v>
      </c>
      <c r="AC251" s="11" t="s">
        <v>994</v>
      </c>
      <c r="AD251" s="11" t="s">
        <v>994</v>
      </c>
    </row>
    <row r="252">
      <c r="B252" s="12" t="s">
        <v>994</v>
      </c>
      <c r="C252" s="11" t="s">
        <v>994</v>
      </c>
      <c r="D252" s="11" t="s">
        <v>994</v>
      </c>
      <c r="E252" s="12" t="s">
        <v>994</v>
      </c>
      <c r="F252" s="12" t="s">
        <v>994</v>
      </c>
      <c r="G252" s="12" t="s">
        <v>994</v>
      </c>
      <c r="H252" s="12" t="s">
        <v>994</v>
      </c>
      <c r="I252" s="12" t="s">
        <v>994</v>
      </c>
      <c r="J252" s="12" t="s">
        <v>994</v>
      </c>
      <c r="K252" s="12" t="s">
        <v>994</v>
      </c>
      <c r="L252" s="13" t="s">
        <v>994</v>
      </c>
      <c r="M252" s="11" t="s">
        <v>994</v>
      </c>
      <c r="N252" s="11" t="s">
        <v>994</v>
      </c>
      <c r="O252" s="11" t="s">
        <v>994</v>
      </c>
      <c r="P252" s="11" t="s">
        <v>994</v>
      </c>
      <c r="Q252" s="11" t="s">
        <v>994</v>
      </c>
      <c r="R252" s="11" t="s">
        <v>994</v>
      </c>
      <c r="S252" s="11" t="s">
        <v>994</v>
      </c>
      <c r="T252" s="11" t="s">
        <v>994</v>
      </c>
      <c r="U252" s="11" t="s">
        <v>994</v>
      </c>
      <c r="V252" s="11" t="s">
        <v>994</v>
      </c>
      <c r="W252" s="11" t="s">
        <v>994</v>
      </c>
      <c r="X252" s="11" t="s">
        <v>994</v>
      </c>
      <c r="Y252" s="11" t="s">
        <v>994</v>
      </c>
      <c r="Z252" s="11" t="s">
        <v>994</v>
      </c>
      <c r="AA252" s="11" t="s">
        <v>994</v>
      </c>
      <c r="AB252" s="11" t="s">
        <v>994</v>
      </c>
      <c r="AC252" s="11" t="s">
        <v>994</v>
      </c>
      <c r="AD252" s="11" t="s">
        <v>994</v>
      </c>
    </row>
    <row r="253">
      <c r="B253" s="12" t="s">
        <v>994</v>
      </c>
      <c r="C253" s="11" t="s">
        <v>994</v>
      </c>
      <c r="D253" s="11" t="s">
        <v>994</v>
      </c>
      <c r="E253" s="12" t="s">
        <v>994</v>
      </c>
      <c r="F253" s="12" t="s">
        <v>994</v>
      </c>
      <c r="G253" s="12" t="s">
        <v>994</v>
      </c>
      <c r="H253" s="12" t="s">
        <v>994</v>
      </c>
      <c r="I253" s="12" t="s">
        <v>994</v>
      </c>
      <c r="J253" s="12" t="s">
        <v>994</v>
      </c>
      <c r="K253" s="12" t="s">
        <v>994</v>
      </c>
      <c r="L253" s="13" t="s">
        <v>994</v>
      </c>
      <c r="M253" s="11" t="s">
        <v>994</v>
      </c>
      <c r="N253" s="11" t="s">
        <v>994</v>
      </c>
      <c r="O253" s="11" t="s">
        <v>994</v>
      </c>
      <c r="P253" s="11" t="s">
        <v>994</v>
      </c>
      <c r="Q253" s="11" t="s">
        <v>994</v>
      </c>
      <c r="R253" s="11" t="s">
        <v>994</v>
      </c>
      <c r="S253" s="11" t="s">
        <v>994</v>
      </c>
      <c r="T253" s="11" t="s">
        <v>994</v>
      </c>
      <c r="U253" s="11" t="s">
        <v>994</v>
      </c>
      <c r="V253" s="11" t="s">
        <v>994</v>
      </c>
      <c r="W253" s="11" t="s">
        <v>994</v>
      </c>
      <c r="X253" s="11" t="s">
        <v>994</v>
      </c>
      <c r="Y253" s="11" t="s">
        <v>994</v>
      </c>
      <c r="Z253" s="11" t="s">
        <v>994</v>
      </c>
      <c r="AA253" s="11" t="s">
        <v>994</v>
      </c>
      <c r="AB253" s="11" t="s">
        <v>994</v>
      </c>
      <c r="AC253" s="11" t="s">
        <v>994</v>
      </c>
      <c r="AD253" s="11" t="s">
        <v>994</v>
      </c>
    </row>
    <row r="254">
      <c r="B254" s="12" t="s">
        <v>994</v>
      </c>
      <c r="C254" s="11" t="s">
        <v>994</v>
      </c>
      <c r="D254" s="11" t="s">
        <v>994</v>
      </c>
      <c r="E254" s="12" t="s">
        <v>994</v>
      </c>
      <c r="F254" s="12" t="s">
        <v>994</v>
      </c>
      <c r="G254" s="12" t="s">
        <v>994</v>
      </c>
      <c r="H254" s="12" t="s">
        <v>994</v>
      </c>
      <c r="I254" s="12" t="s">
        <v>994</v>
      </c>
      <c r="J254" s="12" t="s">
        <v>994</v>
      </c>
      <c r="K254" s="12" t="s">
        <v>994</v>
      </c>
      <c r="L254" s="13" t="s">
        <v>994</v>
      </c>
      <c r="M254" s="11" t="s">
        <v>994</v>
      </c>
      <c r="N254" s="11" t="s">
        <v>994</v>
      </c>
      <c r="O254" s="11" t="s">
        <v>994</v>
      </c>
      <c r="P254" s="11" t="s">
        <v>994</v>
      </c>
      <c r="Q254" s="11" t="s">
        <v>994</v>
      </c>
      <c r="R254" s="11" t="s">
        <v>994</v>
      </c>
      <c r="S254" s="11" t="s">
        <v>994</v>
      </c>
      <c r="T254" s="11" t="s">
        <v>994</v>
      </c>
      <c r="U254" s="11" t="s">
        <v>994</v>
      </c>
      <c r="V254" s="11" t="s">
        <v>994</v>
      </c>
      <c r="W254" s="11" t="s">
        <v>994</v>
      </c>
      <c r="X254" s="11" t="s">
        <v>994</v>
      </c>
      <c r="Y254" s="11" t="s">
        <v>994</v>
      </c>
      <c r="Z254" s="11" t="s">
        <v>994</v>
      </c>
      <c r="AA254" s="11" t="s">
        <v>994</v>
      </c>
      <c r="AB254" s="11" t="s">
        <v>994</v>
      </c>
      <c r="AC254" s="11" t="s">
        <v>994</v>
      </c>
      <c r="AD254" s="11" t="s">
        <v>994</v>
      </c>
    </row>
    <row r="255">
      <c r="B255" s="12" t="s">
        <v>994</v>
      </c>
      <c r="C255" s="11" t="s">
        <v>994</v>
      </c>
      <c r="D255" s="11" t="s">
        <v>994</v>
      </c>
      <c r="E255" s="12" t="s">
        <v>994</v>
      </c>
      <c r="F255" s="12" t="s">
        <v>994</v>
      </c>
      <c r="G255" s="12" t="s">
        <v>994</v>
      </c>
      <c r="H255" s="12" t="s">
        <v>994</v>
      </c>
      <c r="I255" s="12" t="s">
        <v>994</v>
      </c>
      <c r="J255" s="12" t="s">
        <v>994</v>
      </c>
      <c r="K255" s="12" t="s">
        <v>994</v>
      </c>
      <c r="L255" s="13" t="s">
        <v>994</v>
      </c>
      <c r="M255" s="11" t="s">
        <v>994</v>
      </c>
      <c r="N255" s="11" t="s">
        <v>994</v>
      </c>
      <c r="O255" s="11" t="s">
        <v>994</v>
      </c>
      <c r="P255" s="11" t="s">
        <v>994</v>
      </c>
      <c r="Q255" s="11" t="s">
        <v>994</v>
      </c>
      <c r="R255" s="11" t="s">
        <v>994</v>
      </c>
      <c r="S255" s="11" t="s">
        <v>994</v>
      </c>
      <c r="T255" s="11" t="s">
        <v>994</v>
      </c>
      <c r="U255" s="11" t="s">
        <v>994</v>
      </c>
      <c r="V255" s="11" t="s">
        <v>994</v>
      </c>
      <c r="W255" s="11" t="s">
        <v>994</v>
      </c>
      <c r="X255" s="11" t="s">
        <v>994</v>
      </c>
      <c r="Y255" s="11" t="s">
        <v>994</v>
      </c>
      <c r="Z255" s="11" t="s">
        <v>994</v>
      </c>
      <c r="AA255" s="11" t="s">
        <v>994</v>
      </c>
      <c r="AB255" s="11" t="s">
        <v>994</v>
      </c>
      <c r="AC255" s="11" t="s">
        <v>994</v>
      </c>
      <c r="AD255" s="11" t="s">
        <v>994</v>
      </c>
    </row>
    <row r="256">
      <c r="B256" s="12" t="s">
        <v>994</v>
      </c>
      <c r="C256" s="11" t="s">
        <v>994</v>
      </c>
      <c r="D256" s="11" t="s">
        <v>994</v>
      </c>
      <c r="E256" s="12" t="s">
        <v>994</v>
      </c>
      <c r="F256" s="12" t="s">
        <v>994</v>
      </c>
      <c r="G256" s="12" t="s">
        <v>994</v>
      </c>
      <c r="H256" s="12" t="s">
        <v>994</v>
      </c>
      <c r="I256" s="12" t="s">
        <v>994</v>
      </c>
      <c r="J256" s="12" t="s">
        <v>994</v>
      </c>
      <c r="K256" s="12" t="s">
        <v>994</v>
      </c>
      <c r="L256" s="13" t="s">
        <v>994</v>
      </c>
      <c r="M256" s="11" t="s">
        <v>994</v>
      </c>
      <c r="N256" s="11" t="s">
        <v>994</v>
      </c>
      <c r="O256" s="11" t="s">
        <v>994</v>
      </c>
      <c r="P256" s="11" t="s">
        <v>994</v>
      </c>
      <c r="Q256" s="11" t="s">
        <v>994</v>
      </c>
      <c r="R256" s="11" t="s">
        <v>994</v>
      </c>
      <c r="S256" s="11" t="s">
        <v>994</v>
      </c>
      <c r="T256" s="11" t="s">
        <v>994</v>
      </c>
      <c r="U256" s="11" t="s">
        <v>994</v>
      </c>
      <c r="V256" s="11" t="s">
        <v>994</v>
      </c>
      <c r="W256" s="11" t="s">
        <v>994</v>
      </c>
      <c r="X256" s="11" t="s">
        <v>994</v>
      </c>
      <c r="Y256" s="11" t="s">
        <v>994</v>
      </c>
      <c r="Z256" s="11" t="s">
        <v>994</v>
      </c>
      <c r="AA256" s="11" t="s">
        <v>994</v>
      </c>
      <c r="AB256" s="11" t="s">
        <v>994</v>
      </c>
      <c r="AC256" s="11" t="s">
        <v>994</v>
      </c>
      <c r="AD256" s="11" t="s">
        <v>994</v>
      </c>
    </row>
    <row r="257">
      <c r="B257" s="12" t="s">
        <v>994</v>
      </c>
      <c r="C257" s="11" t="s">
        <v>994</v>
      </c>
      <c r="D257" s="11" t="s">
        <v>994</v>
      </c>
      <c r="E257" s="12" t="s">
        <v>994</v>
      </c>
      <c r="F257" s="12" t="s">
        <v>994</v>
      </c>
      <c r="G257" s="12" t="s">
        <v>994</v>
      </c>
      <c r="H257" s="12" t="s">
        <v>994</v>
      </c>
      <c r="I257" s="12" t="s">
        <v>994</v>
      </c>
      <c r="J257" s="12" t="s">
        <v>994</v>
      </c>
      <c r="K257" s="12" t="s">
        <v>994</v>
      </c>
      <c r="L257" s="13" t="s">
        <v>994</v>
      </c>
      <c r="M257" s="11" t="s">
        <v>994</v>
      </c>
      <c r="N257" s="11" t="s">
        <v>994</v>
      </c>
      <c r="O257" s="11" t="s">
        <v>994</v>
      </c>
      <c r="P257" s="11" t="s">
        <v>994</v>
      </c>
      <c r="Q257" s="11" t="s">
        <v>994</v>
      </c>
      <c r="R257" s="11" t="s">
        <v>994</v>
      </c>
      <c r="S257" s="11" t="s">
        <v>994</v>
      </c>
      <c r="T257" s="11" t="s">
        <v>994</v>
      </c>
      <c r="U257" s="11" t="s">
        <v>994</v>
      </c>
      <c r="V257" s="11" t="s">
        <v>994</v>
      </c>
      <c r="W257" s="11" t="s">
        <v>994</v>
      </c>
      <c r="X257" s="11" t="s">
        <v>994</v>
      </c>
      <c r="Y257" s="11" t="s">
        <v>994</v>
      </c>
      <c r="Z257" s="11" t="s">
        <v>994</v>
      </c>
      <c r="AA257" s="11" t="s">
        <v>994</v>
      </c>
      <c r="AB257" s="11" t="s">
        <v>994</v>
      </c>
      <c r="AC257" s="11" t="s">
        <v>994</v>
      </c>
      <c r="AD257" s="11" t="s">
        <v>994</v>
      </c>
    </row>
    <row r="258">
      <c r="B258" s="12" t="s">
        <v>994</v>
      </c>
      <c r="C258" s="11" t="s">
        <v>994</v>
      </c>
      <c r="D258" s="11" t="s">
        <v>994</v>
      </c>
      <c r="E258" s="12" t="s">
        <v>994</v>
      </c>
      <c r="F258" s="12" t="s">
        <v>994</v>
      </c>
      <c r="G258" s="12" t="s">
        <v>994</v>
      </c>
      <c r="H258" s="12" t="s">
        <v>994</v>
      </c>
      <c r="I258" s="12" t="s">
        <v>994</v>
      </c>
      <c r="J258" s="12" t="s">
        <v>994</v>
      </c>
      <c r="K258" s="12" t="s">
        <v>994</v>
      </c>
      <c r="L258" s="13" t="s">
        <v>994</v>
      </c>
      <c r="M258" s="11" t="s">
        <v>994</v>
      </c>
      <c r="N258" s="11" t="s">
        <v>994</v>
      </c>
      <c r="O258" s="11" t="s">
        <v>994</v>
      </c>
      <c r="P258" s="11" t="s">
        <v>994</v>
      </c>
      <c r="Q258" s="11" t="s">
        <v>994</v>
      </c>
      <c r="R258" s="11" t="s">
        <v>994</v>
      </c>
      <c r="S258" s="11" t="s">
        <v>994</v>
      </c>
      <c r="T258" s="11" t="s">
        <v>994</v>
      </c>
      <c r="U258" s="11" t="s">
        <v>994</v>
      </c>
      <c r="V258" s="11" t="s">
        <v>994</v>
      </c>
      <c r="W258" s="11" t="s">
        <v>994</v>
      </c>
      <c r="X258" s="11" t="s">
        <v>994</v>
      </c>
      <c r="Y258" s="11" t="s">
        <v>994</v>
      </c>
      <c r="Z258" s="11" t="s">
        <v>994</v>
      </c>
      <c r="AA258" s="11" t="s">
        <v>994</v>
      </c>
      <c r="AB258" s="11" t="s">
        <v>994</v>
      </c>
      <c r="AC258" s="11" t="s">
        <v>994</v>
      </c>
      <c r="AD258" s="11" t="s">
        <v>994</v>
      </c>
    </row>
    <row r="259">
      <c r="B259" s="12" t="s">
        <v>994</v>
      </c>
      <c r="C259" s="11" t="s">
        <v>994</v>
      </c>
      <c r="D259" s="11" t="s">
        <v>994</v>
      </c>
      <c r="E259" s="12" t="s">
        <v>994</v>
      </c>
      <c r="F259" s="12" t="s">
        <v>994</v>
      </c>
      <c r="G259" s="12" t="s">
        <v>994</v>
      </c>
      <c r="H259" s="12" t="s">
        <v>994</v>
      </c>
      <c r="I259" s="12" t="s">
        <v>994</v>
      </c>
      <c r="J259" s="12" t="s">
        <v>994</v>
      </c>
      <c r="K259" s="12" t="s">
        <v>994</v>
      </c>
      <c r="L259" s="13" t="s">
        <v>994</v>
      </c>
      <c r="M259" s="11" t="s">
        <v>994</v>
      </c>
      <c r="N259" s="11" t="s">
        <v>994</v>
      </c>
      <c r="O259" s="11" t="s">
        <v>994</v>
      </c>
      <c r="P259" s="11" t="s">
        <v>994</v>
      </c>
      <c r="Q259" s="11" t="s">
        <v>994</v>
      </c>
      <c r="R259" s="11" t="s">
        <v>994</v>
      </c>
      <c r="S259" s="11" t="s">
        <v>994</v>
      </c>
      <c r="T259" s="11" t="s">
        <v>994</v>
      </c>
      <c r="U259" s="11" t="s">
        <v>994</v>
      </c>
      <c r="V259" s="11" t="s">
        <v>994</v>
      </c>
      <c r="W259" s="11" t="s">
        <v>994</v>
      </c>
      <c r="X259" s="11" t="s">
        <v>994</v>
      </c>
      <c r="Y259" s="11" t="s">
        <v>994</v>
      </c>
      <c r="Z259" s="11" t="s">
        <v>994</v>
      </c>
      <c r="AA259" s="11" t="s">
        <v>994</v>
      </c>
      <c r="AB259" s="11" t="s">
        <v>994</v>
      </c>
      <c r="AC259" s="11" t="s">
        <v>994</v>
      </c>
      <c r="AD259" s="11" t="s">
        <v>994</v>
      </c>
    </row>
    <row r="260">
      <c r="B260" s="12" t="s">
        <v>994</v>
      </c>
      <c r="C260" s="11" t="s">
        <v>994</v>
      </c>
      <c r="D260" s="11" t="s">
        <v>994</v>
      </c>
      <c r="E260" s="12" t="s">
        <v>994</v>
      </c>
      <c r="F260" s="12" t="s">
        <v>994</v>
      </c>
      <c r="G260" s="12" t="s">
        <v>994</v>
      </c>
      <c r="H260" s="12" t="s">
        <v>994</v>
      </c>
      <c r="I260" s="12" t="s">
        <v>994</v>
      </c>
      <c r="J260" s="12" t="s">
        <v>994</v>
      </c>
      <c r="K260" s="12" t="s">
        <v>994</v>
      </c>
      <c r="L260" s="13" t="s">
        <v>994</v>
      </c>
      <c r="M260" s="11" t="s">
        <v>994</v>
      </c>
      <c r="N260" s="11" t="s">
        <v>994</v>
      </c>
      <c r="O260" s="11" t="s">
        <v>994</v>
      </c>
      <c r="P260" s="11" t="s">
        <v>994</v>
      </c>
      <c r="Q260" s="11" t="s">
        <v>994</v>
      </c>
      <c r="R260" s="11" t="s">
        <v>994</v>
      </c>
      <c r="S260" s="11" t="s">
        <v>994</v>
      </c>
      <c r="T260" s="11" t="s">
        <v>994</v>
      </c>
      <c r="U260" s="11" t="s">
        <v>994</v>
      </c>
      <c r="V260" s="11" t="s">
        <v>994</v>
      </c>
      <c r="W260" s="11" t="s">
        <v>994</v>
      </c>
      <c r="X260" s="11" t="s">
        <v>994</v>
      </c>
      <c r="Y260" s="11" t="s">
        <v>994</v>
      </c>
      <c r="Z260" s="11" t="s">
        <v>994</v>
      </c>
      <c r="AA260" s="11" t="s">
        <v>994</v>
      </c>
      <c r="AB260" s="11" t="s">
        <v>994</v>
      </c>
      <c r="AC260" s="11" t="s">
        <v>994</v>
      </c>
      <c r="AD260" s="11" t="s">
        <v>994</v>
      </c>
    </row>
    <row r="261">
      <c r="B261" s="12" t="s">
        <v>994</v>
      </c>
      <c r="C261" s="11" t="s">
        <v>994</v>
      </c>
      <c r="D261" s="11" t="s">
        <v>994</v>
      </c>
      <c r="E261" s="12" t="s">
        <v>994</v>
      </c>
      <c r="F261" s="12" t="s">
        <v>994</v>
      </c>
      <c r="G261" s="12" t="s">
        <v>994</v>
      </c>
      <c r="H261" s="12" t="s">
        <v>994</v>
      </c>
      <c r="I261" s="12" t="s">
        <v>994</v>
      </c>
      <c r="J261" s="12" t="s">
        <v>994</v>
      </c>
      <c r="K261" s="12" t="s">
        <v>994</v>
      </c>
      <c r="L261" s="13" t="s">
        <v>994</v>
      </c>
      <c r="M261" s="11" t="s">
        <v>994</v>
      </c>
      <c r="N261" s="11" t="s">
        <v>994</v>
      </c>
      <c r="O261" s="11" t="s">
        <v>994</v>
      </c>
      <c r="P261" s="11" t="s">
        <v>994</v>
      </c>
      <c r="Q261" s="11" t="s">
        <v>994</v>
      </c>
      <c r="R261" s="11" t="s">
        <v>994</v>
      </c>
      <c r="S261" s="11" t="s">
        <v>994</v>
      </c>
      <c r="T261" s="11" t="s">
        <v>994</v>
      </c>
      <c r="U261" s="11" t="s">
        <v>994</v>
      </c>
      <c r="V261" s="11" t="s">
        <v>994</v>
      </c>
      <c r="W261" s="11" t="s">
        <v>994</v>
      </c>
      <c r="X261" s="11" t="s">
        <v>994</v>
      </c>
      <c r="Y261" s="11" t="s">
        <v>994</v>
      </c>
      <c r="Z261" s="11" t="s">
        <v>994</v>
      </c>
      <c r="AA261" s="11" t="s">
        <v>994</v>
      </c>
      <c r="AB261" s="11" t="s">
        <v>994</v>
      </c>
      <c r="AC261" s="11" t="s">
        <v>994</v>
      </c>
      <c r="AD261" s="11" t="s">
        <v>994</v>
      </c>
    </row>
    <row r="262">
      <c r="B262" s="12" t="s">
        <v>994</v>
      </c>
      <c r="C262" s="11" t="s">
        <v>994</v>
      </c>
      <c r="D262" s="11" t="s">
        <v>994</v>
      </c>
      <c r="E262" s="12" t="s">
        <v>994</v>
      </c>
      <c r="F262" s="12" t="s">
        <v>994</v>
      </c>
      <c r="G262" s="12" t="s">
        <v>994</v>
      </c>
      <c r="H262" s="12" t="s">
        <v>994</v>
      </c>
      <c r="I262" s="12" t="s">
        <v>994</v>
      </c>
      <c r="J262" s="12" t="s">
        <v>994</v>
      </c>
      <c r="K262" s="12" t="s">
        <v>994</v>
      </c>
      <c r="L262" s="13" t="s">
        <v>994</v>
      </c>
      <c r="M262" s="11" t="s">
        <v>994</v>
      </c>
      <c r="N262" s="11" t="s">
        <v>994</v>
      </c>
      <c r="O262" s="11" t="s">
        <v>994</v>
      </c>
      <c r="P262" s="11" t="s">
        <v>994</v>
      </c>
      <c r="Q262" s="11" t="s">
        <v>994</v>
      </c>
      <c r="R262" s="11" t="s">
        <v>994</v>
      </c>
      <c r="S262" s="11" t="s">
        <v>994</v>
      </c>
      <c r="T262" s="11" t="s">
        <v>994</v>
      </c>
      <c r="U262" s="11" t="s">
        <v>994</v>
      </c>
      <c r="V262" s="11" t="s">
        <v>994</v>
      </c>
      <c r="W262" s="11" t="s">
        <v>994</v>
      </c>
      <c r="X262" s="11" t="s">
        <v>994</v>
      </c>
      <c r="Y262" s="11" t="s">
        <v>994</v>
      </c>
      <c r="Z262" s="11" t="s">
        <v>994</v>
      </c>
      <c r="AA262" s="11" t="s">
        <v>994</v>
      </c>
      <c r="AB262" s="11" t="s">
        <v>994</v>
      </c>
      <c r="AC262" s="11" t="s">
        <v>994</v>
      </c>
      <c r="AD262" s="11" t="s">
        <v>994</v>
      </c>
    </row>
    <row r="263">
      <c r="B263" s="12" t="s">
        <v>994</v>
      </c>
      <c r="C263" s="11" t="s">
        <v>994</v>
      </c>
      <c r="D263" s="11" t="s">
        <v>994</v>
      </c>
      <c r="E263" s="12" t="s">
        <v>994</v>
      </c>
      <c r="F263" s="12" t="s">
        <v>994</v>
      </c>
      <c r="G263" s="12" t="s">
        <v>994</v>
      </c>
      <c r="H263" s="12" t="s">
        <v>994</v>
      </c>
      <c r="I263" s="12" t="s">
        <v>994</v>
      </c>
      <c r="J263" s="12" t="s">
        <v>994</v>
      </c>
      <c r="K263" s="12" t="s">
        <v>994</v>
      </c>
      <c r="L263" s="13" t="s">
        <v>994</v>
      </c>
      <c r="M263" s="11" t="s">
        <v>994</v>
      </c>
      <c r="N263" s="11" t="s">
        <v>994</v>
      </c>
      <c r="O263" s="11" t="s">
        <v>994</v>
      </c>
      <c r="P263" s="11" t="s">
        <v>994</v>
      </c>
      <c r="Q263" s="11" t="s">
        <v>994</v>
      </c>
      <c r="R263" s="11" t="s">
        <v>994</v>
      </c>
      <c r="S263" s="11" t="s">
        <v>994</v>
      </c>
      <c r="T263" s="11" t="s">
        <v>994</v>
      </c>
      <c r="U263" s="11" t="s">
        <v>994</v>
      </c>
      <c r="V263" s="11" t="s">
        <v>994</v>
      </c>
      <c r="W263" s="11" t="s">
        <v>994</v>
      </c>
      <c r="X263" s="11" t="s">
        <v>994</v>
      </c>
      <c r="Y263" s="11" t="s">
        <v>994</v>
      </c>
      <c r="Z263" s="11" t="s">
        <v>994</v>
      </c>
      <c r="AA263" s="11" t="s">
        <v>994</v>
      </c>
      <c r="AB263" s="11" t="s">
        <v>994</v>
      </c>
      <c r="AC263" s="11" t="s">
        <v>994</v>
      </c>
      <c r="AD263" s="11" t="s">
        <v>994</v>
      </c>
    </row>
    <row r="264">
      <c r="B264" s="12" t="s">
        <v>994</v>
      </c>
      <c r="C264" s="11" t="s">
        <v>994</v>
      </c>
      <c r="D264" s="11" t="s">
        <v>994</v>
      </c>
      <c r="E264" s="12" t="s">
        <v>994</v>
      </c>
      <c r="F264" s="12" t="s">
        <v>994</v>
      </c>
      <c r="G264" s="12" t="s">
        <v>994</v>
      </c>
      <c r="H264" s="12" t="s">
        <v>994</v>
      </c>
      <c r="I264" s="12" t="s">
        <v>994</v>
      </c>
      <c r="J264" s="12" t="s">
        <v>994</v>
      </c>
      <c r="K264" s="12" t="s">
        <v>994</v>
      </c>
      <c r="L264" s="13" t="s">
        <v>994</v>
      </c>
      <c r="M264" s="11" t="s">
        <v>994</v>
      </c>
      <c r="N264" s="11" t="s">
        <v>994</v>
      </c>
      <c r="O264" s="11" t="s">
        <v>994</v>
      </c>
      <c r="P264" s="11" t="s">
        <v>994</v>
      </c>
      <c r="Q264" s="11" t="s">
        <v>994</v>
      </c>
      <c r="R264" s="11" t="s">
        <v>994</v>
      </c>
      <c r="S264" s="11" t="s">
        <v>994</v>
      </c>
      <c r="T264" s="11" t="s">
        <v>994</v>
      </c>
      <c r="U264" s="11" t="s">
        <v>994</v>
      </c>
      <c r="V264" s="11" t="s">
        <v>994</v>
      </c>
      <c r="W264" s="11" t="s">
        <v>994</v>
      </c>
      <c r="X264" s="11" t="s">
        <v>994</v>
      </c>
      <c r="Y264" s="11" t="s">
        <v>994</v>
      </c>
      <c r="Z264" s="11" t="s">
        <v>994</v>
      </c>
      <c r="AA264" s="11" t="s">
        <v>994</v>
      </c>
      <c r="AB264" s="11" t="s">
        <v>994</v>
      </c>
      <c r="AC264" s="11" t="s">
        <v>994</v>
      </c>
      <c r="AD264" s="11" t="s">
        <v>994</v>
      </c>
    </row>
    <row r="265">
      <c r="B265" s="12" t="s">
        <v>994</v>
      </c>
      <c r="C265" s="11" t="s">
        <v>994</v>
      </c>
      <c r="D265" s="11" t="s">
        <v>994</v>
      </c>
      <c r="E265" s="12" t="s">
        <v>994</v>
      </c>
      <c r="F265" s="12" t="s">
        <v>994</v>
      </c>
      <c r="G265" s="12" t="s">
        <v>994</v>
      </c>
      <c r="H265" s="12" t="s">
        <v>994</v>
      </c>
      <c r="I265" s="12" t="s">
        <v>994</v>
      </c>
      <c r="J265" s="12" t="s">
        <v>994</v>
      </c>
      <c r="K265" s="12" t="s">
        <v>994</v>
      </c>
      <c r="L265" s="13" t="s">
        <v>994</v>
      </c>
      <c r="M265" s="11" t="s">
        <v>994</v>
      </c>
      <c r="N265" s="11" t="s">
        <v>994</v>
      </c>
      <c r="O265" s="11" t="s">
        <v>994</v>
      </c>
      <c r="P265" s="11" t="s">
        <v>994</v>
      </c>
      <c r="Q265" s="11" t="s">
        <v>994</v>
      </c>
      <c r="R265" s="11" t="s">
        <v>994</v>
      </c>
      <c r="S265" s="11" t="s">
        <v>994</v>
      </c>
      <c r="T265" s="11" t="s">
        <v>994</v>
      </c>
      <c r="U265" s="11" t="s">
        <v>994</v>
      </c>
      <c r="V265" s="11" t="s">
        <v>994</v>
      </c>
      <c r="W265" s="11" t="s">
        <v>994</v>
      </c>
      <c r="X265" s="11" t="s">
        <v>994</v>
      </c>
      <c r="Y265" s="11" t="s">
        <v>994</v>
      </c>
      <c r="Z265" s="11" t="s">
        <v>994</v>
      </c>
      <c r="AA265" s="11" t="s">
        <v>994</v>
      </c>
      <c r="AB265" s="11" t="s">
        <v>994</v>
      </c>
      <c r="AC265" s="11" t="s">
        <v>994</v>
      </c>
      <c r="AD265" s="11" t="s">
        <v>994</v>
      </c>
    </row>
    <row r="266">
      <c r="B266" s="12" t="s">
        <v>994</v>
      </c>
      <c r="C266" s="11" t="s">
        <v>994</v>
      </c>
      <c r="D266" s="11" t="s">
        <v>994</v>
      </c>
      <c r="E266" s="12" t="s">
        <v>994</v>
      </c>
      <c r="F266" s="12" t="s">
        <v>994</v>
      </c>
      <c r="G266" s="12" t="s">
        <v>994</v>
      </c>
      <c r="H266" s="12" t="s">
        <v>994</v>
      </c>
      <c r="I266" s="12" t="s">
        <v>994</v>
      </c>
      <c r="J266" s="12" t="s">
        <v>994</v>
      </c>
      <c r="K266" s="12" t="s">
        <v>994</v>
      </c>
      <c r="L266" s="13" t="s">
        <v>994</v>
      </c>
      <c r="M266" s="11" t="s">
        <v>994</v>
      </c>
      <c r="N266" s="11" t="s">
        <v>994</v>
      </c>
      <c r="O266" s="11" t="s">
        <v>994</v>
      </c>
      <c r="P266" s="11" t="s">
        <v>994</v>
      </c>
      <c r="Q266" s="11" t="s">
        <v>994</v>
      </c>
      <c r="R266" s="11" t="s">
        <v>994</v>
      </c>
      <c r="S266" s="11" t="s">
        <v>994</v>
      </c>
      <c r="T266" s="11" t="s">
        <v>994</v>
      </c>
      <c r="U266" s="11" t="s">
        <v>994</v>
      </c>
      <c r="V266" s="11" t="s">
        <v>994</v>
      </c>
      <c r="W266" s="11" t="s">
        <v>994</v>
      </c>
      <c r="X266" s="11" t="s">
        <v>994</v>
      </c>
      <c r="Y266" s="11" t="s">
        <v>994</v>
      </c>
      <c r="Z266" s="11" t="s">
        <v>994</v>
      </c>
      <c r="AA266" s="11" t="s">
        <v>994</v>
      </c>
      <c r="AB266" s="11" t="s">
        <v>994</v>
      </c>
      <c r="AC266" s="11" t="s">
        <v>994</v>
      </c>
      <c r="AD266" s="11" t="s">
        <v>994</v>
      </c>
    </row>
    <row r="267">
      <c r="B267" s="12" t="s">
        <v>994</v>
      </c>
      <c r="C267" s="11" t="s">
        <v>994</v>
      </c>
      <c r="D267" s="11" t="s">
        <v>994</v>
      </c>
      <c r="E267" s="12" t="s">
        <v>994</v>
      </c>
      <c r="F267" s="12" t="s">
        <v>994</v>
      </c>
      <c r="G267" s="12" t="s">
        <v>994</v>
      </c>
      <c r="H267" s="12" t="s">
        <v>994</v>
      </c>
      <c r="I267" s="12" t="s">
        <v>994</v>
      </c>
      <c r="J267" s="12" t="s">
        <v>994</v>
      </c>
      <c r="K267" s="12" t="s">
        <v>994</v>
      </c>
      <c r="L267" s="13" t="s">
        <v>994</v>
      </c>
      <c r="M267" s="11" t="s">
        <v>994</v>
      </c>
      <c r="N267" s="11" t="s">
        <v>994</v>
      </c>
      <c r="O267" s="11" t="s">
        <v>994</v>
      </c>
      <c r="P267" s="11" t="s">
        <v>994</v>
      </c>
      <c r="Q267" s="11" t="s">
        <v>994</v>
      </c>
      <c r="R267" s="11" t="s">
        <v>994</v>
      </c>
      <c r="S267" s="11" t="s">
        <v>994</v>
      </c>
      <c r="T267" s="11" t="s">
        <v>994</v>
      </c>
      <c r="U267" s="11" t="s">
        <v>994</v>
      </c>
      <c r="V267" s="11" t="s">
        <v>994</v>
      </c>
      <c r="W267" s="11" t="s">
        <v>994</v>
      </c>
      <c r="X267" s="11" t="s">
        <v>994</v>
      </c>
      <c r="Y267" s="11" t="s">
        <v>994</v>
      </c>
      <c r="Z267" s="11" t="s">
        <v>994</v>
      </c>
      <c r="AA267" s="11" t="s">
        <v>994</v>
      </c>
      <c r="AB267" s="11" t="s">
        <v>994</v>
      </c>
      <c r="AC267" s="11" t="s">
        <v>994</v>
      </c>
      <c r="AD267" s="11" t="s">
        <v>994</v>
      </c>
    </row>
    <row r="268">
      <c r="B268" s="12" t="s">
        <v>994</v>
      </c>
      <c r="C268" s="11" t="s">
        <v>994</v>
      </c>
      <c r="D268" s="11" t="s">
        <v>994</v>
      </c>
      <c r="E268" s="12" t="s">
        <v>994</v>
      </c>
      <c r="F268" s="12" t="s">
        <v>994</v>
      </c>
      <c r="G268" s="12" t="s">
        <v>994</v>
      </c>
      <c r="H268" s="12" t="s">
        <v>994</v>
      </c>
      <c r="I268" s="12" t="s">
        <v>994</v>
      </c>
      <c r="J268" s="12" t="s">
        <v>994</v>
      </c>
      <c r="K268" s="12" t="s">
        <v>994</v>
      </c>
      <c r="L268" s="13" t="s">
        <v>994</v>
      </c>
      <c r="M268" s="11" t="s">
        <v>994</v>
      </c>
      <c r="N268" s="11" t="s">
        <v>994</v>
      </c>
      <c r="O268" s="11" t="s">
        <v>994</v>
      </c>
      <c r="P268" s="11" t="s">
        <v>994</v>
      </c>
      <c r="Q268" s="11" t="s">
        <v>994</v>
      </c>
      <c r="R268" s="11" t="s">
        <v>994</v>
      </c>
      <c r="S268" s="11" t="s">
        <v>994</v>
      </c>
      <c r="T268" s="11" t="s">
        <v>994</v>
      </c>
      <c r="U268" s="11" t="s">
        <v>994</v>
      </c>
      <c r="V268" s="11" t="s">
        <v>994</v>
      </c>
      <c r="W268" s="11" t="s">
        <v>994</v>
      </c>
      <c r="X268" s="11" t="s">
        <v>994</v>
      </c>
      <c r="Y268" s="11" t="s">
        <v>994</v>
      </c>
      <c r="Z268" s="11" t="s">
        <v>994</v>
      </c>
      <c r="AA268" s="11" t="s">
        <v>994</v>
      </c>
      <c r="AB268" s="11" t="s">
        <v>994</v>
      </c>
      <c r="AC268" s="11" t="s">
        <v>994</v>
      </c>
      <c r="AD268" s="11" t="s">
        <v>994</v>
      </c>
    </row>
    <row r="269">
      <c r="B269" s="12" t="s">
        <v>994</v>
      </c>
      <c r="C269" s="11" t="s">
        <v>994</v>
      </c>
      <c r="D269" s="11" t="s">
        <v>994</v>
      </c>
      <c r="E269" s="12" t="s">
        <v>994</v>
      </c>
      <c r="F269" s="12" t="s">
        <v>994</v>
      </c>
      <c r="G269" s="12" t="s">
        <v>994</v>
      </c>
      <c r="H269" s="12" t="s">
        <v>994</v>
      </c>
      <c r="I269" s="12" t="s">
        <v>994</v>
      </c>
      <c r="J269" s="12" t="s">
        <v>994</v>
      </c>
      <c r="K269" s="12" t="s">
        <v>994</v>
      </c>
      <c r="L269" s="13" t="s">
        <v>994</v>
      </c>
      <c r="M269" s="11" t="s">
        <v>994</v>
      </c>
      <c r="N269" s="11" t="s">
        <v>994</v>
      </c>
      <c r="O269" s="11" t="s">
        <v>994</v>
      </c>
      <c r="P269" s="11" t="s">
        <v>994</v>
      </c>
      <c r="Q269" s="11" t="s">
        <v>994</v>
      </c>
      <c r="R269" s="11" t="s">
        <v>994</v>
      </c>
      <c r="S269" s="11" t="s">
        <v>994</v>
      </c>
      <c r="T269" s="11" t="s">
        <v>994</v>
      </c>
      <c r="U269" s="11" t="s">
        <v>994</v>
      </c>
      <c r="V269" s="11" t="s">
        <v>994</v>
      </c>
      <c r="W269" s="11" t="s">
        <v>994</v>
      </c>
      <c r="X269" s="11" t="s">
        <v>994</v>
      </c>
      <c r="Y269" s="11" t="s">
        <v>994</v>
      </c>
      <c r="Z269" s="11" t="s">
        <v>994</v>
      </c>
      <c r="AA269" s="11" t="s">
        <v>994</v>
      </c>
      <c r="AB269" s="11" t="s">
        <v>994</v>
      </c>
      <c r="AC269" s="11" t="s">
        <v>994</v>
      </c>
      <c r="AD269" s="11" t="s">
        <v>994</v>
      </c>
    </row>
    <row r="270">
      <c r="B270" s="12" t="s">
        <v>994</v>
      </c>
      <c r="C270" s="11" t="s">
        <v>994</v>
      </c>
      <c r="D270" s="11" t="s">
        <v>994</v>
      </c>
      <c r="E270" s="12" t="s">
        <v>994</v>
      </c>
      <c r="F270" s="12" t="s">
        <v>994</v>
      </c>
      <c r="G270" s="12" t="s">
        <v>994</v>
      </c>
      <c r="H270" s="12" t="s">
        <v>994</v>
      </c>
      <c r="I270" s="12" t="s">
        <v>994</v>
      </c>
      <c r="J270" s="12" t="s">
        <v>994</v>
      </c>
      <c r="K270" s="12" t="s">
        <v>994</v>
      </c>
      <c r="L270" s="13" t="s">
        <v>994</v>
      </c>
      <c r="M270" s="11" t="s">
        <v>994</v>
      </c>
      <c r="N270" s="11" t="s">
        <v>994</v>
      </c>
      <c r="O270" s="11" t="s">
        <v>994</v>
      </c>
      <c r="P270" s="11" t="s">
        <v>994</v>
      </c>
      <c r="Q270" s="11" t="s">
        <v>994</v>
      </c>
      <c r="R270" s="11" t="s">
        <v>994</v>
      </c>
      <c r="S270" s="11" t="s">
        <v>994</v>
      </c>
      <c r="T270" s="11" t="s">
        <v>994</v>
      </c>
      <c r="U270" s="11" t="s">
        <v>994</v>
      </c>
      <c r="V270" s="11" t="s">
        <v>994</v>
      </c>
      <c r="W270" s="11" t="s">
        <v>994</v>
      </c>
      <c r="X270" s="11" t="s">
        <v>994</v>
      </c>
      <c r="Y270" s="11" t="s">
        <v>994</v>
      </c>
      <c r="Z270" s="11" t="s">
        <v>994</v>
      </c>
      <c r="AA270" s="11" t="s">
        <v>994</v>
      </c>
      <c r="AB270" s="11" t="s">
        <v>994</v>
      </c>
      <c r="AC270" s="11" t="s">
        <v>994</v>
      </c>
      <c r="AD270" s="11" t="s">
        <v>994</v>
      </c>
    </row>
    <row r="271">
      <c r="B271" s="12" t="s">
        <v>994</v>
      </c>
      <c r="C271" s="11" t="s">
        <v>994</v>
      </c>
      <c r="D271" s="11" t="s">
        <v>994</v>
      </c>
      <c r="E271" s="12" t="s">
        <v>994</v>
      </c>
      <c r="F271" s="12" t="s">
        <v>994</v>
      </c>
      <c r="G271" s="12" t="s">
        <v>994</v>
      </c>
      <c r="H271" s="12" t="s">
        <v>994</v>
      </c>
      <c r="I271" s="12" t="s">
        <v>994</v>
      </c>
      <c r="J271" s="12" t="s">
        <v>994</v>
      </c>
      <c r="K271" s="12" t="s">
        <v>994</v>
      </c>
      <c r="L271" s="13" t="s">
        <v>994</v>
      </c>
      <c r="M271" s="11" t="s">
        <v>994</v>
      </c>
      <c r="N271" s="11" t="s">
        <v>994</v>
      </c>
      <c r="O271" s="11" t="s">
        <v>994</v>
      </c>
      <c r="P271" s="11" t="s">
        <v>994</v>
      </c>
      <c r="Q271" s="11" t="s">
        <v>994</v>
      </c>
      <c r="R271" s="11" t="s">
        <v>994</v>
      </c>
      <c r="S271" s="11" t="s">
        <v>994</v>
      </c>
      <c r="T271" s="11" t="s">
        <v>994</v>
      </c>
      <c r="U271" s="11" t="s">
        <v>994</v>
      </c>
      <c r="V271" s="11" t="s">
        <v>994</v>
      </c>
      <c r="W271" s="11" t="s">
        <v>994</v>
      </c>
      <c r="X271" s="11" t="s">
        <v>994</v>
      </c>
      <c r="Y271" s="11" t="s">
        <v>994</v>
      </c>
      <c r="Z271" s="11" t="s">
        <v>994</v>
      </c>
      <c r="AA271" s="11" t="s">
        <v>994</v>
      </c>
      <c r="AB271" s="11" t="s">
        <v>994</v>
      </c>
      <c r="AC271" s="11" t="s">
        <v>994</v>
      </c>
      <c r="AD271" s="11" t="s">
        <v>994</v>
      </c>
    </row>
    <row r="272">
      <c r="B272" s="12" t="s">
        <v>994</v>
      </c>
      <c r="C272" s="11" t="s">
        <v>994</v>
      </c>
      <c r="D272" s="11" t="s">
        <v>994</v>
      </c>
      <c r="E272" s="12" t="s">
        <v>994</v>
      </c>
      <c r="F272" s="12" t="s">
        <v>994</v>
      </c>
      <c r="G272" s="12" t="s">
        <v>994</v>
      </c>
      <c r="H272" s="12" t="s">
        <v>994</v>
      </c>
      <c r="I272" s="12" t="s">
        <v>994</v>
      </c>
      <c r="J272" s="12" t="s">
        <v>994</v>
      </c>
      <c r="K272" s="12" t="s">
        <v>994</v>
      </c>
      <c r="L272" s="13" t="s">
        <v>994</v>
      </c>
      <c r="M272" s="11" t="s">
        <v>994</v>
      </c>
      <c r="N272" s="11" t="s">
        <v>994</v>
      </c>
      <c r="O272" s="11" t="s">
        <v>994</v>
      </c>
      <c r="P272" s="11" t="s">
        <v>994</v>
      </c>
      <c r="Q272" s="11" t="s">
        <v>994</v>
      </c>
      <c r="R272" s="11" t="s">
        <v>994</v>
      </c>
      <c r="S272" s="11" t="s">
        <v>994</v>
      </c>
      <c r="T272" s="11" t="s">
        <v>994</v>
      </c>
      <c r="U272" s="11" t="s">
        <v>994</v>
      </c>
      <c r="V272" s="11" t="s">
        <v>994</v>
      </c>
      <c r="W272" s="11" t="s">
        <v>994</v>
      </c>
      <c r="X272" s="11" t="s">
        <v>994</v>
      </c>
      <c r="Y272" s="11" t="s">
        <v>994</v>
      </c>
      <c r="Z272" s="11" t="s">
        <v>994</v>
      </c>
      <c r="AA272" s="11" t="s">
        <v>994</v>
      </c>
      <c r="AB272" s="11" t="s">
        <v>994</v>
      </c>
      <c r="AC272" s="11" t="s">
        <v>994</v>
      </c>
      <c r="AD272" s="11" t="s">
        <v>994</v>
      </c>
    </row>
    <row r="273">
      <c r="B273" s="12" t="s">
        <v>994</v>
      </c>
      <c r="C273" s="11" t="s">
        <v>994</v>
      </c>
      <c r="D273" s="11" t="s">
        <v>994</v>
      </c>
      <c r="E273" s="12" t="s">
        <v>994</v>
      </c>
      <c r="F273" s="12" t="s">
        <v>994</v>
      </c>
      <c r="G273" s="12" t="s">
        <v>994</v>
      </c>
      <c r="H273" s="12" t="s">
        <v>994</v>
      </c>
      <c r="I273" s="12" t="s">
        <v>994</v>
      </c>
      <c r="J273" s="12" t="s">
        <v>994</v>
      </c>
      <c r="K273" s="12" t="s">
        <v>994</v>
      </c>
      <c r="L273" s="13" t="s">
        <v>994</v>
      </c>
      <c r="M273" s="11" t="s">
        <v>994</v>
      </c>
      <c r="N273" s="11" t="s">
        <v>994</v>
      </c>
      <c r="O273" s="11" t="s">
        <v>994</v>
      </c>
      <c r="P273" s="11" t="s">
        <v>994</v>
      </c>
      <c r="Q273" s="11" t="s">
        <v>994</v>
      </c>
      <c r="R273" s="11" t="s">
        <v>994</v>
      </c>
      <c r="S273" s="11" t="s">
        <v>994</v>
      </c>
      <c r="T273" s="11" t="s">
        <v>994</v>
      </c>
      <c r="U273" s="11" t="s">
        <v>994</v>
      </c>
      <c r="V273" s="11" t="s">
        <v>994</v>
      </c>
      <c r="W273" s="11" t="s">
        <v>994</v>
      </c>
      <c r="X273" s="11" t="s">
        <v>994</v>
      </c>
      <c r="Y273" s="11" t="s">
        <v>994</v>
      </c>
      <c r="Z273" s="11" t="s">
        <v>994</v>
      </c>
      <c r="AA273" s="11" t="s">
        <v>994</v>
      </c>
      <c r="AB273" s="11" t="s">
        <v>994</v>
      </c>
      <c r="AC273" s="11" t="s">
        <v>994</v>
      </c>
      <c r="AD273" s="11" t="s">
        <v>994</v>
      </c>
    </row>
    <row r="274">
      <c r="B274" s="12" t="s">
        <v>994</v>
      </c>
      <c r="C274" s="11" t="s">
        <v>994</v>
      </c>
      <c r="D274" s="11" t="s">
        <v>994</v>
      </c>
      <c r="E274" s="12" t="s">
        <v>994</v>
      </c>
      <c r="F274" s="12" t="s">
        <v>994</v>
      </c>
      <c r="G274" s="12" t="s">
        <v>994</v>
      </c>
      <c r="H274" s="12" t="s">
        <v>994</v>
      </c>
      <c r="I274" s="12" t="s">
        <v>994</v>
      </c>
      <c r="J274" s="12" t="s">
        <v>994</v>
      </c>
      <c r="K274" s="12" t="s">
        <v>994</v>
      </c>
      <c r="L274" s="13" t="s">
        <v>994</v>
      </c>
      <c r="M274" s="11" t="s">
        <v>994</v>
      </c>
      <c r="N274" s="11" t="s">
        <v>994</v>
      </c>
      <c r="O274" s="11" t="s">
        <v>994</v>
      </c>
      <c r="P274" s="11" t="s">
        <v>994</v>
      </c>
      <c r="Q274" s="11" t="s">
        <v>994</v>
      </c>
      <c r="R274" s="11" t="s">
        <v>994</v>
      </c>
      <c r="S274" s="11" t="s">
        <v>994</v>
      </c>
      <c r="T274" s="11" t="s">
        <v>994</v>
      </c>
      <c r="U274" s="11" t="s">
        <v>994</v>
      </c>
      <c r="V274" s="11" t="s">
        <v>994</v>
      </c>
      <c r="W274" s="11" t="s">
        <v>994</v>
      </c>
      <c r="X274" s="11" t="s">
        <v>994</v>
      </c>
      <c r="Y274" s="11" t="s">
        <v>994</v>
      </c>
      <c r="Z274" s="11" t="s">
        <v>994</v>
      </c>
      <c r="AA274" s="11" t="s">
        <v>994</v>
      </c>
      <c r="AB274" s="11" t="s">
        <v>994</v>
      </c>
      <c r="AC274" s="11" t="s">
        <v>994</v>
      </c>
      <c r="AD274" s="11" t="s">
        <v>994</v>
      </c>
    </row>
    <row r="275">
      <c r="B275" s="12" t="s">
        <v>994</v>
      </c>
      <c r="C275" s="11" t="s">
        <v>994</v>
      </c>
      <c r="D275" s="11" t="s">
        <v>994</v>
      </c>
      <c r="E275" s="12" t="s">
        <v>994</v>
      </c>
      <c r="F275" s="12" t="s">
        <v>994</v>
      </c>
      <c r="G275" s="12" t="s">
        <v>994</v>
      </c>
      <c r="H275" s="12" t="s">
        <v>994</v>
      </c>
      <c r="I275" s="12" t="s">
        <v>994</v>
      </c>
      <c r="J275" s="12" t="s">
        <v>994</v>
      </c>
      <c r="K275" s="12" t="s">
        <v>994</v>
      </c>
      <c r="L275" s="13" t="s">
        <v>994</v>
      </c>
      <c r="M275" s="11" t="s">
        <v>994</v>
      </c>
      <c r="N275" s="11" t="s">
        <v>994</v>
      </c>
      <c r="O275" s="11" t="s">
        <v>994</v>
      </c>
      <c r="P275" s="11" t="s">
        <v>994</v>
      </c>
      <c r="Q275" s="11" t="s">
        <v>994</v>
      </c>
      <c r="R275" s="11" t="s">
        <v>994</v>
      </c>
      <c r="S275" s="11" t="s">
        <v>994</v>
      </c>
      <c r="T275" s="11" t="s">
        <v>994</v>
      </c>
      <c r="U275" s="11" t="s">
        <v>994</v>
      </c>
      <c r="V275" s="11" t="s">
        <v>994</v>
      </c>
      <c r="W275" s="11" t="s">
        <v>994</v>
      </c>
      <c r="X275" s="11" t="s">
        <v>994</v>
      </c>
      <c r="Y275" s="11" t="s">
        <v>994</v>
      </c>
      <c r="Z275" s="11" t="s">
        <v>994</v>
      </c>
      <c r="AA275" s="11" t="s">
        <v>994</v>
      </c>
      <c r="AB275" s="11" t="s">
        <v>994</v>
      </c>
      <c r="AC275" s="11" t="s">
        <v>994</v>
      </c>
      <c r="AD275" s="11" t="s">
        <v>994</v>
      </c>
    </row>
    <row r="276">
      <c r="B276" s="12" t="s">
        <v>994</v>
      </c>
      <c r="C276" s="11" t="s">
        <v>994</v>
      </c>
      <c r="D276" s="11" t="s">
        <v>994</v>
      </c>
      <c r="E276" s="12" t="s">
        <v>994</v>
      </c>
      <c r="F276" s="12" t="s">
        <v>994</v>
      </c>
      <c r="G276" s="12" t="s">
        <v>994</v>
      </c>
      <c r="H276" s="12" t="s">
        <v>994</v>
      </c>
      <c r="I276" s="12" t="s">
        <v>994</v>
      </c>
      <c r="J276" s="12" t="s">
        <v>994</v>
      </c>
      <c r="K276" s="12" t="s">
        <v>994</v>
      </c>
      <c r="L276" s="13" t="s">
        <v>994</v>
      </c>
      <c r="M276" s="11" t="s">
        <v>994</v>
      </c>
      <c r="N276" s="11" t="s">
        <v>994</v>
      </c>
      <c r="O276" s="11" t="s">
        <v>994</v>
      </c>
      <c r="P276" s="11" t="s">
        <v>994</v>
      </c>
      <c r="Q276" s="11" t="s">
        <v>994</v>
      </c>
      <c r="R276" s="11" t="s">
        <v>994</v>
      </c>
      <c r="S276" s="11" t="s">
        <v>994</v>
      </c>
      <c r="T276" s="11" t="s">
        <v>994</v>
      </c>
      <c r="U276" s="11" t="s">
        <v>994</v>
      </c>
      <c r="V276" s="11" t="s">
        <v>994</v>
      </c>
      <c r="W276" s="11" t="s">
        <v>994</v>
      </c>
      <c r="X276" s="11" t="s">
        <v>994</v>
      </c>
      <c r="Y276" s="11" t="s">
        <v>994</v>
      </c>
      <c r="Z276" s="11" t="s">
        <v>994</v>
      </c>
      <c r="AA276" s="11" t="s">
        <v>994</v>
      </c>
      <c r="AB276" s="11" t="s">
        <v>994</v>
      </c>
      <c r="AC276" s="11" t="s">
        <v>994</v>
      </c>
      <c r="AD276" s="11" t="s">
        <v>994</v>
      </c>
    </row>
    <row r="277">
      <c r="B277" s="12" t="s">
        <v>994</v>
      </c>
      <c r="C277" s="11" t="s">
        <v>994</v>
      </c>
      <c r="D277" s="11" t="s">
        <v>994</v>
      </c>
      <c r="E277" s="12" t="s">
        <v>994</v>
      </c>
      <c r="F277" s="12" t="s">
        <v>994</v>
      </c>
      <c r="G277" s="12" t="s">
        <v>994</v>
      </c>
      <c r="H277" s="12" t="s">
        <v>994</v>
      </c>
      <c r="I277" s="12" t="s">
        <v>994</v>
      </c>
      <c r="J277" s="12" t="s">
        <v>994</v>
      </c>
      <c r="K277" s="12" t="s">
        <v>994</v>
      </c>
      <c r="L277" s="13" t="s">
        <v>994</v>
      </c>
      <c r="M277" s="11" t="s">
        <v>994</v>
      </c>
      <c r="N277" s="11" t="s">
        <v>994</v>
      </c>
      <c r="O277" s="11" t="s">
        <v>994</v>
      </c>
      <c r="P277" s="11" t="s">
        <v>994</v>
      </c>
      <c r="Q277" s="11" t="s">
        <v>994</v>
      </c>
      <c r="R277" s="11" t="s">
        <v>994</v>
      </c>
      <c r="S277" s="11" t="s">
        <v>994</v>
      </c>
      <c r="T277" s="11" t="s">
        <v>994</v>
      </c>
      <c r="U277" s="11" t="s">
        <v>994</v>
      </c>
      <c r="V277" s="11" t="s">
        <v>994</v>
      </c>
      <c r="W277" s="11" t="s">
        <v>994</v>
      </c>
      <c r="X277" s="11" t="s">
        <v>994</v>
      </c>
      <c r="Y277" s="11" t="s">
        <v>994</v>
      </c>
      <c r="Z277" s="11" t="s">
        <v>994</v>
      </c>
      <c r="AA277" s="11" t="s">
        <v>994</v>
      </c>
      <c r="AB277" s="11" t="s">
        <v>994</v>
      </c>
      <c r="AC277" s="11" t="s">
        <v>994</v>
      </c>
      <c r="AD277" s="11" t="s">
        <v>994</v>
      </c>
    </row>
    <row r="278">
      <c r="B278" s="12" t="s">
        <v>994</v>
      </c>
      <c r="C278" s="11" t="s">
        <v>994</v>
      </c>
      <c r="D278" s="11" t="s">
        <v>994</v>
      </c>
      <c r="E278" s="12" t="s">
        <v>994</v>
      </c>
      <c r="F278" s="12" t="s">
        <v>994</v>
      </c>
      <c r="G278" s="12" t="s">
        <v>994</v>
      </c>
      <c r="H278" s="12" t="s">
        <v>994</v>
      </c>
      <c r="I278" s="12" t="s">
        <v>994</v>
      </c>
      <c r="J278" s="12" t="s">
        <v>994</v>
      </c>
      <c r="K278" s="12" t="s">
        <v>994</v>
      </c>
      <c r="L278" s="13" t="s">
        <v>994</v>
      </c>
      <c r="M278" s="11" t="s">
        <v>994</v>
      </c>
      <c r="N278" s="11" t="s">
        <v>994</v>
      </c>
      <c r="O278" s="11" t="s">
        <v>994</v>
      </c>
      <c r="P278" s="11" t="s">
        <v>994</v>
      </c>
      <c r="Q278" s="11" t="s">
        <v>994</v>
      </c>
      <c r="R278" s="11" t="s">
        <v>994</v>
      </c>
      <c r="S278" s="11" t="s">
        <v>994</v>
      </c>
      <c r="T278" s="11" t="s">
        <v>994</v>
      </c>
      <c r="U278" s="11" t="s">
        <v>994</v>
      </c>
      <c r="V278" s="11" t="s">
        <v>994</v>
      </c>
      <c r="W278" s="11" t="s">
        <v>994</v>
      </c>
      <c r="X278" s="11" t="s">
        <v>994</v>
      </c>
      <c r="Y278" s="11" t="s">
        <v>994</v>
      </c>
      <c r="Z278" s="11" t="s">
        <v>994</v>
      </c>
      <c r="AA278" s="11" t="s">
        <v>994</v>
      </c>
      <c r="AB278" s="11" t="s">
        <v>994</v>
      </c>
      <c r="AC278" s="11" t="s">
        <v>994</v>
      </c>
      <c r="AD278" s="11" t="s">
        <v>994</v>
      </c>
    </row>
    <row r="279">
      <c r="B279" s="12" t="s">
        <v>994</v>
      </c>
      <c r="C279" s="11" t="s">
        <v>994</v>
      </c>
      <c r="D279" s="11" t="s">
        <v>994</v>
      </c>
      <c r="E279" s="12" t="s">
        <v>994</v>
      </c>
      <c r="F279" s="12" t="s">
        <v>994</v>
      </c>
      <c r="G279" s="12" t="s">
        <v>994</v>
      </c>
      <c r="H279" s="12" t="s">
        <v>994</v>
      </c>
      <c r="I279" s="12" t="s">
        <v>994</v>
      </c>
      <c r="J279" s="12" t="s">
        <v>994</v>
      </c>
      <c r="K279" s="12" t="s">
        <v>994</v>
      </c>
      <c r="L279" s="13" t="s">
        <v>994</v>
      </c>
      <c r="M279" s="11" t="s">
        <v>994</v>
      </c>
      <c r="N279" s="11" t="s">
        <v>994</v>
      </c>
      <c r="O279" s="11" t="s">
        <v>994</v>
      </c>
      <c r="P279" s="11" t="s">
        <v>994</v>
      </c>
      <c r="Q279" s="11" t="s">
        <v>994</v>
      </c>
      <c r="R279" s="11" t="s">
        <v>994</v>
      </c>
      <c r="S279" s="11" t="s">
        <v>994</v>
      </c>
      <c r="T279" s="11" t="s">
        <v>994</v>
      </c>
      <c r="U279" s="11" t="s">
        <v>994</v>
      </c>
      <c r="V279" s="11" t="s">
        <v>994</v>
      </c>
      <c r="W279" s="11" t="s">
        <v>994</v>
      </c>
      <c r="X279" s="11" t="s">
        <v>994</v>
      </c>
      <c r="Y279" s="11" t="s">
        <v>994</v>
      </c>
      <c r="Z279" s="11" t="s">
        <v>994</v>
      </c>
      <c r="AA279" s="11" t="s">
        <v>994</v>
      </c>
      <c r="AB279" s="11" t="s">
        <v>994</v>
      </c>
      <c r="AC279" s="11" t="s">
        <v>994</v>
      </c>
      <c r="AD279" s="11" t="s">
        <v>994</v>
      </c>
    </row>
    <row r="280">
      <c r="B280" s="12" t="s">
        <v>994</v>
      </c>
      <c r="C280" s="11" t="s">
        <v>994</v>
      </c>
      <c r="D280" s="11" t="s">
        <v>994</v>
      </c>
      <c r="E280" s="12" t="s">
        <v>994</v>
      </c>
      <c r="F280" s="12" t="s">
        <v>994</v>
      </c>
      <c r="G280" s="12" t="s">
        <v>994</v>
      </c>
      <c r="H280" s="12" t="s">
        <v>994</v>
      </c>
      <c r="I280" s="12" t="s">
        <v>994</v>
      </c>
      <c r="J280" s="12" t="s">
        <v>994</v>
      </c>
      <c r="K280" s="12" t="s">
        <v>994</v>
      </c>
      <c r="L280" s="13" t="s">
        <v>994</v>
      </c>
      <c r="M280" s="11" t="s">
        <v>994</v>
      </c>
      <c r="N280" s="11" t="s">
        <v>994</v>
      </c>
      <c r="O280" s="11" t="s">
        <v>994</v>
      </c>
      <c r="P280" s="11" t="s">
        <v>994</v>
      </c>
      <c r="Q280" s="11" t="s">
        <v>994</v>
      </c>
      <c r="R280" s="11" t="s">
        <v>994</v>
      </c>
      <c r="S280" s="11" t="s">
        <v>994</v>
      </c>
      <c r="T280" s="11" t="s">
        <v>994</v>
      </c>
      <c r="U280" s="11" t="s">
        <v>994</v>
      </c>
      <c r="V280" s="11" t="s">
        <v>994</v>
      </c>
      <c r="W280" s="11" t="s">
        <v>994</v>
      </c>
      <c r="X280" s="11" t="s">
        <v>994</v>
      </c>
      <c r="Y280" s="11" t="s">
        <v>994</v>
      </c>
      <c r="Z280" s="11" t="s">
        <v>994</v>
      </c>
      <c r="AA280" s="11" t="s">
        <v>994</v>
      </c>
      <c r="AB280" s="11" t="s">
        <v>994</v>
      </c>
      <c r="AC280" s="11" t="s">
        <v>994</v>
      </c>
      <c r="AD280" s="11" t="s">
        <v>994</v>
      </c>
    </row>
    <row r="281">
      <c r="B281" s="12" t="s">
        <v>994</v>
      </c>
      <c r="C281" s="11" t="s">
        <v>994</v>
      </c>
      <c r="D281" s="11" t="s">
        <v>994</v>
      </c>
      <c r="E281" s="12" t="s">
        <v>994</v>
      </c>
      <c r="F281" s="12" t="s">
        <v>994</v>
      </c>
      <c r="G281" s="12" t="s">
        <v>994</v>
      </c>
      <c r="H281" s="12" t="s">
        <v>994</v>
      </c>
      <c r="I281" s="12" t="s">
        <v>994</v>
      </c>
      <c r="J281" s="12" t="s">
        <v>994</v>
      </c>
      <c r="K281" s="12" t="s">
        <v>994</v>
      </c>
      <c r="L281" s="13" t="s">
        <v>994</v>
      </c>
      <c r="M281" s="11" t="s">
        <v>994</v>
      </c>
      <c r="N281" s="11" t="s">
        <v>994</v>
      </c>
      <c r="O281" s="11" t="s">
        <v>994</v>
      </c>
      <c r="P281" s="11" t="s">
        <v>994</v>
      </c>
      <c r="Q281" s="11" t="s">
        <v>994</v>
      </c>
      <c r="R281" s="11" t="s">
        <v>994</v>
      </c>
      <c r="S281" s="11" t="s">
        <v>994</v>
      </c>
      <c r="T281" s="11" t="s">
        <v>994</v>
      </c>
      <c r="U281" s="11" t="s">
        <v>994</v>
      </c>
      <c r="V281" s="11" t="s">
        <v>994</v>
      </c>
      <c r="W281" s="11" t="s">
        <v>994</v>
      </c>
      <c r="X281" s="11" t="s">
        <v>994</v>
      </c>
      <c r="Y281" s="11" t="s">
        <v>994</v>
      </c>
      <c r="Z281" s="11" t="s">
        <v>994</v>
      </c>
      <c r="AA281" s="11" t="s">
        <v>994</v>
      </c>
      <c r="AB281" s="11" t="s">
        <v>994</v>
      </c>
      <c r="AC281" s="11" t="s">
        <v>994</v>
      </c>
      <c r="AD281" s="11" t="s">
        <v>994</v>
      </c>
    </row>
    <row r="282">
      <c r="B282" s="12" t="s">
        <v>994</v>
      </c>
      <c r="C282" s="11" t="s">
        <v>994</v>
      </c>
      <c r="D282" s="11" t="s">
        <v>994</v>
      </c>
      <c r="E282" s="12" t="s">
        <v>994</v>
      </c>
      <c r="F282" s="12" t="s">
        <v>994</v>
      </c>
      <c r="G282" s="12" t="s">
        <v>994</v>
      </c>
      <c r="H282" s="12" t="s">
        <v>994</v>
      </c>
      <c r="I282" s="12" t="s">
        <v>994</v>
      </c>
      <c r="J282" s="12" t="s">
        <v>994</v>
      </c>
      <c r="K282" s="12" t="s">
        <v>994</v>
      </c>
      <c r="L282" s="13" t="s">
        <v>994</v>
      </c>
      <c r="M282" s="11" t="s">
        <v>994</v>
      </c>
      <c r="N282" s="11" t="s">
        <v>994</v>
      </c>
      <c r="O282" s="11" t="s">
        <v>994</v>
      </c>
      <c r="P282" s="11" t="s">
        <v>994</v>
      </c>
      <c r="Q282" s="11" t="s">
        <v>994</v>
      </c>
      <c r="R282" s="11" t="s">
        <v>994</v>
      </c>
      <c r="S282" s="11" t="s">
        <v>994</v>
      </c>
      <c r="T282" s="11" t="s">
        <v>994</v>
      </c>
      <c r="U282" s="11" t="s">
        <v>994</v>
      </c>
      <c r="V282" s="11" t="s">
        <v>994</v>
      </c>
      <c r="W282" s="11" t="s">
        <v>994</v>
      </c>
      <c r="X282" s="11" t="s">
        <v>994</v>
      </c>
      <c r="Y282" s="11" t="s">
        <v>994</v>
      </c>
      <c r="Z282" s="11" t="s">
        <v>994</v>
      </c>
      <c r="AA282" s="11" t="s">
        <v>994</v>
      </c>
      <c r="AB282" s="11" t="s">
        <v>994</v>
      </c>
      <c r="AC282" s="11" t="s">
        <v>994</v>
      </c>
      <c r="AD282" s="11" t="s">
        <v>994</v>
      </c>
    </row>
    <row r="283">
      <c r="B283" s="12" t="s">
        <v>994</v>
      </c>
      <c r="C283" s="11" t="s">
        <v>994</v>
      </c>
      <c r="D283" s="11" t="s">
        <v>994</v>
      </c>
      <c r="E283" s="12" t="s">
        <v>994</v>
      </c>
      <c r="F283" s="12" t="s">
        <v>994</v>
      </c>
      <c r="G283" s="12" t="s">
        <v>994</v>
      </c>
      <c r="H283" s="12" t="s">
        <v>994</v>
      </c>
      <c r="I283" s="12" t="s">
        <v>994</v>
      </c>
      <c r="J283" s="12" t="s">
        <v>994</v>
      </c>
      <c r="K283" s="12" t="s">
        <v>994</v>
      </c>
      <c r="L283" s="13" t="s">
        <v>994</v>
      </c>
      <c r="M283" s="11" t="s">
        <v>994</v>
      </c>
      <c r="N283" s="11" t="s">
        <v>994</v>
      </c>
      <c r="O283" s="11" t="s">
        <v>994</v>
      </c>
      <c r="P283" s="11" t="s">
        <v>994</v>
      </c>
      <c r="Q283" s="11" t="s">
        <v>994</v>
      </c>
      <c r="R283" s="11" t="s">
        <v>994</v>
      </c>
      <c r="S283" s="11" t="s">
        <v>994</v>
      </c>
      <c r="T283" s="11" t="s">
        <v>994</v>
      </c>
      <c r="U283" s="11" t="s">
        <v>994</v>
      </c>
      <c r="V283" s="11" t="s">
        <v>994</v>
      </c>
      <c r="W283" s="11" t="s">
        <v>994</v>
      </c>
      <c r="X283" s="11" t="s">
        <v>994</v>
      </c>
      <c r="Y283" s="11" t="s">
        <v>994</v>
      </c>
      <c r="Z283" s="11" t="s">
        <v>994</v>
      </c>
      <c r="AA283" s="11" t="s">
        <v>994</v>
      </c>
      <c r="AB283" s="11" t="s">
        <v>994</v>
      </c>
      <c r="AC283" s="11" t="s">
        <v>994</v>
      </c>
      <c r="AD283" s="11" t="s">
        <v>994</v>
      </c>
    </row>
    <row r="284">
      <c r="B284" s="12" t="s">
        <v>994</v>
      </c>
      <c r="C284" s="11" t="s">
        <v>994</v>
      </c>
      <c r="D284" s="11" t="s">
        <v>994</v>
      </c>
      <c r="E284" s="12" t="s">
        <v>994</v>
      </c>
      <c r="F284" s="12" t="s">
        <v>994</v>
      </c>
      <c r="G284" s="12" t="s">
        <v>994</v>
      </c>
      <c r="H284" s="12" t="s">
        <v>994</v>
      </c>
      <c r="I284" s="12" t="s">
        <v>994</v>
      </c>
      <c r="J284" s="12" t="s">
        <v>994</v>
      </c>
      <c r="K284" s="12" t="s">
        <v>994</v>
      </c>
      <c r="L284" s="13" t="s">
        <v>994</v>
      </c>
      <c r="M284" s="11" t="s">
        <v>994</v>
      </c>
      <c r="N284" s="11" t="s">
        <v>994</v>
      </c>
      <c r="O284" s="11" t="s">
        <v>994</v>
      </c>
      <c r="P284" s="11" t="s">
        <v>994</v>
      </c>
      <c r="Q284" s="11" t="s">
        <v>994</v>
      </c>
      <c r="R284" s="11" t="s">
        <v>994</v>
      </c>
      <c r="S284" s="11" t="s">
        <v>994</v>
      </c>
      <c r="T284" s="11" t="s">
        <v>994</v>
      </c>
      <c r="U284" s="11" t="s">
        <v>994</v>
      </c>
      <c r="V284" s="11" t="s">
        <v>994</v>
      </c>
      <c r="W284" s="11" t="s">
        <v>994</v>
      </c>
      <c r="X284" s="11" t="s">
        <v>994</v>
      </c>
      <c r="Y284" s="11" t="s">
        <v>994</v>
      </c>
      <c r="Z284" s="11" t="s">
        <v>994</v>
      </c>
      <c r="AA284" s="11" t="s">
        <v>994</v>
      </c>
      <c r="AB284" s="11" t="s">
        <v>994</v>
      </c>
      <c r="AC284" s="11" t="s">
        <v>994</v>
      </c>
      <c r="AD284" s="11" t="s">
        <v>994</v>
      </c>
    </row>
    <row r="285">
      <c r="B285" s="12" t="s">
        <v>994</v>
      </c>
      <c r="C285" s="11" t="s">
        <v>994</v>
      </c>
      <c r="D285" s="11" t="s">
        <v>994</v>
      </c>
      <c r="E285" s="12" t="s">
        <v>994</v>
      </c>
      <c r="F285" s="12" t="s">
        <v>994</v>
      </c>
      <c r="G285" s="12" t="s">
        <v>994</v>
      </c>
      <c r="H285" s="12" t="s">
        <v>994</v>
      </c>
      <c r="I285" s="12" t="s">
        <v>994</v>
      </c>
      <c r="J285" s="12" t="s">
        <v>994</v>
      </c>
      <c r="K285" s="12" t="s">
        <v>994</v>
      </c>
      <c r="L285" s="13" t="s">
        <v>994</v>
      </c>
      <c r="M285" s="11" t="s">
        <v>994</v>
      </c>
      <c r="N285" s="11" t="s">
        <v>994</v>
      </c>
      <c r="O285" s="11" t="s">
        <v>994</v>
      </c>
      <c r="P285" s="11" t="s">
        <v>994</v>
      </c>
      <c r="Q285" s="11" t="s">
        <v>994</v>
      </c>
      <c r="R285" s="11" t="s">
        <v>994</v>
      </c>
      <c r="S285" s="11" t="s">
        <v>994</v>
      </c>
      <c r="T285" s="11" t="s">
        <v>994</v>
      </c>
      <c r="U285" s="11" t="s">
        <v>994</v>
      </c>
      <c r="V285" s="11" t="s">
        <v>994</v>
      </c>
      <c r="W285" s="11" t="s">
        <v>994</v>
      </c>
      <c r="X285" s="11" t="s">
        <v>994</v>
      </c>
      <c r="Y285" s="11" t="s">
        <v>994</v>
      </c>
      <c r="Z285" s="11" t="s">
        <v>994</v>
      </c>
      <c r="AA285" s="11" t="s">
        <v>994</v>
      </c>
      <c r="AB285" s="11" t="s">
        <v>994</v>
      </c>
      <c r="AC285" s="11" t="s">
        <v>994</v>
      </c>
      <c r="AD285" s="11" t="s">
        <v>994</v>
      </c>
    </row>
    <row r="286">
      <c r="B286" s="12" t="s">
        <v>994</v>
      </c>
      <c r="C286" s="11" t="s">
        <v>994</v>
      </c>
      <c r="D286" s="11" t="s">
        <v>994</v>
      </c>
      <c r="E286" s="12" t="s">
        <v>994</v>
      </c>
      <c r="F286" s="12" t="s">
        <v>994</v>
      </c>
      <c r="G286" s="12" t="s">
        <v>994</v>
      </c>
      <c r="H286" s="12" t="s">
        <v>994</v>
      </c>
      <c r="I286" s="12" t="s">
        <v>994</v>
      </c>
      <c r="J286" s="12" t="s">
        <v>994</v>
      </c>
      <c r="K286" s="12" t="s">
        <v>994</v>
      </c>
      <c r="L286" s="13" t="s">
        <v>994</v>
      </c>
      <c r="M286" s="11" t="s">
        <v>994</v>
      </c>
      <c r="N286" s="11" t="s">
        <v>994</v>
      </c>
      <c r="O286" s="11" t="s">
        <v>994</v>
      </c>
      <c r="P286" s="11" t="s">
        <v>994</v>
      </c>
      <c r="Q286" s="11" t="s">
        <v>994</v>
      </c>
      <c r="R286" s="11" t="s">
        <v>994</v>
      </c>
      <c r="S286" s="11" t="s">
        <v>994</v>
      </c>
      <c r="T286" s="11" t="s">
        <v>994</v>
      </c>
      <c r="U286" s="11" t="s">
        <v>994</v>
      </c>
      <c r="V286" s="11" t="s">
        <v>994</v>
      </c>
      <c r="W286" s="11" t="s">
        <v>994</v>
      </c>
      <c r="X286" s="11" t="s">
        <v>994</v>
      </c>
      <c r="Y286" s="11" t="s">
        <v>994</v>
      </c>
      <c r="Z286" s="11" t="s">
        <v>994</v>
      </c>
      <c r="AA286" s="11" t="s">
        <v>994</v>
      </c>
      <c r="AB286" s="11" t="s">
        <v>994</v>
      </c>
      <c r="AC286" s="11" t="s">
        <v>994</v>
      </c>
      <c r="AD286" s="11" t="s">
        <v>994</v>
      </c>
    </row>
    <row r="287">
      <c r="B287" s="12" t="s">
        <v>994</v>
      </c>
      <c r="C287" s="11" t="s">
        <v>994</v>
      </c>
      <c r="D287" s="11" t="s">
        <v>994</v>
      </c>
      <c r="E287" s="12" t="s">
        <v>994</v>
      </c>
      <c r="F287" s="12" t="s">
        <v>994</v>
      </c>
      <c r="G287" s="12" t="s">
        <v>994</v>
      </c>
      <c r="H287" s="12" t="s">
        <v>994</v>
      </c>
      <c r="I287" s="12" t="s">
        <v>994</v>
      </c>
      <c r="J287" s="12" t="s">
        <v>994</v>
      </c>
      <c r="K287" s="12" t="s">
        <v>994</v>
      </c>
      <c r="L287" s="13" t="s">
        <v>994</v>
      </c>
      <c r="M287" s="11" t="s">
        <v>994</v>
      </c>
      <c r="N287" s="11" t="s">
        <v>994</v>
      </c>
      <c r="O287" s="11" t="s">
        <v>994</v>
      </c>
      <c r="P287" s="11" t="s">
        <v>994</v>
      </c>
      <c r="Q287" s="11" t="s">
        <v>994</v>
      </c>
      <c r="R287" s="11" t="s">
        <v>994</v>
      </c>
      <c r="S287" s="11" t="s">
        <v>994</v>
      </c>
      <c r="T287" s="11" t="s">
        <v>994</v>
      </c>
      <c r="U287" s="11" t="s">
        <v>994</v>
      </c>
      <c r="V287" s="11" t="s">
        <v>994</v>
      </c>
      <c r="W287" s="11" t="s">
        <v>994</v>
      </c>
      <c r="X287" s="11" t="s">
        <v>994</v>
      </c>
      <c r="Y287" s="11" t="s">
        <v>994</v>
      </c>
      <c r="Z287" s="11" t="s">
        <v>994</v>
      </c>
      <c r="AA287" s="11" t="s">
        <v>994</v>
      </c>
      <c r="AB287" s="11" t="s">
        <v>994</v>
      </c>
      <c r="AC287" s="11" t="s">
        <v>994</v>
      </c>
      <c r="AD287" s="11" t="s">
        <v>994</v>
      </c>
    </row>
    <row r="288">
      <c r="B288" s="12" t="s">
        <v>994</v>
      </c>
      <c r="C288" s="11" t="s">
        <v>994</v>
      </c>
      <c r="D288" s="11" t="s">
        <v>994</v>
      </c>
      <c r="E288" s="12" t="s">
        <v>994</v>
      </c>
      <c r="F288" s="12" t="s">
        <v>994</v>
      </c>
      <c r="G288" s="12" t="s">
        <v>994</v>
      </c>
      <c r="H288" s="12" t="s">
        <v>994</v>
      </c>
      <c r="I288" s="12" t="s">
        <v>994</v>
      </c>
      <c r="J288" s="12" t="s">
        <v>994</v>
      </c>
      <c r="K288" s="12" t="s">
        <v>994</v>
      </c>
      <c r="L288" s="13" t="s">
        <v>994</v>
      </c>
      <c r="M288" s="11" t="s">
        <v>994</v>
      </c>
      <c r="N288" s="11" t="s">
        <v>994</v>
      </c>
      <c r="O288" s="11" t="s">
        <v>994</v>
      </c>
      <c r="P288" s="11" t="s">
        <v>994</v>
      </c>
      <c r="Q288" s="11" t="s">
        <v>994</v>
      </c>
      <c r="R288" s="11" t="s">
        <v>994</v>
      </c>
      <c r="S288" s="11" t="s">
        <v>994</v>
      </c>
      <c r="T288" s="11" t="s">
        <v>994</v>
      </c>
      <c r="U288" s="11" t="s">
        <v>994</v>
      </c>
      <c r="V288" s="11" t="s">
        <v>994</v>
      </c>
      <c r="W288" s="11" t="s">
        <v>994</v>
      </c>
      <c r="X288" s="11" t="s">
        <v>994</v>
      </c>
      <c r="Y288" s="11" t="s">
        <v>994</v>
      </c>
      <c r="Z288" s="11" t="s">
        <v>994</v>
      </c>
      <c r="AA288" s="11" t="s">
        <v>994</v>
      </c>
      <c r="AB288" s="11" t="s">
        <v>994</v>
      </c>
      <c r="AC288" s="11" t="s">
        <v>994</v>
      </c>
      <c r="AD288" s="11" t="s">
        <v>994</v>
      </c>
    </row>
    <row r="289">
      <c r="B289" s="12" t="s">
        <v>994</v>
      </c>
      <c r="C289" s="11" t="s">
        <v>994</v>
      </c>
      <c r="D289" s="11" t="s">
        <v>994</v>
      </c>
      <c r="E289" s="12" t="s">
        <v>994</v>
      </c>
      <c r="F289" s="12" t="s">
        <v>994</v>
      </c>
      <c r="G289" s="12" t="s">
        <v>994</v>
      </c>
      <c r="H289" s="12" t="s">
        <v>994</v>
      </c>
      <c r="I289" s="12" t="s">
        <v>994</v>
      </c>
      <c r="J289" s="12" t="s">
        <v>994</v>
      </c>
      <c r="K289" s="12" t="s">
        <v>994</v>
      </c>
      <c r="L289" s="13" t="s">
        <v>994</v>
      </c>
      <c r="M289" s="11" t="s">
        <v>994</v>
      </c>
      <c r="N289" s="11" t="s">
        <v>994</v>
      </c>
      <c r="O289" s="11" t="s">
        <v>994</v>
      </c>
      <c r="P289" s="11" t="s">
        <v>994</v>
      </c>
      <c r="Q289" s="11" t="s">
        <v>994</v>
      </c>
      <c r="R289" s="11" t="s">
        <v>994</v>
      </c>
      <c r="S289" s="11" t="s">
        <v>994</v>
      </c>
      <c r="T289" s="11" t="s">
        <v>994</v>
      </c>
      <c r="U289" s="11" t="s">
        <v>994</v>
      </c>
      <c r="V289" s="11" t="s">
        <v>994</v>
      </c>
      <c r="W289" s="11" t="s">
        <v>994</v>
      </c>
      <c r="X289" s="11" t="s">
        <v>994</v>
      </c>
      <c r="Y289" s="11" t="s">
        <v>994</v>
      </c>
      <c r="Z289" s="11" t="s">
        <v>994</v>
      </c>
      <c r="AA289" s="11" t="s">
        <v>994</v>
      </c>
      <c r="AB289" s="11" t="s">
        <v>994</v>
      </c>
      <c r="AC289" s="11" t="s">
        <v>994</v>
      </c>
      <c r="AD289" s="11" t="s">
        <v>994</v>
      </c>
    </row>
    <row r="290">
      <c r="B290" s="12" t="s">
        <v>994</v>
      </c>
      <c r="C290" s="11" t="s">
        <v>994</v>
      </c>
      <c r="D290" s="11" t="s">
        <v>994</v>
      </c>
      <c r="E290" s="12" t="s">
        <v>994</v>
      </c>
      <c r="F290" s="12" t="s">
        <v>994</v>
      </c>
      <c r="G290" s="12" t="s">
        <v>994</v>
      </c>
      <c r="H290" s="12" t="s">
        <v>994</v>
      </c>
      <c r="I290" s="12" t="s">
        <v>994</v>
      </c>
      <c r="J290" s="12" t="s">
        <v>994</v>
      </c>
      <c r="K290" s="12" t="s">
        <v>994</v>
      </c>
      <c r="L290" s="13" t="s">
        <v>994</v>
      </c>
      <c r="M290" s="11" t="s">
        <v>994</v>
      </c>
      <c r="N290" s="11" t="s">
        <v>994</v>
      </c>
      <c r="O290" s="11" t="s">
        <v>994</v>
      </c>
      <c r="P290" s="11" t="s">
        <v>994</v>
      </c>
      <c r="Q290" s="11" t="s">
        <v>994</v>
      </c>
      <c r="R290" s="11" t="s">
        <v>994</v>
      </c>
      <c r="S290" s="11" t="s">
        <v>994</v>
      </c>
      <c r="T290" s="11" t="s">
        <v>994</v>
      </c>
      <c r="U290" s="11" t="s">
        <v>994</v>
      </c>
      <c r="V290" s="11" t="s">
        <v>994</v>
      </c>
      <c r="W290" s="11" t="s">
        <v>994</v>
      </c>
      <c r="X290" s="11" t="s">
        <v>994</v>
      </c>
      <c r="Y290" s="11" t="s">
        <v>994</v>
      </c>
      <c r="Z290" s="11" t="s">
        <v>994</v>
      </c>
      <c r="AA290" s="11" t="s">
        <v>994</v>
      </c>
      <c r="AB290" s="11" t="s">
        <v>994</v>
      </c>
      <c r="AC290" s="11" t="s">
        <v>994</v>
      </c>
      <c r="AD290" s="11" t="s">
        <v>994</v>
      </c>
    </row>
    <row r="291">
      <c r="B291" s="12" t="s">
        <v>994</v>
      </c>
      <c r="C291" s="11" t="s">
        <v>994</v>
      </c>
      <c r="D291" s="11" t="s">
        <v>994</v>
      </c>
      <c r="E291" s="12" t="s">
        <v>994</v>
      </c>
      <c r="F291" s="12" t="s">
        <v>994</v>
      </c>
      <c r="G291" s="12" t="s">
        <v>994</v>
      </c>
      <c r="H291" s="12" t="s">
        <v>994</v>
      </c>
      <c r="I291" s="12" t="s">
        <v>994</v>
      </c>
      <c r="J291" s="12" t="s">
        <v>994</v>
      </c>
      <c r="K291" s="12" t="s">
        <v>994</v>
      </c>
      <c r="L291" s="13" t="s">
        <v>994</v>
      </c>
      <c r="M291" s="11" t="s">
        <v>994</v>
      </c>
      <c r="N291" s="11" t="s">
        <v>994</v>
      </c>
      <c r="O291" s="11" t="s">
        <v>994</v>
      </c>
      <c r="P291" s="11" t="s">
        <v>994</v>
      </c>
      <c r="Q291" s="11" t="s">
        <v>994</v>
      </c>
      <c r="R291" s="11" t="s">
        <v>994</v>
      </c>
      <c r="S291" s="11" t="s">
        <v>994</v>
      </c>
      <c r="T291" s="11" t="s">
        <v>994</v>
      </c>
      <c r="U291" s="11" t="s">
        <v>994</v>
      </c>
      <c r="V291" s="11" t="s">
        <v>994</v>
      </c>
      <c r="W291" s="11" t="s">
        <v>994</v>
      </c>
      <c r="X291" s="11" t="s">
        <v>994</v>
      </c>
      <c r="Y291" s="11" t="s">
        <v>994</v>
      </c>
      <c r="Z291" s="11" t="s">
        <v>994</v>
      </c>
      <c r="AA291" s="11" t="s">
        <v>994</v>
      </c>
      <c r="AB291" s="11" t="s">
        <v>994</v>
      </c>
      <c r="AC291" s="11" t="s">
        <v>994</v>
      </c>
      <c r="AD291" s="11" t="s">
        <v>994</v>
      </c>
    </row>
    <row r="292">
      <c r="B292" s="12" t="s">
        <v>994</v>
      </c>
      <c r="C292" s="11" t="s">
        <v>994</v>
      </c>
      <c r="D292" s="11" t="s">
        <v>994</v>
      </c>
      <c r="E292" s="12" t="s">
        <v>994</v>
      </c>
      <c r="F292" s="12" t="s">
        <v>994</v>
      </c>
      <c r="G292" s="12" t="s">
        <v>994</v>
      </c>
      <c r="H292" s="12" t="s">
        <v>994</v>
      </c>
      <c r="I292" s="12" t="s">
        <v>994</v>
      </c>
      <c r="J292" s="12" t="s">
        <v>994</v>
      </c>
      <c r="K292" s="12" t="s">
        <v>994</v>
      </c>
      <c r="L292" s="13" t="s">
        <v>994</v>
      </c>
      <c r="M292" s="11" t="s">
        <v>994</v>
      </c>
      <c r="N292" s="11" t="s">
        <v>994</v>
      </c>
      <c r="O292" s="11" t="s">
        <v>994</v>
      </c>
      <c r="P292" s="11" t="s">
        <v>994</v>
      </c>
      <c r="Q292" s="11" t="s">
        <v>994</v>
      </c>
      <c r="R292" s="11" t="s">
        <v>994</v>
      </c>
      <c r="S292" s="11" t="s">
        <v>994</v>
      </c>
      <c r="T292" s="11" t="s">
        <v>994</v>
      </c>
      <c r="U292" s="11" t="s">
        <v>994</v>
      </c>
      <c r="V292" s="11" t="s">
        <v>994</v>
      </c>
      <c r="W292" s="11" t="s">
        <v>994</v>
      </c>
      <c r="X292" s="11" t="s">
        <v>994</v>
      </c>
      <c r="Y292" s="11" t="s">
        <v>994</v>
      </c>
      <c r="Z292" s="11" t="s">
        <v>994</v>
      </c>
      <c r="AA292" s="11" t="s">
        <v>994</v>
      </c>
      <c r="AB292" s="11" t="s">
        <v>994</v>
      </c>
      <c r="AC292" s="11" t="s">
        <v>994</v>
      </c>
      <c r="AD292" s="11" t="s">
        <v>994</v>
      </c>
    </row>
    <row r="293">
      <c r="B293" s="12" t="s">
        <v>994</v>
      </c>
      <c r="C293" s="11" t="s">
        <v>994</v>
      </c>
      <c r="D293" s="11" t="s">
        <v>994</v>
      </c>
      <c r="E293" s="12" t="s">
        <v>994</v>
      </c>
      <c r="F293" s="12" t="s">
        <v>994</v>
      </c>
      <c r="G293" s="12" t="s">
        <v>994</v>
      </c>
      <c r="H293" s="12" t="s">
        <v>994</v>
      </c>
      <c r="I293" s="12" t="s">
        <v>994</v>
      </c>
      <c r="J293" s="12" t="s">
        <v>994</v>
      </c>
      <c r="K293" s="12" t="s">
        <v>994</v>
      </c>
      <c r="L293" s="13" t="s">
        <v>994</v>
      </c>
      <c r="M293" s="11" t="s">
        <v>994</v>
      </c>
      <c r="N293" s="11" t="s">
        <v>994</v>
      </c>
      <c r="O293" s="11" t="s">
        <v>994</v>
      </c>
      <c r="P293" s="11" t="s">
        <v>994</v>
      </c>
      <c r="Q293" s="11" t="s">
        <v>994</v>
      </c>
      <c r="R293" s="11" t="s">
        <v>994</v>
      </c>
      <c r="S293" s="11" t="s">
        <v>994</v>
      </c>
      <c r="T293" s="11" t="s">
        <v>994</v>
      </c>
      <c r="U293" s="11" t="s">
        <v>994</v>
      </c>
      <c r="V293" s="11" t="s">
        <v>994</v>
      </c>
      <c r="W293" s="11" t="s">
        <v>994</v>
      </c>
      <c r="X293" s="11" t="s">
        <v>994</v>
      </c>
      <c r="Y293" s="11" t="s">
        <v>994</v>
      </c>
      <c r="Z293" s="11" t="s">
        <v>994</v>
      </c>
      <c r="AA293" s="11" t="s">
        <v>994</v>
      </c>
      <c r="AB293" s="11" t="s">
        <v>994</v>
      </c>
      <c r="AC293" s="11" t="s">
        <v>994</v>
      </c>
      <c r="AD293" s="11" t="s">
        <v>994</v>
      </c>
    </row>
    <row r="294">
      <c r="B294" s="12" t="s">
        <v>994</v>
      </c>
      <c r="C294" s="11" t="s">
        <v>994</v>
      </c>
      <c r="D294" s="11" t="s">
        <v>994</v>
      </c>
      <c r="E294" s="12" t="s">
        <v>994</v>
      </c>
      <c r="F294" s="12" t="s">
        <v>994</v>
      </c>
      <c r="G294" s="12" t="s">
        <v>994</v>
      </c>
      <c r="H294" s="12" t="s">
        <v>994</v>
      </c>
      <c r="I294" s="12" t="s">
        <v>994</v>
      </c>
      <c r="J294" s="12" t="s">
        <v>994</v>
      </c>
      <c r="K294" s="12" t="s">
        <v>994</v>
      </c>
      <c r="L294" s="13" t="s">
        <v>994</v>
      </c>
      <c r="M294" s="11" t="s">
        <v>994</v>
      </c>
      <c r="N294" s="11" t="s">
        <v>994</v>
      </c>
      <c r="O294" s="11" t="s">
        <v>994</v>
      </c>
      <c r="P294" s="11" t="s">
        <v>994</v>
      </c>
      <c r="Q294" s="11" t="s">
        <v>994</v>
      </c>
      <c r="R294" s="11" t="s">
        <v>994</v>
      </c>
      <c r="S294" s="11" t="s">
        <v>994</v>
      </c>
      <c r="T294" s="11" t="s">
        <v>994</v>
      </c>
      <c r="U294" s="11" t="s">
        <v>994</v>
      </c>
      <c r="V294" s="11" t="s">
        <v>994</v>
      </c>
      <c r="W294" s="11" t="s">
        <v>994</v>
      </c>
      <c r="X294" s="11" t="s">
        <v>994</v>
      </c>
      <c r="Y294" s="11" t="s">
        <v>994</v>
      </c>
      <c r="Z294" s="11" t="s">
        <v>994</v>
      </c>
      <c r="AA294" s="11" t="s">
        <v>994</v>
      </c>
      <c r="AB294" s="11" t="s">
        <v>994</v>
      </c>
      <c r="AC294" s="11" t="s">
        <v>994</v>
      </c>
      <c r="AD294" s="11" t="s">
        <v>994</v>
      </c>
    </row>
    <row r="295">
      <c r="B295" s="12" t="s">
        <v>994</v>
      </c>
      <c r="C295" s="11" t="s">
        <v>994</v>
      </c>
      <c r="D295" s="11" t="s">
        <v>994</v>
      </c>
      <c r="E295" s="12" t="s">
        <v>994</v>
      </c>
      <c r="F295" s="12" t="s">
        <v>994</v>
      </c>
      <c r="G295" s="12" t="s">
        <v>994</v>
      </c>
      <c r="H295" s="12" t="s">
        <v>994</v>
      </c>
      <c r="I295" s="12" t="s">
        <v>994</v>
      </c>
      <c r="J295" s="12" t="s">
        <v>994</v>
      </c>
      <c r="K295" s="12" t="s">
        <v>994</v>
      </c>
      <c r="L295" s="13" t="s">
        <v>994</v>
      </c>
      <c r="M295" s="11" t="s">
        <v>994</v>
      </c>
      <c r="N295" s="11" t="s">
        <v>994</v>
      </c>
      <c r="O295" s="11" t="s">
        <v>994</v>
      </c>
      <c r="P295" s="11" t="s">
        <v>994</v>
      </c>
      <c r="Q295" s="11" t="s">
        <v>994</v>
      </c>
      <c r="R295" s="11" t="s">
        <v>994</v>
      </c>
      <c r="S295" s="11" t="s">
        <v>994</v>
      </c>
      <c r="T295" s="11" t="s">
        <v>994</v>
      </c>
      <c r="U295" s="11" t="s">
        <v>994</v>
      </c>
      <c r="V295" s="11" t="s">
        <v>994</v>
      </c>
      <c r="W295" s="11" t="s">
        <v>994</v>
      </c>
      <c r="X295" s="11" t="s">
        <v>994</v>
      </c>
      <c r="Y295" s="11" t="s">
        <v>994</v>
      </c>
      <c r="Z295" s="11" t="s">
        <v>994</v>
      </c>
      <c r="AA295" s="11" t="s">
        <v>994</v>
      </c>
      <c r="AB295" s="11" t="s">
        <v>994</v>
      </c>
      <c r="AC295" s="11" t="s">
        <v>994</v>
      </c>
      <c r="AD295" s="11" t="s">
        <v>994</v>
      </c>
    </row>
    <row r="296">
      <c r="B296" s="12" t="s">
        <v>994</v>
      </c>
      <c r="C296" s="11" t="s">
        <v>994</v>
      </c>
      <c r="D296" s="11" t="s">
        <v>994</v>
      </c>
      <c r="E296" s="12" t="s">
        <v>994</v>
      </c>
      <c r="F296" s="12" t="s">
        <v>994</v>
      </c>
      <c r="G296" s="12" t="s">
        <v>994</v>
      </c>
      <c r="H296" s="12" t="s">
        <v>994</v>
      </c>
      <c r="I296" s="12" t="s">
        <v>994</v>
      </c>
      <c r="J296" s="12" t="s">
        <v>994</v>
      </c>
      <c r="K296" s="12" t="s">
        <v>994</v>
      </c>
      <c r="L296" s="13" t="s">
        <v>994</v>
      </c>
      <c r="M296" s="11" t="s">
        <v>994</v>
      </c>
      <c r="N296" s="11" t="s">
        <v>994</v>
      </c>
      <c r="O296" s="11" t="s">
        <v>994</v>
      </c>
      <c r="P296" s="11" t="s">
        <v>994</v>
      </c>
      <c r="Q296" s="11" t="s">
        <v>994</v>
      </c>
      <c r="R296" s="11" t="s">
        <v>994</v>
      </c>
      <c r="S296" s="11" t="s">
        <v>994</v>
      </c>
      <c r="T296" s="11" t="s">
        <v>994</v>
      </c>
      <c r="U296" s="11" t="s">
        <v>994</v>
      </c>
      <c r="V296" s="11" t="s">
        <v>994</v>
      </c>
      <c r="W296" s="11" t="s">
        <v>994</v>
      </c>
      <c r="X296" s="11" t="s">
        <v>994</v>
      </c>
      <c r="Y296" s="11" t="s">
        <v>994</v>
      </c>
      <c r="Z296" s="11" t="s">
        <v>994</v>
      </c>
      <c r="AA296" s="11" t="s">
        <v>994</v>
      </c>
      <c r="AB296" s="11" t="s">
        <v>994</v>
      </c>
      <c r="AC296" s="11" t="s">
        <v>994</v>
      </c>
      <c r="AD296" s="11" t="s">
        <v>994</v>
      </c>
    </row>
    <row r="297">
      <c r="B297" s="12" t="s">
        <v>994</v>
      </c>
      <c r="C297" s="11" t="s">
        <v>994</v>
      </c>
      <c r="D297" s="11" t="s">
        <v>994</v>
      </c>
      <c r="E297" s="12" t="s">
        <v>994</v>
      </c>
      <c r="F297" s="12" t="s">
        <v>994</v>
      </c>
      <c r="G297" s="12" t="s">
        <v>994</v>
      </c>
      <c r="H297" s="12" t="s">
        <v>994</v>
      </c>
      <c r="I297" s="12" t="s">
        <v>994</v>
      </c>
      <c r="J297" s="12" t="s">
        <v>994</v>
      </c>
      <c r="K297" s="12" t="s">
        <v>994</v>
      </c>
      <c r="L297" s="13" t="s">
        <v>994</v>
      </c>
      <c r="M297" s="11" t="s">
        <v>994</v>
      </c>
      <c r="N297" s="11" t="s">
        <v>994</v>
      </c>
      <c r="O297" s="11" t="s">
        <v>994</v>
      </c>
      <c r="P297" s="11" t="s">
        <v>994</v>
      </c>
      <c r="Q297" s="11" t="s">
        <v>994</v>
      </c>
      <c r="R297" s="11" t="s">
        <v>994</v>
      </c>
      <c r="S297" s="11" t="s">
        <v>994</v>
      </c>
      <c r="T297" s="11" t="s">
        <v>994</v>
      </c>
      <c r="U297" s="11" t="s">
        <v>994</v>
      </c>
      <c r="V297" s="11" t="s">
        <v>994</v>
      </c>
      <c r="W297" s="11" t="s">
        <v>994</v>
      </c>
      <c r="X297" s="11" t="s">
        <v>994</v>
      </c>
      <c r="Y297" s="11" t="s">
        <v>994</v>
      </c>
      <c r="Z297" s="11" t="s">
        <v>994</v>
      </c>
      <c r="AA297" s="11" t="s">
        <v>994</v>
      </c>
      <c r="AB297" s="11" t="s">
        <v>994</v>
      </c>
      <c r="AC297" s="11" t="s">
        <v>994</v>
      </c>
      <c r="AD297" s="11" t="s">
        <v>994</v>
      </c>
    </row>
    <row r="298">
      <c r="B298" s="12" t="s">
        <v>994</v>
      </c>
      <c r="C298" s="11" t="s">
        <v>994</v>
      </c>
      <c r="D298" s="11" t="s">
        <v>994</v>
      </c>
      <c r="E298" s="12" t="s">
        <v>994</v>
      </c>
      <c r="F298" s="12" t="s">
        <v>994</v>
      </c>
      <c r="G298" s="12" t="s">
        <v>994</v>
      </c>
      <c r="H298" s="12" t="s">
        <v>994</v>
      </c>
      <c r="I298" s="12" t="s">
        <v>994</v>
      </c>
      <c r="J298" s="12" t="s">
        <v>994</v>
      </c>
      <c r="K298" s="12" t="s">
        <v>994</v>
      </c>
      <c r="L298" s="13" t="s">
        <v>994</v>
      </c>
      <c r="M298" s="11" t="s">
        <v>994</v>
      </c>
      <c r="N298" s="11" t="s">
        <v>994</v>
      </c>
      <c r="O298" s="11" t="s">
        <v>994</v>
      </c>
      <c r="P298" s="11" t="s">
        <v>994</v>
      </c>
      <c r="Q298" s="11" t="s">
        <v>994</v>
      </c>
      <c r="R298" s="11" t="s">
        <v>994</v>
      </c>
      <c r="S298" s="11" t="s">
        <v>994</v>
      </c>
      <c r="T298" s="11" t="s">
        <v>994</v>
      </c>
      <c r="U298" s="11" t="s">
        <v>994</v>
      </c>
      <c r="V298" s="11" t="s">
        <v>994</v>
      </c>
      <c r="W298" s="11" t="s">
        <v>994</v>
      </c>
      <c r="X298" s="11" t="s">
        <v>994</v>
      </c>
      <c r="Y298" s="11" t="s">
        <v>994</v>
      </c>
      <c r="Z298" s="11" t="s">
        <v>994</v>
      </c>
      <c r="AA298" s="11" t="s">
        <v>994</v>
      </c>
      <c r="AB298" s="11" t="s">
        <v>994</v>
      </c>
      <c r="AC298" s="11" t="s">
        <v>994</v>
      </c>
      <c r="AD298" s="11" t="s">
        <v>994</v>
      </c>
    </row>
    <row r="299">
      <c r="B299" s="12" t="s">
        <v>994</v>
      </c>
      <c r="C299" s="11" t="s">
        <v>994</v>
      </c>
      <c r="D299" s="11" t="s">
        <v>994</v>
      </c>
      <c r="E299" s="12" t="s">
        <v>994</v>
      </c>
      <c r="F299" s="12" t="s">
        <v>994</v>
      </c>
      <c r="G299" s="12" t="s">
        <v>994</v>
      </c>
      <c r="H299" s="12" t="s">
        <v>994</v>
      </c>
      <c r="I299" s="12" t="s">
        <v>994</v>
      </c>
      <c r="J299" s="12" t="s">
        <v>994</v>
      </c>
      <c r="K299" s="12" t="s">
        <v>994</v>
      </c>
      <c r="L299" s="13" t="s">
        <v>994</v>
      </c>
      <c r="M299" s="11" t="s">
        <v>994</v>
      </c>
      <c r="N299" s="11" t="s">
        <v>994</v>
      </c>
      <c r="O299" s="11" t="s">
        <v>994</v>
      </c>
      <c r="P299" s="11" t="s">
        <v>994</v>
      </c>
      <c r="Q299" s="11" t="s">
        <v>994</v>
      </c>
      <c r="R299" s="11" t="s">
        <v>994</v>
      </c>
      <c r="S299" s="11" t="s">
        <v>994</v>
      </c>
      <c r="T299" s="11" t="s">
        <v>994</v>
      </c>
      <c r="U299" s="11" t="s">
        <v>994</v>
      </c>
      <c r="V299" s="11" t="s">
        <v>994</v>
      </c>
      <c r="W299" s="11" t="s">
        <v>994</v>
      </c>
      <c r="X299" s="11" t="s">
        <v>994</v>
      </c>
      <c r="Y299" s="11" t="s">
        <v>994</v>
      </c>
      <c r="Z299" s="11" t="s">
        <v>994</v>
      </c>
      <c r="AA299" s="11" t="s">
        <v>994</v>
      </c>
      <c r="AB299" s="11" t="s">
        <v>994</v>
      </c>
      <c r="AC299" s="11" t="s">
        <v>994</v>
      </c>
      <c r="AD299" s="11" t="s">
        <v>994</v>
      </c>
    </row>
    <row r="300">
      <c r="B300" s="12" t="s">
        <v>994</v>
      </c>
      <c r="C300" s="11" t="s">
        <v>994</v>
      </c>
      <c r="D300" s="11" t="s">
        <v>994</v>
      </c>
      <c r="E300" s="12" t="s">
        <v>994</v>
      </c>
      <c r="F300" s="12" t="s">
        <v>994</v>
      </c>
      <c r="G300" s="12" t="s">
        <v>994</v>
      </c>
      <c r="H300" s="12" t="s">
        <v>994</v>
      </c>
      <c r="I300" s="12" t="s">
        <v>994</v>
      </c>
      <c r="J300" s="12" t="s">
        <v>994</v>
      </c>
      <c r="K300" s="12" t="s">
        <v>994</v>
      </c>
      <c r="L300" s="13" t="s">
        <v>994</v>
      </c>
      <c r="M300" s="11" t="s">
        <v>994</v>
      </c>
      <c r="N300" s="11" t="s">
        <v>994</v>
      </c>
      <c r="O300" s="11" t="s">
        <v>994</v>
      </c>
      <c r="P300" s="11" t="s">
        <v>994</v>
      </c>
      <c r="Q300" s="11" t="s">
        <v>994</v>
      </c>
      <c r="R300" s="11" t="s">
        <v>994</v>
      </c>
      <c r="S300" s="11" t="s">
        <v>994</v>
      </c>
      <c r="T300" s="11" t="s">
        <v>994</v>
      </c>
      <c r="U300" s="11" t="s">
        <v>994</v>
      </c>
      <c r="V300" s="11" t="s">
        <v>994</v>
      </c>
      <c r="W300" s="11" t="s">
        <v>994</v>
      </c>
      <c r="X300" s="11" t="s">
        <v>994</v>
      </c>
      <c r="Y300" s="11" t="s">
        <v>994</v>
      </c>
      <c r="Z300" s="11" t="s">
        <v>994</v>
      </c>
      <c r="AA300" s="11" t="s">
        <v>994</v>
      </c>
      <c r="AB300" s="11" t="s">
        <v>994</v>
      </c>
      <c r="AC300" s="11" t="s">
        <v>994</v>
      </c>
      <c r="AD300" s="11" t="s">
        <v>994</v>
      </c>
    </row>
    <row r="301">
      <c r="B301" s="12" t="s">
        <v>994</v>
      </c>
      <c r="C301" s="11" t="s">
        <v>994</v>
      </c>
      <c r="D301" s="11" t="s">
        <v>994</v>
      </c>
      <c r="E301" s="12" t="s">
        <v>994</v>
      </c>
      <c r="F301" s="12" t="s">
        <v>994</v>
      </c>
      <c r="G301" s="12" t="s">
        <v>994</v>
      </c>
      <c r="H301" s="12" t="s">
        <v>994</v>
      </c>
      <c r="I301" s="12" t="s">
        <v>994</v>
      </c>
      <c r="J301" s="12" t="s">
        <v>994</v>
      </c>
      <c r="K301" s="12" t="s">
        <v>994</v>
      </c>
      <c r="L301" s="13" t="s">
        <v>994</v>
      </c>
      <c r="M301" s="11" t="s">
        <v>994</v>
      </c>
      <c r="N301" s="11" t="s">
        <v>994</v>
      </c>
      <c r="O301" s="11" t="s">
        <v>994</v>
      </c>
      <c r="P301" s="11" t="s">
        <v>994</v>
      </c>
      <c r="Q301" s="11" t="s">
        <v>994</v>
      </c>
      <c r="R301" s="11" t="s">
        <v>994</v>
      </c>
      <c r="S301" s="11" t="s">
        <v>994</v>
      </c>
      <c r="T301" s="11" t="s">
        <v>994</v>
      </c>
      <c r="U301" s="11" t="s">
        <v>994</v>
      </c>
      <c r="V301" s="11" t="s">
        <v>994</v>
      </c>
      <c r="W301" s="11" t="s">
        <v>994</v>
      </c>
      <c r="X301" s="11" t="s">
        <v>994</v>
      </c>
      <c r="Y301" s="11" t="s">
        <v>994</v>
      </c>
      <c r="Z301" s="11" t="s">
        <v>994</v>
      </c>
      <c r="AA301" s="11" t="s">
        <v>994</v>
      </c>
      <c r="AB301" s="11" t="s">
        <v>994</v>
      </c>
      <c r="AC301" s="11" t="s">
        <v>994</v>
      </c>
      <c r="AD301" s="11" t="s">
        <v>994</v>
      </c>
    </row>
    <row r="302">
      <c r="B302" s="12" t="s">
        <v>994</v>
      </c>
      <c r="C302" s="11" t="s">
        <v>994</v>
      </c>
      <c r="D302" s="11" t="s">
        <v>994</v>
      </c>
      <c r="E302" s="12" t="s">
        <v>994</v>
      </c>
      <c r="F302" s="12" t="s">
        <v>994</v>
      </c>
      <c r="G302" s="12" t="s">
        <v>994</v>
      </c>
      <c r="H302" s="12" t="s">
        <v>994</v>
      </c>
      <c r="I302" s="12" t="s">
        <v>994</v>
      </c>
      <c r="J302" s="12" t="s">
        <v>994</v>
      </c>
      <c r="K302" s="12" t="s">
        <v>994</v>
      </c>
      <c r="L302" s="13" t="s">
        <v>994</v>
      </c>
      <c r="M302" s="11" t="s">
        <v>994</v>
      </c>
      <c r="N302" s="11" t="s">
        <v>994</v>
      </c>
      <c r="O302" s="11" t="s">
        <v>994</v>
      </c>
      <c r="P302" s="11" t="s">
        <v>994</v>
      </c>
      <c r="Q302" s="11" t="s">
        <v>994</v>
      </c>
      <c r="R302" s="11" t="s">
        <v>994</v>
      </c>
      <c r="S302" s="11" t="s">
        <v>994</v>
      </c>
      <c r="T302" s="11" t="s">
        <v>994</v>
      </c>
      <c r="U302" s="11" t="s">
        <v>994</v>
      </c>
      <c r="V302" s="11" t="s">
        <v>994</v>
      </c>
      <c r="W302" s="11" t="s">
        <v>994</v>
      </c>
      <c r="X302" s="11" t="s">
        <v>994</v>
      </c>
      <c r="Y302" s="11" t="s">
        <v>994</v>
      </c>
      <c r="Z302" s="11" t="s">
        <v>994</v>
      </c>
      <c r="AA302" s="11" t="s">
        <v>994</v>
      </c>
      <c r="AB302" s="11" t="s">
        <v>994</v>
      </c>
      <c r="AC302" s="11" t="s">
        <v>994</v>
      </c>
      <c r="AD302" s="11" t="s">
        <v>994</v>
      </c>
    </row>
    <row r="303">
      <c r="B303" s="12" t="s">
        <v>994</v>
      </c>
      <c r="C303" s="11" t="s">
        <v>994</v>
      </c>
      <c r="D303" s="11" t="s">
        <v>994</v>
      </c>
      <c r="E303" s="12" t="s">
        <v>994</v>
      </c>
      <c r="F303" s="12" t="s">
        <v>994</v>
      </c>
      <c r="G303" s="12" t="s">
        <v>994</v>
      </c>
      <c r="H303" s="12" t="s">
        <v>994</v>
      </c>
      <c r="I303" s="12" t="s">
        <v>994</v>
      </c>
      <c r="J303" s="12" t="s">
        <v>994</v>
      </c>
      <c r="K303" s="12" t="s">
        <v>994</v>
      </c>
      <c r="L303" s="13" t="s">
        <v>994</v>
      </c>
      <c r="M303" s="11" t="s">
        <v>994</v>
      </c>
      <c r="N303" s="11" t="s">
        <v>994</v>
      </c>
      <c r="O303" s="11" t="s">
        <v>994</v>
      </c>
      <c r="P303" s="11" t="s">
        <v>994</v>
      </c>
      <c r="Q303" s="11" t="s">
        <v>994</v>
      </c>
      <c r="R303" s="11" t="s">
        <v>994</v>
      </c>
      <c r="S303" s="11" t="s">
        <v>994</v>
      </c>
      <c r="T303" s="11" t="s">
        <v>994</v>
      </c>
      <c r="U303" s="11" t="s">
        <v>994</v>
      </c>
      <c r="V303" s="11" t="s">
        <v>994</v>
      </c>
      <c r="W303" s="11" t="s">
        <v>994</v>
      </c>
      <c r="X303" s="11" t="s">
        <v>994</v>
      </c>
      <c r="Y303" s="11" t="s">
        <v>994</v>
      </c>
      <c r="Z303" s="11" t="s">
        <v>994</v>
      </c>
      <c r="AA303" s="11" t="s">
        <v>994</v>
      </c>
      <c r="AB303" s="11" t="s">
        <v>994</v>
      </c>
      <c r="AC303" s="11" t="s">
        <v>994</v>
      </c>
      <c r="AD303" s="11" t="s">
        <v>994</v>
      </c>
    </row>
    <row r="304">
      <c r="B304" s="12" t="s">
        <v>994</v>
      </c>
      <c r="C304" s="11" t="s">
        <v>994</v>
      </c>
      <c r="D304" s="11" t="s">
        <v>994</v>
      </c>
      <c r="E304" s="12" t="s">
        <v>994</v>
      </c>
      <c r="F304" s="12" t="s">
        <v>994</v>
      </c>
      <c r="G304" s="12" t="s">
        <v>994</v>
      </c>
      <c r="H304" s="12" t="s">
        <v>994</v>
      </c>
      <c r="I304" s="12" t="s">
        <v>994</v>
      </c>
      <c r="J304" s="12" t="s">
        <v>994</v>
      </c>
      <c r="K304" s="12" t="s">
        <v>994</v>
      </c>
      <c r="L304" s="13" t="s">
        <v>994</v>
      </c>
      <c r="M304" s="11" t="s">
        <v>994</v>
      </c>
      <c r="N304" s="11" t="s">
        <v>994</v>
      </c>
      <c r="O304" s="11" t="s">
        <v>994</v>
      </c>
      <c r="P304" s="11" t="s">
        <v>994</v>
      </c>
      <c r="Q304" s="11" t="s">
        <v>994</v>
      </c>
      <c r="R304" s="11" t="s">
        <v>994</v>
      </c>
      <c r="S304" s="11" t="s">
        <v>994</v>
      </c>
      <c r="T304" s="11" t="s">
        <v>994</v>
      </c>
      <c r="U304" s="11" t="s">
        <v>994</v>
      </c>
      <c r="V304" s="11" t="s">
        <v>994</v>
      </c>
      <c r="W304" s="11" t="s">
        <v>994</v>
      </c>
      <c r="X304" s="11" t="s">
        <v>994</v>
      </c>
      <c r="Y304" s="11" t="s">
        <v>994</v>
      </c>
      <c r="Z304" s="11" t="s">
        <v>994</v>
      </c>
      <c r="AA304" s="11" t="s">
        <v>994</v>
      </c>
      <c r="AB304" s="11" t="s">
        <v>994</v>
      </c>
      <c r="AC304" s="11" t="s">
        <v>994</v>
      </c>
      <c r="AD304" s="11" t="s">
        <v>994</v>
      </c>
    </row>
    <row r="305">
      <c r="B305" s="12" t="s">
        <v>994</v>
      </c>
      <c r="C305" s="11" t="s">
        <v>994</v>
      </c>
      <c r="D305" s="11" t="s">
        <v>994</v>
      </c>
      <c r="E305" s="12" t="s">
        <v>994</v>
      </c>
      <c r="F305" s="12" t="s">
        <v>994</v>
      </c>
      <c r="G305" s="12" t="s">
        <v>994</v>
      </c>
      <c r="H305" s="12" t="s">
        <v>994</v>
      </c>
      <c r="I305" s="12" t="s">
        <v>994</v>
      </c>
      <c r="J305" s="12" t="s">
        <v>994</v>
      </c>
      <c r="K305" s="12" t="s">
        <v>994</v>
      </c>
      <c r="L305" s="13" t="s">
        <v>994</v>
      </c>
      <c r="M305" s="11" t="s">
        <v>994</v>
      </c>
      <c r="N305" s="11" t="s">
        <v>994</v>
      </c>
      <c r="O305" s="11" t="s">
        <v>994</v>
      </c>
      <c r="P305" s="11" t="s">
        <v>994</v>
      </c>
      <c r="Q305" s="11" t="s">
        <v>994</v>
      </c>
      <c r="R305" s="11" t="s">
        <v>994</v>
      </c>
      <c r="S305" s="11" t="s">
        <v>994</v>
      </c>
      <c r="T305" s="11" t="s">
        <v>994</v>
      </c>
      <c r="U305" s="11" t="s">
        <v>994</v>
      </c>
      <c r="V305" s="11" t="s">
        <v>994</v>
      </c>
      <c r="W305" s="11" t="s">
        <v>994</v>
      </c>
      <c r="X305" s="11" t="s">
        <v>994</v>
      </c>
      <c r="Y305" s="11" t="s">
        <v>994</v>
      </c>
      <c r="Z305" s="11" t="s">
        <v>994</v>
      </c>
      <c r="AA305" s="11" t="s">
        <v>994</v>
      </c>
      <c r="AB305" s="11" t="s">
        <v>994</v>
      </c>
      <c r="AC305" s="11" t="s">
        <v>994</v>
      </c>
      <c r="AD305" s="11" t="s">
        <v>994</v>
      </c>
    </row>
    <row r="306">
      <c r="B306" s="12" t="s">
        <v>994</v>
      </c>
      <c r="C306" s="11" t="s">
        <v>994</v>
      </c>
      <c r="D306" s="11" t="s">
        <v>994</v>
      </c>
      <c r="E306" s="12" t="s">
        <v>994</v>
      </c>
      <c r="F306" s="12" t="s">
        <v>994</v>
      </c>
      <c r="G306" s="12" t="s">
        <v>994</v>
      </c>
      <c r="H306" s="12" t="s">
        <v>994</v>
      </c>
      <c r="I306" s="12" t="s">
        <v>994</v>
      </c>
      <c r="J306" s="12" t="s">
        <v>994</v>
      </c>
      <c r="K306" s="12" t="s">
        <v>994</v>
      </c>
      <c r="L306" s="13" t="s">
        <v>994</v>
      </c>
      <c r="M306" s="11" t="s">
        <v>994</v>
      </c>
      <c r="N306" s="11" t="s">
        <v>994</v>
      </c>
      <c r="O306" s="11" t="s">
        <v>994</v>
      </c>
      <c r="P306" s="11" t="s">
        <v>994</v>
      </c>
      <c r="Q306" s="11" t="s">
        <v>994</v>
      </c>
      <c r="R306" s="11" t="s">
        <v>994</v>
      </c>
      <c r="S306" s="11" t="s">
        <v>994</v>
      </c>
      <c r="T306" s="11" t="s">
        <v>994</v>
      </c>
      <c r="U306" s="11" t="s">
        <v>994</v>
      </c>
      <c r="V306" s="11" t="s">
        <v>994</v>
      </c>
      <c r="W306" s="11" t="s">
        <v>994</v>
      </c>
      <c r="X306" s="11" t="s">
        <v>994</v>
      </c>
      <c r="Y306" s="11" t="s">
        <v>994</v>
      </c>
      <c r="Z306" s="11" t="s">
        <v>994</v>
      </c>
      <c r="AA306" s="11" t="s">
        <v>994</v>
      </c>
      <c r="AB306" s="11" t="s">
        <v>994</v>
      </c>
      <c r="AC306" s="11" t="s">
        <v>994</v>
      </c>
      <c r="AD306" s="11" t="s">
        <v>994</v>
      </c>
    </row>
    <row r="307">
      <c r="B307" s="12" t="s">
        <v>994</v>
      </c>
      <c r="C307" s="11" t="s">
        <v>994</v>
      </c>
      <c r="D307" s="11" t="s">
        <v>994</v>
      </c>
      <c r="E307" s="12" t="s">
        <v>994</v>
      </c>
      <c r="F307" s="12" t="s">
        <v>994</v>
      </c>
      <c r="G307" s="12" t="s">
        <v>994</v>
      </c>
      <c r="H307" s="12" t="s">
        <v>994</v>
      </c>
      <c r="I307" s="12" t="s">
        <v>994</v>
      </c>
      <c r="J307" s="12" t="s">
        <v>994</v>
      </c>
      <c r="K307" s="12" t="s">
        <v>994</v>
      </c>
      <c r="L307" s="13" t="s">
        <v>994</v>
      </c>
      <c r="M307" s="11" t="s">
        <v>994</v>
      </c>
      <c r="N307" s="11" t="s">
        <v>994</v>
      </c>
      <c r="O307" s="11" t="s">
        <v>994</v>
      </c>
      <c r="P307" s="11" t="s">
        <v>994</v>
      </c>
      <c r="Q307" s="11" t="s">
        <v>994</v>
      </c>
      <c r="R307" s="11" t="s">
        <v>994</v>
      </c>
      <c r="S307" s="11" t="s">
        <v>994</v>
      </c>
      <c r="T307" s="11" t="s">
        <v>994</v>
      </c>
      <c r="U307" s="11" t="s">
        <v>994</v>
      </c>
      <c r="V307" s="11" t="s">
        <v>994</v>
      </c>
      <c r="W307" s="11" t="s">
        <v>994</v>
      </c>
      <c r="X307" s="11" t="s">
        <v>994</v>
      </c>
      <c r="Y307" s="11" t="s">
        <v>994</v>
      </c>
      <c r="Z307" s="11" t="s">
        <v>994</v>
      </c>
      <c r="AA307" s="11" t="s">
        <v>994</v>
      </c>
      <c r="AB307" s="11" t="s">
        <v>994</v>
      </c>
      <c r="AC307" s="11" t="s">
        <v>994</v>
      </c>
      <c r="AD307" s="11" t="s">
        <v>994</v>
      </c>
    </row>
    <row r="308">
      <c r="B308" s="12" t="s">
        <v>994</v>
      </c>
      <c r="C308" s="11" t="s">
        <v>994</v>
      </c>
      <c r="D308" s="11" t="s">
        <v>994</v>
      </c>
      <c r="E308" s="12" t="s">
        <v>994</v>
      </c>
      <c r="F308" s="12" t="s">
        <v>994</v>
      </c>
      <c r="G308" s="12" t="s">
        <v>994</v>
      </c>
      <c r="H308" s="12" t="s">
        <v>994</v>
      </c>
      <c r="I308" s="12" t="s">
        <v>994</v>
      </c>
      <c r="J308" s="12" t="s">
        <v>994</v>
      </c>
      <c r="K308" s="12" t="s">
        <v>994</v>
      </c>
      <c r="L308" s="13" t="s">
        <v>994</v>
      </c>
      <c r="M308" s="11" t="s">
        <v>994</v>
      </c>
      <c r="N308" s="11" t="s">
        <v>994</v>
      </c>
      <c r="O308" s="11" t="s">
        <v>994</v>
      </c>
      <c r="P308" s="11" t="s">
        <v>994</v>
      </c>
      <c r="Q308" s="11" t="s">
        <v>994</v>
      </c>
      <c r="R308" s="11" t="s">
        <v>994</v>
      </c>
      <c r="S308" s="11" t="s">
        <v>994</v>
      </c>
      <c r="T308" s="11" t="s">
        <v>994</v>
      </c>
      <c r="U308" s="11" t="s">
        <v>994</v>
      </c>
      <c r="V308" s="11" t="s">
        <v>994</v>
      </c>
      <c r="W308" s="11" t="s">
        <v>994</v>
      </c>
      <c r="X308" s="11" t="s">
        <v>994</v>
      </c>
      <c r="Y308" s="11" t="s">
        <v>994</v>
      </c>
      <c r="Z308" s="11" t="s">
        <v>994</v>
      </c>
      <c r="AA308" s="11" t="s">
        <v>994</v>
      </c>
      <c r="AB308" s="11" t="s">
        <v>994</v>
      </c>
      <c r="AC308" s="11" t="s">
        <v>994</v>
      </c>
      <c r="AD308" s="11" t="s">
        <v>994</v>
      </c>
    </row>
    <row r="309">
      <c r="B309" s="12" t="s">
        <v>994</v>
      </c>
      <c r="C309" s="11" t="s">
        <v>994</v>
      </c>
      <c r="D309" s="11" t="s">
        <v>994</v>
      </c>
      <c r="E309" s="12" t="s">
        <v>994</v>
      </c>
      <c r="F309" s="12" t="s">
        <v>994</v>
      </c>
      <c r="G309" s="12" t="s">
        <v>994</v>
      </c>
      <c r="H309" s="12" t="s">
        <v>994</v>
      </c>
      <c r="I309" s="12" t="s">
        <v>994</v>
      </c>
      <c r="J309" s="12" t="s">
        <v>994</v>
      </c>
      <c r="K309" s="12" t="s">
        <v>994</v>
      </c>
      <c r="L309" s="13" t="s">
        <v>994</v>
      </c>
      <c r="M309" s="11" t="s">
        <v>994</v>
      </c>
      <c r="N309" s="11" t="s">
        <v>994</v>
      </c>
      <c r="O309" s="11" t="s">
        <v>994</v>
      </c>
      <c r="P309" s="11" t="s">
        <v>994</v>
      </c>
      <c r="Q309" s="11" t="s">
        <v>994</v>
      </c>
      <c r="R309" s="11" t="s">
        <v>994</v>
      </c>
      <c r="S309" s="11" t="s">
        <v>994</v>
      </c>
      <c r="T309" s="11" t="s">
        <v>994</v>
      </c>
      <c r="U309" s="11" t="s">
        <v>994</v>
      </c>
      <c r="V309" s="11" t="s">
        <v>994</v>
      </c>
      <c r="W309" s="11" t="s">
        <v>994</v>
      </c>
      <c r="X309" s="11" t="s">
        <v>994</v>
      </c>
      <c r="Y309" s="11" t="s">
        <v>994</v>
      </c>
      <c r="Z309" s="11" t="s">
        <v>994</v>
      </c>
      <c r="AA309" s="11" t="s">
        <v>994</v>
      </c>
      <c r="AB309" s="11" t="s">
        <v>994</v>
      </c>
      <c r="AC309" s="11" t="s">
        <v>994</v>
      </c>
      <c r="AD309" s="11" t="s">
        <v>994</v>
      </c>
    </row>
    <row r="310">
      <c r="B310" s="12" t="s">
        <v>994</v>
      </c>
      <c r="C310" s="11" t="s">
        <v>994</v>
      </c>
      <c r="D310" s="11" t="s">
        <v>994</v>
      </c>
      <c r="E310" s="12" t="s">
        <v>994</v>
      </c>
      <c r="F310" s="12" t="s">
        <v>994</v>
      </c>
      <c r="G310" s="12" t="s">
        <v>994</v>
      </c>
      <c r="H310" s="12" t="s">
        <v>994</v>
      </c>
      <c r="I310" s="12" t="s">
        <v>994</v>
      </c>
      <c r="J310" s="12" t="s">
        <v>994</v>
      </c>
      <c r="K310" s="12" t="s">
        <v>994</v>
      </c>
      <c r="L310" s="13" t="s">
        <v>994</v>
      </c>
      <c r="M310" s="11" t="s">
        <v>994</v>
      </c>
      <c r="N310" s="11" t="s">
        <v>994</v>
      </c>
      <c r="O310" s="11" t="s">
        <v>994</v>
      </c>
      <c r="P310" s="11" t="s">
        <v>994</v>
      </c>
      <c r="Q310" s="11" t="s">
        <v>994</v>
      </c>
      <c r="R310" s="11" t="s">
        <v>994</v>
      </c>
      <c r="S310" s="11" t="s">
        <v>994</v>
      </c>
      <c r="T310" s="11" t="s">
        <v>994</v>
      </c>
      <c r="U310" s="11" t="s">
        <v>994</v>
      </c>
      <c r="V310" s="11" t="s">
        <v>994</v>
      </c>
      <c r="W310" s="11" t="s">
        <v>994</v>
      </c>
      <c r="X310" s="11" t="s">
        <v>994</v>
      </c>
      <c r="Y310" s="11" t="s">
        <v>994</v>
      </c>
      <c r="Z310" s="11" t="s">
        <v>994</v>
      </c>
      <c r="AA310" s="11" t="s">
        <v>994</v>
      </c>
      <c r="AB310" s="11" t="s">
        <v>994</v>
      </c>
      <c r="AC310" s="11" t="s">
        <v>994</v>
      </c>
      <c r="AD310" s="11" t="s">
        <v>994</v>
      </c>
    </row>
    <row r="311">
      <c r="B311" s="12" t="s">
        <v>994</v>
      </c>
      <c r="C311" s="11" t="s">
        <v>994</v>
      </c>
      <c r="D311" s="11" t="s">
        <v>994</v>
      </c>
      <c r="E311" s="12" t="s">
        <v>994</v>
      </c>
      <c r="F311" s="12" t="s">
        <v>994</v>
      </c>
      <c r="G311" s="12" t="s">
        <v>994</v>
      </c>
      <c r="H311" s="12" t="s">
        <v>994</v>
      </c>
      <c r="I311" s="12" t="s">
        <v>994</v>
      </c>
      <c r="J311" s="12" t="s">
        <v>994</v>
      </c>
      <c r="K311" s="12" t="s">
        <v>994</v>
      </c>
      <c r="L311" s="13" t="s">
        <v>994</v>
      </c>
      <c r="M311" s="11" t="s">
        <v>994</v>
      </c>
      <c r="N311" s="11" t="s">
        <v>994</v>
      </c>
      <c r="O311" s="11" t="s">
        <v>994</v>
      </c>
      <c r="P311" s="11" t="s">
        <v>994</v>
      </c>
      <c r="Q311" s="11" t="s">
        <v>994</v>
      </c>
      <c r="R311" s="11" t="s">
        <v>994</v>
      </c>
      <c r="S311" s="11" t="s">
        <v>994</v>
      </c>
      <c r="T311" s="11" t="s">
        <v>994</v>
      </c>
      <c r="U311" s="11" t="s">
        <v>994</v>
      </c>
      <c r="V311" s="11" t="s">
        <v>994</v>
      </c>
      <c r="W311" s="11" t="s">
        <v>994</v>
      </c>
      <c r="X311" s="11" t="s">
        <v>994</v>
      </c>
      <c r="Y311" s="11" t="s">
        <v>994</v>
      </c>
      <c r="Z311" s="11" t="s">
        <v>994</v>
      </c>
      <c r="AA311" s="11" t="s">
        <v>994</v>
      </c>
      <c r="AB311" s="11" t="s">
        <v>994</v>
      </c>
      <c r="AC311" s="11" t="s">
        <v>994</v>
      </c>
      <c r="AD311" s="11" t="s">
        <v>994</v>
      </c>
    </row>
    <row r="312">
      <c r="B312" s="12" t="s">
        <v>994</v>
      </c>
      <c r="C312" s="11" t="s">
        <v>994</v>
      </c>
      <c r="D312" s="11" t="s">
        <v>994</v>
      </c>
      <c r="E312" s="12" t="s">
        <v>994</v>
      </c>
      <c r="F312" s="12" t="s">
        <v>994</v>
      </c>
      <c r="G312" s="12" t="s">
        <v>994</v>
      </c>
      <c r="H312" s="12" t="s">
        <v>994</v>
      </c>
      <c r="I312" s="12" t="s">
        <v>994</v>
      </c>
      <c r="J312" s="12" t="s">
        <v>994</v>
      </c>
      <c r="K312" s="12" t="s">
        <v>994</v>
      </c>
      <c r="L312" s="13" t="s">
        <v>994</v>
      </c>
      <c r="M312" s="11" t="s">
        <v>994</v>
      </c>
      <c r="N312" s="11" t="s">
        <v>994</v>
      </c>
      <c r="O312" s="11" t="s">
        <v>994</v>
      </c>
      <c r="P312" s="11" t="s">
        <v>994</v>
      </c>
      <c r="Q312" s="11" t="s">
        <v>994</v>
      </c>
      <c r="R312" s="11" t="s">
        <v>994</v>
      </c>
      <c r="S312" s="11" t="s">
        <v>994</v>
      </c>
      <c r="T312" s="11" t="s">
        <v>994</v>
      </c>
      <c r="U312" s="11" t="s">
        <v>994</v>
      </c>
      <c r="V312" s="11" t="s">
        <v>994</v>
      </c>
      <c r="W312" s="11" t="s">
        <v>994</v>
      </c>
      <c r="X312" s="11" t="s">
        <v>994</v>
      </c>
      <c r="Y312" s="11" t="s">
        <v>994</v>
      </c>
      <c r="Z312" s="11" t="s">
        <v>994</v>
      </c>
      <c r="AA312" s="11" t="s">
        <v>994</v>
      </c>
      <c r="AB312" s="11" t="s">
        <v>994</v>
      </c>
      <c r="AC312" s="11" t="s">
        <v>994</v>
      </c>
      <c r="AD312" s="11" t="s">
        <v>994</v>
      </c>
    </row>
    <row r="313">
      <c r="B313" s="12" t="s">
        <v>994</v>
      </c>
      <c r="C313" s="11" t="s">
        <v>994</v>
      </c>
      <c r="D313" s="11" t="s">
        <v>994</v>
      </c>
      <c r="E313" s="12" t="s">
        <v>994</v>
      </c>
      <c r="F313" s="12" t="s">
        <v>994</v>
      </c>
      <c r="G313" s="12" t="s">
        <v>994</v>
      </c>
      <c r="H313" s="12" t="s">
        <v>994</v>
      </c>
      <c r="I313" s="12" t="s">
        <v>994</v>
      </c>
      <c r="J313" s="12" t="s">
        <v>994</v>
      </c>
      <c r="K313" s="12" t="s">
        <v>994</v>
      </c>
      <c r="L313" s="13" t="s">
        <v>994</v>
      </c>
      <c r="M313" s="11" t="s">
        <v>994</v>
      </c>
      <c r="N313" s="11" t="s">
        <v>994</v>
      </c>
      <c r="O313" s="11" t="s">
        <v>994</v>
      </c>
      <c r="P313" s="11" t="s">
        <v>994</v>
      </c>
      <c r="Q313" s="11" t="s">
        <v>994</v>
      </c>
      <c r="R313" s="11" t="s">
        <v>994</v>
      </c>
      <c r="S313" s="11" t="s">
        <v>994</v>
      </c>
      <c r="T313" s="11" t="s">
        <v>994</v>
      </c>
      <c r="U313" s="11" t="s">
        <v>994</v>
      </c>
      <c r="V313" s="11" t="s">
        <v>994</v>
      </c>
      <c r="W313" s="11" t="s">
        <v>994</v>
      </c>
      <c r="X313" s="11" t="s">
        <v>994</v>
      </c>
      <c r="Y313" s="11" t="s">
        <v>994</v>
      </c>
      <c r="Z313" s="11" t="s">
        <v>994</v>
      </c>
      <c r="AA313" s="11" t="s">
        <v>994</v>
      </c>
      <c r="AB313" s="11" t="s">
        <v>994</v>
      </c>
      <c r="AC313" s="11" t="s">
        <v>994</v>
      </c>
      <c r="AD313" s="11" t="s">
        <v>994</v>
      </c>
    </row>
    <row r="314">
      <c r="B314" s="12" t="s">
        <v>994</v>
      </c>
      <c r="C314" s="11" t="s">
        <v>994</v>
      </c>
      <c r="D314" s="11" t="s">
        <v>994</v>
      </c>
      <c r="E314" s="12" t="s">
        <v>994</v>
      </c>
      <c r="F314" s="12" t="s">
        <v>994</v>
      </c>
      <c r="G314" s="12" t="s">
        <v>994</v>
      </c>
      <c r="H314" s="12" t="s">
        <v>994</v>
      </c>
      <c r="I314" s="12" t="s">
        <v>994</v>
      </c>
      <c r="J314" s="12" t="s">
        <v>994</v>
      </c>
      <c r="K314" s="12" t="s">
        <v>994</v>
      </c>
      <c r="L314" s="13" t="s">
        <v>994</v>
      </c>
      <c r="M314" s="11" t="s">
        <v>994</v>
      </c>
      <c r="N314" s="11" t="s">
        <v>994</v>
      </c>
      <c r="O314" s="11" t="s">
        <v>994</v>
      </c>
      <c r="P314" s="11" t="s">
        <v>994</v>
      </c>
      <c r="Q314" s="11" t="s">
        <v>994</v>
      </c>
      <c r="R314" s="11" t="s">
        <v>994</v>
      </c>
      <c r="S314" s="11" t="s">
        <v>994</v>
      </c>
      <c r="T314" s="11" t="s">
        <v>994</v>
      </c>
      <c r="U314" s="11" t="s">
        <v>994</v>
      </c>
      <c r="V314" s="11" t="s">
        <v>994</v>
      </c>
      <c r="W314" s="11" t="s">
        <v>994</v>
      </c>
      <c r="X314" s="11" t="s">
        <v>994</v>
      </c>
      <c r="Y314" s="11" t="s">
        <v>994</v>
      </c>
      <c r="Z314" s="11" t="s">
        <v>994</v>
      </c>
      <c r="AA314" s="11" t="s">
        <v>994</v>
      </c>
      <c r="AB314" s="11" t="s">
        <v>994</v>
      </c>
      <c r="AC314" s="11" t="s">
        <v>994</v>
      </c>
      <c r="AD314" s="11" t="s">
        <v>994</v>
      </c>
    </row>
    <row r="315">
      <c r="B315" s="12" t="s">
        <v>994</v>
      </c>
      <c r="C315" s="11" t="s">
        <v>994</v>
      </c>
      <c r="D315" s="11" t="s">
        <v>994</v>
      </c>
      <c r="E315" s="12" t="s">
        <v>994</v>
      </c>
      <c r="F315" s="12" t="s">
        <v>994</v>
      </c>
      <c r="G315" s="12" t="s">
        <v>994</v>
      </c>
      <c r="H315" s="12" t="s">
        <v>994</v>
      </c>
      <c r="I315" s="12" t="s">
        <v>994</v>
      </c>
      <c r="J315" s="12" t="s">
        <v>994</v>
      </c>
      <c r="K315" s="12" t="s">
        <v>994</v>
      </c>
      <c r="L315" s="13" t="s">
        <v>994</v>
      </c>
      <c r="M315" s="11" t="s">
        <v>994</v>
      </c>
      <c r="N315" s="11" t="s">
        <v>994</v>
      </c>
      <c r="O315" s="11" t="s">
        <v>994</v>
      </c>
      <c r="P315" s="11" t="s">
        <v>994</v>
      </c>
      <c r="Q315" s="11" t="s">
        <v>994</v>
      </c>
      <c r="R315" s="11" t="s">
        <v>994</v>
      </c>
      <c r="S315" s="11" t="s">
        <v>994</v>
      </c>
      <c r="T315" s="11" t="s">
        <v>994</v>
      </c>
      <c r="U315" s="11" t="s">
        <v>994</v>
      </c>
      <c r="V315" s="11" t="s">
        <v>994</v>
      </c>
      <c r="W315" s="11" t="s">
        <v>994</v>
      </c>
      <c r="X315" s="11" t="s">
        <v>994</v>
      </c>
      <c r="Y315" s="11" t="s">
        <v>994</v>
      </c>
      <c r="Z315" s="11" t="s">
        <v>994</v>
      </c>
      <c r="AA315" s="11" t="s">
        <v>994</v>
      </c>
      <c r="AB315" s="11" t="s">
        <v>994</v>
      </c>
      <c r="AC315" s="11" t="s">
        <v>994</v>
      </c>
      <c r="AD315" s="11" t="s">
        <v>994</v>
      </c>
    </row>
    <row r="316">
      <c r="B316" s="12" t="s">
        <v>994</v>
      </c>
      <c r="C316" s="11" t="s">
        <v>994</v>
      </c>
      <c r="D316" s="11" t="s">
        <v>994</v>
      </c>
      <c r="E316" s="12" t="s">
        <v>994</v>
      </c>
      <c r="F316" s="12" t="s">
        <v>994</v>
      </c>
      <c r="G316" s="12" t="s">
        <v>994</v>
      </c>
      <c r="H316" s="12" t="s">
        <v>994</v>
      </c>
      <c r="I316" s="12" t="s">
        <v>994</v>
      </c>
      <c r="J316" s="12" t="s">
        <v>994</v>
      </c>
      <c r="K316" s="12" t="s">
        <v>994</v>
      </c>
      <c r="L316" s="13" t="s">
        <v>994</v>
      </c>
      <c r="M316" s="11" t="s">
        <v>994</v>
      </c>
      <c r="N316" s="11" t="s">
        <v>994</v>
      </c>
      <c r="O316" s="11" t="s">
        <v>994</v>
      </c>
      <c r="P316" s="11" t="s">
        <v>994</v>
      </c>
      <c r="Q316" s="11" t="s">
        <v>994</v>
      </c>
      <c r="R316" s="11" t="s">
        <v>994</v>
      </c>
      <c r="S316" s="11" t="s">
        <v>994</v>
      </c>
      <c r="T316" s="11" t="s">
        <v>994</v>
      </c>
      <c r="U316" s="11" t="s">
        <v>994</v>
      </c>
      <c r="V316" s="11" t="s">
        <v>994</v>
      </c>
      <c r="W316" s="11" t="s">
        <v>994</v>
      </c>
      <c r="X316" s="11" t="s">
        <v>994</v>
      </c>
      <c r="Y316" s="11" t="s">
        <v>994</v>
      </c>
      <c r="Z316" s="11" t="s">
        <v>994</v>
      </c>
      <c r="AA316" s="11" t="s">
        <v>994</v>
      </c>
      <c r="AB316" s="11" t="s">
        <v>994</v>
      </c>
      <c r="AC316" s="11" t="s">
        <v>994</v>
      </c>
      <c r="AD316" s="11" t="s">
        <v>994</v>
      </c>
    </row>
    <row r="317">
      <c r="B317" s="12" t="s">
        <v>994</v>
      </c>
      <c r="C317" s="11" t="s">
        <v>994</v>
      </c>
      <c r="D317" s="11" t="s">
        <v>994</v>
      </c>
      <c r="E317" s="12" t="s">
        <v>994</v>
      </c>
      <c r="F317" s="12" t="s">
        <v>994</v>
      </c>
      <c r="G317" s="12" t="s">
        <v>994</v>
      </c>
      <c r="H317" s="12" t="s">
        <v>994</v>
      </c>
      <c r="I317" s="12" t="s">
        <v>994</v>
      </c>
      <c r="J317" s="12" t="s">
        <v>994</v>
      </c>
      <c r="K317" s="12" t="s">
        <v>994</v>
      </c>
      <c r="L317" s="13" t="s">
        <v>994</v>
      </c>
      <c r="M317" s="11" t="s">
        <v>994</v>
      </c>
      <c r="N317" s="11" t="s">
        <v>994</v>
      </c>
      <c r="O317" s="11" t="s">
        <v>994</v>
      </c>
      <c r="P317" s="11" t="s">
        <v>994</v>
      </c>
      <c r="Q317" s="11" t="s">
        <v>994</v>
      </c>
      <c r="R317" s="11" t="s">
        <v>994</v>
      </c>
      <c r="S317" s="11" t="s">
        <v>994</v>
      </c>
      <c r="T317" s="11" t="s">
        <v>994</v>
      </c>
      <c r="U317" s="11" t="s">
        <v>994</v>
      </c>
      <c r="V317" s="11" t="s">
        <v>994</v>
      </c>
      <c r="W317" s="11" t="s">
        <v>994</v>
      </c>
      <c r="X317" s="11" t="s">
        <v>994</v>
      </c>
      <c r="Y317" s="11" t="s">
        <v>994</v>
      </c>
      <c r="Z317" s="11" t="s">
        <v>994</v>
      </c>
      <c r="AA317" s="11" t="s">
        <v>994</v>
      </c>
      <c r="AB317" s="11" t="s">
        <v>994</v>
      </c>
      <c r="AC317" s="11" t="s">
        <v>994</v>
      </c>
      <c r="AD317" s="11" t="s">
        <v>994</v>
      </c>
    </row>
    <row r="318">
      <c r="B318" s="12" t="s">
        <v>994</v>
      </c>
      <c r="C318" s="11" t="s">
        <v>994</v>
      </c>
      <c r="D318" s="11" t="s">
        <v>994</v>
      </c>
      <c r="E318" s="12" t="s">
        <v>994</v>
      </c>
      <c r="F318" s="12" t="s">
        <v>994</v>
      </c>
      <c r="G318" s="12" t="s">
        <v>994</v>
      </c>
      <c r="H318" s="12" t="s">
        <v>994</v>
      </c>
      <c r="I318" s="12" t="s">
        <v>994</v>
      </c>
      <c r="J318" s="12" t="s">
        <v>994</v>
      </c>
      <c r="K318" s="12" t="s">
        <v>994</v>
      </c>
      <c r="L318" s="13" t="s">
        <v>994</v>
      </c>
      <c r="M318" s="11" t="s">
        <v>994</v>
      </c>
      <c r="N318" s="11" t="s">
        <v>994</v>
      </c>
      <c r="O318" s="11" t="s">
        <v>994</v>
      </c>
      <c r="P318" s="11" t="s">
        <v>994</v>
      </c>
      <c r="Q318" s="11" t="s">
        <v>994</v>
      </c>
      <c r="R318" s="11" t="s">
        <v>994</v>
      </c>
      <c r="S318" s="11" t="s">
        <v>994</v>
      </c>
      <c r="T318" s="11" t="s">
        <v>994</v>
      </c>
      <c r="U318" s="11" t="s">
        <v>994</v>
      </c>
      <c r="V318" s="11" t="s">
        <v>994</v>
      </c>
      <c r="W318" s="11" t="s">
        <v>994</v>
      </c>
      <c r="X318" s="11" t="s">
        <v>994</v>
      </c>
      <c r="Y318" s="11" t="s">
        <v>994</v>
      </c>
      <c r="Z318" s="11" t="s">
        <v>994</v>
      </c>
      <c r="AA318" s="11" t="s">
        <v>994</v>
      </c>
      <c r="AB318" s="11" t="s">
        <v>994</v>
      </c>
      <c r="AC318" s="11" t="s">
        <v>994</v>
      </c>
      <c r="AD318" s="11" t="s">
        <v>994</v>
      </c>
    </row>
    <row r="319">
      <c r="B319" s="12" t="s">
        <v>994</v>
      </c>
      <c r="C319" s="11" t="s">
        <v>994</v>
      </c>
      <c r="D319" s="11" t="s">
        <v>994</v>
      </c>
      <c r="E319" s="12" t="s">
        <v>994</v>
      </c>
      <c r="F319" s="12" t="s">
        <v>994</v>
      </c>
      <c r="G319" s="12" t="s">
        <v>994</v>
      </c>
      <c r="H319" s="12" t="s">
        <v>994</v>
      </c>
      <c r="I319" s="12" t="s">
        <v>994</v>
      </c>
      <c r="J319" s="12" t="s">
        <v>994</v>
      </c>
      <c r="K319" s="12" t="s">
        <v>994</v>
      </c>
      <c r="L319" s="13" t="s">
        <v>994</v>
      </c>
      <c r="M319" s="11" t="s">
        <v>994</v>
      </c>
      <c r="N319" s="11" t="s">
        <v>994</v>
      </c>
      <c r="O319" s="11" t="s">
        <v>994</v>
      </c>
      <c r="P319" s="11" t="s">
        <v>994</v>
      </c>
      <c r="Q319" s="11" t="s">
        <v>994</v>
      </c>
      <c r="R319" s="11" t="s">
        <v>994</v>
      </c>
      <c r="S319" s="11" t="s">
        <v>994</v>
      </c>
      <c r="T319" s="11" t="s">
        <v>994</v>
      </c>
      <c r="U319" s="11" t="s">
        <v>994</v>
      </c>
      <c r="V319" s="11" t="s">
        <v>994</v>
      </c>
      <c r="W319" s="11" t="s">
        <v>994</v>
      </c>
      <c r="X319" s="11" t="s">
        <v>994</v>
      </c>
      <c r="Y319" s="11" t="s">
        <v>994</v>
      </c>
      <c r="Z319" s="11" t="s">
        <v>994</v>
      </c>
      <c r="AA319" s="11" t="s">
        <v>994</v>
      </c>
      <c r="AB319" s="11" t="s">
        <v>994</v>
      </c>
      <c r="AC319" s="11" t="s">
        <v>994</v>
      </c>
      <c r="AD319" s="11" t="s">
        <v>994</v>
      </c>
    </row>
    <row r="320">
      <c r="B320" s="12" t="s">
        <v>994</v>
      </c>
      <c r="C320" s="11" t="s">
        <v>994</v>
      </c>
      <c r="D320" s="11" t="s">
        <v>994</v>
      </c>
      <c r="E320" s="12" t="s">
        <v>994</v>
      </c>
      <c r="F320" s="12" t="s">
        <v>994</v>
      </c>
      <c r="G320" s="12" t="s">
        <v>994</v>
      </c>
      <c r="H320" s="12" t="s">
        <v>994</v>
      </c>
      <c r="I320" s="12" t="s">
        <v>994</v>
      </c>
      <c r="J320" s="12" t="s">
        <v>994</v>
      </c>
      <c r="K320" s="12" t="s">
        <v>994</v>
      </c>
      <c r="L320" s="13" t="s">
        <v>994</v>
      </c>
      <c r="M320" s="11" t="s">
        <v>994</v>
      </c>
      <c r="N320" s="11" t="s">
        <v>994</v>
      </c>
      <c r="O320" s="11" t="s">
        <v>994</v>
      </c>
      <c r="P320" s="11" t="s">
        <v>994</v>
      </c>
      <c r="Q320" s="11" t="s">
        <v>994</v>
      </c>
      <c r="R320" s="11" t="s">
        <v>994</v>
      </c>
      <c r="S320" s="11" t="s">
        <v>994</v>
      </c>
      <c r="T320" s="11" t="s">
        <v>994</v>
      </c>
      <c r="U320" s="11" t="s">
        <v>994</v>
      </c>
      <c r="V320" s="11" t="s">
        <v>994</v>
      </c>
      <c r="W320" s="11" t="s">
        <v>994</v>
      </c>
      <c r="X320" s="11" t="s">
        <v>994</v>
      </c>
      <c r="Y320" s="11" t="s">
        <v>994</v>
      </c>
      <c r="Z320" s="11" t="s">
        <v>994</v>
      </c>
      <c r="AA320" s="11" t="s">
        <v>994</v>
      </c>
      <c r="AB320" s="11" t="s">
        <v>994</v>
      </c>
      <c r="AC320" s="11" t="s">
        <v>994</v>
      </c>
      <c r="AD320" s="11" t="s">
        <v>994</v>
      </c>
    </row>
    <row r="321">
      <c r="B321" s="12" t="s">
        <v>994</v>
      </c>
      <c r="C321" s="11" t="s">
        <v>994</v>
      </c>
      <c r="D321" s="11" t="s">
        <v>994</v>
      </c>
      <c r="E321" s="12" t="s">
        <v>994</v>
      </c>
      <c r="F321" s="12" t="s">
        <v>994</v>
      </c>
      <c r="G321" s="12" t="s">
        <v>994</v>
      </c>
      <c r="H321" s="12" t="s">
        <v>994</v>
      </c>
      <c r="I321" s="12" t="s">
        <v>994</v>
      </c>
      <c r="J321" s="12" t="s">
        <v>994</v>
      </c>
      <c r="K321" s="12" t="s">
        <v>994</v>
      </c>
      <c r="L321" s="13" t="s">
        <v>994</v>
      </c>
      <c r="M321" s="11" t="s">
        <v>994</v>
      </c>
      <c r="N321" s="11" t="s">
        <v>994</v>
      </c>
      <c r="O321" s="11" t="s">
        <v>994</v>
      </c>
      <c r="P321" s="11" t="s">
        <v>994</v>
      </c>
      <c r="Q321" s="11" t="s">
        <v>994</v>
      </c>
      <c r="R321" s="11" t="s">
        <v>994</v>
      </c>
      <c r="S321" s="11" t="s">
        <v>994</v>
      </c>
      <c r="T321" s="11" t="s">
        <v>994</v>
      </c>
      <c r="U321" s="11" t="s">
        <v>994</v>
      </c>
      <c r="V321" s="11" t="s">
        <v>994</v>
      </c>
      <c r="W321" s="11" t="s">
        <v>994</v>
      </c>
      <c r="X321" s="11" t="s">
        <v>994</v>
      </c>
      <c r="Y321" s="11" t="s">
        <v>994</v>
      </c>
      <c r="Z321" s="11" t="s">
        <v>994</v>
      </c>
      <c r="AA321" s="11" t="s">
        <v>994</v>
      </c>
      <c r="AB321" s="11" t="s">
        <v>994</v>
      </c>
      <c r="AC321" s="11" t="s">
        <v>994</v>
      </c>
      <c r="AD321" s="11" t="s">
        <v>994</v>
      </c>
    </row>
    <row r="322">
      <c r="B322" s="12" t="s">
        <v>994</v>
      </c>
      <c r="C322" s="11" t="s">
        <v>994</v>
      </c>
      <c r="D322" s="11" t="s">
        <v>994</v>
      </c>
      <c r="E322" s="12" t="s">
        <v>994</v>
      </c>
      <c r="F322" s="12" t="s">
        <v>994</v>
      </c>
      <c r="G322" s="12" t="s">
        <v>994</v>
      </c>
      <c r="H322" s="12" t="s">
        <v>994</v>
      </c>
      <c r="I322" s="12" t="s">
        <v>994</v>
      </c>
      <c r="J322" s="12" t="s">
        <v>994</v>
      </c>
      <c r="K322" s="12" t="s">
        <v>994</v>
      </c>
      <c r="L322" s="13" t="s">
        <v>994</v>
      </c>
      <c r="M322" s="11" t="s">
        <v>994</v>
      </c>
      <c r="N322" s="11" t="s">
        <v>994</v>
      </c>
      <c r="O322" s="11" t="s">
        <v>994</v>
      </c>
      <c r="P322" s="11" t="s">
        <v>994</v>
      </c>
      <c r="Q322" s="11" t="s">
        <v>994</v>
      </c>
      <c r="R322" s="11" t="s">
        <v>994</v>
      </c>
      <c r="S322" s="11" t="s">
        <v>994</v>
      </c>
      <c r="T322" s="11" t="s">
        <v>994</v>
      </c>
      <c r="U322" s="11" t="s">
        <v>994</v>
      </c>
      <c r="V322" s="11" t="s">
        <v>994</v>
      </c>
      <c r="W322" s="11" t="s">
        <v>994</v>
      </c>
      <c r="X322" s="11" t="s">
        <v>994</v>
      </c>
      <c r="Y322" s="11" t="s">
        <v>994</v>
      </c>
      <c r="Z322" s="11" t="s">
        <v>994</v>
      </c>
      <c r="AA322" s="11" t="s">
        <v>994</v>
      </c>
      <c r="AB322" s="11" t="s">
        <v>994</v>
      </c>
      <c r="AC322" s="11" t="s">
        <v>994</v>
      </c>
      <c r="AD322" s="11" t="s">
        <v>994</v>
      </c>
    </row>
    <row r="323">
      <c r="B323" s="12" t="s">
        <v>994</v>
      </c>
      <c r="C323" s="11" t="s">
        <v>994</v>
      </c>
      <c r="D323" s="11" t="s">
        <v>994</v>
      </c>
      <c r="E323" s="12" t="s">
        <v>994</v>
      </c>
      <c r="F323" s="12" t="s">
        <v>994</v>
      </c>
      <c r="G323" s="12" t="s">
        <v>994</v>
      </c>
      <c r="H323" s="12" t="s">
        <v>994</v>
      </c>
      <c r="I323" s="12" t="s">
        <v>994</v>
      </c>
      <c r="J323" s="12" t="s">
        <v>994</v>
      </c>
      <c r="K323" s="12" t="s">
        <v>994</v>
      </c>
      <c r="L323" s="13" t="s">
        <v>994</v>
      </c>
      <c r="M323" s="11" t="s">
        <v>994</v>
      </c>
      <c r="N323" s="11" t="s">
        <v>994</v>
      </c>
      <c r="O323" s="11" t="s">
        <v>994</v>
      </c>
      <c r="P323" s="11" t="s">
        <v>994</v>
      </c>
      <c r="Q323" s="11" t="s">
        <v>994</v>
      </c>
      <c r="R323" s="11" t="s">
        <v>994</v>
      </c>
      <c r="S323" s="11" t="s">
        <v>994</v>
      </c>
      <c r="T323" s="11" t="s">
        <v>994</v>
      </c>
      <c r="U323" s="11" t="s">
        <v>994</v>
      </c>
      <c r="V323" s="11" t="s">
        <v>994</v>
      </c>
      <c r="W323" s="11" t="s">
        <v>994</v>
      </c>
      <c r="X323" s="11" t="s">
        <v>994</v>
      </c>
      <c r="Y323" s="11" t="s">
        <v>994</v>
      </c>
      <c r="Z323" s="11" t="s">
        <v>994</v>
      </c>
      <c r="AA323" s="11" t="s">
        <v>994</v>
      </c>
      <c r="AB323" s="11" t="s">
        <v>994</v>
      </c>
      <c r="AC323" s="11" t="s">
        <v>994</v>
      </c>
      <c r="AD323" s="11" t="s">
        <v>994</v>
      </c>
    </row>
    <row r="324">
      <c r="B324" s="12" t="s">
        <v>994</v>
      </c>
      <c r="C324" s="11" t="s">
        <v>994</v>
      </c>
      <c r="D324" s="11" t="s">
        <v>994</v>
      </c>
      <c r="E324" s="12" t="s">
        <v>994</v>
      </c>
      <c r="F324" s="12" t="s">
        <v>994</v>
      </c>
      <c r="G324" s="12" t="s">
        <v>994</v>
      </c>
      <c r="H324" s="12" t="s">
        <v>994</v>
      </c>
      <c r="I324" s="12" t="s">
        <v>994</v>
      </c>
      <c r="J324" s="12" t="s">
        <v>994</v>
      </c>
      <c r="K324" s="12" t="s">
        <v>994</v>
      </c>
      <c r="L324" s="13" t="s">
        <v>994</v>
      </c>
      <c r="M324" s="11" t="s">
        <v>994</v>
      </c>
      <c r="N324" s="11" t="s">
        <v>994</v>
      </c>
      <c r="O324" s="11" t="s">
        <v>994</v>
      </c>
      <c r="P324" s="11" t="s">
        <v>994</v>
      </c>
      <c r="Q324" s="11" t="s">
        <v>994</v>
      </c>
      <c r="R324" s="11" t="s">
        <v>994</v>
      </c>
      <c r="S324" s="11" t="s">
        <v>994</v>
      </c>
      <c r="T324" s="11" t="s">
        <v>994</v>
      </c>
      <c r="U324" s="11" t="s">
        <v>994</v>
      </c>
      <c r="V324" s="11" t="s">
        <v>994</v>
      </c>
      <c r="W324" s="11" t="s">
        <v>994</v>
      </c>
      <c r="X324" s="11" t="s">
        <v>994</v>
      </c>
      <c r="Y324" s="11" t="s">
        <v>994</v>
      </c>
      <c r="Z324" s="11" t="s">
        <v>994</v>
      </c>
      <c r="AA324" s="11" t="s">
        <v>994</v>
      </c>
      <c r="AB324" s="11" t="s">
        <v>994</v>
      </c>
      <c r="AC324" s="11" t="s">
        <v>994</v>
      </c>
      <c r="AD324" s="11" t="s">
        <v>994</v>
      </c>
    </row>
    <row r="325">
      <c r="B325" s="12" t="s">
        <v>994</v>
      </c>
      <c r="C325" s="11" t="s">
        <v>994</v>
      </c>
      <c r="D325" s="11" t="s">
        <v>994</v>
      </c>
      <c r="E325" s="12" t="s">
        <v>994</v>
      </c>
      <c r="F325" s="12" t="s">
        <v>994</v>
      </c>
      <c r="G325" s="12" t="s">
        <v>994</v>
      </c>
      <c r="H325" s="12" t="s">
        <v>994</v>
      </c>
      <c r="I325" s="12" t="s">
        <v>994</v>
      </c>
      <c r="J325" s="12" t="s">
        <v>994</v>
      </c>
      <c r="K325" s="12" t="s">
        <v>994</v>
      </c>
      <c r="L325" s="13" t="s">
        <v>994</v>
      </c>
      <c r="M325" s="11" t="s">
        <v>994</v>
      </c>
      <c r="N325" s="11" t="s">
        <v>994</v>
      </c>
      <c r="O325" s="11" t="s">
        <v>994</v>
      </c>
      <c r="P325" s="11" t="s">
        <v>994</v>
      </c>
      <c r="Q325" s="11" t="s">
        <v>994</v>
      </c>
      <c r="R325" s="11" t="s">
        <v>994</v>
      </c>
      <c r="S325" s="11" t="s">
        <v>994</v>
      </c>
      <c r="T325" s="11" t="s">
        <v>994</v>
      </c>
      <c r="U325" s="11" t="s">
        <v>994</v>
      </c>
      <c r="V325" s="11" t="s">
        <v>994</v>
      </c>
      <c r="W325" s="11" t="s">
        <v>994</v>
      </c>
      <c r="X325" s="11" t="s">
        <v>994</v>
      </c>
      <c r="Y325" s="11" t="s">
        <v>994</v>
      </c>
      <c r="Z325" s="11" t="s">
        <v>994</v>
      </c>
      <c r="AA325" s="11" t="s">
        <v>994</v>
      </c>
      <c r="AB325" s="11" t="s">
        <v>994</v>
      </c>
      <c r="AC325" s="11" t="s">
        <v>994</v>
      </c>
      <c r="AD325" s="11" t="s">
        <v>994</v>
      </c>
    </row>
    <row r="326">
      <c r="B326" s="12" t="s">
        <v>994</v>
      </c>
      <c r="C326" s="11" t="s">
        <v>994</v>
      </c>
      <c r="D326" s="11" t="s">
        <v>994</v>
      </c>
      <c r="E326" s="12" t="s">
        <v>994</v>
      </c>
      <c r="F326" s="12" t="s">
        <v>994</v>
      </c>
      <c r="G326" s="12" t="s">
        <v>994</v>
      </c>
      <c r="H326" s="12" t="s">
        <v>994</v>
      </c>
      <c r="I326" s="12" t="s">
        <v>994</v>
      </c>
      <c r="J326" s="12" t="s">
        <v>994</v>
      </c>
      <c r="K326" s="12" t="s">
        <v>994</v>
      </c>
      <c r="L326" s="13" t="s">
        <v>994</v>
      </c>
      <c r="M326" s="11" t="s">
        <v>994</v>
      </c>
      <c r="N326" s="11" t="s">
        <v>994</v>
      </c>
      <c r="O326" s="11" t="s">
        <v>994</v>
      </c>
      <c r="P326" s="11" t="s">
        <v>994</v>
      </c>
      <c r="Q326" s="11" t="s">
        <v>994</v>
      </c>
      <c r="R326" s="11" t="s">
        <v>994</v>
      </c>
      <c r="S326" s="11" t="s">
        <v>994</v>
      </c>
      <c r="T326" s="11" t="s">
        <v>994</v>
      </c>
      <c r="U326" s="11" t="s">
        <v>994</v>
      </c>
      <c r="V326" s="11" t="s">
        <v>994</v>
      </c>
      <c r="W326" s="11" t="s">
        <v>994</v>
      </c>
      <c r="X326" s="11" t="s">
        <v>994</v>
      </c>
      <c r="Y326" s="11" t="s">
        <v>994</v>
      </c>
      <c r="Z326" s="11" t="s">
        <v>994</v>
      </c>
      <c r="AA326" s="11" t="s">
        <v>994</v>
      </c>
      <c r="AB326" s="11" t="s">
        <v>994</v>
      </c>
      <c r="AC326" s="11" t="s">
        <v>994</v>
      </c>
      <c r="AD326" s="11" t="s">
        <v>994</v>
      </c>
    </row>
    <row r="327">
      <c r="B327" s="12" t="s">
        <v>994</v>
      </c>
      <c r="C327" s="11" t="s">
        <v>994</v>
      </c>
      <c r="D327" s="11" t="s">
        <v>994</v>
      </c>
      <c r="E327" s="12" t="s">
        <v>994</v>
      </c>
      <c r="F327" s="12" t="s">
        <v>994</v>
      </c>
      <c r="G327" s="12" t="s">
        <v>994</v>
      </c>
      <c r="H327" s="12" t="s">
        <v>994</v>
      </c>
      <c r="I327" s="12" t="s">
        <v>994</v>
      </c>
      <c r="J327" s="12" t="s">
        <v>994</v>
      </c>
      <c r="K327" s="12" t="s">
        <v>994</v>
      </c>
      <c r="L327" s="13" t="s">
        <v>994</v>
      </c>
      <c r="M327" s="11" t="s">
        <v>994</v>
      </c>
      <c r="N327" s="11" t="s">
        <v>994</v>
      </c>
      <c r="O327" s="11" t="s">
        <v>994</v>
      </c>
      <c r="P327" s="11" t="s">
        <v>994</v>
      </c>
      <c r="Q327" s="11" t="s">
        <v>994</v>
      </c>
      <c r="R327" s="11" t="s">
        <v>994</v>
      </c>
      <c r="S327" s="11" t="s">
        <v>994</v>
      </c>
      <c r="T327" s="11" t="s">
        <v>994</v>
      </c>
      <c r="U327" s="11" t="s">
        <v>994</v>
      </c>
      <c r="V327" s="11" t="s">
        <v>994</v>
      </c>
      <c r="W327" s="11" t="s">
        <v>994</v>
      </c>
      <c r="X327" s="11" t="s">
        <v>994</v>
      </c>
      <c r="Y327" s="11" t="s">
        <v>994</v>
      </c>
      <c r="Z327" s="11" t="s">
        <v>994</v>
      </c>
      <c r="AA327" s="11" t="s">
        <v>994</v>
      </c>
      <c r="AB327" s="11" t="s">
        <v>994</v>
      </c>
      <c r="AC327" s="11" t="s">
        <v>994</v>
      </c>
      <c r="AD327" s="11" t="s">
        <v>994</v>
      </c>
    </row>
    <row r="328">
      <c r="B328" s="12" t="s">
        <v>994</v>
      </c>
      <c r="C328" s="11" t="s">
        <v>994</v>
      </c>
      <c r="D328" s="11" t="s">
        <v>994</v>
      </c>
      <c r="E328" s="12" t="s">
        <v>994</v>
      </c>
      <c r="F328" s="12" t="s">
        <v>994</v>
      </c>
      <c r="G328" s="12" t="s">
        <v>994</v>
      </c>
      <c r="H328" s="12" t="s">
        <v>994</v>
      </c>
      <c r="I328" s="12" t="s">
        <v>994</v>
      </c>
      <c r="J328" s="12" t="s">
        <v>994</v>
      </c>
      <c r="K328" s="12" t="s">
        <v>994</v>
      </c>
      <c r="L328" s="13" t="s">
        <v>994</v>
      </c>
      <c r="M328" s="11" t="s">
        <v>994</v>
      </c>
      <c r="N328" s="11" t="s">
        <v>994</v>
      </c>
      <c r="O328" s="11" t="s">
        <v>994</v>
      </c>
      <c r="P328" s="11" t="s">
        <v>994</v>
      </c>
      <c r="Q328" s="11" t="s">
        <v>994</v>
      </c>
      <c r="R328" s="11" t="s">
        <v>994</v>
      </c>
      <c r="S328" s="11" t="s">
        <v>994</v>
      </c>
      <c r="T328" s="11" t="s">
        <v>994</v>
      </c>
      <c r="U328" s="11" t="s">
        <v>994</v>
      </c>
      <c r="V328" s="11" t="s">
        <v>994</v>
      </c>
      <c r="W328" s="11" t="s">
        <v>994</v>
      </c>
      <c r="X328" s="11" t="s">
        <v>994</v>
      </c>
      <c r="Y328" s="11" t="s">
        <v>994</v>
      </c>
      <c r="Z328" s="11" t="s">
        <v>994</v>
      </c>
      <c r="AA328" s="11" t="s">
        <v>994</v>
      </c>
      <c r="AB328" s="11" t="s">
        <v>994</v>
      </c>
      <c r="AC328" s="11" t="s">
        <v>994</v>
      </c>
      <c r="AD328" s="11" t="s">
        <v>994</v>
      </c>
    </row>
    <row r="329">
      <c r="B329" s="12" t="s">
        <v>994</v>
      </c>
      <c r="C329" s="11" t="s">
        <v>994</v>
      </c>
      <c r="D329" s="11" t="s">
        <v>994</v>
      </c>
      <c r="E329" s="12" t="s">
        <v>994</v>
      </c>
      <c r="F329" s="12" t="s">
        <v>994</v>
      </c>
      <c r="G329" s="12" t="s">
        <v>994</v>
      </c>
      <c r="H329" s="12" t="s">
        <v>994</v>
      </c>
      <c r="I329" s="12" t="s">
        <v>994</v>
      </c>
      <c r="J329" s="12" t="s">
        <v>994</v>
      </c>
      <c r="K329" s="12" t="s">
        <v>994</v>
      </c>
      <c r="L329" s="13" t="s">
        <v>994</v>
      </c>
      <c r="M329" s="11" t="s">
        <v>994</v>
      </c>
      <c r="N329" s="11" t="s">
        <v>994</v>
      </c>
      <c r="O329" s="11" t="s">
        <v>994</v>
      </c>
      <c r="P329" s="11" t="s">
        <v>994</v>
      </c>
      <c r="Q329" s="11" t="s">
        <v>994</v>
      </c>
      <c r="R329" s="11" t="s">
        <v>994</v>
      </c>
      <c r="S329" s="11" t="s">
        <v>994</v>
      </c>
      <c r="T329" s="11" t="s">
        <v>994</v>
      </c>
      <c r="U329" s="11" t="s">
        <v>994</v>
      </c>
      <c r="V329" s="11" t="s">
        <v>994</v>
      </c>
      <c r="W329" s="11" t="s">
        <v>994</v>
      </c>
      <c r="X329" s="11" t="s">
        <v>994</v>
      </c>
      <c r="Y329" s="11" t="s">
        <v>994</v>
      </c>
      <c r="Z329" s="11" t="s">
        <v>994</v>
      </c>
      <c r="AA329" s="11" t="s">
        <v>994</v>
      </c>
      <c r="AB329" s="11" t="s">
        <v>994</v>
      </c>
      <c r="AC329" s="11" t="s">
        <v>994</v>
      </c>
      <c r="AD329" s="11" t="s">
        <v>994</v>
      </c>
    </row>
    <row r="330">
      <c r="B330" s="12" t="s">
        <v>994</v>
      </c>
      <c r="C330" s="11" t="s">
        <v>994</v>
      </c>
      <c r="D330" s="11" t="s">
        <v>994</v>
      </c>
      <c r="E330" s="12" t="s">
        <v>994</v>
      </c>
      <c r="F330" s="12" t="s">
        <v>994</v>
      </c>
      <c r="G330" s="12" t="s">
        <v>994</v>
      </c>
      <c r="H330" s="12" t="s">
        <v>994</v>
      </c>
      <c r="I330" s="12" t="s">
        <v>994</v>
      </c>
      <c r="J330" s="12" t="s">
        <v>994</v>
      </c>
      <c r="K330" s="12" t="s">
        <v>994</v>
      </c>
      <c r="L330" s="13" t="s">
        <v>994</v>
      </c>
      <c r="M330" s="11" t="s">
        <v>994</v>
      </c>
      <c r="N330" s="11" t="s">
        <v>994</v>
      </c>
      <c r="O330" s="11" t="s">
        <v>994</v>
      </c>
      <c r="P330" s="11" t="s">
        <v>994</v>
      </c>
      <c r="Q330" s="11" t="s">
        <v>994</v>
      </c>
      <c r="R330" s="11" t="s">
        <v>994</v>
      </c>
      <c r="S330" s="11" t="s">
        <v>994</v>
      </c>
      <c r="T330" s="11" t="s">
        <v>994</v>
      </c>
      <c r="U330" s="11" t="s">
        <v>994</v>
      </c>
      <c r="V330" s="11" t="s">
        <v>994</v>
      </c>
      <c r="W330" s="11" t="s">
        <v>994</v>
      </c>
      <c r="X330" s="11" t="s">
        <v>994</v>
      </c>
      <c r="Y330" s="11" t="s">
        <v>994</v>
      </c>
      <c r="Z330" s="11" t="s">
        <v>994</v>
      </c>
      <c r="AA330" s="11" t="s">
        <v>994</v>
      </c>
      <c r="AB330" s="11" t="s">
        <v>994</v>
      </c>
      <c r="AC330" s="11" t="s">
        <v>994</v>
      </c>
      <c r="AD330" s="11" t="s">
        <v>994</v>
      </c>
    </row>
    <row r="331">
      <c r="B331" s="12" t="s">
        <v>994</v>
      </c>
      <c r="C331" s="11" t="s">
        <v>994</v>
      </c>
      <c r="D331" s="11" t="s">
        <v>994</v>
      </c>
      <c r="E331" s="12" t="s">
        <v>994</v>
      </c>
      <c r="F331" s="12" t="s">
        <v>994</v>
      </c>
      <c r="G331" s="12" t="s">
        <v>994</v>
      </c>
      <c r="H331" s="12" t="s">
        <v>994</v>
      </c>
      <c r="I331" s="12" t="s">
        <v>994</v>
      </c>
      <c r="J331" s="12" t="s">
        <v>994</v>
      </c>
      <c r="K331" s="12" t="s">
        <v>994</v>
      </c>
      <c r="L331" s="13" t="s">
        <v>994</v>
      </c>
      <c r="M331" s="11" t="s">
        <v>994</v>
      </c>
      <c r="N331" s="11" t="s">
        <v>994</v>
      </c>
      <c r="O331" s="11" t="s">
        <v>994</v>
      </c>
      <c r="P331" s="11" t="s">
        <v>994</v>
      </c>
      <c r="Q331" s="11" t="s">
        <v>994</v>
      </c>
      <c r="R331" s="11" t="s">
        <v>994</v>
      </c>
      <c r="S331" s="11" t="s">
        <v>994</v>
      </c>
      <c r="T331" s="11" t="s">
        <v>994</v>
      </c>
      <c r="U331" s="11" t="s">
        <v>994</v>
      </c>
      <c r="V331" s="11" t="s">
        <v>994</v>
      </c>
      <c r="W331" s="11" t="s">
        <v>994</v>
      </c>
      <c r="X331" s="11" t="s">
        <v>994</v>
      </c>
      <c r="Y331" s="11" t="s">
        <v>994</v>
      </c>
      <c r="Z331" s="11" t="s">
        <v>994</v>
      </c>
      <c r="AA331" s="11" t="s">
        <v>994</v>
      </c>
      <c r="AB331" s="11" t="s">
        <v>994</v>
      </c>
      <c r="AC331" s="11" t="s">
        <v>994</v>
      </c>
      <c r="AD331" s="11" t="s">
        <v>994</v>
      </c>
    </row>
    <row r="332">
      <c r="B332" s="12" t="s">
        <v>994</v>
      </c>
      <c r="C332" s="11" t="s">
        <v>994</v>
      </c>
      <c r="D332" s="11" t="s">
        <v>994</v>
      </c>
      <c r="E332" s="12" t="s">
        <v>994</v>
      </c>
      <c r="F332" s="12" t="s">
        <v>994</v>
      </c>
      <c r="G332" s="12" t="s">
        <v>994</v>
      </c>
      <c r="H332" s="12" t="s">
        <v>994</v>
      </c>
      <c r="I332" s="12" t="s">
        <v>994</v>
      </c>
      <c r="J332" s="12" t="s">
        <v>994</v>
      </c>
      <c r="K332" s="12" t="s">
        <v>994</v>
      </c>
      <c r="L332" s="13" t="s">
        <v>994</v>
      </c>
      <c r="M332" s="11" t="s">
        <v>994</v>
      </c>
      <c r="N332" s="11" t="s">
        <v>994</v>
      </c>
      <c r="O332" s="11" t="s">
        <v>994</v>
      </c>
      <c r="P332" s="11" t="s">
        <v>994</v>
      </c>
      <c r="Q332" s="11" t="s">
        <v>994</v>
      </c>
      <c r="R332" s="11" t="s">
        <v>994</v>
      </c>
      <c r="S332" s="11" t="s">
        <v>994</v>
      </c>
      <c r="T332" s="11" t="s">
        <v>994</v>
      </c>
      <c r="U332" s="11" t="s">
        <v>994</v>
      </c>
      <c r="V332" s="11" t="s">
        <v>994</v>
      </c>
      <c r="W332" s="11" t="s">
        <v>994</v>
      </c>
      <c r="X332" s="11" t="s">
        <v>994</v>
      </c>
      <c r="Y332" s="11" t="s">
        <v>994</v>
      </c>
      <c r="Z332" s="11" t="s">
        <v>994</v>
      </c>
      <c r="AA332" s="11" t="s">
        <v>994</v>
      </c>
      <c r="AB332" s="11" t="s">
        <v>994</v>
      </c>
      <c r="AC332" s="11" t="s">
        <v>994</v>
      </c>
      <c r="AD332" s="11" t="s">
        <v>994</v>
      </c>
    </row>
    <row r="333">
      <c r="B333" s="12" t="s">
        <v>994</v>
      </c>
      <c r="C333" s="11" t="s">
        <v>994</v>
      </c>
      <c r="D333" s="11" t="s">
        <v>994</v>
      </c>
      <c r="E333" s="12" t="s">
        <v>994</v>
      </c>
      <c r="F333" s="12" t="s">
        <v>994</v>
      </c>
      <c r="G333" s="12" t="s">
        <v>994</v>
      </c>
      <c r="H333" s="12" t="s">
        <v>994</v>
      </c>
      <c r="I333" s="12" t="s">
        <v>994</v>
      </c>
      <c r="J333" s="12" t="s">
        <v>994</v>
      </c>
      <c r="K333" s="12" t="s">
        <v>994</v>
      </c>
      <c r="L333" s="13" t="s">
        <v>994</v>
      </c>
      <c r="M333" s="11" t="s">
        <v>994</v>
      </c>
      <c r="N333" s="11" t="s">
        <v>994</v>
      </c>
      <c r="O333" s="11" t="s">
        <v>994</v>
      </c>
      <c r="P333" s="11" t="s">
        <v>994</v>
      </c>
      <c r="Q333" s="11" t="s">
        <v>994</v>
      </c>
      <c r="R333" s="11" t="s">
        <v>994</v>
      </c>
      <c r="S333" s="11" t="s">
        <v>994</v>
      </c>
      <c r="T333" s="11" t="s">
        <v>994</v>
      </c>
      <c r="U333" s="11" t="s">
        <v>994</v>
      </c>
      <c r="V333" s="11" t="s">
        <v>994</v>
      </c>
      <c r="W333" s="11" t="s">
        <v>994</v>
      </c>
      <c r="X333" s="11" t="s">
        <v>994</v>
      </c>
      <c r="Y333" s="11" t="s">
        <v>994</v>
      </c>
      <c r="Z333" s="11" t="s">
        <v>994</v>
      </c>
      <c r="AA333" s="11" t="s">
        <v>994</v>
      </c>
      <c r="AB333" s="11" t="s">
        <v>994</v>
      </c>
      <c r="AC333" s="11" t="s">
        <v>994</v>
      </c>
      <c r="AD333" s="11" t="s">
        <v>994</v>
      </c>
    </row>
    <row r="334">
      <c r="B334" s="12" t="s">
        <v>994</v>
      </c>
      <c r="C334" s="11" t="s">
        <v>994</v>
      </c>
      <c r="D334" s="11" t="s">
        <v>994</v>
      </c>
      <c r="E334" s="12" t="s">
        <v>994</v>
      </c>
      <c r="F334" s="12" t="s">
        <v>994</v>
      </c>
      <c r="G334" s="12" t="s">
        <v>994</v>
      </c>
      <c r="H334" s="12" t="s">
        <v>994</v>
      </c>
      <c r="I334" s="12" t="s">
        <v>994</v>
      </c>
      <c r="J334" s="12" t="s">
        <v>994</v>
      </c>
      <c r="K334" s="12" t="s">
        <v>994</v>
      </c>
      <c r="L334" s="13" t="s">
        <v>994</v>
      </c>
      <c r="M334" s="11" t="s">
        <v>994</v>
      </c>
      <c r="N334" s="11" t="s">
        <v>994</v>
      </c>
      <c r="O334" s="11" t="s">
        <v>994</v>
      </c>
      <c r="P334" s="11" t="s">
        <v>994</v>
      </c>
      <c r="Q334" s="11" t="s">
        <v>994</v>
      </c>
      <c r="R334" s="11" t="s">
        <v>994</v>
      </c>
      <c r="S334" s="11" t="s">
        <v>994</v>
      </c>
      <c r="T334" s="11" t="s">
        <v>994</v>
      </c>
      <c r="U334" s="11" t="s">
        <v>994</v>
      </c>
      <c r="V334" s="11" t="s">
        <v>994</v>
      </c>
      <c r="W334" s="11" t="s">
        <v>994</v>
      </c>
      <c r="X334" s="11" t="s">
        <v>994</v>
      </c>
      <c r="Y334" s="11" t="s">
        <v>994</v>
      </c>
      <c r="Z334" s="11" t="s">
        <v>994</v>
      </c>
      <c r="AA334" s="11" t="s">
        <v>994</v>
      </c>
      <c r="AB334" s="11" t="s">
        <v>994</v>
      </c>
      <c r="AC334" s="11" t="s">
        <v>994</v>
      </c>
      <c r="AD334" s="11" t="s">
        <v>994</v>
      </c>
    </row>
    <row r="335">
      <c r="B335" s="12" t="s">
        <v>994</v>
      </c>
      <c r="C335" s="11" t="s">
        <v>994</v>
      </c>
      <c r="D335" s="11" t="s">
        <v>994</v>
      </c>
      <c r="E335" s="12" t="s">
        <v>994</v>
      </c>
      <c r="F335" s="12" t="s">
        <v>994</v>
      </c>
      <c r="G335" s="12" t="s">
        <v>994</v>
      </c>
      <c r="H335" s="12" t="s">
        <v>994</v>
      </c>
      <c r="I335" s="12" t="s">
        <v>994</v>
      </c>
      <c r="J335" s="12" t="s">
        <v>994</v>
      </c>
      <c r="K335" s="12" t="s">
        <v>994</v>
      </c>
      <c r="L335" s="13" t="s">
        <v>994</v>
      </c>
      <c r="M335" s="11" t="s">
        <v>994</v>
      </c>
      <c r="N335" s="11" t="s">
        <v>994</v>
      </c>
      <c r="O335" s="11" t="s">
        <v>994</v>
      </c>
      <c r="P335" s="11" t="s">
        <v>994</v>
      </c>
      <c r="Q335" s="11" t="s">
        <v>994</v>
      </c>
      <c r="R335" s="11" t="s">
        <v>994</v>
      </c>
      <c r="S335" s="11" t="s">
        <v>994</v>
      </c>
      <c r="T335" s="11" t="s">
        <v>994</v>
      </c>
      <c r="U335" s="11" t="s">
        <v>994</v>
      </c>
      <c r="V335" s="11" t="s">
        <v>994</v>
      </c>
      <c r="W335" s="11" t="s">
        <v>994</v>
      </c>
      <c r="X335" s="11" t="s">
        <v>994</v>
      </c>
      <c r="Y335" s="11" t="s">
        <v>994</v>
      </c>
      <c r="Z335" s="11" t="s">
        <v>994</v>
      </c>
      <c r="AA335" s="11" t="s">
        <v>994</v>
      </c>
      <c r="AB335" s="11" t="s">
        <v>994</v>
      </c>
      <c r="AC335" s="11" t="s">
        <v>994</v>
      </c>
      <c r="AD335" s="11" t="s">
        <v>994</v>
      </c>
    </row>
    <row r="336">
      <c r="B336" s="12" t="s">
        <v>994</v>
      </c>
      <c r="C336" s="11" t="s">
        <v>994</v>
      </c>
      <c r="D336" s="11" t="s">
        <v>994</v>
      </c>
      <c r="E336" s="12" t="s">
        <v>994</v>
      </c>
      <c r="F336" s="12" t="s">
        <v>994</v>
      </c>
      <c r="G336" s="12" t="s">
        <v>994</v>
      </c>
      <c r="H336" s="12" t="s">
        <v>994</v>
      </c>
      <c r="I336" s="12" t="s">
        <v>994</v>
      </c>
      <c r="J336" s="12" t="s">
        <v>994</v>
      </c>
      <c r="K336" s="12" t="s">
        <v>994</v>
      </c>
      <c r="L336" s="13" t="s">
        <v>994</v>
      </c>
      <c r="M336" s="11" t="s">
        <v>994</v>
      </c>
      <c r="N336" s="11" t="s">
        <v>994</v>
      </c>
      <c r="O336" s="11" t="s">
        <v>994</v>
      </c>
      <c r="P336" s="11" t="s">
        <v>994</v>
      </c>
      <c r="Q336" s="11" t="s">
        <v>994</v>
      </c>
      <c r="R336" s="11" t="s">
        <v>994</v>
      </c>
      <c r="S336" s="11" t="s">
        <v>994</v>
      </c>
      <c r="T336" s="11" t="s">
        <v>994</v>
      </c>
      <c r="U336" s="11" t="s">
        <v>994</v>
      </c>
      <c r="V336" s="11" t="s">
        <v>994</v>
      </c>
      <c r="W336" s="11" t="s">
        <v>994</v>
      </c>
      <c r="X336" s="11" t="s">
        <v>994</v>
      </c>
      <c r="Y336" s="11" t="s">
        <v>994</v>
      </c>
      <c r="Z336" s="11" t="s">
        <v>994</v>
      </c>
      <c r="AA336" s="11" t="s">
        <v>994</v>
      </c>
      <c r="AB336" s="11" t="s">
        <v>994</v>
      </c>
      <c r="AC336" s="11" t="s">
        <v>994</v>
      </c>
      <c r="AD336" s="11" t="s">
        <v>994</v>
      </c>
    </row>
    <row r="337">
      <c r="B337" s="12" t="s">
        <v>994</v>
      </c>
      <c r="C337" s="11" t="s">
        <v>994</v>
      </c>
      <c r="D337" s="11" t="s">
        <v>994</v>
      </c>
      <c r="E337" s="12" t="s">
        <v>994</v>
      </c>
      <c r="F337" s="12" t="s">
        <v>994</v>
      </c>
      <c r="G337" s="12" t="s">
        <v>994</v>
      </c>
      <c r="H337" s="12" t="s">
        <v>994</v>
      </c>
      <c r="I337" s="12" t="s">
        <v>994</v>
      </c>
      <c r="J337" s="12" t="s">
        <v>994</v>
      </c>
      <c r="K337" s="12" t="s">
        <v>994</v>
      </c>
      <c r="L337" s="13" t="s">
        <v>994</v>
      </c>
      <c r="M337" s="11" t="s">
        <v>994</v>
      </c>
      <c r="N337" s="11" t="s">
        <v>994</v>
      </c>
      <c r="O337" s="11" t="s">
        <v>994</v>
      </c>
      <c r="P337" s="11" t="s">
        <v>994</v>
      </c>
      <c r="Q337" s="11" t="s">
        <v>994</v>
      </c>
      <c r="R337" s="11" t="s">
        <v>994</v>
      </c>
      <c r="S337" s="11" t="s">
        <v>994</v>
      </c>
      <c r="T337" s="11" t="s">
        <v>994</v>
      </c>
      <c r="U337" s="11" t="s">
        <v>994</v>
      </c>
      <c r="V337" s="11" t="s">
        <v>994</v>
      </c>
      <c r="W337" s="11" t="s">
        <v>994</v>
      </c>
      <c r="X337" s="11" t="s">
        <v>994</v>
      </c>
      <c r="Y337" s="11" t="s">
        <v>994</v>
      </c>
      <c r="Z337" s="11" t="s">
        <v>994</v>
      </c>
      <c r="AA337" s="11" t="s">
        <v>994</v>
      </c>
      <c r="AB337" s="11" t="s">
        <v>994</v>
      </c>
      <c r="AC337" s="11" t="s">
        <v>994</v>
      </c>
      <c r="AD337" s="11" t="s">
        <v>994</v>
      </c>
    </row>
    <row r="338">
      <c r="B338" s="12" t="s">
        <v>994</v>
      </c>
      <c r="C338" s="11" t="s">
        <v>994</v>
      </c>
      <c r="D338" s="11" t="s">
        <v>994</v>
      </c>
      <c r="E338" s="12" t="s">
        <v>994</v>
      </c>
      <c r="F338" s="12" t="s">
        <v>994</v>
      </c>
      <c r="G338" s="12" t="s">
        <v>994</v>
      </c>
      <c r="H338" s="12" t="s">
        <v>994</v>
      </c>
      <c r="I338" s="12" t="s">
        <v>994</v>
      </c>
      <c r="J338" s="12" t="s">
        <v>994</v>
      </c>
      <c r="K338" s="12" t="s">
        <v>994</v>
      </c>
      <c r="L338" s="13" t="s">
        <v>994</v>
      </c>
      <c r="M338" s="11" t="s">
        <v>994</v>
      </c>
      <c r="N338" s="11" t="s">
        <v>994</v>
      </c>
      <c r="O338" s="11" t="s">
        <v>994</v>
      </c>
      <c r="P338" s="11" t="s">
        <v>994</v>
      </c>
      <c r="Q338" s="11" t="s">
        <v>994</v>
      </c>
      <c r="R338" s="11" t="s">
        <v>994</v>
      </c>
      <c r="S338" s="11" t="s">
        <v>994</v>
      </c>
      <c r="T338" s="11" t="s">
        <v>994</v>
      </c>
      <c r="U338" s="11" t="s">
        <v>994</v>
      </c>
      <c r="V338" s="11" t="s">
        <v>994</v>
      </c>
      <c r="W338" s="11" t="s">
        <v>994</v>
      </c>
      <c r="X338" s="11" t="s">
        <v>994</v>
      </c>
      <c r="Y338" s="11" t="s">
        <v>994</v>
      </c>
      <c r="Z338" s="11" t="s">
        <v>994</v>
      </c>
      <c r="AA338" s="11" t="s">
        <v>994</v>
      </c>
      <c r="AB338" s="11" t="s">
        <v>994</v>
      </c>
      <c r="AC338" s="11" t="s">
        <v>994</v>
      </c>
      <c r="AD338" s="11" t="s">
        <v>994</v>
      </c>
    </row>
    <row r="339">
      <c r="B339" s="12" t="s">
        <v>994</v>
      </c>
      <c r="C339" s="11" t="s">
        <v>994</v>
      </c>
      <c r="D339" s="11" t="s">
        <v>994</v>
      </c>
      <c r="E339" s="12" t="s">
        <v>994</v>
      </c>
      <c r="F339" s="12" t="s">
        <v>994</v>
      </c>
      <c r="G339" s="12" t="s">
        <v>994</v>
      </c>
      <c r="H339" s="12" t="s">
        <v>994</v>
      </c>
      <c r="I339" s="12" t="s">
        <v>994</v>
      </c>
      <c r="J339" s="12" t="s">
        <v>994</v>
      </c>
      <c r="K339" s="12" t="s">
        <v>994</v>
      </c>
      <c r="L339" s="13" t="s">
        <v>994</v>
      </c>
      <c r="M339" s="11" t="s">
        <v>994</v>
      </c>
      <c r="N339" s="11" t="s">
        <v>994</v>
      </c>
      <c r="O339" s="11" t="s">
        <v>994</v>
      </c>
      <c r="P339" s="11" t="s">
        <v>994</v>
      </c>
      <c r="Q339" s="11" t="s">
        <v>994</v>
      </c>
      <c r="R339" s="11" t="s">
        <v>994</v>
      </c>
      <c r="S339" s="11" t="s">
        <v>994</v>
      </c>
      <c r="T339" s="11" t="s">
        <v>994</v>
      </c>
      <c r="U339" s="11" t="s">
        <v>994</v>
      </c>
      <c r="V339" s="11" t="s">
        <v>994</v>
      </c>
      <c r="W339" s="11" t="s">
        <v>994</v>
      </c>
      <c r="X339" s="11" t="s">
        <v>994</v>
      </c>
      <c r="Y339" s="11" t="s">
        <v>994</v>
      </c>
      <c r="Z339" s="11" t="s">
        <v>994</v>
      </c>
      <c r="AA339" s="11" t="s">
        <v>994</v>
      </c>
      <c r="AB339" s="11" t="s">
        <v>994</v>
      </c>
      <c r="AC339" s="11" t="s">
        <v>994</v>
      </c>
      <c r="AD339" s="11" t="s">
        <v>994</v>
      </c>
    </row>
    <row r="340">
      <c r="B340" s="12" t="s">
        <v>994</v>
      </c>
      <c r="C340" s="11" t="s">
        <v>994</v>
      </c>
      <c r="D340" s="11" t="s">
        <v>994</v>
      </c>
      <c r="E340" s="12" t="s">
        <v>994</v>
      </c>
      <c r="F340" s="12" t="s">
        <v>994</v>
      </c>
      <c r="G340" s="12" t="s">
        <v>994</v>
      </c>
      <c r="H340" s="12" t="s">
        <v>994</v>
      </c>
      <c r="I340" s="12" t="s">
        <v>994</v>
      </c>
      <c r="J340" s="12" t="s">
        <v>994</v>
      </c>
      <c r="K340" s="12" t="s">
        <v>994</v>
      </c>
      <c r="L340" s="13" t="s">
        <v>994</v>
      </c>
      <c r="M340" s="11" t="s">
        <v>994</v>
      </c>
      <c r="N340" s="11" t="s">
        <v>994</v>
      </c>
      <c r="O340" s="11" t="s">
        <v>994</v>
      </c>
      <c r="P340" s="11" t="s">
        <v>994</v>
      </c>
      <c r="Q340" s="11" t="s">
        <v>994</v>
      </c>
      <c r="R340" s="11" t="s">
        <v>994</v>
      </c>
      <c r="S340" s="11" t="s">
        <v>994</v>
      </c>
      <c r="T340" s="11" t="s">
        <v>994</v>
      </c>
      <c r="U340" s="11" t="s">
        <v>994</v>
      </c>
      <c r="V340" s="11" t="s">
        <v>994</v>
      </c>
      <c r="W340" s="11" t="s">
        <v>994</v>
      </c>
      <c r="X340" s="11" t="s">
        <v>994</v>
      </c>
      <c r="Y340" s="11" t="s">
        <v>994</v>
      </c>
      <c r="Z340" s="11" t="s">
        <v>994</v>
      </c>
      <c r="AA340" s="11" t="s">
        <v>994</v>
      </c>
      <c r="AB340" s="11" t="s">
        <v>994</v>
      </c>
      <c r="AC340" s="11" t="s">
        <v>994</v>
      </c>
      <c r="AD340" s="11" t="s">
        <v>994</v>
      </c>
    </row>
    <row r="341">
      <c r="B341" s="12" t="s">
        <v>994</v>
      </c>
      <c r="C341" s="11" t="s">
        <v>994</v>
      </c>
      <c r="D341" s="11" t="s">
        <v>994</v>
      </c>
      <c r="E341" s="12" t="s">
        <v>994</v>
      </c>
      <c r="F341" s="12" t="s">
        <v>994</v>
      </c>
      <c r="G341" s="12" t="s">
        <v>994</v>
      </c>
      <c r="H341" s="12" t="s">
        <v>994</v>
      </c>
      <c r="I341" s="12" t="s">
        <v>994</v>
      </c>
      <c r="J341" s="12" t="s">
        <v>994</v>
      </c>
      <c r="K341" s="12" t="s">
        <v>994</v>
      </c>
      <c r="L341" s="13" t="s">
        <v>994</v>
      </c>
      <c r="M341" s="11" t="s">
        <v>994</v>
      </c>
      <c r="N341" s="11" t="s">
        <v>994</v>
      </c>
      <c r="O341" s="11" t="s">
        <v>994</v>
      </c>
      <c r="P341" s="11" t="s">
        <v>994</v>
      </c>
      <c r="Q341" s="11" t="s">
        <v>994</v>
      </c>
      <c r="R341" s="11" t="s">
        <v>994</v>
      </c>
      <c r="S341" s="11" t="s">
        <v>994</v>
      </c>
      <c r="T341" s="11" t="s">
        <v>994</v>
      </c>
      <c r="U341" s="11" t="s">
        <v>994</v>
      </c>
      <c r="V341" s="11" t="s">
        <v>994</v>
      </c>
      <c r="W341" s="11" t="s">
        <v>994</v>
      </c>
      <c r="X341" s="11" t="s">
        <v>994</v>
      </c>
      <c r="Y341" s="11" t="s">
        <v>994</v>
      </c>
      <c r="Z341" s="11" t="s">
        <v>994</v>
      </c>
      <c r="AA341" s="11" t="s">
        <v>994</v>
      </c>
      <c r="AB341" s="11" t="s">
        <v>994</v>
      </c>
      <c r="AC341" s="11" t="s">
        <v>994</v>
      </c>
      <c r="AD341" s="11" t="s">
        <v>994</v>
      </c>
    </row>
    <row r="342">
      <c r="B342" s="12" t="s">
        <v>994</v>
      </c>
      <c r="C342" s="11" t="s">
        <v>994</v>
      </c>
      <c r="D342" s="11" t="s">
        <v>994</v>
      </c>
      <c r="E342" s="12" t="s">
        <v>994</v>
      </c>
      <c r="F342" s="12" t="s">
        <v>994</v>
      </c>
      <c r="G342" s="12" t="s">
        <v>994</v>
      </c>
      <c r="H342" s="12" t="s">
        <v>994</v>
      </c>
      <c r="I342" s="12" t="s">
        <v>994</v>
      </c>
      <c r="J342" s="12" t="s">
        <v>994</v>
      </c>
      <c r="K342" s="12" t="s">
        <v>994</v>
      </c>
      <c r="L342" s="13" t="s">
        <v>994</v>
      </c>
      <c r="M342" s="11" t="s">
        <v>994</v>
      </c>
      <c r="N342" s="11" t="s">
        <v>994</v>
      </c>
      <c r="O342" s="11" t="s">
        <v>994</v>
      </c>
      <c r="P342" s="11" t="s">
        <v>994</v>
      </c>
      <c r="Q342" s="11" t="s">
        <v>994</v>
      </c>
      <c r="R342" s="11" t="s">
        <v>994</v>
      </c>
      <c r="S342" s="11" t="s">
        <v>994</v>
      </c>
      <c r="T342" s="11" t="s">
        <v>994</v>
      </c>
      <c r="U342" s="11" t="s">
        <v>994</v>
      </c>
      <c r="V342" s="11" t="s">
        <v>994</v>
      </c>
      <c r="W342" s="11" t="s">
        <v>994</v>
      </c>
      <c r="X342" s="11" t="s">
        <v>994</v>
      </c>
      <c r="Y342" s="11" t="s">
        <v>994</v>
      </c>
      <c r="Z342" s="11" t="s">
        <v>994</v>
      </c>
      <c r="AA342" s="11" t="s">
        <v>994</v>
      </c>
      <c r="AB342" s="11" t="s">
        <v>994</v>
      </c>
      <c r="AC342" s="11" t="s">
        <v>994</v>
      </c>
      <c r="AD342" s="11" t="s">
        <v>994</v>
      </c>
    </row>
    <row r="343">
      <c r="B343" s="12" t="s">
        <v>994</v>
      </c>
      <c r="C343" s="11" t="s">
        <v>994</v>
      </c>
      <c r="D343" s="11" t="s">
        <v>994</v>
      </c>
      <c r="E343" s="12" t="s">
        <v>994</v>
      </c>
      <c r="F343" s="12" t="s">
        <v>994</v>
      </c>
      <c r="G343" s="12" t="s">
        <v>994</v>
      </c>
      <c r="H343" s="12" t="s">
        <v>994</v>
      </c>
      <c r="I343" s="12" t="s">
        <v>994</v>
      </c>
      <c r="J343" s="12" t="s">
        <v>994</v>
      </c>
      <c r="K343" s="12" t="s">
        <v>994</v>
      </c>
      <c r="L343" s="13" t="s">
        <v>994</v>
      </c>
      <c r="M343" s="11" t="s">
        <v>994</v>
      </c>
      <c r="N343" s="11" t="s">
        <v>994</v>
      </c>
      <c r="O343" s="11" t="s">
        <v>994</v>
      </c>
      <c r="P343" s="11" t="s">
        <v>994</v>
      </c>
      <c r="Q343" s="11" t="s">
        <v>994</v>
      </c>
      <c r="R343" s="11" t="s">
        <v>994</v>
      </c>
      <c r="S343" s="11" t="s">
        <v>994</v>
      </c>
      <c r="T343" s="11" t="s">
        <v>994</v>
      </c>
      <c r="U343" s="11" t="s">
        <v>994</v>
      </c>
      <c r="V343" s="11" t="s">
        <v>994</v>
      </c>
      <c r="W343" s="11" t="s">
        <v>994</v>
      </c>
      <c r="X343" s="11" t="s">
        <v>994</v>
      </c>
      <c r="Y343" s="11" t="s">
        <v>994</v>
      </c>
      <c r="Z343" s="11" t="s">
        <v>994</v>
      </c>
      <c r="AA343" s="11" t="s">
        <v>994</v>
      </c>
      <c r="AB343" s="11" t="s">
        <v>994</v>
      </c>
      <c r="AC343" s="11" t="s">
        <v>994</v>
      </c>
      <c r="AD343" s="11" t="s">
        <v>994</v>
      </c>
    </row>
    <row r="344">
      <c r="B344" s="12" t="s">
        <v>994</v>
      </c>
      <c r="C344" s="11" t="s">
        <v>994</v>
      </c>
      <c r="D344" s="11" t="s">
        <v>994</v>
      </c>
      <c r="E344" s="12" t="s">
        <v>994</v>
      </c>
      <c r="F344" s="12" t="s">
        <v>994</v>
      </c>
      <c r="G344" s="12" t="s">
        <v>994</v>
      </c>
      <c r="H344" s="12" t="s">
        <v>994</v>
      </c>
      <c r="I344" s="12" t="s">
        <v>994</v>
      </c>
      <c r="J344" s="12" t="s">
        <v>994</v>
      </c>
      <c r="K344" s="12" t="s">
        <v>994</v>
      </c>
      <c r="L344" s="13" t="s">
        <v>994</v>
      </c>
      <c r="M344" s="11" t="s">
        <v>994</v>
      </c>
      <c r="N344" s="11" t="s">
        <v>994</v>
      </c>
      <c r="O344" s="11" t="s">
        <v>994</v>
      </c>
      <c r="P344" s="11" t="s">
        <v>994</v>
      </c>
      <c r="Q344" s="11" t="s">
        <v>994</v>
      </c>
      <c r="R344" s="11" t="s">
        <v>994</v>
      </c>
      <c r="S344" s="11" t="s">
        <v>994</v>
      </c>
      <c r="T344" s="11" t="s">
        <v>994</v>
      </c>
      <c r="U344" s="11" t="s">
        <v>994</v>
      </c>
      <c r="V344" s="11" t="s">
        <v>994</v>
      </c>
      <c r="W344" s="11" t="s">
        <v>994</v>
      </c>
      <c r="X344" s="11" t="s">
        <v>994</v>
      </c>
      <c r="Y344" s="11" t="s">
        <v>994</v>
      </c>
      <c r="Z344" s="11" t="s">
        <v>994</v>
      </c>
      <c r="AA344" s="11" t="s">
        <v>994</v>
      </c>
      <c r="AB344" s="11" t="s">
        <v>994</v>
      </c>
      <c r="AC344" s="11" t="s">
        <v>994</v>
      </c>
      <c r="AD344" s="11" t="s">
        <v>994</v>
      </c>
    </row>
    <row r="345">
      <c r="B345" s="12" t="s">
        <v>994</v>
      </c>
      <c r="C345" s="11" t="s">
        <v>994</v>
      </c>
      <c r="D345" s="11" t="s">
        <v>994</v>
      </c>
      <c r="E345" s="12" t="s">
        <v>994</v>
      </c>
      <c r="F345" s="12" t="s">
        <v>994</v>
      </c>
      <c r="G345" s="12" t="s">
        <v>994</v>
      </c>
      <c r="H345" s="12" t="s">
        <v>994</v>
      </c>
      <c r="I345" s="12" t="s">
        <v>994</v>
      </c>
      <c r="J345" s="12" t="s">
        <v>994</v>
      </c>
      <c r="K345" s="12" t="s">
        <v>994</v>
      </c>
      <c r="L345" s="13" t="s">
        <v>994</v>
      </c>
      <c r="M345" s="11" t="s">
        <v>994</v>
      </c>
      <c r="N345" s="11" t="s">
        <v>994</v>
      </c>
      <c r="O345" s="11" t="s">
        <v>994</v>
      </c>
      <c r="P345" s="11" t="s">
        <v>994</v>
      </c>
      <c r="Q345" s="11" t="s">
        <v>994</v>
      </c>
      <c r="R345" s="11" t="s">
        <v>994</v>
      </c>
      <c r="S345" s="11" t="s">
        <v>994</v>
      </c>
      <c r="T345" s="11" t="s">
        <v>994</v>
      </c>
      <c r="U345" s="11" t="s">
        <v>994</v>
      </c>
      <c r="V345" s="11" t="s">
        <v>994</v>
      </c>
      <c r="W345" s="11" t="s">
        <v>994</v>
      </c>
      <c r="X345" s="11" t="s">
        <v>994</v>
      </c>
      <c r="Y345" s="11" t="s">
        <v>994</v>
      </c>
      <c r="Z345" s="11" t="s">
        <v>994</v>
      </c>
      <c r="AA345" s="11" t="s">
        <v>994</v>
      </c>
      <c r="AB345" s="11" t="s">
        <v>994</v>
      </c>
      <c r="AC345" s="11" t="s">
        <v>994</v>
      </c>
      <c r="AD345" s="11" t="s">
        <v>994</v>
      </c>
    </row>
    <row r="346">
      <c r="B346" s="12" t="s">
        <v>994</v>
      </c>
      <c r="C346" s="11" t="s">
        <v>994</v>
      </c>
      <c r="D346" s="11" t="s">
        <v>994</v>
      </c>
      <c r="E346" s="12" t="s">
        <v>994</v>
      </c>
      <c r="F346" s="12" t="s">
        <v>994</v>
      </c>
      <c r="G346" s="12" t="s">
        <v>994</v>
      </c>
      <c r="H346" s="12" t="s">
        <v>994</v>
      </c>
      <c r="I346" s="12" t="s">
        <v>994</v>
      </c>
      <c r="J346" s="12" t="s">
        <v>994</v>
      </c>
      <c r="K346" s="12" t="s">
        <v>994</v>
      </c>
      <c r="L346" s="13" t="s">
        <v>994</v>
      </c>
      <c r="M346" s="11" t="s">
        <v>994</v>
      </c>
      <c r="N346" s="11" t="s">
        <v>994</v>
      </c>
      <c r="O346" s="11" t="s">
        <v>994</v>
      </c>
      <c r="P346" s="11" t="s">
        <v>994</v>
      </c>
      <c r="Q346" s="11" t="s">
        <v>994</v>
      </c>
      <c r="R346" s="11" t="s">
        <v>994</v>
      </c>
      <c r="S346" s="11" t="s">
        <v>994</v>
      </c>
      <c r="T346" s="11" t="s">
        <v>994</v>
      </c>
      <c r="U346" s="11" t="s">
        <v>994</v>
      </c>
      <c r="V346" s="11" t="s">
        <v>994</v>
      </c>
      <c r="W346" s="11" t="s">
        <v>994</v>
      </c>
      <c r="X346" s="11" t="s">
        <v>994</v>
      </c>
      <c r="Y346" s="11" t="s">
        <v>994</v>
      </c>
      <c r="Z346" s="11" t="s">
        <v>994</v>
      </c>
      <c r="AA346" s="11" t="s">
        <v>994</v>
      </c>
      <c r="AB346" s="11" t="s">
        <v>994</v>
      </c>
      <c r="AC346" s="11" t="s">
        <v>994</v>
      </c>
      <c r="AD346" s="11" t="s">
        <v>994</v>
      </c>
    </row>
    <row r="347">
      <c r="B347" s="12" t="s">
        <v>994</v>
      </c>
      <c r="C347" s="11" t="s">
        <v>994</v>
      </c>
      <c r="D347" s="11" t="s">
        <v>994</v>
      </c>
      <c r="E347" s="12" t="s">
        <v>994</v>
      </c>
      <c r="F347" s="12" t="s">
        <v>994</v>
      </c>
      <c r="G347" s="12" t="s">
        <v>994</v>
      </c>
      <c r="H347" s="12" t="s">
        <v>994</v>
      </c>
      <c r="I347" s="12" t="s">
        <v>994</v>
      </c>
      <c r="J347" s="12" t="s">
        <v>994</v>
      </c>
      <c r="K347" s="12" t="s">
        <v>994</v>
      </c>
      <c r="L347" s="13" t="s">
        <v>994</v>
      </c>
      <c r="M347" s="11" t="s">
        <v>994</v>
      </c>
      <c r="N347" s="11" t="s">
        <v>994</v>
      </c>
      <c r="O347" s="11" t="s">
        <v>994</v>
      </c>
      <c r="P347" s="11" t="s">
        <v>994</v>
      </c>
      <c r="Q347" s="11" t="s">
        <v>994</v>
      </c>
      <c r="R347" s="11" t="s">
        <v>994</v>
      </c>
      <c r="S347" s="11" t="s">
        <v>994</v>
      </c>
      <c r="T347" s="11" t="s">
        <v>994</v>
      </c>
      <c r="U347" s="11" t="s">
        <v>994</v>
      </c>
      <c r="V347" s="11" t="s">
        <v>994</v>
      </c>
      <c r="W347" s="11" t="s">
        <v>994</v>
      </c>
      <c r="X347" s="11" t="s">
        <v>994</v>
      </c>
      <c r="Y347" s="11" t="s">
        <v>994</v>
      </c>
      <c r="Z347" s="11" t="s">
        <v>994</v>
      </c>
      <c r="AA347" s="11" t="s">
        <v>994</v>
      </c>
      <c r="AB347" s="11" t="s">
        <v>994</v>
      </c>
      <c r="AC347" s="11" t="s">
        <v>994</v>
      </c>
      <c r="AD347" s="11" t="s">
        <v>994</v>
      </c>
    </row>
    <row r="348">
      <c r="B348" s="12" t="s">
        <v>994</v>
      </c>
      <c r="C348" s="11" t="s">
        <v>994</v>
      </c>
      <c r="D348" s="11" t="s">
        <v>994</v>
      </c>
      <c r="E348" s="12" t="s">
        <v>994</v>
      </c>
      <c r="F348" s="12" t="s">
        <v>994</v>
      </c>
      <c r="G348" s="12" t="s">
        <v>994</v>
      </c>
      <c r="H348" s="12" t="s">
        <v>994</v>
      </c>
      <c r="I348" s="12" t="s">
        <v>994</v>
      </c>
      <c r="J348" s="12" t="s">
        <v>994</v>
      </c>
      <c r="K348" s="12" t="s">
        <v>994</v>
      </c>
      <c r="L348" s="13" t="s">
        <v>994</v>
      </c>
      <c r="M348" s="11" t="s">
        <v>994</v>
      </c>
      <c r="N348" s="11" t="s">
        <v>994</v>
      </c>
      <c r="O348" s="11" t="s">
        <v>994</v>
      </c>
      <c r="P348" s="11" t="s">
        <v>994</v>
      </c>
      <c r="Q348" s="11" t="s">
        <v>994</v>
      </c>
      <c r="R348" s="11" t="s">
        <v>994</v>
      </c>
      <c r="S348" s="11" t="s">
        <v>994</v>
      </c>
      <c r="T348" s="11" t="s">
        <v>994</v>
      </c>
      <c r="U348" s="11" t="s">
        <v>994</v>
      </c>
      <c r="V348" s="11" t="s">
        <v>994</v>
      </c>
      <c r="W348" s="11" t="s">
        <v>994</v>
      </c>
      <c r="X348" s="11" t="s">
        <v>994</v>
      </c>
      <c r="Y348" s="11" t="s">
        <v>994</v>
      </c>
      <c r="Z348" s="11" t="s">
        <v>994</v>
      </c>
      <c r="AA348" s="11" t="s">
        <v>994</v>
      </c>
      <c r="AB348" s="11" t="s">
        <v>994</v>
      </c>
      <c r="AC348" s="11" t="s">
        <v>994</v>
      </c>
      <c r="AD348" s="11" t="s">
        <v>994</v>
      </c>
    </row>
    <row r="349">
      <c r="B349" s="12" t="s">
        <v>994</v>
      </c>
      <c r="C349" s="11" t="s">
        <v>994</v>
      </c>
      <c r="D349" s="11" t="s">
        <v>994</v>
      </c>
      <c r="E349" s="12" t="s">
        <v>994</v>
      </c>
      <c r="F349" s="12" t="s">
        <v>994</v>
      </c>
      <c r="G349" s="12" t="s">
        <v>994</v>
      </c>
      <c r="H349" s="12" t="s">
        <v>994</v>
      </c>
      <c r="I349" s="12" t="s">
        <v>994</v>
      </c>
      <c r="J349" s="12" t="s">
        <v>994</v>
      </c>
      <c r="K349" s="12" t="s">
        <v>994</v>
      </c>
      <c r="L349" s="13" t="s">
        <v>994</v>
      </c>
      <c r="M349" s="11" t="s">
        <v>994</v>
      </c>
      <c r="N349" s="11" t="s">
        <v>994</v>
      </c>
      <c r="O349" s="11" t="s">
        <v>994</v>
      </c>
      <c r="P349" s="11" t="s">
        <v>994</v>
      </c>
      <c r="Q349" s="11" t="s">
        <v>994</v>
      </c>
      <c r="R349" s="11" t="s">
        <v>994</v>
      </c>
      <c r="S349" s="11" t="s">
        <v>994</v>
      </c>
      <c r="T349" s="11" t="s">
        <v>994</v>
      </c>
      <c r="U349" s="11" t="s">
        <v>994</v>
      </c>
      <c r="V349" s="11" t="s">
        <v>994</v>
      </c>
      <c r="W349" s="11" t="s">
        <v>994</v>
      </c>
      <c r="X349" s="11" t="s">
        <v>994</v>
      </c>
      <c r="Y349" s="11" t="s">
        <v>994</v>
      </c>
      <c r="Z349" s="11" t="s">
        <v>994</v>
      </c>
      <c r="AA349" s="11" t="s">
        <v>994</v>
      </c>
      <c r="AB349" s="11" t="s">
        <v>994</v>
      </c>
      <c r="AC349" s="11" t="s">
        <v>994</v>
      </c>
      <c r="AD349" s="11" t="s">
        <v>994</v>
      </c>
    </row>
    <row r="350">
      <c r="B350" s="12" t="s">
        <v>994</v>
      </c>
      <c r="C350" s="11" t="s">
        <v>994</v>
      </c>
      <c r="D350" s="11" t="s">
        <v>994</v>
      </c>
      <c r="E350" s="12" t="s">
        <v>994</v>
      </c>
      <c r="F350" s="12" t="s">
        <v>994</v>
      </c>
      <c r="G350" s="12" t="s">
        <v>994</v>
      </c>
      <c r="H350" s="12" t="s">
        <v>994</v>
      </c>
      <c r="I350" s="12" t="s">
        <v>994</v>
      </c>
      <c r="J350" s="12" t="s">
        <v>994</v>
      </c>
      <c r="K350" s="12" t="s">
        <v>994</v>
      </c>
      <c r="L350" s="13" t="s">
        <v>994</v>
      </c>
      <c r="M350" s="11" t="s">
        <v>994</v>
      </c>
      <c r="N350" s="11" t="s">
        <v>994</v>
      </c>
      <c r="O350" s="11" t="s">
        <v>994</v>
      </c>
      <c r="P350" s="11" t="s">
        <v>994</v>
      </c>
      <c r="Q350" s="11" t="s">
        <v>994</v>
      </c>
      <c r="R350" s="11" t="s">
        <v>994</v>
      </c>
      <c r="S350" s="11" t="s">
        <v>994</v>
      </c>
      <c r="T350" s="11" t="s">
        <v>994</v>
      </c>
      <c r="U350" s="11" t="s">
        <v>994</v>
      </c>
      <c r="V350" s="11" t="s">
        <v>994</v>
      </c>
      <c r="W350" s="11" t="s">
        <v>994</v>
      </c>
      <c r="X350" s="11" t="s">
        <v>994</v>
      </c>
      <c r="Y350" s="11" t="s">
        <v>994</v>
      </c>
      <c r="Z350" s="11" t="s">
        <v>994</v>
      </c>
      <c r="AA350" s="11" t="s">
        <v>994</v>
      </c>
      <c r="AB350" s="11" t="s">
        <v>994</v>
      </c>
      <c r="AC350" s="11" t="s">
        <v>994</v>
      </c>
      <c r="AD350" s="11" t="s">
        <v>994</v>
      </c>
    </row>
    <row r="351">
      <c r="B351" s="12" t="s">
        <v>994</v>
      </c>
      <c r="C351" s="11" t="s">
        <v>994</v>
      </c>
      <c r="D351" s="11" t="s">
        <v>994</v>
      </c>
      <c r="E351" s="12" t="s">
        <v>994</v>
      </c>
      <c r="F351" s="12" t="s">
        <v>994</v>
      </c>
      <c r="G351" s="12" t="s">
        <v>994</v>
      </c>
      <c r="H351" s="12" t="s">
        <v>994</v>
      </c>
      <c r="I351" s="12" t="s">
        <v>994</v>
      </c>
      <c r="J351" s="12" t="s">
        <v>994</v>
      </c>
      <c r="K351" s="12" t="s">
        <v>994</v>
      </c>
      <c r="L351" s="13" t="s">
        <v>994</v>
      </c>
      <c r="M351" s="11" t="s">
        <v>994</v>
      </c>
      <c r="N351" s="11" t="s">
        <v>994</v>
      </c>
      <c r="O351" s="11" t="s">
        <v>994</v>
      </c>
      <c r="P351" s="11" t="s">
        <v>994</v>
      </c>
      <c r="Q351" s="11" t="s">
        <v>994</v>
      </c>
      <c r="R351" s="11" t="s">
        <v>994</v>
      </c>
      <c r="S351" s="11" t="s">
        <v>994</v>
      </c>
      <c r="T351" s="11" t="s">
        <v>994</v>
      </c>
      <c r="U351" s="11" t="s">
        <v>994</v>
      </c>
      <c r="V351" s="11" t="s">
        <v>994</v>
      </c>
      <c r="W351" s="11" t="s">
        <v>994</v>
      </c>
      <c r="X351" s="11" t="s">
        <v>994</v>
      </c>
      <c r="Y351" s="11" t="s">
        <v>994</v>
      </c>
      <c r="Z351" s="11" t="s">
        <v>994</v>
      </c>
      <c r="AA351" s="11" t="s">
        <v>994</v>
      </c>
      <c r="AB351" s="11" t="s">
        <v>994</v>
      </c>
      <c r="AC351" s="11" t="s">
        <v>994</v>
      </c>
      <c r="AD351" s="11" t="s">
        <v>994</v>
      </c>
    </row>
    <row r="352">
      <c r="B352" s="12" t="s">
        <v>994</v>
      </c>
      <c r="C352" s="11" t="s">
        <v>994</v>
      </c>
      <c r="D352" s="11" t="s">
        <v>994</v>
      </c>
      <c r="E352" s="12" t="s">
        <v>994</v>
      </c>
      <c r="F352" s="12" t="s">
        <v>994</v>
      </c>
      <c r="G352" s="12" t="s">
        <v>994</v>
      </c>
      <c r="H352" s="12" t="s">
        <v>994</v>
      </c>
      <c r="I352" s="12" t="s">
        <v>994</v>
      </c>
      <c r="J352" s="12" t="s">
        <v>994</v>
      </c>
      <c r="K352" s="12" t="s">
        <v>994</v>
      </c>
      <c r="L352" s="13" t="s">
        <v>994</v>
      </c>
      <c r="M352" s="11" t="s">
        <v>994</v>
      </c>
      <c r="N352" s="11" t="s">
        <v>994</v>
      </c>
      <c r="O352" s="11" t="s">
        <v>994</v>
      </c>
      <c r="P352" s="11" t="s">
        <v>994</v>
      </c>
      <c r="Q352" s="11" t="s">
        <v>994</v>
      </c>
      <c r="R352" s="11" t="s">
        <v>994</v>
      </c>
      <c r="S352" s="11" t="s">
        <v>994</v>
      </c>
      <c r="T352" s="11" t="s">
        <v>994</v>
      </c>
      <c r="U352" s="11" t="s">
        <v>994</v>
      </c>
      <c r="V352" s="11" t="s">
        <v>994</v>
      </c>
      <c r="W352" s="11" t="s">
        <v>994</v>
      </c>
      <c r="X352" s="11" t="s">
        <v>994</v>
      </c>
      <c r="Y352" s="11" t="s">
        <v>994</v>
      </c>
      <c r="Z352" s="11" t="s">
        <v>994</v>
      </c>
      <c r="AA352" s="11" t="s">
        <v>994</v>
      </c>
      <c r="AB352" s="11" t="s">
        <v>994</v>
      </c>
      <c r="AC352" s="11" t="s">
        <v>994</v>
      </c>
      <c r="AD352" s="11" t="s">
        <v>994</v>
      </c>
    </row>
    <row r="353">
      <c r="B353" s="12" t="s">
        <v>994</v>
      </c>
      <c r="C353" s="11" t="s">
        <v>994</v>
      </c>
      <c r="D353" s="11" t="s">
        <v>994</v>
      </c>
      <c r="E353" s="12" t="s">
        <v>994</v>
      </c>
      <c r="F353" s="12" t="s">
        <v>994</v>
      </c>
      <c r="G353" s="12" t="s">
        <v>994</v>
      </c>
      <c r="H353" s="12" t="s">
        <v>994</v>
      </c>
      <c r="I353" s="12" t="s">
        <v>994</v>
      </c>
      <c r="J353" s="12" t="s">
        <v>994</v>
      </c>
      <c r="K353" s="12" t="s">
        <v>994</v>
      </c>
      <c r="L353" s="13" t="s">
        <v>994</v>
      </c>
      <c r="M353" s="11" t="s">
        <v>994</v>
      </c>
      <c r="N353" s="11" t="s">
        <v>994</v>
      </c>
      <c r="O353" s="11" t="s">
        <v>994</v>
      </c>
      <c r="P353" s="11" t="s">
        <v>994</v>
      </c>
      <c r="Q353" s="11" t="s">
        <v>994</v>
      </c>
      <c r="R353" s="11" t="s">
        <v>994</v>
      </c>
      <c r="S353" s="11" t="s">
        <v>994</v>
      </c>
      <c r="T353" s="11" t="s">
        <v>994</v>
      </c>
      <c r="U353" s="11" t="s">
        <v>994</v>
      </c>
      <c r="V353" s="11" t="s">
        <v>994</v>
      </c>
      <c r="W353" s="11" t="s">
        <v>994</v>
      </c>
      <c r="X353" s="11" t="s">
        <v>994</v>
      </c>
      <c r="Y353" s="11" t="s">
        <v>994</v>
      </c>
      <c r="Z353" s="11" t="s">
        <v>994</v>
      </c>
      <c r="AA353" s="11" t="s">
        <v>994</v>
      </c>
      <c r="AB353" s="11" t="s">
        <v>994</v>
      </c>
      <c r="AC353" s="11" t="s">
        <v>994</v>
      </c>
      <c r="AD353" s="11" t="s">
        <v>994</v>
      </c>
    </row>
    <row r="354">
      <c r="B354" s="12" t="s">
        <v>994</v>
      </c>
      <c r="C354" s="11" t="s">
        <v>994</v>
      </c>
      <c r="D354" s="11" t="s">
        <v>994</v>
      </c>
      <c r="E354" s="12" t="s">
        <v>994</v>
      </c>
      <c r="F354" s="12" t="s">
        <v>994</v>
      </c>
      <c r="G354" s="12" t="s">
        <v>994</v>
      </c>
      <c r="H354" s="12" t="s">
        <v>994</v>
      </c>
      <c r="I354" s="12" t="s">
        <v>994</v>
      </c>
      <c r="J354" s="12" t="s">
        <v>994</v>
      </c>
      <c r="K354" s="12" t="s">
        <v>994</v>
      </c>
      <c r="L354" s="13" t="s">
        <v>994</v>
      </c>
      <c r="M354" s="11" t="s">
        <v>994</v>
      </c>
      <c r="N354" s="11" t="s">
        <v>994</v>
      </c>
      <c r="O354" s="11" t="s">
        <v>994</v>
      </c>
      <c r="P354" s="11" t="s">
        <v>994</v>
      </c>
      <c r="Q354" s="11" t="s">
        <v>994</v>
      </c>
      <c r="R354" s="11" t="s">
        <v>994</v>
      </c>
      <c r="S354" s="11" t="s">
        <v>994</v>
      </c>
      <c r="T354" s="11" t="s">
        <v>994</v>
      </c>
      <c r="U354" s="11" t="s">
        <v>994</v>
      </c>
      <c r="V354" s="11" t="s">
        <v>994</v>
      </c>
      <c r="W354" s="11" t="s">
        <v>994</v>
      </c>
      <c r="X354" s="11" t="s">
        <v>994</v>
      </c>
      <c r="Y354" s="11" t="s">
        <v>994</v>
      </c>
      <c r="Z354" s="11" t="s">
        <v>994</v>
      </c>
      <c r="AA354" s="11" t="s">
        <v>994</v>
      </c>
      <c r="AB354" s="11" t="s">
        <v>994</v>
      </c>
      <c r="AC354" s="11" t="s">
        <v>994</v>
      </c>
      <c r="AD354" s="11" t="s">
        <v>994</v>
      </c>
    </row>
    <row r="355">
      <c r="B355" s="12" t="s">
        <v>994</v>
      </c>
      <c r="C355" s="11" t="s">
        <v>994</v>
      </c>
      <c r="D355" s="11" t="s">
        <v>994</v>
      </c>
      <c r="E355" s="12" t="s">
        <v>994</v>
      </c>
      <c r="F355" s="12" t="s">
        <v>994</v>
      </c>
      <c r="G355" s="12" t="s">
        <v>994</v>
      </c>
      <c r="H355" s="12" t="s">
        <v>994</v>
      </c>
      <c r="I355" s="12" t="s">
        <v>994</v>
      </c>
      <c r="J355" s="12" t="s">
        <v>994</v>
      </c>
      <c r="K355" s="12" t="s">
        <v>994</v>
      </c>
      <c r="L355" s="13" t="s">
        <v>994</v>
      </c>
      <c r="M355" s="11" t="s">
        <v>994</v>
      </c>
      <c r="N355" s="11" t="s">
        <v>994</v>
      </c>
      <c r="O355" s="11" t="s">
        <v>994</v>
      </c>
      <c r="P355" s="11" t="s">
        <v>994</v>
      </c>
      <c r="Q355" s="11" t="s">
        <v>994</v>
      </c>
      <c r="R355" s="11" t="s">
        <v>994</v>
      </c>
      <c r="S355" s="11" t="s">
        <v>994</v>
      </c>
      <c r="T355" s="11" t="s">
        <v>994</v>
      </c>
      <c r="U355" s="11" t="s">
        <v>994</v>
      </c>
      <c r="V355" s="11" t="s">
        <v>994</v>
      </c>
      <c r="W355" s="11" t="s">
        <v>994</v>
      </c>
      <c r="X355" s="11" t="s">
        <v>994</v>
      </c>
      <c r="Y355" s="11" t="s">
        <v>994</v>
      </c>
      <c r="Z355" s="11" t="s">
        <v>994</v>
      </c>
      <c r="AA355" s="11" t="s">
        <v>994</v>
      </c>
      <c r="AB355" s="11" t="s">
        <v>994</v>
      </c>
      <c r="AC355" s="11" t="s">
        <v>994</v>
      </c>
      <c r="AD355" s="11" t="s">
        <v>994</v>
      </c>
    </row>
    <row r="356">
      <c r="B356" s="12" t="s">
        <v>994</v>
      </c>
      <c r="C356" s="11" t="s">
        <v>994</v>
      </c>
      <c r="D356" s="11" t="s">
        <v>994</v>
      </c>
      <c r="E356" s="12" t="s">
        <v>994</v>
      </c>
      <c r="F356" s="12" t="s">
        <v>994</v>
      </c>
      <c r="G356" s="12" t="s">
        <v>994</v>
      </c>
      <c r="H356" s="12" t="s">
        <v>994</v>
      </c>
      <c r="I356" s="12" t="s">
        <v>994</v>
      </c>
      <c r="J356" s="12" t="s">
        <v>994</v>
      </c>
      <c r="K356" s="12" t="s">
        <v>994</v>
      </c>
      <c r="L356" s="13" t="s">
        <v>994</v>
      </c>
      <c r="M356" s="11" t="s">
        <v>994</v>
      </c>
      <c r="N356" s="11" t="s">
        <v>994</v>
      </c>
      <c r="O356" s="11" t="s">
        <v>994</v>
      </c>
      <c r="P356" s="11" t="s">
        <v>994</v>
      </c>
      <c r="Q356" s="11" t="s">
        <v>994</v>
      </c>
      <c r="R356" s="11" t="s">
        <v>994</v>
      </c>
      <c r="S356" s="11" t="s">
        <v>994</v>
      </c>
      <c r="T356" s="11" t="s">
        <v>994</v>
      </c>
      <c r="U356" s="11" t="s">
        <v>994</v>
      </c>
      <c r="V356" s="11" t="s">
        <v>994</v>
      </c>
      <c r="W356" s="11" t="s">
        <v>994</v>
      </c>
      <c r="X356" s="11" t="s">
        <v>994</v>
      </c>
      <c r="Y356" s="11" t="s">
        <v>994</v>
      </c>
      <c r="Z356" s="11" t="s">
        <v>994</v>
      </c>
      <c r="AA356" s="11" t="s">
        <v>994</v>
      </c>
      <c r="AB356" s="11" t="s">
        <v>994</v>
      </c>
      <c r="AC356" s="11" t="s">
        <v>994</v>
      </c>
      <c r="AD356" s="11" t="s">
        <v>994</v>
      </c>
    </row>
    <row r="357">
      <c r="B357" s="12" t="s">
        <v>994</v>
      </c>
      <c r="C357" s="11" t="s">
        <v>994</v>
      </c>
      <c r="D357" s="11" t="s">
        <v>994</v>
      </c>
      <c r="E357" s="12" t="s">
        <v>994</v>
      </c>
      <c r="F357" s="12" t="s">
        <v>994</v>
      </c>
      <c r="G357" s="12" t="s">
        <v>994</v>
      </c>
      <c r="H357" s="12" t="s">
        <v>994</v>
      </c>
      <c r="I357" s="12" t="s">
        <v>994</v>
      </c>
      <c r="J357" s="12" t="s">
        <v>994</v>
      </c>
      <c r="K357" s="12" t="s">
        <v>994</v>
      </c>
      <c r="L357" s="13" t="s">
        <v>994</v>
      </c>
      <c r="M357" s="11" t="s">
        <v>994</v>
      </c>
      <c r="N357" s="11" t="s">
        <v>994</v>
      </c>
      <c r="O357" s="11" t="s">
        <v>994</v>
      </c>
      <c r="P357" s="11" t="s">
        <v>994</v>
      </c>
      <c r="Q357" s="11" t="s">
        <v>994</v>
      </c>
      <c r="R357" s="11" t="s">
        <v>994</v>
      </c>
      <c r="S357" s="11" t="s">
        <v>994</v>
      </c>
      <c r="T357" s="11" t="s">
        <v>994</v>
      </c>
      <c r="U357" s="11" t="s">
        <v>994</v>
      </c>
      <c r="V357" s="11" t="s">
        <v>994</v>
      </c>
      <c r="W357" s="11" t="s">
        <v>994</v>
      </c>
      <c r="X357" s="11" t="s">
        <v>994</v>
      </c>
      <c r="Y357" s="11" t="s">
        <v>994</v>
      </c>
      <c r="Z357" s="11" t="s">
        <v>994</v>
      </c>
      <c r="AA357" s="11" t="s">
        <v>994</v>
      </c>
      <c r="AB357" s="11" t="s">
        <v>994</v>
      </c>
      <c r="AC357" s="11" t="s">
        <v>994</v>
      </c>
      <c r="AD357" s="11" t="s">
        <v>994</v>
      </c>
    </row>
    <row r="358">
      <c r="B358" s="12" t="s">
        <v>994</v>
      </c>
      <c r="C358" s="11" t="s">
        <v>994</v>
      </c>
      <c r="D358" s="11" t="s">
        <v>994</v>
      </c>
      <c r="E358" s="12" t="s">
        <v>994</v>
      </c>
      <c r="F358" s="12" t="s">
        <v>994</v>
      </c>
      <c r="G358" s="12" t="s">
        <v>994</v>
      </c>
      <c r="H358" s="12" t="s">
        <v>994</v>
      </c>
      <c r="I358" s="12" t="s">
        <v>994</v>
      </c>
      <c r="J358" s="12" t="s">
        <v>994</v>
      </c>
      <c r="K358" s="12" t="s">
        <v>994</v>
      </c>
      <c r="L358" s="13" t="s">
        <v>994</v>
      </c>
      <c r="M358" s="11" t="s">
        <v>994</v>
      </c>
      <c r="N358" s="11" t="s">
        <v>994</v>
      </c>
      <c r="O358" s="11" t="s">
        <v>994</v>
      </c>
      <c r="P358" s="11" t="s">
        <v>994</v>
      </c>
      <c r="Q358" s="11" t="s">
        <v>994</v>
      </c>
      <c r="R358" s="11" t="s">
        <v>994</v>
      </c>
      <c r="S358" s="11" t="s">
        <v>994</v>
      </c>
      <c r="T358" s="11" t="s">
        <v>994</v>
      </c>
      <c r="U358" s="11" t="s">
        <v>994</v>
      </c>
      <c r="V358" s="11" t="s">
        <v>994</v>
      </c>
      <c r="W358" s="11" t="s">
        <v>994</v>
      </c>
      <c r="X358" s="11" t="s">
        <v>994</v>
      </c>
      <c r="Y358" s="11" t="s">
        <v>994</v>
      </c>
      <c r="Z358" s="11" t="s">
        <v>994</v>
      </c>
      <c r="AA358" s="11" t="s">
        <v>994</v>
      </c>
      <c r="AB358" s="11" t="s">
        <v>994</v>
      </c>
      <c r="AC358" s="11" t="s">
        <v>994</v>
      </c>
      <c r="AD358" s="11" t="s">
        <v>994</v>
      </c>
    </row>
    <row r="359">
      <c r="B359" s="12" t="s">
        <v>994</v>
      </c>
      <c r="C359" s="11" t="s">
        <v>994</v>
      </c>
      <c r="D359" s="11" t="s">
        <v>994</v>
      </c>
      <c r="E359" s="12" t="s">
        <v>994</v>
      </c>
      <c r="F359" s="12" t="s">
        <v>994</v>
      </c>
      <c r="G359" s="12" t="s">
        <v>994</v>
      </c>
      <c r="H359" s="12" t="s">
        <v>994</v>
      </c>
      <c r="I359" s="12" t="s">
        <v>994</v>
      </c>
      <c r="J359" s="12" t="s">
        <v>994</v>
      </c>
      <c r="K359" s="12" t="s">
        <v>994</v>
      </c>
      <c r="L359" s="13" t="s">
        <v>994</v>
      </c>
      <c r="M359" s="11" t="s">
        <v>994</v>
      </c>
      <c r="N359" s="11" t="s">
        <v>994</v>
      </c>
      <c r="O359" s="11" t="s">
        <v>994</v>
      </c>
      <c r="P359" s="11" t="s">
        <v>994</v>
      </c>
      <c r="Q359" s="11" t="s">
        <v>994</v>
      </c>
      <c r="R359" s="11" t="s">
        <v>994</v>
      </c>
      <c r="S359" s="11" t="s">
        <v>994</v>
      </c>
      <c r="T359" s="11" t="s">
        <v>994</v>
      </c>
      <c r="U359" s="11" t="s">
        <v>994</v>
      </c>
      <c r="V359" s="11" t="s">
        <v>994</v>
      </c>
      <c r="W359" s="11" t="s">
        <v>994</v>
      </c>
      <c r="X359" s="11" t="s">
        <v>994</v>
      </c>
      <c r="Y359" s="11" t="s">
        <v>994</v>
      </c>
      <c r="Z359" s="11" t="s">
        <v>994</v>
      </c>
      <c r="AA359" s="11" t="s">
        <v>994</v>
      </c>
      <c r="AB359" s="11" t="s">
        <v>994</v>
      </c>
      <c r="AC359" s="11" t="s">
        <v>994</v>
      </c>
      <c r="AD359" s="11" t="s">
        <v>994</v>
      </c>
    </row>
    <row r="360">
      <c r="B360" s="12" t="s">
        <v>994</v>
      </c>
      <c r="C360" s="11" t="s">
        <v>994</v>
      </c>
      <c r="D360" s="11" t="s">
        <v>994</v>
      </c>
      <c r="E360" s="12" t="s">
        <v>994</v>
      </c>
      <c r="F360" s="12" t="s">
        <v>994</v>
      </c>
      <c r="G360" s="12" t="s">
        <v>994</v>
      </c>
      <c r="H360" s="12" t="s">
        <v>994</v>
      </c>
      <c r="I360" s="12" t="s">
        <v>994</v>
      </c>
      <c r="J360" s="12" t="s">
        <v>994</v>
      </c>
      <c r="K360" s="12" t="s">
        <v>994</v>
      </c>
      <c r="L360" s="13" t="s">
        <v>994</v>
      </c>
      <c r="M360" s="11" t="s">
        <v>994</v>
      </c>
      <c r="N360" s="11" t="s">
        <v>994</v>
      </c>
      <c r="O360" s="11" t="s">
        <v>994</v>
      </c>
      <c r="P360" s="11" t="s">
        <v>994</v>
      </c>
      <c r="Q360" s="11" t="s">
        <v>994</v>
      </c>
      <c r="R360" s="11" t="s">
        <v>994</v>
      </c>
      <c r="S360" s="11" t="s">
        <v>994</v>
      </c>
      <c r="T360" s="11" t="s">
        <v>994</v>
      </c>
      <c r="U360" s="11" t="s">
        <v>994</v>
      </c>
      <c r="V360" s="11" t="s">
        <v>994</v>
      </c>
      <c r="W360" s="11" t="s">
        <v>994</v>
      </c>
      <c r="X360" s="11" t="s">
        <v>994</v>
      </c>
      <c r="Y360" s="11" t="s">
        <v>994</v>
      </c>
      <c r="Z360" s="11" t="s">
        <v>994</v>
      </c>
      <c r="AA360" s="11" t="s">
        <v>994</v>
      </c>
      <c r="AB360" s="11" t="s">
        <v>994</v>
      </c>
      <c r="AC360" s="11" t="s">
        <v>994</v>
      </c>
      <c r="AD360" s="11" t="s">
        <v>994</v>
      </c>
    </row>
    <row r="361">
      <c r="B361" s="12" t="s">
        <v>994</v>
      </c>
      <c r="C361" s="11" t="s">
        <v>994</v>
      </c>
      <c r="D361" s="11" t="s">
        <v>994</v>
      </c>
      <c r="E361" s="12" t="s">
        <v>994</v>
      </c>
      <c r="F361" s="12" t="s">
        <v>994</v>
      </c>
      <c r="G361" s="12" t="s">
        <v>994</v>
      </c>
      <c r="H361" s="12" t="s">
        <v>994</v>
      </c>
      <c r="I361" s="12" t="s">
        <v>994</v>
      </c>
      <c r="J361" s="12" t="s">
        <v>994</v>
      </c>
      <c r="K361" s="12" t="s">
        <v>994</v>
      </c>
      <c r="L361" s="13" t="s">
        <v>994</v>
      </c>
      <c r="M361" s="11" t="s">
        <v>994</v>
      </c>
      <c r="N361" s="11" t="s">
        <v>994</v>
      </c>
      <c r="O361" s="11" t="s">
        <v>994</v>
      </c>
      <c r="P361" s="11" t="s">
        <v>994</v>
      </c>
      <c r="Q361" s="11" t="s">
        <v>994</v>
      </c>
      <c r="R361" s="11" t="s">
        <v>994</v>
      </c>
      <c r="S361" s="11" t="s">
        <v>994</v>
      </c>
      <c r="T361" s="11" t="s">
        <v>994</v>
      </c>
      <c r="U361" s="11" t="s">
        <v>994</v>
      </c>
      <c r="V361" s="11" t="s">
        <v>994</v>
      </c>
      <c r="W361" s="11" t="s">
        <v>994</v>
      </c>
      <c r="X361" s="11" t="s">
        <v>994</v>
      </c>
      <c r="Y361" s="11" t="s">
        <v>994</v>
      </c>
      <c r="Z361" s="11" t="s">
        <v>994</v>
      </c>
      <c r="AA361" s="11" t="s">
        <v>994</v>
      </c>
      <c r="AB361" s="11" t="s">
        <v>994</v>
      </c>
      <c r="AC361" s="11" t="s">
        <v>994</v>
      </c>
      <c r="AD361" s="11" t="s">
        <v>994</v>
      </c>
    </row>
    <row r="362">
      <c r="B362" s="12" t="s">
        <v>994</v>
      </c>
      <c r="C362" s="11" t="s">
        <v>994</v>
      </c>
      <c r="D362" s="11" t="s">
        <v>994</v>
      </c>
      <c r="E362" s="12" t="s">
        <v>994</v>
      </c>
      <c r="F362" s="12" t="s">
        <v>994</v>
      </c>
      <c r="G362" s="12" t="s">
        <v>994</v>
      </c>
      <c r="H362" s="12" t="s">
        <v>994</v>
      </c>
      <c r="I362" s="12" t="s">
        <v>994</v>
      </c>
      <c r="J362" s="12" t="s">
        <v>994</v>
      </c>
      <c r="K362" s="12" t="s">
        <v>994</v>
      </c>
      <c r="L362" s="13" t="s">
        <v>994</v>
      </c>
      <c r="M362" s="11" t="s">
        <v>994</v>
      </c>
      <c r="N362" s="11" t="s">
        <v>994</v>
      </c>
      <c r="O362" s="11" t="s">
        <v>994</v>
      </c>
      <c r="P362" s="11" t="s">
        <v>994</v>
      </c>
      <c r="Q362" s="11" t="s">
        <v>994</v>
      </c>
      <c r="R362" s="11" t="s">
        <v>994</v>
      </c>
      <c r="S362" s="11" t="s">
        <v>994</v>
      </c>
      <c r="T362" s="11" t="s">
        <v>994</v>
      </c>
      <c r="U362" s="11" t="s">
        <v>994</v>
      </c>
      <c r="V362" s="11" t="s">
        <v>994</v>
      </c>
      <c r="W362" s="11" t="s">
        <v>994</v>
      </c>
      <c r="X362" s="11" t="s">
        <v>994</v>
      </c>
      <c r="Y362" s="11" t="s">
        <v>994</v>
      </c>
      <c r="Z362" s="11" t="s">
        <v>994</v>
      </c>
      <c r="AA362" s="11" t="s">
        <v>994</v>
      </c>
      <c r="AB362" s="11" t="s">
        <v>994</v>
      </c>
      <c r="AC362" s="11" t="s">
        <v>994</v>
      </c>
      <c r="AD362" s="11" t="s">
        <v>994</v>
      </c>
    </row>
    <row r="363">
      <c r="B363" s="12" t="s">
        <v>994</v>
      </c>
      <c r="C363" s="11" t="s">
        <v>994</v>
      </c>
      <c r="D363" s="11" t="s">
        <v>994</v>
      </c>
      <c r="E363" s="12" t="s">
        <v>994</v>
      </c>
      <c r="F363" s="12" t="s">
        <v>994</v>
      </c>
      <c r="G363" s="12" t="s">
        <v>994</v>
      </c>
      <c r="H363" s="12" t="s">
        <v>994</v>
      </c>
      <c r="I363" s="12" t="s">
        <v>994</v>
      </c>
      <c r="J363" s="12" t="s">
        <v>994</v>
      </c>
      <c r="K363" s="12" t="s">
        <v>994</v>
      </c>
      <c r="L363" s="13" t="s">
        <v>994</v>
      </c>
      <c r="M363" s="11" t="s">
        <v>994</v>
      </c>
      <c r="N363" s="11" t="s">
        <v>994</v>
      </c>
      <c r="O363" s="11" t="s">
        <v>994</v>
      </c>
      <c r="P363" s="11" t="s">
        <v>994</v>
      </c>
      <c r="Q363" s="11" t="s">
        <v>994</v>
      </c>
      <c r="R363" s="11" t="s">
        <v>994</v>
      </c>
      <c r="S363" s="11" t="s">
        <v>994</v>
      </c>
      <c r="T363" s="11" t="s">
        <v>994</v>
      </c>
      <c r="U363" s="11" t="s">
        <v>994</v>
      </c>
      <c r="V363" s="11" t="s">
        <v>994</v>
      </c>
      <c r="W363" s="11" t="s">
        <v>994</v>
      </c>
      <c r="X363" s="11" t="s">
        <v>994</v>
      </c>
      <c r="Y363" s="11" t="s">
        <v>994</v>
      </c>
      <c r="Z363" s="11" t="s">
        <v>994</v>
      </c>
      <c r="AA363" s="11" t="s">
        <v>994</v>
      </c>
      <c r="AB363" s="11" t="s">
        <v>994</v>
      </c>
      <c r="AC363" s="11" t="s">
        <v>994</v>
      </c>
      <c r="AD363" s="11" t="s">
        <v>994</v>
      </c>
    </row>
    <row r="364">
      <c r="B364" s="12" t="s">
        <v>994</v>
      </c>
      <c r="C364" s="11" t="s">
        <v>994</v>
      </c>
      <c r="D364" s="11" t="s">
        <v>994</v>
      </c>
      <c r="E364" s="12" t="s">
        <v>994</v>
      </c>
      <c r="F364" s="12" t="s">
        <v>994</v>
      </c>
      <c r="G364" s="12" t="s">
        <v>994</v>
      </c>
      <c r="H364" s="12" t="s">
        <v>994</v>
      </c>
      <c r="I364" s="12" t="s">
        <v>994</v>
      </c>
      <c r="J364" s="12" t="s">
        <v>994</v>
      </c>
      <c r="K364" s="12" t="s">
        <v>994</v>
      </c>
      <c r="L364" s="13" t="s">
        <v>994</v>
      </c>
      <c r="M364" s="11" t="s">
        <v>994</v>
      </c>
      <c r="N364" s="11" t="s">
        <v>994</v>
      </c>
      <c r="O364" s="11" t="s">
        <v>994</v>
      </c>
      <c r="P364" s="11" t="s">
        <v>994</v>
      </c>
      <c r="Q364" s="11" t="s">
        <v>994</v>
      </c>
      <c r="R364" s="11" t="s">
        <v>994</v>
      </c>
      <c r="S364" s="11" t="s">
        <v>994</v>
      </c>
      <c r="T364" s="11" t="s">
        <v>994</v>
      </c>
      <c r="U364" s="11" t="s">
        <v>994</v>
      </c>
      <c r="V364" s="11" t="s">
        <v>994</v>
      </c>
      <c r="W364" s="11" t="s">
        <v>994</v>
      </c>
      <c r="X364" s="11" t="s">
        <v>994</v>
      </c>
      <c r="Y364" s="11" t="s">
        <v>994</v>
      </c>
      <c r="Z364" s="11" t="s">
        <v>994</v>
      </c>
      <c r="AA364" s="11" t="s">
        <v>994</v>
      </c>
      <c r="AB364" s="11" t="s">
        <v>994</v>
      </c>
      <c r="AC364" s="11" t="s">
        <v>994</v>
      </c>
      <c r="AD364" s="11" t="s">
        <v>994</v>
      </c>
    </row>
    <row r="365">
      <c r="B365" s="12" t="s">
        <v>994</v>
      </c>
      <c r="C365" s="11" t="s">
        <v>994</v>
      </c>
      <c r="D365" s="11" t="s">
        <v>994</v>
      </c>
      <c r="E365" s="12" t="s">
        <v>994</v>
      </c>
      <c r="F365" s="12" t="s">
        <v>994</v>
      </c>
      <c r="G365" s="12" t="s">
        <v>994</v>
      </c>
      <c r="H365" s="12" t="s">
        <v>994</v>
      </c>
      <c r="I365" s="12" t="s">
        <v>994</v>
      </c>
      <c r="J365" s="12" t="s">
        <v>994</v>
      </c>
      <c r="K365" s="12" t="s">
        <v>994</v>
      </c>
      <c r="L365" s="13" t="s">
        <v>994</v>
      </c>
      <c r="M365" s="11" t="s">
        <v>994</v>
      </c>
      <c r="N365" s="11" t="s">
        <v>994</v>
      </c>
      <c r="O365" s="11" t="s">
        <v>994</v>
      </c>
      <c r="P365" s="11" t="s">
        <v>994</v>
      </c>
      <c r="Q365" s="11" t="s">
        <v>994</v>
      </c>
      <c r="R365" s="11" t="s">
        <v>994</v>
      </c>
      <c r="S365" s="11" t="s">
        <v>994</v>
      </c>
      <c r="T365" s="11" t="s">
        <v>994</v>
      </c>
      <c r="U365" s="11" t="s">
        <v>994</v>
      </c>
      <c r="V365" s="11" t="s">
        <v>994</v>
      </c>
      <c r="W365" s="11" t="s">
        <v>994</v>
      </c>
      <c r="X365" s="11" t="s">
        <v>994</v>
      </c>
      <c r="Y365" s="11" t="s">
        <v>994</v>
      </c>
      <c r="Z365" s="11" t="s">
        <v>994</v>
      </c>
      <c r="AA365" s="11" t="s">
        <v>994</v>
      </c>
      <c r="AB365" s="11" t="s">
        <v>994</v>
      </c>
      <c r="AC365" s="11" t="s">
        <v>994</v>
      </c>
      <c r="AD365" s="11" t="s">
        <v>994</v>
      </c>
    </row>
    <row r="366">
      <c r="B366" s="12" t="s">
        <v>994</v>
      </c>
      <c r="C366" s="11" t="s">
        <v>994</v>
      </c>
      <c r="D366" s="11" t="s">
        <v>994</v>
      </c>
      <c r="E366" s="12" t="s">
        <v>994</v>
      </c>
      <c r="F366" s="12" t="s">
        <v>994</v>
      </c>
      <c r="G366" s="12" t="s">
        <v>994</v>
      </c>
      <c r="H366" s="12" t="s">
        <v>994</v>
      </c>
      <c r="I366" s="12" t="s">
        <v>994</v>
      </c>
      <c r="J366" s="12" t="s">
        <v>994</v>
      </c>
      <c r="K366" s="12" t="s">
        <v>994</v>
      </c>
      <c r="L366" s="13" t="s">
        <v>994</v>
      </c>
      <c r="M366" s="11" t="s">
        <v>994</v>
      </c>
      <c r="N366" s="11" t="s">
        <v>994</v>
      </c>
      <c r="O366" s="11" t="s">
        <v>994</v>
      </c>
      <c r="P366" s="11" t="s">
        <v>994</v>
      </c>
      <c r="Q366" s="11" t="s">
        <v>994</v>
      </c>
      <c r="R366" s="11" t="s">
        <v>994</v>
      </c>
      <c r="S366" s="11" t="s">
        <v>994</v>
      </c>
      <c r="T366" s="11" t="s">
        <v>994</v>
      </c>
      <c r="U366" s="11" t="s">
        <v>994</v>
      </c>
      <c r="V366" s="11" t="s">
        <v>994</v>
      </c>
      <c r="W366" s="11" t="s">
        <v>994</v>
      </c>
      <c r="X366" s="11" t="s">
        <v>994</v>
      </c>
      <c r="Y366" s="11" t="s">
        <v>994</v>
      </c>
      <c r="Z366" s="11" t="s">
        <v>994</v>
      </c>
      <c r="AA366" s="11" t="s">
        <v>994</v>
      </c>
      <c r="AB366" s="11" t="s">
        <v>994</v>
      </c>
      <c r="AC366" s="11" t="s">
        <v>994</v>
      </c>
      <c r="AD366" s="11" t="s">
        <v>994</v>
      </c>
    </row>
    <row r="367">
      <c r="B367" s="12" t="s">
        <v>994</v>
      </c>
      <c r="C367" s="11" t="s">
        <v>994</v>
      </c>
      <c r="D367" s="11" t="s">
        <v>994</v>
      </c>
      <c r="E367" s="12" t="s">
        <v>994</v>
      </c>
      <c r="F367" s="12" t="s">
        <v>994</v>
      </c>
      <c r="G367" s="12" t="s">
        <v>994</v>
      </c>
      <c r="H367" s="12" t="s">
        <v>994</v>
      </c>
      <c r="I367" s="12" t="s">
        <v>994</v>
      </c>
      <c r="J367" s="12" t="s">
        <v>994</v>
      </c>
      <c r="K367" s="12" t="s">
        <v>994</v>
      </c>
      <c r="L367" s="13" t="s">
        <v>994</v>
      </c>
      <c r="M367" s="11" t="s">
        <v>994</v>
      </c>
      <c r="N367" s="11" t="s">
        <v>994</v>
      </c>
      <c r="O367" s="11" t="s">
        <v>994</v>
      </c>
      <c r="P367" s="11" t="s">
        <v>994</v>
      </c>
      <c r="Q367" s="11" t="s">
        <v>994</v>
      </c>
      <c r="R367" s="11" t="s">
        <v>994</v>
      </c>
      <c r="S367" s="11" t="s">
        <v>994</v>
      </c>
      <c r="T367" s="11" t="s">
        <v>994</v>
      </c>
      <c r="U367" s="11" t="s">
        <v>994</v>
      </c>
      <c r="V367" s="11" t="s">
        <v>994</v>
      </c>
      <c r="W367" s="11" t="s">
        <v>994</v>
      </c>
      <c r="X367" s="11" t="s">
        <v>994</v>
      </c>
      <c r="Y367" s="11" t="s">
        <v>994</v>
      </c>
      <c r="Z367" s="11" t="s">
        <v>994</v>
      </c>
      <c r="AA367" s="11" t="s">
        <v>994</v>
      </c>
      <c r="AB367" s="11" t="s">
        <v>994</v>
      </c>
      <c r="AC367" s="11" t="s">
        <v>994</v>
      </c>
      <c r="AD367" s="11" t="s">
        <v>994</v>
      </c>
    </row>
    <row r="368">
      <c r="B368" s="12" t="s">
        <v>994</v>
      </c>
      <c r="C368" s="11" t="s">
        <v>994</v>
      </c>
      <c r="D368" s="11" t="s">
        <v>994</v>
      </c>
      <c r="E368" s="12" t="s">
        <v>994</v>
      </c>
      <c r="F368" s="12" t="s">
        <v>994</v>
      </c>
      <c r="G368" s="12" t="s">
        <v>994</v>
      </c>
      <c r="H368" s="12" t="s">
        <v>994</v>
      </c>
      <c r="I368" s="12" t="s">
        <v>994</v>
      </c>
      <c r="J368" s="12" t="s">
        <v>994</v>
      </c>
      <c r="K368" s="12" t="s">
        <v>994</v>
      </c>
      <c r="L368" s="13" t="s">
        <v>994</v>
      </c>
      <c r="M368" s="11" t="s">
        <v>994</v>
      </c>
      <c r="N368" s="11" t="s">
        <v>994</v>
      </c>
      <c r="O368" s="11" t="s">
        <v>994</v>
      </c>
      <c r="P368" s="11" t="s">
        <v>994</v>
      </c>
      <c r="Q368" s="11" t="s">
        <v>994</v>
      </c>
      <c r="R368" s="11" t="s">
        <v>994</v>
      </c>
      <c r="S368" s="11" t="s">
        <v>994</v>
      </c>
      <c r="T368" s="11" t="s">
        <v>994</v>
      </c>
      <c r="U368" s="11" t="s">
        <v>994</v>
      </c>
      <c r="V368" s="11" t="s">
        <v>994</v>
      </c>
      <c r="W368" s="11" t="s">
        <v>994</v>
      </c>
      <c r="X368" s="11" t="s">
        <v>994</v>
      </c>
      <c r="Y368" s="11" t="s">
        <v>994</v>
      </c>
      <c r="Z368" s="11" t="s">
        <v>994</v>
      </c>
      <c r="AA368" s="11" t="s">
        <v>994</v>
      </c>
      <c r="AB368" s="11" t="s">
        <v>994</v>
      </c>
      <c r="AC368" s="11" t="s">
        <v>994</v>
      </c>
      <c r="AD368" s="11" t="s">
        <v>994</v>
      </c>
    </row>
    <row r="369">
      <c r="B369" s="12" t="s">
        <v>994</v>
      </c>
      <c r="C369" s="11" t="s">
        <v>994</v>
      </c>
      <c r="D369" s="11" t="s">
        <v>994</v>
      </c>
      <c r="E369" s="12" t="s">
        <v>994</v>
      </c>
      <c r="F369" s="12" t="s">
        <v>994</v>
      </c>
      <c r="G369" s="12" t="s">
        <v>994</v>
      </c>
      <c r="H369" s="12" t="s">
        <v>994</v>
      </c>
      <c r="I369" s="12" t="s">
        <v>994</v>
      </c>
      <c r="J369" s="12" t="s">
        <v>994</v>
      </c>
      <c r="K369" s="12" t="s">
        <v>994</v>
      </c>
      <c r="L369" s="13" t="s">
        <v>994</v>
      </c>
      <c r="M369" s="11" t="s">
        <v>994</v>
      </c>
      <c r="N369" s="11" t="s">
        <v>994</v>
      </c>
      <c r="O369" s="11" t="s">
        <v>994</v>
      </c>
      <c r="P369" s="11" t="s">
        <v>994</v>
      </c>
      <c r="Q369" s="11" t="s">
        <v>994</v>
      </c>
      <c r="R369" s="11" t="s">
        <v>994</v>
      </c>
      <c r="S369" s="11" t="s">
        <v>994</v>
      </c>
      <c r="T369" s="11" t="s">
        <v>994</v>
      </c>
      <c r="U369" s="11" t="s">
        <v>994</v>
      </c>
      <c r="V369" s="11" t="s">
        <v>994</v>
      </c>
      <c r="W369" s="11" t="s">
        <v>994</v>
      </c>
      <c r="X369" s="11" t="s">
        <v>994</v>
      </c>
      <c r="Y369" s="11" t="s">
        <v>994</v>
      </c>
      <c r="Z369" s="11" t="s">
        <v>994</v>
      </c>
      <c r="AA369" s="11" t="s">
        <v>994</v>
      </c>
      <c r="AB369" s="11" t="s">
        <v>994</v>
      </c>
      <c r="AC369" s="11" t="s">
        <v>994</v>
      </c>
      <c r="AD369" s="11" t="s">
        <v>994</v>
      </c>
    </row>
    <row r="370">
      <c r="B370" s="12" t="s">
        <v>994</v>
      </c>
      <c r="C370" s="11" t="s">
        <v>994</v>
      </c>
      <c r="D370" s="11" t="s">
        <v>994</v>
      </c>
      <c r="E370" s="12" t="s">
        <v>994</v>
      </c>
      <c r="F370" s="12" t="s">
        <v>994</v>
      </c>
      <c r="G370" s="12" t="s">
        <v>994</v>
      </c>
      <c r="H370" s="12" t="s">
        <v>994</v>
      </c>
      <c r="I370" s="12" t="s">
        <v>994</v>
      </c>
      <c r="J370" s="12" t="s">
        <v>994</v>
      </c>
      <c r="K370" s="12" t="s">
        <v>994</v>
      </c>
      <c r="L370" s="13" t="s">
        <v>994</v>
      </c>
      <c r="M370" s="11" t="s">
        <v>994</v>
      </c>
      <c r="N370" s="11" t="s">
        <v>994</v>
      </c>
      <c r="O370" s="11" t="s">
        <v>994</v>
      </c>
      <c r="P370" s="11" t="s">
        <v>994</v>
      </c>
      <c r="Q370" s="11" t="s">
        <v>994</v>
      </c>
      <c r="R370" s="11" t="s">
        <v>994</v>
      </c>
      <c r="S370" s="11" t="s">
        <v>994</v>
      </c>
      <c r="T370" s="11" t="s">
        <v>994</v>
      </c>
      <c r="U370" s="11" t="s">
        <v>994</v>
      </c>
      <c r="V370" s="11" t="s">
        <v>994</v>
      </c>
      <c r="W370" s="11" t="s">
        <v>994</v>
      </c>
      <c r="X370" s="11" t="s">
        <v>994</v>
      </c>
      <c r="Y370" s="11" t="s">
        <v>994</v>
      </c>
      <c r="Z370" s="11" t="s">
        <v>994</v>
      </c>
      <c r="AA370" s="11" t="s">
        <v>994</v>
      </c>
      <c r="AB370" s="11" t="s">
        <v>994</v>
      </c>
      <c r="AC370" s="11" t="s">
        <v>994</v>
      </c>
      <c r="AD370" s="11" t="s">
        <v>994</v>
      </c>
    </row>
  </sheetData>
  <autoFilter ref="A6:AD6"/>
  <conditionalFormatting sqref="B7:B20">
    <cfRule type="expression" dxfId="121" priority="396">
      <formula>$G7:$G372="Sí"</formula>
    </cfRule>
    <cfRule type="expression" dxfId="120" priority="395">
      <formula>$P7:$P372="APOYO"</formula>
    </cfRule>
  </conditionalFormatting>
  <conditionalFormatting sqref="B21:B71">
    <cfRule type="expression" dxfId="119" priority="379">
      <formula>$P21:$P385="APOYO"</formula>
    </cfRule>
    <cfRule type="expression" dxfId="118" priority="380">
      <formula>$G21:$G385="Sí"</formula>
    </cfRule>
  </conditionalFormatting>
  <conditionalFormatting sqref="C7:AD8 C9:K9 M9:AD9 C10:AD10 C11:S11 U11:AD11 D12:K12 M12:S12 U12:W12 Y12:AD12 C12:C74">
    <cfRule type="expression" dxfId="117" priority="93">
      <formula>$P7:$P375="APOYO"</formula>
    </cfRule>
    <cfRule type="expression" dxfId="116" priority="94">
      <formula>$G7:$G375="Sí"</formula>
    </cfRule>
  </conditionalFormatting>
  <conditionalFormatting sqref="D72:D74 N72:N74">
    <cfRule type="expression" dxfId="115" priority="97">
      <formula>$G72:$G394="Sí"</formula>
    </cfRule>
    <cfRule type="expression" dxfId="114" priority="98">
      <formula>$Q72:$Q394="APOYO"</formula>
    </cfRule>
  </conditionalFormatting>
  <conditionalFormatting sqref="D51:F51 M51">
    <cfRule type="expression" dxfId="113" priority="89">
      <formula>$Q51:$Q372="APOYO"</formula>
    </cfRule>
    <cfRule type="expression" dxfId="112" priority="90">
      <formula>$G51:$G372="Sí"</formula>
    </cfRule>
  </conditionalFormatting>
  <conditionalFormatting sqref="D58:F59 I58:I59 M58:M71 E60:E71">
    <cfRule type="expression" dxfId="111" priority="95">
      <formula>$Q58:$Q378="APOYO"</formula>
    </cfRule>
    <cfRule type="expression" dxfId="110" priority="96">
      <formula>$G58:$G378="Sí"</formula>
    </cfRule>
  </conditionalFormatting>
  <conditionalFormatting sqref="D33:J33">
    <cfRule type="expression" dxfId="109" priority="82">
      <formula>$G33:$G398="Sí"</formula>
    </cfRule>
    <cfRule type="expression" dxfId="108" priority="81">
      <formula>$P33:$P398="APOYO"</formula>
    </cfRule>
  </conditionalFormatting>
  <conditionalFormatting sqref="D42:AC42 D43:J44 L43:AA44 AC43:AD44 D45:AD45 D46:J47 L46:AA47 AC46:AD47 X48:X49 J49 G49:G52 D50:F50 L50:N50 H50:J51 Q50:W51 Y50:AA51 AC50:AD51 N51 L51:L56 Q52 R53:R56 T61:T62">
    <cfRule type="expression" dxfId="107" priority="78">
      <formula>$G42:$G405="Sí"</formula>
    </cfRule>
    <cfRule type="expression" dxfId="106" priority="77">
      <formula>$P42:$P405="APOYO"</formula>
    </cfRule>
  </conditionalFormatting>
  <conditionalFormatting sqref="D13:AD14 D15:K15 M15:AA15 AC15:AD15 D16:AD21 K25 K32:K33 K40:K41">
    <cfRule type="expression" dxfId="105" priority="55">
      <formula>$P13:$P380="APOYO"</formula>
    </cfRule>
    <cfRule type="expression" dxfId="104" priority="56">
      <formula>$G13:$G380="Sí"</formula>
    </cfRule>
  </conditionalFormatting>
  <conditionalFormatting sqref="D22:AD24 D25:J25 M25:AA25 AC25:AD25 D26:AD29 D30:S30 U30:AA30 AC30:AD31 D31:AA31 D32:F32 I32:J32 L32:AD32">
    <cfRule type="expression" dxfId="103" priority="75">
      <formula>$P22:$P388="APOYO"</formula>
    </cfRule>
    <cfRule type="expression" dxfId="102" priority="76">
      <formula>$G22:$G388="Sí"</formula>
    </cfRule>
  </conditionalFormatting>
  <conditionalFormatting sqref="D39:AD39 D40:J41 L40:AA41 AC40:AD41 D48:W48 Y48:AC49 D49:F49 H49:I49 K49:N49 Q49:W49">
    <cfRule type="expression" dxfId="101" priority="80">
      <formula>$G39:$G403="Sí"</formula>
    </cfRule>
    <cfRule type="expression" dxfId="100" priority="79">
      <formula>$P39:$P403="APOYO"</formula>
    </cfRule>
  </conditionalFormatting>
  <conditionalFormatting sqref="E72:E74 M72:M74">
    <cfRule type="expression" dxfId="99" priority="84">
      <formula>$G72:$G391="Sí"</formula>
    </cfRule>
    <cfRule type="expression" dxfId="98" priority="83">
      <formula>$Q72:$Q391="APOYO"</formula>
    </cfRule>
  </conditionalFormatting>
  <conditionalFormatting sqref="F71">
    <cfRule type="expression" dxfId="97" priority="8">
      <formula>$G71:$G435="Sí"</formula>
    </cfRule>
    <cfRule type="expression" dxfId="96" priority="7">
      <formula>$P71:$P435="APOYO"</formula>
    </cfRule>
  </conditionalFormatting>
  <conditionalFormatting sqref="F60:I60 D60:D71 N60:N71">
    <cfRule type="expression" dxfId="95" priority="88">
      <formula>$Q60:$Q383="APOYO"</formula>
    </cfRule>
    <cfRule type="expression" dxfId="94" priority="87">
      <formula>$G60:$G383="Sí"</formula>
    </cfRule>
  </conditionalFormatting>
  <conditionalFormatting sqref="F72:K74 O72:P74 S72:AD74">
    <cfRule type="expression" dxfId="93" priority="67">
      <formula>$P72:$P432="APOYO"</formula>
    </cfRule>
    <cfRule type="expression" dxfId="92" priority="68">
      <formula>$G72:$G432="Sí"</formula>
    </cfRule>
  </conditionalFormatting>
  <conditionalFormatting sqref="G32:H32">
    <cfRule type="expression" dxfId="91" priority="69">
      <formula>$P32:$P397="APOYO"</formula>
    </cfRule>
    <cfRule type="expression" dxfId="90" priority="70">
      <formula>$G32:$G397="Sí"</formula>
    </cfRule>
  </conditionalFormatting>
  <conditionalFormatting sqref="G61:I61">
    <cfRule type="expression" dxfId="89" priority="66">
      <formula>$G61:$G425="Sí"</formula>
    </cfRule>
    <cfRule type="expression" dxfId="88" priority="65">
      <formula>$P61:$P425="APOYO"</formula>
    </cfRule>
  </conditionalFormatting>
  <conditionalFormatting sqref="K43">
    <cfRule type="expression" dxfId="87" priority="53">
      <formula>$P43:$P409="APOYO"</formula>
    </cfRule>
    <cfRule type="expression" dxfId="86" priority="54">
      <formula>$G43:$G409="Sí"</formula>
    </cfRule>
  </conditionalFormatting>
  <conditionalFormatting sqref="K44">
    <cfRule type="expression" dxfId="85" priority="64">
      <formula>$G44:$G409="Sí"</formula>
    </cfRule>
    <cfRule type="expression" dxfId="84" priority="63">
      <formula>$P44:$P409="APOYO"</formula>
    </cfRule>
  </conditionalFormatting>
  <conditionalFormatting sqref="K46">
    <cfRule type="expression" dxfId="83" priority="62">
      <formula>$G46:$G411="Sí"</formula>
    </cfRule>
    <cfRule type="expression" dxfId="82" priority="61">
      <formula>$P46:$P411="APOYO"</formula>
    </cfRule>
  </conditionalFormatting>
  <conditionalFormatting sqref="K47">
    <cfRule type="expression" dxfId="81" priority="52">
      <formula>$G47:$G413="Sí"</formula>
    </cfRule>
    <cfRule type="expression" dxfId="80" priority="51">
      <formula>$P47:$P413="APOYO"</formula>
    </cfRule>
  </conditionalFormatting>
  <conditionalFormatting sqref="K50">
    <cfRule type="expression" dxfId="79" priority="60">
      <formula>$G50:$G415="Sí"</formula>
    </cfRule>
    <cfRule type="expression" dxfId="78" priority="59">
      <formula>$P50:$P415="APOYO"</formula>
    </cfRule>
  </conditionalFormatting>
  <conditionalFormatting sqref="K51">
    <cfRule type="expression" dxfId="77" priority="50">
      <formula>$G51:$G417="Sí"</formula>
    </cfRule>
    <cfRule type="expression" dxfId="76" priority="49">
      <formula>$P51:$P417="APOYO"</formula>
    </cfRule>
  </conditionalFormatting>
  <conditionalFormatting sqref="K56:K57">
    <cfRule type="expression" dxfId="75" priority="57">
      <formula>$P56:$P422="APOYO"</formula>
    </cfRule>
    <cfRule type="expression" dxfId="74" priority="58">
      <formula>$G56:$G422="Sí"</formula>
    </cfRule>
  </conditionalFormatting>
  <conditionalFormatting sqref="L9">
    <cfRule type="expression" dxfId="73" priority="36">
      <formula>$G9:$G373="Sí"</formula>
    </cfRule>
    <cfRule type="expression" dxfId="72" priority="35">
      <formula>$P9:$P373="APOYO"</formula>
    </cfRule>
  </conditionalFormatting>
  <conditionalFormatting sqref="L12">
    <cfRule type="expression" dxfId="71" priority="30">
      <formula>$G12:$G376="Sí"</formula>
    </cfRule>
    <cfRule type="expression" dxfId="70" priority="29">
      <formula>$P12:$P376="APOYO"</formula>
    </cfRule>
  </conditionalFormatting>
  <conditionalFormatting sqref="L15">
    <cfRule type="expression" dxfId="69" priority="27">
      <formula>$P15:$P379="APOYO"</formula>
    </cfRule>
    <cfRule type="expression" dxfId="68" priority="28">
      <formula>$G15:$G379="Sí"</formula>
    </cfRule>
  </conditionalFormatting>
  <conditionalFormatting sqref="L25">
    <cfRule type="expression" dxfId="67" priority="32">
      <formula>$G25:$G389="Sí"</formula>
    </cfRule>
    <cfRule type="expression" dxfId="66" priority="31">
      <formula>$P25:$P389="APOYO"</formula>
    </cfRule>
  </conditionalFormatting>
  <conditionalFormatting sqref="L71">
    <cfRule type="expression" dxfId="65" priority="33">
      <formula>$P71:$P434="APOYO"</formula>
    </cfRule>
    <cfRule type="expression" dxfId="64" priority="34">
      <formula>$G71:$G434="Sí"</formula>
    </cfRule>
  </conditionalFormatting>
  <conditionalFormatting sqref="L33:AD33 D34:AD37 D38:R38 T38:AD38 AD42 AD48:AD49 K61:K62">
    <cfRule type="expression" dxfId="63" priority="91">
      <formula>$P33:$P398="APOYO"</formula>
    </cfRule>
    <cfRule type="expression" dxfId="62" priority="92">
      <formula>$G33:$G398="Sí"</formula>
    </cfRule>
  </conditionalFormatting>
  <conditionalFormatting sqref="O49:P52 X50:X51 D52:F52 H52:K52 M52:N52 R52:S52 U52:AA52 AC52:AD52 D53:K55 S53:AD55 M53:Q56 D56:J56 U56:W56 Y56:AD56 T56:T57 R57 L57:L70 R59:R71 Q61:Q71">
    <cfRule type="expression" dxfId="61" priority="73">
      <formula>$P49:$P411="APOYO"</formula>
    </cfRule>
    <cfRule type="expression" dxfId="60" priority="74">
      <formula>$G49:$G411="Sí"</formula>
    </cfRule>
  </conditionalFormatting>
  <conditionalFormatting sqref="S38">
    <cfRule type="expression" dxfId="59" priority="48">
      <formula>$G38:$G404="Sí"</formula>
    </cfRule>
    <cfRule type="expression" dxfId="58" priority="47">
      <formula>$P38:$P404="APOYO"</formula>
    </cfRule>
  </conditionalFormatting>
  <conditionalFormatting sqref="S56">
    <cfRule type="expression" dxfId="57" priority="45">
      <formula>$P56:$P421="APOYO"</formula>
    </cfRule>
    <cfRule type="expression" dxfId="56" priority="46">
      <formula>$G56:$G421="Sí"</formula>
    </cfRule>
  </conditionalFormatting>
  <conditionalFormatting sqref="S71">
    <cfRule type="expression" dxfId="55" priority="2">
      <formula>$G71:$G435="Sí"</formula>
    </cfRule>
    <cfRule type="expression" dxfId="54" priority="1">
      <formula>$P71:$P435="APOYO"</formula>
    </cfRule>
  </conditionalFormatting>
  <conditionalFormatting sqref="T11:T12">
    <cfRule type="expression" dxfId="53" priority="42">
      <formula>$G11:$G378="Sí"</formula>
    </cfRule>
    <cfRule type="expression" dxfId="52" priority="41">
      <formula>$P11:$P378="APOYO"</formula>
    </cfRule>
  </conditionalFormatting>
  <conditionalFormatting sqref="T30">
    <cfRule type="expression" dxfId="51" priority="5">
      <formula>$P30:$P394="APOYO"</formula>
    </cfRule>
    <cfRule type="expression" dxfId="50" priority="6">
      <formula>$G30:$G394="Sí"</formula>
    </cfRule>
  </conditionalFormatting>
  <conditionalFormatting sqref="T52">
    <cfRule type="expression" dxfId="49" priority="38">
      <formula>$G52:$G415="Sí"</formula>
    </cfRule>
    <cfRule type="expression" dxfId="48" priority="37">
      <formula>$P52:$P415="APOYO"</formula>
    </cfRule>
  </conditionalFormatting>
  <conditionalFormatting sqref="T65">
    <cfRule type="expression" dxfId="47" priority="71">
      <formula>$P65:$P427="APOYO"</formula>
    </cfRule>
    <cfRule type="expression" dxfId="46" priority="72">
      <formula>$G65:$G427="Sí"</formula>
    </cfRule>
  </conditionalFormatting>
  <conditionalFormatting sqref="T71">
    <cfRule type="expression" dxfId="45" priority="40">
      <formula>$G71:$G433="Sí"</formula>
    </cfRule>
    <cfRule type="expression" dxfId="44" priority="39">
      <formula>$P71:$P433="APOYO"</formula>
    </cfRule>
  </conditionalFormatting>
  <conditionalFormatting sqref="X12">
    <cfRule type="expression" dxfId="43" priority="44">
      <formula>$G12:$G379="Sí"</formula>
    </cfRule>
    <cfRule type="expression" dxfId="42" priority="43">
      <formula>$P12:$P379="APOYO"</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41" priority="85">
      <formula>$P56:$P417="APOYO"</formula>
    </cfRule>
    <cfRule type="expression" dxfId="40" priority="86">
      <formula>$G56:$G417="Sí"</formula>
    </cfRule>
  </conditionalFormatting>
  <conditionalFormatting sqref="AB15">
    <cfRule type="expression" dxfId="39" priority="26">
      <formula>$G15:$G383="Sí"</formula>
    </cfRule>
    <cfRule type="expression" dxfId="38" priority="25">
      <formula>$P15:$P383="APOYO"</formula>
    </cfRule>
  </conditionalFormatting>
  <conditionalFormatting sqref="AB25">
    <cfRule type="expression" dxfId="37" priority="24">
      <formula>$G25:$G393="Sí"</formula>
    </cfRule>
    <cfRule type="expression" dxfId="36" priority="23">
      <formula>$P25:$P393="APOYO"</formula>
    </cfRule>
  </conditionalFormatting>
  <conditionalFormatting sqref="AB30:AB31">
    <cfRule type="expression" dxfId="35" priority="4">
      <formula>$G30:$G398="Sí"</formula>
    </cfRule>
    <cfRule type="expression" dxfId="34" priority="3">
      <formula>$P30:$P398="APOYO"</formula>
    </cfRule>
  </conditionalFormatting>
  <conditionalFormatting sqref="AB40:AB41">
    <cfRule type="expression" dxfId="33" priority="19">
      <formula>$P40:$P408="APOYO"</formula>
    </cfRule>
    <cfRule type="expression" dxfId="32" priority="20">
      <formula>$G40:$G408="Sí"</formula>
    </cfRule>
  </conditionalFormatting>
  <conditionalFormatting sqref="AB43:AB44">
    <cfRule type="expression" dxfId="31" priority="18">
      <formula>$G43:$G411="Sí"</formula>
    </cfRule>
    <cfRule type="expression" dxfId="30" priority="17">
      <formula>$P43:$P411="APOYO"</formula>
    </cfRule>
  </conditionalFormatting>
  <conditionalFormatting sqref="AB46:AB47">
    <cfRule type="expression" dxfId="29" priority="16">
      <formula>$G46:$G414="Sí"</formula>
    </cfRule>
    <cfRule type="expression" dxfId="28" priority="15">
      <formula>$P46:$P414="APOYO"</formula>
    </cfRule>
  </conditionalFormatting>
  <conditionalFormatting sqref="AB50:AB52">
    <cfRule type="expression" dxfId="27" priority="14">
      <formula>$G50:$G418="Sí"</formula>
    </cfRule>
    <cfRule type="expression" dxfId="26" priority="13">
      <formula>$P50:$P418="APOYO"</formula>
    </cfRule>
  </conditionalFormatting>
  <conditionalFormatting sqref="AB61:AB62">
    <cfRule type="expression" dxfId="25" priority="12">
      <formula>$G61:$G429="Sí"</formula>
    </cfRule>
    <cfRule type="expression" dxfId="24" priority="11">
      <formula>$P61:$P429="APOYO"</formula>
    </cfRule>
  </conditionalFormatting>
  <conditionalFormatting sqref="AB71">
    <cfRule type="expression" dxfId="23" priority="10">
      <formula>$G71:$G439="Sí"</formula>
    </cfRule>
    <cfRule type="expression" dxfId="22" priority="9">
      <formula>$P71:$P439="APOYO"</formula>
    </cfRule>
  </conditionalFormatting>
  <dataValidations count="1">
    <dataValidation type="date" showInputMessage="true" showErrorMessage="true" sqref="X61:X62 U7:Z51">
      <formula1>46023</formula1>
      <formula2>46387</formula2>
    </dataValidation>
  </dataValidations>
  <hyperlinks>
    <hyperlink ref="M7" r:id="rId1"/>
    <hyperlink ref="M22" r:id="rId2"/>
    <hyperlink ref="M23" r:id="rId3"/>
    <hyperlink ref="M24" r:id="rId4" display="https://www.linkedin.com/in/rosario-cosar-5b3538119/"/>
    <hyperlink ref="M40" r:id="rId5"/>
    <hyperlink ref="N33" r:id="rId6"/>
    <hyperlink ref="M31" r:id="rId7" display="vpomalaya@mpfn.gob.pe; victoriapomalaya@gmail.com"/>
    <hyperlink ref="M18" r:id="rId8"/>
    <hyperlink ref="M20" r:id="rId9"/>
    <hyperlink ref="M25" r:id="rId10"/>
    <hyperlink ref="M26" r:id="rId11"/>
    <hyperlink ref="M27" r:id="rId12"/>
    <hyperlink ref="M28" r:id="rId13"/>
    <hyperlink ref="M29" r:id="rId14"/>
    <hyperlink ref="M30" r:id="rId15"/>
    <hyperlink ref="M39" r:id="rId16"/>
    <hyperlink ref="M47" r:id="rId17"/>
    <hyperlink ref="N50" r:id="rId18"/>
    <hyperlink ref="N17" r:id="rId19"/>
    <hyperlink ref="N57" r:id="rId20"/>
    <hyperlink ref="M53" r:id="rId21"/>
    <hyperlink ref="M54" r:id="rId22"/>
    <hyperlink ref="M55" r:id="rId23"/>
    <hyperlink ref="M58" r:id="rId24"/>
    <hyperlink ref="M59" r:id="rId25"/>
    <hyperlink ref="M21" r:id="rId26"/>
    <hyperlink ref="M56" r:id="rId27"/>
    <hyperlink ref="M71" r:id="rId28"/>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S8"/>
  <sheetViews>
    <sheetView tabSelected="true" zoomScale="101" workbookViewId="0">
      <selection activeCell="D6" sqref="D6"/>
    </sheetView>
  </sheetViews>
  <sheetFormatPr baseColWidth="10" defaultRowHeight="14.5" x14ac:dyDescent="0.3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994</v>
      </c>
      <c r="C1" t="s">
        <v>231</v>
      </c>
      <c r="D1" t="s">
        <v>949</v>
      </c>
      <c r="E1" t="s">
        <v>101</v>
      </c>
      <c r="F1" t="s">
        <v>950</v>
      </c>
      <c r="G1" t="s">
        <v>236</v>
      </c>
      <c r="H1" t="s">
        <v>239</v>
      </c>
      <c r="I1" t="s">
        <v>951</v>
      </c>
      <c r="J1" t="s">
        <v>241</v>
      </c>
      <c r="K1" t="s">
        <v>10</v>
      </c>
      <c r="L1" t="s">
        <v>11</v>
      </c>
      <c r="M1" t="s">
        <v>12</v>
      </c>
      <c r="N1" t="s">
        <v>952</v>
      </c>
      <c r="O1" t="s">
        <v>242</v>
      </c>
      <c r="P1" t="s">
        <v>243</v>
      </c>
      <c r="Q1" t="s">
        <v>18</v>
      </c>
      <c r="R1" t="s">
        <v>16</v>
      </c>
      <c r="S1" t="s">
        <v>17</v>
      </c>
    </row>
    <row r="2">
      <c r="B2" t="s">
        <v>49</v>
      </c>
      <c r="C2" t="s">
        <v>995</v>
      </c>
      <c r="D2" t="s">
        <v>1112</v>
      </c>
      <c r="E2" t="s">
        <v>694</v>
      </c>
      <c r="F2" t="s">
        <v>1113</v>
      </c>
      <c r="G2" t="s">
        <v>1117</v>
      </c>
      <c r="H2" t="s">
        <v>994</v>
      </c>
      <c r="I2" t="s">
        <v>126</v>
      </c>
      <c r="J2" t="s">
        <v>29</v>
      </c>
      <c r="K2" t="s">
        <v>994</v>
      </c>
      <c r="L2" t="s">
        <v>994</v>
      </c>
      <c r="M2" t="s">
        <v>994</v>
      </c>
      <c r="N2" t="s">
        <v>994</v>
      </c>
      <c r="O2" t="s">
        <v>994</v>
      </c>
      <c r="P2" t="s">
        <v>994</v>
      </c>
      <c r="Q2" t="s">
        <v>994</v>
      </c>
      <c r="R2" t="s">
        <v>994</v>
      </c>
      <c r="S2" t="s">
        <v>994</v>
      </c>
    </row>
    <row r="3">
      <c r="B3" t="s">
        <v>49</v>
      </c>
      <c r="C3" t="s">
        <v>996</v>
      </c>
      <c r="D3" t="s">
        <v>1112</v>
      </c>
      <c r="E3" t="s">
        <v>694</v>
      </c>
      <c r="F3" t="s">
        <v>1114</v>
      </c>
      <c r="G3" t="s">
        <v>1118</v>
      </c>
      <c r="H3" t="s">
        <v>994</v>
      </c>
      <c r="I3" t="s">
        <v>126</v>
      </c>
      <c r="J3" t="s">
        <v>29</v>
      </c>
      <c r="K3" t="s">
        <v>994</v>
      </c>
      <c r="L3" t="s">
        <v>994</v>
      </c>
      <c r="M3" t="s">
        <v>994</v>
      </c>
      <c r="N3" t="s">
        <v>994</v>
      </c>
      <c r="O3" t="s">
        <v>994</v>
      </c>
      <c r="P3" t="s">
        <v>994</v>
      </c>
      <c r="Q3" t="s">
        <v>994</v>
      </c>
      <c r="R3" t="s">
        <v>994</v>
      </c>
      <c r="S3" t="s">
        <v>994</v>
      </c>
    </row>
    <row r="4">
      <c r="B4" t="s">
        <v>49</v>
      </c>
      <c r="C4" t="s">
        <v>1040</v>
      </c>
      <c r="D4" t="s">
        <v>1112</v>
      </c>
      <c r="E4" t="s">
        <v>694</v>
      </c>
      <c r="F4" t="s">
        <v>1115</v>
      </c>
      <c r="G4" t="s">
        <v>1119</v>
      </c>
      <c r="H4" t="s">
        <v>994</v>
      </c>
      <c r="I4" t="s">
        <v>126</v>
      </c>
      <c r="J4" t="s">
        <v>29</v>
      </c>
      <c r="K4" t="s">
        <v>994</v>
      </c>
      <c r="L4" t="s">
        <v>994</v>
      </c>
      <c r="M4" t="s">
        <v>994</v>
      </c>
      <c r="N4" t="s">
        <v>994</v>
      </c>
      <c r="O4" t="s">
        <v>994</v>
      </c>
      <c r="P4" t="s">
        <v>994</v>
      </c>
      <c r="Q4" t="s">
        <v>994</v>
      </c>
      <c r="R4" t="s">
        <v>994</v>
      </c>
      <c r="S4" t="s">
        <v>994</v>
      </c>
    </row>
    <row r="5">
      <c r="B5" t="s">
        <v>49</v>
      </c>
      <c r="C5" t="s">
        <v>1041</v>
      </c>
      <c r="D5" t="s">
        <v>1112</v>
      </c>
      <c r="E5" t="s">
        <v>694</v>
      </c>
      <c r="F5" t="s">
        <v>1116</v>
      </c>
      <c r="G5" t="s">
        <v>1805</v>
      </c>
      <c r="H5" t="s">
        <v>994</v>
      </c>
      <c r="I5" t="s">
        <v>126</v>
      </c>
      <c r="J5" t="s">
        <v>29</v>
      </c>
      <c r="K5" t="s">
        <v>994</v>
      </c>
      <c r="L5" t="s">
        <v>994</v>
      </c>
      <c r="M5" t="s">
        <v>994</v>
      </c>
      <c r="N5" t="s">
        <v>994</v>
      </c>
      <c r="O5" t="s">
        <v>994</v>
      </c>
      <c r="P5" t="s">
        <v>994</v>
      </c>
      <c r="Q5" t="s">
        <v>994</v>
      </c>
      <c r="R5" t="s">
        <v>994</v>
      </c>
      <c r="S5" t="s">
        <v>994</v>
      </c>
    </row>
    <row r="6">
      <c r="B6" t="s">
        <v>994</v>
      </c>
      <c r="C6" t="s">
        <v>1314</v>
      </c>
      <c r="D6" t="s">
        <v>1401</v>
      </c>
      <c r="E6" t="s">
        <v>278</v>
      </c>
      <c r="F6" t="s">
        <v>994</v>
      </c>
      <c r="G6" t="s">
        <v>994</v>
      </c>
      <c r="H6" t="s">
        <v>143</v>
      </c>
      <c r="I6" t="s">
        <v>125</v>
      </c>
      <c r="J6" t="s">
        <v>1016</v>
      </c>
      <c r="K6" t="s">
        <v>994</v>
      </c>
      <c r="L6" t="s">
        <v>994</v>
      </c>
      <c r="M6" t="s">
        <v>994</v>
      </c>
      <c r="N6" t="s">
        <v>994</v>
      </c>
      <c r="O6" t="s">
        <v>994</v>
      </c>
      <c r="P6" t="s">
        <v>994</v>
      </c>
      <c r="Q6" t="s">
        <v>25</v>
      </c>
      <c r="R6" t="s">
        <v>1016</v>
      </c>
      <c r="S6" t="s">
        <v>994</v>
      </c>
    </row>
    <row r="7">
      <c r="B7" t="s">
        <v>994</v>
      </c>
      <c r="C7" t="s">
        <v>1315</v>
      </c>
      <c r="D7" t="s">
        <v>1402</v>
      </c>
      <c r="E7" t="s">
        <v>278</v>
      </c>
      <c r="F7" t="s">
        <v>994</v>
      </c>
      <c r="G7" t="s">
        <v>994</v>
      </c>
      <c r="H7" t="s">
        <v>143</v>
      </c>
      <c r="I7" t="s">
        <v>125</v>
      </c>
      <c r="J7" t="s">
        <v>1016</v>
      </c>
      <c r="K7" t="s">
        <v>994</v>
      </c>
      <c r="L7" t="s">
        <v>994</v>
      </c>
      <c r="M7" t="s">
        <v>994</v>
      </c>
      <c r="N7" t="s">
        <v>994</v>
      </c>
      <c r="O7" t="s">
        <v>994</v>
      </c>
      <c r="P7" t="s">
        <v>994</v>
      </c>
      <c r="Q7" t="s">
        <v>25</v>
      </c>
      <c r="R7" t="s">
        <v>1016</v>
      </c>
      <c r="S7" t="s">
        <v>994</v>
      </c>
    </row>
    <row r="8">
      <c r="B8" t="s">
        <v>994</v>
      </c>
      <c r="C8" t="s">
        <v>1316</v>
      </c>
      <c r="D8" t="s">
        <v>1403</v>
      </c>
      <c r="E8" t="s">
        <v>278</v>
      </c>
      <c r="F8" t="s">
        <v>994</v>
      </c>
      <c r="G8" t="s">
        <v>994</v>
      </c>
      <c r="H8" t="s">
        <v>143</v>
      </c>
      <c r="I8" t="s">
        <v>125</v>
      </c>
      <c r="J8" t="s">
        <v>1016</v>
      </c>
      <c r="K8" t="s">
        <v>994</v>
      </c>
      <c r="L8" t="s">
        <v>994</v>
      </c>
      <c r="M8" t="s">
        <v>994</v>
      </c>
      <c r="N8" t="s">
        <v>994</v>
      </c>
      <c r="O8" t="s">
        <v>994</v>
      </c>
      <c r="P8" t="s">
        <v>994</v>
      </c>
      <c r="Q8" t="s">
        <v>1411</v>
      </c>
      <c r="R8" t="s">
        <v>1016</v>
      </c>
      <c r="S8" t="s">
        <v>994</v>
      </c>
    </row>
  </sheetData>
  <phoneticPr fontId="6" type="noConversion"/>
  <conditionalFormatting sqref="B9:P17">
    <cfRule type="expression" dxfId="21" priority="27">
      <formula>$F9:$F33="APOYO"</formula>
    </cfRule>
    <cfRule type="expression" dxfId="20" priority="28">
      <formula>#REF!="Sí"</formula>
    </cfRule>
  </conditionalFormatting>
  <conditionalFormatting sqref="E6:H8">
    <cfRule type="expression" dxfId="11" priority="9">
      <formula>$G6:$G7="APOYO"</formula>
    </cfRule>
    <cfRule type="expression" dxfId="10" priority="10">
      <formula>#REF!="Sí"</formula>
    </cfRule>
  </conditionalFormatting>
  <conditionalFormatting sqref="E2:R3 B2:B8">
    <cfRule type="expression" dxfId="9" priority="11">
      <formula>$G2:$G3="APOYO"</formula>
    </cfRule>
    <cfRule type="expression" dxfId="8" priority="12">
      <formula>#REF!="Sí"</formula>
    </cfRule>
  </conditionalFormatting>
  <conditionalFormatting sqref="H4:I5">
    <cfRule type="expression" dxfId="7" priority="1">
      <formula>$G4:$G5="APOYO"</formula>
    </cfRule>
    <cfRule type="expression" dxfId="6" priority="2">
      <formula>#REF!="Sí"</formula>
    </cfRule>
  </conditionalFormatting>
  <conditionalFormatting sqref="I6:I8">
    <cfRule type="expression" dxfId="5" priority="7">
      <formula>$R6:$R321="APOYO"</formula>
    </cfRule>
    <cfRule type="expression" dxfId="4" priority="8">
      <formula>$G6:$G321="Sí"</formula>
    </cfRule>
  </conditionalFormatting>
  <conditionalFormatting sqref="J6:P8 R6:R8">
    <cfRule type="expression" dxfId="3" priority="5">
      <formula>$G6:$G7="APOYO"</formula>
    </cfRule>
    <cfRule type="expression" dxfId="2" priority="6">
      <formula>#REF!="Sí"</formula>
    </cfRule>
  </conditionalFormatting>
  <conditionalFormatting sqref="Q6:Q8">
    <cfRule type="expression" dxfId="1" priority="3">
      <formula>$R6:$R321="APOYO"</formula>
    </cfRule>
    <cfRule type="expression" dxfId="0" priority="4">
      <formula>$G6:$G321="Sí"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outlineLevelCol="1" x14ac:dyDescent="0.25"/>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ols>
  <sheetData>
    <row r="1" ht="12.75" customHeight="true"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ht="12.75" customHeight="true"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ht="12.75" customHeight="true"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ht="12.75" customHeight="true"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ht="12.75" customHeight="true"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ht="12.75" customHeight="true"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ht="12.75" customHeight="true"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ht="12.75" customHeight="true"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ht="12.75" customHeight="true"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ht="12.75" customHeight="true"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ht="12.75" customHeight="true"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ht="12.75" customHeight="true"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ht="12.75" customHeight="true"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ht="12.75" customHeight="true"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ht="12.75" customHeight="true"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ht="12.75" customHeight="true"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ht="12.75" customHeight="true"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ht="12.75" customHeight="true"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ht="12.75" customHeight="true"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ht="12.75" customHeight="true"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ht="12.75" customHeight="true"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ht="12.75" customHeight="true"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ols>
  <sheetData>
    <row r="1"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x14ac:dyDescent="0.25">
      <c r="A2" s="1">
        <v>1</v>
      </c>
      <c r="B2" s="1" t="s">
        <v>129</v>
      </c>
      <c r="C2" s="1" t="s">
        <v>68</v>
      </c>
      <c r="D2" s="1" t="s">
        <v>69</v>
      </c>
      <c r="E2" s="1" t="s">
        <v>70</v>
      </c>
      <c r="H2" s="1" t="s">
        <v>71</v>
      </c>
      <c r="I2" s="1" t="s">
        <v>49</v>
      </c>
      <c r="J2" s="1" t="s">
        <v>150</v>
      </c>
      <c r="L2" s="1" t="s">
        <v>24</v>
      </c>
      <c r="M2" s="2">
        <v>45943</v>
      </c>
      <c r="P2" s="1" t="s">
        <v>132</v>
      </c>
      <c r="Q2" s="2">
        <v>45959</v>
      </c>
    </row>
    <row r="3"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x14ac:dyDescent="0.25">
      <c r="A15" s="1">
        <f t="shared" si="0"/>
        <v>14</v>
      </c>
      <c r="B15" s="1" t="s">
        <v>174</v>
      </c>
      <c r="C15" s="1" t="s">
        <v>175</v>
      </c>
      <c r="D15" s="1" t="s">
        <v>176</v>
      </c>
      <c r="E15" s="1" t="s">
        <v>177</v>
      </c>
      <c r="H15" s="1" t="s">
        <v>82</v>
      </c>
      <c r="I15" s="1" t="s">
        <v>49</v>
      </c>
      <c r="J15" s="1" t="s">
        <v>150</v>
      </c>
      <c r="K15" s="1" t="s">
        <v>3</v>
      </c>
      <c r="L15" s="1" t="s">
        <v>24</v>
      </c>
      <c r="P15" s="1" t="s">
        <v>38</v>
      </c>
    </row>
    <row r="16" x14ac:dyDescent="0.25">
      <c r="A16" s="1">
        <f t="shared" si="0"/>
        <v>15</v>
      </c>
      <c r="B16" s="1" t="s">
        <v>174</v>
      </c>
      <c r="C16" s="1" t="s">
        <v>178</v>
      </c>
      <c r="D16" s="1" t="s">
        <v>179</v>
      </c>
      <c r="E16" s="1" t="s">
        <v>180</v>
      </c>
      <c r="H16" s="1" t="s">
        <v>82</v>
      </c>
      <c r="I16" s="1" t="s">
        <v>49</v>
      </c>
      <c r="J16" s="1" t="s">
        <v>150</v>
      </c>
      <c r="K16" s="1" t="s">
        <v>3</v>
      </c>
      <c r="L16" s="1" t="s">
        <v>24</v>
      </c>
      <c r="P16" s="1" t="s">
        <v>38</v>
      </c>
    </row>
    <row r="17"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x14ac:dyDescent="0.25">
      <c r="A18" s="1">
        <f t="shared" si="0"/>
        <v>17</v>
      </c>
      <c r="B18" s="1" t="s">
        <v>174</v>
      </c>
      <c r="C18" s="1" t="s">
        <v>185</v>
      </c>
      <c r="D18" s="1" t="s">
        <v>186</v>
      </c>
      <c r="E18" s="1" t="s">
        <v>187</v>
      </c>
      <c r="H18" s="1" t="s">
        <v>98</v>
      </c>
      <c r="I18" s="1" t="s">
        <v>49</v>
      </c>
      <c r="J18" s="1" t="s">
        <v>150</v>
      </c>
      <c r="K18" s="1" t="s">
        <v>188</v>
      </c>
      <c r="L18" s="1" t="s">
        <v>106</v>
      </c>
      <c r="P18" s="1" t="s">
        <v>38</v>
      </c>
    </row>
    <row r="19" x14ac:dyDescent="0.25">
      <c r="A19" s="1">
        <f t="shared" si="0"/>
        <v>18</v>
      </c>
      <c r="B19" s="1" t="s">
        <v>174</v>
      </c>
      <c r="C19" s="1" t="s">
        <v>189</v>
      </c>
      <c r="D19" s="1" t="s">
        <v>51</v>
      </c>
      <c r="E19" s="1" t="s">
        <v>52</v>
      </c>
      <c r="H19" s="1" t="s">
        <v>98</v>
      </c>
      <c r="I19" s="1" t="s">
        <v>61</v>
      </c>
      <c r="J19" s="1" t="s">
        <v>150</v>
      </c>
      <c r="K19" s="1" t="s">
        <v>3</v>
      </c>
      <c r="L19" s="1" t="s">
        <v>24</v>
      </c>
      <c r="P19" s="1" t="s">
        <v>38</v>
      </c>
    </row>
    <row r="20" x14ac:dyDescent="0.25">
      <c r="A20" s="1">
        <f t="shared" si="0"/>
        <v>19</v>
      </c>
      <c r="B20" s="1" t="s">
        <v>174</v>
      </c>
      <c r="C20" s="1" t="s">
        <v>190</v>
      </c>
      <c r="D20" s="1" t="s">
        <v>191</v>
      </c>
      <c r="E20" s="1" t="s">
        <v>192</v>
      </c>
      <c r="H20" s="1" t="s">
        <v>71</v>
      </c>
      <c r="I20" s="1" t="s">
        <v>49</v>
      </c>
      <c r="J20" s="1" t="s">
        <v>150</v>
      </c>
      <c r="K20" s="1" t="s">
        <v>193</v>
      </c>
      <c r="L20" s="1" t="s">
        <v>24</v>
      </c>
      <c r="P20" s="1" t="s">
        <v>38</v>
      </c>
    </row>
    <row r="21" x14ac:dyDescent="0.25">
      <c r="A21" s="1">
        <f t="shared" si="0"/>
        <v>20</v>
      </c>
      <c r="B21" s="1" t="s">
        <v>174</v>
      </c>
      <c r="C21" s="1" t="s">
        <v>194</v>
      </c>
      <c r="D21" s="1" t="s">
        <v>35</v>
      </c>
      <c r="E21" s="1" t="s">
        <v>195</v>
      </c>
      <c r="H21" s="1" t="s">
        <v>71</v>
      </c>
      <c r="I21" s="1" t="s">
        <v>196</v>
      </c>
      <c r="J21" s="1" t="s">
        <v>150</v>
      </c>
      <c r="K21" s="1" t="s">
        <v>3</v>
      </c>
      <c r="L21" s="1" t="s">
        <v>24</v>
      </c>
      <c r="P21" s="1" t="s">
        <v>38</v>
      </c>
    </row>
    <row r="22" x14ac:dyDescent="0.25">
      <c r="A22" s="1">
        <f t="shared" si="0"/>
        <v>21</v>
      </c>
      <c r="B22" s="1" t="s">
        <v>174</v>
      </c>
      <c r="C22" s="1" t="s">
        <v>197</v>
      </c>
      <c r="D22" s="1" t="s">
        <v>58</v>
      </c>
      <c r="E22" s="1" t="s">
        <v>198</v>
      </c>
      <c r="H22" s="1" t="s">
        <v>71</v>
      </c>
      <c r="I22" s="1" t="s">
        <v>61</v>
      </c>
      <c r="J22" s="1" t="s">
        <v>150</v>
      </c>
      <c r="K22" s="1" t="s">
        <v>199</v>
      </c>
      <c r="L22" s="1" t="s">
        <v>24</v>
      </c>
      <c r="P22" s="1" t="s">
        <v>38</v>
      </c>
    </row>
    <row r="23"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x14ac:dyDescent="0.25">
      <c r="A24" s="1">
        <f t="shared" si="0"/>
        <v>23</v>
      </c>
      <c r="B24" s="1" t="s">
        <v>174</v>
      </c>
      <c r="C24" s="1" t="s">
        <v>204</v>
      </c>
      <c r="D24" s="1" t="s">
        <v>205</v>
      </c>
      <c r="E24" s="1" t="s">
        <v>206</v>
      </c>
      <c r="H24" s="1" t="s">
        <v>71</v>
      </c>
      <c r="I24" s="1" t="s">
        <v>49</v>
      </c>
      <c r="J24" s="1" t="s">
        <v>150</v>
      </c>
      <c r="K24" s="1" t="s">
        <v>3</v>
      </c>
      <c r="L24" s="1" t="s">
        <v>24</v>
      </c>
      <c r="P24" s="1" t="s">
        <v>38</v>
      </c>
    </row>
    <row r="25"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x14ac:dyDescent="0.25">
      <c r="A27" s="1">
        <f t="shared" si="0"/>
        <v>26</v>
      </c>
      <c r="B27" s="1" t="s">
        <v>174</v>
      </c>
      <c r="C27" s="1" t="s">
        <v>212</v>
      </c>
      <c r="D27" s="1" t="s">
        <v>213</v>
      </c>
      <c r="E27" s="1" t="s">
        <v>214</v>
      </c>
      <c r="H27" s="1" t="s">
        <v>110</v>
      </c>
      <c r="I27" s="1" t="s">
        <v>211</v>
      </c>
      <c r="J27" s="1" t="s">
        <v>150</v>
      </c>
      <c r="K27" s="1" t="s">
        <v>3</v>
      </c>
      <c r="L27" s="1" t="s">
        <v>24</v>
      </c>
      <c r="P27" s="1" t="s">
        <v>38</v>
      </c>
    </row>
    <row r="28"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x14ac:dyDescent="0.25">
      <c r="A29" s="1">
        <f t="shared" si="0"/>
        <v>28</v>
      </c>
      <c r="B29" s="1" t="s">
        <v>174</v>
      </c>
      <c r="C29" s="1" t="s">
        <v>218</v>
      </c>
      <c r="D29" s="1" t="s">
        <v>20</v>
      </c>
      <c r="E29" s="1" t="s">
        <v>219</v>
      </c>
      <c r="H29" s="1" t="s">
        <v>71</v>
      </c>
      <c r="I29" s="1" t="s">
        <v>61</v>
      </c>
      <c r="J29" s="1" t="s">
        <v>150</v>
      </c>
      <c r="K29" s="1" t="s">
        <v>3</v>
      </c>
      <c r="L29" s="1" t="s">
        <v>24</v>
      </c>
      <c r="P29" s="1" t="s">
        <v>38</v>
      </c>
    </row>
    <row r="3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true"/>
    <col min="2" max="2" width="10.81640625" style="1"/>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ols>
  <sheetData>
    <row r="1" ht="13" x14ac:dyDescent="0.3">
      <c r="A1" s="4" t="s">
        <v>100</v>
      </c>
      <c r="B1" s="4" t="s">
        <v>9</v>
      </c>
      <c r="C1" s="4" t="s">
        <v>101</v>
      </c>
      <c r="D1" s="4" t="s">
        <v>102</v>
      </c>
      <c r="E1" s="4" t="s">
        <v>103</v>
      </c>
      <c r="F1" s="4" t="s">
        <v>104</v>
      </c>
      <c r="G1" s="4" t="s">
        <v>18</v>
      </c>
      <c r="H1" s="4" t="s">
        <v>16</v>
      </c>
      <c r="I1" s="4" t="s">
        <v>124</v>
      </c>
    </row>
    <row r="2" x14ac:dyDescent="0.25">
      <c r="A2" s="1" t="s">
        <v>131</v>
      </c>
      <c r="B2" s="1" t="s">
        <v>24</v>
      </c>
      <c r="C2" s="1" t="s">
        <v>61</v>
      </c>
      <c r="D2" s="1" t="s">
        <v>105</v>
      </c>
      <c r="E2" s="1" t="s">
        <v>22</v>
      </c>
      <c r="F2" s="1" t="s">
        <v>71</v>
      </c>
      <c r="G2" s="1" t="s">
        <v>25</v>
      </c>
      <c r="H2" s="1" t="s">
        <v>121</v>
      </c>
      <c r="I2" s="1" t="s">
        <v>125</v>
      </c>
    </row>
    <row r="3" x14ac:dyDescent="0.25">
      <c r="A3" s="1" t="s">
        <v>132</v>
      </c>
      <c r="B3" s="1" t="s">
        <v>106</v>
      </c>
      <c r="C3" s="1" t="s">
        <v>107</v>
      </c>
      <c r="D3" s="1" t="s">
        <v>108</v>
      </c>
      <c r="E3" s="1" t="s">
        <v>37</v>
      </c>
      <c r="F3" s="1" t="s">
        <v>82</v>
      </c>
      <c r="G3" s="1" t="s">
        <v>30</v>
      </c>
      <c r="H3" s="1" t="s">
        <v>122</v>
      </c>
      <c r="I3" s="1" t="s">
        <v>126</v>
      </c>
    </row>
    <row r="4" x14ac:dyDescent="0.25">
      <c r="A4" s="1" t="s">
        <v>38</v>
      </c>
      <c r="C4" s="1" t="s">
        <v>109</v>
      </c>
      <c r="D4" s="1" t="s">
        <v>130</v>
      </c>
      <c r="E4" s="1" t="s">
        <v>60</v>
      </c>
      <c r="F4" s="1" t="s">
        <v>98</v>
      </c>
      <c r="G4" s="1" t="s">
        <v>33</v>
      </c>
      <c r="H4" s="1" t="s">
        <v>123</v>
      </c>
    </row>
    <row r="5" x14ac:dyDescent="0.25">
      <c r="A5" s="1" t="s">
        <v>29</v>
      </c>
      <c r="C5" s="1" t="s">
        <v>44</v>
      </c>
      <c r="E5" s="1" t="s">
        <v>82</v>
      </c>
      <c r="F5" s="1" t="s">
        <v>110</v>
      </c>
      <c r="G5" s="1" t="s">
        <v>118</v>
      </c>
    </row>
    <row r="6" x14ac:dyDescent="0.25">
      <c r="C6" s="1" t="s">
        <v>56</v>
      </c>
      <c r="E6" s="1" t="s">
        <v>111</v>
      </c>
      <c r="F6" s="1" t="s">
        <v>28</v>
      </c>
    </row>
    <row r="7" ht="14.5" x14ac:dyDescent="0.35">
      <c r="C7" s="1" t="s">
        <v>65</v>
      </c>
      <c r="E7"/>
      <c r="F7"/>
    </row>
    <row r="8" ht="14.5" x14ac:dyDescent="0.35">
      <c r="C8" s="1" t="s">
        <v>23</v>
      </c>
      <c r="E8"/>
      <c r="F8"/>
    </row>
    <row r="9" ht="14.5" x14ac:dyDescent="0.35">
      <c r="C9" s="1" t="s">
        <v>41</v>
      </c>
      <c r="E9"/>
      <c r="F9"/>
    </row>
    <row r="10" ht="14.5" x14ac:dyDescent="0.35">
      <c r="C10" s="1" t="s">
        <v>49</v>
      </c>
      <c r="E10"/>
      <c r="F10"/>
    </row>
    <row r="11" ht="14.5" x14ac:dyDescent="0.35">
      <c r="E11"/>
      <c r="F11"/>
    </row>
    <row r="12" ht="14.5" x14ac:dyDescent="0.35">
      <c r="E12"/>
      <c r="F12"/>
    </row>
    <row r="13" ht="14.5" x14ac:dyDescent="0.35">
      <c r="E13"/>
      <c r="F13"/>
    </row>
    <row r="14"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9"/>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true"/>
    <col min="6" max="6" width="20.1796875" customWidth="true"/>
    <col min="12" max="12" width="21.26953125" customWidth="true"/>
  </cols>
  <sheetData>
    <row r="1"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true"/>
    <col min="15" max="18" width="14.54296875" customWidth="true"/>
  </cols>
  <sheetData>
    <row r="1"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x14ac:dyDescent="0.35">
      <c r="A2" s="1">
        <f>IF('Reunión de validación'!A2="","",'Reunión de validación'!A2)</f>
        <v>1</v>
      </c>
      <c r="B2" s="1" t="str">
        <f>IF('Reunión de validación'!C2="","",'Reunión de validación'!C2)</f>
        <v>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x14ac:dyDescent="0.35">
      <c r="A3" s="1">
        <f>IF('Reunión de validación'!A3="","",'Reunión de validación'!A3)</f>
        <v>2</v>
      </c>
      <c r="B3" s="1" t="str">
        <f>IF('Reunión de validación'!C3="","",'Reunión de validación'!C3)</f>
        <v>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x14ac:dyDescent="0.35">
      <c r="A6" s="1">
        <f>IF('Reunión de validación'!A6="","",'Reunión de validación'!A6)</f>
        <v>5</v>
      </c>
      <c r="B6" s="1" t="str">
        <f>IF('Reunión de validación'!C6="","",'Reunión de validación'!C6)</f>
        <v>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x14ac:dyDescent="0.35">
      <c r="A7" s="1">
        <f>IF('Reunión de validación'!A7="","",'Reunión de validación'!A7)</f>
        <v>6</v>
      </c>
      <c r="B7" s="1" t="str">
        <f>IF('Reunión de validación'!C7="","",'Reunión de validación'!C7)</f>
        <v>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x14ac:dyDescent="0.35">
      <c r="A10" s="1">
        <f>IF('Reunión de validación'!A10="","",'Reunión de validación'!A10)</f>
        <v>9</v>
      </c>
      <c r="B10" s="1" t="str">
        <f>IF('Reunión de validación'!C10="","",'Reunión de validación'!C10)</f>
        <v>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x14ac:dyDescent="0.35">
      <c r="A11" s="1">
        <f>IF('Reunión de validación'!A11="","",'Reunión de validación'!A11)</f>
        <v>10</v>
      </c>
      <c r="B11" s="1" t="str">
        <f>IF('Reunión de validación'!C11="","",'Reunión de validación'!C11)</f>
        <v>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x14ac:dyDescent="0.35">
      <c r="A12" s="1">
        <f>IF('Reunión de validación'!A12="","",'Reunión de validación'!A12)</f>
        <v>11</v>
      </c>
      <c r="B12" s="1" t="str">
        <f>IF('Reunión de validación'!C12="","",'Reunión de validación'!C12)</f>
        <v>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x14ac:dyDescent="0.35">
      <c r="A13" s="1">
        <f>IF('Reunión de validación'!A13="","",'Reunión de validación'!A13)</f>
        <v>12</v>
      </c>
      <c r="B13" s="1" t="str">
        <f>IF('Reunión de validación'!C13="","",'Reunión de validación'!C13)</f>
        <v>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x14ac:dyDescent="0.35">
      <c r="A14" s="1">
        <f>IF('Reunión de validación'!A14="","",'Reunión de validación'!A14)</f>
        <v>13</v>
      </c>
      <c r="B14" s="1" t="str">
        <f>IF('Reunión de validación'!C14="","",'Reunión de validación'!C14)</f>
        <v>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dimension ref="A1:V995"/>
  <sheetViews>
    <sheetView topLeftCell="L1" zoomScale="89" zoomScaleNormal="64" workbookViewId="0">
      <selection activeCell="M3" sqref="M3"/>
    </sheetView>
  </sheetViews>
  <sheetFormatPr baseColWidth="10" defaultColWidth="11.453125" defaultRowHeight="12.5" x14ac:dyDescent="0.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ols>
  <sheetData>
    <row r="1" s="15" customFormat="true"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x14ac:dyDescent="0.25">
      <c r="A2" s="1"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Paz y esperanza </v>
      </c>
      <c r="D2" s="1" t="str" cm="1">
        <f t="array" ref="D2:D995">+IF('Seguimiento entrevistas'!L6:L999&lt;&gt;"",'Seguimiento entrevistas'!L6:L999,"")</f>
        <v>Entrevista de actores clave</v>
      </c>
      <c r="E2" s="1" t="str" cm="1">
        <f t="array" ref="E2:E995">+IF('Seguimiento entrevistas'!I6:I999&lt;&gt;"",'Seguimiento entrevistas'!I6:I999,"")</f>
        <v>Multilaterales</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cm="1">
        <f t="array" ref="I2:I995">+IF('Seguimiento entrevistas'!V6:V999&lt;&gt;"",'Seguimiento entrevistas'!V6:V999,"")</f>
        <v>46120</v>
      </c>
      <c r="J2" s="2" cm="1">
        <f t="array" ref="J2:J995">+IF('Seguimiento entrevistas'!W6:W999&lt;&gt;"",'Seguimiento entrevistas'!W6:W999,"")</f>
        <v>46184</v>
      </c>
      <c r="K2" s="2" t="str" cm="1">
        <f t="array" ref="K2:K995">+IF('Seguimiento entrevistas'!X6:X999&lt;&gt;"",'Seguimiento entrevistas'!X6:X999,"")</f>
        <v/>
      </c>
      <c r="L2" s="1" t="str" cm="1">
        <f t="array" ref="L2:L995">+IF('Seguimiento entrevistas'!U6:U999&lt;&gt;"",'Seguimiento entrevistas'!U6:U999,"")</f>
        <v>Realizada completa</v>
      </c>
      <c r="M2" s="2" t="str" cm="1">
        <f t="array" ref="M2:M995">+IF('Seguimiento entrevistas'!Z6:Z999&lt;&gt;"",'Seguimiento entrevistas'!Z6:Z999,"")</f>
        <v/>
      </c>
      <c r="N2" s="2" t="str" cm="1">
        <f t="array" ref="N2:N995">+IF('Seguimiento entrevistas'!AA6:AA999&lt;&gt;"",'Seguimiento entrevistas'!AA6:AA999,"")</f>
        <v/>
      </c>
      <c r="O2" s="1" t="str" cm="1">
        <f t="array" ref="O2:O995">+IF('Seguimiento entrevistas'!U6:U999&lt;&gt;"",'Seguimiento entrevistas'!U6:U999,"")</f>
        <v>Realizada completa</v>
      </c>
      <c r="P2" s="1" t="str" cm="1">
        <f t="array" ref="P2:P995">+IF('Seguimiento entrevistas'!AC6:AC999&lt;&gt;"",'Seguimiento entrevistas'!AC6:AC999,"")</f>
        <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x14ac:dyDescent="0.25">
      <c r="A3" s="1">
        <v>2</v>
      </c>
      <c r="B3" s="1" t="str">
        <v>Isabel López Meza</v>
      </c>
      <c r="C3" s="1" t="str">
        <v>Paz y esperanza </v>
      </c>
      <c r="D3" s="1" t="str">
        <v>Entrevista de actores clave</v>
      </c>
      <c r="E3" s="1" t="str">
        <v>Multilaterales</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IF(L3="En coordinación",1,0)</f>
        <v>0</v>
      </c>
      <c r="T3" s="1">
        <f t="shared" ref="T3:T66" si="1">IF(L3="Aceptada",1,0)</f>
        <v>0</v>
      </c>
      <c r="U3" s="1">
        <f t="shared" ref="U3:U66" si="2">IF(OR(L3="Realizada completa",L3="Realizada incompleta"),1,0)</f>
        <v>0</v>
      </c>
      <c r="V3" s="1">
        <f t="shared" ref="V3:V22" si="3">IF(L3="Sin respuesta",1,0)</f>
        <v>0</v>
      </c>
    </row>
    <row r="4" x14ac:dyDescent="0.25">
      <c r="A4" s="1">
        <v>3</v>
      </c>
      <c r="B4" s="1" t="str">
        <v>Víctor García</v>
      </c>
      <c r="C4" s="1" t="str">
        <v>Plan International</v>
      </c>
      <c r="D4" s="1" t="str">
        <v>Entrevista de actores clave</v>
      </c>
      <c r="E4" s="1" t="str">
        <v>Multilaterales</v>
      </c>
      <c r="F4" s="1" t="str">
        <v>Nacional</v>
      </c>
      <c r="G4" s="1" t="str">
        <v>IJM</v>
      </c>
      <c r="H4" s="1" t="str">
        <v>Sí</v>
      </c>
      <c r="I4" s="2">
        <v>46147</v>
      </c>
      <c r="J4" s="2">
        <v>46184</v>
      </c>
      <c r="K4" s="2" t="str">
        <v/>
      </c>
      <c r="L4" s="1" t="str">
        <v>Sin respuesta</v>
      </c>
      <c r="M4" s="2" t="str">
        <v/>
      </c>
      <c r="N4" s="2" t="str">
        <v/>
      </c>
      <c r="O4" s="1" t="str">
        <v>Sin respuesta</v>
      </c>
      <c r="P4" s="1" t="str">
        <v/>
      </c>
      <c r="Q4" s="1" t="str">
        <v/>
      </c>
      <c r="R4" s="1">
        <f t="shared" si="0"/>
        <v>1</v>
      </c>
      <c r="S4" s="1">
        <f t="shared" ref="S4:S33" si="4">IF(L4="En coordinación",1,0)</f>
        <v>0</v>
      </c>
      <c r="T4" s="1">
        <f t="shared" si="1"/>
        <v>0</v>
      </c>
      <c r="U4" s="1">
        <f>IF(OR(L4="Realizada completa",L4="Realizada incompleta"),1,0)</f>
        <v>0</v>
      </c>
      <c r="V4" s="1">
        <f t="shared" si="3"/>
        <v>1</v>
      </c>
    </row>
    <row r="5" x14ac:dyDescent="0.25">
      <c r="A5" s="1">
        <v>4</v>
      </c>
      <c r="B5" s="1" t="str">
        <v>Marlene Molero Suárez</v>
      </c>
      <c r="C5" s="1" t="str">
        <v>Care Perú</v>
      </c>
      <c r="D5" s="1" t="str">
        <v>Entrevista de actores clave</v>
      </c>
      <c r="E5" s="1" t="str">
        <v>Multilaterales</v>
      </c>
      <c r="F5" s="1" t="str">
        <v>Nacional</v>
      </c>
      <c r="G5" s="1" t="str">
        <v>IJM</v>
      </c>
      <c r="H5" s="1" t="str">
        <v>No</v>
      </c>
      <c r="I5" s="2">
        <v>46100</v>
      </c>
      <c r="J5" s="2" t="str">
        <v/>
      </c>
      <c r="K5" s="2" t="str">
        <v/>
      </c>
      <c r="L5" s="1" t="str">
        <v/>
      </c>
      <c r="M5" s="2" t="str">
        <v/>
      </c>
      <c r="N5" s="2" t="str">
        <v/>
      </c>
      <c r="O5" s="1" t="str">
        <v/>
      </c>
      <c r="P5" s="1" t="str">
        <v/>
      </c>
      <c r="Q5" s="1" t="str">
        <v/>
      </c>
      <c r="R5" s="1">
        <f t="shared" si="0"/>
        <v>0</v>
      </c>
      <c r="S5" s="1">
        <f t="shared" si="4"/>
        <v>0</v>
      </c>
      <c r="T5" s="1">
        <f t="shared" si="1"/>
        <v>0</v>
      </c>
      <c r="U5" s="1">
        <f t="shared" si="2"/>
        <v>0</v>
      </c>
      <c r="V5" s="1">
        <f t="shared" si="3"/>
        <v>0</v>
      </c>
    </row>
    <row r="6" x14ac:dyDescent="0.25">
      <c r="A6" s="1">
        <v>5</v>
      </c>
      <c r="B6" s="1" t="str">
        <v>Marilú Martens Cortés</v>
      </c>
      <c r="C6" s="1" t="str">
        <v>Care Perú</v>
      </c>
      <c r="D6" s="1" t="str">
        <v>Entrevista de actores clave</v>
      </c>
      <c r="E6" s="1" t="str">
        <v>Multilaterales</v>
      </c>
      <c r="F6" s="1" t="str">
        <v>Nacional</v>
      </c>
      <c r="G6" s="1" t="str">
        <v>IJM</v>
      </c>
      <c r="H6" s="1" t="str">
        <v>Sí</v>
      </c>
      <c r="I6" s="2">
        <v>46100</v>
      </c>
      <c r="J6" s="2" t="str">
        <v/>
      </c>
      <c r="K6" s="2" t="str">
        <v/>
      </c>
      <c r="L6" s="1" t="str">
        <v>Sin respuesta</v>
      </c>
      <c r="M6" s="2" t="str">
        <v/>
      </c>
      <c r="N6" s="2" t="str">
        <v/>
      </c>
      <c r="O6" s="1" t="str">
        <v>Sin respuesta</v>
      </c>
      <c r="P6" s="1" t="str">
        <v/>
      </c>
      <c r="Q6" s="1" t="str">
        <v/>
      </c>
      <c r="R6" s="1">
        <f t="shared" si="0"/>
        <v>1</v>
      </c>
      <c r="S6" s="1">
        <f t="shared" si="4"/>
        <v>0</v>
      </c>
      <c r="T6" s="1">
        <f t="shared" si="1"/>
        <v>0</v>
      </c>
      <c r="U6" s="1">
        <f t="shared" si="2"/>
        <v>0</v>
      </c>
      <c r="V6" s="1">
        <f t="shared" si="3"/>
        <v>1</v>
      </c>
    </row>
    <row r="7" x14ac:dyDescent="0.25">
      <c r="A7" s="1">
        <v>6</v>
      </c>
      <c r="B7" s="1" t="str">
        <v>Rafael Casas</v>
      </c>
      <c r="C7" s="1" t="str">
        <v>Aldeas Infantiles SOS</v>
      </c>
      <c r="D7" s="1" t="str">
        <v>Entrevista de actores clave</v>
      </c>
      <c r="E7" s="1" t="str">
        <v>Multilaterales</v>
      </c>
      <c r="F7" s="1" t="str">
        <v>Nacional</v>
      </c>
      <c r="G7" s="1" t="str">
        <v>IJM</v>
      </c>
      <c r="H7" s="1" t="str">
        <v>Sí</v>
      </c>
      <c r="I7" s="2">
        <v>46100</v>
      </c>
      <c r="J7" s="2">
        <v>46104</v>
      </c>
      <c r="K7" s="2" t="str">
        <v/>
      </c>
      <c r="L7" s="1" t="str">
        <v>Realizada completa</v>
      </c>
      <c r="M7" s="2">
        <v>46150</v>
      </c>
      <c r="N7" s="2" t="str">
        <v/>
      </c>
      <c r="O7" s="1" t="str">
        <v>Realizada completa</v>
      </c>
      <c r="P7" s="1" t="str">
        <v/>
      </c>
      <c r="Q7" s="1" t="str">
        <v>A distancia asistido</v>
      </c>
      <c r="R7" s="1">
        <f t="shared" si="0"/>
        <v>1</v>
      </c>
      <c r="S7" s="1">
        <f t="shared" si="4"/>
        <v>0</v>
      </c>
      <c r="T7" s="1">
        <f t="shared" si="1"/>
        <v>0</v>
      </c>
      <c r="U7" s="1">
        <f t="shared" si="2"/>
        <v>1</v>
      </c>
      <c r="V7" s="1">
        <f t="shared" si="3"/>
        <v>0</v>
      </c>
    </row>
    <row r="8" x14ac:dyDescent="0.25">
      <c r="A8" s="1">
        <v>7</v>
      </c>
      <c r="B8" s="1" t="str">
        <v>Sonia Gleci Frisancho Pacheco</v>
      </c>
      <c r="C8" s="1" t="str">
        <v>Aldeas Infantiles SOS</v>
      </c>
      <c r="D8" s="1" t="str">
        <v>Entrevista de actores clave</v>
      </c>
      <c r="E8" s="1" t="str">
        <v>Multilaterales</v>
      </c>
      <c r="F8" s="1" t="str">
        <v>Nacional</v>
      </c>
      <c r="G8" s="1" t="str">
        <v>IJM</v>
      </c>
      <c r="H8" s="1" t="str">
        <v>No</v>
      </c>
      <c r="I8" s="2">
        <v>46100</v>
      </c>
      <c r="J8" s="2" t="str">
        <v/>
      </c>
      <c r="K8" s="2" t="str">
        <v/>
      </c>
      <c r="L8" s="1" t="str">
        <v/>
      </c>
      <c r="M8" s="2" t="str">
        <v/>
      </c>
      <c r="N8" s="2" t="str">
        <v/>
      </c>
      <c r="O8" s="1" t="str">
        <v/>
      </c>
      <c r="P8" s="1" t="str">
        <v/>
      </c>
      <c r="Q8" s="1" t="str">
        <v/>
      </c>
      <c r="R8" s="1">
        <f t="shared" si="0"/>
        <v>0</v>
      </c>
      <c r="S8" s="1">
        <f t="shared" si="4"/>
        <v>0</v>
      </c>
      <c r="T8" s="1">
        <f t="shared" si="1"/>
        <v>0</v>
      </c>
      <c r="U8" s="1">
        <f t="shared" si="2"/>
        <v>0</v>
      </c>
      <c r="V8" s="1">
        <f t="shared" si="3"/>
        <v>0</v>
      </c>
    </row>
    <row r="9" x14ac:dyDescent="0.25">
      <c r="A9" s="1">
        <v>8</v>
      </c>
      <c r="B9" s="1" t="str">
        <v>Alejandra Saffon</v>
      </c>
      <c r="C9" s="1" t="str">
        <v>Organización para la Cooperación y el Desarrollo Económico</v>
      </c>
      <c r="D9" s="1" t="str">
        <v>Entrevista de actores clave</v>
      </c>
      <c r="E9" s="1" t="str">
        <v>Multilaterales</v>
      </c>
      <c r="F9" s="1" t="str">
        <v>Nacional</v>
      </c>
      <c r="G9" s="1" t="str">
        <v>IJM</v>
      </c>
      <c r="H9" s="1" t="str">
        <v>No</v>
      </c>
      <c r="I9" s="2">
        <v>46104</v>
      </c>
      <c r="J9" s="2" t="str">
        <v/>
      </c>
      <c r="K9" s="2" t="str">
        <v/>
      </c>
      <c r="L9" s="1" t="str">
        <v/>
      </c>
      <c r="M9" s="2" t="str">
        <v/>
      </c>
      <c r="N9" s="2" t="str">
        <v/>
      </c>
      <c r="O9" s="1" t="str">
        <v/>
      </c>
      <c r="P9" s="1" t="str">
        <v/>
      </c>
      <c r="Q9" s="1" t="str">
        <v/>
      </c>
      <c r="R9" s="1">
        <f t="shared" si="0"/>
        <v>0</v>
      </c>
      <c r="S9" s="1">
        <f t="shared" si="4"/>
        <v>0</v>
      </c>
      <c r="T9" s="1">
        <f t="shared" si="1"/>
        <v>0</v>
      </c>
      <c r="U9" s="1">
        <f t="shared" si="2"/>
        <v>0</v>
      </c>
      <c r="V9" s="1">
        <f t="shared" si="3"/>
        <v>0</v>
      </c>
    </row>
    <row r="10" x14ac:dyDescent="0.25">
      <c r="A10" s="1">
        <v>9</v>
      </c>
      <c r="B10" s="1" t="str">
        <v>Elena Portilla Odlianitskaya</v>
      </c>
      <c r="C10" s="1" t="str">
        <v>Organización para la Cooperación y el Desarrollo Económico</v>
      </c>
      <c r="D10" s="1" t="str">
        <v>Entrevista de actores clave</v>
      </c>
      <c r="E10" s="1" t="str">
        <v>Multilaterales</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4"/>
        <v>0</v>
      </c>
      <c r="T10" s="1">
        <f t="shared" si="1"/>
        <v>0</v>
      </c>
      <c r="U10" s="1">
        <f t="shared" si="2"/>
        <v>0</v>
      </c>
      <c r="V10" s="1">
        <f t="shared" si="3"/>
        <v>0</v>
      </c>
    </row>
    <row r="11" x14ac:dyDescent="0.25">
      <c r="A11" s="1">
        <v>10</v>
      </c>
      <c r="B11" s="1" t="str">
        <v>Alejandra Alayza</v>
      </c>
      <c r="C11" s="1" t="str">
        <v>Oxfam</v>
      </c>
      <c r="D11" s="1" t="str">
        <v>Entrevista de actores clave</v>
      </c>
      <c r="E11" s="1" t="str">
        <v>Multilaterales</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4"/>
        <v>0</v>
      </c>
      <c r="T11" s="1">
        <f t="shared" si="1"/>
        <v>0</v>
      </c>
      <c r="U11" s="1">
        <f t="shared" si="2"/>
        <v>0</v>
      </c>
      <c r="V11" s="1">
        <f t="shared" si="3"/>
        <v>0</v>
      </c>
    </row>
    <row r="12" x14ac:dyDescent="0.25">
      <c r="A12" s="1">
        <v>11</v>
      </c>
      <c r="B12" s="1" t="str">
        <v>Miguel Lévano</v>
      </c>
      <c r="C12" s="1" t="str">
        <v>Oxfam</v>
      </c>
      <c r="D12" s="1" t="str">
        <v>Entrevista de actores clave</v>
      </c>
      <c r="E12" s="1" t="str">
        <v>Multilaterales</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4"/>
        <v>0</v>
      </c>
      <c r="T12" s="1">
        <f t="shared" si="1"/>
        <v>0</v>
      </c>
      <c r="U12" s="1">
        <f t="shared" si="2"/>
        <v>0</v>
      </c>
      <c r="V12" s="1">
        <f t="shared" si="3"/>
        <v>0</v>
      </c>
    </row>
    <row r="13" x14ac:dyDescent="0.25">
      <c r="A13" s="1">
        <v>12</v>
      </c>
      <c r="B13" s="1" t="str">
        <v>Esteban Caballero</v>
      </c>
      <c r="C13" s="1" t="str">
        <v>UNFPA</v>
      </c>
      <c r="D13" s="1" t="str">
        <v>Entrevista de actores clave</v>
      </c>
      <c r="E13" s="1" t="str">
        <v>Multilaterales</v>
      </c>
      <c r="F13" s="1" t="str">
        <v>Distrito Judicial: Ucayali</v>
      </c>
      <c r="G13" s="1" t="str">
        <v>IJM</v>
      </c>
      <c r="H13" s="1" t="str">
        <v>No</v>
      </c>
      <c r="I13" s="2">
        <v>46104</v>
      </c>
      <c r="J13" s="2" t="str">
        <v/>
      </c>
      <c r="K13" s="2" t="str">
        <v/>
      </c>
      <c r="L13" s="1" t="str">
        <v/>
      </c>
      <c r="M13" s="2" t="str">
        <v/>
      </c>
      <c r="N13" s="2" t="str">
        <v/>
      </c>
      <c r="O13" s="1" t="str">
        <v/>
      </c>
      <c r="P13" s="1" t="str">
        <v/>
      </c>
      <c r="Q13" s="1" t="str">
        <v/>
      </c>
      <c r="R13" s="1">
        <f t="shared" si="0"/>
        <v>0</v>
      </c>
      <c r="S13" s="1">
        <f t="shared" si="4"/>
        <v>0</v>
      </c>
      <c r="T13" s="1">
        <f t="shared" si="1"/>
        <v>0</v>
      </c>
      <c r="U13" s="1">
        <f t="shared" si="2"/>
        <v>0</v>
      </c>
      <c r="V13" s="1">
        <f t="shared" si="3"/>
        <v>0</v>
      </c>
    </row>
    <row r="14" x14ac:dyDescent="0.25">
      <c r="A14" s="1">
        <v>13</v>
      </c>
      <c r="B14" s="1" t="str">
        <v>Hugo González Coltrinari</v>
      </c>
      <c r="C14" s="1" t="str">
        <v>UNFPA</v>
      </c>
      <c r="D14" s="1" t="str">
        <v>Entrevista de actores clave</v>
      </c>
      <c r="E14" s="1" t="str">
        <v>Multilaterales</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4"/>
        <v>0</v>
      </c>
      <c r="T14" s="1">
        <f t="shared" si="1"/>
        <v>0</v>
      </c>
      <c r="U14" s="1">
        <f t="shared" si="2"/>
        <v>0</v>
      </c>
      <c r="V14" s="1">
        <f t="shared" si="3"/>
        <v>0</v>
      </c>
    </row>
    <row r="15" x14ac:dyDescent="0.25">
      <c r="A15" s="1">
        <v>14</v>
      </c>
      <c r="B15" s="1" t="str">
        <v>Tomás Lopes-Teixeira</v>
      </c>
      <c r="C15" s="1" t="str">
        <v>Banco Interamericano de Desarrollo</v>
      </c>
      <c r="D15" s="1" t="str">
        <v>Entrevista de actores clave</v>
      </c>
      <c r="E15" s="1" t="str">
        <v>Multilaterales</v>
      </c>
      <c r="F15" s="1" t="str">
        <v>Nacional</v>
      </c>
      <c r="G15" s="1" t="str">
        <v>IJM</v>
      </c>
      <c r="H15" s="1" t="str">
        <v>No</v>
      </c>
      <c r="I15" s="2">
        <v>46104</v>
      </c>
      <c r="J15" s="2" t="str">
        <v/>
      </c>
      <c r="K15" s="2" t="str">
        <v/>
      </c>
      <c r="L15" s="1" t="str">
        <v/>
      </c>
      <c r="M15" s="2" t="str">
        <v/>
      </c>
      <c r="N15" s="2" t="str">
        <v/>
      </c>
      <c r="O15" s="1" t="str">
        <v/>
      </c>
      <c r="P15" s="1" t="str">
        <v/>
      </c>
      <c r="Q15" s="1" t="str">
        <v/>
      </c>
      <c r="R15" s="1">
        <f t="shared" si="0"/>
        <v>0</v>
      </c>
      <c r="S15" s="1">
        <f t="shared" si="4"/>
        <v>0</v>
      </c>
      <c r="T15" s="1">
        <f t="shared" si="1"/>
        <v>0</v>
      </c>
      <c r="U15" s="1">
        <f t="shared" si="2"/>
        <v>0</v>
      </c>
      <c r="V15" s="1">
        <f t="shared" si="3"/>
        <v>0</v>
      </c>
    </row>
    <row r="16" x14ac:dyDescent="0.25">
      <c r="A16" s="1">
        <v>15</v>
      </c>
      <c r="B16" s="1" t="str">
        <v>Issam Abousleiman</v>
      </c>
      <c r="C16" s="1" t="str">
        <v>World Bank</v>
      </c>
      <c r="D16" s="1" t="str">
        <v>Entrevista de actores clave</v>
      </c>
      <c r="E16" s="1" t="str">
        <v>Multilaterales</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4"/>
        <v>0</v>
      </c>
      <c r="T16" s="1">
        <f t="shared" si="1"/>
        <v>0</v>
      </c>
      <c r="U16" s="1">
        <f t="shared" si="2"/>
        <v>0</v>
      </c>
      <c r="V16" s="1">
        <f t="shared" si="3"/>
        <v>0</v>
      </c>
    </row>
    <row r="17" x14ac:dyDescent="0.25">
      <c r="A17" s="1">
        <v>16</v>
      </c>
      <c r="B17" s="1" t="str">
        <v>Carlos Jesús Vilela</v>
      </c>
      <c r="C17" s="1" t="str">
        <v>Jurado Nacional de Elecciones</v>
      </c>
      <c r="D17" s="1" t="str">
        <v>Entrevista de actores clave</v>
      </c>
      <c r="E17" s="1" t="str">
        <v>Funcionarios del Sistema</v>
      </c>
      <c r="F17" s="1" t="str">
        <v>Nacional</v>
      </c>
      <c r="G17" s="1" t="str">
        <v>IJM</v>
      </c>
      <c r="H17" s="1" t="str">
        <v>Sí</v>
      </c>
      <c r="I17" s="2">
        <v>46101</v>
      </c>
      <c r="J17" s="2">
        <v>46122</v>
      </c>
      <c r="K17" s="2" t="str">
        <v/>
      </c>
      <c r="L17" s="1" t="str">
        <v>Sin respuesta</v>
      </c>
      <c r="M17" s="2" t="str">
        <v/>
      </c>
      <c r="N17" s="2" t="str">
        <v/>
      </c>
      <c r="O17" s="1" t="str">
        <v>Sin respuesta</v>
      </c>
      <c r="P17" s="1" t="str">
        <v/>
      </c>
      <c r="Q17" s="1" t="str">
        <v/>
      </c>
      <c r="R17" s="1">
        <f t="shared" si="0"/>
        <v>1</v>
      </c>
      <c r="S17" s="1">
        <f t="shared" si="4"/>
        <v>0</v>
      </c>
      <c r="T17" s="1">
        <f t="shared" si="1"/>
        <v>0</v>
      </c>
      <c r="U17" s="1">
        <f t="shared" si="2"/>
        <v>0</v>
      </c>
      <c r="V17" s="1">
        <f t="shared" si="3"/>
        <v>1</v>
      </c>
    </row>
    <row r="18" x14ac:dyDescent="0.25">
      <c r="A18" s="1">
        <v>17</v>
      </c>
      <c r="B18" s="1" t="str">
        <v>Mónica Mendez Cabezas</v>
      </c>
      <c r="C18" s="1" t="str">
        <v>Ministerio de la Mujer </v>
      </c>
      <c r="D18" s="1" t="str">
        <v>Entrevista de actores clave</v>
      </c>
      <c r="E18" s="1" t="str">
        <v>Funcionarios del Sistema</v>
      </c>
      <c r="F18" s="1" t="str">
        <v>Distrito Judicial: Loreto</v>
      </c>
      <c r="G18" s="1" t="str">
        <v>IJM</v>
      </c>
      <c r="H18" s="1" t="str">
        <v>Sí</v>
      </c>
      <c r="I18" s="2">
        <v>46147</v>
      </c>
      <c r="J18" s="2" t="str">
        <v/>
      </c>
      <c r="K18" s="2" t="str">
        <v/>
      </c>
      <c r="L18" s="1" t="str">
        <v>Sin respuesta</v>
      </c>
      <c r="M18" s="2" t="str">
        <v/>
      </c>
      <c r="N18" s="2" t="str">
        <v/>
      </c>
      <c r="O18" s="1" t="str">
        <v>Sin respuesta</v>
      </c>
      <c r="P18" s="1" t="str">
        <v/>
      </c>
      <c r="Q18" s="1" t="str">
        <v/>
      </c>
      <c r="R18" s="1">
        <f t="shared" si="0"/>
        <v>1</v>
      </c>
      <c r="S18" s="1">
        <f t="shared" si="4"/>
        <v>0</v>
      </c>
      <c r="T18" s="1">
        <f t="shared" si="1"/>
        <v>0</v>
      </c>
      <c r="U18" s="1">
        <f t="shared" si="2"/>
        <v>0</v>
      </c>
      <c r="V18" s="1">
        <f t="shared" si="3"/>
        <v>1</v>
      </c>
    </row>
    <row r="19" x14ac:dyDescent="0.25">
      <c r="A19" s="1">
        <v>18</v>
      </c>
      <c r="B19" s="1" t="str">
        <v>Kenny Jorge Perez Diaz</v>
      </c>
      <c r="C19" s="1" t="str">
        <v>Ministerio de la Mujer </v>
      </c>
      <c r="D19" s="1" t="str">
        <v>Entrevista de actores clave</v>
      </c>
      <c r="E19" s="1" t="str">
        <v>Funcionarios del Sistema</v>
      </c>
      <c r="F19" s="1" t="str">
        <v>Distrito Judicial: Ayacucho</v>
      </c>
      <c r="G19" s="1" t="str">
        <v>IJM</v>
      </c>
      <c r="H19" s="1" t="str">
        <v>Sí</v>
      </c>
      <c r="I19" s="2">
        <v>46126</v>
      </c>
      <c r="J19" s="2" t="str">
        <v/>
      </c>
      <c r="K19" s="2" t="str">
        <v/>
      </c>
      <c r="L19" s="1" t="str">
        <v>En coordinación</v>
      </c>
      <c r="M19" s="2" t="str">
        <v/>
      </c>
      <c r="N19" s="2" t="str">
        <v/>
      </c>
      <c r="O19" s="1" t="str">
        <v>En coordinación</v>
      </c>
      <c r="P19" s="1" t="str">
        <v/>
      </c>
      <c r="Q19" s="1" t="str">
        <v/>
      </c>
      <c r="R19" s="1">
        <f t="shared" si="0"/>
        <v>1</v>
      </c>
      <c r="S19" s="1">
        <f t="shared" si="4"/>
        <v>1</v>
      </c>
      <c r="T19" s="1">
        <f t="shared" si="1"/>
        <v>0</v>
      </c>
      <c r="U19" s="1">
        <f t="shared" si="2"/>
        <v>0</v>
      </c>
      <c r="V19" s="1">
        <f t="shared" si="3"/>
        <v>0</v>
      </c>
    </row>
    <row r="20" x14ac:dyDescent="0.25">
      <c r="A20" s="1">
        <v>19</v>
      </c>
      <c r="B20" s="1" t="str">
        <v>Laura Esther Agama Fernández</v>
      </c>
      <c r="C20" s="1" t="str">
        <v>Ministerio de la Mujer </v>
      </c>
      <c r="D20" s="1" t="str">
        <v>Entrevista de actores clave</v>
      </c>
      <c r="E20" s="1" t="str">
        <v>Funcionarios del Sistema</v>
      </c>
      <c r="F20" s="1" t="str">
        <v>Distrito Judicial: Ayacucho</v>
      </c>
      <c r="G20" s="1" t="str">
        <v>IJM</v>
      </c>
      <c r="H20" s="1" t="str">
        <v>Sí</v>
      </c>
      <c r="I20" s="2">
        <v>46147</v>
      </c>
      <c r="J20" s="2" t="str">
        <v/>
      </c>
      <c r="K20" s="2" t="str">
        <v/>
      </c>
      <c r="L20" s="1" t="str">
        <v>Sin respuesta</v>
      </c>
      <c r="M20" s="2" t="str">
        <v/>
      </c>
      <c r="N20" s="2" t="str">
        <v/>
      </c>
      <c r="O20" s="1" t="str">
        <v>Sin respuesta</v>
      </c>
      <c r="P20" s="1" t="str">
        <v/>
      </c>
      <c r="Q20" s="1" t="str">
        <v/>
      </c>
      <c r="R20" s="1">
        <f t="shared" si="0"/>
        <v>1</v>
      </c>
      <c r="S20" s="1">
        <f t="shared" si="4"/>
        <v>0</v>
      </c>
      <c r="T20" s="1">
        <f t="shared" si="1"/>
        <v>0</v>
      </c>
      <c r="U20" s="1">
        <f t="shared" si="2"/>
        <v>0</v>
      </c>
      <c r="V20" s="1">
        <f t="shared" si="3"/>
        <v>1</v>
      </c>
    </row>
    <row r="21" x14ac:dyDescent="0.25">
      <c r="A21" s="1">
        <v>20</v>
      </c>
      <c r="B21" s="1" t="str">
        <v>Doris Godoy Cortez</v>
      </c>
      <c r="C21" s="1" t="str">
        <v>Psicólogos</v>
      </c>
      <c r="D21" s="1" t="str">
        <v>Entrevista de actores clave</v>
      </c>
      <c r="E21" s="1" t="str">
        <v>Acompañantes</v>
      </c>
      <c r="F21" s="1" t="str">
        <v>Distrito Judicial: Huánuco</v>
      </c>
      <c r="G21" s="1" t="str">
        <v>IJM</v>
      </c>
      <c r="H21" s="1" t="str">
        <v>Sí</v>
      </c>
      <c r="I21" s="2">
        <v>46101</v>
      </c>
      <c r="J21" s="2" t="str">
        <v/>
      </c>
      <c r="K21" s="2" t="str">
        <v/>
      </c>
      <c r="L21" s="1" t="str">
        <v>Realizada completa</v>
      </c>
      <c r="M21" s="2">
        <v>46112</v>
      </c>
      <c r="N21" s="2">
        <v>46112</v>
      </c>
      <c r="O21" s="1" t="str">
        <v>Realizada completa</v>
      </c>
      <c r="P21" s="1">
        <v>60</v>
      </c>
      <c r="Q21" s="1" t="str">
        <v>A distancia asistido</v>
      </c>
      <c r="R21" s="1">
        <f t="shared" si="0"/>
        <v>1</v>
      </c>
      <c r="S21" s="1">
        <f t="shared" si="4"/>
        <v>0</v>
      </c>
      <c r="T21" s="1">
        <f t="shared" si="1"/>
        <v>0</v>
      </c>
      <c r="U21" s="1">
        <f t="shared" si="2"/>
        <v>1</v>
      </c>
      <c r="V21" s="1">
        <f t="shared" si="3"/>
        <v>0</v>
      </c>
    </row>
    <row r="22" x14ac:dyDescent="0.25">
      <c r="A22" s="1">
        <v>21</v>
      </c>
      <c r="B22" s="1" t="str">
        <v>Rosa Peña</v>
      </c>
      <c r="C22" s="1" t="str">
        <v>Kids Alive</v>
      </c>
      <c r="D22" s="1" t="str">
        <v>Entrevista de actores clave</v>
      </c>
      <c r="E22" s="1" t="str">
        <v>Actores locales</v>
      </c>
      <c r="F22" s="1" t="str">
        <v>Nacional</v>
      </c>
      <c r="G22" s="1" t="str">
        <v>IJM</v>
      </c>
      <c r="H22" s="1" t="str">
        <v>Sí</v>
      </c>
      <c r="I22" s="2">
        <v>46104</v>
      </c>
      <c r="J22" s="2" t="str">
        <v/>
      </c>
      <c r="K22" s="2" t="str">
        <v/>
      </c>
      <c r="L22" s="1" t="str">
        <v>Realizada completa</v>
      </c>
      <c r="M22" s="2">
        <v>46105</v>
      </c>
      <c r="N22" s="2">
        <v>46105</v>
      </c>
      <c r="O22" s="1" t="str">
        <v>Realizada completa</v>
      </c>
      <c r="P22" s="1">
        <v>42</v>
      </c>
      <c r="Q22" s="1" t="str">
        <v>A distancia asistido</v>
      </c>
      <c r="R22" s="1">
        <f t="shared" si="0"/>
        <v>1</v>
      </c>
      <c r="S22" s="1">
        <f t="shared" si="4"/>
        <v>0</v>
      </c>
      <c r="T22" s="1">
        <f t="shared" si="1"/>
        <v>0</v>
      </c>
      <c r="U22" s="1">
        <f t="shared" si="2"/>
        <v>1</v>
      </c>
      <c r="V22" s="1">
        <f t="shared" si="3"/>
        <v>0</v>
      </c>
    </row>
    <row r="23" x14ac:dyDescent="0.25">
      <c r="A23" s="1">
        <v>22</v>
      </c>
      <c r="B23" s="1" t="str">
        <v>Angie Vargas</v>
      </c>
      <c r="C23" s="1" t="str">
        <v>ONG: Movimiento Manuela Ramos</v>
      </c>
      <c r="D23" s="1" t="str">
        <v>Entrevista de actores clave</v>
      </c>
      <c r="E23" s="1" t="str">
        <v>Actores locales</v>
      </c>
      <c r="F23" s="1" t="str">
        <v>Nacional</v>
      </c>
      <c r="G23" s="1" t="str">
        <v>IJM</v>
      </c>
      <c r="H23" s="1" t="str">
        <v>Sí</v>
      </c>
      <c r="I23" s="2">
        <v>46104</v>
      </c>
      <c r="J23" s="2">
        <v>46105</v>
      </c>
      <c r="K23" s="2" t="str">
        <v/>
      </c>
      <c r="L23" s="1" t="str">
        <v>En coordinación</v>
      </c>
      <c r="M23" s="2" t="str">
        <v/>
      </c>
      <c r="N23" s="2" t="str">
        <v/>
      </c>
      <c r="O23" s="1" t="str">
        <v>En coordinación</v>
      </c>
      <c r="P23" s="1" t="str">
        <v/>
      </c>
      <c r="Q23" s="1" t="str">
        <v/>
      </c>
      <c r="R23" s="1">
        <f t="shared" si="0"/>
        <v>1</v>
      </c>
      <c r="S23" s="1">
        <f t="shared" si="4"/>
        <v>1</v>
      </c>
      <c r="T23" s="1">
        <f t="shared" si="1"/>
        <v>0</v>
      </c>
      <c r="U23" s="1">
        <f t="shared" si="2"/>
        <v>0</v>
      </c>
      <c r="V23" s="1">
        <f t="shared" ref="V23:V86" si="5">IF(L23="Sin respuesta",1,0)</f>
        <v>0</v>
      </c>
    </row>
    <row r="24" x14ac:dyDescent="0.25">
      <c r="A24" s="1">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v>46104</v>
      </c>
      <c r="J24" s="2">
        <v>46147</v>
      </c>
      <c r="K24" s="2" t="str">
        <v/>
      </c>
      <c r="L24" s="1" t="str">
        <v>Sin respuesta</v>
      </c>
      <c r="M24" s="2" t="str">
        <v/>
      </c>
      <c r="N24" s="2" t="str">
        <v/>
      </c>
      <c r="O24" s="1" t="str">
        <v>Sin respuesta</v>
      </c>
      <c r="P24" s="1" t="str">
        <v/>
      </c>
      <c r="Q24" s="1" t="str">
        <v/>
      </c>
      <c r="R24" s="1">
        <f t="shared" si="0"/>
        <v>1</v>
      </c>
      <c r="S24" s="1">
        <f t="shared" si="4"/>
        <v>0</v>
      </c>
      <c r="T24" s="1">
        <f t="shared" si="1"/>
        <v>0</v>
      </c>
      <c r="U24" s="1">
        <f t="shared" si="2"/>
        <v>0</v>
      </c>
      <c r="V24" s="1">
        <f t="shared" si="5"/>
        <v>1</v>
      </c>
    </row>
    <row r="25" x14ac:dyDescent="0.25">
      <c r="A25" s="1">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v>46104</v>
      </c>
      <c r="J25" s="2" t="str">
        <v/>
      </c>
      <c r="K25" s="2" t="str">
        <v/>
      </c>
      <c r="L25" s="1" t="str">
        <v>Sin respuesta</v>
      </c>
      <c r="M25" s="2" t="str">
        <v/>
      </c>
      <c r="N25" s="2" t="str">
        <v/>
      </c>
      <c r="O25" s="1" t="str">
        <v>Sin respuesta</v>
      </c>
      <c r="P25" s="1" t="str">
        <v/>
      </c>
      <c r="Q25" s="1" t="str">
        <v/>
      </c>
      <c r="R25" s="1">
        <f t="shared" si="0"/>
        <v>1</v>
      </c>
      <c r="S25" s="1">
        <f t="shared" si="4"/>
        <v>0</v>
      </c>
      <c r="T25" s="1">
        <f t="shared" si="1"/>
        <v>0</v>
      </c>
      <c r="U25" s="1">
        <f t="shared" si="2"/>
        <v>0</v>
      </c>
      <c r="V25" s="1">
        <f t="shared" si="5"/>
        <v>1</v>
      </c>
    </row>
    <row r="26" x14ac:dyDescent="0.25">
      <c r="A26" s="1">
        <v>25</v>
      </c>
      <c r="B26" s="1" t="str">
        <v>Augusto Altamirano Vega</v>
      </c>
      <c r="C26" s="1" t="str">
        <v>Centros de Acogida Residencial</v>
      </c>
      <c r="D26" s="1" t="str">
        <v>Entrevista de actores clave</v>
      </c>
      <c r="E26" s="1" t="str">
        <v>Funcionarios del Sistema</v>
      </c>
      <c r="F26" s="1" t="str">
        <v>Distrito Judicial: Lima Norte</v>
      </c>
      <c r="G26" s="1" t="str">
        <v>IJM</v>
      </c>
      <c r="H26" s="1" t="str">
        <v>Sí</v>
      </c>
      <c r="I26" s="2">
        <v>46104</v>
      </c>
      <c r="J26" s="2">
        <v>46147</v>
      </c>
      <c r="K26" s="2">
        <v>46164</v>
      </c>
      <c r="L26" s="1" t="str">
        <v>Rechazada</v>
      </c>
      <c r="M26" s="2" t="str">
        <v/>
      </c>
      <c r="N26" s="2" t="str">
        <v/>
      </c>
      <c r="O26" s="1" t="str">
        <v>Rechazada</v>
      </c>
      <c r="P26" s="1" t="str">
        <v/>
      </c>
      <c r="Q26" s="1" t="str">
        <v/>
      </c>
      <c r="R26" s="1">
        <f t="shared" si="0"/>
        <v>1</v>
      </c>
      <c r="S26" s="1">
        <f t="shared" si="4"/>
        <v>0</v>
      </c>
      <c r="T26" s="1">
        <f t="shared" si="1"/>
        <v>0</v>
      </c>
      <c r="U26" s="1">
        <f t="shared" si="2"/>
        <v>0</v>
      </c>
      <c r="V26" s="1">
        <f t="shared" si="5"/>
        <v>0</v>
      </c>
    </row>
    <row r="27" x14ac:dyDescent="0.25">
      <c r="A27" s="1">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v>46147</v>
      </c>
      <c r="J27" s="2" t="str">
        <v/>
      </c>
      <c r="K27" s="2" t="str">
        <v/>
      </c>
      <c r="L27" s="1" t="str">
        <v>Sin respuesta</v>
      </c>
      <c r="M27" s="2" t="str">
        <v/>
      </c>
      <c r="N27" s="2" t="str">
        <v/>
      </c>
      <c r="O27" s="1" t="str">
        <v>Sin respuesta</v>
      </c>
      <c r="P27" s="1" t="str">
        <v/>
      </c>
      <c r="Q27" s="1" t="str">
        <v/>
      </c>
      <c r="R27" s="1">
        <f t="shared" si="0"/>
        <v>1</v>
      </c>
      <c r="S27" s="1">
        <f t="shared" si="4"/>
        <v>0</v>
      </c>
      <c r="T27" s="1">
        <f t="shared" si="1"/>
        <v>0</v>
      </c>
      <c r="U27" s="1">
        <f t="shared" si="2"/>
        <v>0</v>
      </c>
      <c r="V27" s="1">
        <f t="shared" si="5"/>
        <v>1</v>
      </c>
    </row>
    <row r="28" x14ac:dyDescent="0.25">
      <c r="A28" s="1">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v>46147</v>
      </c>
      <c r="J28" s="2" t="str">
        <v/>
      </c>
      <c r="K28" s="2" t="str">
        <v/>
      </c>
      <c r="L28" s="1" t="str">
        <v>Realizada completa</v>
      </c>
      <c r="M28" s="2">
        <v>46167</v>
      </c>
      <c r="N28" s="2" t="str">
        <v/>
      </c>
      <c r="O28" s="1" t="str">
        <v>Realizada completa</v>
      </c>
      <c r="P28" s="1" t="str">
        <v/>
      </c>
      <c r="Q28" s="1" t="str">
        <v>A distancia asistido</v>
      </c>
      <c r="R28" s="1">
        <f t="shared" si="0"/>
        <v>1</v>
      </c>
      <c r="S28" s="1">
        <f t="shared" si="4"/>
        <v>0</v>
      </c>
      <c r="T28" s="1">
        <f t="shared" si="1"/>
        <v>0</v>
      </c>
      <c r="U28" s="1">
        <f t="shared" si="2"/>
        <v>1</v>
      </c>
      <c r="V28" s="1">
        <f t="shared" si="5"/>
        <v>0</v>
      </c>
    </row>
    <row r="29" x14ac:dyDescent="0.25">
      <c r="A29" s="1">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v>46147</v>
      </c>
      <c r="J29" s="2" t="str">
        <v/>
      </c>
      <c r="K29" s="2" t="str">
        <v/>
      </c>
      <c r="L29" s="1" t="str">
        <v>Sin respuesta</v>
      </c>
      <c r="M29" s="2" t="str">
        <v/>
      </c>
      <c r="N29" s="2" t="str">
        <v/>
      </c>
      <c r="O29" s="1" t="str">
        <v>Sin respuesta</v>
      </c>
      <c r="P29" s="1" t="str">
        <v/>
      </c>
      <c r="Q29" s="1" t="str">
        <v/>
      </c>
      <c r="R29" s="1">
        <f t="shared" si="0"/>
        <v>1</v>
      </c>
      <c r="S29" s="1">
        <f t="shared" si="4"/>
        <v>0</v>
      </c>
      <c r="T29" s="1">
        <f t="shared" si="1"/>
        <v>0</v>
      </c>
      <c r="U29" s="1">
        <f t="shared" si="2"/>
        <v>0</v>
      </c>
      <c r="V29" s="1">
        <f t="shared" si="5"/>
        <v>1</v>
      </c>
    </row>
    <row r="30" x14ac:dyDescent="0.25">
      <c r="A30" s="1">
        <v>29</v>
      </c>
      <c r="B30" s="1" t="str">
        <v>Israel Mendez Miguel</v>
      </c>
      <c r="C30" s="1" t="str">
        <v>Centros de Acogida Residencial</v>
      </c>
      <c r="D30" s="1" t="str">
        <v>Entrevista de actores clave</v>
      </c>
      <c r="E30" s="1" t="str">
        <v>Funcionarios del Sistema</v>
      </c>
      <c r="F30" s="1" t="str">
        <v>Nacional</v>
      </c>
      <c r="G30" s="1" t="str">
        <v>IJM</v>
      </c>
      <c r="H30" s="1" t="str">
        <v>Sí</v>
      </c>
      <c r="I30" s="2">
        <v>46147</v>
      </c>
      <c r="J30" s="2" t="str">
        <v/>
      </c>
      <c r="K30" s="2" t="str">
        <v/>
      </c>
      <c r="L30" s="1" t="str">
        <v>Rechazada</v>
      </c>
      <c r="M30" s="2" t="str">
        <v/>
      </c>
      <c r="N30" s="2" t="str">
        <v/>
      </c>
      <c r="O30" s="1" t="str">
        <v>Rechazada</v>
      </c>
      <c r="P30" s="1" t="str">
        <v/>
      </c>
      <c r="Q30" s="1" t="str">
        <v/>
      </c>
      <c r="R30" s="1">
        <f t="shared" si="0"/>
        <v>1</v>
      </c>
      <c r="S30" s="1">
        <f t="shared" si="4"/>
        <v>0</v>
      </c>
      <c r="T30" s="1">
        <f t="shared" si="1"/>
        <v>0</v>
      </c>
      <c r="U30" s="1">
        <f t="shared" si="2"/>
        <v>0</v>
      </c>
      <c r="V30" s="1">
        <f t="shared" si="5"/>
        <v>0</v>
      </c>
    </row>
    <row r="31" x14ac:dyDescent="0.25">
      <c r="A31" s="1">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v>46147</v>
      </c>
      <c r="J31" s="2" t="str">
        <v/>
      </c>
      <c r="K31" s="2" t="str">
        <v/>
      </c>
      <c r="L31" s="1" t="str">
        <v>Sin respuesta</v>
      </c>
      <c r="M31" s="2" t="str">
        <v/>
      </c>
      <c r="N31" s="2" t="str">
        <v/>
      </c>
      <c r="O31" s="1" t="str">
        <v>Sin respuesta</v>
      </c>
      <c r="P31" s="1" t="str">
        <v/>
      </c>
      <c r="Q31" s="1" t="str">
        <v/>
      </c>
      <c r="R31" s="1">
        <f t="shared" si="0"/>
        <v>1</v>
      </c>
      <c r="S31" s="1">
        <f t="shared" si="4"/>
        <v>0</v>
      </c>
      <c r="T31" s="1">
        <f t="shared" si="1"/>
        <v>0</v>
      </c>
      <c r="U31" s="1">
        <f t="shared" si="2"/>
        <v>0</v>
      </c>
      <c r="V31" s="1">
        <f t="shared" si="5"/>
        <v>1</v>
      </c>
    </row>
    <row r="32" x14ac:dyDescent="0.25">
      <c r="A32" s="1">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v>46147</v>
      </c>
      <c r="J32" s="2" t="str">
        <v/>
      </c>
      <c r="K32" s="2" t="str">
        <v/>
      </c>
      <c r="L32" s="1" t="str">
        <v>Sin respuesta</v>
      </c>
      <c r="M32" s="2" t="str">
        <v/>
      </c>
      <c r="N32" s="2" t="str">
        <v/>
      </c>
      <c r="O32" s="1" t="str">
        <v>Sin respuesta</v>
      </c>
      <c r="P32" s="1" t="str">
        <v/>
      </c>
      <c r="Q32" s="1" t="str">
        <v/>
      </c>
      <c r="R32" s="1">
        <f t="shared" si="0"/>
        <v>1</v>
      </c>
      <c r="S32" s="1">
        <f t="shared" si="4"/>
        <v>0</v>
      </c>
      <c r="T32" s="1">
        <f t="shared" si="1"/>
        <v>0</v>
      </c>
      <c r="U32" s="1">
        <f t="shared" si="2"/>
        <v>0</v>
      </c>
      <c r="V32" s="1">
        <f t="shared" si="5"/>
        <v>1</v>
      </c>
    </row>
    <row r="33" x14ac:dyDescent="0.25">
      <c r="A33" s="1">
        <v>32</v>
      </c>
      <c r="B33" s="1" t="str">
        <v>Rocío Roncal Rojas</v>
      </c>
      <c r="C33" s="1" t="str">
        <v>Asociación Kallpa</v>
      </c>
      <c r="D33" s="1" t="str">
        <v>Entrevista de actores clave</v>
      </c>
      <c r="E33" s="1" t="str">
        <v>Actores locales</v>
      </c>
      <c r="F33" s="1" t="str">
        <v>Nacional</v>
      </c>
      <c r="G33" s="1" t="str">
        <v>IJM</v>
      </c>
      <c r="H33" s="1" t="str">
        <v>Sí</v>
      </c>
      <c r="I33" s="2">
        <v>46147</v>
      </c>
      <c r="J33" s="2">
        <v>46162</v>
      </c>
      <c r="K33" s="2" t="str">
        <v/>
      </c>
      <c r="L33" s="1" t="str">
        <v>Sin respuesta</v>
      </c>
      <c r="M33" s="2" t="str">
        <v/>
      </c>
      <c r="N33" s="2" t="str">
        <v/>
      </c>
      <c r="O33" s="1" t="str">
        <v>Sin respuesta</v>
      </c>
      <c r="P33" s="1" t="str">
        <v/>
      </c>
      <c r="Q33" s="1" t="str">
        <v/>
      </c>
      <c r="R33" s="1">
        <f t="shared" si="0"/>
        <v>1</v>
      </c>
      <c r="S33" s="1">
        <f t="shared" si="4"/>
        <v>0</v>
      </c>
      <c r="T33" s="1">
        <f t="shared" si="1"/>
        <v>0</v>
      </c>
      <c r="U33" s="1">
        <f t="shared" si="2"/>
        <v>0</v>
      </c>
      <c r="V33" s="1">
        <f t="shared" si="5"/>
        <v>1</v>
      </c>
    </row>
    <row r="34" x14ac:dyDescent="0.25">
      <c r="A34" s="1">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v>46147</v>
      </c>
      <c r="J34" s="2" t="str">
        <v/>
      </c>
      <c r="K34" s="2" t="str">
        <v/>
      </c>
      <c r="L34" s="1" t="str">
        <v>Sin respuesta</v>
      </c>
      <c r="M34" s="2" t="str">
        <v/>
      </c>
      <c r="N34" s="2" t="str">
        <v/>
      </c>
      <c r="O34" s="1" t="str">
        <v>Sin respuesta</v>
      </c>
      <c r="P34" s="1" t="str">
        <v/>
      </c>
      <c r="Q34" s="1" t="str">
        <v/>
      </c>
      <c r="R34" s="1">
        <f t="shared" si="0"/>
        <v>1</v>
      </c>
      <c r="S34" s="1">
        <f t="shared" ref="S34:S65" si="6">IF(L34="En coordinación",1,0)</f>
        <v>0</v>
      </c>
      <c r="T34" s="1">
        <f t="shared" si="1"/>
        <v>0</v>
      </c>
      <c r="U34" s="1">
        <f t="shared" si="2"/>
        <v>0</v>
      </c>
      <c r="V34" s="1">
        <f t="shared" si="5"/>
        <v>1</v>
      </c>
    </row>
    <row r="35" x14ac:dyDescent="0.25">
      <c r="A35" s="1">
        <v>34</v>
      </c>
      <c r="B35" s="1" t="str">
        <v>Coronel Ernesto Peña</v>
      </c>
      <c r="C35" s="1" t="str">
        <v>Jueces de Paz</v>
      </c>
      <c r="D35" s="1" t="str">
        <v>Entrevista de actores clave</v>
      </c>
      <c r="E35" s="1" t="str">
        <v>Funcionarios del Sistema</v>
      </c>
      <c r="F35" s="1" t="str">
        <v>Nacional</v>
      </c>
      <c r="G35" s="1" t="str">
        <v>IJM</v>
      </c>
      <c r="H35" s="1" t="str">
        <v>Sí</v>
      </c>
      <c r="I35" s="2">
        <v>46104</v>
      </c>
      <c r="J35" s="2">
        <v>46147</v>
      </c>
      <c r="K35" s="2" t="str">
        <v/>
      </c>
      <c r="L35" s="1" t="str">
        <v>Sin respuesta</v>
      </c>
      <c r="M35" s="2" t="str">
        <v/>
      </c>
      <c r="N35" s="2" t="str">
        <v/>
      </c>
      <c r="O35" s="1" t="str">
        <v>Sin respuesta</v>
      </c>
      <c r="P35" s="1" t="str">
        <v/>
      </c>
      <c r="Q35" s="1" t="str">
        <v/>
      </c>
      <c r="R35" s="1">
        <f t="shared" si="0"/>
        <v>1</v>
      </c>
      <c r="S35" s="1">
        <f t="shared" si="6"/>
        <v>0</v>
      </c>
      <c r="T35" s="1">
        <f t="shared" si="1"/>
        <v>0</v>
      </c>
      <c r="U35" s="1">
        <f t="shared" si="2"/>
        <v>0</v>
      </c>
      <c r="V35" s="1">
        <f t="shared" si="5"/>
        <v>1</v>
      </c>
    </row>
    <row r="36" x14ac:dyDescent="0.25">
      <c r="A36" s="1">
        <v>35</v>
      </c>
      <c r="B36" s="1" t="str">
        <v>Fátima Joyo Zaga</v>
      </c>
      <c r="C36" s="1" t="str">
        <v>Jueces de Paz</v>
      </c>
      <c r="D36" s="1" t="str">
        <v>Entrevista de actores clave</v>
      </c>
      <c r="E36" s="1" t="str">
        <v>Funcionarios del Sistema</v>
      </c>
      <c r="F36" s="1" t="str">
        <v>Distrito Judicial: Cajamarca</v>
      </c>
      <c r="G36" s="1" t="str">
        <v>IJM</v>
      </c>
      <c r="H36" s="1" t="str">
        <v>Sí</v>
      </c>
      <c r="I36" s="2">
        <v>46147</v>
      </c>
      <c r="J36" s="2" t="str">
        <v/>
      </c>
      <c r="K36" s="2" t="str">
        <v/>
      </c>
      <c r="L36" s="1" t="str">
        <v>Rechazada</v>
      </c>
      <c r="M36" s="2" t="str">
        <v/>
      </c>
      <c r="N36" s="2" t="str">
        <v/>
      </c>
      <c r="O36" s="1" t="str">
        <v>Rechazada</v>
      </c>
      <c r="P36" s="1" t="str">
        <v/>
      </c>
      <c r="Q36" s="1" t="str">
        <v/>
      </c>
      <c r="R36" s="1">
        <f t="shared" si="0"/>
        <v>1</v>
      </c>
      <c r="S36" s="1">
        <f t="shared" si="6"/>
        <v>0</v>
      </c>
      <c r="T36" s="1">
        <f t="shared" si="1"/>
        <v>0</v>
      </c>
      <c r="U36" s="1">
        <f t="shared" si="2"/>
        <v>0</v>
      </c>
      <c r="V36" s="1">
        <f t="shared" si="5"/>
        <v>0</v>
      </c>
    </row>
    <row r="37" x14ac:dyDescent="0.25">
      <c r="A37" s="1">
        <v>36</v>
      </c>
      <c r="B37" s="1" t="str">
        <v>Epifania Chagua Timoteo</v>
      </c>
      <c r="C37" s="1" t="str">
        <v>Jueces de Paz</v>
      </c>
      <c r="D37" s="1" t="str">
        <v>Entrevista de actores clave</v>
      </c>
      <c r="E37" s="1" t="str">
        <v>Funcionarios del Sistema</v>
      </c>
      <c r="F37" s="1" t="str">
        <v>Distrito Judicial: Apurímac</v>
      </c>
      <c r="G37" s="1" t="str">
        <v>IJM</v>
      </c>
      <c r="H37" s="1" t="str">
        <v>Sí</v>
      </c>
      <c r="I37" s="2">
        <v>46147</v>
      </c>
      <c r="J37" s="2">
        <v>46148</v>
      </c>
      <c r="K37" s="2" t="str">
        <v/>
      </c>
      <c r="L37" s="1" t="str">
        <v>En coordinación</v>
      </c>
      <c r="M37" s="2" t="str">
        <v/>
      </c>
      <c r="N37" s="2" t="str">
        <v/>
      </c>
      <c r="O37" s="1" t="str">
        <v>En coordinación</v>
      </c>
      <c r="P37" s="1" t="str">
        <v/>
      </c>
      <c r="Q37" s="1" t="str">
        <v/>
      </c>
      <c r="R37" s="1">
        <f t="shared" si="0"/>
        <v>1</v>
      </c>
      <c r="S37" s="1">
        <f t="shared" si="6"/>
        <v>1</v>
      </c>
      <c r="T37" s="1">
        <f t="shared" si="1"/>
        <v>0</v>
      </c>
      <c r="U37" s="1">
        <f t="shared" si="2"/>
        <v>0</v>
      </c>
      <c r="V37" s="1">
        <f t="shared" si="5"/>
        <v>0</v>
      </c>
    </row>
    <row r="38" x14ac:dyDescent="0.25">
      <c r="A38" s="1">
        <v>37</v>
      </c>
      <c r="B38" s="1" t="str">
        <v>Banesa Farfan Saravia</v>
      </c>
      <c r="C38" s="1" t="str">
        <v>Asociación Sin Fines de Lucro Ñañaykuna</v>
      </c>
      <c r="D38" s="1" t="str">
        <v>Entrevista de actores clave</v>
      </c>
      <c r="E38" s="1" t="str">
        <v>Actores locales</v>
      </c>
      <c r="F38" s="1" t="str">
        <v>Nacional</v>
      </c>
      <c r="G38" s="1" t="str">
        <v>APOYO</v>
      </c>
      <c r="H38" s="1" t="str">
        <v>Sí</v>
      </c>
      <c r="I38" s="2">
        <v>46105</v>
      </c>
      <c r="J38" s="2" t="str">
        <v/>
      </c>
      <c r="K38" s="2" t="str">
        <v/>
      </c>
      <c r="L38" s="1" t="str">
        <v>Realizada completa</v>
      </c>
      <c r="M38" s="2">
        <v>46112</v>
      </c>
      <c r="N38" s="2">
        <v>46112</v>
      </c>
      <c r="O38" s="1" t="str">
        <v>Realizada completa</v>
      </c>
      <c r="P38" s="1">
        <v>55</v>
      </c>
      <c r="Q38" s="1" t="str">
        <v>A distancia asistido</v>
      </c>
      <c r="R38" s="1">
        <f t="shared" si="0"/>
        <v>1</v>
      </c>
      <c r="S38" s="1">
        <f t="shared" si="6"/>
        <v>0</v>
      </c>
      <c r="T38" s="1">
        <f t="shared" si="1"/>
        <v>0</v>
      </c>
      <c r="U38" s="1">
        <f t="shared" si="2"/>
        <v>1</v>
      </c>
      <c r="V38" s="1">
        <f t="shared" si="5"/>
        <v>0</v>
      </c>
    </row>
    <row r="39" x14ac:dyDescent="0.25">
      <c r="A39" s="1">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v>46147</v>
      </c>
      <c r="J39" s="2" t="str">
        <v/>
      </c>
      <c r="K39" s="2" t="str">
        <v/>
      </c>
      <c r="L39" s="1" t="str">
        <v>Rechazada</v>
      </c>
      <c r="M39" s="2" t="str">
        <v/>
      </c>
      <c r="N39" s="2" t="str">
        <v/>
      </c>
      <c r="O39" s="1" t="str">
        <v>Rechazada</v>
      </c>
      <c r="P39" s="1" t="str">
        <v/>
      </c>
      <c r="Q39" s="1" t="str">
        <v/>
      </c>
      <c r="R39" s="1">
        <f t="shared" si="0"/>
        <v>1</v>
      </c>
      <c r="S39" s="1">
        <f t="shared" si="6"/>
        <v>0</v>
      </c>
      <c r="T39" s="1">
        <f t="shared" si="1"/>
        <v>0</v>
      </c>
      <c r="U39" s="1">
        <f t="shared" si="2"/>
        <v>0</v>
      </c>
      <c r="V39" s="1">
        <f t="shared" si="5"/>
        <v>0</v>
      </c>
    </row>
    <row r="40" x14ac:dyDescent="0.25">
      <c r="A40" s="1">
        <v>39</v>
      </c>
      <c r="B40" s="1" t="str">
        <v>Magali Aguilar</v>
      </c>
      <c r="C40" s="1" t="str">
        <v>Asociación Madres Luchando por Justicia</v>
      </c>
      <c r="D40" s="1" t="str">
        <v>Entrevista de actores clave</v>
      </c>
      <c r="E40" s="1" t="str">
        <v>Actores locales</v>
      </c>
      <c r="F40" s="1" t="str">
        <v>Nacional</v>
      </c>
      <c r="G40" s="1" t="str">
        <v>IJM</v>
      </c>
      <c r="H40" s="1" t="str">
        <v>Sí</v>
      </c>
      <c r="I40" s="2">
        <v>46104</v>
      </c>
      <c r="J40" s="2" t="str">
        <v/>
      </c>
      <c r="K40" s="2" t="str">
        <v/>
      </c>
      <c r="L40" s="1" t="str">
        <v>Realizada completa</v>
      </c>
      <c r="M40" s="2">
        <v>46105</v>
      </c>
      <c r="N40" s="2">
        <v>46105</v>
      </c>
      <c r="O40" s="1" t="str">
        <v>Realizada completa</v>
      </c>
      <c r="P40" s="1">
        <v>72</v>
      </c>
      <c r="Q40" s="1" t="str">
        <v>A distancia asistido</v>
      </c>
      <c r="R40" s="1">
        <f t="shared" si="0"/>
        <v>1</v>
      </c>
      <c r="S40" s="1">
        <f t="shared" si="6"/>
        <v>0</v>
      </c>
      <c r="T40" s="1">
        <f t="shared" si="1"/>
        <v>0</v>
      </c>
      <c r="U40" s="1">
        <f t="shared" si="2"/>
        <v>1</v>
      </c>
      <c r="V40" s="1">
        <f t="shared" si="5"/>
        <v>0</v>
      </c>
    </row>
    <row r="41" x14ac:dyDescent="0.25">
      <c r="A41" s="1">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6"/>
        <v>0</v>
      </c>
      <c r="T41" s="1">
        <f t="shared" si="1"/>
        <v>0</v>
      </c>
      <c r="U41" s="1">
        <f t="shared" si="2"/>
        <v>0</v>
      </c>
      <c r="V41" s="1">
        <f t="shared" si="5"/>
        <v>0</v>
      </c>
    </row>
    <row r="42" x14ac:dyDescent="0.25">
      <c r="A42" s="1">
        <v>41</v>
      </c>
      <c r="B42" s="1" t="str">
        <v>Flavia Martinez Tarazona</v>
      </c>
      <c r="C42" s="1" t="str">
        <v>Hablemos sin Tabúes</v>
      </c>
      <c r="D42" s="1" t="str">
        <v>Entrevista de actores clave</v>
      </c>
      <c r="E42" s="1" t="str">
        <v>Actores locales</v>
      </c>
      <c r="F42" s="1" t="str">
        <v>Nacional</v>
      </c>
      <c r="G42" s="1" t="str">
        <v>IJM</v>
      </c>
      <c r="H42" s="1" t="str">
        <v>Sí</v>
      </c>
      <c r="I42" s="2">
        <v>46118</v>
      </c>
      <c r="J42" s="2">
        <v>46147</v>
      </c>
      <c r="K42" s="2" t="str">
        <v/>
      </c>
      <c r="L42" s="1" t="str">
        <v>Sin respuesta</v>
      </c>
      <c r="M42" s="2" t="str">
        <v/>
      </c>
      <c r="N42" s="2" t="str">
        <v/>
      </c>
      <c r="O42" s="1" t="str">
        <v>Sin respuesta</v>
      </c>
      <c r="P42" s="1" t="str">
        <v/>
      </c>
      <c r="Q42" s="1" t="str">
        <v/>
      </c>
      <c r="R42" s="1">
        <f t="shared" si="0"/>
        <v>1</v>
      </c>
      <c r="S42" s="1">
        <f t="shared" si="6"/>
        <v>0</v>
      </c>
      <c r="T42" s="1">
        <f t="shared" si="1"/>
        <v>0</v>
      </c>
      <c r="U42" s="1">
        <f t="shared" si="2"/>
        <v>0</v>
      </c>
      <c r="V42" s="1">
        <f t="shared" si="5"/>
        <v>1</v>
      </c>
    </row>
    <row r="43" x14ac:dyDescent="0.25">
      <c r="A43" s="1">
        <v>42</v>
      </c>
      <c r="B43" s="1" t="str">
        <v>Lorena Farroñan</v>
      </c>
      <c r="C43" s="1" t="str">
        <v>Tukuy Sunquywan Yanapsqayki</v>
      </c>
      <c r="D43" s="1" t="str">
        <v>Entrevista de actores clave</v>
      </c>
      <c r="E43" s="1" t="str">
        <v>Actores locales</v>
      </c>
      <c r="F43" s="1" t="str">
        <v>Nacional</v>
      </c>
      <c r="G43" s="1" t="str">
        <v>IJM</v>
      </c>
      <c r="H43" s="1" t="str">
        <v>Sí</v>
      </c>
      <c r="I43" s="2">
        <v>46104</v>
      </c>
      <c r="J43" s="2">
        <v>46129</v>
      </c>
      <c r="K43" s="2">
        <v>46147</v>
      </c>
      <c r="L43" s="1" t="str">
        <v>Sin respuesta</v>
      </c>
      <c r="M43" s="2" t="str">
        <v/>
      </c>
      <c r="N43" s="2" t="str">
        <v/>
      </c>
      <c r="O43" s="1" t="str">
        <v>Sin respuesta</v>
      </c>
      <c r="P43" s="1" t="str">
        <v/>
      </c>
      <c r="Q43" s="1" t="str">
        <v/>
      </c>
      <c r="R43" s="1">
        <f t="shared" si="0"/>
        <v>1</v>
      </c>
      <c r="S43" s="1">
        <f t="shared" si="6"/>
        <v>0</v>
      </c>
      <c r="T43" s="1">
        <f t="shared" si="1"/>
        <v>0</v>
      </c>
      <c r="U43" s="1">
        <f t="shared" si="2"/>
        <v>0</v>
      </c>
      <c r="V43" s="1">
        <f t="shared" si="5"/>
        <v>1</v>
      </c>
    </row>
    <row r="44" x14ac:dyDescent="0.25">
      <c r="A44" s="1">
        <v>43</v>
      </c>
      <c r="B44" s="1" t="str">
        <v>Cecilia Ancajima</v>
      </c>
      <c r="C44" s="1" t="str">
        <v>Asociación La Casa de la Mujer</v>
      </c>
      <c r="D44" s="1" t="str">
        <v>Entrevista de actores clave</v>
      </c>
      <c r="E44" s="1" t="str">
        <v>Actores locales</v>
      </c>
      <c r="F44" s="1" t="str">
        <v>Nacional</v>
      </c>
      <c r="G44" s="1" t="str">
        <v>IJM</v>
      </c>
      <c r="H44" s="1" t="str">
        <v>Sí</v>
      </c>
      <c r="I44" s="2">
        <v>46147</v>
      </c>
      <c r="J44" s="2" t="str">
        <v/>
      </c>
      <c r="K44" s="2" t="str">
        <v/>
      </c>
      <c r="L44" s="1" t="str">
        <v>Sin respuesta</v>
      </c>
      <c r="M44" s="2" t="str">
        <v/>
      </c>
      <c r="N44" s="2" t="str">
        <v/>
      </c>
      <c r="O44" s="1" t="str">
        <v>Sin respuesta</v>
      </c>
      <c r="P44" s="1" t="str">
        <v/>
      </c>
      <c r="Q44" s="1" t="str">
        <v/>
      </c>
      <c r="R44" s="1">
        <f t="shared" si="0"/>
        <v>1</v>
      </c>
      <c r="S44" s="1">
        <f t="shared" si="6"/>
        <v>0</v>
      </c>
      <c r="T44" s="1">
        <f t="shared" si="1"/>
        <v>0</v>
      </c>
      <c r="U44" s="1">
        <f t="shared" si="2"/>
        <v>0</v>
      </c>
      <c r="V44" s="1">
        <f t="shared" si="5"/>
        <v>1</v>
      </c>
    </row>
    <row r="45" x14ac:dyDescent="0.25">
      <c r="A45" s="1">
        <v>44</v>
      </c>
      <c r="B45" s="1" t="str">
        <v>Estrelia Nizama Ruiz</v>
      </c>
      <c r="C45" s="1" t="str">
        <v>Inppares</v>
      </c>
      <c r="D45" s="1" t="str">
        <v>Entrevista de actores clave</v>
      </c>
      <c r="E45" s="1" t="str">
        <v>Actores locales</v>
      </c>
      <c r="F45" s="1" t="str">
        <v>Nacional</v>
      </c>
      <c r="G45" s="1" t="str">
        <v>IJM</v>
      </c>
      <c r="H45" s="1" t="str">
        <v>Sí</v>
      </c>
      <c r="I45" s="2">
        <v>46129</v>
      </c>
      <c r="J45" s="2">
        <v>46147</v>
      </c>
      <c r="K45" s="2" t="str">
        <v/>
      </c>
      <c r="L45" s="1" t="str">
        <v>Realizada completa</v>
      </c>
      <c r="M45" s="2">
        <v>46163</v>
      </c>
      <c r="N45" s="2" t="str">
        <v/>
      </c>
      <c r="O45" s="1" t="str">
        <v>Realizada completa</v>
      </c>
      <c r="P45" s="1" t="str">
        <v/>
      </c>
      <c r="Q45" s="1" t="str">
        <v>A distancia asistido</v>
      </c>
      <c r="R45" s="1">
        <f t="shared" si="0"/>
        <v>1</v>
      </c>
      <c r="S45" s="1">
        <f t="shared" si="6"/>
        <v>0</v>
      </c>
      <c r="T45" s="1">
        <f t="shared" si="1"/>
        <v>0</v>
      </c>
      <c r="U45" s="1">
        <f t="shared" si="2"/>
        <v>1</v>
      </c>
      <c r="V45" s="1">
        <f t="shared" si="5"/>
        <v>0</v>
      </c>
    </row>
    <row r="46" x14ac:dyDescent="0.25">
      <c r="A46" s="1">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6"/>
        <v>0</v>
      </c>
      <c r="T46" s="1">
        <f t="shared" si="1"/>
        <v>0</v>
      </c>
      <c r="U46" s="1">
        <f t="shared" si="2"/>
        <v>0</v>
      </c>
      <c r="V46" s="1">
        <f t="shared" si="5"/>
        <v>0</v>
      </c>
    </row>
    <row r="47" x14ac:dyDescent="0.25">
      <c r="A47" s="1">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v>46105</v>
      </c>
      <c r="J47" s="2" t="str">
        <v/>
      </c>
      <c r="K47" s="2" t="str">
        <v/>
      </c>
      <c r="L47" s="1" t="str">
        <v>Realizada completa</v>
      </c>
      <c r="M47" s="2">
        <v>46105</v>
      </c>
      <c r="N47" s="2">
        <v>46105</v>
      </c>
      <c r="O47" s="1" t="str">
        <v>Realizada completa</v>
      </c>
      <c r="P47" s="1">
        <v>43</v>
      </c>
      <c r="Q47" s="1" t="str">
        <v>A distancia asistido</v>
      </c>
      <c r="R47" s="1">
        <f t="shared" si="0"/>
        <v>1</v>
      </c>
      <c r="S47" s="1">
        <f t="shared" si="6"/>
        <v>0</v>
      </c>
      <c r="T47" s="1">
        <f t="shared" si="1"/>
        <v>0</v>
      </c>
      <c r="U47" s="1">
        <f t="shared" si="2"/>
        <v>1</v>
      </c>
      <c r="V47" s="1">
        <f t="shared" si="5"/>
        <v>0</v>
      </c>
    </row>
    <row r="48" x14ac:dyDescent="0.25">
      <c r="A48" s="1">
        <v>47</v>
      </c>
      <c r="B48" s="1" t="str">
        <v>Mendoza Barrantes Mericia</v>
      </c>
      <c r="C48" s="1" t="str">
        <v>Estrategias Rurales </v>
      </c>
      <c r="D48" s="1" t="str">
        <v>Entrevista de actores clave</v>
      </c>
      <c r="E48" s="1" t="str">
        <v>Actores locales</v>
      </c>
      <c r="F48" s="1" t="str">
        <v>Nacional</v>
      </c>
      <c r="G48" s="1" t="str">
        <v>IJM</v>
      </c>
      <c r="H48" s="1" t="str">
        <v>Sí</v>
      </c>
      <c r="I48" s="2">
        <v>46105</v>
      </c>
      <c r="J48" s="2">
        <v>46111</v>
      </c>
      <c r="K48" s="2" t="str">
        <v/>
      </c>
      <c r="L48" s="1" t="str">
        <v>Sin respuesta</v>
      </c>
      <c r="M48" s="2" t="str">
        <v/>
      </c>
      <c r="N48" s="2" t="str">
        <v/>
      </c>
      <c r="O48" s="1" t="str">
        <v>Sin respuesta</v>
      </c>
      <c r="P48" s="1" t="str">
        <v/>
      </c>
      <c r="Q48" s="1" t="str">
        <v/>
      </c>
      <c r="R48" s="1">
        <f t="shared" si="0"/>
        <v>1</v>
      </c>
      <c r="S48" s="1">
        <f t="shared" si="6"/>
        <v>0</v>
      </c>
      <c r="T48" s="1">
        <f t="shared" si="1"/>
        <v>0</v>
      </c>
      <c r="U48" s="1">
        <f t="shared" si="2"/>
        <v>0</v>
      </c>
      <c r="V48" s="1">
        <f t="shared" si="5"/>
        <v>1</v>
      </c>
    </row>
    <row r="49" x14ac:dyDescent="0.25">
      <c r="A49" s="1">
        <v>48</v>
      </c>
      <c r="B49" s="1" t="str">
        <v>Calizaya Cruz Nicanor Efrain</v>
      </c>
      <c r="C49" s="1" t="str">
        <v>Estrategias Rurales </v>
      </c>
      <c r="D49" s="1" t="str">
        <v>Entrevista de actores clave</v>
      </c>
      <c r="E49" s="1" t="str">
        <v>Actores locales</v>
      </c>
      <c r="F49" s="1" t="str">
        <v>Nacional</v>
      </c>
      <c r="G49" s="1" t="str">
        <v>IJM</v>
      </c>
      <c r="H49" s="1" t="str">
        <v>Sí</v>
      </c>
      <c r="I49" s="2">
        <v>46105</v>
      </c>
      <c r="J49" s="2">
        <v>46111</v>
      </c>
      <c r="K49" s="2" t="str">
        <v/>
      </c>
      <c r="L49" s="1" t="str">
        <v>Sin respuesta</v>
      </c>
      <c r="M49" s="2" t="str">
        <v/>
      </c>
      <c r="N49" s="2" t="str">
        <v/>
      </c>
      <c r="O49" s="1" t="str">
        <v>Sin respuesta</v>
      </c>
      <c r="P49" s="1" t="str">
        <v/>
      </c>
      <c r="Q49" s="1" t="str">
        <v/>
      </c>
      <c r="R49" s="1">
        <f t="shared" si="0"/>
        <v>1</v>
      </c>
      <c r="S49" s="1">
        <f t="shared" si="6"/>
        <v>0</v>
      </c>
      <c r="T49" s="1">
        <f t="shared" si="1"/>
        <v>0</v>
      </c>
      <c r="U49" s="1">
        <f t="shared" si="2"/>
        <v>0</v>
      </c>
      <c r="V49" s="1">
        <f t="shared" si="5"/>
        <v>1</v>
      </c>
    </row>
    <row r="50" x14ac:dyDescent="0.25">
      <c r="A50" s="1">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v>46147</v>
      </c>
      <c r="J50" s="2" t="str">
        <v/>
      </c>
      <c r="K50" s="2" t="str">
        <v/>
      </c>
      <c r="L50" s="1" t="str">
        <v>Sin respuesta</v>
      </c>
      <c r="M50" s="2" t="str">
        <v/>
      </c>
      <c r="N50" s="2" t="str">
        <v/>
      </c>
      <c r="O50" s="1" t="str">
        <v>Sin respuesta</v>
      </c>
      <c r="P50" s="1" t="str">
        <v/>
      </c>
      <c r="Q50" s="1" t="str">
        <v/>
      </c>
      <c r="R50" s="1">
        <f t="shared" si="0"/>
        <v>1</v>
      </c>
      <c r="S50" s="1">
        <f t="shared" si="6"/>
        <v>0</v>
      </c>
      <c r="T50" s="1">
        <f t="shared" si="1"/>
        <v>0</v>
      </c>
      <c r="U50" s="1">
        <f t="shared" si="2"/>
        <v>0</v>
      </c>
      <c r="V50" s="1">
        <f t="shared" si="5"/>
        <v>1</v>
      </c>
    </row>
    <row r="51" x14ac:dyDescent="0.25">
      <c r="A51" s="1">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6"/>
        <v>0</v>
      </c>
      <c r="T51" s="1">
        <f t="shared" si="1"/>
        <v>0</v>
      </c>
      <c r="U51" s="1">
        <f t="shared" si="2"/>
        <v>0</v>
      </c>
      <c r="V51" s="1">
        <f t="shared" si="5"/>
        <v>0</v>
      </c>
    </row>
    <row r="52" x14ac:dyDescent="0.25">
      <c r="A52" s="1">
        <v>51</v>
      </c>
      <c r="B52" s="1" t="str">
        <v>Kathia Villar</v>
      </c>
      <c r="C52" s="1" t="str">
        <v>Asociación Amar C</v>
      </c>
      <c r="D52" s="1" t="str">
        <v>Entrevista de actores clave</v>
      </c>
      <c r="E52" s="1" t="str">
        <v>Actores locales</v>
      </c>
      <c r="F52" s="1" t="str">
        <v>Distrito Judicial: Lima Norte</v>
      </c>
      <c r="G52" s="1" t="str">
        <v>IJM</v>
      </c>
      <c r="H52" s="1" t="str">
        <v>Sí</v>
      </c>
      <c r="I52" s="2">
        <v>46105</v>
      </c>
      <c r="J52" s="2">
        <v>46107</v>
      </c>
      <c r="K52" s="2">
        <v>46147</v>
      </c>
      <c r="L52" s="1" t="str">
        <v>Sin respuesta</v>
      </c>
      <c r="M52" s="2" t="str">
        <v/>
      </c>
      <c r="N52" s="2" t="str">
        <v/>
      </c>
      <c r="O52" s="1" t="str">
        <v>Sin respuesta</v>
      </c>
      <c r="P52" s="1" t="str">
        <v/>
      </c>
      <c r="Q52" s="1" t="str">
        <v/>
      </c>
      <c r="R52" s="1">
        <f t="shared" si="0"/>
        <v>1</v>
      </c>
      <c r="S52" s="1">
        <f t="shared" si="6"/>
        <v>0</v>
      </c>
      <c r="T52" s="1">
        <f t="shared" si="1"/>
        <v>0</v>
      </c>
      <c r="U52" s="1">
        <f t="shared" si="2"/>
        <v>0</v>
      </c>
      <c r="V52" s="1">
        <f t="shared" si="5"/>
        <v>1</v>
      </c>
    </row>
    <row r="53" x14ac:dyDescent="0.25">
      <c r="A53" s="1">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v>46105</v>
      </c>
      <c r="J53" s="2">
        <v>46118</v>
      </c>
      <c r="K53" s="2">
        <v>46119</v>
      </c>
      <c r="L53" s="1" t="str">
        <v>Realizada completa</v>
      </c>
      <c r="M53" s="2">
        <v>46119</v>
      </c>
      <c r="N53" s="2">
        <v>46119</v>
      </c>
      <c r="O53" s="1" t="str">
        <v>Realizada completa</v>
      </c>
      <c r="P53" s="1">
        <v>58</v>
      </c>
      <c r="Q53" s="1" t="str">
        <v>A distancia asistido</v>
      </c>
      <c r="R53" s="1">
        <f t="shared" si="0"/>
        <v>1</v>
      </c>
      <c r="S53" s="1">
        <f t="shared" si="6"/>
        <v>0</v>
      </c>
      <c r="T53" s="1">
        <f t="shared" si="1"/>
        <v>0</v>
      </c>
      <c r="U53" s="1">
        <f t="shared" si="2"/>
        <v>1</v>
      </c>
      <c r="V53" s="1">
        <f t="shared" si="5"/>
        <v>0</v>
      </c>
    </row>
    <row r="54" x14ac:dyDescent="0.25">
      <c r="A54" s="1">
        <v>53</v>
      </c>
      <c r="B54" s="1" t="str">
        <v>Alejandra Ballón-Gutiérrez</v>
      </c>
      <c r="C54" s="1" t="str">
        <v>Alfombra Roja</v>
      </c>
      <c r="D54" s="1" t="str">
        <v>Entrevista de actores clave</v>
      </c>
      <c r="E54" s="1" t="str">
        <v>Actores locales</v>
      </c>
      <c r="F54" s="1" t="str">
        <v>Distrito Judicial: Ucayali</v>
      </c>
      <c r="G54" s="1" t="str">
        <v>IJM</v>
      </c>
      <c r="H54" s="1" t="str">
        <v>Sí</v>
      </c>
      <c r="I54" s="2">
        <v>46147</v>
      </c>
      <c r="J54" s="2" t="str">
        <v/>
      </c>
      <c r="K54" s="2" t="str">
        <v/>
      </c>
      <c r="L54" s="1" t="str">
        <v>Sin respuesta</v>
      </c>
      <c r="M54" s="2" t="str">
        <v/>
      </c>
      <c r="N54" s="2" t="str">
        <v/>
      </c>
      <c r="O54" s="1" t="str">
        <v>Sin respuesta</v>
      </c>
      <c r="P54" s="1" t="str">
        <v/>
      </c>
      <c r="Q54" s="1" t="str">
        <v/>
      </c>
      <c r="R54" s="1">
        <f t="shared" si="0"/>
        <v>1</v>
      </c>
      <c r="S54" s="1">
        <f t="shared" si="6"/>
        <v>0</v>
      </c>
      <c r="T54" s="1">
        <f t="shared" si="1"/>
        <v>0</v>
      </c>
      <c r="U54" s="1">
        <f t="shared" si="2"/>
        <v>0</v>
      </c>
      <c r="V54" s="1">
        <f t="shared" si="5"/>
        <v>1</v>
      </c>
    </row>
    <row r="55" x14ac:dyDescent="0.25">
      <c r="A55" s="1">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6"/>
        <v>0</v>
      </c>
      <c r="T55" s="1">
        <f t="shared" si="1"/>
        <v>0</v>
      </c>
      <c r="U55" s="1">
        <f t="shared" si="2"/>
        <v>0</v>
      </c>
      <c r="V55" s="1">
        <f t="shared" si="5"/>
        <v>0</v>
      </c>
    </row>
    <row r="56" x14ac:dyDescent="0.25">
      <c r="A56" s="1">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6"/>
        <v>0</v>
      </c>
      <c r="T56" s="1">
        <f t="shared" si="1"/>
        <v>0</v>
      </c>
      <c r="U56" s="1">
        <f t="shared" si="2"/>
        <v>0</v>
      </c>
      <c r="V56" s="1">
        <f t="shared" si="5"/>
        <v>0</v>
      </c>
    </row>
    <row r="57" x14ac:dyDescent="0.25">
      <c r="A57" s="1">
        <v>56</v>
      </c>
      <c r="B57" s="1" t="str">
        <v>Henry Mercado</v>
      </c>
      <c r="C57" s="1" t="str">
        <v>Abogados</v>
      </c>
      <c r="D57" s="1" t="str">
        <v>Entrevista de actores clave</v>
      </c>
      <c r="E57" s="1" t="str">
        <v>Acompañantes</v>
      </c>
      <c r="F57" s="1" t="str">
        <v>Distrito Judicial: Ayacucho</v>
      </c>
      <c r="G57" s="1" t="str">
        <v>IJM</v>
      </c>
      <c r="H57" s="1" t="str">
        <v>Sí</v>
      </c>
      <c r="I57" s="2">
        <v>46105</v>
      </c>
      <c r="J57" s="2">
        <v>46106</v>
      </c>
      <c r="K57" s="2" t="str">
        <v/>
      </c>
      <c r="L57" s="1" t="str">
        <v>Realizada completa</v>
      </c>
      <c r="M57" s="2">
        <v>46113</v>
      </c>
      <c r="N57" s="2">
        <v>46113</v>
      </c>
      <c r="O57" s="1" t="str">
        <v>Realizada completa</v>
      </c>
      <c r="P57" s="1">
        <v>34</v>
      </c>
      <c r="Q57" s="1" t="str">
        <v>A distancia asistido</v>
      </c>
      <c r="R57" s="1">
        <f t="shared" si="0"/>
        <v>1</v>
      </c>
      <c r="S57" s="1">
        <f t="shared" si="6"/>
        <v>0</v>
      </c>
      <c r="T57" s="1">
        <f t="shared" si="1"/>
        <v>0</v>
      </c>
      <c r="U57" s="1">
        <f t="shared" si="2"/>
        <v>1</v>
      </c>
      <c r="V57" s="1">
        <f t="shared" si="5"/>
        <v>0</v>
      </c>
    </row>
    <row r="58" x14ac:dyDescent="0.25">
      <c r="A58" s="1">
        <v>57</v>
      </c>
      <c r="B58" s="1" t="str">
        <v>Lorena Ruiz</v>
      </c>
      <c r="C58" s="1" t="str">
        <v>Abogados</v>
      </c>
      <c r="D58" s="1" t="str">
        <v>Entrevista de actores clave</v>
      </c>
      <c r="E58" s="1" t="str">
        <v>Actores locales</v>
      </c>
      <c r="F58" s="1" t="str">
        <v>Distrito Judicial: Ucayali</v>
      </c>
      <c r="G58" s="1" t="str">
        <v>IJM</v>
      </c>
      <c r="H58" s="1" t="str">
        <v>Sí</v>
      </c>
      <c r="I58" s="2">
        <v>46106</v>
      </c>
      <c r="J58" s="2" t="str">
        <v/>
      </c>
      <c r="K58" s="2" t="str">
        <v/>
      </c>
      <c r="L58" s="1" t="str">
        <v>Realizada completa</v>
      </c>
      <c r="M58" s="2">
        <v>46136</v>
      </c>
      <c r="N58" s="2" t="str">
        <v/>
      </c>
      <c r="O58" s="1" t="str">
        <v>Realizada completa</v>
      </c>
      <c r="P58" s="1">
        <v>42</v>
      </c>
      <c r="Q58" s="1" t="str">
        <v>A distancia asistido</v>
      </c>
      <c r="R58" s="1">
        <f t="shared" si="0"/>
        <v>1</v>
      </c>
      <c r="S58" s="1">
        <f t="shared" si="6"/>
        <v>0</v>
      </c>
      <c r="T58" s="1">
        <f t="shared" si="1"/>
        <v>0</v>
      </c>
      <c r="U58" s="1">
        <f t="shared" si="2"/>
        <v>1</v>
      </c>
      <c r="V58" s="1">
        <f t="shared" si="5"/>
        <v>0</v>
      </c>
    </row>
    <row r="59" x14ac:dyDescent="0.25">
      <c r="A59" s="1">
        <v>58</v>
      </c>
      <c r="B59" s="1" t="str">
        <v>María Ysabel Cedano</v>
      </c>
      <c r="C59" s="1" t="str">
        <v>Abogados</v>
      </c>
      <c r="D59" s="1" t="str">
        <v>Entrevista de actores clave</v>
      </c>
      <c r="E59" s="1" t="str">
        <v>Actores locales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6"/>
        <v>0</v>
      </c>
      <c r="T59" s="1">
        <f t="shared" si="1"/>
        <v>0</v>
      </c>
      <c r="U59" s="1">
        <f t="shared" si="2"/>
        <v>0</v>
      </c>
      <c r="V59" s="1">
        <f t="shared" si="5"/>
        <v>1</v>
      </c>
    </row>
    <row r="60" x14ac:dyDescent="0.25">
      <c r="A60" s="1">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6"/>
        <v>0</v>
      </c>
      <c r="T60" s="1">
        <f t="shared" si="1"/>
        <v>0</v>
      </c>
      <c r="U60" s="1">
        <f t="shared" si="2"/>
        <v>0</v>
      </c>
      <c r="V60" s="1">
        <f t="shared" si="5"/>
        <v>1</v>
      </c>
    </row>
    <row r="61" x14ac:dyDescent="0.25">
      <c r="A61" s="1">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6"/>
        <v>0</v>
      </c>
      <c r="T61" s="1">
        <f t="shared" si="1"/>
        <v>0</v>
      </c>
      <c r="U61" s="1">
        <f t="shared" si="2"/>
        <v>0</v>
      </c>
      <c r="V61" s="1">
        <f t="shared" si="5"/>
        <v>0</v>
      </c>
    </row>
    <row r="62" x14ac:dyDescent="0.25">
      <c r="A62" s="1">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v>46105</v>
      </c>
      <c r="J62" s="2">
        <v>46164</v>
      </c>
      <c r="K62" s="2" t="str">
        <v/>
      </c>
      <c r="L62" s="1" t="str">
        <v>Sin respuesta</v>
      </c>
      <c r="M62" s="2" t="str">
        <v/>
      </c>
      <c r="N62" s="2" t="str">
        <v/>
      </c>
      <c r="O62" s="1" t="str">
        <v>Sin respuesta</v>
      </c>
      <c r="P62" s="1" t="str">
        <v/>
      </c>
      <c r="Q62" s="1" t="str">
        <v/>
      </c>
      <c r="R62" s="1">
        <f t="shared" si="0"/>
        <v>1</v>
      </c>
      <c r="S62" s="1">
        <f t="shared" si="6"/>
        <v>0</v>
      </c>
      <c r="T62" s="1">
        <f t="shared" si="1"/>
        <v>0</v>
      </c>
      <c r="U62" s="1">
        <f t="shared" si="2"/>
        <v>0</v>
      </c>
      <c r="V62" s="1">
        <f t="shared" si="5"/>
        <v>1</v>
      </c>
    </row>
    <row r="63" x14ac:dyDescent="0.25">
      <c r="A63" s="1">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v>46147</v>
      </c>
      <c r="J63" s="2" t="str">
        <v/>
      </c>
      <c r="K63" s="2" t="str">
        <v/>
      </c>
      <c r="L63" s="1" t="str">
        <v>Sin respuesta</v>
      </c>
      <c r="M63" s="2" t="str">
        <v/>
      </c>
      <c r="N63" s="2" t="str">
        <v/>
      </c>
      <c r="O63" s="1" t="str">
        <v>Sin respuesta</v>
      </c>
      <c r="P63" s="1" t="str">
        <v/>
      </c>
      <c r="Q63" s="1" t="str">
        <v/>
      </c>
      <c r="R63" s="1">
        <f t="shared" si="0"/>
        <v>1</v>
      </c>
      <c r="S63" s="1">
        <f t="shared" si="6"/>
        <v>0</v>
      </c>
      <c r="T63" s="1">
        <f t="shared" si="1"/>
        <v>0</v>
      </c>
      <c r="U63" s="1">
        <f t="shared" si="2"/>
        <v>0</v>
      </c>
      <c r="V63" s="1">
        <f t="shared" si="5"/>
        <v>1</v>
      </c>
    </row>
    <row r="64" x14ac:dyDescent="0.25">
      <c r="A64" s="1">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v>46105</v>
      </c>
      <c r="J64" s="2">
        <v>46147</v>
      </c>
      <c r="K64" s="2" t="str">
        <v/>
      </c>
      <c r="L64" s="1" t="str">
        <v>Sin respuesta</v>
      </c>
      <c r="M64" s="2" t="str">
        <v/>
      </c>
      <c r="N64" s="2" t="str">
        <v/>
      </c>
      <c r="O64" s="1" t="str">
        <v>Sin respuesta</v>
      </c>
      <c r="P64" s="1" t="str">
        <v/>
      </c>
      <c r="Q64" s="1" t="str">
        <v/>
      </c>
      <c r="R64" s="1">
        <f t="shared" si="0"/>
        <v>1</v>
      </c>
      <c r="S64" s="1">
        <f t="shared" si="6"/>
        <v>0</v>
      </c>
      <c r="T64" s="1">
        <f t="shared" si="1"/>
        <v>0</v>
      </c>
      <c r="U64" s="1">
        <f t="shared" si="2"/>
        <v>0</v>
      </c>
      <c r="V64" s="1">
        <f t="shared" si="5"/>
        <v>1</v>
      </c>
    </row>
    <row r="65" x14ac:dyDescent="0.25">
      <c r="A65" s="1">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v>46101</v>
      </c>
      <c r="J65" s="2">
        <v>46105</v>
      </c>
      <c r="K65" s="2" t="str">
        <v/>
      </c>
      <c r="L65" s="1" t="str">
        <v>En coordinación</v>
      </c>
      <c r="M65" s="2" t="str">
        <v/>
      </c>
      <c r="N65" s="2" t="str">
        <v/>
      </c>
      <c r="O65" s="1" t="str">
        <v>En coordinación</v>
      </c>
      <c r="P65" s="1" t="str">
        <v/>
      </c>
      <c r="Q65" s="1" t="str">
        <v/>
      </c>
      <c r="R65" s="1">
        <f t="shared" si="0"/>
        <v>1</v>
      </c>
      <c r="S65" s="1">
        <f t="shared" si="6"/>
        <v>1</v>
      </c>
      <c r="T65" s="1">
        <f t="shared" si="1"/>
        <v>0</v>
      </c>
      <c r="U65" s="1">
        <f t="shared" si="2"/>
        <v>0</v>
      </c>
      <c r="V65" s="1">
        <f t="shared" si="5"/>
        <v>0</v>
      </c>
    </row>
    <row r="66" x14ac:dyDescent="0.25">
      <c r="A66" s="1">
        <v>65</v>
      </c>
      <c r="B66" s="1" t="str">
        <v>Juan Carlos Villena Campana</v>
      </c>
      <c r="C66" s="1" t="str">
        <v>Ministerio Público (Fiscalía)</v>
      </c>
      <c r="D66" s="1" t="str">
        <v>Entrevista de actores clave</v>
      </c>
      <c r="E66" s="1" t="str">
        <v>Funcionarios del Sistema</v>
      </c>
      <c r="F66" s="1" t="str">
        <v>Nacional</v>
      </c>
      <c r="G66" s="1" t="str">
        <v>IJM</v>
      </c>
      <c r="H66" s="1" t="str">
        <v>Sí</v>
      </c>
      <c r="I66" s="2">
        <v>46147</v>
      </c>
      <c r="J66" s="2" t="str">
        <v/>
      </c>
      <c r="K66" s="2" t="str">
        <v/>
      </c>
      <c r="L66" s="1" t="str">
        <v>Sin respuesta</v>
      </c>
      <c r="M66" s="2" t="str">
        <v/>
      </c>
      <c r="N66" s="2" t="str">
        <v/>
      </c>
      <c r="O66" s="1" t="str">
        <v>Sin respuesta</v>
      </c>
      <c r="P66" s="1" t="str">
        <v/>
      </c>
      <c r="Q66" s="1" t="str">
        <v/>
      </c>
      <c r="R66" s="1">
        <f t="shared" si="0"/>
        <v>1</v>
      </c>
      <c r="S66" s="1">
        <f t="shared" ref="S66:S129" si="7">IF(L66="En coordinación",1,0)</f>
        <v>0</v>
      </c>
      <c r="T66" s="1">
        <f t="shared" si="1"/>
        <v>0</v>
      </c>
      <c r="U66" s="1">
        <f t="shared" si="2"/>
        <v>0</v>
      </c>
      <c r="V66" s="1">
        <f t="shared" si="5"/>
        <v>1</v>
      </c>
    </row>
    <row r="67" x14ac:dyDescent="0.25">
      <c r="A67" s="1">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v>46147</v>
      </c>
      <c r="J67" s="2">
        <v>46162</v>
      </c>
      <c r="K67" s="2" t="str">
        <v/>
      </c>
      <c r="L67" s="1" t="str">
        <v>Sin respuesta</v>
      </c>
      <c r="M67" s="2" t="str">
        <v/>
      </c>
      <c r="N67" s="2" t="str">
        <v/>
      </c>
      <c r="O67" s="1" t="str">
        <v>Sin respuesta</v>
      </c>
      <c r="P67" s="1" t="str">
        <v/>
      </c>
      <c r="Q67" s="1" t="str">
        <v/>
      </c>
      <c r="R67" s="1">
        <f t="shared" ref="R67:R130" si="8">IF(H67="Sí",1,0)</f>
        <v>1</v>
      </c>
      <c r="S67" s="1">
        <f t="shared" si="7"/>
        <v>0</v>
      </c>
      <c r="T67" s="1">
        <f t="shared" ref="T67:T130" si="9">IF(L67="Aceptada",1,0)</f>
        <v>0</v>
      </c>
      <c r="U67" s="1">
        <f t="shared" ref="U67:U130" si="10">IF(OR(L67="Realizada completa",L67="Realizada incompleta"),1,0)</f>
        <v>0</v>
      </c>
      <c r="V67" s="1">
        <f t="shared" si="5"/>
        <v>1</v>
      </c>
    </row>
    <row r="68" x14ac:dyDescent="0.25">
      <c r="A68" s="1">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v>46147</v>
      </c>
      <c r="J68" s="2">
        <v>46162</v>
      </c>
      <c r="K68" s="2" t="str">
        <v/>
      </c>
      <c r="L68" s="1" t="str">
        <v>Sin respuesta</v>
      </c>
      <c r="M68" s="2" t="str">
        <v/>
      </c>
      <c r="N68" s="2" t="str">
        <v/>
      </c>
      <c r="O68" s="1" t="str">
        <v>Sin respuesta</v>
      </c>
      <c r="P68" s="1" t="str">
        <v/>
      </c>
      <c r="Q68" s="1" t="str">
        <v/>
      </c>
      <c r="R68" s="1">
        <f t="shared" si="8"/>
        <v>1</v>
      </c>
      <c r="S68" s="1">
        <f t="shared" si="7"/>
        <v>0</v>
      </c>
      <c r="T68" s="1">
        <f t="shared" si="9"/>
        <v>0</v>
      </c>
      <c r="U68" s="1">
        <f t="shared" si="10"/>
        <v>0</v>
      </c>
      <c r="V68" s="1">
        <f t="shared" si="5"/>
        <v>1</v>
      </c>
    </row>
    <row r="69" x14ac:dyDescent="0.25">
      <c r="A69" s="1">
        <v>68</v>
      </c>
      <c r="B69" s="1" t="str">
        <v>Sofia Milla Meza</v>
      </c>
      <c r="C69" s="1" t="str">
        <v>Ministerio Público (Fiscalía)</v>
      </c>
      <c r="D69" s="1" t="str">
        <v>Entrevista de actores clave</v>
      </c>
      <c r="E69" s="1" t="str">
        <v>Funcionarios del Sistema</v>
      </c>
      <c r="F69" s="1" t="str">
        <v>Nacional</v>
      </c>
      <c r="G69" s="1" t="str">
        <v>IJM</v>
      </c>
      <c r="H69" s="1" t="str">
        <v>Sí</v>
      </c>
      <c r="I69" s="2">
        <v>46147</v>
      </c>
      <c r="J69" s="2">
        <v>46162</v>
      </c>
      <c r="K69" s="2" t="str">
        <v/>
      </c>
      <c r="L69" s="1" t="str">
        <v>Sin respuesta</v>
      </c>
      <c r="M69" s="2" t="str">
        <v/>
      </c>
      <c r="N69" s="2" t="str">
        <v/>
      </c>
      <c r="O69" s="1" t="str">
        <v>Sin respuesta</v>
      </c>
      <c r="P69" s="1" t="str">
        <v/>
      </c>
      <c r="Q69" s="1" t="str">
        <v/>
      </c>
      <c r="R69" s="1">
        <f t="shared" si="8"/>
        <v>1</v>
      </c>
      <c r="S69" s="1">
        <f t="shared" si="7"/>
        <v>0</v>
      </c>
      <c r="T69" s="1">
        <f t="shared" si="9"/>
        <v>0</v>
      </c>
      <c r="U69" s="1">
        <f t="shared" si="10"/>
        <v>0</v>
      </c>
      <c r="V69" s="1">
        <f t="shared" si="5"/>
        <v>1</v>
      </c>
    </row>
    <row r="70" x14ac:dyDescent="0.25">
      <c r="A70" s="1">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v>46147</v>
      </c>
      <c r="J70" s="2">
        <v>46162</v>
      </c>
      <c r="K70" s="2" t="str">
        <v/>
      </c>
      <c r="L70" s="1" t="str">
        <v>Sin respuesta</v>
      </c>
      <c r="M70" s="2" t="str">
        <v/>
      </c>
      <c r="N70" s="2" t="str">
        <v/>
      </c>
      <c r="O70" s="1" t="str">
        <v>Sin respuesta</v>
      </c>
      <c r="P70" s="1" t="str">
        <v/>
      </c>
      <c r="Q70" s="1" t="str">
        <v/>
      </c>
      <c r="R70" s="1">
        <f t="shared" si="8"/>
        <v>1</v>
      </c>
      <c r="S70" s="1">
        <f t="shared" si="7"/>
        <v>0</v>
      </c>
      <c r="T70" s="1">
        <f t="shared" si="9"/>
        <v>0</v>
      </c>
      <c r="U70" s="1">
        <f t="shared" si="10"/>
        <v>0</v>
      </c>
      <c r="V70" s="1">
        <f t="shared" si="5"/>
        <v>1</v>
      </c>
    </row>
    <row r="71" x14ac:dyDescent="0.25">
      <c r="A71" s="1">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v>46147</v>
      </c>
      <c r="J71" s="2" t="str">
        <v/>
      </c>
      <c r="K71" s="2" t="str">
        <v/>
      </c>
      <c r="L71" s="1" t="str">
        <v>Sin respuesta</v>
      </c>
      <c r="M71" s="2" t="str">
        <v/>
      </c>
      <c r="N71" s="2" t="str">
        <v/>
      </c>
      <c r="O71" s="1" t="str">
        <v>Sin respuesta</v>
      </c>
      <c r="P71" s="1" t="str">
        <v/>
      </c>
      <c r="Q71" s="1" t="str">
        <v/>
      </c>
      <c r="R71" s="1">
        <f t="shared" si="8"/>
        <v>1</v>
      </c>
      <c r="S71" s="1">
        <f t="shared" si="7"/>
        <v>0</v>
      </c>
      <c r="T71" s="1">
        <f t="shared" si="9"/>
        <v>0</v>
      </c>
      <c r="U71" s="1">
        <f t="shared" si="10"/>
        <v>0</v>
      </c>
      <c r="V71" s="1">
        <f t="shared" si="5"/>
        <v>1</v>
      </c>
    </row>
    <row r="72" x14ac:dyDescent="0.25">
      <c r="A72" s="1">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v>46147</v>
      </c>
      <c r="J72" s="2" t="str">
        <v/>
      </c>
      <c r="K72" s="2" t="str">
        <v/>
      </c>
      <c r="L72" s="1" t="str">
        <v>Sin respuesta</v>
      </c>
      <c r="M72" s="2" t="str">
        <v/>
      </c>
      <c r="N72" s="2" t="str">
        <v/>
      </c>
      <c r="O72" s="1" t="str">
        <v>Sin respuesta</v>
      </c>
      <c r="P72" s="1" t="str">
        <v/>
      </c>
      <c r="Q72" s="1" t="str">
        <v/>
      </c>
      <c r="R72" s="1">
        <f t="shared" si="8"/>
        <v>1</v>
      </c>
      <c r="S72" s="1">
        <f t="shared" si="7"/>
        <v>0</v>
      </c>
      <c r="T72" s="1">
        <f t="shared" si="9"/>
        <v>0</v>
      </c>
      <c r="U72" s="1">
        <f t="shared" si="10"/>
        <v>0</v>
      </c>
      <c r="V72" s="1">
        <f t="shared" si="5"/>
        <v>1</v>
      </c>
    </row>
    <row r="73" x14ac:dyDescent="0.25">
      <c r="A73" s="1">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v>46101</v>
      </c>
      <c r="J73" s="2">
        <v>46147</v>
      </c>
      <c r="K73" s="2" t="str">
        <v/>
      </c>
      <c r="L73" s="1" t="str">
        <v>Sin respuesta</v>
      </c>
      <c r="M73" s="2" t="str">
        <v/>
      </c>
      <c r="N73" s="2" t="str">
        <v/>
      </c>
      <c r="O73" s="1" t="str">
        <v>Sin respuesta</v>
      </c>
      <c r="P73" s="1" t="str">
        <v/>
      </c>
      <c r="Q73" s="1" t="str">
        <v/>
      </c>
      <c r="R73" s="1">
        <f t="shared" si="8"/>
        <v>1</v>
      </c>
      <c r="S73" s="1">
        <f t="shared" si="7"/>
        <v>0</v>
      </c>
      <c r="T73" s="1">
        <f t="shared" si="9"/>
        <v>0</v>
      </c>
      <c r="U73" s="1">
        <f t="shared" si="10"/>
        <v>0</v>
      </c>
      <c r="V73" s="1">
        <f t="shared" si="5"/>
        <v>1</v>
      </c>
    </row>
    <row r="74" x14ac:dyDescent="0.25">
      <c r="A74" s="1">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v>46147</v>
      </c>
      <c r="J74" s="2" t="str">
        <v/>
      </c>
      <c r="K74" s="2" t="str">
        <v/>
      </c>
      <c r="L74" s="1" t="str">
        <v>Sin respuesta</v>
      </c>
      <c r="M74" s="2" t="str">
        <v/>
      </c>
      <c r="N74" s="2" t="str">
        <v/>
      </c>
      <c r="O74" s="1" t="str">
        <v>Sin respuesta</v>
      </c>
      <c r="P74" s="1" t="str">
        <v/>
      </c>
      <c r="Q74" s="1" t="str">
        <v/>
      </c>
      <c r="R74" s="1">
        <f t="shared" si="8"/>
        <v>1</v>
      </c>
      <c r="S74" s="1">
        <f t="shared" si="7"/>
        <v>0</v>
      </c>
      <c r="T74" s="1">
        <f t="shared" si="9"/>
        <v>0</v>
      </c>
      <c r="U74" s="1">
        <f t="shared" si="10"/>
        <v>0</v>
      </c>
      <c r="V74" s="1">
        <f t="shared" si="5"/>
        <v>1</v>
      </c>
    </row>
    <row r="75" x14ac:dyDescent="0.25">
      <c r="A75" s="1">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v>46147</v>
      </c>
      <c r="J75" s="2" t="str">
        <v/>
      </c>
      <c r="K75" s="2" t="str">
        <v/>
      </c>
      <c r="L75" s="1" t="str">
        <v>Sin respuesta</v>
      </c>
      <c r="M75" s="2" t="str">
        <v/>
      </c>
      <c r="N75" s="2" t="str">
        <v/>
      </c>
      <c r="O75" s="1" t="str">
        <v>Sin respuesta</v>
      </c>
      <c r="P75" s="1" t="str">
        <v/>
      </c>
      <c r="Q75" s="1" t="str">
        <v/>
      </c>
      <c r="R75" s="1">
        <f t="shared" si="8"/>
        <v>1</v>
      </c>
      <c r="S75" s="1">
        <f t="shared" si="7"/>
        <v>0</v>
      </c>
      <c r="T75" s="1">
        <f t="shared" si="9"/>
        <v>0</v>
      </c>
      <c r="U75" s="1">
        <f t="shared" si="10"/>
        <v>0</v>
      </c>
      <c r="V75" s="1">
        <f t="shared" si="5"/>
        <v>1</v>
      </c>
    </row>
    <row r="76" x14ac:dyDescent="0.25">
      <c r="A76" s="1">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8"/>
        <v>0</v>
      </c>
      <c r="S76" s="1">
        <f t="shared" si="7"/>
        <v>0</v>
      </c>
      <c r="T76" s="1">
        <f t="shared" si="9"/>
        <v>0</v>
      </c>
      <c r="U76" s="1">
        <f t="shared" si="10"/>
        <v>0</v>
      </c>
      <c r="V76" s="1">
        <f t="shared" si="5"/>
        <v>0</v>
      </c>
    </row>
    <row r="77" x14ac:dyDescent="0.25">
      <c r="A77" s="1">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v>46106</v>
      </c>
      <c r="J77" s="2">
        <v>46147</v>
      </c>
      <c r="K77" s="2" t="str">
        <v/>
      </c>
      <c r="L77" s="1" t="str">
        <v>Sin respuesta</v>
      </c>
      <c r="M77" s="2" t="str">
        <v/>
      </c>
      <c r="N77" s="2" t="str">
        <v/>
      </c>
      <c r="O77" s="1" t="str">
        <v>Sin respuesta</v>
      </c>
      <c r="P77" s="1" t="str">
        <v/>
      </c>
      <c r="Q77" s="1" t="str">
        <v/>
      </c>
      <c r="R77" s="1">
        <f t="shared" si="8"/>
        <v>1</v>
      </c>
      <c r="S77" s="1">
        <f t="shared" si="7"/>
        <v>0</v>
      </c>
      <c r="T77" s="1">
        <f t="shared" si="9"/>
        <v>0</v>
      </c>
      <c r="U77" s="1">
        <f t="shared" si="10"/>
        <v>0</v>
      </c>
      <c r="V77" s="1">
        <f t="shared" si="5"/>
        <v>1</v>
      </c>
    </row>
    <row r="78" x14ac:dyDescent="0.25">
      <c r="A78" s="1">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v>46147</v>
      </c>
      <c r="J78" s="2" t="str">
        <v/>
      </c>
      <c r="K78" s="2" t="str">
        <v/>
      </c>
      <c r="L78" s="1" t="str">
        <v>Sin respuesta</v>
      </c>
      <c r="M78" s="2" t="str">
        <v/>
      </c>
      <c r="N78" s="2" t="str">
        <v/>
      </c>
      <c r="O78" s="1" t="str">
        <v>Sin respuesta</v>
      </c>
      <c r="P78" s="1" t="str">
        <v/>
      </c>
      <c r="Q78" s="1" t="str">
        <v/>
      </c>
      <c r="R78" s="1">
        <f t="shared" si="8"/>
        <v>1</v>
      </c>
      <c r="S78" s="1">
        <f t="shared" si="7"/>
        <v>0</v>
      </c>
      <c r="T78" s="1">
        <f t="shared" si="9"/>
        <v>0</v>
      </c>
      <c r="U78" s="1">
        <f t="shared" si="10"/>
        <v>0</v>
      </c>
      <c r="V78" s="1">
        <f t="shared" si="5"/>
        <v>1</v>
      </c>
    </row>
    <row r="79" x14ac:dyDescent="0.25">
      <c r="A79" s="1">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v>46147</v>
      </c>
      <c r="J79" s="2" t="str">
        <v/>
      </c>
      <c r="K79" s="2" t="str">
        <v/>
      </c>
      <c r="L79" s="1" t="str">
        <v>Sin respuesta</v>
      </c>
      <c r="M79" s="2" t="str">
        <v/>
      </c>
      <c r="N79" s="2" t="str">
        <v/>
      </c>
      <c r="O79" s="1" t="str">
        <v>Sin respuesta</v>
      </c>
      <c r="P79" s="1" t="str">
        <v/>
      </c>
      <c r="Q79" s="1" t="str">
        <v/>
      </c>
      <c r="R79" s="1">
        <f t="shared" si="8"/>
        <v>1</v>
      </c>
      <c r="S79" s="1">
        <f t="shared" si="7"/>
        <v>0</v>
      </c>
      <c r="T79" s="1">
        <f t="shared" si="9"/>
        <v>0</v>
      </c>
      <c r="U79" s="1">
        <f t="shared" si="10"/>
        <v>0</v>
      </c>
      <c r="V79" s="1">
        <f t="shared" si="5"/>
        <v>1</v>
      </c>
    </row>
    <row r="80" x14ac:dyDescent="0.25">
      <c r="A80" s="1">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v>46147</v>
      </c>
      <c r="J80" s="2" t="str">
        <v/>
      </c>
      <c r="K80" s="2" t="str">
        <v/>
      </c>
      <c r="L80" s="1" t="str">
        <v>Sin respuesta</v>
      </c>
      <c r="M80" s="2" t="str">
        <v/>
      </c>
      <c r="N80" s="2" t="str">
        <v/>
      </c>
      <c r="O80" s="1" t="str">
        <v>Sin respuesta</v>
      </c>
      <c r="P80" s="1" t="str">
        <v/>
      </c>
      <c r="Q80" s="1" t="str">
        <v/>
      </c>
      <c r="R80" s="1">
        <f t="shared" si="8"/>
        <v>1</v>
      </c>
      <c r="S80" s="1">
        <f t="shared" si="7"/>
        <v>0</v>
      </c>
      <c r="T80" s="1">
        <f t="shared" si="9"/>
        <v>0</v>
      </c>
      <c r="U80" s="1">
        <f t="shared" si="10"/>
        <v>0</v>
      </c>
      <c r="V80" s="1">
        <f t="shared" si="5"/>
        <v>1</v>
      </c>
    </row>
    <row r="81" x14ac:dyDescent="0.25">
      <c r="A81" s="1">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8"/>
        <v>0</v>
      </c>
      <c r="S81" s="1">
        <f t="shared" si="7"/>
        <v>0</v>
      </c>
      <c r="T81" s="1">
        <f t="shared" si="9"/>
        <v>0</v>
      </c>
      <c r="U81" s="1">
        <f t="shared" si="10"/>
        <v>0</v>
      </c>
      <c r="V81" s="1">
        <f t="shared" si="5"/>
        <v>0</v>
      </c>
    </row>
    <row r="82" x14ac:dyDescent="0.25">
      <c r="A82" s="1">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8"/>
        <v>0</v>
      </c>
      <c r="S82" s="1">
        <f t="shared" si="7"/>
        <v>0</v>
      </c>
      <c r="T82" s="1">
        <f t="shared" si="9"/>
        <v>0</v>
      </c>
      <c r="U82" s="1">
        <f t="shared" si="10"/>
        <v>0</v>
      </c>
      <c r="V82" s="1">
        <f t="shared" si="5"/>
        <v>0</v>
      </c>
    </row>
    <row r="83" x14ac:dyDescent="0.25">
      <c r="A83" s="1">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v>46107</v>
      </c>
      <c r="J83" s="2">
        <v>46147</v>
      </c>
      <c r="K83" s="2" t="str">
        <v/>
      </c>
      <c r="L83" s="1" t="str">
        <v>Sin respuesta</v>
      </c>
      <c r="M83" s="2" t="str">
        <v/>
      </c>
      <c r="N83" s="2" t="str">
        <v/>
      </c>
      <c r="O83" s="1" t="str">
        <v>Sin respuesta</v>
      </c>
      <c r="P83" s="1" t="str">
        <v/>
      </c>
      <c r="Q83" s="1" t="str">
        <v/>
      </c>
      <c r="R83" s="1">
        <f t="shared" si="8"/>
        <v>1</v>
      </c>
      <c r="S83" s="1">
        <f t="shared" si="7"/>
        <v>0</v>
      </c>
      <c r="T83" s="1">
        <f t="shared" si="9"/>
        <v>0</v>
      </c>
      <c r="U83" s="1">
        <f t="shared" si="10"/>
        <v>0</v>
      </c>
      <c r="V83" s="1">
        <f t="shared" si="5"/>
        <v>1</v>
      </c>
    </row>
    <row r="84" x14ac:dyDescent="0.25">
      <c r="A84" s="1">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v>46147</v>
      </c>
      <c r="J84" s="2" t="str">
        <v/>
      </c>
      <c r="K84" s="2" t="str">
        <v/>
      </c>
      <c r="L84" s="1" t="str">
        <v>Sin respuesta</v>
      </c>
      <c r="M84" s="2" t="str">
        <v/>
      </c>
      <c r="N84" s="2" t="str">
        <v/>
      </c>
      <c r="O84" s="1" t="str">
        <v>Sin respuesta</v>
      </c>
      <c r="P84" s="1" t="str">
        <v/>
      </c>
      <c r="Q84" s="1" t="str">
        <v/>
      </c>
      <c r="R84" s="1">
        <f t="shared" si="8"/>
        <v>1</v>
      </c>
      <c r="S84" s="1">
        <f t="shared" si="7"/>
        <v>0</v>
      </c>
      <c r="T84" s="1">
        <f t="shared" si="9"/>
        <v>0</v>
      </c>
      <c r="U84" s="1">
        <f t="shared" si="10"/>
        <v>0</v>
      </c>
      <c r="V84" s="1">
        <f t="shared" si="5"/>
        <v>1</v>
      </c>
    </row>
    <row r="85" x14ac:dyDescent="0.25">
      <c r="A85" s="1">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v>46147</v>
      </c>
      <c r="J85" s="2" t="str">
        <v/>
      </c>
      <c r="K85" s="2" t="str">
        <v/>
      </c>
      <c r="L85" s="1" t="str">
        <v>Sin respuesta</v>
      </c>
      <c r="M85" s="2" t="str">
        <v/>
      </c>
      <c r="N85" s="2" t="str">
        <v/>
      </c>
      <c r="O85" s="1" t="str">
        <v>Sin respuesta</v>
      </c>
      <c r="P85" s="1" t="str">
        <v/>
      </c>
      <c r="Q85" s="1" t="str">
        <v/>
      </c>
      <c r="R85" s="1">
        <f t="shared" si="8"/>
        <v>1</v>
      </c>
      <c r="S85" s="1">
        <f t="shared" si="7"/>
        <v>0</v>
      </c>
      <c r="T85" s="1">
        <f t="shared" si="9"/>
        <v>0</v>
      </c>
      <c r="U85" s="1">
        <f t="shared" si="10"/>
        <v>0</v>
      </c>
      <c r="V85" s="1">
        <f t="shared" si="5"/>
        <v>1</v>
      </c>
    </row>
    <row r="86" x14ac:dyDescent="0.25">
      <c r="A86" s="1">
        <v>85</v>
      </c>
      <c r="B86" s="1" t="str">
        <v>Lilian Rueda Curimanea </v>
      </c>
      <c r="C86" s="1" t="str">
        <v>Ministerio Público (Fiscalía)</v>
      </c>
      <c r="D86" s="1" t="str">
        <v>Entrevista de actores clave</v>
      </c>
      <c r="E86" s="1" t="str">
        <v>Funcionarios del Sistema</v>
      </c>
      <c r="F86" s="1" t="str">
        <v>Distrito Judicial: Cajamarca</v>
      </c>
      <c r="G86" s="1" t="str">
        <v>IJM</v>
      </c>
      <c r="H86" s="1" t="str">
        <v>Sí</v>
      </c>
      <c r="I86" s="2">
        <v>46107</v>
      </c>
      <c r="J86" s="2" t="str">
        <v/>
      </c>
      <c r="K86" s="2" t="str">
        <v/>
      </c>
      <c r="L86" s="1" t="str">
        <v>Sin respuesta</v>
      </c>
      <c r="M86" s="2" t="str">
        <v/>
      </c>
      <c r="N86" s="2" t="str">
        <v/>
      </c>
      <c r="O86" s="1" t="str">
        <v>Sin respuesta</v>
      </c>
      <c r="P86" s="1" t="str">
        <v/>
      </c>
      <c r="Q86" s="1" t="str">
        <v/>
      </c>
      <c r="R86" s="1">
        <f t="shared" si="8"/>
        <v>1</v>
      </c>
      <c r="S86" s="1">
        <f t="shared" si="7"/>
        <v>0</v>
      </c>
      <c r="T86" s="1">
        <f t="shared" si="9"/>
        <v>0</v>
      </c>
      <c r="U86" s="1">
        <f t="shared" si="10"/>
        <v>0</v>
      </c>
      <c r="V86" s="1">
        <f t="shared" si="5"/>
        <v>1</v>
      </c>
    </row>
    <row r="87" x14ac:dyDescent="0.25">
      <c r="A87" s="1">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v>46107</v>
      </c>
      <c r="J87" s="2" t="str">
        <v/>
      </c>
      <c r="K87" s="2" t="str">
        <v/>
      </c>
      <c r="L87" s="1" t="str">
        <v>Sin respuesta</v>
      </c>
      <c r="M87" s="2" t="str">
        <v/>
      </c>
      <c r="N87" s="2" t="str">
        <v/>
      </c>
      <c r="O87" s="1" t="str">
        <v>Sin respuesta</v>
      </c>
      <c r="P87" s="1" t="str">
        <v/>
      </c>
      <c r="Q87" s="1" t="str">
        <v/>
      </c>
      <c r="R87" s="1">
        <f t="shared" si="8"/>
        <v>1</v>
      </c>
      <c r="S87" s="1">
        <f t="shared" si="7"/>
        <v>0</v>
      </c>
      <c r="T87" s="1">
        <f t="shared" si="9"/>
        <v>0</v>
      </c>
      <c r="U87" s="1">
        <f t="shared" si="10"/>
        <v>0</v>
      </c>
      <c r="V87" s="1">
        <f t="shared" ref="V87:V150" si="11">IF(L87="Sin respuesta",1,0)</f>
        <v>1</v>
      </c>
    </row>
    <row r="88" x14ac:dyDescent="0.25">
      <c r="A88" s="1">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8"/>
        <v>0</v>
      </c>
      <c r="S88" s="1">
        <f t="shared" si="7"/>
        <v>0</v>
      </c>
      <c r="T88" s="1">
        <f t="shared" si="9"/>
        <v>0</v>
      </c>
      <c r="U88" s="1">
        <f t="shared" si="10"/>
        <v>0</v>
      </c>
      <c r="V88" s="1">
        <f t="shared" si="11"/>
        <v>0</v>
      </c>
    </row>
    <row r="89" x14ac:dyDescent="0.25">
      <c r="A89" s="1">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v>46107</v>
      </c>
      <c r="J89" s="2" t="str">
        <v/>
      </c>
      <c r="K89" s="2" t="str">
        <v/>
      </c>
      <c r="L89" s="1" t="str">
        <v>Realizada completa</v>
      </c>
      <c r="M89" s="2">
        <v>46113</v>
      </c>
      <c r="N89" s="2">
        <v>46113</v>
      </c>
      <c r="O89" s="1" t="str">
        <v>Realizada completa</v>
      </c>
      <c r="P89" s="1">
        <v>42</v>
      </c>
      <c r="Q89" s="1" t="str">
        <v>A distancia asistido</v>
      </c>
      <c r="R89" s="1">
        <f t="shared" si="8"/>
        <v>1</v>
      </c>
      <c r="S89" s="1">
        <f t="shared" si="7"/>
        <v>0</v>
      </c>
      <c r="T89" s="1">
        <f t="shared" si="9"/>
        <v>0</v>
      </c>
      <c r="U89" s="1">
        <f t="shared" si="10"/>
        <v>1</v>
      </c>
      <c r="V89" s="1">
        <f t="shared" si="11"/>
        <v>0</v>
      </c>
    </row>
    <row r="90" x14ac:dyDescent="0.25">
      <c r="A90" s="1">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8"/>
        <v>0</v>
      </c>
      <c r="S90" s="1">
        <f t="shared" si="7"/>
        <v>0</v>
      </c>
      <c r="T90" s="1">
        <f t="shared" si="9"/>
        <v>0</v>
      </c>
      <c r="U90" s="1">
        <f t="shared" si="10"/>
        <v>0</v>
      </c>
      <c r="V90" s="1">
        <f t="shared" si="11"/>
        <v>0</v>
      </c>
    </row>
    <row r="91" x14ac:dyDescent="0.25">
      <c r="A91" s="1">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8"/>
        <v>0</v>
      </c>
      <c r="S91" s="1">
        <f t="shared" si="7"/>
        <v>0</v>
      </c>
      <c r="T91" s="1">
        <f t="shared" si="9"/>
        <v>0</v>
      </c>
      <c r="U91" s="1">
        <f t="shared" si="10"/>
        <v>0</v>
      </c>
      <c r="V91" s="1">
        <f t="shared" si="11"/>
        <v>0</v>
      </c>
    </row>
    <row r="92" x14ac:dyDescent="0.25">
      <c r="A92" s="1">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8"/>
        <v>0</v>
      </c>
      <c r="S92" s="1">
        <f t="shared" si="7"/>
        <v>0</v>
      </c>
      <c r="T92" s="1">
        <f t="shared" si="9"/>
        <v>0</v>
      </c>
      <c r="U92" s="1">
        <f t="shared" si="10"/>
        <v>0</v>
      </c>
      <c r="V92" s="1">
        <f t="shared" si="11"/>
        <v>0</v>
      </c>
    </row>
    <row r="93" x14ac:dyDescent="0.25">
      <c r="A93" s="1">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v>46107</v>
      </c>
      <c r="J93" s="2" t="str">
        <v/>
      </c>
      <c r="K93" s="2" t="str">
        <v/>
      </c>
      <c r="L93" s="1" t="str">
        <v>Sin respuesta</v>
      </c>
      <c r="M93" s="2" t="str">
        <v/>
      </c>
      <c r="N93" s="2" t="str">
        <v/>
      </c>
      <c r="O93" s="1" t="str">
        <v>Sin respuesta</v>
      </c>
      <c r="P93" s="1" t="str">
        <v/>
      </c>
      <c r="Q93" s="1" t="str">
        <v/>
      </c>
      <c r="R93" s="1">
        <f t="shared" si="8"/>
        <v>1</v>
      </c>
      <c r="S93" s="1">
        <f t="shared" si="7"/>
        <v>0</v>
      </c>
      <c r="T93" s="1">
        <f t="shared" si="9"/>
        <v>0</v>
      </c>
      <c r="U93" s="1">
        <f t="shared" si="10"/>
        <v>0</v>
      </c>
      <c r="V93" s="1">
        <f t="shared" si="11"/>
        <v>1</v>
      </c>
    </row>
    <row r="94" x14ac:dyDescent="0.25">
      <c r="A94" s="1">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v>46107</v>
      </c>
      <c r="J94" s="2" t="str">
        <v/>
      </c>
      <c r="K94" s="2" t="str">
        <v/>
      </c>
      <c r="L94" s="1" t="str">
        <v>Sin respuesta</v>
      </c>
      <c r="M94" s="2" t="str">
        <v/>
      </c>
      <c r="N94" s="2" t="str">
        <v/>
      </c>
      <c r="O94" s="1" t="str">
        <v>Sin respuesta</v>
      </c>
      <c r="P94" s="1" t="str">
        <v/>
      </c>
      <c r="Q94" s="1" t="str">
        <v/>
      </c>
      <c r="R94" s="1">
        <f t="shared" si="8"/>
        <v>1</v>
      </c>
      <c r="S94" s="1">
        <f t="shared" si="7"/>
        <v>0</v>
      </c>
      <c r="T94" s="1">
        <f t="shared" si="9"/>
        <v>0</v>
      </c>
      <c r="U94" s="1">
        <f t="shared" si="10"/>
        <v>0</v>
      </c>
      <c r="V94" s="1">
        <f t="shared" si="11"/>
        <v>1</v>
      </c>
    </row>
    <row r="95" x14ac:dyDescent="0.25">
      <c r="A95" s="1">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8"/>
        <v>0</v>
      </c>
      <c r="S95" s="1">
        <f t="shared" si="7"/>
        <v>0</v>
      </c>
      <c r="T95" s="1">
        <f t="shared" si="9"/>
        <v>0</v>
      </c>
      <c r="U95" s="1">
        <f t="shared" si="10"/>
        <v>0</v>
      </c>
      <c r="V95" s="1">
        <f t="shared" si="11"/>
        <v>0</v>
      </c>
    </row>
    <row r="96" x14ac:dyDescent="0.25">
      <c r="A96" s="1">
        <v>95</v>
      </c>
      <c r="B96" s="1" t="str">
        <v>Abilio Escobar Quispe</v>
      </c>
      <c r="C96" s="1" t="str">
        <v>Ministerio Público (Fiscalía)</v>
      </c>
      <c r="D96" s="1" t="str">
        <v>Entrevista de actores clave</v>
      </c>
      <c r="E96" s="1" t="str">
        <v>Funcionarios del Sistema</v>
      </c>
      <c r="F96" s="1" t="str">
        <v>Nacional</v>
      </c>
      <c r="G96" s="1" t="str">
        <v>IJM</v>
      </c>
      <c r="H96" s="1" t="str">
        <v>Sí</v>
      </c>
      <c r="I96" s="2">
        <v>46107</v>
      </c>
      <c r="J96" s="2" t="str">
        <v/>
      </c>
      <c r="K96" s="2" t="str">
        <v/>
      </c>
      <c r="L96" s="1" t="str">
        <v>Sin respuesta</v>
      </c>
      <c r="M96" s="2" t="str">
        <v/>
      </c>
      <c r="N96" s="2" t="str">
        <v/>
      </c>
      <c r="O96" s="1" t="str">
        <v>Sin respuesta</v>
      </c>
      <c r="P96" s="1" t="str">
        <v/>
      </c>
      <c r="Q96" s="1" t="str">
        <v/>
      </c>
      <c r="R96" s="1">
        <f t="shared" si="8"/>
        <v>1</v>
      </c>
      <c r="S96" s="1">
        <f t="shared" si="7"/>
        <v>0</v>
      </c>
      <c r="T96" s="1">
        <f t="shared" si="9"/>
        <v>0</v>
      </c>
      <c r="U96" s="1">
        <f t="shared" si="10"/>
        <v>0</v>
      </c>
      <c r="V96" s="1">
        <f t="shared" si="11"/>
        <v>1</v>
      </c>
    </row>
    <row r="97" x14ac:dyDescent="0.25">
      <c r="A97" s="1">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v>46101</v>
      </c>
      <c r="J97" s="2" t="str">
        <v/>
      </c>
      <c r="K97" s="2" t="str">
        <v/>
      </c>
      <c r="L97" s="1" t="str">
        <v/>
      </c>
      <c r="M97" s="2" t="str">
        <v/>
      </c>
      <c r="N97" s="2" t="str">
        <v/>
      </c>
      <c r="O97" s="1" t="str">
        <v/>
      </c>
      <c r="P97" s="1" t="str">
        <v/>
      </c>
      <c r="Q97" s="1" t="str">
        <v/>
      </c>
      <c r="R97" s="1">
        <f t="shared" si="8"/>
        <v>0</v>
      </c>
      <c r="S97" s="1">
        <f t="shared" si="7"/>
        <v>0</v>
      </c>
      <c r="T97" s="1">
        <f t="shared" si="9"/>
        <v>0</v>
      </c>
      <c r="U97" s="1">
        <f t="shared" si="10"/>
        <v>0</v>
      </c>
      <c r="V97" s="1">
        <f t="shared" si="11"/>
        <v>0</v>
      </c>
    </row>
    <row r="98" x14ac:dyDescent="0.25">
      <c r="A98" s="1">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v>46107</v>
      </c>
      <c r="J98" s="2" t="str">
        <v/>
      </c>
      <c r="K98" s="2" t="str">
        <v/>
      </c>
      <c r="L98" s="1" t="str">
        <v>Sin respuesta</v>
      </c>
      <c r="M98" s="2" t="str">
        <v/>
      </c>
      <c r="N98" s="2" t="str">
        <v/>
      </c>
      <c r="O98" s="1" t="str">
        <v>Sin respuesta</v>
      </c>
      <c r="P98" s="1" t="str">
        <v/>
      </c>
      <c r="Q98" s="1" t="str">
        <v/>
      </c>
      <c r="R98" s="1">
        <f t="shared" si="8"/>
        <v>1</v>
      </c>
      <c r="S98" s="1">
        <f t="shared" si="7"/>
        <v>0</v>
      </c>
      <c r="T98" s="1">
        <f t="shared" si="9"/>
        <v>0</v>
      </c>
      <c r="U98" s="1">
        <f t="shared" si="10"/>
        <v>0</v>
      </c>
      <c r="V98" s="1">
        <f t="shared" si="11"/>
        <v>1</v>
      </c>
    </row>
    <row r="99" x14ac:dyDescent="0.25">
      <c r="A99" s="1">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8"/>
        <v>0</v>
      </c>
      <c r="S99" s="1">
        <f t="shared" si="7"/>
        <v>0</v>
      </c>
      <c r="T99" s="1">
        <f t="shared" si="9"/>
        <v>0</v>
      </c>
      <c r="U99" s="1">
        <f t="shared" si="10"/>
        <v>0</v>
      </c>
      <c r="V99" s="1">
        <f t="shared" si="11"/>
        <v>0</v>
      </c>
    </row>
    <row r="100" x14ac:dyDescent="0.25">
      <c r="A100" s="1">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8"/>
        <v>0</v>
      </c>
      <c r="S100" s="1">
        <f t="shared" si="7"/>
        <v>0</v>
      </c>
      <c r="T100" s="1">
        <f t="shared" si="9"/>
        <v>0</v>
      </c>
      <c r="U100" s="1">
        <f t="shared" si="10"/>
        <v>0</v>
      </c>
      <c r="V100" s="1">
        <f t="shared" si="11"/>
        <v>0</v>
      </c>
    </row>
    <row r="101" x14ac:dyDescent="0.25">
      <c r="A101" s="1">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v>46107</v>
      </c>
      <c r="J101" s="2" t="str">
        <v/>
      </c>
      <c r="K101" s="2" t="str">
        <v/>
      </c>
      <c r="L101" s="1" t="str">
        <v>En coordinación</v>
      </c>
      <c r="M101" s="2" t="str">
        <v/>
      </c>
      <c r="N101" s="2" t="str">
        <v/>
      </c>
      <c r="O101" s="1" t="str">
        <v>En coordinación</v>
      </c>
      <c r="P101" s="1" t="str">
        <v/>
      </c>
      <c r="Q101" s="1" t="str">
        <v/>
      </c>
      <c r="R101" s="1">
        <f t="shared" si="8"/>
        <v>1</v>
      </c>
      <c r="S101" s="1">
        <f t="shared" si="7"/>
        <v>1</v>
      </c>
      <c r="T101" s="1">
        <f t="shared" si="9"/>
        <v>0</v>
      </c>
      <c r="U101" s="1">
        <f t="shared" si="10"/>
        <v>0</v>
      </c>
      <c r="V101" s="1">
        <f t="shared" si="11"/>
        <v>0</v>
      </c>
    </row>
    <row r="102" x14ac:dyDescent="0.25">
      <c r="A102" s="1">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8"/>
        <v>0</v>
      </c>
      <c r="S102" s="1">
        <f t="shared" si="7"/>
        <v>0</v>
      </c>
      <c r="T102" s="1">
        <f t="shared" si="9"/>
        <v>0</v>
      </c>
      <c r="U102" s="1">
        <f t="shared" si="10"/>
        <v>0</v>
      </c>
      <c r="V102" s="1">
        <f t="shared" si="11"/>
        <v>0</v>
      </c>
    </row>
    <row r="103" x14ac:dyDescent="0.25">
      <c r="A103" s="1">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8"/>
        <v>0</v>
      </c>
      <c r="S103" s="1">
        <f t="shared" si="7"/>
        <v>0</v>
      </c>
      <c r="T103" s="1">
        <f t="shared" si="9"/>
        <v>0</v>
      </c>
      <c r="U103" s="1">
        <f t="shared" si="10"/>
        <v>0</v>
      </c>
      <c r="V103" s="1">
        <f t="shared" si="11"/>
        <v>0</v>
      </c>
    </row>
    <row r="104" x14ac:dyDescent="0.25">
      <c r="A104" s="1">
        <v>103</v>
      </c>
      <c r="B104" s="1" t="str">
        <v>Victoria  Cuba Sotomayor </v>
      </c>
      <c r="C104" s="1" t="str">
        <v>Ministerio Público (Fiscalía)</v>
      </c>
      <c r="D104" s="1" t="str">
        <v>Entrevista de actores clave</v>
      </c>
      <c r="E104" s="1" t="str">
        <v>Funcionarios del Sistema</v>
      </c>
      <c r="F104" s="1" t="str">
        <v>Distrito Judicial: Ucayali</v>
      </c>
      <c r="G104" s="1" t="str">
        <v>IJM</v>
      </c>
      <c r="H104" s="1" t="str">
        <v>Sí</v>
      </c>
      <c r="I104" s="2">
        <v>46107</v>
      </c>
      <c r="J104" s="2" t="str">
        <v/>
      </c>
      <c r="K104" s="2" t="str">
        <v/>
      </c>
      <c r="L104" s="1" t="str">
        <v>Sin respuesta</v>
      </c>
      <c r="M104" s="2" t="str">
        <v/>
      </c>
      <c r="N104" s="2" t="str">
        <v/>
      </c>
      <c r="O104" s="1" t="str">
        <v>Sin respuesta</v>
      </c>
      <c r="P104" s="1" t="str">
        <v/>
      </c>
      <c r="Q104" s="1" t="str">
        <v/>
      </c>
      <c r="R104" s="1">
        <f t="shared" si="8"/>
        <v>1</v>
      </c>
      <c r="S104" s="1">
        <f t="shared" si="7"/>
        <v>0</v>
      </c>
      <c r="T104" s="1">
        <f t="shared" si="9"/>
        <v>0</v>
      </c>
      <c r="U104" s="1">
        <f t="shared" si="10"/>
        <v>0</v>
      </c>
      <c r="V104" s="1">
        <f t="shared" si="11"/>
        <v>1</v>
      </c>
    </row>
    <row r="105" x14ac:dyDescent="0.25">
      <c r="A105" s="1">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v>46101</v>
      </c>
      <c r="J105" s="2">
        <v>46107</v>
      </c>
      <c r="K105" s="2" t="str">
        <v/>
      </c>
      <c r="L105" s="1" t="str">
        <v>Sin respuesta</v>
      </c>
      <c r="M105" s="2" t="str">
        <v/>
      </c>
      <c r="N105" s="2" t="str">
        <v/>
      </c>
      <c r="O105" s="1" t="str">
        <v>Sin respuesta</v>
      </c>
      <c r="P105" s="1" t="str">
        <v/>
      </c>
      <c r="Q105" s="1" t="str">
        <v/>
      </c>
      <c r="R105" s="1">
        <f t="shared" si="8"/>
        <v>1</v>
      </c>
      <c r="S105" s="1">
        <f t="shared" si="7"/>
        <v>0</v>
      </c>
      <c r="T105" s="1">
        <f t="shared" si="9"/>
        <v>0</v>
      </c>
      <c r="U105" s="1">
        <f t="shared" si="10"/>
        <v>0</v>
      </c>
      <c r="V105" s="1">
        <f t="shared" si="11"/>
        <v>1</v>
      </c>
    </row>
    <row r="106" x14ac:dyDescent="0.25">
      <c r="A106" s="1">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8"/>
        <v>0</v>
      </c>
      <c r="S106" s="1">
        <f t="shared" si="7"/>
        <v>0</v>
      </c>
      <c r="T106" s="1">
        <f t="shared" si="9"/>
        <v>0</v>
      </c>
      <c r="U106" s="1">
        <f t="shared" si="10"/>
        <v>0</v>
      </c>
      <c r="V106" s="1">
        <f t="shared" si="11"/>
        <v>0</v>
      </c>
    </row>
    <row r="107" x14ac:dyDescent="0.25">
      <c r="A107" s="1">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8"/>
        <v>0</v>
      </c>
      <c r="S107" s="1">
        <f t="shared" si="7"/>
        <v>0</v>
      </c>
      <c r="T107" s="1">
        <f t="shared" si="9"/>
        <v>0</v>
      </c>
      <c r="U107" s="1">
        <f t="shared" si="10"/>
        <v>0</v>
      </c>
      <c r="V107" s="1">
        <f t="shared" si="11"/>
        <v>0</v>
      </c>
    </row>
    <row r="108" x14ac:dyDescent="0.25">
      <c r="A108" s="1">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8"/>
        <v>0</v>
      </c>
      <c r="S108" s="1">
        <f t="shared" si="7"/>
        <v>0</v>
      </c>
      <c r="T108" s="1">
        <f t="shared" si="9"/>
        <v>0</v>
      </c>
      <c r="U108" s="1">
        <f t="shared" si="10"/>
        <v>0</v>
      </c>
      <c r="V108" s="1">
        <f t="shared" si="11"/>
        <v>0</v>
      </c>
    </row>
    <row r="109" x14ac:dyDescent="0.25">
      <c r="A109" s="1">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v>46147</v>
      </c>
      <c r="J109" s="2" t="str">
        <v/>
      </c>
      <c r="K109" s="2" t="str">
        <v/>
      </c>
      <c r="L109" s="1" t="str">
        <v>Sin respuesta</v>
      </c>
      <c r="M109" s="2" t="str">
        <v/>
      </c>
      <c r="N109" s="2" t="str">
        <v/>
      </c>
      <c r="O109" s="1" t="str">
        <v>Sin respuesta</v>
      </c>
      <c r="P109" s="1" t="str">
        <v/>
      </c>
      <c r="Q109" s="1" t="str">
        <v/>
      </c>
      <c r="R109" s="1">
        <f t="shared" si="8"/>
        <v>1</v>
      </c>
      <c r="S109" s="1">
        <f t="shared" si="7"/>
        <v>0</v>
      </c>
      <c r="T109" s="1">
        <f t="shared" si="9"/>
        <v>0</v>
      </c>
      <c r="U109" s="1">
        <f t="shared" si="10"/>
        <v>0</v>
      </c>
      <c r="V109" s="1">
        <f t="shared" si="11"/>
        <v>1</v>
      </c>
    </row>
    <row r="110" x14ac:dyDescent="0.25">
      <c r="A110" s="1">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8"/>
        <v>0</v>
      </c>
      <c r="S110" s="1">
        <f t="shared" si="7"/>
        <v>0</v>
      </c>
      <c r="T110" s="1">
        <f t="shared" si="9"/>
        <v>0</v>
      </c>
      <c r="U110" s="1">
        <f t="shared" si="10"/>
        <v>0</v>
      </c>
      <c r="V110" s="1">
        <f t="shared" si="11"/>
        <v>0</v>
      </c>
    </row>
    <row r="111" x14ac:dyDescent="0.25">
      <c r="A111" s="1">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8"/>
        <v>0</v>
      </c>
      <c r="S111" s="1">
        <f t="shared" si="7"/>
        <v>0</v>
      </c>
      <c r="T111" s="1">
        <f t="shared" si="9"/>
        <v>0</v>
      </c>
      <c r="U111" s="1">
        <f t="shared" si="10"/>
        <v>0</v>
      </c>
      <c r="V111" s="1">
        <f t="shared" si="11"/>
        <v>0</v>
      </c>
    </row>
    <row r="112" x14ac:dyDescent="0.25">
      <c r="A112" s="1">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8"/>
        <v>0</v>
      </c>
      <c r="S112" s="1">
        <f t="shared" si="7"/>
        <v>0</v>
      </c>
      <c r="T112" s="1">
        <f t="shared" si="9"/>
        <v>0</v>
      </c>
      <c r="U112" s="1">
        <f t="shared" si="10"/>
        <v>0</v>
      </c>
      <c r="V112" s="1">
        <f t="shared" si="11"/>
        <v>0</v>
      </c>
    </row>
    <row r="113" x14ac:dyDescent="0.25">
      <c r="A113" s="1">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8"/>
        <v>0</v>
      </c>
      <c r="S113" s="1">
        <f t="shared" si="7"/>
        <v>0</v>
      </c>
      <c r="T113" s="1">
        <f t="shared" si="9"/>
        <v>0</v>
      </c>
      <c r="U113" s="1">
        <f t="shared" si="10"/>
        <v>0</v>
      </c>
      <c r="V113" s="1">
        <f t="shared" si="11"/>
        <v>0</v>
      </c>
    </row>
    <row r="114" x14ac:dyDescent="0.25">
      <c r="A114" s="1">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8"/>
        <v>0</v>
      </c>
      <c r="S114" s="1">
        <f t="shared" si="7"/>
        <v>0</v>
      </c>
      <c r="T114" s="1">
        <f t="shared" si="9"/>
        <v>0</v>
      </c>
      <c r="U114" s="1">
        <f t="shared" si="10"/>
        <v>0</v>
      </c>
      <c r="V114" s="1">
        <f t="shared" si="11"/>
        <v>0</v>
      </c>
    </row>
    <row r="115" x14ac:dyDescent="0.25">
      <c r="A115" s="1">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8"/>
        <v>0</v>
      </c>
      <c r="S115" s="1">
        <f t="shared" si="7"/>
        <v>0</v>
      </c>
      <c r="T115" s="1">
        <f t="shared" si="9"/>
        <v>0</v>
      </c>
      <c r="U115" s="1">
        <f t="shared" si="10"/>
        <v>0</v>
      </c>
      <c r="V115" s="1">
        <f t="shared" si="11"/>
        <v>0</v>
      </c>
    </row>
    <row r="116" x14ac:dyDescent="0.25">
      <c r="A116" s="1">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8"/>
        <v>0</v>
      </c>
      <c r="S116" s="1">
        <f t="shared" si="7"/>
        <v>0</v>
      </c>
      <c r="T116" s="1">
        <f t="shared" si="9"/>
        <v>0</v>
      </c>
      <c r="U116" s="1">
        <f t="shared" si="10"/>
        <v>0</v>
      </c>
      <c r="V116" s="1">
        <f t="shared" si="11"/>
        <v>0</v>
      </c>
    </row>
    <row r="117" x14ac:dyDescent="0.25">
      <c r="A117" s="1">
        <v>116</v>
      </c>
      <c r="B117" s="1" t="str">
        <v>Hermogenes Lima Chayña</v>
      </c>
      <c r="C117" s="1" t="str">
        <v>Poder Judicial</v>
      </c>
      <c r="D117" s="1" t="str">
        <v>Entrevista de actores clave</v>
      </c>
      <c r="E117" s="1" t="str">
        <v>Funcionarios del Sistema</v>
      </c>
      <c r="F117" s="1" t="str">
        <v>Nacional</v>
      </c>
      <c r="G117" s="1" t="str">
        <v>IJM</v>
      </c>
      <c r="H117" s="1" t="str">
        <v>No</v>
      </c>
      <c r="I117" s="2" t="str">
        <v/>
      </c>
      <c r="J117" s="2" t="str">
        <v/>
      </c>
      <c r="K117" s="2" t="str">
        <v/>
      </c>
      <c r="L117" s="1" t="str">
        <v/>
      </c>
      <c r="M117" s="2" t="str">
        <v/>
      </c>
      <c r="N117" s="2" t="str">
        <v/>
      </c>
      <c r="O117" s="1" t="str">
        <v/>
      </c>
      <c r="P117" s="1" t="str">
        <v/>
      </c>
      <c r="Q117" s="1" t="str">
        <v/>
      </c>
      <c r="R117" s="1">
        <f t="shared" si="8"/>
        <v>0</v>
      </c>
      <c r="S117" s="1">
        <f t="shared" si="7"/>
        <v>0</v>
      </c>
      <c r="T117" s="1">
        <f t="shared" si="9"/>
        <v>0</v>
      </c>
      <c r="U117" s="1">
        <f t="shared" si="10"/>
        <v>0</v>
      </c>
      <c r="V117" s="1">
        <f t="shared" si="11"/>
        <v>0</v>
      </c>
    </row>
    <row r="118" x14ac:dyDescent="0.25">
      <c r="A118" s="1">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8"/>
        <v>0</v>
      </c>
      <c r="S118" s="1">
        <f t="shared" si="7"/>
        <v>0</v>
      </c>
      <c r="T118" s="1">
        <f t="shared" si="9"/>
        <v>0</v>
      </c>
      <c r="U118" s="1">
        <f t="shared" si="10"/>
        <v>0</v>
      </c>
      <c r="V118" s="1">
        <f t="shared" si="11"/>
        <v>0</v>
      </c>
    </row>
    <row r="119" x14ac:dyDescent="0.25">
      <c r="A119" s="1">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8"/>
        <v>0</v>
      </c>
      <c r="S119" s="1">
        <f t="shared" si="7"/>
        <v>0</v>
      </c>
      <c r="T119" s="1">
        <f t="shared" si="9"/>
        <v>0</v>
      </c>
      <c r="U119" s="1">
        <f t="shared" si="10"/>
        <v>0</v>
      </c>
      <c r="V119" s="1">
        <f t="shared" si="11"/>
        <v>0</v>
      </c>
    </row>
    <row r="120" x14ac:dyDescent="0.25">
      <c r="A120" s="1">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8"/>
        <v>0</v>
      </c>
      <c r="S120" s="1">
        <f t="shared" si="7"/>
        <v>0</v>
      </c>
      <c r="T120" s="1">
        <f t="shared" si="9"/>
        <v>0</v>
      </c>
      <c r="U120" s="1">
        <f t="shared" si="10"/>
        <v>0</v>
      </c>
      <c r="V120" s="1">
        <f t="shared" si="11"/>
        <v>0</v>
      </c>
    </row>
    <row r="121" x14ac:dyDescent="0.25">
      <c r="A121" s="1">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8"/>
        <v>0</v>
      </c>
      <c r="S121" s="1">
        <f t="shared" si="7"/>
        <v>0</v>
      </c>
      <c r="T121" s="1">
        <f t="shared" si="9"/>
        <v>0</v>
      </c>
      <c r="U121" s="1">
        <f t="shared" si="10"/>
        <v>0</v>
      </c>
      <c r="V121" s="1">
        <f t="shared" si="11"/>
        <v>0</v>
      </c>
    </row>
    <row r="122" x14ac:dyDescent="0.25">
      <c r="A122" s="1">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8"/>
        <v>0</v>
      </c>
      <c r="S122" s="1">
        <f t="shared" si="7"/>
        <v>0</v>
      </c>
      <c r="T122" s="1">
        <f t="shared" si="9"/>
        <v>0</v>
      </c>
      <c r="U122" s="1">
        <f t="shared" si="10"/>
        <v>0</v>
      </c>
      <c r="V122" s="1">
        <f t="shared" si="11"/>
        <v>0</v>
      </c>
    </row>
    <row r="123" x14ac:dyDescent="0.25">
      <c r="A123" s="1">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8"/>
        <v>0</v>
      </c>
      <c r="S123" s="1">
        <f t="shared" si="7"/>
        <v>0</v>
      </c>
      <c r="T123" s="1">
        <f t="shared" si="9"/>
        <v>0</v>
      </c>
      <c r="U123" s="1">
        <f t="shared" si="10"/>
        <v>0</v>
      </c>
      <c r="V123" s="1">
        <f t="shared" si="11"/>
        <v>0</v>
      </c>
    </row>
    <row r="124" x14ac:dyDescent="0.25">
      <c r="A124" s="1">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8"/>
        <v>0</v>
      </c>
      <c r="S124" s="1">
        <f t="shared" si="7"/>
        <v>0</v>
      </c>
      <c r="T124" s="1">
        <f t="shared" si="9"/>
        <v>0</v>
      </c>
      <c r="U124" s="1">
        <f t="shared" si="10"/>
        <v>0</v>
      </c>
      <c r="V124" s="1">
        <f t="shared" si="11"/>
        <v>0</v>
      </c>
    </row>
    <row r="125" x14ac:dyDescent="0.25">
      <c r="A125" s="1">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8"/>
        <v>0</v>
      </c>
      <c r="S125" s="1">
        <f t="shared" si="7"/>
        <v>0</v>
      </c>
      <c r="T125" s="1">
        <f t="shared" si="9"/>
        <v>0</v>
      </c>
      <c r="U125" s="1">
        <f t="shared" si="10"/>
        <v>0</v>
      </c>
      <c r="V125" s="1">
        <f t="shared" si="11"/>
        <v>0</v>
      </c>
    </row>
    <row r="126" x14ac:dyDescent="0.25">
      <c r="A126" s="1">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8"/>
        <v>0</v>
      </c>
      <c r="S126" s="1">
        <f t="shared" si="7"/>
        <v>0</v>
      </c>
      <c r="T126" s="1">
        <f t="shared" si="9"/>
        <v>0</v>
      </c>
      <c r="U126" s="1">
        <f t="shared" si="10"/>
        <v>0</v>
      </c>
      <c r="V126" s="1">
        <f t="shared" si="11"/>
        <v>0</v>
      </c>
    </row>
    <row r="127" x14ac:dyDescent="0.25">
      <c r="A127" s="1">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8"/>
        <v>0</v>
      </c>
      <c r="S127" s="1">
        <f t="shared" si="7"/>
        <v>0</v>
      </c>
      <c r="T127" s="1">
        <f t="shared" si="9"/>
        <v>0</v>
      </c>
      <c r="U127" s="1">
        <f t="shared" si="10"/>
        <v>0</v>
      </c>
      <c r="V127" s="1">
        <f t="shared" si="11"/>
        <v>0</v>
      </c>
    </row>
    <row r="128" x14ac:dyDescent="0.25">
      <c r="A128" s="1">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8"/>
        <v>0</v>
      </c>
      <c r="S128" s="1">
        <f t="shared" si="7"/>
        <v>0</v>
      </c>
      <c r="T128" s="1">
        <f t="shared" si="9"/>
        <v>0</v>
      </c>
      <c r="U128" s="1">
        <f t="shared" si="10"/>
        <v>0</v>
      </c>
      <c r="V128" s="1">
        <f t="shared" si="11"/>
        <v>0</v>
      </c>
    </row>
    <row r="129" x14ac:dyDescent="0.25">
      <c r="A129" s="1">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8"/>
        <v>0</v>
      </c>
      <c r="S129" s="1">
        <f t="shared" si="7"/>
        <v>0</v>
      </c>
      <c r="T129" s="1">
        <f t="shared" si="9"/>
        <v>0</v>
      </c>
      <c r="U129" s="1">
        <f t="shared" si="10"/>
        <v>0</v>
      </c>
      <c r="V129" s="1">
        <f t="shared" si="11"/>
        <v>0</v>
      </c>
    </row>
    <row r="130" x14ac:dyDescent="0.25">
      <c r="A130" s="1">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8"/>
        <v>0</v>
      </c>
      <c r="S130" s="1">
        <f t="shared" ref="S130:S193" si="12">IF(L130="En coordinación",1,0)</f>
        <v>0</v>
      </c>
      <c r="T130" s="1">
        <f t="shared" si="9"/>
        <v>0</v>
      </c>
      <c r="U130" s="1">
        <f t="shared" si="10"/>
        <v>0</v>
      </c>
      <c r="V130" s="1">
        <f t="shared" si="11"/>
        <v>0</v>
      </c>
    </row>
    <row r="131" x14ac:dyDescent="0.25">
      <c r="A131" s="1">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3">IF(H131="Sí",1,0)</f>
        <v>0</v>
      </c>
      <c r="S131" s="1">
        <f t="shared" si="12"/>
        <v>0</v>
      </c>
      <c r="T131" s="1">
        <f t="shared" ref="T131:T194" si="14">IF(L131="Aceptada",1,0)</f>
        <v>0</v>
      </c>
      <c r="U131" s="1">
        <f t="shared" ref="U131:U194" si="15">IF(OR(L131="Realizada completa",L131="Realizada incompleta"),1,0)</f>
        <v>0</v>
      </c>
      <c r="V131" s="1">
        <f t="shared" si="11"/>
        <v>0</v>
      </c>
    </row>
    <row r="132" x14ac:dyDescent="0.25">
      <c r="A132" s="1">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3"/>
        <v>0</v>
      </c>
      <c r="S132" s="1">
        <f t="shared" si="12"/>
        <v>0</v>
      </c>
      <c r="T132" s="1">
        <f t="shared" si="14"/>
        <v>0</v>
      </c>
      <c r="U132" s="1">
        <f t="shared" si="15"/>
        <v>0</v>
      </c>
      <c r="V132" s="1">
        <f t="shared" si="11"/>
        <v>0</v>
      </c>
    </row>
    <row r="133" x14ac:dyDescent="0.25">
      <c r="A133" s="1">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3"/>
        <v>0</v>
      </c>
      <c r="S133" s="1">
        <f t="shared" si="12"/>
        <v>0</v>
      </c>
      <c r="T133" s="1">
        <f t="shared" si="14"/>
        <v>0</v>
      </c>
      <c r="U133" s="1">
        <f t="shared" si="15"/>
        <v>0</v>
      </c>
      <c r="V133" s="1">
        <f t="shared" si="11"/>
        <v>0</v>
      </c>
    </row>
    <row r="134" x14ac:dyDescent="0.25">
      <c r="A134" s="1">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3"/>
        <v>0</v>
      </c>
      <c r="S134" s="1">
        <f t="shared" si="12"/>
        <v>0</v>
      </c>
      <c r="T134" s="1">
        <f t="shared" si="14"/>
        <v>0</v>
      </c>
      <c r="U134" s="1">
        <f t="shared" si="15"/>
        <v>0</v>
      </c>
      <c r="V134" s="1">
        <f t="shared" si="11"/>
        <v>0</v>
      </c>
    </row>
    <row r="135" x14ac:dyDescent="0.25">
      <c r="A135" s="1">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3"/>
        <v>0</v>
      </c>
      <c r="S135" s="1">
        <f t="shared" si="12"/>
        <v>0</v>
      </c>
      <c r="T135" s="1">
        <f t="shared" si="14"/>
        <v>0</v>
      </c>
      <c r="U135" s="1">
        <f t="shared" si="15"/>
        <v>0</v>
      </c>
      <c r="V135" s="1">
        <f t="shared" si="11"/>
        <v>0</v>
      </c>
    </row>
    <row r="136" x14ac:dyDescent="0.25">
      <c r="A136" s="1">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3"/>
        <v>0</v>
      </c>
      <c r="S136" s="1">
        <f t="shared" si="12"/>
        <v>0</v>
      </c>
      <c r="T136" s="1">
        <f t="shared" si="14"/>
        <v>0</v>
      </c>
      <c r="U136" s="1">
        <f t="shared" si="15"/>
        <v>0</v>
      </c>
      <c r="V136" s="1">
        <f t="shared" si="11"/>
        <v>0</v>
      </c>
    </row>
    <row r="137" x14ac:dyDescent="0.25">
      <c r="A137" s="1">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3"/>
        <v>0</v>
      </c>
      <c r="S137" s="1">
        <f t="shared" si="12"/>
        <v>0</v>
      </c>
      <c r="T137" s="1">
        <f t="shared" si="14"/>
        <v>0</v>
      </c>
      <c r="U137" s="1">
        <f t="shared" si="15"/>
        <v>0</v>
      </c>
      <c r="V137" s="1">
        <f t="shared" si="11"/>
        <v>0</v>
      </c>
    </row>
    <row r="138" x14ac:dyDescent="0.25">
      <c r="A138" s="1">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3"/>
        <v>0</v>
      </c>
      <c r="S138" s="1">
        <f t="shared" si="12"/>
        <v>0</v>
      </c>
      <c r="T138" s="1">
        <f t="shared" si="14"/>
        <v>0</v>
      </c>
      <c r="U138" s="1">
        <f t="shared" si="15"/>
        <v>0</v>
      </c>
      <c r="V138" s="1">
        <f t="shared" si="11"/>
        <v>0</v>
      </c>
    </row>
    <row r="139" x14ac:dyDescent="0.25">
      <c r="A139" s="1">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3"/>
        <v>0</v>
      </c>
      <c r="S139" s="1">
        <f t="shared" si="12"/>
        <v>0</v>
      </c>
      <c r="T139" s="1">
        <f t="shared" si="14"/>
        <v>0</v>
      </c>
      <c r="U139" s="1">
        <f t="shared" si="15"/>
        <v>0</v>
      </c>
      <c r="V139" s="1">
        <f t="shared" si="11"/>
        <v>0</v>
      </c>
    </row>
    <row r="140" x14ac:dyDescent="0.25">
      <c r="A140" s="1">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3"/>
        <v>0</v>
      </c>
      <c r="S140" s="1">
        <f t="shared" si="12"/>
        <v>0</v>
      </c>
      <c r="T140" s="1">
        <f t="shared" si="14"/>
        <v>0</v>
      </c>
      <c r="U140" s="1">
        <f t="shared" si="15"/>
        <v>0</v>
      </c>
      <c r="V140" s="1">
        <f t="shared" si="11"/>
        <v>0</v>
      </c>
    </row>
    <row r="141" x14ac:dyDescent="0.25">
      <c r="A141" s="1">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v>46107</v>
      </c>
      <c r="J141" s="2">
        <v>46147</v>
      </c>
      <c r="K141" s="2">
        <v>46164</v>
      </c>
      <c r="L141" s="1" t="str">
        <v>Sin respuesta</v>
      </c>
      <c r="M141" s="2" t="str">
        <v/>
      </c>
      <c r="N141" s="2" t="str">
        <v/>
      </c>
      <c r="O141" s="1" t="str">
        <v>Sin respuesta</v>
      </c>
      <c r="P141" s="1" t="str">
        <v/>
      </c>
      <c r="Q141" s="1" t="str">
        <v/>
      </c>
      <c r="R141" s="1">
        <f t="shared" si="13"/>
        <v>1</v>
      </c>
      <c r="S141" s="1">
        <f t="shared" si="12"/>
        <v>0</v>
      </c>
      <c r="T141" s="1">
        <f t="shared" si="14"/>
        <v>0</v>
      </c>
      <c r="U141" s="1">
        <f t="shared" si="15"/>
        <v>0</v>
      </c>
      <c r="V141" s="1">
        <f t="shared" si="11"/>
        <v>1</v>
      </c>
    </row>
    <row r="142" x14ac:dyDescent="0.25">
      <c r="A142" s="1">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3"/>
        <v>0</v>
      </c>
      <c r="S142" s="1">
        <f t="shared" si="12"/>
        <v>0</v>
      </c>
      <c r="T142" s="1">
        <f t="shared" si="14"/>
        <v>0</v>
      </c>
      <c r="U142" s="1">
        <f t="shared" si="15"/>
        <v>0</v>
      </c>
      <c r="V142" s="1">
        <f t="shared" si="11"/>
        <v>0</v>
      </c>
    </row>
    <row r="143" x14ac:dyDescent="0.25">
      <c r="A143" s="1">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3"/>
        <v>0</v>
      </c>
      <c r="S143" s="1">
        <f t="shared" si="12"/>
        <v>0</v>
      </c>
      <c r="T143" s="1">
        <f t="shared" si="14"/>
        <v>0</v>
      </c>
      <c r="U143" s="1">
        <f t="shared" si="15"/>
        <v>0</v>
      </c>
      <c r="V143" s="1">
        <f t="shared" si="11"/>
        <v>0</v>
      </c>
    </row>
    <row r="144" x14ac:dyDescent="0.25">
      <c r="A144" s="1">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v>46087</v>
      </c>
      <c r="J144" s="2">
        <v>46107</v>
      </c>
      <c r="K144" s="2">
        <v>46164</v>
      </c>
      <c r="L144" s="1" t="str">
        <v>Rechazada</v>
      </c>
      <c r="M144" s="2" t="str">
        <v/>
      </c>
      <c r="N144" s="2" t="str">
        <v/>
      </c>
      <c r="O144" s="1" t="str">
        <v>Rechazada</v>
      </c>
      <c r="P144" s="1" t="str">
        <v/>
      </c>
      <c r="Q144" s="1" t="str">
        <v/>
      </c>
      <c r="R144" s="1">
        <f t="shared" si="13"/>
        <v>1</v>
      </c>
      <c r="S144" s="1">
        <f t="shared" si="12"/>
        <v>0</v>
      </c>
      <c r="T144" s="1">
        <f t="shared" si="14"/>
        <v>0</v>
      </c>
      <c r="U144" s="1">
        <f t="shared" si="15"/>
        <v>0</v>
      </c>
      <c r="V144" s="1">
        <f t="shared" si="11"/>
        <v>0</v>
      </c>
    </row>
    <row r="145" x14ac:dyDescent="0.25">
      <c r="A145" s="1">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v>46147</v>
      </c>
      <c r="J145" s="2">
        <v>46164</v>
      </c>
      <c r="K145" s="2" t="str">
        <v/>
      </c>
      <c r="L145" s="1" t="str">
        <v>Sin respuesta</v>
      </c>
      <c r="M145" s="2" t="str">
        <v/>
      </c>
      <c r="N145" s="2" t="str">
        <v/>
      </c>
      <c r="O145" s="1" t="str">
        <v>Sin respuesta</v>
      </c>
      <c r="P145" s="1" t="str">
        <v/>
      </c>
      <c r="Q145" s="1" t="str">
        <v/>
      </c>
      <c r="R145" s="1">
        <f t="shared" si="13"/>
        <v>1</v>
      </c>
      <c r="S145" s="1">
        <f t="shared" si="12"/>
        <v>0</v>
      </c>
      <c r="T145" s="1">
        <f t="shared" si="14"/>
        <v>0</v>
      </c>
      <c r="U145" s="1">
        <f t="shared" si="15"/>
        <v>0</v>
      </c>
      <c r="V145" s="1">
        <f t="shared" si="11"/>
        <v>1</v>
      </c>
    </row>
    <row r="146" x14ac:dyDescent="0.25">
      <c r="A146" s="1">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v>46147</v>
      </c>
      <c r="J146" s="2">
        <v>46164</v>
      </c>
      <c r="K146" s="2" t="str">
        <v/>
      </c>
      <c r="L146" s="1" t="str">
        <v>Sin respuesta</v>
      </c>
      <c r="M146" s="2" t="str">
        <v/>
      </c>
      <c r="N146" s="2" t="str">
        <v/>
      </c>
      <c r="O146" s="1" t="str">
        <v>Sin respuesta</v>
      </c>
      <c r="P146" s="1" t="str">
        <v/>
      </c>
      <c r="Q146" s="1" t="str">
        <v/>
      </c>
      <c r="R146" s="1">
        <f t="shared" si="13"/>
        <v>1</v>
      </c>
      <c r="S146" s="1">
        <f t="shared" si="12"/>
        <v>0</v>
      </c>
      <c r="T146" s="1">
        <f t="shared" si="14"/>
        <v>0</v>
      </c>
      <c r="U146" s="1">
        <f t="shared" si="15"/>
        <v>0</v>
      </c>
      <c r="V146" s="1">
        <f t="shared" si="11"/>
        <v>1</v>
      </c>
    </row>
    <row r="147" x14ac:dyDescent="0.25">
      <c r="A147" s="1">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v>46147</v>
      </c>
      <c r="J147" s="2" t="str">
        <v/>
      </c>
      <c r="K147" s="2" t="str">
        <v/>
      </c>
      <c r="L147" s="1" t="str">
        <v>Sin respuesta</v>
      </c>
      <c r="M147" s="2" t="str">
        <v/>
      </c>
      <c r="N147" s="2" t="str">
        <v/>
      </c>
      <c r="O147" s="1" t="str">
        <v>Sin respuesta</v>
      </c>
      <c r="P147" s="1" t="str">
        <v/>
      </c>
      <c r="Q147" s="1" t="str">
        <v/>
      </c>
      <c r="R147" s="1">
        <f t="shared" si="13"/>
        <v>1</v>
      </c>
      <c r="S147" s="1">
        <f t="shared" si="12"/>
        <v>0</v>
      </c>
      <c r="T147" s="1">
        <f t="shared" si="14"/>
        <v>0</v>
      </c>
      <c r="U147" s="1">
        <f t="shared" si="15"/>
        <v>0</v>
      </c>
      <c r="V147" s="1">
        <f t="shared" si="11"/>
        <v>1</v>
      </c>
    </row>
    <row r="148" x14ac:dyDescent="0.25">
      <c r="A148" s="1">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v>46147</v>
      </c>
      <c r="J148" s="2" t="str">
        <v/>
      </c>
      <c r="K148" s="2" t="str">
        <v/>
      </c>
      <c r="L148" s="1" t="str">
        <v>Sin respuesta</v>
      </c>
      <c r="M148" s="2" t="str">
        <v/>
      </c>
      <c r="N148" s="2" t="str">
        <v/>
      </c>
      <c r="O148" s="1" t="str">
        <v>Sin respuesta</v>
      </c>
      <c r="P148" s="1" t="str">
        <v/>
      </c>
      <c r="Q148" s="1" t="str">
        <v/>
      </c>
      <c r="R148" s="1">
        <f t="shared" si="13"/>
        <v>1</v>
      </c>
      <c r="S148" s="1">
        <f t="shared" si="12"/>
        <v>0</v>
      </c>
      <c r="T148" s="1">
        <f t="shared" si="14"/>
        <v>0</v>
      </c>
      <c r="U148" s="1">
        <f t="shared" si="15"/>
        <v>0</v>
      </c>
      <c r="V148" s="1">
        <f t="shared" si="11"/>
        <v>1</v>
      </c>
    </row>
    <row r="149" x14ac:dyDescent="0.25">
      <c r="A149" s="1">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v>46147</v>
      </c>
      <c r="J149" s="2" t="str">
        <v/>
      </c>
      <c r="K149" s="2" t="str">
        <v/>
      </c>
      <c r="L149" s="1" t="str">
        <v>Sin respuesta</v>
      </c>
      <c r="M149" s="2" t="str">
        <v/>
      </c>
      <c r="N149" s="2" t="str">
        <v/>
      </c>
      <c r="O149" s="1" t="str">
        <v>Sin respuesta</v>
      </c>
      <c r="P149" s="1" t="str">
        <v/>
      </c>
      <c r="Q149" s="1" t="str">
        <v/>
      </c>
      <c r="R149" s="1">
        <f t="shared" si="13"/>
        <v>1</v>
      </c>
      <c r="S149" s="1">
        <f t="shared" si="12"/>
        <v>0</v>
      </c>
      <c r="T149" s="1">
        <f t="shared" si="14"/>
        <v>0</v>
      </c>
      <c r="U149" s="1">
        <f t="shared" si="15"/>
        <v>0</v>
      </c>
      <c r="V149" s="1">
        <f t="shared" si="11"/>
        <v>1</v>
      </c>
    </row>
    <row r="150" x14ac:dyDescent="0.25">
      <c r="A150" s="1">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v>46147</v>
      </c>
      <c r="J150" s="2" t="str">
        <v/>
      </c>
      <c r="K150" s="2" t="str">
        <v/>
      </c>
      <c r="L150" s="1" t="str">
        <v>Sin respuesta</v>
      </c>
      <c r="M150" s="2" t="str">
        <v/>
      </c>
      <c r="N150" s="2" t="str">
        <v/>
      </c>
      <c r="O150" s="1" t="str">
        <v>Sin respuesta</v>
      </c>
      <c r="P150" s="1" t="str">
        <v/>
      </c>
      <c r="Q150" s="1" t="str">
        <v/>
      </c>
      <c r="R150" s="1">
        <f t="shared" si="13"/>
        <v>1</v>
      </c>
      <c r="S150" s="1">
        <f t="shared" si="12"/>
        <v>0</v>
      </c>
      <c r="T150" s="1">
        <f t="shared" si="14"/>
        <v>0</v>
      </c>
      <c r="U150" s="1">
        <f t="shared" si="15"/>
        <v>0</v>
      </c>
      <c r="V150" s="1">
        <f t="shared" si="11"/>
        <v>1</v>
      </c>
    </row>
    <row r="151" x14ac:dyDescent="0.25">
      <c r="A151" s="1">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v>46147</v>
      </c>
      <c r="J151" s="2" t="str">
        <v/>
      </c>
      <c r="K151" s="2" t="str">
        <v/>
      </c>
      <c r="L151" s="1" t="str">
        <v>En coordinación</v>
      </c>
      <c r="M151" s="2" t="str">
        <v/>
      </c>
      <c r="N151" s="2" t="str">
        <v/>
      </c>
      <c r="O151" s="1" t="str">
        <v>En coordinación</v>
      </c>
      <c r="P151" s="1" t="str">
        <v/>
      </c>
      <c r="Q151" s="1" t="str">
        <v/>
      </c>
      <c r="R151" s="1">
        <f t="shared" si="13"/>
        <v>1</v>
      </c>
      <c r="S151" s="1">
        <f t="shared" si="12"/>
        <v>1</v>
      </c>
      <c r="T151" s="1">
        <f t="shared" si="14"/>
        <v>0</v>
      </c>
      <c r="U151" s="1">
        <f t="shared" si="15"/>
        <v>0</v>
      </c>
      <c r="V151" s="1">
        <f t="shared" ref="V151:V214" si="16">IF(L151="Sin respuesta",1,0)</f>
        <v>0</v>
      </c>
    </row>
    <row r="152" x14ac:dyDescent="0.25">
      <c r="A152" s="1">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v>46147</v>
      </c>
      <c r="J152" s="2" t="str">
        <v/>
      </c>
      <c r="K152" s="2" t="str">
        <v/>
      </c>
      <c r="L152" s="1" t="str">
        <v>Rechazada</v>
      </c>
      <c r="M152" s="2" t="str">
        <v/>
      </c>
      <c r="N152" s="2" t="str">
        <v/>
      </c>
      <c r="O152" s="1" t="str">
        <v>Rechazada</v>
      </c>
      <c r="P152" s="1" t="str">
        <v/>
      </c>
      <c r="Q152" s="1" t="str">
        <v/>
      </c>
      <c r="R152" s="1">
        <f t="shared" si="13"/>
        <v>1</v>
      </c>
      <c r="S152" s="1">
        <f t="shared" si="12"/>
        <v>0</v>
      </c>
      <c r="T152" s="1">
        <f t="shared" si="14"/>
        <v>0</v>
      </c>
      <c r="U152" s="1">
        <f t="shared" si="15"/>
        <v>0</v>
      </c>
      <c r="V152" s="1">
        <f t="shared" si="16"/>
        <v>0</v>
      </c>
    </row>
    <row r="153" x14ac:dyDescent="0.25">
      <c r="A153" s="1">
        <v>152</v>
      </c>
      <c r="B153" s="1" t="str">
        <v>Región Policial Arequipa de la PNP </v>
      </c>
      <c r="C153" s="1" t="str">
        <v>Policía Nacional del Perú</v>
      </c>
      <c r="D153" s="1" t="str">
        <v>Entrevista de actores clave</v>
      </c>
      <c r="E153" s="1" t="str">
        <v>Funcionarios del Sistema</v>
      </c>
      <c r="F153" s="1" t="str">
        <v>Nacional</v>
      </c>
      <c r="G153" s="1" t="str">
        <v>IJM</v>
      </c>
      <c r="H153" s="1" t="str">
        <v>Sí</v>
      </c>
      <c r="I153" s="2">
        <v>46147</v>
      </c>
      <c r="J153" s="2" t="str">
        <v/>
      </c>
      <c r="K153" s="2" t="str">
        <v/>
      </c>
      <c r="L153" s="1" t="str">
        <v>Sin respuesta</v>
      </c>
      <c r="M153" s="2" t="str">
        <v/>
      </c>
      <c r="N153" s="2" t="str">
        <v/>
      </c>
      <c r="O153" s="1" t="str">
        <v>Sin respuesta</v>
      </c>
      <c r="P153" s="1" t="str">
        <v/>
      </c>
      <c r="Q153" s="1" t="str">
        <v/>
      </c>
      <c r="R153" s="1">
        <f t="shared" si="13"/>
        <v>1</v>
      </c>
      <c r="S153" s="1">
        <f t="shared" si="12"/>
        <v>0</v>
      </c>
      <c r="T153" s="1">
        <f t="shared" si="14"/>
        <v>0</v>
      </c>
      <c r="U153" s="1">
        <f t="shared" si="15"/>
        <v>0</v>
      </c>
      <c r="V153" s="1">
        <f t="shared" si="16"/>
        <v>1</v>
      </c>
    </row>
    <row r="154" x14ac:dyDescent="0.25">
      <c r="A154" s="1">
        <v>153</v>
      </c>
      <c r="B154" s="1" t="str">
        <v>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v>46147</v>
      </c>
      <c r="J154" s="2" t="str">
        <v/>
      </c>
      <c r="K154" s="2" t="str">
        <v/>
      </c>
      <c r="L154" s="1" t="str">
        <v>Sin respuesta</v>
      </c>
      <c r="M154" s="2" t="str">
        <v/>
      </c>
      <c r="N154" s="2" t="str">
        <v/>
      </c>
      <c r="O154" s="1" t="str">
        <v>Sin respuesta</v>
      </c>
      <c r="P154" s="1" t="str">
        <v/>
      </c>
      <c r="Q154" s="1" t="str">
        <v/>
      </c>
      <c r="R154" s="1">
        <f t="shared" si="13"/>
        <v>1</v>
      </c>
      <c r="S154" s="1">
        <f t="shared" si="12"/>
        <v>0</v>
      </c>
      <c r="T154" s="1">
        <f t="shared" si="14"/>
        <v>0</v>
      </c>
      <c r="U154" s="1">
        <f t="shared" si="15"/>
        <v>0</v>
      </c>
      <c r="V154" s="1">
        <f t="shared" si="16"/>
        <v>1</v>
      </c>
    </row>
    <row r="155" x14ac:dyDescent="0.25">
      <c r="A155" s="1">
        <v>154</v>
      </c>
      <c r="B155" s="1" t="str">
        <v>Región Policial Ucayali de la PNP </v>
      </c>
      <c r="C155" s="1" t="str">
        <v>Policía Nacional del Perú</v>
      </c>
      <c r="D155" s="1" t="str">
        <v>Entrevista de actores clave</v>
      </c>
      <c r="E155" s="1" t="str">
        <v>Funcionarios del Sistema</v>
      </c>
      <c r="F155" s="1" t="str">
        <v>Nacional</v>
      </c>
      <c r="G155" s="1" t="str">
        <v>IJM</v>
      </c>
      <c r="H155" s="1" t="str">
        <v>Sí</v>
      </c>
      <c r="I155" s="2">
        <v>46147</v>
      </c>
      <c r="J155" s="2" t="str">
        <v/>
      </c>
      <c r="K155" s="2" t="str">
        <v/>
      </c>
      <c r="L155" s="1" t="str">
        <v>Sin respuesta</v>
      </c>
      <c r="M155" s="2" t="str">
        <v/>
      </c>
      <c r="N155" s="2" t="str">
        <v/>
      </c>
      <c r="O155" s="1" t="str">
        <v>Sin respuesta</v>
      </c>
      <c r="P155" s="1" t="str">
        <v/>
      </c>
      <c r="Q155" s="1" t="str">
        <v/>
      </c>
      <c r="R155" s="1">
        <f t="shared" si="13"/>
        <v>1</v>
      </c>
      <c r="S155" s="1">
        <f t="shared" si="12"/>
        <v>0</v>
      </c>
      <c r="T155" s="1">
        <f t="shared" si="14"/>
        <v>0</v>
      </c>
      <c r="U155" s="1">
        <f t="shared" si="15"/>
        <v>0</v>
      </c>
      <c r="V155" s="1">
        <f t="shared" si="16"/>
        <v>1</v>
      </c>
    </row>
    <row r="156" x14ac:dyDescent="0.25">
      <c r="A156" s="1">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v>46147</v>
      </c>
      <c r="J156" s="2" t="str">
        <v/>
      </c>
      <c r="K156" s="2" t="str">
        <v/>
      </c>
      <c r="L156" s="1" t="str">
        <v>Realizada completa</v>
      </c>
      <c r="M156" s="2">
        <v>46154</v>
      </c>
      <c r="N156" s="2" t="str">
        <v/>
      </c>
      <c r="O156" s="1" t="str">
        <v>Realizada completa</v>
      </c>
      <c r="P156" s="1" t="str">
        <v/>
      </c>
      <c r="Q156" s="1" t="str">
        <v>A distancia asistido</v>
      </c>
      <c r="R156" s="1">
        <f t="shared" si="13"/>
        <v>1</v>
      </c>
      <c r="S156" s="1">
        <f t="shared" si="12"/>
        <v>0</v>
      </c>
      <c r="T156" s="1">
        <f t="shared" si="14"/>
        <v>0</v>
      </c>
      <c r="U156" s="1">
        <f t="shared" si="15"/>
        <v>1</v>
      </c>
      <c r="V156" s="1">
        <f t="shared" si="16"/>
        <v>0</v>
      </c>
    </row>
    <row r="157" x14ac:dyDescent="0.25">
      <c r="A157" s="1">
        <v>156</v>
      </c>
      <c r="B157" s="1" t="str">
        <v>Región Policial Junín de la PNP </v>
      </c>
      <c r="C157" s="1" t="str">
        <v>Policía Nacional del Perú</v>
      </c>
      <c r="D157" s="1" t="str">
        <v>Entrevista de actores clave</v>
      </c>
      <c r="E157" s="1" t="str">
        <v>Funcionarios del Sistema</v>
      </c>
      <c r="F157" s="1" t="str">
        <v>Nacional</v>
      </c>
      <c r="G157" s="1" t="str">
        <v>IJM</v>
      </c>
      <c r="H157" s="1" t="str">
        <v>Sí</v>
      </c>
      <c r="I157" s="2">
        <v>46147</v>
      </c>
      <c r="J157" s="2" t="str">
        <v/>
      </c>
      <c r="K157" s="2" t="str">
        <v/>
      </c>
      <c r="L157" s="1" t="str">
        <v>Rechazada</v>
      </c>
      <c r="M157" s="2" t="str">
        <v/>
      </c>
      <c r="N157" s="2" t="str">
        <v/>
      </c>
      <c r="O157" s="1" t="str">
        <v>Rechazada</v>
      </c>
      <c r="P157" s="1" t="str">
        <v/>
      </c>
      <c r="Q157" s="1" t="str">
        <v/>
      </c>
      <c r="R157" s="1">
        <f t="shared" si="13"/>
        <v>1</v>
      </c>
      <c r="S157" s="1">
        <f t="shared" si="12"/>
        <v>0</v>
      </c>
      <c r="T157" s="1">
        <f t="shared" si="14"/>
        <v>0</v>
      </c>
      <c r="U157" s="1">
        <f t="shared" si="15"/>
        <v>0</v>
      </c>
      <c r="V157" s="1">
        <f t="shared" si="16"/>
        <v>0</v>
      </c>
    </row>
    <row r="158" x14ac:dyDescent="0.25">
      <c r="A158" s="1">
        <v>157</v>
      </c>
      <c r="B158" s="1" t="str">
        <v>Región Policial Cusco de la PNP </v>
      </c>
      <c r="C158" s="1" t="str">
        <v>Policía Nacional del Perú</v>
      </c>
      <c r="D158" s="1" t="str">
        <v>Entrevista de actores clave</v>
      </c>
      <c r="E158" s="1" t="str">
        <v>Funcionarios del Sistema</v>
      </c>
      <c r="F158" s="1" t="str">
        <v>Nacional</v>
      </c>
      <c r="G158" s="1" t="str">
        <v>IJM</v>
      </c>
      <c r="H158" s="1" t="str">
        <v>Sí</v>
      </c>
      <c r="I158" s="2">
        <v>46147</v>
      </c>
      <c r="J158" s="2" t="str">
        <v/>
      </c>
      <c r="K158" s="2" t="str">
        <v/>
      </c>
      <c r="L158" s="1" t="str">
        <v>Sin respuesta</v>
      </c>
      <c r="M158" s="2" t="str">
        <v/>
      </c>
      <c r="N158" s="2" t="str">
        <v/>
      </c>
      <c r="O158" s="1" t="str">
        <v>Sin respuesta</v>
      </c>
      <c r="P158" s="1" t="str">
        <v/>
      </c>
      <c r="Q158" s="1" t="str">
        <v/>
      </c>
      <c r="R158" s="1">
        <f t="shared" si="13"/>
        <v>1</v>
      </c>
      <c r="S158" s="1">
        <f t="shared" si="12"/>
        <v>0</v>
      </c>
      <c r="T158" s="1">
        <f t="shared" si="14"/>
        <v>0</v>
      </c>
      <c r="U158" s="1">
        <f t="shared" si="15"/>
        <v>0</v>
      </c>
      <c r="V158" s="1">
        <f t="shared" si="16"/>
        <v>1</v>
      </c>
    </row>
    <row r="159" x14ac:dyDescent="0.25">
      <c r="A159" s="1">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v>46147</v>
      </c>
      <c r="J159" s="2" t="str">
        <v/>
      </c>
      <c r="K159" s="2" t="str">
        <v/>
      </c>
      <c r="L159" s="1" t="str">
        <v>Sin respuesta</v>
      </c>
      <c r="M159" s="2" t="str">
        <v/>
      </c>
      <c r="N159" s="2" t="str">
        <v/>
      </c>
      <c r="O159" s="1" t="str">
        <v>Sin respuesta</v>
      </c>
      <c r="P159" s="1" t="str">
        <v/>
      </c>
      <c r="Q159" s="1" t="str">
        <v/>
      </c>
      <c r="R159" s="1">
        <f t="shared" si="13"/>
        <v>1</v>
      </c>
      <c r="S159" s="1">
        <f t="shared" si="12"/>
        <v>0</v>
      </c>
      <c r="T159" s="1">
        <f t="shared" si="14"/>
        <v>0</v>
      </c>
      <c r="U159" s="1">
        <f t="shared" si="15"/>
        <v>0</v>
      </c>
      <c r="V159" s="1">
        <f t="shared" si="16"/>
        <v>1</v>
      </c>
    </row>
    <row r="160" x14ac:dyDescent="0.25">
      <c r="A160" s="1">
        <v>159</v>
      </c>
      <c r="B160" s="1" t="str">
        <v>Región Policial Arequipa de la PNP </v>
      </c>
      <c r="C160" s="1" t="str">
        <v>Policía Nacional del Perú</v>
      </c>
      <c r="D160" s="1" t="str">
        <v>Entrevista de actores clave</v>
      </c>
      <c r="E160" s="1" t="str">
        <v>Funcionarios del Sistema</v>
      </c>
      <c r="F160" s="1" t="str">
        <v>Nacional</v>
      </c>
      <c r="G160" s="1" t="str">
        <v>IJM</v>
      </c>
      <c r="H160" s="1" t="str">
        <v>Sí</v>
      </c>
      <c r="I160" s="2">
        <v>46147</v>
      </c>
      <c r="J160" s="2" t="str">
        <v/>
      </c>
      <c r="K160" s="2" t="str">
        <v/>
      </c>
      <c r="L160" s="1" t="str">
        <v>Sin respuesta</v>
      </c>
      <c r="M160" s="2" t="str">
        <v/>
      </c>
      <c r="N160" s="2" t="str">
        <v/>
      </c>
      <c r="O160" s="1" t="str">
        <v>Sin respuesta</v>
      </c>
      <c r="P160" s="1" t="str">
        <v/>
      </c>
      <c r="Q160" s="1" t="str">
        <v/>
      </c>
      <c r="R160" s="1">
        <f t="shared" si="13"/>
        <v>1</v>
      </c>
      <c r="S160" s="1">
        <f t="shared" si="12"/>
        <v>0</v>
      </c>
      <c r="T160" s="1">
        <f t="shared" si="14"/>
        <v>0</v>
      </c>
      <c r="U160" s="1">
        <f t="shared" si="15"/>
        <v>0</v>
      </c>
      <c r="V160" s="1">
        <f t="shared" si="16"/>
        <v>1</v>
      </c>
    </row>
    <row r="161" x14ac:dyDescent="0.25">
      <c r="A161" s="1">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v>46147</v>
      </c>
      <c r="J161" s="2" t="str">
        <v/>
      </c>
      <c r="K161" s="2" t="str">
        <v/>
      </c>
      <c r="L161" s="1" t="str">
        <v>Sin respuesta</v>
      </c>
      <c r="M161" s="2" t="str">
        <v/>
      </c>
      <c r="N161" s="2" t="str">
        <v/>
      </c>
      <c r="O161" s="1" t="str">
        <v>Sin respuesta</v>
      </c>
      <c r="P161" s="1" t="str">
        <v/>
      </c>
      <c r="Q161" s="1" t="str">
        <v/>
      </c>
      <c r="R161" s="1">
        <f t="shared" si="13"/>
        <v>1</v>
      </c>
      <c r="S161" s="1">
        <f t="shared" si="12"/>
        <v>0</v>
      </c>
      <c r="T161" s="1">
        <f t="shared" si="14"/>
        <v>0</v>
      </c>
      <c r="U161" s="1">
        <f t="shared" si="15"/>
        <v>0</v>
      </c>
      <c r="V161" s="1">
        <f t="shared" si="16"/>
        <v>1</v>
      </c>
    </row>
    <row r="162" x14ac:dyDescent="0.25">
      <c r="A162" s="1">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v>46147</v>
      </c>
      <c r="J162" s="2" t="str">
        <v/>
      </c>
      <c r="K162" s="2" t="str">
        <v/>
      </c>
      <c r="L162" s="1" t="str">
        <v>Rechazada</v>
      </c>
      <c r="M162" s="2" t="str">
        <v/>
      </c>
      <c r="N162" s="2" t="str">
        <v/>
      </c>
      <c r="O162" s="1" t="str">
        <v>Rechazada</v>
      </c>
      <c r="P162" s="1" t="str">
        <v/>
      </c>
      <c r="Q162" s="1" t="str">
        <v/>
      </c>
      <c r="R162" s="1">
        <f t="shared" si="13"/>
        <v>1</v>
      </c>
      <c r="S162" s="1">
        <f t="shared" si="12"/>
        <v>0</v>
      </c>
      <c r="T162" s="1">
        <f t="shared" si="14"/>
        <v>0</v>
      </c>
      <c r="U162" s="1">
        <f t="shared" si="15"/>
        <v>0</v>
      </c>
      <c r="V162" s="1">
        <f t="shared" si="16"/>
        <v>0</v>
      </c>
    </row>
    <row r="163" x14ac:dyDescent="0.25">
      <c r="A163" s="1">
        <v>162</v>
      </c>
      <c r="B163" s="1" t="str">
        <v>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v>46147</v>
      </c>
      <c r="J163" s="2">
        <v>46161</v>
      </c>
      <c r="K163" s="2" t="str">
        <v/>
      </c>
      <c r="L163" s="1" t="str">
        <v>En coordinación</v>
      </c>
      <c r="M163" s="2" t="str">
        <v/>
      </c>
      <c r="N163" s="2" t="str">
        <v/>
      </c>
      <c r="O163" s="1" t="str">
        <v>En coordinación</v>
      </c>
      <c r="P163" s="1" t="str">
        <v/>
      </c>
      <c r="Q163" s="1" t="str">
        <v/>
      </c>
      <c r="R163" s="1">
        <f t="shared" si="13"/>
        <v>1</v>
      </c>
      <c r="S163" s="1">
        <f t="shared" si="12"/>
        <v>1</v>
      </c>
      <c r="T163" s="1">
        <f t="shared" si="14"/>
        <v>0</v>
      </c>
      <c r="U163" s="1">
        <f t="shared" si="15"/>
        <v>0</v>
      </c>
      <c r="V163" s="1">
        <f t="shared" si="16"/>
        <v>0</v>
      </c>
    </row>
    <row r="164" x14ac:dyDescent="0.25">
      <c r="A164" s="1">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v>46147</v>
      </c>
      <c r="J164" s="2" t="str">
        <v/>
      </c>
      <c r="K164" s="2" t="str">
        <v/>
      </c>
      <c r="L164" s="1" t="str">
        <v>Sin respuesta</v>
      </c>
      <c r="M164" s="2" t="str">
        <v/>
      </c>
      <c r="N164" s="2" t="str">
        <v/>
      </c>
      <c r="O164" s="1" t="str">
        <v>Sin respuesta</v>
      </c>
      <c r="P164" s="1" t="str">
        <v/>
      </c>
      <c r="Q164" s="1" t="str">
        <v/>
      </c>
      <c r="R164" s="1">
        <f t="shared" si="13"/>
        <v>1</v>
      </c>
      <c r="S164" s="1">
        <f t="shared" si="12"/>
        <v>0</v>
      </c>
      <c r="T164" s="1">
        <f t="shared" si="14"/>
        <v>0</v>
      </c>
      <c r="U164" s="1">
        <f t="shared" si="15"/>
        <v>0</v>
      </c>
      <c r="V164" s="1">
        <f t="shared" si="16"/>
        <v>1</v>
      </c>
    </row>
    <row r="165" x14ac:dyDescent="0.25">
      <c r="A165" s="1">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3"/>
        <v>0</v>
      </c>
      <c r="S165" s="1">
        <f t="shared" si="12"/>
        <v>0</v>
      </c>
      <c r="T165" s="1">
        <f t="shared" si="14"/>
        <v>0</v>
      </c>
      <c r="U165" s="1">
        <f t="shared" si="15"/>
        <v>0</v>
      </c>
      <c r="V165" s="1">
        <f t="shared" si="16"/>
        <v>0</v>
      </c>
    </row>
    <row r="166" x14ac:dyDescent="0.25">
      <c r="A166" s="1">
        <v>165</v>
      </c>
      <c r="B166" s="1" t="str">
        <v>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3"/>
        <v>0</v>
      </c>
      <c r="S166" s="1">
        <f t="shared" si="12"/>
        <v>0</v>
      </c>
      <c r="T166" s="1">
        <f t="shared" si="14"/>
        <v>0</v>
      </c>
      <c r="U166" s="1">
        <f t="shared" si="15"/>
        <v>0</v>
      </c>
      <c r="V166" s="1">
        <f t="shared" si="16"/>
        <v>0</v>
      </c>
    </row>
    <row r="167" x14ac:dyDescent="0.25">
      <c r="A167" s="1">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3"/>
        <v>0</v>
      </c>
      <c r="S167" s="1">
        <f t="shared" si="12"/>
        <v>0</v>
      </c>
      <c r="T167" s="1">
        <f t="shared" si="14"/>
        <v>0</v>
      </c>
      <c r="U167" s="1">
        <f t="shared" si="15"/>
        <v>0</v>
      </c>
      <c r="V167" s="1">
        <f t="shared" si="16"/>
        <v>0</v>
      </c>
    </row>
    <row r="168" x14ac:dyDescent="0.25">
      <c r="A168" s="1">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3"/>
        <v>0</v>
      </c>
      <c r="S168" s="1">
        <f t="shared" si="12"/>
        <v>0</v>
      </c>
      <c r="T168" s="1">
        <f t="shared" si="14"/>
        <v>0</v>
      </c>
      <c r="U168" s="1">
        <f t="shared" si="15"/>
        <v>0</v>
      </c>
      <c r="V168" s="1">
        <f t="shared" si="16"/>
        <v>0</v>
      </c>
    </row>
    <row r="169" x14ac:dyDescent="0.25">
      <c r="A169" s="1">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3"/>
        <v>0</v>
      </c>
      <c r="S169" s="1">
        <f t="shared" si="12"/>
        <v>0</v>
      </c>
      <c r="T169" s="1">
        <f t="shared" si="14"/>
        <v>0</v>
      </c>
      <c r="U169" s="1">
        <f t="shared" si="15"/>
        <v>0</v>
      </c>
      <c r="V169" s="1">
        <f t="shared" si="16"/>
        <v>0</v>
      </c>
    </row>
    <row r="170" x14ac:dyDescent="0.25">
      <c r="A170" s="1">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3"/>
        <v>0</v>
      </c>
      <c r="S170" s="1">
        <f t="shared" si="12"/>
        <v>0</v>
      </c>
      <c r="T170" s="1">
        <f t="shared" si="14"/>
        <v>0</v>
      </c>
      <c r="U170" s="1">
        <f t="shared" si="15"/>
        <v>0</v>
      </c>
      <c r="V170" s="1">
        <f t="shared" si="16"/>
        <v>0</v>
      </c>
    </row>
    <row r="171" x14ac:dyDescent="0.25">
      <c r="A171" s="1">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3"/>
        <v>0</v>
      </c>
      <c r="S171" s="1">
        <f t="shared" si="12"/>
        <v>0</v>
      </c>
      <c r="T171" s="1">
        <f t="shared" si="14"/>
        <v>0</v>
      </c>
      <c r="U171" s="1">
        <f t="shared" si="15"/>
        <v>0</v>
      </c>
      <c r="V171" s="1">
        <f t="shared" si="16"/>
        <v>0</v>
      </c>
    </row>
    <row r="172" x14ac:dyDescent="0.25">
      <c r="A172" s="1">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3"/>
        <v>0</v>
      </c>
      <c r="S172" s="1">
        <f t="shared" si="12"/>
        <v>0</v>
      </c>
      <c r="T172" s="1">
        <f t="shared" si="14"/>
        <v>0</v>
      </c>
      <c r="U172" s="1">
        <f t="shared" si="15"/>
        <v>0</v>
      </c>
      <c r="V172" s="1">
        <f t="shared" si="16"/>
        <v>0</v>
      </c>
    </row>
    <row r="173" x14ac:dyDescent="0.25">
      <c r="A173" s="1">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3"/>
        <v>0</v>
      </c>
      <c r="S173" s="1">
        <f t="shared" si="12"/>
        <v>0</v>
      </c>
      <c r="T173" s="1">
        <f t="shared" si="14"/>
        <v>0</v>
      </c>
      <c r="U173" s="1">
        <f t="shared" si="15"/>
        <v>0</v>
      </c>
      <c r="V173" s="1">
        <f t="shared" si="16"/>
        <v>0</v>
      </c>
    </row>
    <row r="174" x14ac:dyDescent="0.25">
      <c r="A174" s="1">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3"/>
        <v>0</v>
      </c>
      <c r="S174" s="1">
        <f t="shared" si="12"/>
        <v>0</v>
      </c>
      <c r="T174" s="1">
        <f t="shared" si="14"/>
        <v>0</v>
      </c>
      <c r="U174" s="1">
        <f t="shared" si="15"/>
        <v>0</v>
      </c>
      <c r="V174" s="1">
        <f t="shared" si="16"/>
        <v>0</v>
      </c>
    </row>
    <row r="175" x14ac:dyDescent="0.25">
      <c r="A175" s="1">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3"/>
        <v>0</v>
      </c>
      <c r="S175" s="1">
        <f t="shared" si="12"/>
        <v>0</v>
      </c>
      <c r="T175" s="1">
        <f t="shared" si="14"/>
        <v>0</v>
      </c>
      <c r="U175" s="1">
        <f t="shared" si="15"/>
        <v>0</v>
      </c>
      <c r="V175" s="1">
        <f t="shared" si="16"/>
        <v>0</v>
      </c>
    </row>
    <row r="176" x14ac:dyDescent="0.25">
      <c r="A176" s="1" t="str">
        <v/>
      </c>
      <c r="B176" s="1" t="str">
        <v>Luzmelit Oliva Tapia</v>
      </c>
      <c r="C176" s="1" t="str">
        <v>Policía Nacional del Perú</v>
      </c>
      <c r="D176" s="1" t="str">
        <v>Entrevista de actores clave</v>
      </c>
      <c r="E176" s="1" t="str">
        <v>Funcionarios del Sistema</v>
      </c>
      <c r="F176" s="1" t="str">
        <v>Nacional</v>
      </c>
      <c r="G176" s="1" t="str">
        <v/>
      </c>
      <c r="H176" s="1" t="str">
        <v/>
      </c>
      <c r="I176" s="2" t="str">
        <v/>
      </c>
      <c r="J176" s="2" t="str">
        <v/>
      </c>
      <c r="K176" s="2" t="str">
        <v/>
      </c>
      <c r="L176" s="1" t="str">
        <v>Realizada completa</v>
      </c>
      <c r="M176" s="2" t="str">
        <v/>
      </c>
      <c r="N176" s="2" t="str">
        <v/>
      </c>
      <c r="O176" s="1" t="str">
        <v>Realizada completa</v>
      </c>
      <c r="P176" s="1" t="str">
        <v/>
      </c>
      <c r="Q176" s="1" t="str">
        <v>A distancia asistido</v>
      </c>
      <c r="R176" s="1">
        <f t="shared" si="13"/>
        <v>0</v>
      </c>
      <c r="S176" s="1">
        <f t="shared" si="12"/>
        <v>0</v>
      </c>
      <c r="T176" s="1">
        <f t="shared" si="14"/>
        <v>0</v>
      </c>
      <c r="U176" s="1">
        <f t="shared" si="15"/>
        <v>1</v>
      </c>
      <c r="V176" s="1">
        <f t="shared" si="16"/>
        <v>0</v>
      </c>
    </row>
    <row r="177" x14ac:dyDescent="0.25">
      <c r="A177" s="1">
        <v>175</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3"/>
        <v>0</v>
      </c>
      <c r="S177" s="1">
        <f t="shared" si="12"/>
        <v>0</v>
      </c>
      <c r="T177" s="1">
        <f t="shared" si="14"/>
        <v>0</v>
      </c>
      <c r="U177" s="1">
        <f t="shared" si="15"/>
        <v>0</v>
      </c>
      <c r="V177" s="1">
        <f t="shared" si="16"/>
        <v>0</v>
      </c>
    </row>
    <row r="178" x14ac:dyDescent="0.25">
      <c r="A178" s="1">
        <v>176</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3"/>
        <v>0</v>
      </c>
      <c r="S178" s="1">
        <f t="shared" si="12"/>
        <v>0</v>
      </c>
      <c r="T178" s="1">
        <f t="shared" si="14"/>
        <v>0</v>
      </c>
      <c r="U178" s="1">
        <f t="shared" si="15"/>
        <v>0</v>
      </c>
      <c r="V178" s="1">
        <f t="shared" si="16"/>
        <v>0</v>
      </c>
    </row>
    <row r="179" x14ac:dyDescent="0.25">
      <c r="A179" s="1">
        <v>177</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3"/>
        <v>0</v>
      </c>
      <c r="S179" s="1">
        <f t="shared" si="12"/>
        <v>0</v>
      </c>
      <c r="T179" s="1">
        <f t="shared" si="14"/>
        <v>0</v>
      </c>
      <c r="U179" s="1">
        <f t="shared" si="15"/>
        <v>0</v>
      </c>
      <c r="V179" s="1">
        <f t="shared" si="16"/>
        <v>0</v>
      </c>
    </row>
    <row r="180" x14ac:dyDescent="0.25">
      <c r="A180" s="1">
        <v>178</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3"/>
        <v>0</v>
      </c>
      <c r="S180" s="1">
        <f t="shared" si="12"/>
        <v>0</v>
      </c>
      <c r="T180" s="1">
        <f t="shared" si="14"/>
        <v>0</v>
      </c>
      <c r="U180" s="1">
        <f t="shared" si="15"/>
        <v>0</v>
      </c>
      <c r="V180" s="1">
        <f t="shared" si="16"/>
        <v>0</v>
      </c>
    </row>
    <row r="181" x14ac:dyDescent="0.25">
      <c r="A181" s="1">
        <v>179</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3"/>
        <v>0</v>
      </c>
      <c r="S181" s="1">
        <f t="shared" si="12"/>
        <v>0</v>
      </c>
      <c r="T181" s="1">
        <f t="shared" si="14"/>
        <v>0</v>
      </c>
      <c r="U181" s="1">
        <f t="shared" si="15"/>
        <v>0</v>
      </c>
      <c r="V181" s="1">
        <f t="shared" si="16"/>
        <v>0</v>
      </c>
    </row>
    <row r="182" x14ac:dyDescent="0.25">
      <c r="A182" s="1">
        <v>180</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3"/>
        <v>0</v>
      </c>
      <c r="S182" s="1">
        <f t="shared" si="12"/>
        <v>0</v>
      </c>
      <c r="T182" s="1">
        <f t="shared" si="14"/>
        <v>0</v>
      </c>
      <c r="U182" s="1">
        <f t="shared" si="15"/>
        <v>0</v>
      </c>
      <c r="V182" s="1">
        <f t="shared" si="16"/>
        <v>0</v>
      </c>
    </row>
    <row r="183" x14ac:dyDescent="0.25">
      <c r="A183" s="1">
        <v>181</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3"/>
        <v>0</v>
      </c>
      <c r="S183" s="1">
        <f t="shared" si="12"/>
        <v>0</v>
      </c>
      <c r="T183" s="1">
        <f t="shared" si="14"/>
        <v>0</v>
      </c>
      <c r="U183" s="1">
        <f t="shared" si="15"/>
        <v>0</v>
      </c>
      <c r="V183" s="1">
        <f t="shared" si="16"/>
        <v>0</v>
      </c>
    </row>
    <row r="184" x14ac:dyDescent="0.25">
      <c r="A184" s="1">
        <v>182</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3"/>
        <v>0</v>
      </c>
      <c r="S184" s="1">
        <f t="shared" si="12"/>
        <v>0</v>
      </c>
      <c r="T184" s="1">
        <f t="shared" si="14"/>
        <v>0</v>
      </c>
      <c r="U184" s="1">
        <f t="shared" si="15"/>
        <v>0</v>
      </c>
      <c r="V184" s="1">
        <f t="shared" si="16"/>
        <v>0</v>
      </c>
    </row>
    <row r="185" x14ac:dyDescent="0.25">
      <c r="A185" s="1">
        <v>183</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3"/>
        <v>0</v>
      </c>
      <c r="S185" s="1">
        <f t="shared" si="12"/>
        <v>0</v>
      </c>
      <c r="T185" s="1">
        <f t="shared" si="14"/>
        <v>0</v>
      </c>
      <c r="U185" s="1">
        <f t="shared" si="15"/>
        <v>0</v>
      </c>
      <c r="V185" s="1">
        <f t="shared" si="16"/>
        <v>0</v>
      </c>
    </row>
    <row r="186" x14ac:dyDescent="0.25">
      <c r="A186" s="1">
        <v>184</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v>46147</v>
      </c>
      <c r="J186" s="2">
        <v>46164</v>
      </c>
      <c r="K186" s="2" t="str">
        <v/>
      </c>
      <c r="L186" s="1" t="str">
        <v>Sin respuesta</v>
      </c>
      <c r="M186" s="2" t="str">
        <v/>
      </c>
      <c r="N186" s="2" t="str">
        <v/>
      </c>
      <c r="O186" s="1" t="str">
        <v>Sin respuesta</v>
      </c>
      <c r="P186" s="1" t="str">
        <v/>
      </c>
      <c r="Q186" s="1" t="str">
        <v/>
      </c>
      <c r="R186" s="1">
        <f t="shared" si="13"/>
        <v>1</v>
      </c>
      <c r="S186" s="1">
        <f t="shared" si="12"/>
        <v>0</v>
      </c>
      <c r="T186" s="1">
        <f t="shared" si="14"/>
        <v>0</v>
      </c>
      <c r="U186" s="1">
        <f t="shared" si="15"/>
        <v>0</v>
      </c>
      <c r="V186" s="1">
        <f t="shared" si="16"/>
        <v>1</v>
      </c>
    </row>
    <row r="187" x14ac:dyDescent="0.25">
      <c r="A187" s="1">
        <v>185</v>
      </c>
      <c r="B187" s="1" t="str">
        <v> Jose Miguel Chavez Montero</v>
      </c>
      <c r="C187" s="1" t="str">
        <v>Centros de Emergencia Mujer</v>
      </c>
      <c r="D187" s="1" t="str">
        <v>Entrevista de actores clave</v>
      </c>
      <c r="E187" s="1" t="str">
        <v>Funcionarios del Sistema</v>
      </c>
      <c r="F187" s="1" t="str">
        <v>Nacional</v>
      </c>
      <c r="G187" s="1" t="str">
        <v>IJM</v>
      </c>
      <c r="H187" s="1" t="str">
        <v>Sí</v>
      </c>
      <c r="I187" s="2">
        <v>46147</v>
      </c>
      <c r="J187" s="2" t="str">
        <v/>
      </c>
      <c r="K187" s="2" t="str">
        <v/>
      </c>
      <c r="L187" s="1" t="str">
        <v>Sin respuesta</v>
      </c>
      <c r="M187" s="2" t="str">
        <v/>
      </c>
      <c r="N187" s="2" t="str">
        <v/>
      </c>
      <c r="O187" s="1" t="str">
        <v>Sin respuesta</v>
      </c>
      <c r="P187" s="1" t="str">
        <v/>
      </c>
      <c r="Q187" s="1" t="str">
        <v/>
      </c>
      <c r="R187" s="1">
        <f t="shared" si="13"/>
        <v>1</v>
      </c>
      <c r="S187" s="1">
        <f t="shared" si="12"/>
        <v>0</v>
      </c>
      <c r="T187" s="1">
        <f t="shared" si="14"/>
        <v>0</v>
      </c>
      <c r="U187" s="1">
        <f t="shared" si="15"/>
        <v>0</v>
      </c>
      <c r="V187" s="1">
        <f t="shared" si="16"/>
        <v>1</v>
      </c>
    </row>
    <row r="188" x14ac:dyDescent="0.25">
      <c r="A188" s="1">
        <v>186</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v>46147</v>
      </c>
      <c r="J188" s="2" t="str">
        <v/>
      </c>
      <c r="K188" s="2" t="str">
        <v/>
      </c>
      <c r="L188" s="1" t="str">
        <v>Sin respuesta</v>
      </c>
      <c r="M188" s="2" t="str">
        <v/>
      </c>
      <c r="N188" s="2" t="str">
        <v/>
      </c>
      <c r="O188" s="1" t="str">
        <v>Sin respuesta</v>
      </c>
      <c r="P188" s="1" t="str">
        <v/>
      </c>
      <c r="Q188" s="1" t="str">
        <v/>
      </c>
      <c r="R188" s="1">
        <f t="shared" si="13"/>
        <v>1</v>
      </c>
      <c r="S188" s="1">
        <f t="shared" si="12"/>
        <v>0</v>
      </c>
      <c r="T188" s="1">
        <f t="shared" si="14"/>
        <v>0</v>
      </c>
      <c r="U188" s="1">
        <f t="shared" si="15"/>
        <v>0</v>
      </c>
      <c r="V188" s="1">
        <f t="shared" si="16"/>
        <v>1</v>
      </c>
    </row>
    <row r="189" x14ac:dyDescent="0.25">
      <c r="A189" s="1">
        <v>187</v>
      </c>
      <c r="B189" s="1" t="str">
        <v>Felipe Vara Marquez</v>
      </c>
      <c r="C189" s="1" t="str">
        <v>Centros de Emergencia Mujer</v>
      </c>
      <c r="D189" s="1" t="str">
        <v>Entrevista de actores clave</v>
      </c>
      <c r="E189" s="1" t="str">
        <v>Funcionarios del Sistema</v>
      </c>
      <c r="F189" s="1" t="str">
        <v>Nacional</v>
      </c>
      <c r="G189" s="1" t="str">
        <v>IJM</v>
      </c>
      <c r="H189" s="1" t="str">
        <v>Sí</v>
      </c>
      <c r="I189" s="2">
        <v>46147</v>
      </c>
      <c r="J189" s="2" t="str">
        <v/>
      </c>
      <c r="K189" s="2" t="str">
        <v/>
      </c>
      <c r="L189" s="1" t="str">
        <v>Sin respuesta</v>
      </c>
      <c r="M189" s="2" t="str">
        <v/>
      </c>
      <c r="N189" s="2" t="str">
        <v/>
      </c>
      <c r="O189" s="1" t="str">
        <v>Sin respuesta</v>
      </c>
      <c r="P189" s="1" t="str">
        <v/>
      </c>
      <c r="Q189" s="1" t="str">
        <v/>
      </c>
      <c r="R189" s="1">
        <f t="shared" si="13"/>
        <v>1</v>
      </c>
      <c r="S189" s="1">
        <f t="shared" si="12"/>
        <v>0</v>
      </c>
      <c r="T189" s="1">
        <f t="shared" si="14"/>
        <v>0</v>
      </c>
      <c r="U189" s="1">
        <f t="shared" si="15"/>
        <v>0</v>
      </c>
      <c r="V189" s="1">
        <f t="shared" si="16"/>
        <v>1</v>
      </c>
    </row>
    <row r="190" x14ac:dyDescent="0.25">
      <c r="A190" s="1">
        <v>188</v>
      </c>
      <c r="B190" s="1" t="str">
        <v>Yrma Eloisa Pezo Diaz</v>
      </c>
      <c r="C190" s="1" t="str">
        <v>Centros de Emergencia Mujer</v>
      </c>
      <c r="D190" s="1" t="str">
        <v>Entrevista de actores clave</v>
      </c>
      <c r="E190" s="1" t="str">
        <v>Funcionarios del Sistema</v>
      </c>
      <c r="F190" s="1" t="str">
        <v>Nacional</v>
      </c>
      <c r="G190" s="1" t="str">
        <v>IJM</v>
      </c>
      <c r="H190" s="1" t="str">
        <v>Sí</v>
      </c>
      <c r="I190" s="2">
        <v>46147</v>
      </c>
      <c r="J190" s="2" t="str">
        <v/>
      </c>
      <c r="K190" s="2" t="str">
        <v/>
      </c>
      <c r="L190" s="1" t="str">
        <v>Sin respuesta</v>
      </c>
      <c r="M190" s="2" t="str">
        <v/>
      </c>
      <c r="N190" s="2" t="str">
        <v/>
      </c>
      <c r="O190" s="1" t="str">
        <v>Sin respuesta</v>
      </c>
      <c r="P190" s="1" t="str">
        <v/>
      </c>
      <c r="Q190" s="1" t="str">
        <v/>
      </c>
      <c r="R190" s="1">
        <f t="shared" si="13"/>
        <v>1</v>
      </c>
      <c r="S190" s="1">
        <f t="shared" si="12"/>
        <v>0</v>
      </c>
      <c r="T190" s="1">
        <f t="shared" si="14"/>
        <v>0</v>
      </c>
      <c r="U190" s="1">
        <f t="shared" si="15"/>
        <v>0</v>
      </c>
      <c r="V190" s="1">
        <f t="shared" si="16"/>
        <v>1</v>
      </c>
    </row>
    <row r="191" x14ac:dyDescent="0.25">
      <c r="A191" s="1">
        <v>189</v>
      </c>
      <c r="B191" s="1" t="str">
        <v>Mary Isabel Zavala Julca</v>
      </c>
      <c r="C191" s="1" t="str">
        <v>Centros de Emergencia Mujer</v>
      </c>
      <c r="D191" s="1" t="str">
        <v>Entrevista de actores clave</v>
      </c>
      <c r="E191" s="1" t="str">
        <v>Funcionarios del Sistema</v>
      </c>
      <c r="F191" s="1" t="str">
        <v>Nacional</v>
      </c>
      <c r="G191" s="1" t="str">
        <v>IJM</v>
      </c>
      <c r="H191" s="1" t="str">
        <v>Sí</v>
      </c>
      <c r="I191" s="2">
        <v>46147</v>
      </c>
      <c r="J191" s="2" t="str">
        <v/>
      </c>
      <c r="K191" s="2" t="str">
        <v/>
      </c>
      <c r="L191" s="1" t="str">
        <v>Sin respuesta</v>
      </c>
      <c r="M191" s="2" t="str">
        <v/>
      </c>
      <c r="N191" s="2" t="str">
        <v/>
      </c>
      <c r="O191" s="1" t="str">
        <v>Sin respuesta</v>
      </c>
      <c r="P191" s="1" t="str">
        <v/>
      </c>
      <c r="Q191" s="1" t="str">
        <v/>
      </c>
      <c r="R191" s="1">
        <f t="shared" si="13"/>
        <v>1</v>
      </c>
      <c r="S191" s="1">
        <f t="shared" si="12"/>
        <v>0</v>
      </c>
      <c r="T191" s="1">
        <f t="shared" si="14"/>
        <v>0</v>
      </c>
      <c r="U191" s="1">
        <f t="shared" si="15"/>
        <v>0</v>
      </c>
      <c r="V191" s="1">
        <f t="shared" si="16"/>
        <v>1</v>
      </c>
    </row>
    <row r="192" x14ac:dyDescent="0.25">
      <c r="A192" s="1">
        <v>190</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v>46147</v>
      </c>
      <c r="J192" s="2" t="str">
        <v/>
      </c>
      <c r="K192" s="2" t="str">
        <v/>
      </c>
      <c r="L192" s="1" t="str">
        <v>Sin respuesta</v>
      </c>
      <c r="M192" s="2" t="str">
        <v/>
      </c>
      <c r="N192" s="2" t="str">
        <v/>
      </c>
      <c r="O192" s="1" t="str">
        <v>Sin respuesta</v>
      </c>
      <c r="P192" s="1" t="str">
        <v/>
      </c>
      <c r="Q192" s="1" t="str">
        <v/>
      </c>
      <c r="R192" s="1">
        <f t="shared" si="13"/>
        <v>1</v>
      </c>
      <c r="S192" s="1">
        <f t="shared" si="12"/>
        <v>0</v>
      </c>
      <c r="T192" s="1">
        <f t="shared" si="14"/>
        <v>0</v>
      </c>
      <c r="U192" s="1">
        <f t="shared" si="15"/>
        <v>0</v>
      </c>
      <c r="V192" s="1">
        <f t="shared" si="16"/>
        <v>1</v>
      </c>
    </row>
    <row r="193" x14ac:dyDescent="0.25">
      <c r="A193" s="1">
        <v>191</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v>46147</v>
      </c>
      <c r="J193" s="2" t="str">
        <v/>
      </c>
      <c r="K193" s="2" t="str">
        <v/>
      </c>
      <c r="L193" s="1" t="str">
        <v>Sin respuesta</v>
      </c>
      <c r="M193" s="2" t="str">
        <v/>
      </c>
      <c r="N193" s="2" t="str">
        <v/>
      </c>
      <c r="O193" s="1" t="str">
        <v>Sin respuesta</v>
      </c>
      <c r="P193" s="1" t="str">
        <v/>
      </c>
      <c r="Q193" s="1" t="str">
        <v/>
      </c>
      <c r="R193" s="1">
        <f t="shared" si="13"/>
        <v>1</v>
      </c>
      <c r="S193" s="1">
        <f t="shared" si="12"/>
        <v>0</v>
      </c>
      <c r="T193" s="1">
        <f t="shared" si="14"/>
        <v>0</v>
      </c>
      <c r="U193" s="1">
        <f t="shared" si="15"/>
        <v>0</v>
      </c>
      <c r="V193" s="1">
        <f t="shared" si="16"/>
        <v>1</v>
      </c>
    </row>
    <row r="194" x14ac:dyDescent="0.25">
      <c r="A194" s="1">
        <v>192</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3"/>
        <v>0</v>
      </c>
      <c r="S194" s="1">
        <f t="shared" ref="S194:S257" si="17">IF(L194="En coordinación",1,0)</f>
        <v>0</v>
      </c>
      <c r="T194" s="1">
        <f t="shared" si="14"/>
        <v>0</v>
      </c>
      <c r="U194" s="1">
        <f t="shared" si="15"/>
        <v>0</v>
      </c>
      <c r="V194" s="1">
        <f t="shared" si="16"/>
        <v>0</v>
      </c>
    </row>
    <row r="195" x14ac:dyDescent="0.25">
      <c r="A195" s="1">
        <v>193</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8">IF(H195="Sí",1,0)</f>
        <v>0</v>
      </c>
      <c r="S195" s="1">
        <f t="shared" si="17"/>
        <v>0</v>
      </c>
      <c r="T195" s="1">
        <f t="shared" ref="T195:T258" si="19">IF(L195="Aceptada",1,0)</f>
        <v>0</v>
      </c>
      <c r="U195" s="1">
        <f t="shared" ref="U195:U258" si="20">IF(OR(L195="Realizada completa",L195="Realizada incompleta"),1,0)</f>
        <v>0</v>
      </c>
      <c r="V195" s="1">
        <f t="shared" si="16"/>
        <v>0</v>
      </c>
    </row>
    <row r="196" x14ac:dyDescent="0.25">
      <c r="A196" s="1">
        <v>194</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8"/>
        <v>0</v>
      </c>
      <c r="S196" s="1">
        <f t="shared" si="17"/>
        <v>0</v>
      </c>
      <c r="T196" s="1">
        <f t="shared" si="19"/>
        <v>0</v>
      </c>
      <c r="U196" s="1">
        <f t="shared" si="20"/>
        <v>0</v>
      </c>
      <c r="V196" s="1">
        <f t="shared" si="16"/>
        <v>0</v>
      </c>
    </row>
    <row r="197" x14ac:dyDescent="0.25">
      <c r="A197" s="1">
        <v>195</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8"/>
        <v>0</v>
      </c>
      <c r="S197" s="1">
        <f t="shared" si="17"/>
        <v>0</v>
      </c>
      <c r="T197" s="1">
        <f t="shared" si="19"/>
        <v>0</v>
      </c>
      <c r="U197" s="1">
        <f t="shared" si="20"/>
        <v>0</v>
      </c>
      <c r="V197" s="1">
        <f t="shared" si="16"/>
        <v>0</v>
      </c>
    </row>
    <row r="198" x14ac:dyDescent="0.25">
      <c r="A198" s="1">
        <v>196</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8"/>
        <v>0</v>
      </c>
      <c r="S198" s="1">
        <f t="shared" si="17"/>
        <v>0</v>
      </c>
      <c r="T198" s="1">
        <f t="shared" si="19"/>
        <v>0</v>
      </c>
      <c r="U198" s="1">
        <f t="shared" si="20"/>
        <v>0</v>
      </c>
      <c r="V198" s="1">
        <f t="shared" si="16"/>
        <v>0</v>
      </c>
    </row>
    <row r="199" x14ac:dyDescent="0.25">
      <c r="A199" s="1">
        <v>197</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8"/>
        <v>0</v>
      </c>
      <c r="S199" s="1">
        <f t="shared" si="17"/>
        <v>0</v>
      </c>
      <c r="T199" s="1">
        <f t="shared" si="19"/>
        <v>0</v>
      </c>
      <c r="U199" s="1">
        <f t="shared" si="20"/>
        <v>0</v>
      </c>
      <c r="V199" s="1">
        <f t="shared" si="16"/>
        <v>0</v>
      </c>
    </row>
    <row r="200" x14ac:dyDescent="0.25">
      <c r="A200" s="1">
        <v>198</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8"/>
        <v>0</v>
      </c>
      <c r="S200" s="1">
        <f t="shared" si="17"/>
        <v>0</v>
      </c>
      <c r="T200" s="1">
        <f t="shared" si="19"/>
        <v>0</v>
      </c>
      <c r="U200" s="1">
        <f t="shared" si="20"/>
        <v>0</v>
      </c>
      <c r="V200" s="1">
        <f t="shared" si="16"/>
        <v>0</v>
      </c>
    </row>
    <row r="201" x14ac:dyDescent="0.25">
      <c r="A201" s="1">
        <v>199</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8"/>
        <v>0</v>
      </c>
      <c r="S201" s="1">
        <f t="shared" si="17"/>
        <v>0</v>
      </c>
      <c r="T201" s="1">
        <f t="shared" si="19"/>
        <v>0</v>
      </c>
      <c r="U201" s="1">
        <f t="shared" si="20"/>
        <v>0</v>
      </c>
      <c r="V201" s="1">
        <f t="shared" si="16"/>
        <v>0</v>
      </c>
    </row>
    <row r="202" x14ac:dyDescent="0.25">
      <c r="A202" s="1">
        <v>200</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8"/>
        <v>0</v>
      </c>
      <c r="S202" s="1">
        <f t="shared" si="17"/>
        <v>0</v>
      </c>
      <c r="T202" s="1">
        <f t="shared" si="19"/>
        <v>0</v>
      </c>
      <c r="U202" s="1">
        <f t="shared" si="20"/>
        <v>0</v>
      </c>
      <c r="V202" s="1">
        <f t="shared" si="16"/>
        <v>0</v>
      </c>
    </row>
    <row r="203" x14ac:dyDescent="0.25">
      <c r="A203" s="1">
        <v>201</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8"/>
        <v>0</v>
      </c>
      <c r="S203" s="1">
        <f t="shared" si="17"/>
        <v>0</v>
      </c>
      <c r="T203" s="1">
        <f t="shared" si="19"/>
        <v>0</v>
      </c>
      <c r="U203" s="1">
        <f t="shared" si="20"/>
        <v>0</v>
      </c>
      <c r="V203" s="1">
        <f t="shared" si="16"/>
        <v>0</v>
      </c>
    </row>
    <row r="204" x14ac:dyDescent="0.25">
      <c r="A204" s="1">
        <v>202</v>
      </c>
      <c r="B204" s="1" t="str">
        <v>Melchora Milagros Ríos García</v>
      </c>
      <c r="C204" s="1" t="str">
        <v>Aurora</v>
      </c>
      <c r="D204" s="1" t="str">
        <v>Entrevista de actores clave</v>
      </c>
      <c r="E204" s="1" t="str">
        <v>Funcionarios del Sistema</v>
      </c>
      <c r="F204" s="1" t="str">
        <v>Nacional</v>
      </c>
      <c r="G204" s="1" t="str">
        <v>IJM</v>
      </c>
      <c r="H204" s="1" t="str">
        <v>Sí</v>
      </c>
      <c r="I204" s="2">
        <v>46147</v>
      </c>
      <c r="J204" s="2" t="str">
        <v/>
      </c>
      <c r="K204" s="2" t="str">
        <v/>
      </c>
      <c r="L204" s="1" t="str">
        <v>Sin respuesta</v>
      </c>
      <c r="M204" s="2" t="str">
        <v/>
      </c>
      <c r="N204" s="2" t="str">
        <v/>
      </c>
      <c r="O204" s="1" t="str">
        <v>Sin respuesta</v>
      </c>
      <c r="P204" s="1" t="str">
        <v/>
      </c>
      <c r="Q204" s="1" t="str">
        <v/>
      </c>
      <c r="R204" s="1">
        <f t="shared" si="18"/>
        <v>1</v>
      </c>
      <c r="S204" s="1">
        <f t="shared" si="17"/>
        <v>0</v>
      </c>
      <c r="T204" s="1">
        <f t="shared" si="19"/>
        <v>0</v>
      </c>
      <c r="U204" s="1">
        <f t="shared" si="20"/>
        <v>0</v>
      </c>
      <c r="V204" s="1">
        <f t="shared" si="16"/>
        <v>1</v>
      </c>
    </row>
    <row r="205" x14ac:dyDescent="0.25">
      <c r="A205" s="1">
        <v>203</v>
      </c>
      <c r="B205" s="1" t="str">
        <v>Laura Agama Fernández</v>
      </c>
      <c r="C205" s="1" t="str">
        <v>Aurora</v>
      </c>
      <c r="D205" s="1" t="str">
        <v>Entrevista de actores clave</v>
      </c>
      <c r="E205" s="1" t="str">
        <v>Funcionarios del Sistema</v>
      </c>
      <c r="F205" s="1" t="str">
        <v>Distrito Judicial: Lima Norte</v>
      </c>
      <c r="G205" s="1" t="str">
        <v>IJM</v>
      </c>
      <c r="H205" s="1" t="str">
        <v>Sí</v>
      </c>
      <c r="I205" s="2">
        <v>46147</v>
      </c>
      <c r="J205" s="2" t="str">
        <v/>
      </c>
      <c r="K205" s="2" t="str">
        <v/>
      </c>
      <c r="L205" s="1" t="str">
        <v>Sin respuesta</v>
      </c>
      <c r="M205" s="2" t="str">
        <v/>
      </c>
      <c r="N205" s="2" t="str">
        <v/>
      </c>
      <c r="O205" s="1" t="str">
        <v>Sin respuesta</v>
      </c>
      <c r="P205" s="1" t="str">
        <v/>
      </c>
      <c r="Q205" s="1" t="str">
        <v/>
      </c>
      <c r="R205" s="1">
        <f t="shared" si="18"/>
        <v>1</v>
      </c>
      <c r="S205" s="1">
        <f t="shared" si="17"/>
        <v>0</v>
      </c>
      <c r="T205" s="1">
        <f t="shared" si="19"/>
        <v>0</v>
      </c>
      <c r="U205" s="1">
        <f t="shared" si="20"/>
        <v>0</v>
      </c>
      <c r="V205" s="1">
        <f t="shared" si="16"/>
        <v>1</v>
      </c>
    </row>
    <row r="206" x14ac:dyDescent="0.25">
      <c r="A206" s="1">
        <v>204</v>
      </c>
      <c r="B206" s="1" t="str">
        <v>Gerardo Alfonso Marín Lopez</v>
      </c>
      <c r="C206" s="1" t="str">
        <v>Aurora</v>
      </c>
      <c r="D206" s="1" t="str">
        <v>Entrevista de actores clave</v>
      </c>
      <c r="E206" s="1" t="str">
        <v>Funcionarios del Sistema</v>
      </c>
      <c r="F206" s="1" t="str">
        <v>Nacional</v>
      </c>
      <c r="G206" s="1" t="str">
        <v>IJM</v>
      </c>
      <c r="H206" s="1" t="str">
        <v>Sí</v>
      </c>
      <c r="I206" s="2">
        <v>46147</v>
      </c>
      <c r="J206" s="2" t="str">
        <v/>
      </c>
      <c r="K206" s="2" t="str">
        <v/>
      </c>
      <c r="L206" s="1" t="str">
        <v>Rechazada</v>
      </c>
      <c r="M206" s="2" t="str">
        <v/>
      </c>
      <c r="N206" s="2" t="str">
        <v/>
      </c>
      <c r="O206" s="1" t="str">
        <v>Rechazada</v>
      </c>
      <c r="P206" s="1" t="str">
        <v/>
      </c>
      <c r="Q206" s="1" t="str">
        <v/>
      </c>
      <c r="R206" s="1">
        <f t="shared" si="18"/>
        <v>1</v>
      </c>
      <c r="S206" s="1">
        <f t="shared" si="17"/>
        <v>0</v>
      </c>
      <c r="T206" s="1">
        <f t="shared" si="19"/>
        <v>0</v>
      </c>
      <c r="U206" s="1">
        <f t="shared" si="20"/>
        <v>0</v>
      </c>
      <c r="V206" s="1">
        <f t="shared" si="16"/>
        <v>0</v>
      </c>
    </row>
    <row r="207" x14ac:dyDescent="0.25">
      <c r="A207" s="1">
        <v>205</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v>46107</v>
      </c>
      <c r="J207" s="2" t="str">
        <v/>
      </c>
      <c r="K207" s="2" t="str">
        <v/>
      </c>
      <c r="L207" s="1" t="str">
        <v>Aceptada</v>
      </c>
      <c r="M207" s="2" t="str">
        <v/>
      </c>
      <c r="N207" s="2" t="str">
        <v/>
      </c>
      <c r="O207" s="1" t="str">
        <v>Aceptada</v>
      </c>
      <c r="P207" s="1" t="str">
        <v/>
      </c>
      <c r="Q207" s="1" t="str">
        <v/>
      </c>
      <c r="R207" s="1">
        <f t="shared" si="18"/>
        <v>1</v>
      </c>
      <c r="S207" s="1">
        <f t="shared" si="17"/>
        <v>0</v>
      </c>
      <c r="T207" s="1">
        <f t="shared" si="19"/>
        <v>1</v>
      </c>
      <c r="U207" s="1">
        <f t="shared" si="20"/>
        <v>0</v>
      </c>
      <c r="V207" s="1">
        <f t="shared" si="16"/>
        <v>0</v>
      </c>
    </row>
    <row r="208" x14ac:dyDescent="0.25">
      <c r="A208" s="1">
        <v>206</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8"/>
        <v>0</v>
      </c>
      <c r="S208" s="1">
        <f t="shared" si="17"/>
        <v>0</v>
      </c>
      <c r="T208" s="1">
        <f t="shared" si="19"/>
        <v>0</v>
      </c>
      <c r="U208" s="1">
        <f t="shared" si="20"/>
        <v>0</v>
      </c>
      <c r="V208" s="1">
        <f t="shared" si="16"/>
        <v>0</v>
      </c>
    </row>
    <row r="209" x14ac:dyDescent="0.25">
      <c r="A209" s="1">
        <v>207</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8"/>
        <v>0</v>
      </c>
      <c r="S209" s="1">
        <f t="shared" si="17"/>
        <v>0</v>
      </c>
      <c r="T209" s="1">
        <f t="shared" si="19"/>
        <v>0</v>
      </c>
      <c r="U209" s="1">
        <f t="shared" si="20"/>
        <v>0</v>
      </c>
      <c r="V209" s="1">
        <f t="shared" si="16"/>
        <v>0</v>
      </c>
    </row>
    <row r="210" x14ac:dyDescent="0.25">
      <c r="A210" s="1">
        <v>208</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8"/>
        <v>0</v>
      </c>
      <c r="S210" s="1">
        <f t="shared" si="17"/>
        <v>0</v>
      </c>
      <c r="T210" s="1">
        <f t="shared" si="19"/>
        <v>0</v>
      </c>
      <c r="U210" s="1">
        <f t="shared" si="20"/>
        <v>0</v>
      </c>
      <c r="V210" s="1">
        <f t="shared" si="16"/>
        <v>0</v>
      </c>
    </row>
    <row r="211" x14ac:dyDescent="0.25">
      <c r="A211" s="1">
        <v>209</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8"/>
        <v>0</v>
      </c>
      <c r="S211" s="1">
        <f t="shared" si="17"/>
        <v>0</v>
      </c>
      <c r="T211" s="1">
        <f t="shared" si="19"/>
        <v>0</v>
      </c>
      <c r="U211" s="1">
        <f t="shared" si="20"/>
        <v>0</v>
      </c>
      <c r="V211" s="1">
        <f t="shared" si="16"/>
        <v>0</v>
      </c>
    </row>
    <row r="212" x14ac:dyDescent="0.25">
      <c r="A212" s="1">
        <v>210</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v>46111</v>
      </c>
      <c r="J212" s="2" t="str">
        <v/>
      </c>
      <c r="K212" s="2" t="str">
        <v/>
      </c>
      <c r="L212" s="1" t="str">
        <v>Sin respuesta</v>
      </c>
      <c r="M212" s="2" t="str">
        <v/>
      </c>
      <c r="N212" s="2" t="str">
        <v/>
      </c>
      <c r="O212" s="1" t="str">
        <v>Sin respuesta</v>
      </c>
      <c r="P212" s="1" t="str">
        <v/>
      </c>
      <c r="Q212" s="1" t="str">
        <v/>
      </c>
      <c r="R212" s="1">
        <f t="shared" si="18"/>
        <v>1</v>
      </c>
      <c r="S212" s="1">
        <f t="shared" si="17"/>
        <v>0</v>
      </c>
      <c r="T212" s="1">
        <f t="shared" si="19"/>
        <v>0</v>
      </c>
      <c r="U212" s="1">
        <f t="shared" si="20"/>
        <v>0</v>
      </c>
      <c r="V212" s="1">
        <f t="shared" si="16"/>
        <v>1</v>
      </c>
    </row>
    <row r="213" x14ac:dyDescent="0.25">
      <c r="A213" s="1">
        <v>211</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v>46111</v>
      </c>
      <c r="J213" s="2" t="str">
        <v/>
      </c>
      <c r="K213" s="2" t="str">
        <v/>
      </c>
      <c r="L213" s="1" t="str">
        <v>Sin respuesta</v>
      </c>
      <c r="M213" s="2" t="str">
        <v/>
      </c>
      <c r="N213" s="2" t="str">
        <v/>
      </c>
      <c r="O213" s="1" t="str">
        <v>Sin respuesta</v>
      </c>
      <c r="P213" s="1" t="str">
        <v/>
      </c>
      <c r="Q213" s="1" t="str">
        <v/>
      </c>
      <c r="R213" s="1">
        <f t="shared" si="18"/>
        <v>1</v>
      </c>
      <c r="S213" s="1">
        <f t="shared" si="17"/>
        <v>0</v>
      </c>
      <c r="T213" s="1">
        <f t="shared" si="19"/>
        <v>0</v>
      </c>
      <c r="U213" s="1">
        <f t="shared" si="20"/>
        <v>0</v>
      </c>
      <c r="V213" s="1">
        <f t="shared" si="16"/>
        <v>1</v>
      </c>
    </row>
    <row r="214" x14ac:dyDescent="0.25">
      <c r="A214" s="1">
        <v>212</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8"/>
        <v>0</v>
      </c>
      <c r="S214" s="1">
        <f t="shared" si="17"/>
        <v>0</v>
      </c>
      <c r="T214" s="1">
        <f t="shared" si="19"/>
        <v>0</v>
      </c>
      <c r="U214" s="1">
        <f t="shared" si="20"/>
        <v>0</v>
      </c>
      <c r="V214" s="1">
        <f t="shared" si="16"/>
        <v>0</v>
      </c>
    </row>
    <row r="215" x14ac:dyDescent="0.25">
      <c r="A215" s="1">
        <v>213</v>
      </c>
      <c r="B215" s="1" t="str">
        <v>Karen De la Cruz</v>
      </c>
      <c r="C215" s="1" t="str">
        <v>CHS Alternativo</v>
      </c>
      <c r="D215" s="1" t="str">
        <v>Entrevista de actores clave</v>
      </c>
      <c r="E215" s="1" t="str">
        <v>Actores locales</v>
      </c>
      <c r="F215" s="1" t="str">
        <v>Nacional</v>
      </c>
      <c r="G215" s="1" t="str">
        <v>IJM</v>
      </c>
      <c r="H215" s="1" t="str">
        <v>No</v>
      </c>
      <c r="I215" s="2" t="str">
        <v/>
      </c>
      <c r="J215" s="2" t="str">
        <v/>
      </c>
      <c r="K215" s="2" t="str">
        <v/>
      </c>
      <c r="L215" s="1" t="str">
        <v/>
      </c>
      <c r="M215" s="2" t="str">
        <v/>
      </c>
      <c r="N215" s="2" t="str">
        <v/>
      </c>
      <c r="O215" s="1" t="str">
        <v/>
      </c>
      <c r="P215" s="1" t="str">
        <v/>
      </c>
      <c r="Q215" s="1" t="str">
        <v/>
      </c>
      <c r="R215" s="1">
        <f t="shared" si="18"/>
        <v>0</v>
      </c>
      <c r="S215" s="1">
        <f t="shared" si="17"/>
        <v>0</v>
      </c>
      <c r="T215" s="1">
        <f t="shared" si="19"/>
        <v>0</v>
      </c>
      <c r="U215" s="1">
        <f t="shared" si="20"/>
        <v>0</v>
      </c>
      <c r="V215" s="1">
        <f t="shared" ref="V215:V278" si="21">IF(L215="Sin respuesta",1,0)</f>
        <v>0</v>
      </c>
    </row>
    <row r="216" x14ac:dyDescent="0.25">
      <c r="A216" s="1">
        <v>214</v>
      </c>
      <c r="B216" s="1" t="str">
        <v>Amire Romina Ortiz Arica</v>
      </c>
      <c r="C216" s="1" t="str">
        <v>Acción por Igualdad</v>
      </c>
      <c r="D216" s="1" t="str">
        <v>Entrevista de actores clave</v>
      </c>
      <c r="E216" s="1" t="str">
        <v>Actores locales</v>
      </c>
      <c r="F216" s="1" t="str">
        <v>Nacional</v>
      </c>
      <c r="G216" s="1" t="str">
        <v>IJM</v>
      </c>
      <c r="H216" s="1" t="str">
        <v>No</v>
      </c>
      <c r="I216" s="2" t="str">
        <v/>
      </c>
      <c r="J216" s="2" t="str">
        <v/>
      </c>
      <c r="K216" s="2" t="str">
        <v/>
      </c>
      <c r="L216" s="1" t="str">
        <v/>
      </c>
      <c r="M216" s="2" t="str">
        <v/>
      </c>
      <c r="N216" s="2" t="str">
        <v/>
      </c>
      <c r="O216" s="1" t="str">
        <v/>
      </c>
      <c r="P216" s="1" t="str">
        <v/>
      </c>
      <c r="Q216" s="1" t="str">
        <v/>
      </c>
      <c r="R216" s="1">
        <f t="shared" si="18"/>
        <v>0</v>
      </c>
      <c r="S216" s="1">
        <f t="shared" si="17"/>
        <v>0</v>
      </c>
      <c r="T216" s="1">
        <f t="shared" si="19"/>
        <v>0</v>
      </c>
      <c r="U216" s="1">
        <f t="shared" si="20"/>
        <v>0</v>
      </c>
      <c r="V216" s="1">
        <f t="shared" si="21"/>
        <v>0</v>
      </c>
    </row>
    <row r="217" x14ac:dyDescent="0.25">
      <c r="A217" s="1">
        <v>215</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8"/>
        <v>0</v>
      </c>
      <c r="S217" s="1">
        <f t="shared" si="17"/>
        <v>0</v>
      </c>
      <c r="T217" s="1">
        <f t="shared" si="19"/>
        <v>0</v>
      </c>
      <c r="U217" s="1">
        <f t="shared" si="20"/>
        <v>0</v>
      </c>
      <c r="V217" s="1">
        <f t="shared" si="21"/>
        <v>0</v>
      </c>
    </row>
    <row r="218" x14ac:dyDescent="0.25">
      <c r="A218" s="1">
        <v>216</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8"/>
        <v>0</v>
      </c>
      <c r="S218" s="1">
        <f t="shared" si="17"/>
        <v>0</v>
      </c>
      <c r="T218" s="1">
        <f t="shared" si="19"/>
        <v>0</v>
      </c>
      <c r="U218" s="1">
        <f t="shared" si="20"/>
        <v>0</v>
      </c>
      <c r="V218" s="1">
        <f t="shared" si="21"/>
        <v>0</v>
      </c>
    </row>
    <row r="219" x14ac:dyDescent="0.25">
      <c r="A219" s="1">
        <v>217</v>
      </c>
      <c r="B219" s="1" t="str">
        <v>Luz Medina Gonzales</v>
      </c>
      <c r="C219" s="1" t="str">
        <v>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8"/>
        <v>0</v>
      </c>
      <c r="S219" s="1">
        <f t="shared" si="17"/>
        <v>0</v>
      </c>
      <c r="T219" s="1">
        <f t="shared" si="19"/>
        <v>0</v>
      </c>
      <c r="U219" s="1">
        <f t="shared" si="20"/>
        <v>0</v>
      </c>
      <c r="V219" s="1">
        <f t="shared" si="21"/>
        <v>0</v>
      </c>
    </row>
    <row r="220" x14ac:dyDescent="0.25">
      <c r="A220" s="1">
        <v>218</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8"/>
        <v>0</v>
      </c>
      <c r="S220" s="1">
        <f t="shared" si="17"/>
        <v>0</v>
      </c>
      <c r="T220" s="1">
        <f t="shared" si="19"/>
        <v>0</v>
      </c>
      <c r="U220" s="1">
        <f t="shared" si="20"/>
        <v>0</v>
      </c>
      <c r="V220" s="1">
        <f t="shared" si="21"/>
        <v>0</v>
      </c>
    </row>
    <row r="221" x14ac:dyDescent="0.25">
      <c r="A221" s="1">
        <v>219</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8"/>
        <v>0</v>
      </c>
      <c r="S221" s="1">
        <f t="shared" si="17"/>
        <v>0</v>
      </c>
      <c r="T221" s="1">
        <f t="shared" si="19"/>
        <v>0</v>
      </c>
      <c r="U221" s="1">
        <f t="shared" si="20"/>
        <v>0</v>
      </c>
      <c r="V221" s="1">
        <f t="shared" si="21"/>
        <v>0</v>
      </c>
    </row>
    <row r="222" x14ac:dyDescent="0.25">
      <c r="A222" s="1">
        <v>220</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8"/>
        <v>0</v>
      </c>
      <c r="S222" s="1">
        <f t="shared" si="17"/>
        <v>0</v>
      </c>
      <c r="T222" s="1">
        <f t="shared" si="19"/>
        <v>0</v>
      </c>
      <c r="U222" s="1">
        <f t="shared" si="20"/>
        <v>0</v>
      </c>
      <c r="V222" s="1">
        <f t="shared" si="21"/>
        <v>0</v>
      </c>
    </row>
    <row r="223" x14ac:dyDescent="0.25">
      <c r="A223" s="1">
        <v>221</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8"/>
        <v>0</v>
      </c>
      <c r="S223" s="1">
        <f t="shared" si="17"/>
        <v>0</v>
      </c>
      <c r="T223" s="1">
        <f t="shared" si="19"/>
        <v>0</v>
      </c>
      <c r="U223" s="1">
        <f t="shared" si="20"/>
        <v>0</v>
      </c>
      <c r="V223" s="1">
        <f t="shared" si="21"/>
        <v>0</v>
      </c>
    </row>
    <row r="224" x14ac:dyDescent="0.25">
      <c r="A224" s="1">
        <v>222</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8"/>
        <v>0</v>
      </c>
      <c r="S224" s="1">
        <f t="shared" si="17"/>
        <v>0</v>
      </c>
      <c r="T224" s="1">
        <f t="shared" si="19"/>
        <v>0</v>
      </c>
      <c r="U224" s="1">
        <f t="shared" si="20"/>
        <v>0</v>
      </c>
      <c r="V224" s="1">
        <f t="shared" si="21"/>
        <v>0</v>
      </c>
    </row>
    <row r="225" x14ac:dyDescent="0.25">
      <c r="A225" s="1">
        <v>223</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8"/>
        <v>0</v>
      </c>
      <c r="S225" s="1">
        <f t="shared" si="17"/>
        <v>0</v>
      </c>
      <c r="T225" s="1">
        <f t="shared" si="19"/>
        <v>0</v>
      </c>
      <c r="U225" s="1">
        <f t="shared" si="20"/>
        <v>0</v>
      </c>
      <c r="V225" s="1">
        <f t="shared" si="21"/>
        <v>0</v>
      </c>
    </row>
    <row r="226" x14ac:dyDescent="0.25">
      <c r="A226" s="1">
        <v>224</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8"/>
        <v>0</v>
      </c>
      <c r="S226" s="1">
        <f t="shared" si="17"/>
        <v>0</v>
      </c>
      <c r="T226" s="1">
        <f t="shared" si="19"/>
        <v>0</v>
      </c>
      <c r="U226" s="1">
        <f t="shared" si="20"/>
        <v>0</v>
      </c>
      <c r="V226" s="1">
        <f t="shared" si="21"/>
        <v>0</v>
      </c>
    </row>
    <row r="227" x14ac:dyDescent="0.25">
      <c r="A227" s="1">
        <v>225</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8"/>
        <v>0</v>
      </c>
      <c r="S227" s="1">
        <f t="shared" si="17"/>
        <v>0</v>
      </c>
      <c r="T227" s="1">
        <f t="shared" si="19"/>
        <v>0</v>
      </c>
      <c r="U227" s="1">
        <f t="shared" si="20"/>
        <v>0</v>
      </c>
      <c r="V227" s="1">
        <f t="shared" si="21"/>
        <v>0</v>
      </c>
    </row>
    <row r="228" x14ac:dyDescent="0.25">
      <c r="A228" s="1">
        <v>226</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8"/>
        <v>0</v>
      </c>
      <c r="S228" s="1">
        <f t="shared" si="17"/>
        <v>0</v>
      </c>
      <c r="T228" s="1">
        <f t="shared" si="19"/>
        <v>0</v>
      </c>
      <c r="U228" s="1">
        <f t="shared" si="20"/>
        <v>0</v>
      </c>
      <c r="V228" s="1">
        <f t="shared" si="21"/>
        <v>0</v>
      </c>
    </row>
    <row r="229" x14ac:dyDescent="0.25">
      <c r="A229" s="1">
        <v>227</v>
      </c>
      <c r="B229" s="1" t="str">
        <v>Marlenne Cespedes Rio</v>
      </c>
      <c r="C229" s="1" t="str">
        <v>Orientadoras Judiciales</v>
      </c>
      <c r="D229" s="1" t="str">
        <v>Entrevista de actores clave</v>
      </c>
      <c r="E229" s="1" t="str">
        <v>Acompañantes</v>
      </c>
      <c r="F229" s="1" t="str">
        <v>Distrito Judicial: Apurímac</v>
      </c>
      <c r="G229" s="1" t="str">
        <v>IJM</v>
      </c>
      <c r="H229" s="1" t="str">
        <v>Sí</v>
      </c>
      <c r="I229" s="2">
        <v>46120</v>
      </c>
      <c r="J229" s="2" t="str">
        <v/>
      </c>
      <c r="K229" s="2" t="str">
        <v/>
      </c>
      <c r="L229" s="1" t="str">
        <v>Sin respuesta</v>
      </c>
      <c r="M229" s="2" t="str">
        <v/>
      </c>
      <c r="N229" s="2" t="str">
        <v/>
      </c>
      <c r="O229" s="1" t="str">
        <v>Sin respuesta</v>
      </c>
      <c r="P229" s="1" t="str">
        <v/>
      </c>
      <c r="Q229" s="1" t="str">
        <v/>
      </c>
      <c r="R229" s="1">
        <f t="shared" si="18"/>
        <v>1</v>
      </c>
      <c r="S229" s="1">
        <f t="shared" si="17"/>
        <v>0</v>
      </c>
      <c r="T229" s="1">
        <f t="shared" si="19"/>
        <v>0</v>
      </c>
      <c r="U229" s="1">
        <f t="shared" si="20"/>
        <v>0</v>
      </c>
      <c r="V229" s="1">
        <f t="shared" si="21"/>
        <v>1</v>
      </c>
    </row>
    <row r="230" x14ac:dyDescent="0.25">
      <c r="A230" s="1">
        <v>228</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8"/>
        <v>0</v>
      </c>
      <c r="S230" s="1">
        <f t="shared" si="17"/>
        <v>0</v>
      </c>
      <c r="T230" s="1">
        <f t="shared" si="19"/>
        <v>0</v>
      </c>
      <c r="U230" s="1">
        <f t="shared" si="20"/>
        <v>0</v>
      </c>
      <c r="V230" s="1">
        <f t="shared" si="21"/>
        <v>0</v>
      </c>
    </row>
    <row r="231" x14ac:dyDescent="0.25">
      <c r="A231" s="1">
        <v>229</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8"/>
        <v>0</v>
      </c>
      <c r="S231" s="1">
        <f t="shared" si="17"/>
        <v>0</v>
      </c>
      <c r="T231" s="1">
        <f t="shared" si="19"/>
        <v>0</v>
      </c>
      <c r="U231" s="1">
        <f t="shared" si="20"/>
        <v>0</v>
      </c>
      <c r="V231" s="1">
        <f t="shared" si="21"/>
        <v>0</v>
      </c>
    </row>
    <row r="232" x14ac:dyDescent="0.25">
      <c r="A232" s="1">
        <v>230</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8"/>
        <v>0</v>
      </c>
      <c r="S232" s="1">
        <f t="shared" si="17"/>
        <v>0</v>
      </c>
      <c r="T232" s="1">
        <f t="shared" si="19"/>
        <v>0</v>
      </c>
      <c r="U232" s="1">
        <f t="shared" si="20"/>
        <v>0</v>
      </c>
      <c r="V232" s="1">
        <f t="shared" si="21"/>
        <v>0</v>
      </c>
    </row>
    <row r="233" x14ac:dyDescent="0.25">
      <c r="A233" s="1">
        <v>231</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8"/>
        <v>0</v>
      </c>
      <c r="S233" s="1">
        <f t="shared" si="17"/>
        <v>0</v>
      </c>
      <c r="T233" s="1">
        <f t="shared" si="19"/>
        <v>0</v>
      </c>
      <c r="U233" s="1">
        <f t="shared" si="20"/>
        <v>0</v>
      </c>
      <c r="V233" s="1">
        <f t="shared" si="21"/>
        <v>0</v>
      </c>
    </row>
    <row r="234" x14ac:dyDescent="0.25">
      <c r="A234" s="1">
        <v>232</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8"/>
        <v>0</v>
      </c>
      <c r="S234" s="1">
        <f t="shared" si="17"/>
        <v>0</v>
      </c>
      <c r="T234" s="1">
        <f t="shared" si="19"/>
        <v>0</v>
      </c>
      <c r="U234" s="1">
        <f t="shared" si="20"/>
        <v>0</v>
      </c>
      <c r="V234" s="1">
        <f t="shared" si="21"/>
        <v>0</v>
      </c>
    </row>
    <row r="235" x14ac:dyDescent="0.25">
      <c r="A235" s="1">
        <v>233</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8"/>
        <v>0</v>
      </c>
      <c r="S235" s="1">
        <f t="shared" si="17"/>
        <v>0</v>
      </c>
      <c r="T235" s="1">
        <f t="shared" si="19"/>
        <v>0</v>
      </c>
      <c r="U235" s="1">
        <f t="shared" si="20"/>
        <v>0</v>
      </c>
      <c r="V235" s="1">
        <f t="shared" si="21"/>
        <v>0</v>
      </c>
    </row>
    <row r="236" x14ac:dyDescent="0.25">
      <c r="A236" s="1">
        <v>234</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8"/>
        <v>0</v>
      </c>
      <c r="S236" s="1">
        <f t="shared" si="17"/>
        <v>0</v>
      </c>
      <c r="T236" s="1">
        <f t="shared" si="19"/>
        <v>0</v>
      </c>
      <c r="U236" s="1">
        <f t="shared" si="20"/>
        <v>0</v>
      </c>
      <c r="V236" s="1">
        <f t="shared" si="21"/>
        <v>0</v>
      </c>
    </row>
    <row r="237" x14ac:dyDescent="0.25">
      <c r="A237" s="1">
        <v>235</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8"/>
        <v>0</v>
      </c>
      <c r="S237" s="1">
        <f t="shared" si="17"/>
        <v>0</v>
      </c>
      <c r="T237" s="1">
        <f t="shared" si="19"/>
        <v>0</v>
      </c>
      <c r="U237" s="1">
        <f t="shared" si="20"/>
        <v>0</v>
      </c>
      <c r="V237" s="1">
        <f t="shared" si="21"/>
        <v>0</v>
      </c>
    </row>
    <row r="238" x14ac:dyDescent="0.25">
      <c r="A238" s="1">
        <v>236</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8"/>
        <v>0</v>
      </c>
      <c r="S238" s="1">
        <f t="shared" si="17"/>
        <v>0</v>
      </c>
      <c r="T238" s="1">
        <f t="shared" si="19"/>
        <v>0</v>
      </c>
      <c r="U238" s="1">
        <f t="shared" si="20"/>
        <v>0</v>
      </c>
      <c r="V238" s="1">
        <f t="shared" si="21"/>
        <v>0</v>
      </c>
    </row>
    <row r="239" x14ac:dyDescent="0.25">
      <c r="A239" s="1">
        <v>237</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8"/>
        <v>0</v>
      </c>
      <c r="S239" s="1">
        <f t="shared" si="17"/>
        <v>0</v>
      </c>
      <c r="T239" s="1">
        <f t="shared" si="19"/>
        <v>0</v>
      </c>
      <c r="U239" s="1">
        <f t="shared" si="20"/>
        <v>0</v>
      </c>
      <c r="V239" s="1">
        <f t="shared" si="21"/>
        <v>0</v>
      </c>
    </row>
    <row r="240" x14ac:dyDescent="0.25">
      <c r="A240" s="1">
        <v>238</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8"/>
        <v>0</v>
      </c>
      <c r="S240" s="1">
        <f t="shared" si="17"/>
        <v>0</v>
      </c>
      <c r="T240" s="1">
        <f t="shared" si="19"/>
        <v>0</v>
      </c>
      <c r="U240" s="1">
        <f t="shared" si="20"/>
        <v>0</v>
      </c>
      <c r="V240" s="1">
        <f t="shared" si="21"/>
        <v>0</v>
      </c>
    </row>
    <row r="241" x14ac:dyDescent="0.25">
      <c r="A241" s="1">
        <v>239</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8"/>
        <v>0</v>
      </c>
      <c r="S241" s="1">
        <f t="shared" si="17"/>
        <v>0</v>
      </c>
      <c r="T241" s="1">
        <f t="shared" si="19"/>
        <v>0</v>
      </c>
      <c r="U241" s="1">
        <f t="shared" si="20"/>
        <v>0</v>
      </c>
      <c r="V241" s="1">
        <f t="shared" si="21"/>
        <v>0</v>
      </c>
    </row>
    <row r="242" x14ac:dyDescent="0.25">
      <c r="A242" s="1">
        <v>240</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8"/>
        <v>0</v>
      </c>
      <c r="S242" s="1">
        <f t="shared" si="17"/>
        <v>0</v>
      </c>
      <c r="T242" s="1">
        <f t="shared" si="19"/>
        <v>0</v>
      </c>
      <c r="U242" s="1">
        <f t="shared" si="20"/>
        <v>0</v>
      </c>
      <c r="V242" s="1">
        <f t="shared" si="21"/>
        <v>0</v>
      </c>
    </row>
    <row r="243" x14ac:dyDescent="0.25">
      <c r="A243" s="1">
        <v>241</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8"/>
        <v>0</v>
      </c>
      <c r="S243" s="1">
        <f t="shared" si="17"/>
        <v>0</v>
      </c>
      <c r="T243" s="1">
        <f t="shared" si="19"/>
        <v>0</v>
      </c>
      <c r="U243" s="1">
        <f t="shared" si="20"/>
        <v>0</v>
      </c>
      <c r="V243" s="1">
        <f t="shared" si="21"/>
        <v>0</v>
      </c>
    </row>
    <row r="244" x14ac:dyDescent="0.25">
      <c r="A244" s="1">
        <v>242</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8"/>
        <v>0</v>
      </c>
      <c r="S244" s="1">
        <f t="shared" si="17"/>
        <v>0</v>
      </c>
      <c r="T244" s="1">
        <f t="shared" si="19"/>
        <v>0</v>
      </c>
      <c r="U244" s="1">
        <f t="shared" si="20"/>
        <v>0</v>
      </c>
      <c r="V244" s="1">
        <f t="shared" si="21"/>
        <v>0</v>
      </c>
    </row>
    <row r="245" x14ac:dyDescent="0.25">
      <c r="A245" s="1">
        <v>243</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8"/>
        <v>0</v>
      </c>
      <c r="S245" s="1">
        <f t="shared" si="17"/>
        <v>0</v>
      </c>
      <c r="T245" s="1">
        <f t="shared" si="19"/>
        <v>0</v>
      </c>
      <c r="U245" s="1">
        <f t="shared" si="20"/>
        <v>0</v>
      </c>
      <c r="V245" s="1">
        <f t="shared" si="21"/>
        <v>0</v>
      </c>
    </row>
    <row r="246" x14ac:dyDescent="0.25">
      <c r="A246" s="1">
        <v>244</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8"/>
        <v>0</v>
      </c>
      <c r="S246" s="1">
        <f t="shared" si="17"/>
        <v>0</v>
      </c>
      <c r="T246" s="1">
        <f t="shared" si="19"/>
        <v>0</v>
      </c>
      <c r="U246" s="1">
        <f t="shared" si="20"/>
        <v>0</v>
      </c>
      <c r="V246" s="1">
        <f t="shared" si="21"/>
        <v>0</v>
      </c>
    </row>
    <row r="247" x14ac:dyDescent="0.25">
      <c r="A247" s="1">
        <v>245</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8"/>
        <v>0</v>
      </c>
      <c r="S247" s="1">
        <f t="shared" si="17"/>
        <v>0</v>
      </c>
      <c r="T247" s="1">
        <f t="shared" si="19"/>
        <v>0</v>
      </c>
      <c r="U247" s="1">
        <f t="shared" si="20"/>
        <v>0</v>
      </c>
      <c r="V247" s="1">
        <f t="shared" si="21"/>
        <v>0</v>
      </c>
    </row>
    <row r="248" x14ac:dyDescent="0.25">
      <c r="A248" s="1">
        <v>246</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8"/>
        <v>0</v>
      </c>
      <c r="S248" s="1">
        <f t="shared" si="17"/>
        <v>0</v>
      </c>
      <c r="T248" s="1">
        <f t="shared" si="19"/>
        <v>0</v>
      </c>
      <c r="U248" s="1">
        <f t="shared" si="20"/>
        <v>0</v>
      </c>
      <c r="V248" s="1">
        <f t="shared" si="21"/>
        <v>0</v>
      </c>
    </row>
    <row r="249" x14ac:dyDescent="0.25">
      <c r="A249" s="1">
        <v>247</v>
      </c>
      <c r="B249" s="1" t="str">
        <v>Rosa Ofelia Tauma Flores</v>
      </c>
      <c r="C249" s="1" t="str">
        <v>Orientadoras Judiciales</v>
      </c>
      <c r="D249" s="1" t="str">
        <v>Entrevista de actores clave</v>
      </c>
      <c r="E249" s="1" t="str">
        <v>Acompañantes</v>
      </c>
      <c r="F249" s="1" t="str">
        <v>Distrito Judicial: Loreto</v>
      </c>
      <c r="G249" s="1" t="str">
        <v>IJM</v>
      </c>
      <c r="H249" s="1" t="str">
        <v>Sí</v>
      </c>
      <c r="I249" s="2">
        <v>46120</v>
      </c>
      <c r="J249" s="2" t="str">
        <v/>
      </c>
      <c r="K249" s="2" t="str">
        <v/>
      </c>
      <c r="L249" s="1" t="str">
        <v>Realizada completa</v>
      </c>
      <c r="M249" s="2">
        <v>46121</v>
      </c>
      <c r="N249" s="2" t="str">
        <v/>
      </c>
      <c r="O249" s="1" t="str">
        <v>Realizada completa</v>
      </c>
      <c r="P249" s="1">
        <v>44</v>
      </c>
      <c r="Q249" s="1" t="str">
        <v>A distancia asistido</v>
      </c>
      <c r="R249" s="1">
        <f t="shared" si="18"/>
        <v>1</v>
      </c>
      <c r="S249" s="1">
        <f t="shared" si="17"/>
        <v>0</v>
      </c>
      <c r="T249" s="1">
        <f t="shared" si="19"/>
        <v>0</v>
      </c>
      <c r="U249" s="1">
        <f t="shared" si="20"/>
        <v>1</v>
      </c>
      <c r="V249" s="1">
        <f t="shared" si="21"/>
        <v>0</v>
      </c>
    </row>
    <row r="250" x14ac:dyDescent="0.25">
      <c r="A250" s="1">
        <v>248</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8"/>
        <v>0</v>
      </c>
      <c r="S250" s="1">
        <f t="shared" si="17"/>
        <v>0</v>
      </c>
      <c r="T250" s="1">
        <f t="shared" si="19"/>
        <v>0</v>
      </c>
      <c r="U250" s="1">
        <f t="shared" si="20"/>
        <v>0</v>
      </c>
      <c r="V250" s="1">
        <f t="shared" si="21"/>
        <v>0</v>
      </c>
    </row>
    <row r="251" x14ac:dyDescent="0.25">
      <c r="A251" s="1">
        <v>249</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8"/>
        <v>0</v>
      </c>
      <c r="S251" s="1">
        <f t="shared" si="17"/>
        <v>0</v>
      </c>
      <c r="T251" s="1">
        <f t="shared" si="19"/>
        <v>0</v>
      </c>
      <c r="U251" s="1">
        <f t="shared" si="20"/>
        <v>0</v>
      </c>
      <c r="V251" s="1">
        <f t="shared" si="21"/>
        <v>0</v>
      </c>
    </row>
    <row r="252" x14ac:dyDescent="0.25">
      <c r="A252" s="1">
        <v>250</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8"/>
        <v>0</v>
      </c>
      <c r="S252" s="1">
        <f t="shared" si="17"/>
        <v>0</v>
      </c>
      <c r="T252" s="1">
        <f t="shared" si="19"/>
        <v>0</v>
      </c>
      <c r="U252" s="1">
        <f t="shared" si="20"/>
        <v>0</v>
      </c>
      <c r="V252" s="1">
        <f t="shared" si="21"/>
        <v>0</v>
      </c>
    </row>
    <row r="253" x14ac:dyDescent="0.25">
      <c r="A253" s="1">
        <v>251</v>
      </c>
      <c r="B253" s="1" t="str">
        <v>Epifania Valdiviezo</v>
      </c>
      <c r="C253" s="1" t="str">
        <v>Orientadoras Judiciales</v>
      </c>
      <c r="D253" s="1" t="str">
        <v>Entrevista de actores clave</v>
      </c>
      <c r="E253" s="1" t="str">
        <v>Acompañantes</v>
      </c>
      <c r="F253" s="1" t="str">
        <v>Distrito Judicial: Ucayali</v>
      </c>
      <c r="G253" s="1" t="str">
        <v>IJM</v>
      </c>
      <c r="H253" s="1" t="str">
        <v>Sí</v>
      </c>
      <c r="I253" s="2">
        <v>46120</v>
      </c>
      <c r="J253" s="2" t="str">
        <v/>
      </c>
      <c r="K253" s="2" t="str">
        <v/>
      </c>
      <c r="L253" s="1" t="str">
        <v>Realizada completa</v>
      </c>
      <c r="M253" s="2">
        <v>46122</v>
      </c>
      <c r="N253" s="2" t="str">
        <v/>
      </c>
      <c r="O253" s="1" t="str">
        <v>Realizada completa</v>
      </c>
      <c r="P253" s="1">
        <v>52</v>
      </c>
      <c r="Q253" s="1" t="str">
        <v>A distancia asistido</v>
      </c>
      <c r="R253" s="1">
        <f t="shared" si="18"/>
        <v>1</v>
      </c>
      <c r="S253" s="1">
        <f t="shared" si="17"/>
        <v>0</v>
      </c>
      <c r="T253" s="1">
        <f t="shared" si="19"/>
        <v>0</v>
      </c>
      <c r="U253" s="1">
        <f t="shared" si="20"/>
        <v>1</v>
      </c>
      <c r="V253" s="1">
        <f t="shared" si="21"/>
        <v>0</v>
      </c>
    </row>
    <row r="254" x14ac:dyDescent="0.25">
      <c r="A254" s="1">
        <v>252</v>
      </c>
      <c r="B254" s="1" t="str">
        <v>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8"/>
        <v>0</v>
      </c>
      <c r="S254" s="1">
        <f t="shared" si="17"/>
        <v>0</v>
      </c>
      <c r="T254" s="1">
        <f t="shared" si="19"/>
        <v>0</v>
      </c>
      <c r="U254" s="1">
        <f t="shared" si="20"/>
        <v>0</v>
      </c>
      <c r="V254" s="1">
        <f t="shared" si="21"/>
        <v>0</v>
      </c>
    </row>
    <row r="255" x14ac:dyDescent="0.25">
      <c r="A255" s="1">
        <v>253</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8"/>
        <v>0</v>
      </c>
      <c r="S255" s="1">
        <f t="shared" si="17"/>
        <v>0</v>
      </c>
      <c r="T255" s="1">
        <f t="shared" si="19"/>
        <v>0</v>
      </c>
      <c r="U255" s="1">
        <f t="shared" si="20"/>
        <v>0</v>
      </c>
      <c r="V255" s="1">
        <f t="shared" si="21"/>
        <v>0</v>
      </c>
    </row>
    <row r="256" x14ac:dyDescent="0.25">
      <c r="A256" s="1">
        <v>254</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v>46122</v>
      </c>
      <c r="N256" s="2" t="str">
        <v/>
      </c>
      <c r="O256" s="1" t="str">
        <v>Realizada completa</v>
      </c>
      <c r="P256" s="1">
        <v>48</v>
      </c>
      <c r="Q256" s="1" t="str">
        <v>A distancia asistido</v>
      </c>
      <c r="R256" s="1">
        <f t="shared" si="18"/>
        <v>1</v>
      </c>
      <c r="S256" s="1">
        <f t="shared" si="17"/>
        <v>0</v>
      </c>
      <c r="T256" s="1">
        <f t="shared" si="19"/>
        <v>0</v>
      </c>
      <c r="U256" s="1">
        <f t="shared" si="20"/>
        <v>1</v>
      </c>
      <c r="V256" s="1">
        <f t="shared" si="21"/>
        <v>0</v>
      </c>
    </row>
    <row r="257" x14ac:dyDescent="0.25">
      <c r="A257" s="1">
        <v>255</v>
      </c>
      <c r="B257" s="1" t="str">
        <v>Leyden María Capa Barrios</v>
      </c>
      <c r="C257" s="1" t="str">
        <v>Orientadoras Judiciales</v>
      </c>
      <c r="D257" s="1" t="str">
        <v>Entrevista de actores clave</v>
      </c>
      <c r="E257" s="1" t="str">
        <v>Acompañantes</v>
      </c>
      <c r="F257" s="1" t="str">
        <v>Nacional</v>
      </c>
      <c r="G257" s="1" t="str">
        <v>IJM</v>
      </c>
      <c r="H257" s="1" t="str">
        <v>Sí</v>
      </c>
      <c r="I257" s="2">
        <v>46120</v>
      </c>
      <c r="J257" s="2" t="str">
        <v/>
      </c>
      <c r="K257" s="2" t="str">
        <v/>
      </c>
      <c r="L257" s="1" t="str">
        <v>Realizada completa</v>
      </c>
      <c r="M257" s="2">
        <v>46126</v>
      </c>
      <c r="N257" s="2" t="str">
        <v/>
      </c>
      <c r="O257" s="1" t="str">
        <v>Realizada completa</v>
      </c>
      <c r="P257" s="1">
        <v>45</v>
      </c>
      <c r="Q257" s="1" t="str">
        <v>A distancia asistido</v>
      </c>
      <c r="R257" s="1">
        <f t="shared" si="18"/>
        <v>1</v>
      </c>
      <c r="S257" s="1">
        <f t="shared" si="17"/>
        <v>0</v>
      </c>
      <c r="T257" s="1">
        <f t="shared" si="19"/>
        <v>0</v>
      </c>
      <c r="U257" s="1">
        <f t="shared" si="20"/>
        <v>1</v>
      </c>
      <c r="V257" s="1">
        <f t="shared" si="21"/>
        <v>0</v>
      </c>
    </row>
    <row r="258" x14ac:dyDescent="0.25">
      <c r="A258" s="1">
        <v>256</v>
      </c>
      <c r="B258" s="1" t="str">
        <v>Nancy Navarro</v>
      </c>
      <c r="C258" s="1" t="str">
        <v>Orientadoras Judiciales</v>
      </c>
      <c r="D258" s="1" t="str">
        <v>Entrevista de actores clave</v>
      </c>
      <c r="E258" s="1" t="str">
        <v>Acompañantes</v>
      </c>
      <c r="F258" s="1" t="str">
        <v>Nacional</v>
      </c>
      <c r="G258" s="1" t="str">
        <v>IJM</v>
      </c>
      <c r="H258" s="1" t="str">
        <v>No</v>
      </c>
      <c r="I258" s="2">
        <v>46171</v>
      </c>
      <c r="J258" s="2" t="str">
        <v/>
      </c>
      <c r="K258" s="2" t="str">
        <v/>
      </c>
      <c r="L258" s="1" t="str">
        <v>Sin respuesta</v>
      </c>
      <c r="M258" s="2" t="str">
        <v/>
      </c>
      <c r="N258" s="2" t="str">
        <v/>
      </c>
      <c r="O258" s="1" t="str">
        <v>Sin respuesta</v>
      </c>
      <c r="P258" s="1" t="str">
        <v/>
      </c>
      <c r="Q258" s="1" t="str">
        <v/>
      </c>
      <c r="R258" s="1">
        <f t="shared" si="18"/>
        <v>0</v>
      </c>
      <c r="S258" s="1">
        <f t="shared" ref="S258:S321" si="22">IF(L258="En coordinación",1,0)</f>
        <v>0</v>
      </c>
      <c r="T258" s="1">
        <f t="shared" si="19"/>
        <v>0</v>
      </c>
      <c r="U258" s="1">
        <f t="shared" si="20"/>
        <v>0</v>
      </c>
      <c r="V258" s="1">
        <f t="shared" si="21"/>
        <v>1</v>
      </c>
    </row>
    <row r="259" x14ac:dyDescent="0.25">
      <c r="A259" s="1">
        <v>257</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3">IF(H259="Sí",1,0)</f>
        <v>0</v>
      </c>
      <c r="S259" s="1">
        <f t="shared" si="22"/>
        <v>0</v>
      </c>
      <c r="T259" s="1">
        <f t="shared" ref="T259:T322" si="24">IF(L259="Aceptada",1,0)</f>
        <v>0</v>
      </c>
      <c r="U259" s="1">
        <f t="shared" ref="U259:U322" si="25">IF(OR(L259="Realizada completa",L259="Realizada incompleta"),1,0)</f>
        <v>0</v>
      </c>
      <c r="V259" s="1">
        <f t="shared" si="21"/>
        <v>0</v>
      </c>
    </row>
    <row r="260" x14ac:dyDescent="0.25">
      <c r="A260" s="1">
        <v>258</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3"/>
        <v>0</v>
      </c>
      <c r="S260" s="1">
        <f t="shared" si="22"/>
        <v>0</v>
      </c>
      <c r="T260" s="1">
        <f t="shared" si="24"/>
        <v>0</v>
      </c>
      <c r="U260" s="1">
        <f t="shared" si="25"/>
        <v>0</v>
      </c>
      <c r="V260" s="1">
        <f t="shared" si="21"/>
        <v>0</v>
      </c>
    </row>
    <row r="261" x14ac:dyDescent="0.25">
      <c r="A261" s="1">
        <v>259</v>
      </c>
      <c r="B261" s="1" t="str">
        <v>Walter Eleodoro Martinez Laura</v>
      </c>
      <c r="C261" s="1" t="str">
        <v>Defensa Pública</v>
      </c>
      <c r="D261" s="1" t="str">
        <v>Entrevista de actores clave</v>
      </c>
      <c r="E261" s="1" t="str">
        <v>Funcionarios del Sistema</v>
      </c>
      <c r="F261" s="1" t="str">
        <v>Nacional</v>
      </c>
      <c r="G261" s="1" t="str">
        <v>IJM</v>
      </c>
      <c r="H261" s="1" t="str">
        <v>Sí</v>
      </c>
      <c r="I261" s="2">
        <v>46147</v>
      </c>
      <c r="J261" s="2" t="str">
        <v/>
      </c>
      <c r="K261" s="2" t="str">
        <v/>
      </c>
      <c r="L261" s="1" t="str">
        <v>Sin respuesta</v>
      </c>
      <c r="M261" s="2" t="str">
        <v/>
      </c>
      <c r="N261" s="2" t="str">
        <v/>
      </c>
      <c r="O261" s="1" t="str">
        <v>Sin respuesta</v>
      </c>
      <c r="P261" s="1" t="str">
        <v/>
      </c>
      <c r="Q261" s="1" t="str">
        <v/>
      </c>
      <c r="R261" s="1">
        <f t="shared" si="23"/>
        <v>1</v>
      </c>
      <c r="S261" s="1">
        <f t="shared" si="22"/>
        <v>0</v>
      </c>
      <c r="T261" s="1">
        <f t="shared" si="24"/>
        <v>0</v>
      </c>
      <c r="U261" s="1">
        <f t="shared" si="25"/>
        <v>0</v>
      </c>
      <c r="V261" s="1">
        <f t="shared" si="21"/>
        <v>1</v>
      </c>
    </row>
    <row r="262" x14ac:dyDescent="0.25">
      <c r="A262" s="1">
        <v>260</v>
      </c>
      <c r="B262" s="1" t="str">
        <v>Julio Cesar Zumaeta Hernandez</v>
      </c>
      <c r="C262" s="1" t="str">
        <v>Defensa Pública</v>
      </c>
      <c r="D262" s="1" t="str">
        <v>Entrevista de actores clave</v>
      </c>
      <c r="E262" s="1" t="str">
        <v>Funcionarios del Sistema</v>
      </c>
      <c r="F262" s="1" t="str">
        <v>Nacional</v>
      </c>
      <c r="G262" s="1" t="str">
        <v>IJM</v>
      </c>
      <c r="H262" s="1" t="str">
        <v>Sí</v>
      </c>
      <c r="I262" s="2">
        <v>46147</v>
      </c>
      <c r="J262" s="2" t="str">
        <v/>
      </c>
      <c r="K262" s="2" t="str">
        <v/>
      </c>
      <c r="L262" s="1" t="str">
        <v>Sin respuesta</v>
      </c>
      <c r="M262" s="2" t="str">
        <v/>
      </c>
      <c r="N262" s="2" t="str">
        <v/>
      </c>
      <c r="O262" s="1" t="str">
        <v>Sin respuesta</v>
      </c>
      <c r="P262" s="1" t="str">
        <v/>
      </c>
      <c r="Q262" s="1" t="str">
        <v/>
      </c>
      <c r="R262" s="1">
        <f t="shared" si="23"/>
        <v>1</v>
      </c>
      <c r="S262" s="1">
        <f t="shared" si="22"/>
        <v>0</v>
      </c>
      <c r="T262" s="1">
        <f t="shared" si="24"/>
        <v>0</v>
      </c>
      <c r="U262" s="1">
        <f t="shared" si="25"/>
        <v>0</v>
      </c>
      <c r="V262" s="1">
        <f t="shared" si="21"/>
        <v>1</v>
      </c>
    </row>
    <row r="263" x14ac:dyDescent="0.25">
      <c r="A263" s="1">
        <v>261</v>
      </c>
      <c r="B263" s="1" t="str">
        <v>Raul Eduardo Melgarejo Olortegui</v>
      </c>
      <c r="C263" s="1" t="str">
        <v>Defensa Pública</v>
      </c>
      <c r="D263" s="1" t="str">
        <v>Entrevista de actores clave</v>
      </c>
      <c r="E263" s="1" t="str">
        <v>Funcionarios del Sistema</v>
      </c>
      <c r="F263" s="1" t="str">
        <v>Nacional</v>
      </c>
      <c r="G263" s="1" t="str">
        <v>IJM</v>
      </c>
      <c r="H263" s="1" t="str">
        <v>Sí</v>
      </c>
      <c r="I263" s="2">
        <v>46147</v>
      </c>
      <c r="J263" s="2" t="str">
        <v/>
      </c>
      <c r="K263" s="2" t="str">
        <v/>
      </c>
      <c r="L263" s="1" t="str">
        <v>Sin respuesta</v>
      </c>
      <c r="M263" s="2" t="str">
        <v/>
      </c>
      <c r="N263" s="2" t="str">
        <v/>
      </c>
      <c r="O263" s="1" t="str">
        <v>Sin respuesta</v>
      </c>
      <c r="P263" s="1" t="str">
        <v/>
      </c>
      <c r="Q263" s="1" t="str">
        <v/>
      </c>
      <c r="R263" s="1">
        <f t="shared" si="23"/>
        <v>1</v>
      </c>
      <c r="S263" s="1">
        <f t="shared" si="22"/>
        <v>0</v>
      </c>
      <c r="T263" s="1">
        <f t="shared" si="24"/>
        <v>0</v>
      </c>
      <c r="U263" s="1">
        <f t="shared" si="25"/>
        <v>0</v>
      </c>
      <c r="V263" s="1">
        <f t="shared" si="21"/>
        <v>1</v>
      </c>
    </row>
    <row r="264" x14ac:dyDescent="0.25">
      <c r="A264" s="1">
        <v>262</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v>46147</v>
      </c>
      <c r="J264" s="2">
        <v>46179</v>
      </c>
      <c r="K264" s="2" t="str">
        <v/>
      </c>
      <c r="L264" s="1" t="str">
        <v>En coordinación</v>
      </c>
      <c r="M264" s="2" t="str">
        <v/>
      </c>
      <c r="N264" s="2" t="str">
        <v/>
      </c>
      <c r="O264" s="1" t="str">
        <v>En coordinación</v>
      </c>
      <c r="P264" s="1" t="str">
        <v/>
      </c>
      <c r="Q264" s="1" t="str">
        <v/>
      </c>
      <c r="R264" s="1">
        <f t="shared" si="23"/>
        <v>1</v>
      </c>
      <c r="S264" s="1">
        <f t="shared" si="22"/>
        <v>1</v>
      </c>
      <c r="T264" s="1">
        <f t="shared" si="24"/>
        <v>0</v>
      </c>
      <c r="U264" s="1">
        <f t="shared" si="25"/>
        <v>0</v>
      </c>
      <c r="V264" s="1">
        <f t="shared" si="21"/>
        <v>0</v>
      </c>
    </row>
    <row r="265" x14ac:dyDescent="0.25">
      <c r="A265" s="1">
        <v>263</v>
      </c>
      <c r="B265" s="1" t="str">
        <v>Elena Zoila Villegas Portilla</v>
      </c>
      <c r="C265" s="1" t="str">
        <v>Defensa Pública</v>
      </c>
      <c r="D265" s="1" t="str">
        <v>Entrevista de actores clave</v>
      </c>
      <c r="E265" s="1" t="str">
        <v>Funcionarios del Sistema</v>
      </c>
      <c r="F265" s="1" t="str">
        <v>Nacional</v>
      </c>
      <c r="G265" s="1" t="str">
        <v>IJM</v>
      </c>
      <c r="H265" s="1" t="str">
        <v>Sí</v>
      </c>
      <c r="I265" s="2">
        <v>46147</v>
      </c>
      <c r="J265" s="2" t="str">
        <v/>
      </c>
      <c r="K265" s="2" t="str">
        <v/>
      </c>
      <c r="L265" s="1" t="str">
        <v>Realizada completa</v>
      </c>
      <c r="M265" s="2">
        <v>46136</v>
      </c>
      <c r="N265" s="2" t="str">
        <v/>
      </c>
      <c r="O265" s="1" t="str">
        <v>Realizada completa</v>
      </c>
      <c r="P265" s="1" t="str">
        <v/>
      </c>
      <c r="Q265" s="1" t="str">
        <v>A distancia asistido</v>
      </c>
      <c r="R265" s="1">
        <f t="shared" si="23"/>
        <v>1</v>
      </c>
      <c r="S265" s="1">
        <f t="shared" si="22"/>
        <v>0</v>
      </c>
      <c r="T265" s="1">
        <f t="shared" si="24"/>
        <v>0</v>
      </c>
      <c r="U265" s="1">
        <f t="shared" si="25"/>
        <v>1</v>
      </c>
      <c r="V265" s="1">
        <f t="shared" si="21"/>
        <v>0</v>
      </c>
    </row>
    <row r="266" x14ac:dyDescent="0.25">
      <c r="A266" s="1">
        <v>264</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v>46147</v>
      </c>
      <c r="J266" s="2" t="str">
        <v/>
      </c>
      <c r="K266" s="2" t="str">
        <v/>
      </c>
      <c r="L266" s="1" t="str">
        <v>Sin respuesta</v>
      </c>
      <c r="M266" s="2" t="str">
        <v/>
      </c>
      <c r="N266" s="2" t="str">
        <v/>
      </c>
      <c r="O266" s="1" t="str">
        <v>Sin respuesta</v>
      </c>
      <c r="P266" s="1" t="str">
        <v/>
      </c>
      <c r="Q266" s="1" t="str">
        <v/>
      </c>
      <c r="R266" s="1">
        <f t="shared" si="23"/>
        <v>1</v>
      </c>
      <c r="S266" s="1">
        <f t="shared" si="22"/>
        <v>0</v>
      </c>
      <c r="T266" s="1">
        <f t="shared" si="24"/>
        <v>0</v>
      </c>
      <c r="U266" s="1">
        <f t="shared" si="25"/>
        <v>0</v>
      </c>
      <c r="V266" s="1">
        <f t="shared" si="21"/>
        <v>1</v>
      </c>
    </row>
    <row r="267" x14ac:dyDescent="0.25">
      <c r="A267" s="1">
        <v>265</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v>46147</v>
      </c>
      <c r="J267" s="2" t="str">
        <v/>
      </c>
      <c r="K267" s="2" t="str">
        <v/>
      </c>
      <c r="L267" s="1" t="str">
        <v>Sin respuesta</v>
      </c>
      <c r="M267" s="2" t="str">
        <v/>
      </c>
      <c r="N267" s="2" t="str">
        <v/>
      </c>
      <c r="O267" s="1" t="str">
        <v>Sin respuesta</v>
      </c>
      <c r="P267" s="1" t="str">
        <v/>
      </c>
      <c r="Q267" s="1" t="str">
        <v/>
      </c>
      <c r="R267" s="1">
        <f t="shared" si="23"/>
        <v>1</v>
      </c>
      <c r="S267" s="1">
        <f t="shared" si="22"/>
        <v>0</v>
      </c>
      <c r="T267" s="1">
        <f t="shared" si="24"/>
        <v>0</v>
      </c>
      <c r="U267" s="1">
        <f t="shared" si="25"/>
        <v>0</v>
      </c>
      <c r="V267" s="1">
        <f t="shared" si="21"/>
        <v>1</v>
      </c>
    </row>
    <row r="268" x14ac:dyDescent="0.25">
      <c r="A268" s="1">
        <v>266</v>
      </c>
      <c r="B268" s="1" t="str">
        <v>Richard Florentino Ponciano Anchante</v>
      </c>
      <c r="C268" s="1" t="str">
        <v>Defensa Pública</v>
      </c>
      <c r="D268" s="1" t="str">
        <v>Entrevista de actores clave</v>
      </c>
      <c r="E268" s="1" t="str">
        <v>Funcionarios del Sistema</v>
      </c>
      <c r="F268" s="1" t="str">
        <v>Nacional</v>
      </c>
      <c r="G268" s="1" t="str">
        <v>IJM</v>
      </c>
      <c r="H268" s="1" t="str">
        <v>Sí</v>
      </c>
      <c r="I268" s="2">
        <v>46147</v>
      </c>
      <c r="J268" s="2">
        <v>46176</v>
      </c>
      <c r="K268" s="2" t="str">
        <v/>
      </c>
      <c r="L268" s="1" t="str">
        <v>En coordinación</v>
      </c>
      <c r="M268" s="2" t="str">
        <v/>
      </c>
      <c r="N268" s="2" t="str">
        <v/>
      </c>
      <c r="O268" s="1" t="str">
        <v>En coordinación</v>
      </c>
      <c r="P268" s="1" t="str">
        <v/>
      </c>
      <c r="Q268" s="1" t="str">
        <v/>
      </c>
      <c r="R268" s="1">
        <f t="shared" si="23"/>
        <v>1</v>
      </c>
      <c r="S268" s="1">
        <f t="shared" si="22"/>
        <v>1</v>
      </c>
      <c r="T268" s="1">
        <f t="shared" si="24"/>
        <v>0</v>
      </c>
      <c r="U268" s="1">
        <f t="shared" si="25"/>
        <v>0</v>
      </c>
      <c r="V268" s="1">
        <f t="shared" si="21"/>
        <v>0</v>
      </c>
    </row>
    <row r="269" x14ac:dyDescent="0.25">
      <c r="A269" s="1">
        <v>267</v>
      </c>
      <c r="B269" s="1" t="str">
        <v>Karla Lisseth Medina Grimaldo</v>
      </c>
      <c r="C269" s="1" t="str">
        <v>Defensa Pública</v>
      </c>
      <c r="D269" s="1" t="str">
        <v>Entrevista de actores clave</v>
      </c>
      <c r="E269" s="1" t="str">
        <v>Funcionarios del Sistema</v>
      </c>
      <c r="F269" s="1" t="str">
        <v>Nacional</v>
      </c>
      <c r="G269" s="1" t="str">
        <v>IJM</v>
      </c>
      <c r="H269" s="1" t="str">
        <v>Sí</v>
      </c>
      <c r="I269" s="2">
        <v>46147</v>
      </c>
      <c r="J269" s="2" t="str">
        <v/>
      </c>
      <c r="K269" s="2" t="str">
        <v/>
      </c>
      <c r="L269" s="1" t="str">
        <v>Sin respuesta</v>
      </c>
      <c r="M269" s="2" t="str">
        <v/>
      </c>
      <c r="N269" s="2" t="str">
        <v/>
      </c>
      <c r="O269" s="1" t="str">
        <v>Sin respuesta</v>
      </c>
      <c r="P269" s="1" t="str">
        <v/>
      </c>
      <c r="Q269" s="1" t="str">
        <v/>
      </c>
      <c r="R269" s="1">
        <f t="shared" si="23"/>
        <v>1</v>
      </c>
      <c r="S269" s="1">
        <f t="shared" si="22"/>
        <v>0</v>
      </c>
      <c r="T269" s="1">
        <f t="shared" si="24"/>
        <v>0</v>
      </c>
      <c r="U269" s="1">
        <f t="shared" si="25"/>
        <v>0</v>
      </c>
      <c r="V269" s="1">
        <f t="shared" si="21"/>
        <v>1</v>
      </c>
    </row>
    <row r="270" x14ac:dyDescent="0.25">
      <c r="A270" s="1">
        <v>268</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3"/>
        <v>0</v>
      </c>
      <c r="S270" s="1">
        <f t="shared" si="22"/>
        <v>0</v>
      </c>
      <c r="T270" s="1">
        <f t="shared" si="24"/>
        <v>0</v>
      </c>
      <c r="U270" s="1">
        <f t="shared" si="25"/>
        <v>0</v>
      </c>
      <c r="V270" s="1">
        <f t="shared" si="21"/>
        <v>0</v>
      </c>
    </row>
    <row r="271" x14ac:dyDescent="0.25">
      <c r="A271" s="1">
        <v>269</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3"/>
        <v>0</v>
      </c>
      <c r="S271" s="1">
        <f t="shared" si="22"/>
        <v>0</v>
      </c>
      <c r="T271" s="1">
        <f t="shared" si="24"/>
        <v>0</v>
      </c>
      <c r="U271" s="1">
        <f t="shared" si="25"/>
        <v>0</v>
      </c>
      <c r="V271" s="1">
        <f t="shared" si="21"/>
        <v>0</v>
      </c>
    </row>
    <row r="272" x14ac:dyDescent="0.25">
      <c r="A272" s="1">
        <v>270</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3"/>
        <v>0</v>
      </c>
      <c r="S272" s="1">
        <f t="shared" si="22"/>
        <v>0</v>
      </c>
      <c r="T272" s="1">
        <f t="shared" si="24"/>
        <v>0</v>
      </c>
      <c r="U272" s="1">
        <f t="shared" si="25"/>
        <v>0</v>
      </c>
      <c r="V272" s="1">
        <f t="shared" si="21"/>
        <v>0</v>
      </c>
    </row>
    <row r="273" x14ac:dyDescent="0.25">
      <c r="A273" s="1">
        <v>271</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3"/>
        <v>0</v>
      </c>
      <c r="S273" s="1">
        <f t="shared" si="22"/>
        <v>0</v>
      </c>
      <c r="T273" s="1">
        <f t="shared" si="24"/>
        <v>0</v>
      </c>
      <c r="U273" s="1">
        <f t="shared" si="25"/>
        <v>0</v>
      </c>
      <c r="V273" s="1">
        <f t="shared" si="21"/>
        <v>0</v>
      </c>
    </row>
    <row r="274" x14ac:dyDescent="0.25">
      <c r="A274" s="1">
        <v>272</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3"/>
        <v>0</v>
      </c>
      <c r="S274" s="1">
        <f t="shared" si="22"/>
        <v>0</v>
      </c>
      <c r="T274" s="1">
        <f t="shared" si="24"/>
        <v>0</v>
      </c>
      <c r="U274" s="1">
        <f t="shared" si="25"/>
        <v>0</v>
      </c>
      <c r="V274" s="1">
        <f t="shared" si="21"/>
        <v>0</v>
      </c>
    </row>
    <row r="275" x14ac:dyDescent="0.25">
      <c r="A275" s="1">
        <v>273</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3"/>
        <v>0</v>
      </c>
      <c r="S275" s="1">
        <f t="shared" si="22"/>
        <v>0</v>
      </c>
      <c r="T275" s="1">
        <f t="shared" si="24"/>
        <v>0</v>
      </c>
      <c r="U275" s="1">
        <f t="shared" si="25"/>
        <v>0</v>
      </c>
      <c r="V275" s="1">
        <f t="shared" si="21"/>
        <v>0</v>
      </c>
    </row>
    <row r="276" x14ac:dyDescent="0.25">
      <c r="A276" s="1">
        <v>274</v>
      </c>
      <c r="B276" s="1" t="str">
        <v>Samuel Diaz Gonzales</v>
      </c>
      <c r="C276" s="1" t="str">
        <v>Defensa Pública</v>
      </c>
      <c r="D276" s="1" t="str">
        <v>Entrevista de actores clave</v>
      </c>
      <c r="E276" s="1" t="str">
        <v>Acompañantes</v>
      </c>
      <c r="F276" s="1" t="str">
        <v>Nacional</v>
      </c>
      <c r="G276" s="1" t="str">
        <v>IJM</v>
      </c>
      <c r="H276" s="1" t="str">
        <v>No</v>
      </c>
      <c r="I276" s="2">
        <v>46171</v>
      </c>
      <c r="J276" s="2" t="str">
        <v/>
      </c>
      <c r="K276" s="2" t="str">
        <v/>
      </c>
      <c r="L276" s="1" t="str">
        <v>Sin respuesta</v>
      </c>
      <c r="M276" s="2" t="str">
        <v/>
      </c>
      <c r="N276" s="2" t="str">
        <v/>
      </c>
      <c r="O276" s="1" t="str">
        <v>Sin respuesta</v>
      </c>
      <c r="P276" s="1" t="str">
        <v/>
      </c>
      <c r="Q276" s="1" t="str">
        <v/>
      </c>
      <c r="R276" s="1">
        <f t="shared" si="23"/>
        <v>0</v>
      </c>
      <c r="S276" s="1">
        <f t="shared" si="22"/>
        <v>0</v>
      </c>
      <c r="T276" s="1">
        <f t="shared" si="24"/>
        <v>0</v>
      </c>
      <c r="U276" s="1">
        <f t="shared" si="25"/>
        <v>0</v>
      </c>
      <c r="V276" s="1">
        <f t="shared" si="21"/>
        <v>1</v>
      </c>
    </row>
    <row r="277" x14ac:dyDescent="0.25">
      <c r="A277" s="1">
        <v>275</v>
      </c>
      <c r="B277" s="1" t="str">
        <v>Jorge Manuel Puicon Uceda</v>
      </c>
      <c r="C277" s="1" t="str">
        <v>Defensa Pública</v>
      </c>
      <c r="D277" s="1" t="str">
        <v>Entrevista de actores clave</v>
      </c>
      <c r="E277" s="1" t="str">
        <v>Acompañantes</v>
      </c>
      <c r="F277" s="1" t="str">
        <v>Nacional</v>
      </c>
      <c r="G277" s="1" t="str">
        <v>IJM</v>
      </c>
      <c r="H277" s="1" t="str">
        <v>No</v>
      </c>
      <c r="I277" s="2">
        <v>46171</v>
      </c>
      <c r="J277" s="2" t="str">
        <v/>
      </c>
      <c r="K277" s="2" t="str">
        <v/>
      </c>
      <c r="L277" s="1" t="str">
        <v>Sin respuesta</v>
      </c>
      <c r="M277" s="2" t="str">
        <v/>
      </c>
      <c r="N277" s="2" t="str">
        <v/>
      </c>
      <c r="O277" s="1" t="str">
        <v>Sin respuesta</v>
      </c>
      <c r="P277" s="1" t="str">
        <v/>
      </c>
      <c r="Q277" s="1" t="str">
        <v/>
      </c>
      <c r="R277" s="1">
        <f t="shared" si="23"/>
        <v>0</v>
      </c>
      <c r="S277" s="1">
        <f t="shared" si="22"/>
        <v>0</v>
      </c>
      <c r="T277" s="1">
        <f t="shared" si="24"/>
        <v>0</v>
      </c>
      <c r="U277" s="1">
        <f t="shared" si="25"/>
        <v>0</v>
      </c>
      <c r="V277" s="1">
        <f t="shared" si="21"/>
        <v>1</v>
      </c>
    </row>
    <row r="278" x14ac:dyDescent="0.25">
      <c r="A278" s="1">
        <v>276</v>
      </c>
      <c r="B278" s="1" t="str">
        <v>Carlos Manuel Gallegos Puma</v>
      </c>
      <c r="C278" s="1" t="str">
        <v>Defensa Pública</v>
      </c>
      <c r="D278" s="1" t="str">
        <v>Entrevista de actores clave</v>
      </c>
      <c r="E278" s="1" t="str">
        <v>Acompañantes</v>
      </c>
      <c r="F278" s="1" t="str">
        <v>Distrito Judicial: Ucayali</v>
      </c>
      <c r="G278" s="1" t="str">
        <v>IJM</v>
      </c>
      <c r="H278" s="1" t="str">
        <v>No</v>
      </c>
      <c r="I278" s="2">
        <v>46171</v>
      </c>
      <c r="J278" s="2" t="str">
        <v/>
      </c>
      <c r="K278" s="2" t="str">
        <v/>
      </c>
      <c r="L278" s="1" t="str">
        <v>Sin respuesta</v>
      </c>
      <c r="M278" s="2" t="str">
        <v/>
      </c>
      <c r="N278" s="2" t="str">
        <v/>
      </c>
      <c r="O278" s="1" t="str">
        <v>Sin respuesta</v>
      </c>
      <c r="P278" s="1" t="str">
        <v/>
      </c>
      <c r="Q278" s="1" t="str">
        <v/>
      </c>
      <c r="R278" s="1">
        <f t="shared" si="23"/>
        <v>0</v>
      </c>
      <c r="S278" s="1">
        <f t="shared" si="22"/>
        <v>0</v>
      </c>
      <c r="T278" s="1">
        <f t="shared" si="24"/>
        <v>0</v>
      </c>
      <c r="U278" s="1">
        <f t="shared" si="25"/>
        <v>0</v>
      </c>
      <c r="V278" s="1">
        <f t="shared" si="21"/>
        <v>1</v>
      </c>
    </row>
    <row r="279" x14ac:dyDescent="0.25">
      <c r="A279" s="1">
        <v>277</v>
      </c>
      <c r="B279" s="1" t="str">
        <v>Jose Manuel Guevara Caicedo</v>
      </c>
      <c r="C279" s="1" t="str">
        <v>Defensa Pública</v>
      </c>
      <c r="D279" s="1" t="str">
        <v>Entrevista de actores clave</v>
      </c>
      <c r="E279" s="1" t="str">
        <v>Acompañantes</v>
      </c>
      <c r="F279" s="1" t="str">
        <v>Distrito Judicial: Apurímac</v>
      </c>
      <c r="G279" s="1" t="str">
        <v>IJM</v>
      </c>
      <c r="H279" s="1" t="str">
        <v>No</v>
      </c>
      <c r="I279" s="2">
        <v>46171</v>
      </c>
      <c r="J279" s="2" t="str">
        <v/>
      </c>
      <c r="K279" s="2" t="str">
        <v/>
      </c>
      <c r="L279" s="1" t="str">
        <v>Sin respuesta</v>
      </c>
      <c r="M279" s="2" t="str">
        <v/>
      </c>
      <c r="N279" s="2" t="str">
        <v/>
      </c>
      <c r="O279" s="1" t="str">
        <v>Sin respuesta</v>
      </c>
      <c r="P279" s="1" t="str">
        <v/>
      </c>
      <c r="Q279" s="1" t="str">
        <v/>
      </c>
      <c r="R279" s="1">
        <f t="shared" si="23"/>
        <v>0</v>
      </c>
      <c r="S279" s="1">
        <f t="shared" si="22"/>
        <v>0</v>
      </c>
      <c r="T279" s="1">
        <f t="shared" si="24"/>
        <v>0</v>
      </c>
      <c r="U279" s="1">
        <f t="shared" si="25"/>
        <v>0</v>
      </c>
      <c r="V279" s="1">
        <f t="shared" ref="V279:V324" si="26">IF(L279="Sin respuesta",1,0)</f>
        <v>1</v>
      </c>
    </row>
    <row r="280" x14ac:dyDescent="0.25">
      <c r="A280" s="1">
        <v>278</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3"/>
        <v>0</v>
      </c>
      <c r="S280" s="1">
        <f t="shared" si="22"/>
        <v>0</v>
      </c>
      <c r="T280" s="1">
        <f t="shared" si="24"/>
        <v>0</v>
      </c>
      <c r="U280" s="1">
        <f t="shared" si="25"/>
        <v>0</v>
      </c>
      <c r="V280" s="1">
        <f t="shared" si="26"/>
        <v>0</v>
      </c>
    </row>
    <row r="281" x14ac:dyDescent="0.25">
      <c r="A281" s="1">
        <v>279</v>
      </c>
      <c r="B281" s="1" t="str">
        <v>Eberth William Mendoza Neira</v>
      </c>
      <c r="C281" s="1" t="str">
        <v>Defensa Pública</v>
      </c>
      <c r="D281" s="1" t="str">
        <v>Entrevista de actores clave</v>
      </c>
      <c r="E281" s="1" t="str">
        <v>Acompañantes</v>
      </c>
      <c r="F281" s="1" t="str">
        <v>Distrito Judicial: Huánuco</v>
      </c>
      <c r="G281" s="1" t="str">
        <v>IJM</v>
      </c>
      <c r="H281" s="1" t="str">
        <v>No</v>
      </c>
      <c r="I281" s="2">
        <v>46171</v>
      </c>
      <c r="J281" s="2" t="str">
        <v/>
      </c>
      <c r="K281" s="2" t="str">
        <v/>
      </c>
      <c r="L281" s="1" t="str">
        <v>Sin respuesta</v>
      </c>
      <c r="M281" s="2" t="str">
        <v/>
      </c>
      <c r="N281" s="2" t="str">
        <v/>
      </c>
      <c r="O281" s="1" t="str">
        <v>Sin respuesta</v>
      </c>
      <c r="P281" s="1" t="str">
        <v/>
      </c>
      <c r="Q281" s="1" t="str">
        <v/>
      </c>
      <c r="R281" s="1">
        <f t="shared" si="23"/>
        <v>0</v>
      </c>
      <c r="S281" s="1">
        <f t="shared" si="22"/>
        <v>0</v>
      </c>
      <c r="T281" s="1">
        <f t="shared" si="24"/>
        <v>0</v>
      </c>
      <c r="U281" s="1">
        <f t="shared" si="25"/>
        <v>0</v>
      </c>
      <c r="V281" s="1">
        <f t="shared" si="26"/>
        <v>1</v>
      </c>
    </row>
    <row r="282" x14ac:dyDescent="0.25">
      <c r="A282" s="1">
        <v>280</v>
      </c>
      <c r="B282" s="1" t="str">
        <v>Luis Carlos Paredes Arbildo</v>
      </c>
      <c r="C282" s="1" t="str">
        <v>Defensa Pública</v>
      </c>
      <c r="D282" s="1" t="str">
        <v>Entrevista de actores clave</v>
      </c>
      <c r="E282" s="1" t="str">
        <v>Acompañantes</v>
      </c>
      <c r="F282" s="1" t="str">
        <v>Distrito Judicial: Lima Norte</v>
      </c>
      <c r="G282" s="1" t="str">
        <v>IJM</v>
      </c>
      <c r="H282" s="1" t="str">
        <v>No</v>
      </c>
      <c r="I282" s="2">
        <v>46171</v>
      </c>
      <c r="J282" s="2" t="str">
        <v/>
      </c>
      <c r="K282" s="2" t="str">
        <v/>
      </c>
      <c r="L282" s="1" t="str">
        <v>Sin respuesta</v>
      </c>
      <c r="M282" s="2" t="str">
        <v/>
      </c>
      <c r="N282" s="2" t="str">
        <v/>
      </c>
      <c r="O282" s="1" t="str">
        <v>Sin respuesta</v>
      </c>
      <c r="P282" s="1" t="str">
        <v/>
      </c>
      <c r="Q282" s="1" t="str">
        <v/>
      </c>
      <c r="R282" s="1">
        <f t="shared" si="23"/>
        <v>0</v>
      </c>
      <c r="S282" s="1">
        <f t="shared" si="22"/>
        <v>0</v>
      </c>
      <c r="T282" s="1">
        <f t="shared" si="24"/>
        <v>0</v>
      </c>
      <c r="U282" s="1">
        <f t="shared" si="25"/>
        <v>0</v>
      </c>
      <c r="V282" s="1">
        <f t="shared" si="26"/>
        <v>1</v>
      </c>
    </row>
    <row r="283" x14ac:dyDescent="0.25">
      <c r="A283" s="1">
        <v>281</v>
      </c>
      <c r="B283" s="1" t="str">
        <v>Cesar Arque Meza</v>
      </c>
      <c r="C283" s="1" t="str">
        <v>Defensa Pública</v>
      </c>
      <c r="D283" s="1" t="str">
        <v>Entrevista de actores clave</v>
      </c>
      <c r="E283" s="1" t="str">
        <v>Acompañantes</v>
      </c>
      <c r="F283" s="1" t="str">
        <v>Nacional</v>
      </c>
      <c r="G283" s="1" t="str">
        <v>IJM</v>
      </c>
      <c r="H283" s="1" t="str">
        <v>Sí</v>
      </c>
      <c r="I283" s="2">
        <v>46202</v>
      </c>
      <c r="J283" s="2" t="str">
        <v/>
      </c>
      <c r="K283" s="2" t="str">
        <v/>
      </c>
      <c r="L283" s="1" t="str">
        <v>En coordinación</v>
      </c>
      <c r="M283" s="2" t="str">
        <v/>
      </c>
      <c r="N283" s="2" t="str">
        <v/>
      </c>
      <c r="O283" s="1" t="str">
        <v>En coordinación</v>
      </c>
      <c r="P283" s="1" t="str">
        <v/>
      </c>
      <c r="Q283" s="1" t="str">
        <v/>
      </c>
      <c r="R283" s="1">
        <f t="shared" si="23"/>
        <v>1</v>
      </c>
      <c r="S283" s="1">
        <f t="shared" si="22"/>
        <v>1</v>
      </c>
      <c r="T283" s="1">
        <f t="shared" si="24"/>
        <v>0</v>
      </c>
      <c r="U283" s="1">
        <f t="shared" si="25"/>
        <v>0</v>
      </c>
      <c r="V283" s="1">
        <f t="shared" si="26"/>
        <v>0</v>
      </c>
    </row>
    <row r="284" x14ac:dyDescent="0.25">
      <c r="A284" s="1">
        <v>282</v>
      </c>
      <c r="B284" s="1" t="str">
        <v>Ruth Omaira Valdivia Castillo De Mercado</v>
      </c>
      <c r="C284" s="1" t="str">
        <v>Defensa Pública</v>
      </c>
      <c r="D284" s="1" t="str">
        <v>Entrevista de actores clave</v>
      </c>
      <c r="E284" s="1" t="str">
        <v>Acompañantes</v>
      </c>
      <c r="F284" s="1" t="str">
        <v>Nacional</v>
      </c>
      <c r="G284" s="1" t="str">
        <v>IJM</v>
      </c>
      <c r="H284" s="1" t="str">
        <v>No</v>
      </c>
      <c r="I284" s="2">
        <v>46171</v>
      </c>
      <c r="J284" s="2" t="str">
        <v/>
      </c>
      <c r="K284" s="2" t="str">
        <v/>
      </c>
      <c r="L284" s="1" t="str">
        <v>Sin respuesta</v>
      </c>
      <c r="M284" s="2" t="str">
        <v/>
      </c>
      <c r="N284" s="2" t="str">
        <v/>
      </c>
      <c r="O284" s="1" t="str">
        <v>Sin respuesta</v>
      </c>
      <c r="P284" s="1" t="str">
        <v/>
      </c>
      <c r="Q284" s="1" t="str">
        <v/>
      </c>
      <c r="R284" s="1">
        <f t="shared" si="23"/>
        <v>0</v>
      </c>
      <c r="S284" s="1">
        <f t="shared" si="22"/>
        <v>0</v>
      </c>
      <c r="T284" s="1">
        <f t="shared" si="24"/>
        <v>0</v>
      </c>
      <c r="U284" s="1">
        <f t="shared" si="25"/>
        <v>0</v>
      </c>
      <c r="V284" s="1">
        <f t="shared" si="26"/>
        <v>1</v>
      </c>
    </row>
    <row r="285" x14ac:dyDescent="0.25">
      <c r="A285" s="1">
        <v>283</v>
      </c>
      <c r="B285" s="1" t="str">
        <v>Joseph Pasco Campana Porras</v>
      </c>
      <c r="C285" s="1" t="str">
        <v>Defensa Pública</v>
      </c>
      <c r="D285" s="1" t="str">
        <v>Entrevista de actores clave</v>
      </c>
      <c r="E285" s="1" t="str">
        <v>Acompañantes</v>
      </c>
      <c r="F285" s="1" t="str">
        <v>Nacional</v>
      </c>
      <c r="G285" s="1" t="str">
        <v>IJM</v>
      </c>
      <c r="H285" s="1" t="str">
        <v>No</v>
      </c>
      <c r="I285" s="2">
        <v>46171</v>
      </c>
      <c r="J285" s="2" t="str">
        <v/>
      </c>
      <c r="K285" s="2" t="str">
        <v/>
      </c>
      <c r="L285" s="1" t="str">
        <v>Sin respuesta</v>
      </c>
      <c r="M285" s="2" t="str">
        <v/>
      </c>
      <c r="N285" s="2" t="str">
        <v/>
      </c>
      <c r="O285" s="1" t="str">
        <v>Sin respuesta</v>
      </c>
      <c r="P285" s="1" t="str">
        <v/>
      </c>
      <c r="Q285" s="1" t="str">
        <v/>
      </c>
      <c r="R285" s="1">
        <f t="shared" si="23"/>
        <v>0</v>
      </c>
      <c r="S285" s="1">
        <f t="shared" si="22"/>
        <v>0</v>
      </c>
      <c r="T285" s="1">
        <f t="shared" si="24"/>
        <v>0</v>
      </c>
      <c r="U285" s="1">
        <f t="shared" si="25"/>
        <v>0</v>
      </c>
      <c r="V285" s="1">
        <f t="shared" si="26"/>
        <v>1</v>
      </c>
    </row>
    <row r="286" x14ac:dyDescent="0.25">
      <c r="A286" s="1">
        <v>284</v>
      </c>
      <c r="B286" s="1" t="str">
        <v>Pierr Abisai Adrianzen Roman</v>
      </c>
      <c r="C286" s="1" t="str">
        <v>Defensa Pública</v>
      </c>
      <c r="D286" s="1" t="str">
        <v>Entrevista de actores clave</v>
      </c>
      <c r="E286" s="1" t="str">
        <v>Acompañantes</v>
      </c>
      <c r="F286" s="1" t="str">
        <v>Nacional</v>
      </c>
      <c r="G286" s="1" t="str">
        <v>IJM</v>
      </c>
      <c r="H286" s="1" t="str">
        <v>No</v>
      </c>
      <c r="I286" s="2">
        <v>46171</v>
      </c>
      <c r="J286" s="2" t="str">
        <v/>
      </c>
      <c r="K286" s="2" t="str">
        <v/>
      </c>
      <c r="L286" s="1" t="str">
        <v>Sin respuesta</v>
      </c>
      <c r="M286" s="2" t="str">
        <v/>
      </c>
      <c r="N286" s="2" t="str">
        <v/>
      </c>
      <c r="O286" s="1" t="str">
        <v>Sin respuesta</v>
      </c>
      <c r="P286" s="1" t="str">
        <v/>
      </c>
      <c r="Q286" s="1" t="str">
        <v/>
      </c>
      <c r="R286" s="1">
        <f t="shared" si="23"/>
        <v>0</v>
      </c>
      <c r="S286" s="1">
        <f t="shared" si="22"/>
        <v>0</v>
      </c>
      <c r="T286" s="1">
        <f t="shared" si="24"/>
        <v>0</v>
      </c>
      <c r="U286" s="1">
        <f t="shared" si="25"/>
        <v>0</v>
      </c>
      <c r="V286" s="1">
        <f t="shared" si="26"/>
        <v>1</v>
      </c>
    </row>
    <row r="287" x14ac:dyDescent="0.25">
      <c r="A287" s="1">
        <v>285</v>
      </c>
      <c r="B287" s="1" t="str">
        <v>Victor Landa Farati</v>
      </c>
      <c r="C287" s="1" t="str">
        <v>Defensa Pública</v>
      </c>
      <c r="D287" s="1" t="str">
        <v>Entrevista de actores clave</v>
      </c>
      <c r="E287" s="1" t="str">
        <v>Acompañantes</v>
      </c>
      <c r="F287" s="1" t="str">
        <v>Nacional</v>
      </c>
      <c r="G287" s="1" t="str">
        <v>IJM</v>
      </c>
      <c r="H287" s="1" t="str">
        <v>No</v>
      </c>
      <c r="I287" s="2">
        <v>46171</v>
      </c>
      <c r="J287" s="2" t="str">
        <v/>
      </c>
      <c r="K287" s="2" t="str">
        <v/>
      </c>
      <c r="L287" s="1" t="str">
        <v>Sin respuesta</v>
      </c>
      <c r="M287" s="2" t="str">
        <v/>
      </c>
      <c r="N287" s="2" t="str">
        <v/>
      </c>
      <c r="O287" s="1" t="str">
        <v>Sin respuesta</v>
      </c>
      <c r="P287" s="1" t="str">
        <v/>
      </c>
      <c r="Q287" s="1" t="str">
        <v/>
      </c>
      <c r="R287" s="1">
        <f t="shared" si="23"/>
        <v>0</v>
      </c>
      <c r="S287" s="1">
        <f t="shared" si="22"/>
        <v>0</v>
      </c>
      <c r="T287" s="1">
        <f t="shared" si="24"/>
        <v>0</v>
      </c>
      <c r="U287" s="1">
        <f t="shared" si="25"/>
        <v>0</v>
      </c>
      <c r="V287" s="1">
        <f t="shared" si="26"/>
        <v>1</v>
      </c>
    </row>
    <row r="288" x14ac:dyDescent="0.25">
      <c r="A288" s="1">
        <v>286</v>
      </c>
      <c r="B288" s="1" t="str">
        <v>Juan Manuel Vásquez Carranza</v>
      </c>
      <c r="C288" s="1" t="str">
        <v>Defensa Pública</v>
      </c>
      <c r="D288" s="1" t="str">
        <v>Entrevista de actores clave</v>
      </c>
      <c r="E288" s="1" t="str">
        <v>Acompañantes</v>
      </c>
      <c r="F288" s="1" t="str">
        <v>Nacional</v>
      </c>
      <c r="G288" s="1" t="str">
        <v>IJM</v>
      </c>
      <c r="H288" s="1" t="str">
        <v>No</v>
      </c>
      <c r="I288" s="2">
        <v>46171</v>
      </c>
      <c r="J288" s="2" t="str">
        <v/>
      </c>
      <c r="K288" s="2" t="str">
        <v/>
      </c>
      <c r="L288" s="1" t="str">
        <v>Sin respuesta</v>
      </c>
      <c r="M288" s="2" t="str">
        <v/>
      </c>
      <c r="N288" s="2" t="str">
        <v/>
      </c>
      <c r="O288" s="1" t="str">
        <v>Sin respuesta</v>
      </c>
      <c r="P288" s="1" t="str">
        <v/>
      </c>
      <c r="Q288" s="1" t="str">
        <v/>
      </c>
      <c r="R288" s="1">
        <f t="shared" si="23"/>
        <v>0</v>
      </c>
      <c r="S288" s="1">
        <f t="shared" si="22"/>
        <v>0</v>
      </c>
      <c r="T288" s="1">
        <f t="shared" si="24"/>
        <v>0</v>
      </c>
      <c r="U288" s="1">
        <f t="shared" si="25"/>
        <v>0</v>
      </c>
      <c r="V288" s="1">
        <f t="shared" si="26"/>
        <v>1</v>
      </c>
    </row>
    <row r="289" x14ac:dyDescent="0.25">
      <c r="A289" s="1">
        <v>287</v>
      </c>
      <c r="B289" s="1" t="str">
        <v>Henry Valentín Nureña Castillo</v>
      </c>
      <c r="C289" s="1" t="str">
        <v>Defensa Pública</v>
      </c>
      <c r="D289" s="1" t="str">
        <v>Entrevista de actores clave</v>
      </c>
      <c r="E289" s="1" t="str">
        <v>Acompañantes</v>
      </c>
      <c r="F289" s="1" t="str">
        <v>Nacional</v>
      </c>
      <c r="G289" s="1" t="str">
        <v>IJM</v>
      </c>
      <c r="H289" s="1" t="str">
        <v>No</v>
      </c>
      <c r="I289" s="2">
        <v>46171</v>
      </c>
      <c r="J289" s="2" t="str">
        <v/>
      </c>
      <c r="K289" s="2" t="str">
        <v/>
      </c>
      <c r="L289" s="1" t="str">
        <v>Sin respuesta</v>
      </c>
      <c r="M289" s="2" t="str">
        <v/>
      </c>
      <c r="N289" s="2" t="str">
        <v/>
      </c>
      <c r="O289" s="1" t="str">
        <v>Sin respuesta</v>
      </c>
      <c r="P289" s="1" t="str">
        <v/>
      </c>
      <c r="Q289" s="1" t="str">
        <v/>
      </c>
      <c r="R289" s="1">
        <f t="shared" si="23"/>
        <v>0</v>
      </c>
      <c r="S289" s="1">
        <f t="shared" si="22"/>
        <v>0</v>
      </c>
      <c r="T289" s="1">
        <f t="shared" si="24"/>
        <v>0</v>
      </c>
      <c r="U289" s="1">
        <f t="shared" si="25"/>
        <v>0</v>
      </c>
      <c r="V289" s="1">
        <f t="shared" si="26"/>
        <v>1</v>
      </c>
    </row>
    <row r="290" x14ac:dyDescent="0.25">
      <c r="A290" s="1">
        <v>288</v>
      </c>
      <c r="B290" s="1" t="str">
        <v>Jesus Alfonso Jauregui Torres</v>
      </c>
      <c r="C290" s="1" t="str">
        <v>Defensa Pública</v>
      </c>
      <c r="D290" s="1" t="str">
        <v>Entrevista de actores clave</v>
      </c>
      <c r="E290" s="1" t="str">
        <v>Acompañantes</v>
      </c>
      <c r="F290" s="1" t="str">
        <v>Nacional</v>
      </c>
      <c r="G290" s="1" t="str">
        <v>IJM</v>
      </c>
      <c r="H290" s="1" t="str">
        <v>No</v>
      </c>
      <c r="I290" s="2">
        <v>46171</v>
      </c>
      <c r="J290" s="2" t="str">
        <v/>
      </c>
      <c r="K290" s="2" t="str">
        <v/>
      </c>
      <c r="L290" s="1" t="str">
        <v>Sin respuesta</v>
      </c>
      <c r="M290" s="2" t="str">
        <v/>
      </c>
      <c r="N290" s="2" t="str">
        <v/>
      </c>
      <c r="O290" s="1" t="str">
        <v>Sin respuesta</v>
      </c>
      <c r="P290" s="1" t="str">
        <v/>
      </c>
      <c r="Q290" s="1" t="str">
        <v/>
      </c>
      <c r="R290" s="1">
        <f t="shared" si="23"/>
        <v>0</v>
      </c>
      <c r="S290" s="1">
        <f t="shared" si="22"/>
        <v>0</v>
      </c>
      <c r="T290" s="1">
        <f t="shared" si="24"/>
        <v>0</v>
      </c>
      <c r="U290" s="1">
        <f t="shared" si="25"/>
        <v>0</v>
      </c>
      <c r="V290" s="1">
        <f t="shared" si="26"/>
        <v>1</v>
      </c>
    </row>
    <row r="291" x14ac:dyDescent="0.25">
      <c r="A291" s="1">
        <v>289</v>
      </c>
      <c r="B291" s="1" t="str">
        <v>Gregorio Alexander Purizaca Vignolo</v>
      </c>
      <c r="C291" s="1" t="str">
        <v>Defensa Pública</v>
      </c>
      <c r="D291" s="1" t="str">
        <v>Entrevista de actores clave</v>
      </c>
      <c r="E291" s="1" t="str">
        <v>Acompañantes</v>
      </c>
      <c r="F291" s="1" t="str">
        <v>Nacional</v>
      </c>
      <c r="G291" s="1" t="str">
        <v>IJM</v>
      </c>
      <c r="H291" s="1" t="str">
        <v>No</v>
      </c>
      <c r="I291" s="2">
        <v>46171</v>
      </c>
      <c r="J291" s="2" t="str">
        <v/>
      </c>
      <c r="K291" s="2" t="str">
        <v/>
      </c>
      <c r="L291" s="1" t="str">
        <v>Sin respuesta</v>
      </c>
      <c r="M291" s="2" t="str">
        <v/>
      </c>
      <c r="N291" s="2" t="str">
        <v/>
      </c>
      <c r="O291" s="1" t="str">
        <v>Sin respuesta</v>
      </c>
      <c r="P291" s="1" t="str">
        <v/>
      </c>
      <c r="Q291" s="1" t="str">
        <v/>
      </c>
      <c r="R291" s="1">
        <f t="shared" si="23"/>
        <v>0</v>
      </c>
      <c r="S291" s="1">
        <f t="shared" si="22"/>
        <v>0</v>
      </c>
      <c r="T291" s="1">
        <f t="shared" si="24"/>
        <v>0</v>
      </c>
      <c r="U291" s="1">
        <f t="shared" si="25"/>
        <v>0</v>
      </c>
      <c r="V291" s="1">
        <f t="shared" si="26"/>
        <v>1</v>
      </c>
    </row>
    <row r="292" x14ac:dyDescent="0.25">
      <c r="A292" s="1">
        <v>290</v>
      </c>
      <c r="B292" s="1" t="str">
        <v>Brenda Gabriela Sanga Coarite</v>
      </c>
      <c r="C292" s="1" t="str">
        <v>Defensa Pública</v>
      </c>
      <c r="D292" s="1" t="str">
        <v>Entrevista de actores clave</v>
      </c>
      <c r="E292" s="1" t="str">
        <v>Acompañantes</v>
      </c>
      <c r="F292" s="1" t="str">
        <v>Distrito Judicial: Huánuco</v>
      </c>
      <c r="G292" s="1" t="str">
        <v>IJM</v>
      </c>
      <c r="H292" s="1" t="str">
        <v>No</v>
      </c>
      <c r="I292" s="2">
        <v>46171</v>
      </c>
      <c r="J292" s="2" t="str">
        <v/>
      </c>
      <c r="K292" s="2" t="str">
        <v/>
      </c>
      <c r="L292" s="1" t="str">
        <v>Sin respuesta</v>
      </c>
      <c r="M292" s="2" t="str">
        <v/>
      </c>
      <c r="N292" s="2" t="str">
        <v/>
      </c>
      <c r="O292" s="1" t="str">
        <v>Sin respuesta</v>
      </c>
      <c r="P292" s="1" t="str">
        <v/>
      </c>
      <c r="Q292" s="1" t="str">
        <v/>
      </c>
      <c r="R292" s="1">
        <f t="shared" si="23"/>
        <v>0</v>
      </c>
      <c r="S292" s="1">
        <f t="shared" si="22"/>
        <v>0</v>
      </c>
      <c r="T292" s="1">
        <f t="shared" si="24"/>
        <v>0</v>
      </c>
      <c r="U292" s="1">
        <f t="shared" si="25"/>
        <v>0</v>
      </c>
      <c r="V292" s="1">
        <f t="shared" si="26"/>
        <v>1</v>
      </c>
    </row>
    <row r="293" x14ac:dyDescent="0.25">
      <c r="A293" s="1">
        <v>291</v>
      </c>
      <c r="B293" s="1" t="str">
        <v>Carlos David Zuñiga Diaz</v>
      </c>
      <c r="C293" s="1" t="str">
        <v>Defensa Pública</v>
      </c>
      <c r="D293" s="1" t="str">
        <v>Entrevista de actores clave</v>
      </c>
      <c r="E293" s="1" t="str">
        <v>Acompañantes</v>
      </c>
      <c r="F293" s="1" t="str">
        <v>Distrito Judicial: Lima Norte</v>
      </c>
      <c r="G293" s="1" t="str">
        <v>IJM</v>
      </c>
      <c r="H293" s="1" t="str">
        <v>No</v>
      </c>
      <c r="I293" s="2">
        <v>46171</v>
      </c>
      <c r="J293" s="2" t="str">
        <v/>
      </c>
      <c r="K293" s="2" t="str">
        <v/>
      </c>
      <c r="L293" s="1" t="str">
        <v>Sin respuesta</v>
      </c>
      <c r="M293" s="2" t="str">
        <v/>
      </c>
      <c r="N293" s="2" t="str">
        <v/>
      </c>
      <c r="O293" s="1" t="str">
        <v>Sin respuesta</v>
      </c>
      <c r="P293" s="1" t="str">
        <v/>
      </c>
      <c r="Q293" s="1" t="str">
        <v/>
      </c>
      <c r="R293" s="1">
        <f t="shared" si="23"/>
        <v>0</v>
      </c>
      <c r="S293" s="1">
        <f t="shared" si="22"/>
        <v>0</v>
      </c>
      <c r="T293" s="1">
        <f t="shared" si="24"/>
        <v>0</v>
      </c>
      <c r="U293" s="1">
        <f t="shared" si="25"/>
        <v>0</v>
      </c>
      <c r="V293" s="1">
        <f t="shared" si="26"/>
        <v>1</v>
      </c>
    </row>
    <row r="294" x14ac:dyDescent="0.25">
      <c r="A294" s="1">
        <v>292</v>
      </c>
      <c r="B294" s="1" t="str">
        <v>Jorge Enrique Kaqui Quiñonez</v>
      </c>
      <c r="C294" s="1" t="str">
        <v>Defensa Pública</v>
      </c>
      <c r="D294" s="1" t="str">
        <v>Entrevista de actores clave</v>
      </c>
      <c r="E294" s="1" t="str">
        <v>Acompañantes</v>
      </c>
      <c r="F294" s="1" t="str">
        <v>Distrito Judicial: Cajamarca</v>
      </c>
      <c r="G294" s="1" t="str">
        <v>IJM</v>
      </c>
      <c r="H294" s="1" t="str">
        <v>No</v>
      </c>
      <c r="I294" s="2">
        <v>46171</v>
      </c>
      <c r="J294" s="2" t="str">
        <v/>
      </c>
      <c r="K294" s="2" t="str">
        <v/>
      </c>
      <c r="L294" s="1" t="str">
        <v>Sin respuesta</v>
      </c>
      <c r="M294" s="2" t="str">
        <v/>
      </c>
      <c r="N294" s="2" t="str">
        <v/>
      </c>
      <c r="O294" s="1" t="str">
        <v>Sin respuesta</v>
      </c>
      <c r="P294" s="1" t="str">
        <v/>
      </c>
      <c r="Q294" s="1" t="str">
        <v/>
      </c>
      <c r="R294" s="1">
        <f t="shared" si="23"/>
        <v>0</v>
      </c>
      <c r="S294" s="1">
        <f t="shared" si="22"/>
        <v>0</v>
      </c>
      <c r="T294" s="1">
        <f t="shared" si="24"/>
        <v>0</v>
      </c>
      <c r="U294" s="1">
        <f t="shared" si="25"/>
        <v>0</v>
      </c>
      <c r="V294" s="1">
        <f t="shared" si="26"/>
        <v>1</v>
      </c>
    </row>
    <row r="295" x14ac:dyDescent="0.25">
      <c r="A295" s="1">
        <v>293</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3"/>
        <v>0</v>
      </c>
      <c r="S295" s="1">
        <f t="shared" si="22"/>
        <v>0</v>
      </c>
      <c r="T295" s="1">
        <f t="shared" si="24"/>
        <v>0</v>
      </c>
      <c r="U295" s="1">
        <f t="shared" si="25"/>
        <v>0</v>
      </c>
      <c r="V295" s="1">
        <f t="shared" si="26"/>
        <v>0</v>
      </c>
    </row>
    <row r="296" x14ac:dyDescent="0.25">
      <c r="A296" s="1">
        <v>294</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3"/>
        <v>0</v>
      </c>
      <c r="S296" s="1">
        <f t="shared" si="22"/>
        <v>0</v>
      </c>
      <c r="T296" s="1">
        <f t="shared" si="24"/>
        <v>0</v>
      </c>
      <c r="U296" s="1">
        <f t="shared" si="25"/>
        <v>0</v>
      </c>
      <c r="V296" s="1">
        <f t="shared" si="26"/>
        <v>0</v>
      </c>
    </row>
    <row r="297" x14ac:dyDescent="0.25">
      <c r="A297" s="1">
        <v>295</v>
      </c>
      <c r="B297" s="1" t="str">
        <v>Dayma Gabriela Navia Canal </v>
      </c>
      <c r="C297" s="1" t="str">
        <v>Defensa Pública</v>
      </c>
      <c r="D297" s="1" t="str">
        <v>Entrevista de actores clave</v>
      </c>
      <c r="E297" s="1" t="str">
        <v>Funcionarios del Sistema</v>
      </c>
      <c r="F297" s="1" t="str">
        <v>Nacional</v>
      </c>
      <c r="G297" s="1" t="str">
        <v>IJM</v>
      </c>
      <c r="H297" s="1" t="str">
        <v>Sí</v>
      </c>
      <c r="I297" s="2">
        <v>46107</v>
      </c>
      <c r="J297" s="2" t="str">
        <v/>
      </c>
      <c r="K297" s="2" t="str">
        <v/>
      </c>
      <c r="L297" s="1" t="str">
        <v>Realizada completa</v>
      </c>
      <c r="M297" s="2">
        <v>46111</v>
      </c>
      <c r="N297" s="2">
        <v>46111</v>
      </c>
      <c r="O297" s="1" t="str">
        <v>Realizada completa</v>
      </c>
      <c r="P297" s="1">
        <v>45</v>
      </c>
      <c r="Q297" s="1" t="str">
        <v>A distancia asistido</v>
      </c>
      <c r="R297" s="1">
        <f t="shared" si="23"/>
        <v>1</v>
      </c>
      <c r="S297" s="1">
        <f t="shared" si="22"/>
        <v>0</v>
      </c>
      <c r="T297" s="1">
        <f t="shared" si="24"/>
        <v>0</v>
      </c>
      <c r="U297" s="1">
        <f t="shared" si="25"/>
        <v>1</v>
      </c>
      <c r="V297" s="1">
        <f t="shared" si="26"/>
        <v>0</v>
      </c>
    </row>
    <row r="298" x14ac:dyDescent="0.25">
      <c r="A298" s="1">
        <v>296</v>
      </c>
      <c r="B298" s="1" t="str">
        <v>Olga Huaman Ortiz</v>
      </c>
      <c r="C298" s="1" t="str">
        <v>Defensa Pública</v>
      </c>
      <c r="D298" s="1" t="str">
        <v>Entrevista de actores clave</v>
      </c>
      <c r="E298" s="1" t="str">
        <v>Funcionarios del Sistema</v>
      </c>
      <c r="F298" s="1" t="str">
        <v>Nacional</v>
      </c>
      <c r="G298" s="1" t="str">
        <v>IJM</v>
      </c>
      <c r="H298" s="1" t="str">
        <v>Sí</v>
      </c>
      <c r="I298" s="2">
        <v>46107</v>
      </c>
      <c r="J298" s="2">
        <v>46111</v>
      </c>
      <c r="K298" s="2" t="str">
        <v/>
      </c>
      <c r="L298" s="1" t="str">
        <v>Realizada completa</v>
      </c>
      <c r="M298" s="2">
        <v>46114</v>
      </c>
      <c r="N298" s="2">
        <v>46120</v>
      </c>
      <c r="O298" s="1" t="str">
        <v>Realizada completa</v>
      </c>
      <c r="P298" s="1">
        <v>38</v>
      </c>
      <c r="Q298" s="1" t="str">
        <v>A distancia asistido</v>
      </c>
      <c r="R298" s="1">
        <f t="shared" si="23"/>
        <v>1</v>
      </c>
      <c r="S298" s="1">
        <f t="shared" si="22"/>
        <v>0</v>
      </c>
      <c r="T298" s="1">
        <f t="shared" si="24"/>
        <v>0</v>
      </c>
      <c r="U298" s="1">
        <f t="shared" si="25"/>
        <v>1</v>
      </c>
      <c r="V298" s="1">
        <f t="shared" si="26"/>
        <v>0</v>
      </c>
    </row>
    <row r="299" x14ac:dyDescent="0.25">
      <c r="A299" s="1">
        <v>297</v>
      </c>
      <c r="B299" s="1" t="str">
        <v>Jesús Martin Cahua Huamán</v>
      </c>
      <c r="C299" s="1" t="str">
        <v>Defensa Pública</v>
      </c>
      <c r="D299" s="1" t="str">
        <v>Entrevista de actores clave</v>
      </c>
      <c r="E299" s="1" t="str">
        <v>Funcionarios del Sistema</v>
      </c>
      <c r="F299" s="1" t="str">
        <v>Nacional</v>
      </c>
      <c r="G299" s="1" t="str">
        <v>IJM</v>
      </c>
      <c r="H299" s="1" t="str">
        <v>Sí</v>
      </c>
      <c r="I299" s="2">
        <v>46107</v>
      </c>
      <c r="J299" s="2">
        <v>46171</v>
      </c>
      <c r="K299" s="2" t="str">
        <v/>
      </c>
      <c r="L299" s="1" t="str">
        <v>Sin respuesta</v>
      </c>
      <c r="M299" s="2" t="str">
        <v/>
      </c>
      <c r="N299" s="2" t="str">
        <v/>
      </c>
      <c r="O299" s="1" t="str">
        <v>Sin respuesta</v>
      </c>
      <c r="P299" s="1" t="str">
        <v/>
      </c>
      <c r="Q299" s="1" t="str">
        <v/>
      </c>
      <c r="R299" s="1">
        <f t="shared" si="23"/>
        <v>1</v>
      </c>
      <c r="S299" s="1">
        <f t="shared" si="22"/>
        <v>0</v>
      </c>
      <c r="T299" s="1">
        <f t="shared" si="24"/>
        <v>0</v>
      </c>
      <c r="U299" s="1">
        <f t="shared" si="25"/>
        <v>0</v>
      </c>
      <c r="V299" s="1">
        <f t="shared" si="26"/>
        <v>1</v>
      </c>
    </row>
    <row r="300" x14ac:dyDescent="0.25">
      <c r="A300" s="1">
        <v>298</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3"/>
        <v>0</v>
      </c>
      <c r="S300" s="1">
        <f t="shared" si="22"/>
        <v>0</v>
      </c>
      <c r="T300" s="1">
        <f t="shared" si="24"/>
        <v>0</v>
      </c>
      <c r="U300" s="1">
        <f t="shared" si="25"/>
        <v>0</v>
      </c>
      <c r="V300" s="1">
        <f t="shared" si="26"/>
        <v>0</v>
      </c>
    </row>
    <row r="301" x14ac:dyDescent="0.25">
      <c r="A301" s="1">
        <v>299</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3"/>
        <v>0</v>
      </c>
      <c r="S301" s="1">
        <f t="shared" si="22"/>
        <v>0</v>
      </c>
      <c r="T301" s="1">
        <f t="shared" si="24"/>
        <v>0</v>
      </c>
      <c r="U301" s="1">
        <f t="shared" si="25"/>
        <v>0</v>
      </c>
      <c r="V301" s="1">
        <f t="shared" si="26"/>
        <v>0</v>
      </c>
    </row>
    <row r="302" x14ac:dyDescent="0.25">
      <c r="A302" s="1">
        <v>300</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3"/>
        <v>0</v>
      </c>
      <c r="S302" s="1">
        <f t="shared" si="22"/>
        <v>0</v>
      </c>
      <c r="T302" s="1">
        <f t="shared" si="24"/>
        <v>0</v>
      </c>
      <c r="U302" s="1">
        <f t="shared" si="25"/>
        <v>0</v>
      </c>
      <c r="V302" s="1">
        <f t="shared" si="26"/>
        <v>0</v>
      </c>
    </row>
    <row r="303" x14ac:dyDescent="0.25">
      <c r="A303" s="1">
        <v>301</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3"/>
        <v>0</v>
      </c>
      <c r="S303" s="1">
        <f t="shared" si="22"/>
        <v>0</v>
      </c>
      <c r="T303" s="1">
        <f t="shared" si="24"/>
        <v>0</v>
      </c>
      <c r="U303" s="1">
        <f t="shared" si="25"/>
        <v>0</v>
      </c>
      <c r="V303" s="1">
        <f t="shared" si="26"/>
        <v>0</v>
      </c>
    </row>
    <row r="304" x14ac:dyDescent="0.25">
      <c r="A304" s="1">
        <v>302</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v>46147</v>
      </c>
      <c r="J304" s="2" t="str">
        <v/>
      </c>
      <c r="K304" s="2" t="str">
        <v/>
      </c>
      <c r="L304" s="1" t="str">
        <v>Sin respuesta</v>
      </c>
      <c r="M304" s="2" t="str">
        <v/>
      </c>
      <c r="N304" s="2" t="str">
        <v/>
      </c>
      <c r="O304" s="1" t="str">
        <v>Sin respuesta</v>
      </c>
      <c r="P304" s="1" t="str">
        <v/>
      </c>
      <c r="Q304" s="1" t="str">
        <v/>
      </c>
      <c r="R304" s="1">
        <f t="shared" si="23"/>
        <v>1</v>
      </c>
      <c r="S304" s="1">
        <f t="shared" si="22"/>
        <v>0</v>
      </c>
      <c r="T304" s="1">
        <f t="shared" si="24"/>
        <v>0</v>
      </c>
      <c r="U304" s="1">
        <f t="shared" si="25"/>
        <v>0</v>
      </c>
      <c r="V304" s="1">
        <f t="shared" si="26"/>
        <v>1</v>
      </c>
    </row>
    <row r="305" x14ac:dyDescent="0.25">
      <c r="A305" s="1">
        <v>303</v>
      </c>
      <c r="B305" s="1" t="str">
        <v>Luz Isabel Mejía Cunovilla De Yamaguchi</v>
      </c>
      <c r="C305" s="1" t="str">
        <v>Defensoría del Pueblo</v>
      </c>
      <c r="D305" s="1" t="str">
        <v>Entrevista de actores clave</v>
      </c>
      <c r="E305" s="1" t="str">
        <v>Acompañantes</v>
      </c>
      <c r="F305" s="1" t="str">
        <v>Nacional</v>
      </c>
      <c r="G305" s="1" t="str">
        <v>IJM</v>
      </c>
      <c r="H305" s="1" t="str">
        <v>No</v>
      </c>
      <c r="I305" s="2">
        <v>46171</v>
      </c>
      <c r="J305" s="2" t="str">
        <v/>
      </c>
      <c r="K305" s="2" t="str">
        <v/>
      </c>
      <c r="L305" s="1" t="str">
        <v>Sin respuesta</v>
      </c>
      <c r="M305" s="2" t="str">
        <v/>
      </c>
      <c r="N305" s="2" t="str">
        <v/>
      </c>
      <c r="O305" s="1" t="str">
        <v>Sin respuesta</v>
      </c>
      <c r="P305" s="1" t="str">
        <v/>
      </c>
      <c r="Q305" s="1" t="str">
        <v/>
      </c>
      <c r="R305" s="1">
        <f t="shared" si="23"/>
        <v>0</v>
      </c>
      <c r="S305" s="1">
        <f t="shared" si="22"/>
        <v>0</v>
      </c>
      <c r="T305" s="1">
        <f t="shared" si="24"/>
        <v>0</v>
      </c>
      <c r="U305" s="1">
        <f t="shared" si="25"/>
        <v>0</v>
      </c>
      <c r="V305" s="1">
        <f t="shared" si="26"/>
        <v>1</v>
      </c>
    </row>
    <row r="306" x14ac:dyDescent="0.25">
      <c r="A306" s="1">
        <v>304</v>
      </c>
      <c r="B306" s="1" t="str">
        <v>Sandra Yessica Ramos Flores</v>
      </c>
      <c r="C306" s="1" t="str">
        <v>Defensoría del Pueblo</v>
      </c>
      <c r="D306" s="1" t="str">
        <v>Entrevista de actores clave</v>
      </c>
      <c r="E306" s="1" t="str">
        <v>Funcionarios del Sistema</v>
      </c>
      <c r="F306" s="1" t="str">
        <v>Nacional</v>
      </c>
      <c r="G306" s="1" t="str">
        <v>IJM</v>
      </c>
      <c r="H306" s="1" t="str">
        <v>Sí</v>
      </c>
      <c r="I306" s="2">
        <v>46147</v>
      </c>
      <c r="J306" s="2" t="str">
        <v/>
      </c>
      <c r="K306" s="2" t="str">
        <v/>
      </c>
      <c r="L306" s="1" t="str">
        <v>Sin respuesta</v>
      </c>
      <c r="M306" s="2" t="str">
        <v/>
      </c>
      <c r="N306" s="2" t="str">
        <v/>
      </c>
      <c r="O306" s="1" t="str">
        <v>Sin respuesta</v>
      </c>
      <c r="P306" s="1" t="str">
        <v/>
      </c>
      <c r="Q306" s="1" t="str">
        <v/>
      </c>
      <c r="R306" s="1">
        <f t="shared" si="23"/>
        <v>1</v>
      </c>
      <c r="S306" s="1">
        <f t="shared" si="22"/>
        <v>0</v>
      </c>
      <c r="T306" s="1">
        <f t="shared" si="24"/>
        <v>0</v>
      </c>
      <c r="U306" s="1">
        <f t="shared" si="25"/>
        <v>0</v>
      </c>
      <c r="V306" s="1">
        <f t="shared" si="26"/>
        <v>1</v>
      </c>
    </row>
    <row r="307" x14ac:dyDescent="0.25">
      <c r="A307" s="1">
        <v>305</v>
      </c>
      <c r="B307" s="1" t="str">
        <v>Marco Octavio Durand Rocca</v>
      </c>
      <c r="C307" s="1" t="str">
        <v>Defensoría del Pueblo</v>
      </c>
      <c r="D307" s="1" t="str">
        <v>Entrevista de actores clave</v>
      </c>
      <c r="E307" s="1" t="str">
        <v>Funcionarios del Sistema</v>
      </c>
      <c r="F307" s="1" t="str">
        <v>Nacional</v>
      </c>
      <c r="G307" s="1" t="str">
        <v>IJM</v>
      </c>
      <c r="H307" s="1" t="str">
        <v>Sí</v>
      </c>
      <c r="I307" s="2">
        <v>46147</v>
      </c>
      <c r="J307" s="2" t="str">
        <v/>
      </c>
      <c r="K307" s="2" t="str">
        <v/>
      </c>
      <c r="L307" s="1" t="str">
        <v>Sin respuesta</v>
      </c>
      <c r="M307" s="2" t="str">
        <v/>
      </c>
      <c r="N307" s="2" t="str">
        <v/>
      </c>
      <c r="O307" s="1" t="str">
        <v>Sin respuesta</v>
      </c>
      <c r="P307" s="1" t="str">
        <v/>
      </c>
      <c r="Q307" s="1" t="str">
        <v/>
      </c>
      <c r="R307" s="1">
        <f t="shared" si="23"/>
        <v>1</v>
      </c>
      <c r="S307" s="1">
        <f t="shared" si="22"/>
        <v>0</v>
      </c>
      <c r="T307" s="1">
        <f t="shared" si="24"/>
        <v>0</v>
      </c>
      <c r="U307" s="1">
        <f t="shared" si="25"/>
        <v>0</v>
      </c>
      <c r="V307" s="1">
        <f t="shared" si="26"/>
        <v>1</v>
      </c>
    </row>
    <row r="308" x14ac:dyDescent="0.25">
      <c r="A308" s="1">
        <v>306</v>
      </c>
      <c r="B308" s="1" t="str">
        <v>Soledad Elena Rodríguez Loli</v>
      </c>
      <c r="C308" s="1" t="str">
        <v>Defensoría del Pueblo</v>
      </c>
      <c r="D308" s="1" t="str">
        <v>Entrevista de actores clave</v>
      </c>
      <c r="E308" s="1" t="str">
        <v>Acompañantes</v>
      </c>
      <c r="F308" s="1" t="str">
        <v>Nacional</v>
      </c>
      <c r="G308" s="1" t="str">
        <v>IJM</v>
      </c>
      <c r="H308" s="1" t="str">
        <v>No</v>
      </c>
      <c r="I308" s="2">
        <v>46171</v>
      </c>
      <c r="J308" s="2" t="str">
        <v/>
      </c>
      <c r="K308" s="2" t="str">
        <v/>
      </c>
      <c r="L308" s="1" t="str">
        <v>Sin respuesta</v>
      </c>
      <c r="M308" s="2" t="str">
        <v/>
      </c>
      <c r="N308" s="2" t="str">
        <v/>
      </c>
      <c r="O308" s="1" t="str">
        <v>Sin respuesta</v>
      </c>
      <c r="P308" s="1" t="str">
        <v/>
      </c>
      <c r="Q308" s="1" t="str">
        <v/>
      </c>
      <c r="R308" s="1">
        <f t="shared" si="23"/>
        <v>0</v>
      </c>
      <c r="S308" s="1">
        <f t="shared" si="22"/>
        <v>0</v>
      </c>
      <c r="T308" s="1">
        <f t="shared" si="24"/>
        <v>0</v>
      </c>
      <c r="U308" s="1">
        <f t="shared" si="25"/>
        <v>0</v>
      </c>
      <c r="V308" s="1">
        <f t="shared" si="26"/>
        <v>1</v>
      </c>
    </row>
    <row r="309" x14ac:dyDescent="0.25">
      <c r="A309" s="1">
        <v>307</v>
      </c>
      <c r="B309" s="1" t="str">
        <v>Genoveva Gómez Vargas</v>
      </c>
      <c r="C309" s="1" t="str">
        <v>Defensoría del Pueblo</v>
      </c>
      <c r="D309" s="1" t="str">
        <v>Entrevista de actores clave</v>
      </c>
      <c r="E309" s="1" t="str">
        <v>Acompañantes</v>
      </c>
      <c r="F309" s="1" t="str">
        <v>Nacional</v>
      </c>
      <c r="G309" s="1" t="str">
        <v>IJM</v>
      </c>
      <c r="H309" s="1" t="str">
        <v>No</v>
      </c>
      <c r="I309" s="2">
        <v>46171</v>
      </c>
      <c r="J309" s="2" t="str">
        <v/>
      </c>
      <c r="K309" s="2" t="str">
        <v/>
      </c>
      <c r="L309" s="1" t="str">
        <v>Sin respuesta</v>
      </c>
      <c r="M309" s="2" t="str">
        <v/>
      </c>
      <c r="N309" s="2" t="str">
        <v/>
      </c>
      <c r="O309" s="1" t="str">
        <v>Sin respuesta</v>
      </c>
      <c r="P309" s="1" t="str">
        <v/>
      </c>
      <c r="Q309" s="1" t="str">
        <v/>
      </c>
      <c r="R309" s="1">
        <f t="shared" si="23"/>
        <v>0</v>
      </c>
      <c r="S309" s="1">
        <f t="shared" si="22"/>
        <v>0</v>
      </c>
      <c r="T309" s="1">
        <f t="shared" si="24"/>
        <v>0</v>
      </c>
      <c r="U309" s="1">
        <f t="shared" si="25"/>
        <v>0</v>
      </c>
      <c r="V309" s="1">
        <f t="shared" si="26"/>
        <v>1</v>
      </c>
    </row>
    <row r="310" x14ac:dyDescent="0.25">
      <c r="A310" s="1">
        <v>308</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3"/>
        <v>0</v>
      </c>
      <c r="S310" s="1">
        <f t="shared" si="22"/>
        <v>0</v>
      </c>
      <c r="T310" s="1">
        <f t="shared" si="24"/>
        <v>0</v>
      </c>
      <c r="U310" s="1">
        <f t="shared" si="25"/>
        <v>0</v>
      </c>
      <c r="V310" s="1">
        <f t="shared" si="26"/>
        <v>0</v>
      </c>
    </row>
    <row r="311" x14ac:dyDescent="0.25">
      <c r="A311" s="1">
        <v>309</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3"/>
        <v>0</v>
      </c>
      <c r="S311" s="1">
        <f t="shared" si="22"/>
        <v>0</v>
      </c>
      <c r="T311" s="1">
        <f t="shared" si="24"/>
        <v>0</v>
      </c>
      <c r="U311" s="1">
        <f t="shared" si="25"/>
        <v>0</v>
      </c>
      <c r="V311" s="1">
        <f t="shared" si="26"/>
        <v>0</v>
      </c>
    </row>
    <row r="312" x14ac:dyDescent="0.25">
      <c r="A312" s="1">
        <v>310</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3"/>
        <v>0</v>
      </c>
      <c r="S312" s="1">
        <f t="shared" si="22"/>
        <v>0</v>
      </c>
      <c r="T312" s="1">
        <f t="shared" si="24"/>
        <v>0</v>
      </c>
      <c r="U312" s="1">
        <f t="shared" si="25"/>
        <v>0</v>
      </c>
      <c r="V312" s="1">
        <f t="shared" si="26"/>
        <v>0</v>
      </c>
    </row>
    <row r="313" x14ac:dyDescent="0.25">
      <c r="A313" s="1">
        <v>311</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3"/>
        <v>0</v>
      </c>
      <c r="S313" s="1">
        <f t="shared" si="22"/>
        <v>0</v>
      </c>
      <c r="T313" s="1">
        <f t="shared" si="24"/>
        <v>0</v>
      </c>
      <c r="U313" s="1">
        <f t="shared" si="25"/>
        <v>0</v>
      </c>
      <c r="V313" s="1">
        <f t="shared" si="26"/>
        <v>0</v>
      </c>
    </row>
    <row r="314" x14ac:dyDescent="0.25">
      <c r="A314" s="1">
        <v>312</v>
      </c>
      <c r="B314" s="1" t="str">
        <v>Gloria Ziegler</v>
      </c>
      <c r="C314" s="1" t="str">
        <v>Ojo Público</v>
      </c>
      <c r="D314" s="1" t="str">
        <v>Entrevista de actores clave</v>
      </c>
      <c r="E314" s="1" t="str">
        <v>Prensa</v>
      </c>
      <c r="F314" s="1" t="str">
        <v>Nacional</v>
      </c>
      <c r="G314" s="1" t="str">
        <v>IJM</v>
      </c>
      <c r="H314" s="1" t="str">
        <v>Sí</v>
      </c>
      <c r="I314" s="2">
        <v>46154</v>
      </c>
      <c r="J314" s="2" t="str">
        <v/>
      </c>
      <c r="K314" s="2" t="str">
        <v/>
      </c>
      <c r="L314" s="1" t="str">
        <v>Realizada completa</v>
      </c>
      <c r="M314" s="2">
        <v>46175</v>
      </c>
      <c r="N314" s="2" t="str">
        <v/>
      </c>
      <c r="O314" s="1" t="str">
        <v>Realizada completa</v>
      </c>
      <c r="P314" s="1" t="str">
        <v/>
      </c>
      <c r="Q314" s="1" t="str">
        <v>A distancia asistido</v>
      </c>
      <c r="R314" s="1">
        <f t="shared" si="23"/>
        <v>1</v>
      </c>
      <c r="S314" s="1">
        <f t="shared" si="22"/>
        <v>0</v>
      </c>
      <c r="T314" s="1">
        <f t="shared" si="24"/>
        <v>0</v>
      </c>
      <c r="U314" s="1">
        <f t="shared" si="25"/>
        <v>1</v>
      </c>
      <c r="V314" s="1">
        <f t="shared" si="26"/>
        <v>0</v>
      </c>
    </row>
    <row r="315" x14ac:dyDescent="0.25">
      <c r="A315" s="1">
        <v>313</v>
      </c>
      <c r="B315" s="1" t="str">
        <v>Paloma Verano</v>
      </c>
      <c r="C315" s="1" t="str">
        <v>RPP</v>
      </c>
      <c r="D315" s="1" t="str">
        <v>Entrevista de actores clave</v>
      </c>
      <c r="E315" s="1" t="str">
        <v>Prensa</v>
      </c>
      <c r="F315" s="1" t="str">
        <v>Nacional</v>
      </c>
      <c r="G315" s="1" t="str">
        <v>IJM</v>
      </c>
      <c r="H315" s="1" t="str">
        <v>No</v>
      </c>
      <c r="I315" s="2">
        <v>46171</v>
      </c>
      <c r="J315" s="2" t="str">
        <v/>
      </c>
      <c r="K315" s="2" t="str">
        <v/>
      </c>
      <c r="L315" s="1" t="str">
        <v>Sin respuesta</v>
      </c>
      <c r="M315" s="2" t="str">
        <v/>
      </c>
      <c r="N315" s="2" t="str">
        <v/>
      </c>
      <c r="O315" s="1" t="str">
        <v>Sin respuesta</v>
      </c>
      <c r="P315" s="1" t="str">
        <v/>
      </c>
      <c r="Q315" s="1" t="str">
        <v/>
      </c>
      <c r="R315" s="1">
        <f t="shared" si="23"/>
        <v>0</v>
      </c>
      <c r="S315" s="1">
        <f t="shared" si="22"/>
        <v>0</v>
      </c>
      <c r="T315" s="1">
        <f t="shared" si="24"/>
        <v>0</v>
      </c>
      <c r="U315" s="1">
        <f t="shared" si="25"/>
        <v>0</v>
      </c>
      <c r="V315" s="1">
        <f t="shared" si="26"/>
        <v>1</v>
      </c>
    </row>
    <row r="316" x14ac:dyDescent="0.25">
      <c r="A316" s="1">
        <v>314</v>
      </c>
      <c r="B316" s="1" t="str">
        <v>Pedro Luis Ramos Martinez</v>
      </c>
      <c r="C316" s="1" t="str">
        <v>RPP</v>
      </c>
      <c r="D316" s="1" t="str">
        <v>Entrevista de actores clave</v>
      </c>
      <c r="E316" s="1" t="str">
        <v>Prensa</v>
      </c>
      <c r="F316" s="1" t="str">
        <v>Nacional</v>
      </c>
      <c r="G316" s="1" t="str">
        <v>IJM</v>
      </c>
      <c r="H316" s="1" t="str">
        <v>No</v>
      </c>
      <c r="I316" s="2">
        <v>46171</v>
      </c>
      <c r="J316" s="2" t="str">
        <v/>
      </c>
      <c r="K316" s="2" t="str">
        <v/>
      </c>
      <c r="L316" s="1" t="str">
        <v>Sin respuesta</v>
      </c>
      <c r="M316" s="2" t="str">
        <v/>
      </c>
      <c r="N316" s="2" t="str">
        <v/>
      </c>
      <c r="O316" s="1" t="str">
        <v>Sin respuesta</v>
      </c>
      <c r="P316" s="1" t="str">
        <v/>
      </c>
      <c r="Q316" s="1" t="str">
        <v/>
      </c>
      <c r="R316" s="1">
        <f t="shared" si="23"/>
        <v>0</v>
      </c>
      <c r="S316" s="1">
        <f t="shared" si="22"/>
        <v>0</v>
      </c>
      <c r="T316" s="1">
        <f t="shared" si="24"/>
        <v>0</v>
      </c>
      <c r="U316" s="1">
        <f t="shared" si="25"/>
        <v>0</v>
      </c>
      <c r="V316" s="1">
        <f t="shared" si="26"/>
        <v>1</v>
      </c>
    </row>
    <row r="317" x14ac:dyDescent="0.25">
      <c r="A317" s="1">
        <v>315</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3"/>
        <v>0</v>
      </c>
      <c r="S317" s="1">
        <f t="shared" si="22"/>
        <v>0</v>
      </c>
      <c r="T317" s="1">
        <f t="shared" si="24"/>
        <v>0</v>
      </c>
      <c r="U317" s="1">
        <f t="shared" si="25"/>
        <v>0</v>
      </c>
      <c r="V317" s="1">
        <f t="shared" si="26"/>
        <v>0</v>
      </c>
    </row>
    <row r="318" x14ac:dyDescent="0.25">
      <c r="A318" s="1">
        <v>316</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3"/>
        <v>0</v>
      </c>
      <c r="S318" s="1">
        <f t="shared" si="22"/>
        <v>0</v>
      </c>
      <c r="T318" s="1">
        <f t="shared" si="24"/>
        <v>0</v>
      </c>
      <c r="U318" s="1">
        <f t="shared" si="25"/>
        <v>0</v>
      </c>
      <c r="V318" s="1">
        <f t="shared" si="26"/>
        <v>0</v>
      </c>
    </row>
    <row r="319" x14ac:dyDescent="0.25">
      <c r="A319" s="1">
        <v>317</v>
      </c>
      <c r="B319" s="1" t="str">
        <v>Claudia Cisneros</v>
      </c>
      <c r="C319" s="1" t="str">
        <v>Wayka</v>
      </c>
      <c r="D319" s="1" t="str">
        <v>Entrevista de actores clave</v>
      </c>
      <c r="E319" s="1" t="str">
        <v>Prensa</v>
      </c>
      <c r="F319" s="1" t="str">
        <v>Nacional</v>
      </c>
      <c r="G319" s="1" t="str">
        <v>IJM</v>
      </c>
      <c r="H319" s="1" t="str">
        <v>Sí</v>
      </c>
      <c r="I319" s="2">
        <v>46111</v>
      </c>
      <c r="J319" s="2">
        <v>46147</v>
      </c>
      <c r="K319" s="2" t="str">
        <v/>
      </c>
      <c r="L319" s="1" t="str">
        <v>Sin respuesta</v>
      </c>
      <c r="M319" s="2" t="str">
        <v/>
      </c>
      <c r="N319" s="2" t="str">
        <v/>
      </c>
      <c r="O319" s="1" t="str">
        <v>Sin respuesta</v>
      </c>
      <c r="P319" s="1" t="str">
        <v/>
      </c>
      <c r="Q319" s="1" t="str">
        <v/>
      </c>
      <c r="R319" s="1">
        <f t="shared" si="23"/>
        <v>1</v>
      </c>
      <c r="S319" s="1">
        <f t="shared" si="22"/>
        <v>0</v>
      </c>
      <c r="T319" s="1">
        <f t="shared" si="24"/>
        <v>0</v>
      </c>
      <c r="U319" s="1">
        <f t="shared" si="25"/>
        <v>0</v>
      </c>
      <c r="V319" s="1">
        <f t="shared" si="26"/>
        <v>1</v>
      </c>
    </row>
    <row r="320" x14ac:dyDescent="0.25">
      <c r="A320" s="1">
        <v>318</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3"/>
        <v>0</v>
      </c>
      <c r="S320" s="1">
        <f t="shared" si="22"/>
        <v>0</v>
      </c>
      <c r="T320" s="1">
        <f t="shared" si="24"/>
        <v>0</v>
      </c>
      <c r="U320" s="1">
        <f t="shared" si="25"/>
        <v>0</v>
      </c>
      <c r="V320" s="1">
        <f t="shared" si="26"/>
        <v>0</v>
      </c>
    </row>
    <row r="321" x14ac:dyDescent="0.25">
      <c r="A321" s="1">
        <v>319</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3"/>
        <v>0</v>
      </c>
      <c r="S321" s="1">
        <f t="shared" si="22"/>
        <v>0</v>
      </c>
      <c r="T321" s="1">
        <f t="shared" si="24"/>
        <v>0</v>
      </c>
      <c r="U321" s="1">
        <f t="shared" si="25"/>
        <v>0</v>
      </c>
      <c r="V321" s="1">
        <f t="shared" si="26"/>
        <v>0</v>
      </c>
    </row>
    <row r="322" x14ac:dyDescent="0.25">
      <c r="A322" s="1">
        <v>320</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3"/>
        <v>0</v>
      </c>
      <c r="S322" s="1">
        <f t="shared" ref="S322:S324" si="27">IF(L322="En coordinación",1,0)</f>
        <v>0</v>
      </c>
      <c r="T322" s="1">
        <f t="shared" si="24"/>
        <v>0</v>
      </c>
      <c r="U322" s="1">
        <f t="shared" si="25"/>
        <v>0</v>
      </c>
      <c r="V322" s="1">
        <f t="shared" si="26"/>
        <v>0</v>
      </c>
    </row>
    <row r="323" x14ac:dyDescent="0.25">
      <c r="A323" s="1">
        <v>321</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24" si="28">IF(H323="Sí",1,0)</f>
        <v>0</v>
      </c>
      <c r="S323" s="1">
        <f t="shared" si="27"/>
        <v>0</v>
      </c>
      <c r="T323" s="1">
        <f t="shared" ref="T323:T324" si="29">IF(L323="Aceptada",1,0)</f>
        <v>0</v>
      </c>
      <c r="U323" s="1">
        <f t="shared" ref="U323:U324" si="30">IF(OR(L323="Realizada completa",L323="Realizada incompleta"),1,0)</f>
        <v>0</v>
      </c>
      <c r="V323" s="1">
        <f t="shared" si="26"/>
        <v>0</v>
      </c>
    </row>
    <row r="324" x14ac:dyDescent="0.25">
      <c r="A324" s="1">
        <v>322</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8"/>
        <v>0</v>
      </c>
      <c r="S324" s="1">
        <f t="shared" si="27"/>
        <v>0</v>
      </c>
      <c r="T324" s="1">
        <f t="shared" si="29"/>
        <v>0</v>
      </c>
      <c r="U324" s="1">
        <f t="shared" si="30"/>
        <v>0</v>
      </c>
      <c r="V324" s="1">
        <f t="shared" si="26"/>
        <v>0</v>
      </c>
    </row>
    <row r="325" x14ac:dyDescent="0.25">
      <c r="A325" s="1">
        <v>323</v>
      </c>
      <c r="B325" s="1" t="str">
        <v>Ariana Lira Delcore</v>
      </c>
      <c r="C325" s="1" t="str">
        <v>El Comercio</v>
      </c>
      <c r="D325" s="1" t="str">
        <v>Entrevista de actores clave</v>
      </c>
      <c r="E325" s="1" t="str">
        <v>Prensa</v>
      </c>
      <c r="F325" s="1" t="str">
        <v>Nacional</v>
      </c>
      <c r="G325" s="1" t="str">
        <v>IJM</v>
      </c>
      <c r="H325" s="1" t="str">
        <v>No</v>
      </c>
      <c r="I325" s="2">
        <v>46171</v>
      </c>
      <c r="J325" s="2" t="str">
        <v/>
      </c>
      <c r="K325" s="2" t="str">
        <v/>
      </c>
      <c r="L325" s="1" t="str">
        <v>Sin respuesta</v>
      </c>
      <c r="M325" s="2" t="str">
        <v/>
      </c>
      <c r="N325" s="2" t="str">
        <v/>
      </c>
      <c r="O325" s="1" t="str">
        <v>Sin respuesta</v>
      </c>
      <c r="P325" s="1" t="str">
        <v/>
      </c>
      <c r="Q325" s="1" t="str">
        <v/>
      </c>
      <c r="R325" s="1">
        <f t="shared" ref="R325:R363" si="31">IF(H325="Sí",1,0)</f>
        <v>0</v>
      </c>
      <c r="S325" s="1">
        <f t="shared" ref="S325:S363" si="32">IF(L325="En coordinación",1,0)</f>
        <v>0</v>
      </c>
      <c r="T325" s="1">
        <f t="shared" ref="T325:T363" si="33">IF(L325="Aceptada",1,0)</f>
        <v>0</v>
      </c>
      <c r="U325" s="1">
        <f t="shared" ref="U325:U363" si="34">IF(OR(L325="Realizada completa",L325="Realizada incompleta"),1,0)</f>
        <v>0</v>
      </c>
      <c r="V325" s="1">
        <f t="shared" ref="V325:V363" si="35">IF(L325="Sin respuesta",1,0)</f>
        <v>1</v>
      </c>
    </row>
    <row r="326" x14ac:dyDescent="0.25">
      <c r="A326" s="1">
        <v>324</v>
      </c>
      <c r="B326" s="1" t="str">
        <v>Pilar Yasmint Sotelo Tello</v>
      </c>
      <c r="C326" s="1" t="str">
        <v>Ministerio de la Mujer </v>
      </c>
      <c r="D326" s="1" t="str">
        <v>Entrevista de actores clave</v>
      </c>
      <c r="E326" s="1" t="str">
        <v>Funcionarios del Sistema</v>
      </c>
      <c r="F326" s="1" t="str">
        <v>Distrito Judicial: Apurímac</v>
      </c>
      <c r="G326" s="1" t="str">
        <v>IJM</v>
      </c>
      <c r="H326" s="1" t="str">
        <v>No</v>
      </c>
      <c r="I326" s="2">
        <v>46171</v>
      </c>
      <c r="J326" s="2" t="str">
        <v/>
      </c>
      <c r="K326" s="2" t="str">
        <v/>
      </c>
      <c r="L326" s="1" t="str">
        <v>Sin respuesta</v>
      </c>
      <c r="M326" s="2" t="str">
        <v/>
      </c>
      <c r="N326" s="2" t="str">
        <v/>
      </c>
      <c r="O326" s="1" t="str">
        <v>Sin respuesta</v>
      </c>
      <c r="P326" s="1" t="str">
        <v/>
      </c>
      <c r="Q326" s="1" t="str">
        <v/>
      </c>
      <c r="R326" s="1">
        <f t="shared" si="31"/>
        <v>0</v>
      </c>
      <c r="S326" s="1">
        <f t="shared" si="32"/>
        <v>0</v>
      </c>
      <c r="T326" s="1">
        <f t="shared" si="33"/>
        <v>0</v>
      </c>
      <c r="U326" s="1">
        <f t="shared" si="34"/>
        <v>0</v>
      </c>
      <c r="V326" s="1">
        <f t="shared" si="35"/>
        <v>1</v>
      </c>
    </row>
    <row r="327" x14ac:dyDescent="0.25">
      <c r="A327" s="1">
        <v>325</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31"/>
        <v>0</v>
      </c>
      <c r="S327" s="1">
        <f t="shared" si="32"/>
        <v>0</v>
      </c>
      <c r="T327" s="1">
        <f t="shared" si="33"/>
        <v>0</v>
      </c>
      <c r="U327" s="1">
        <f t="shared" si="34"/>
        <v>0</v>
      </c>
      <c r="V327" s="1">
        <f t="shared" si="35"/>
        <v>0</v>
      </c>
    </row>
    <row r="328" x14ac:dyDescent="0.25">
      <c r="A328" s="1">
        <v>326</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31"/>
        <v>0</v>
      </c>
      <c r="S328" s="1">
        <f t="shared" si="32"/>
        <v>0</v>
      </c>
      <c r="T328" s="1">
        <f t="shared" si="33"/>
        <v>0</v>
      </c>
      <c r="U328" s="1">
        <f t="shared" si="34"/>
        <v>0</v>
      </c>
      <c r="V328" s="1">
        <f t="shared" si="35"/>
        <v>0</v>
      </c>
    </row>
    <row r="329" x14ac:dyDescent="0.25">
      <c r="A329" s="1">
        <v>327</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31"/>
        <v>0</v>
      </c>
      <c r="S329" s="1">
        <f t="shared" si="32"/>
        <v>0</v>
      </c>
      <c r="T329" s="1">
        <f t="shared" si="33"/>
        <v>0</v>
      </c>
      <c r="U329" s="1">
        <f t="shared" si="34"/>
        <v>0</v>
      </c>
      <c r="V329" s="1">
        <f t="shared" si="35"/>
        <v>0</v>
      </c>
    </row>
    <row r="330" x14ac:dyDescent="0.25">
      <c r="A330" s="1">
        <v>328</v>
      </c>
      <c r="B330" s="1" t="str">
        <v>Javier Malpartida Urzubiaga</v>
      </c>
      <c r="C330" s="1" t="str">
        <v>Tarpurisunchis</v>
      </c>
      <c r="D330" s="1" t="str">
        <v>Entrevista de actores clave</v>
      </c>
      <c r="E330" s="1" t="str">
        <v>Actores locales</v>
      </c>
      <c r="F330" s="1" t="str">
        <v>Distrito Judicial: Apurímac</v>
      </c>
      <c r="G330" s="1" t="str">
        <v>IJM</v>
      </c>
      <c r="H330" s="1" t="str">
        <v>No</v>
      </c>
      <c r="I330" s="2" t="str">
        <v/>
      </c>
      <c r="J330" s="2" t="str">
        <v/>
      </c>
      <c r="K330" s="2" t="str">
        <v/>
      </c>
      <c r="L330" s="1" t="str">
        <v/>
      </c>
      <c r="M330" s="2" t="str">
        <v/>
      </c>
      <c r="N330" s="2" t="str">
        <v/>
      </c>
      <c r="O330" s="1" t="str">
        <v/>
      </c>
      <c r="P330" s="1" t="str">
        <v/>
      </c>
      <c r="Q330" s="1" t="str">
        <v/>
      </c>
      <c r="R330" s="1">
        <f t="shared" si="31"/>
        <v>0</v>
      </c>
      <c r="S330" s="1">
        <f t="shared" si="32"/>
        <v>0</v>
      </c>
      <c r="T330" s="1">
        <f t="shared" si="33"/>
        <v>0</v>
      </c>
      <c r="U330" s="1">
        <f t="shared" si="34"/>
        <v>0</v>
      </c>
      <c r="V330" s="1">
        <f t="shared" si="35"/>
        <v>0</v>
      </c>
    </row>
    <row r="331" x14ac:dyDescent="0.25">
      <c r="A331" s="1">
        <v>329</v>
      </c>
      <c r="B331" s="1" t="str">
        <v>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31"/>
        <v>0</v>
      </c>
      <c r="S331" s="1">
        <f t="shared" si="32"/>
        <v>0</v>
      </c>
      <c r="T331" s="1">
        <f t="shared" si="33"/>
        <v>0</v>
      </c>
      <c r="U331" s="1">
        <f t="shared" si="34"/>
        <v>0</v>
      </c>
      <c r="V331" s="1">
        <f t="shared" si="35"/>
        <v>0</v>
      </c>
    </row>
    <row r="332" x14ac:dyDescent="0.25">
      <c r="A332" s="1">
        <v>330</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v>46171</v>
      </c>
      <c r="J332" s="2" t="str">
        <v/>
      </c>
      <c r="K332" s="2" t="str">
        <v/>
      </c>
      <c r="L332" s="1" t="str">
        <v>Sin respuesta</v>
      </c>
      <c r="M332" s="2" t="str">
        <v/>
      </c>
      <c r="N332" s="2" t="str">
        <v/>
      </c>
      <c r="O332" s="1" t="str">
        <v>Sin respuesta</v>
      </c>
      <c r="P332" s="1" t="str">
        <v/>
      </c>
      <c r="Q332" s="1" t="str">
        <v/>
      </c>
      <c r="R332" s="1">
        <f t="shared" si="31"/>
        <v>0</v>
      </c>
      <c r="S332" s="1">
        <f t="shared" si="32"/>
        <v>0</v>
      </c>
      <c r="T332" s="1">
        <f t="shared" si="33"/>
        <v>0</v>
      </c>
      <c r="U332" s="1">
        <f t="shared" si="34"/>
        <v>0</v>
      </c>
      <c r="V332" s="1">
        <f t="shared" si="35"/>
        <v>1</v>
      </c>
    </row>
    <row r="333" x14ac:dyDescent="0.25">
      <c r="A333" s="1">
        <v>331</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v>46171</v>
      </c>
      <c r="J333" s="2" t="str">
        <v/>
      </c>
      <c r="K333" s="2" t="str">
        <v/>
      </c>
      <c r="L333" s="1" t="str">
        <v>Realizada completa</v>
      </c>
      <c r="M333" s="2">
        <v>46177</v>
      </c>
      <c r="N333" s="2" t="str">
        <v/>
      </c>
      <c r="O333" s="1" t="str">
        <v>Realizada completa</v>
      </c>
      <c r="P333" s="1" t="str">
        <v/>
      </c>
      <c r="Q333" s="1" t="str">
        <v>A distancia asistido</v>
      </c>
      <c r="R333" s="1">
        <f t="shared" si="31"/>
        <v>1</v>
      </c>
      <c r="S333" s="1">
        <f t="shared" si="32"/>
        <v>0</v>
      </c>
      <c r="T333" s="1">
        <f t="shared" si="33"/>
        <v>0</v>
      </c>
      <c r="U333" s="1">
        <f t="shared" si="34"/>
        <v>1</v>
      </c>
      <c r="V333" s="1">
        <f t="shared" si="35"/>
        <v>0</v>
      </c>
    </row>
    <row r="334" x14ac:dyDescent="0.25">
      <c r="A334" s="1">
        <v>332</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31"/>
        <v>0</v>
      </c>
      <c r="S334" s="1">
        <f t="shared" si="32"/>
        <v>0</v>
      </c>
      <c r="T334" s="1">
        <f t="shared" si="33"/>
        <v>0</v>
      </c>
      <c r="U334" s="1">
        <f t="shared" si="34"/>
        <v>0</v>
      </c>
      <c r="V334" s="1">
        <f t="shared" si="35"/>
        <v>0</v>
      </c>
    </row>
    <row r="335" x14ac:dyDescent="0.25">
      <c r="A335" s="1">
        <v>333</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v>46147</v>
      </c>
      <c r="J335" s="2" t="str">
        <v/>
      </c>
      <c r="K335" s="2" t="str">
        <v/>
      </c>
      <c r="L335" s="1" t="str">
        <v>Sin respuesta</v>
      </c>
      <c r="M335" s="2" t="str">
        <v/>
      </c>
      <c r="N335" s="2" t="str">
        <v/>
      </c>
      <c r="O335" s="1" t="str">
        <v>Sin respuesta</v>
      </c>
      <c r="P335" s="1" t="str">
        <v/>
      </c>
      <c r="Q335" s="1" t="str">
        <v/>
      </c>
      <c r="R335" s="1">
        <f t="shared" si="31"/>
        <v>1</v>
      </c>
      <c r="S335" s="1">
        <f t="shared" si="32"/>
        <v>0</v>
      </c>
      <c r="T335" s="1">
        <f t="shared" si="33"/>
        <v>0</v>
      </c>
      <c r="U335" s="1">
        <f t="shared" si="34"/>
        <v>0</v>
      </c>
      <c r="V335" s="1">
        <f t="shared" si="35"/>
        <v>1</v>
      </c>
    </row>
    <row r="336" x14ac:dyDescent="0.25">
      <c r="A336" s="1">
        <v>334</v>
      </c>
      <c r="B336" s="1" t="str">
        <v>Rossana Dudziak</v>
      </c>
      <c r="C336" s="1" t="str">
        <v>ONU</v>
      </c>
      <c r="D336" s="1" t="str">
        <v>Entrevista de actores clave</v>
      </c>
      <c r="E336" s="1" t="str">
        <v>Multilaterales</v>
      </c>
      <c r="F336" s="1" t="str">
        <v>Nacional</v>
      </c>
      <c r="G336" s="1" t="str">
        <v>IJM</v>
      </c>
      <c r="H336" s="1" t="str">
        <v>No</v>
      </c>
      <c r="I336" s="2">
        <v>46171</v>
      </c>
      <c r="J336" s="2" t="str">
        <v/>
      </c>
      <c r="K336" s="2" t="str">
        <v/>
      </c>
      <c r="L336" s="1" t="str">
        <v>Sin respuesta</v>
      </c>
      <c r="M336" s="2" t="str">
        <v/>
      </c>
      <c r="N336" s="2" t="str">
        <v/>
      </c>
      <c r="O336" s="1" t="str">
        <v>Sin respuesta</v>
      </c>
      <c r="P336" s="1" t="str">
        <v/>
      </c>
      <c r="Q336" s="1" t="str">
        <v/>
      </c>
      <c r="R336" s="1">
        <f t="shared" si="31"/>
        <v>0</v>
      </c>
      <c r="S336" s="1">
        <f t="shared" si="32"/>
        <v>0</v>
      </c>
      <c r="T336" s="1">
        <f t="shared" si="33"/>
        <v>0</v>
      </c>
      <c r="U336" s="1">
        <f t="shared" si="34"/>
        <v>0</v>
      </c>
      <c r="V336" s="1">
        <f t="shared" si="35"/>
        <v>1</v>
      </c>
    </row>
    <row r="337" x14ac:dyDescent="0.25">
      <c r="A337" s="1">
        <v>335</v>
      </c>
      <c r="B337" s="1" t="str">
        <v>Cristel Damian</v>
      </c>
      <c r="C337" s="1" t="str">
        <v>UNFPA</v>
      </c>
      <c r="D337" s="1" t="str">
        <v>Entrevista de actores clave</v>
      </c>
      <c r="E337" s="1" t="str">
        <v>Multilaterales</v>
      </c>
      <c r="F337" s="1" t="str">
        <v>Nacional</v>
      </c>
      <c r="G337" s="1" t="str">
        <v>IJM</v>
      </c>
      <c r="H337" s="1" t="str">
        <v>No</v>
      </c>
      <c r="I337" s="2">
        <v>46171</v>
      </c>
      <c r="J337" s="2" t="str">
        <v/>
      </c>
      <c r="K337" s="2" t="str">
        <v/>
      </c>
      <c r="L337" s="1" t="str">
        <v>Sin respuesta</v>
      </c>
      <c r="M337" s="2" t="str">
        <v/>
      </c>
      <c r="N337" s="2" t="str">
        <v/>
      </c>
      <c r="O337" s="1" t="str">
        <v>Sin respuesta</v>
      </c>
      <c r="P337" s="1" t="str">
        <v/>
      </c>
      <c r="Q337" s="1" t="str">
        <v/>
      </c>
      <c r="R337" s="1">
        <f t="shared" si="31"/>
        <v>0</v>
      </c>
      <c r="S337" s="1">
        <f t="shared" si="32"/>
        <v>0</v>
      </c>
      <c r="T337" s="1">
        <f t="shared" si="33"/>
        <v>0</v>
      </c>
      <c r="U337" s="1">
        <f t="shared" si="34"/>
        <v>0</v>
      </c>
      <c r="V337" s="1">
        <f t="shared" si="35"/>
        <v>1</v>
      </c>
    </row>
    <row r="338" x14ac:dyDescent="0.25">
      <c r="A338" s="1">
        <v>336</v>
      </c>
      <c r="B338" s="1" t="str">
        <v>Karim Velasco</v>
      </c>
      <c r="C338" s="1" t="str">
        <v>PNUD</v>
      </c>
      <c r="D338" s="1" t="str">
        <v>Entrevista de actores clave</v>
      </c>
      <c r="E338" s="1" t="str">
        <v>Multilaterales</v>
      </c>
      <c r="F338" s="1" t="str">
        <v>Distrito Judicial: Cajamarca</v>
      </c>
      <c r="G338" s="1" t="str">
        <v>IJM</v>
      </c>
      <c r="H338" s="1" t="str">
        <v>Sí</v>
      </c>
      <c r="I338" s="2">
        <v>46178</v>
      </c>
      <c r="J338" s="2" t="str">
        <v/>
      </c>
      <c r="K338" s="2" t="str">
        <v/>
      </c>
      <c r="L338" s="1" t="str">
        <v>Realizada completa</v>
      </c>
      <c r="M338" s="2" t="str">
        <v/>
      </c>
      <c r="N338" s="2" t="str">
        <v/>
      </c>
      <c r="O338" s="1" t="str">
        <v>Realizada completa</v>
      </c>
      <c r="P338" s="1" t="str">
        <v/>
      </c>
      <c r="Q338" s="1" t="str">
        <v>A distancia asistido</v>
      </c>
      <c r="R338" s="1">
        <f t="shared" si="31"/>
        <v>1</v>
      </c>
      <c r="S338" s="1">
        <f t="shared" si="32"/>
        <v>0</v>
      </c>
      <c r="T338" s="1">
        <f t="shared" si="33"/>
        <v>0</v>
      </c>
      <c r="U338" s="1">
        <f t="shared" si="34"/>
        <v>1</v>
      </c>
      <c r="V338" s="1">
        <f t="shared" si="35"/>
        <v>0</v>
      </c>
    </row>
    <row r="339" x14ac:dyDescent="0.25">
      <c r="A339" s="1">
        <v>337</v>
      </c>
      <c r="B339" s="1" t="str">
        <v>Antonino De Leo</v>
      </c>
      <c r="C339" s="1" t="str">
        <v>UNODC - Oficina de las Naciones Unidas contra la Droga y el Delito</v>
      </c>
      <c r="D339" s="1" t="str">
        <v>Entrevista de actores clave</v>
      </c>
      <c r="E339" s="1" t="str">
        <v>Multilaterales</v>
      </c>
      <c r="F339" s="1" t="str">
        <v>Distrito Judicial: Ucayali</v>
      </c>
      <c r="G339" s="1" t="str">
        <v>IJM</v>
      </c>
      <c r="H339" s="1" t="str">
        <v>No</v>
      </c>
      <c r="I339" s="2">
        <v>46171</v>
      </c>
      <c r="J339" s="2" t="str">
        <v/>
      </c>
      <c r="K339" s="2" t="str">
        <v/>
      </c>
      <c r="L339" s="1" t="str">
        <v>Sin respuesta</v>
      </c>
      <c r="M339" s="2" t="str">
        <v/>
      </c>
      <c r="N339" s="2" t="str">
        <v/>
      </c>
      <c r="O339" s="1" t="str">
        <v>Sin respuesta</v>
      </c>
      <c r="P339" s="1" t="str">
        <v/>
      </c>
      <c r="Q339" s="1" t="str">
        <v/>
      </c>
      <c r="R339" s="1">
        <f t="shared" si="31"/>
        <v>0</v>
      </c>
      <c r="S339" s="1">
        <f t="shared" si="32"/>
        <v>0</v>
      </c>
      <c r="T339" s="1">
        <f t="shared" si="33"/>
        <v>0</v>
      </c>
      <c r="U339" s="1">
        <f t="shared" si="34"/>
        <v>0</v>
      </c>
      <c r="V339" s="1">
        <f t="shared" si="35"/>
        <v>1</v>
      </c>
    </row>
    <row r="340" x14ac:dyDescent="0.25">
      <c r="A340" s="1">
        <v>338</v>
      </c>
      <c r="B340" s="1" t="str">
        <v>José Roberto Piqueras Bouillon</v>
      </c>
      <c r="C340" s="1" t="str">
        <v>AECID</v>
      </c>
      <c r="D340" s="1" t="str">
        <v>Entrevista de actores clave</v>
      </c>
      <c r="E340" s="1" t="str">
        <v>Multilaterales</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31"/>
        <v>1</v>
      </c>
      <c r="S340" s="1">
        <f t="shared" si="32"/>
        <v>0</v>
      </c>
      <c r="T340" s="1">
        <f t="shared" si="33"/>
        <v>0</v>
      </c>
      <c r="U340" s="1">
        <f t="shared" si="34"/>
        <v>0</v>
      </c>
      <c r="V340" s="1">
        <f t="shared" si="35"/>
        <v>0</v>
      </c>
    </row>
    <row r="341" x14ac:dyDescent="0.25">
      <c r="A341" s="1">
        <v>339</v>
      </c>
      <c r="B341" s="1" t="str">
        <v>Teresina Muñoz Najar</v>
      </c>
      <c r="C341" s="1" t="str">
        <v>Independiente</v>
      </c>
      <c r="D341" s="1" t="str">
        <v>Entrevista de actores clave</v>
      </c>
      <c r="E341" s="1" t="str">
        <v>Prensa</v>
      </c>
      <c r="F341" s="1" t="str">
        <v>Nacional</v>
      </c>
      <c r="G341" s="1" t="str">
        <v>IJM</v>
      </c>
      <c r="H341" s="1" t="str">
        <v>No</v>
      </c>
      <c r="I341" s="2">
        <v>46171</v>
      </c>
      <c r="J341" s="2" t="str">
        <v/>
      </c>
      <c r="K341" s="2" t="str">
        <v/>
      </c>
      <c r="L341" s="1" t="str">
        <v>Sin respuesta</v>
      </c>
      <c r="M341" s="2" t="str">
        <v/>
      </c>
      <c r="N341" s="2" t="str">
        <v/>
      </c>
      <c r="O341" s="1" t="str">
        <v>Sin respuesta</v>
      </c>
      <c r="P341" s="1" t="str">
        <v/>
      </c>
      <c r="Q341" s="1" t="str">
        <v/>
      </c>
      <c r="R341" s="1">
        <f t="shared" si="31"/>
        <v>0</v>
      </c>
      <c r="S341" s="1">
        <f t="shared" si="32"/>
        <v>0</v>
      </c>
      <c r="T341" s="1">
        <f t="shared" si="33"/>
        <v>0</v>
      </c>
      <c r="U341" s="1">
        <f t="shared" si="34"/>
        <v>0</v>
      </c>
      <c r="V341" s="1">
        <f t="shared" si="35"/>
        <v>1</v>
      </c>
    </row>
    <row r="342" x14ac:dyDescent="0.25">
      <c r="A342" s="1">
        <v>340</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v>46171</v>
      </c>
      <c r="J342" s="2" t="str">
        <v/>
      </c>
      <c r="K342" s="2" t="str">
        <v/>
      </c>
      <c r="L342" s="1" t="str">
        <v>Sin respuesta</v>
      </c>
      <c r="M342" s="2" t="str">
        <v/>
      </c>
      <c r="N342" s="2" t="str">
        <v/>
      </c>
      <c r="O342" s="1" t="str">
        <v>Sin respuesta</v>
      </c>
      <c r="P342" s="1" t="str">
        <v/>
      </c>
      <c r="Q342" s="1" t="str">
        <v/>
      </c>
      <c r="R342" s="1">
        <f t="shared" si="31"/>
        <v>0</v>
      </c>
      <c r="S342" s="1">
        <f t="shared" si="32"/>
        <v>0</v>
      </c>
      <c r="T342" s="1">
        <f t="shared" si="33"/>
        <v>0</v>
      </c>
      <c r="U342" s="1">
        <f t="shared" si="34"/>
        <v>0</v>
      </c>
      <c r="V342" s="1">
        <f t="shared" si="35"/>
        <v>1</v>
      </c>
    </row>
    <row r="343" x14ac:dyDescent="0.25">
      <c r="A343" s="1">
        <v>341</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v>46171</v>
      </c>
      <c r="J343" s="2" t="str">
        <v/>
      </c>
      <c r="K343" s="2" t="str">
        <v/>
      </c>
      <c r="L343" s="1" t="str">
        <v>Sin respuesta</v>
      </c>
      <c r="M343" s="2" t="str">
        <v/>
      </c>
      <c r="N343" s="2" t="str">
        <v/>
      </c>
      <c r="O343" s="1" t="str">
        <v>Sin respuesta</v>
      </c>
      <c r="P343" s="1" t="str">
        <v/>
      </c>
      <c r="Q343" s="1" t="str">
        <v/>
      </c>
      <c r="R343" s="1">
        <f t="shared" si="31"/>
        <v>0</v>
      </c>
      <c r="S343" s="1">
        <f t="shared" si="32"/>
        <v>0</v>
      </c>
      <c r="T343" s="1">
        <f t="shared" si="33"/>
        <v>0</v>
      </c>
      <c r="U343" s="1">
        <f t="shared" si="34"/>
        <v>0</v>
      </c>
      <c r="V343" s="1">
        <f t="shared" si="35"/>
        <v>1</v>
      </c>
    </row>
    <row r="344" x14ac:dyDescent="0.25">
      <c r="A344" s="1">
        <v>342</v>
      </c>
      <c r="B344" s="1" t="str">
        <v>Wilson Anthony Siancas</v>
      </c>
      <c r="C344" s="1" t="str">
        <v>Convoca</v>
      </c>
      <c r="D344" s="1" t="str">
        <v>Entrevista de actores clave</v>
      </c>
      <c r="E344" s="1" t="str">
        <v>Prensa</v>
      </c>
      <c r="F344" s="1" t="str">
        <v>Nacional</v>
      </c>
      <c r="G344" s="1" t="str">
        <v>IJM</v>
      </c>
      <c r="H344" s="1" t="str">
        <v>No</v>
      </c>
      <c r="I344" s="2">
        <v>46171</v>
      </c>
      <c r="J344" s="2" t="str">
        <v/>
      </c>
      <c r="K344" s="2" t="str">
        <v/>
      </c>
      <c r="L344" s="1" t="str">
        <v>Sin respuesta</v>
      </c>
      <c r="M344" s="2" t="str">
        <v/>
      </c>
      <c r="N344" s="2" t="str">
        <v/>
      </c>
      <c r="O344" s="1" t="str">
        <v>Sin respuesta</v>
      </c>
      <c r="P344" s="1" t="str">
        <v/>
      </c>
      <c r="Q344" s="1" t="str">
        <v/>
      </c>
      <c r="R344" s="1">
        <f t="shared" si="31"/>
        <v>0</v>
      </c>
      <c r="S344" s="1">
        <f t="shared" si="32"/>
        <v>0</v>
      </c>
      <c r="T344" s="1">
        <f t="shared" si="33"/>
        <v>0</v>
      </c>
      <c r="U344" s="1">
        <f t="shared" si="34"/>
        <v>0</v>
      </c>
      <c r="V344" s="1">
        <f t="shared" si="35"/>
        <v>1</v>
      </c>
    </row>
    <row r="345" x14ac:dyDescent="0.25">
      <c r="A345" s="1">
        <v>343</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31"/>
        <v>0</v>
      </c>
      <c r="S345" s="1">
        <f t="shared" si="32"/>
        <v>0</v>
      </c>
      <c r="T345" s="1">
        <f t="shared" si="33"/>
        <v>0</v>
      </c>
      <c r="U345" s="1">
        <f t="shared" si="34"/>
        <v>0</v>
      </c>
      <c r="V345" s="1">
        <f t="shared" si="35"/>
        <v>0</v>
      </c>
    </row>
    <row r="346" x14ac:dyDescent="0.25">
      <c r="A346" s="1">
        <v>344</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31"/>
        <v>0</v>
      </c>
      <c r="S346" s="1">
        <f t="shared" si="32"/>
        <v>0</v>
      </c>
      <c r="T346" s="1">
        <f t="shared" si="33"/>
        <v>0</v>
      </c>
      <c r="U346" s="1">
        <f t="shared" si="34"/>
        <v>0</v>
      </c>
      <c r="V346" s="1">
        <f t="shared" si="35"/>
        <v>0</v>
      </c>
    </row>
    <row r="347" x14ac:dyDescent="0.25">
      <c r="A347" s="1">
        <v>345</v>
      </c>
      <c r="B347" s="1" t="str">
        <v>Lourdes Fernández Calvo</v>
      </c>
      <c r="C347" s="1" t="str">
        <v>Mongabay</v>
      </c>
      <c r="D347" s="1" t="str">
        <v>Entrevista de actores clave</v>
      </c>
      <c r="E347" s="1" t="str">
        <v>Prensa</v>
      </c>
      <c r="F347" s="1" t="str">
        <v>Nacional</v>
      </c>
      <c r="G347" s="1" t="str">
        <v>IJM</v>
      </c>
      <c r="H347" s="1" t="str">
        <v>Sí</v>
      </c>
      <c r="I347" s="2">
        <v>46182</v>
      </c>
      <c r="J347" s="2" t="str">
        <v/>
      </c>
      <c r="K347" s="2" t="str">
        <v/>
      </c>
      <c r="L347" s="1" t="str">
        <v>Realizada completa</v>
      </c>
      <c r="M347" s="2" t="str">
        <v/>
      </c>
      <c r="N347" s="2" t="str">
        <v/>
      </c>
      <c r="O347" s="1" t="str">
        <v>Realizada completa</v>
      </c>
      <c r="P347" s="1" t="str">
        <v/>
      </c>
      <c r="Q347" s="1" t="str">
        <v>A distancia asistido</v>
      </c>
      <c r="R347" s="1">
        <f t="shared" si="31"/>
        <v>1</v>
      </c>
      <c r="S347" s="1">
        <f t="shared" si="32"/>
        <v>0</v>
      </c>
      <c r="T347" s="1">
        <f t="shared" si="33"/>
        <v>0</v>
      </c>
      <c r="U347" s="1">
        <f t="shared" si="34"/>
        <v>1</v>
      </c>
      <c r="V347" s="1">
        <f t="shared" si="35"/>
        <v>0</v>
      </c>
    </row>
    <row r="348" x14ac:dyDescent="0.25">
      <c r="A348" s="1">
        <v>346</v>
      </c>
      <c r="B348" s="1" t="str">
        <v>Graciela Tiburcio Loayza</v>
      </c>
      <c r="C348" s="1" t="str">
        <v>Contranoticia</v>
      </c>
      <c r="D348" s="1" t="str">
        <v>Entrevista de actores clave</v>
      </c>
      <c r="E348" s="1" t="str">
        <v>Prensa</v>
      </c>
      <c r="F348" s="1" t="str">
        <v>Nacional</v>
      </c>
      <c r="G348" s="1" t="str">
        <v>IJM</v>
      </c>
      <c r="H348" s="1" t="str">
        <v>No</v>
      </c>
      <c r="I348" s="2">
        <v>46171</v>
      </c>
      <c r="J348" s="2" t="str">
        <v/>
      </c>
      <c r="K348" s="2" t="str">
        <v/>
      </c>
      <c r="L348" s="1" t="str">
        <v>Sin respuesta</v>
      </c>
      <c r="M348" s="2" t="str">
        <v/>
      </c>
      <c r="N348" s="2" t="str">
        <v/>
      </c>
      <c r="O348" s="1" t="str">
        <v>Sin respuesta</v>
      </c>
      <c r="P348" s="1" t="str">
        <v/>
      </c>
      <c r="Q348" s="1" t="str">
        <v/>
      </c>
      <c r="R348" s="1">
        <f t="shared" si="31"/>
        <v>0</v>
      </c>
      <c r="S348" s="1">
        <f t="shared" si="32"/>
        <v>0</v>
      </c>
      <c r="T348" s="1">
        <f t="shared" si="33"/>
        <v>0</v>
      </c>
      <c r="U348" s="1">
        <f t="shared" si="34"/>
        <v>0</v>
      </c>
      <c r="V348" s="1">
        <f t="shared" si="35"/>
        <v>1</v>
      </c>
    </row>
    <row r="349" x14ac:dyDescent="0.25">
      <c r="A349" s="1">
        <v>347</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v>46171</v>
      </c>
      <c r="J349" s="2">
        <v>46177</v>
      </c>
      <c r="K349" s="2" t="str">
        <v/>
      </c>
      <c r="L349" s="1" t="str">
        <v>En coordinación</v>
      </c>
      <c r="M349" s="2" t="str">
        <v/>
      </c>
      <c r="N349" s="2" t="str">
        <v/>
      </c>
      <c r="O349" s="1" t="str">
        <v>En coordinación</v>
      </c>
      <c r="P349" s="1" t="str">
        <v/>
      </c>
      <c r="Q349" s="1" t="str">
        <v/>
      </c>
      <c r="R349" s="1">
        <f t="shared" si="31"/>
        <v>0</v>
      </c>
      <c r="S349" s="1">
        <f t="shared" si="32"/>
        <v>1</v>
      </c>
      <c r="T349" s="1">
        <f t="shared" si="33"/>
        <v>0</v>
      </c>
      <c r="U349" s="1">
        <f t="shared" si="34"/>
        <v>0</v>
      </c>
      <c r="V349" s="1">
        <f t="shared" si="35"/>
        <v>0</v>
      </c>
    </row>
    <row r="350" x14ac:dyDescent="0.25">
      <c r="A350" s="1">
        <v>348</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31"/>
        <v>0</v>
      </c>
      <c r="S350" s="1">
        <f t="shared" si="32"/>
        <v>0</v>
      </c>
      <c r="T350" s="1">
        <f t="shared" si="33"/>
        <v>0</v>
      </c>
      <c r="U350" s="1">
        <f t="shared" si="34"/>
        <v>0</v>
      </c>
      <c r="V350" s="1">
        <f t="shared" si="35"/>
        <v>0</v>
      </c>
    </row>
    <row r="351" x14ac:dyDescent="0.25">
      <c r="A351" s="1">
        <v>349</v>
      </c>
      <c r="B351" s="1" t="str">
        <v>Jimena Chavez</v>
      </c>
      <c r="C351" s="1" t="str">
        <v>DVV International</v>
      </c>
      <c r="D351" s="1" t="str">
        <v>Entrevista de actores clave</v>
      </c>
      <c r="E351" s="1" t="str">
        <v>Actores locales</v>
      </c>
      <c r="F351" s="1" t="str">
        <v>Nacional</v>
      </c>
      <c r="G351" s="1" t="str">
        <v>IJM</v>
      </c>
      <c r="H351" s="1" t="str">
        <v>No</v>
      </c>
      <c r="I351" s="2">
        <v>46171</v>
      </c>
      <c r="J351" s="2" t="str">
        <v/>
      </c>
      <c r="K351" s="2" t="str">
        <v/>
      </c>
      <c r="L351" s="1" t="str">
        <v>sin respuesta</v>
      </c>
      <c r="M351" s="2" t="str">
        <v/>
      </c>
      <c r="N351" s="2" t="str">
        <v/>
      </c>
      <c r="O351" s="1" t="str">
        <v>sin respuesta</v>
      </c>
      <c r="P351" s="1" t="str">
        <v/>
      </c>
      <c r="Q351" s="1" t="str">
        <v/>
      </c>
      <c r="R351" s="1">
        <f t="shared" si="31"/>
        <v>0</v>
      </c>
      <c r="S351" s="1">
        <f t="shared" si="32"/>
        <v>0</v>
      </c>
      <c r="T351" s="1">
        <f t="shared" si="33"/>
        <v>0</v>
      </c>
      <c r="U351" s="1">
        <f t="shared" si="34"/>
        <v>0</v>
      </c>
      <c r="V351" s="1">
        <f t="shared" si="35"/>
        <v>1</v>
      </c>
    </row>
    <row r="352" x14ac:dyDescent="0.25">
      <c r="A352" s="1">
        <v>350</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v>46171</v>
      </c>
      <c r="J352" s="2" t="str">
        <v/>
      </c>
      <c r="K352" s="2" t="str">
        <v/>
      </c>
      <c r="L352" s="1" t="str">
        <v>sin respuesta</v>
      </c>
      <c r="M352" s="2" t="str">
        <v/>
      </c>
      <c r="N352" s="2" t="str">
        <v/>
      </c>
      <c r="O352" s="1" t="str">
        <v>sin respuesta</v>
      </c>
      <c r="P352" s="1" t="str">
        <v/>
      </c>
      <c r="Q352" s="1" t="str">
        <v/>
      </c>
      <c r="R352" s="1">
        <f t="shared" si="31"/>
        <v>0</v>
      </c>
      <c r="S352" s="1">
        <f t="shared" si="32"/>
        <v>0</v>
      </c>
      <c r="T352" s="1">
        <f t="shared" si="33"/>
        <v>0</v>
      </c>
      <c r="U352" s="1">
        <f t="shared" si="34"/>
        <v>0</v>
      </c>
      <c r="V352" s="1">
        <f t="shared" si="35"/>
        <v>1</v>
      </c>
    </row>
    <row r="353" x14ac:dyDescent="0.25">
      <c r="A353" s="1">
        <v>351</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v>46171</v>
      </c>
      <c r="J353" s="2" t="str">
        <v/>
      </c>
      <c r="K353" s="2" t="str">
        <v/>
      </c>
      <c r="L353" s="1" t="str">
        <v>Realizada completa</v>
      </c>
      <c r="M353" s="2" t="str">
        <v/>
      </c>
      <c r="N353" s="2" t="str">
        <v/>
      </c>
      <c r="O353" s="1" t="str">
        <v>Realizada completa</v>
      </c>
      <c r="P353" s="1" t="str">
        <v/>
      </c>
      <c r="Q353" s="1" t="str">
        <v>A distancia asistido</v>
      </c>
      <c r="R353" s="1">
        <f t="shared" si="31"/>
        <v>1</v>
      </c>
      <c r="S353" s="1">
        <f t="shared" si="32"/>
        <v>0</v>
      </c>
      <c r="T353" s="1">
        <f t="shared" si="33"/>
        <v>0</v>
      </c>
      <c r="U353" s="1">
        <f t="shared" si="34"/>
        <v>1</v>
      </c>
      <c r="V353" s="1">
        <f t="shared" si="35"/>
        <v>0</v>
      </c>
    </row>
    <row r="354" x14ac:dyDescent="0.25">
      <c r="A354" s="1">
        <v>352</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v>46171</v>
      </c>
      <c r="J354" s="2" t="str">
        <v/>
      </c>
      <c r="K354" s="2" t="str">
        <v/>
      </c>
      <c r="L354" s="1" t="str">
        <v>sin respuesta</v>
      </c>
      <c r="M354" s="2" t="str">
        <v/>
      </c>
      <c r="N354" s="2" t="str">
        <v/>
      </c>
      <c r="O354" s="1" t="str">
        <v>sin respuesta</v>
      </c>
      <c r="P354" s="1" t="str">
        <v/>
      </c>
      <c r="Q354" s="1" t="str">
        <v/>
      </c>
      <c r="R354" s="1">
        <f t="shared" si="31"/>
        <v>0</v>
      </c>
      <c r="S354" s="1">
        <f t="shared" si="32"/>
        <v>0</v>
      </c>
      <c r="T354" s="1">
        <f t="shared" si="33"/>
        <v>0</v>
      </c>
      <c r="U354" s="1">
        <f t="shared" si="34"/>
        <v>0</v>
      </c>
      <c r="V354" s="1">
        <f t="shared" si="35"/>
        <v>1</v>
      </c>
    </row>
    <row r="355" x14ac:dyDescent="0.25">
      <c r="A355" s="1">
        <v>353</v>
      </c>
      <c r="B355" s="1" t="str">
        <v>Carolina Vera Torres</v>
      </c>
      <c r="C355" s="1" t="str">
        <v>PUCP</v>
      </c>
      <c r="D355" s="1" t="str">
        <v>Entrevista de actores clave</v>
      </c>
      <c r="E355" s="1" t="str">
        <v>Actores locales</v>
      </c>
      <c r="F355" s="1" t="str">
        <v>Nacional</v>
      </c>
      <c r="G355" s="1" t="str">
        <v>IJM</v>
      </c>
      <c r="H355" s="1" t="str">
        <v>No</v>
      </c>
      <c r="I355" s="2">
        <v>46171</v>
      </c>
      <c r="J355" s="2" t="str">
        <v/>
      </c>
      <c r="K355" s="2" t="str">
        <v/>
      </c>
      <c r="L355" s="1" t="str">
        <v>sin respuesta</v>
      </c>
      <c r="M355" s="2" t="str">
        <v/>
      </c>
      <c r="N355" s="2" t="str">
        <v/>
      </c>
      <c r="O355" s="1" t="str">
        <v>sin respuesta</v>
      </c>
      <c r="P355" s="1" t="str">
        <v/>
      </c>
      <c r="Q355" s="1" t="str">
        <v/>
      </c>
      <c r="R355" s="1">
        <f t="shared" si="31"/>
        <v>0</v>
      </c>
      <c r="S355" s="1">
        <f t="shared" si="32"/>
        <v>0</v>
      </c>
      <c r="T355" s="1">
        <f t="shared" si="33"/>
        <v>0</v>
      </c>
      <c r="U355" s="1">
        <f t="shared" si="34"/>
        <v>0</v>
      </c>
      <c r="V355" s="1">
        <f t="shared" si="35"/>
        <v>1</v>
      </c>
    </row>
    <row r="356" x14ac:dyDescent="0.25">
      <c r="A356" s="1">
        <v>354</v>
      </c>
      <c r="B356" s="1" t="str">
        <v>Elena Reyes</v>
      </c>
      <c r="C356" s="1" t="str">
        <v>Especialista en Género</v>
      </c>
      <c r="D356" s="1" t="str">
        <v>Entrevista de actores clave</v>
      </c>
      <c r="E356" s="1" t="str">
        <v>Actores locales</v>
      </c>
      <c r="F356" s="1" t="str">
        <v>Nacional</v>
      </c>
      <c r="G356" s="1" t="str">
        <v>IJM</v>
      </c>
      <c r="H356" s="1" t="str">
        <v>No</v>
      </c>
      <c r="I356" s="2">
        <v>46171</v>
      </c>
      <c r="J356" s="2" t="str">
        <v/>
      </c>
      <c r="K356" s="2" t="str">
        <v/>
      </c>
      <c r="L356" s="1" t="str">
        <v>sin respuesta</v>
      </c>
      <c r="M356" s="2" t="str">
        <v/>
      </c>
      <c r="N356" s="2" t="str">
        <v/>
      </c>
      <c r="O356" s="1" t="str">
        <v>sin respuesta</v>
      </c>
      <c r="P356" s="1" t="str">
        <v/>
      </c>
      <c r="Q356" s="1" t="str">
        <v/>
      </c>
      <c r="R356" s="1">
        <f t="shared" si="31"/>
        <v>0</v>
      </c>
      <c r="S356" s="1">
        <f t="shared" si="32"/>
        <v>0</v>
      </c>
      <c r="T356" s="1">
        <f t="shared" si="33"/>
        <v>0</v>
      </c>
      <c r="U356" s="1">
        <f t="shared" si="34"/>
        <v>0</v>
      </c>
      <c r="V356" s="1">
        <f t="shared" si="35"/>
        <v>1</v>
      </c>
    </row>
    <row r="357" x14ac:dyDescent="0.25">
      <c r="A357" s="1">
        <v>355</v>
      </c>
      <c r="B357" s="1" t="str">
        <v>Keyland Allca Chacaliaza</v>
      </c>
      <c r="C357" s="1" t="str">
        <v>Lideranda ORG</v>
      </c>
      <c r="D357" s="1" t="str">
        <v>Entrevista de actores clave</v>
      </c>
      <c r="E357" s="1" t="str">
        <v>Acompañantes</v>
      </c>
      <c r="F357" s="1" t="str">
        <v>Nacional</v>
      </c>
      <c r="G357" s="1" t="str">
        <v>IJM</v>
      </c>
      <c r="H357" s="1" t="str">
        <v>No</v>
      </c>
      <c r="I357" s="2">
        <v>46171</v>
      </c>
      <c r="J357" s="2" t="str">
        <v/>
      </c>
      <c r="K357" s="2" t="str">
        <v/>
      </c>
      <c r="L357" s="1" t="str">
        <v>sin respuesta</v>
      </c>
      <c r="M357" s="2" t="str">
        <v/>
      </c>
      <c r="N357" s="2" t="str">
        <v/>
      </c>
      <c r="O357" s="1" t="str">
        <v>sin respuesta</v>
      </c>
      <c r="P357" s="1" t="str">
        <v/>
      </c>
      <c r="Q357" s="1" t="str">
        <v/>
      </c>
      <c r="R357" s="1">
        <f t="shared" si="31"/>
        <v>0</v>
      </c>
      <c r="S357" s="1">
        <f t="shared" si="32"/>
        <v>0</v>
      </c>
      <c r="T357" s="1">
        <f t="shared" si="33"/>
        <v>0</v>
      </c>
      <c r="U357" s="1">
        <f t="shared" si="34"/>
        <v>0</v>
      </c>
      <c r="V357" s="1">
        <f t="shared" si="35"/>
        <v>1</v>
      </c>
    </row>
    <row r="358" x14ac:dyDescent="0.25">
      <c r="A358" s="1">
        <v>356</v>
      </c>
      <c r="B358" s="1" t="str">
        <v>Magaly Ávila</v>
      </c>
      <c r="C358" s="1" t="str">
        <v>Proetica</v>
      </c>
      <c r="D358" s="1" t="str">
        <v>Entrevista de actores clave</v>
      </c>
      <c r="E358" s="1" t="str">
        <v>Actores locales</v>
      </c>
      <c r="F358" s="1" t="str">
        <v>Nacional</v>
      </c>
      <c r="G358" s="1" t="str">
        <v>IJM</v>
      </c>
      <c r="H358" s="1" t="str">
        <v>No</v>
      </c>
      <c r="I358" s="2">
        <v>46202</v>
      </c>
      <c r="J358" s="2" t="str">
        <v/>
      </c>
      <c r="K358" s="2" t="str">
        <v/>
      </c>
      <c r="L358" s="1" t="str">
        <v>sin respuesta</v>
      </c>
      <c r="M358" s="2" t="str">
        <v/>
      </c>
      <c r="N358" s="2" t="str">
        <v/>
      </c>
      <c r="O358" s="1" t="str">
        <v>sin respuesta</v>
      </c>
      <c r="P358" s="1" t="str">
        <v/>
      </c>
      <c r="Q358" s="1" t="str">
        <v/>
      </c>
      <c r="R358" s="1">
        <f t="shared" si="31"/>
        <v>0</v>
      </c>
      <c r="S358" s="1">
        <f t="shared" si="32"/>
        <v>0</v>
      </c>
      <c r="T358" s="1">
        <f t="shared" si="33"/>
        <v>0</v>
      </c>
      <c r="U358" s="1">
        <f t="shared" si="34"/>
        <v>0</v>
      </c>
      <c r="V358" s="1">
        <f t="shared" si="35"/>
        <v>1</v>
      </c>
    </row>
    <row r="359" x14ac:dyDescent="0.25">
      <c r="A359" s="1">
        <v>357</v>
      </c>
      <c r="B359" s="1" t="str">
        <v>Adhely Bellido Castro</v>
      </c>
      <c r="C359" s="1" t="str">
        <v>RED NACIONAL DE JÓVENES PARLAMENTARIOS</v>
      </c>
      <c r="D359" s="1" t="str">
        <v>Entrevista de actores clave</v>
      </c>
      <c r="E359" s="1" t="str">
        <v>Acompañantes</v>
      </c>
      <c r="F359" s="1" t="str">
        <v>Nacional</v>
      </c>
      <c r="G359" s="1" t="str">
        <v>IJM</v>
      </c>
      <c r="H359" s="1" t="str">
        <v>No</v>
      </c>
      <c r="I359" s="2">
        <v>46110</v>
      </c>
      <c r="J359" s="2" t="str">
        <v/>
      </c>
      <c r="K359" s="2" t="str">
        <v/>
      </c>
      <c r="L359" s="1" t="str">
        <v>sin respuesta</v>
      </c>
      <c r="M359" s="2" t="str">
        <v/>
      </c>
      <c r="N359" s="2" t="str">
        <v/>
      </c>
      <c r="O359" s="1" t="str">
        <v>sin respuesta</v>
      </c>
      <c r="P359" s="1" t="str">
        <v/>
      </c>
      <c r="Q359" s="1" t="str">
        <v/>
      </c>
      <c r="R359" s="1">
        <f t="shared" si="31"/>
        <v>0</v>
      </c>
      <c r="S359" s="1">
        <f t="shared" si="32"/>
        <v>0</v>
      </c>
      <c r="T359" s="1">
        <f t="shared" si="33"/>
        <v>0</v>
      </c>
      <c r="U359" s="1">
        <f t="shared" si="34"/>
        <v>0</v>
      </c>
      <c r="V359" s="1">
        <f t="shared" si="35"/>
        <v>1</v>
      </c>
    </row>
    <row r="360" x14ac:dyDescent="0.25">
      <c r="A360" s="1">
        <v>358</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31"/>
        <v>0</v>
      </c>
      <c r="S360" s="1">
        <f t="shared" si="32"/>
        <v>0</v>
      </c>
      <c r="T360" s="1">
        <f t="shared" si="33"/>
        <v>0</v>
      </c>
      <c r="U360" s="1">
        <f t="shared" si="34"/>
        <v>0</v>
      </c>
      <c r="V360" s="1">
        <f t="shared" si="35"/>
        <v>0</v>
      </c>
    </row>
    <row r="361" x14ac:dyDescent="0.25">
      <c r="A361" s="1">
        <v>359</v>
      </c>
      <c r="B361" s="1" t="str">
        <v>Carmen Espinoza</v>
      </c>
      <c r="C361" s="1" t="str">
        <v>Manuela Ramos</v>
      </c>
      <c r="D361" s="1" t="str">
        <v>Entrevista de actores clave</v>
      </c>
      <c r="E361" s="1" t="str">
        <v>Actores locales</v>
      </c>
      <c r="F361" s="1" t="str">
        <v>Nacional</v>
      </c>
      <c r="G361" s="1" t="str">
        <v>IJM</v>
      </c>
      <c r="H361" s="1" t="str">
        <v>No</v>
      </c>
      <c r="I361" s="2">
        <v>46110</v>
      </c>
      <c r="J361" s="2" t="str">
        <v/>
      </c>
      <c r="K361" s="2" t="str">
        <v/>
      </c>
      <c r="L361" s="1" t="str">
        <v>sin respuesta</v>
      </c>
      <c r="M361" s="2" t="str">
        <v/>
      </c>
      <c r="N361" s="2" t="str">
        <v/>
      </c>
      <c r="O361" s="1" t="str">
        <v>sin respuesta</v>
      </c>
      <c r="P361" s="1" t="str">
        <v/>
      </c>
      <c r="Q361" s="1" t="str">
        <v/>
      </c>
      <c r="R361" s="1">
        <f t="shared" si="31"/>
        <v>0</v>
      </c>
      <c r="S361" s="1">
        <f t="shared" si="32"/>
        <v>0</v>
      </c>
      <c r="T361" s="1">
        <f t="shared" si="33"/>
        <v>0</v>
      </c>
      <c r="U361" s="1">
        <f t="shared" si="34"/>
        <v>0</v>
      </c>
      <c r="V361" s="1">
        <f t="shared" si="35"/>
        <v>1</v>
      </c>
    </row>
    <row r="362" x14ac:dyDescent="0.25">
      <c r="A362" s="1">
        <v>360</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v>46165</v>
      </c>
      <c r="N362" s="2" t="str">
        <v/>
      </c>
      <c r="O362" s="1" t="str">
        <v>Realizada completa</v>
      </c>
      <c r="P362" s="1" t="str">
        <v/>
      </c>
      <c r="Q362" s="1" t="str">
        <v>A distancia asistido</v>
      </c>
      <c r="R362" s="1">
        <f t="shared" si="31"/>
        <v>1</v>
      </c>
      <c r="S362" s="1">
        <f t="shared" si="32"/>
        <v>0</v>
      </c>
      <c r="T362" s="1">
        <f t="shared" si="33"/>
        <v>0</v>
      </c>
      <c r="U362" s="1">
        <f t="shared" si="34"/>
        <v>1</v>
      </c>
      <c r="V362" s="1">
        <f t="shared" si="35"/>
        <v>0</v>
      </c>
    </row>
    <row r="363" x14ac:dyDescent="0.25">
      <c r="A363" s="1">
        <v>361</v>
      </c>
      <c r="B363" s="1" t="str">
        <v>Beatriz Gamarra</v>
      </c>
      <c r="C363" s="1" t="str">
        <v>UNICEF</v>
      </c>
      <c r="D363" s="1" t="str">
        <v>Entrevista de actores clave</v>
      </c>
      <c r="E363" s="1" t="str">
        <v>Multilaterales</v>
      </c>
      <c r="F363" s="1" t="str">
        <v>Nacional</v>
      </c>
      <c r="G363" s="1" t="str">
        <v/>
      </c>
      <c r="H363" s="1" t="str">
        <v>Sí</v>
      </c>
      <c r="I363" s="2" t="str">
        <v/>
      </c>
      <c r="J363" s="2" t="str">
        <v/>
      </c>
      <c r="K363" s="2" t="str">
        <v/>
      </c>
      <c r="L363" s="1" t="str">
        <v>Realizada completa</v>
      </c>
      <c r="M363" s="2">
        <v>46175</v>
      </c>
      <c r="N363" s="2" t="str">
        <v/>
      </c>
      <c r="O363" s="1" t="str">
        <v>Realizada completa</v>
      </c>
      <c r="P363" s="1" t="str">
        <v/>
      </c>
      <c r="Q363" s="1" t="str">
        <v>A distancia asistido</v>
      </c>
      <c r="R363" s="1">
        <f t="shared" si="31"/>
        <v>1</v>
      </c>
      <c r="S363" s="1">
        <f t="shared" si="32"/>
        <v>0</v>
      </c>
      <c r="T363" s="1">
        <f t="shared" si="33"/>
        <v>0</v>
      </c>
      <c r="U363" s="1">
        <f t="shared" si="34"/>
        <v>1</v>
      </c>
      <c r="V363" s="1">
        <f t="shared" si="35"/>
        <v>0</v>
      </c>
    </row>
    <row r="364" x14ac:dyDescent="0.25">
      <c r="A364" s="1">
        <v>362</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v>46163</v>
      </c>
      <c r="N364" s="2" t="str">
        <v/>
      </c>
      <c r="O364" s="1" t="str">
        <v>Realizada completa</v>
      </c>
      <c r="P364" s="1" t="str">
        <v/>
      </c>
      <c r="Q364" s="1" t="str">
        <v>A distancia asistido</v>
      </c>
    </row>
    <row r="365" x14ac:dyDescent="0.25">
      <c r="A365" s="1">
        <v>363</v>
      </c>
      <c r="B365" s="1" t="str">
        <v>Pedro Martín Fuentes Sotelo</v>
      </c>
      <c r="C365" s="1" t="str">
        <v>Defensa Pública</v>
      </c>
      <c r="D365" s="1" t="str">
        <v>Entrevista de actores clave</v>
      </c>
      <c r="E365" s="1" t="str">
        <v/>
      </c>
      <c r="F365" s="1" t="str">
        <v>Nacional</v>
      </c>
      <c r="G365" s="1" t="str">
        <v/>
      </c>
      <c r="H365" s="1" t="str">
        <v>no</v>
      </c>
      <c r="I365" s="2">
        <v>46171</v>
      </c>
      <c r="J365" s="2" t="str">
        <v/>
      </c>
      <c r="K365" s="2" t="str">
        <v/>
      </c>
      <c r="L365" s="1" t="str">
        <v>sin respuesta</v>
      </c>
      <c r="M365" s="2" t="str">
        <v/>
      </c>
      <c r="N365" s="2" t="str">
        <v/>
      </c>
      <c r="O365" s="1" t="str">
        <v>sin respuesta</v>
      </c>
      <c r="P365" s="1" t="str">
        <v/>
      </c>
      <c r="Q365" s="1" t="str">
        <v/>
      </c>
    </row>
    <row r="366" x14ac:dyDescent="0.25">
      <c r="A366" s="1">
        <v>364</v>
      </c>
      <c r="B366" s="1" t="str">
        <v>Eysler Nieto</v>
      </c>
      <c r="C366" s="1" t="str">
        <v>Paz y esperanza </v>
      </c>
      <c r="D366" s="1" t="str">
        <v>Entrevista de actores clave</v>
      </c>
      <c r="E366" s="1" t="str">
        <v>Multilaterales</v>
      </c>
      <c r="F366" s="1" t="str">
        <v>Distrito Judicial: Huánuco</v>
      </c>
      <c r="G366" s="1" t="str">
        <v>IJM</v>
      </c>
      <c r="H366" s="1" t="str">
        <v>Sí</v>
      </c>
      <c r="I366" s="2">
        <v>46189</v>
      </c>
      <c r="J366" s="2" t="str">
        <v/>
      </c>
      <c r="K366" s="2" t="str">
        <v/>
      </c>
      <c r="L366" s="1" t="str">
        <v>Realizada completa</v>
      </c>
      <c r="M366" s="2" t="str">
        <v/>
      </c>
      <c r="N366" s="2" t="str">
        <v/>
      </c>
      <c r="O366" s="1" t="str">
        <v>Realizada completa</v>
      </c>
      <c r="P366" s="1" t="str">
        <v/>
      </c>
      <c r="Q366" s="1" t="str">
        <v>A distancia asistido</v>
      </c>
    </row>
    <row r="367" x14ac:dyDescent="0.25">
      <c r="A367" s="1">
        <v>365</v>
      </c>
      <c r="B367" s="1" t="str">
        <v>Elga Prado</v>
      </c>
      <c r="C367" s="1" t="str">
        <v>Manuela Ramos</v>
      </c>
      <c r="D367" s="1" t="str">
        <v>Entrevista de actores clave</v>
      </c>
      <c r="E367" s="1" t="str">
        <v>Actores locales</v>
      </c>
      <c r="F367" s="1" t="str">
        <v>Nacional</v>
      </c>
      <c r="G367" s="1" t="str">
        <v/>
      </c>
      <c r="H367" s="1" t="str">
        <v/>
      </c>
      <c r="I367" s="2" t="str">
        <v/>
      </c>
      <c r="J367" s="2" t="str">
        <v/>
      </c>
      <c r="K367" s="2" t="str">
        <v/>
      </c>
      <c r="L367" s="1" t="str">
        <v>Realizada completa</v>
      </c>
      <c r="M367" s="2" t="str">
        <v/>
      </c>
      <c r="N367" s="2" t="str">
        <v/>
      </c>
      <c r="O367" s="1" t="str">
        <v>Realizada completa</v>
      </c>
      <c r="P367" s="1" t="str">
        <v/>
      </c>
      <c r="Q367" s="1" t="str">
        <v>A distancia asistido</v>
      </c>
    </row>
    <row r="368" x14ac:dyDescent="0.25">
      <c r="A368" s="1">
        <v>366</v>
      </c>
      <c r="B368" s="1" t="str">
        <v>Katherine Flores</v>
      </c>
      <c r="C368" s="1" t="str">
        <v>Familias Unidas Por Justicia</v>
      </c>
      <c r="D368" s="1" t="str">
        <v>Entrevista de actores clave</v>
      </c>
      <c r="E368" s="1" t="str">
        <v>Actores locales</v>
      </c>
      <c r="F368" s="1" t="str">
        <v>Nacional</v>
      </c>
      <c r="G368" s="1" t="str">
        <v/>
      </c>
      <c r="H368" s="1" t="str">
        <v/>
      </c>
      <c r="I368" s="2" t="str">
        <v/>
      </c>
      <c r="J368" s="2" t="str">
        <v/>
      </c>
      <c r="K368" s="2" t="str">
        <v/>
      </c>
      <c r="L368" s="1" t="str">
        <v>Realizada completa</v>
      </c>
      <c r="M368" s="2" t="str">
        <v/>
      </c>
      <c r="N368" s="2" t="str">
        <v/>
      </c>
      <c r="O368" s="1" t="str">
        <v>Realizada completa</v>
      </c>
      <c r="P368" s="1" t="str">
        <v/>
      </c>
      <c r="Q368" s="1" t="str">
        <v>A distancia asistido</v>
      </c>
    </row>
    <row r="369" x14ac:dyDescent="0.25">
      <c r="A369" s="1">
        <v>366</v>
      </c>
      <c r="B369" s="1" t="str">
        <v>Giovanna Maria Cavero Mogollon</v>
      </c>
      <c r="C369" s="1" t="str">
        <v>Save The Children</v>
      </c>
      <c r="D369" s="1" t="str">
        <v>Entrevista de actores clave</v>
      </c>
      <c r="E369" s="1" t="str">
        <v>Multilaterales</v>
      </c>
      <c r="F369" s="1" t="str">
        <v>Nacional</v>
      </c>
      <c r="G369" s="1" t="str">
        <v/>
      </c>
      <c r="H369" s="1" t="str">
        <v/>
      </c>
      <c r="I369" s="2" t="str">
        <v/>
      </c>
      <c r="J369" s="2" t="str">
        <v/>
      </c>
      <c r="K369" s="2" t="str">
        <v/>
      </c>
      <c r="L369" s="1" t="str">
        <v>Realizada completa</v>
      </c>
      <c r="M369" s="2" t="str">
        <v/>
      </c>
      <c r="N369" s="2" t="str">
        <v/>
      </c>
      <c r="O369" s="1" t="str">
        <v>Realizada completa</v>
      </c>
      <c r="P369" s="1" t="str">
        <v/>
      </c>
      <c r="Q369" s="1" t="str">
        <v>A distancia asistido</v>
      </c>
    </row>
    <row r="370" x14ac:dyDescent="0.25">
      <c r="A370" s="1">
        <v>367</v>
      </c>
      <c r="B370" s="1" t="str">
        <v>Lina Amelia Maldonado Córdova</v>
      </c>
      <c r="C370" s="1" t="str">
        <v>Ministerio Público (Fiscalía)</v>
      </c>
      <c r="D370" s="1" t="str">
        <v>Entrevista de actores clave</v>
      </c>
      <c r="E370" s="1" t="str">
        <v>Funcionarios del Sistema</v>
      </c>
      <c r="F370" s="1" t="str">
        <v/>
      </c>
      <c r="G370" s="1" t="str">
        <v>IJM</v>
      </c>
      <c r="H370" s="1" t="str">
        <v>Sí</v>
      </c>
      <c r="I370" s="2">
        <v>46197</v>
      </c>
      <c r="J370" s="2" t="str">
        <v/>
      </c>
      <c r="K370" s="2" t="str">
        <v/>
      </c>
      <c r="L370" s="1" t="str">
        <v>Aceptada</v>
      </c>
      <c r="M370" s="2" t="str">
        <v/>
      </c>
      <c r="N370" s="2" t="str">
        <v/>
      </c>
      <c r="O370" s="1" t="str">
        <v>Aceptada</v>
      </c>
      <c r="P370" s="1" t="str">
        <v/>
      </c>
      <c r="Q370" s="1" t="str">
        <v/>
      </c>
    </row>
    <row r="371" x14ac:dyDescent="0.25">
      <c r="A371" s="1" t="str">
        <v/>
      </c>
      <c r="B371" s="1" t="str">
        <v/>
      </c>
      <c r="C371" s="1" t="str">
        <v/>
      </c>
      <c r="D371" s="1" t="str">
        <v/>
      </c>
      <c r="E371" s="1" t="str">
        <v/>
      </c>
      <c r="F371" s="1" t="str">
        <v/>
      </c>
      <c r="G371" s="1" t="str">
        <v/>
      </c>
      <c r="H371" s="1" t="str">
        <v/>
      </c>
      <c r="I371" s="2" t="str">
        <v/>
      </c>
      <c r="J371" s="2" t="str">
        <v/>
      </c>
      <c r="K371" s="2" t="str">
        <v/>
      </c>
      <c r="L371" s="1" t="str">
        <v/>
      </c>
      <c r="M371" s="2" t="str">
        <v/>
      </c>
      <c r="N371" s="2" t="str">
        <v/>
      </c>
      <c r="O371" s="1" t="str">
        <v/>
      </c>
      <c r="P371" s="1" t="str">
        <v/>
      </c>
      <c r="Q371" s="1" t="str">
        <v/>
      </c>
    </row>
    <row r="372" x14ac:dyDescent="0.25">
      <c r="A372" s="1" t="str">
        <v/>
      </c>
      <c r="B372" s="1" t="str">
        <v/>
      </c>
      <c r="C372" s="1" t="str">
        <v/>
      </c>
      <c r="D372" s="1" t="str">
        <v/>
      </c>
      <c r="E372" s="1" t="str">
        <v/>
      </c>
      <c r="F372" s="1" t="str">
        <v/>
      </c>
      <c r="G372" s="1" t="str">
        <v/>
      </c>
      <c r="H372" s="1" t="str">
        <v/>
      </c>
      <c r="I372" s="2" t="str">
        <v/>
      </c>
      <c r="J372" s="2" t="str">
        <v/>
      </c>
      <c r="K372" s="2" t="str">
        <v/>
      </c>
      <c r="L372" s="1" t="str">
        <v/>
      </c>
      <c r="M372" s="2" t="str">
        <v/>
      </c>
      <c r="N372" s="2" t="str">
        <v/>
      </c>
      <c r="O372" s="1" t="str">
        <v/>
      </c>
      <c r="P372" s="1" t="str">
        <v/>
      </c>
      <c r="Q372" s="1" t="str">
        <v/>
      </c>
    </row>
    <row r="373" x14ac:dyDescent="0.25">
      <c r="A373" s="1" t="str">
        <v/>
      </c>
      <c r="B373" s="1" t="str">
        <v/>
      </c>
      <c r="C373" s="1" t="str">
        <v/>
      </c>
      <c r="D373" s="1" t="str">
        <v/>
      </c>
      <c r="E373" s="1" t="str">
        <v/>
      </c>
      <c r="F373" s="1" t="str">
        <v/>
      </c>
      <c r="G373" s="1" t="str">
        <v/>
      </c>
      <c r="H373" s="1" t="str">
        <v/>
      </c>
      <c r="I373" s="2" t="str">
        <v/>
      </c>
      <c r="J373" s="2" t="str">
        <v/>
      </c>
      <c r="K373" s="2" t="str">
        <v/>
      </c>
      <c r="L373" s="1" t="str">
        <v/>
      </c>
      <c r="M373" s="2" t="str">
        <v/>
      </c>
      <c r="N373" s="2" t="str">
        <v/>
      </c>
      <c r="O373" s="1" t="str">
        <v/>
      </c>
      <c r="P373" s="1" t="str">
        <v/>
      </c>
      <c r="Q373" s="1" t="str">
        <v/>
      </c>
    </row>
    <row r="374" x14ac:dyDescent="0.25">
      <c r="A374" s="1" t="str">
        <v/>
      </c>
      <c r="B374" s="1" t="str">
        <v/>
      </c>
      <c r="C374" s="1" t="str">
        <v/>
      </c>
      <c r="D374" s="1" t="str">
        <v/>
      </c>
      <c r="E374" s="1" t="str">
        <v/>
      </c>
      <c r="F374" s="1" t="str">
        <v/>
      </c>
      <c r="G374" s="1" t="str">
        <v/>
      </c>
      <c r="H374" s="1" t="str">
        <v/>
      </c>
      <c r="I374" s="2" t="str">
        <v/>
      </c>
      <c r="J374" s="2" t="str">
        <v/>
      </c>
      <c r="K374" s="2" t="str">
        <v/>
      </c>
      <c r="L374" s="1" t="str">
        <v/>
      </c>
      <c r="M374" s="2" t="str">
        <v/>
      </c>
      <c r="N374" s="2" t="str">
        <v/>
      </c>
      <c r="O374" s="1" t="str">
        <v/>
      </c>
      <c r="P374" s="1" t="str">
        <v/>
      </c>
      <c r="Q374" s="1" t="str">
        <v/>
      </c>
    </row>
    <row r="375" x14ac:dyDescent="0.25">
      <c r="A375" s="1" t="str">
        <v/>
      </c>
      <c r="B375" s="1" t="str">
        <v/>
      </c>
      <c r="C375" s="1" t="str">
        <v/>
      </c>
      <c r="D375" s="1" t="str">
        <v/>
      </c>
      <c r="E375" s="1" t="str">
        <v/>
      </c>
      <c r="F375" s="1" t="str">
        <v/>
      </c>
      <c r="G375" s="1" t="str">
        <v/>
      </c>
      <c r="H375" s="1" t="str">
        <v/>
      </c>
      <c r="I375" s="2" t="str">
        <v/>
      </c>
      <c r="J375" s="2" t="str">
        <v/>
      </c>
      <c r="K375" s="2" t="str">
        <v/>
      </c>
      <c r="L375" s="1" t="str">
        <v/>
      </c>
      <c r="M375" s="2" t="str">
        <v/>
      </c>
      <c r="N375" s="2" t="str">
        <v/>
      </c>
      <c r="O375" s="1" t="str">
        <v/>
      </c>
      <c r="P375" s="1" t="str">
        <v/>
      </c>
      <c r="Q375" s="1" t="str">
        <v/>
      </c>
    </row>
    <row r="376" x14ac:dyDescent="0.25">
      <c r="A376" s="1" t="str">
        <v/>
      </c>
      <c r="B376" s="1" t="str">
        <v/>
      </c>
      <c r="C376" s="1" t="str">
        <v/>
      </c>
      <c r="D376" s="1" t="str">
        <v/>
      </c>
      <c r="E376" s="1" t="str">
        <v/>
      </c>
      <c r="F376" s="1" t="str">
        <v/>
      </c>
      <c r="G376" s="1" t="str">
        <v/>
      </c>
      <c r="H376" s="1" t="str">
        <v/>
      </c>
      <c r="I376" s="2" t="str">
        <v/>
      </c>
      <c r="J376" s="2" t="str">
        <v/>
      </c>
      <c r="K376" s="2" t="str">
        <v/>
      </c>
      <c r="L376" s="1" t="str">
        <v/>
      </c>
      <c r="M376" s="2" t="str">
        <v/>
      </c>
      <c r="N376" s="2" t="str">
        <v/>
      </c>
      <c r="O376" s="1" t="str">
        <v/>
      </c>
      <c r="P376" s="1" t="str">
        <v/>
      </c>
      <c r="Q376" s="1" t="str">
        <v/>
      </c>
    </row>
    <row r="377" x14ac:dyDescent="0.25">
      <c r="A377" s="1" t="str">
        <v/>
      </c>
      <c r="B377" s="1" t="str">
        <v/>
      </c>
      <c r="C377" s="1" t="str">
        <v/>
      </c>
      <c r="D377" s="1" t="str">
        <v/>
      </c>
      <c r="E377" s="1" t="str">
        <v/>
      </c>
      <c r="F377" s="1" t="str">
        <v/>
      </c>
      <c r="G377" s="1" t="str">
        <v/>
      </c>
      <c r="H377" s="1" t="str">
        <v/>
      </c>
      <c r="I377" s="2" t="str">
        <v/>
      </c>
      <c r="J377" s="2" t="str">
        <v/>
      </c>
      <c r="K377" s="2" t="str">
        <v/>
      </c>
      <c r="L377" s="1" t="str">
        <v/>
      </c>
      <c r="M377" s="2" t="str">
        <v/>
      </c>
      <c r="N377" s="2" t="str">
        <v/>
      </c>
      <c r="O377" s="1" t="str">
        <v/>
      </c>
      <c r="P377" s="1" t="str">
        <v/>
      </c>
      <c r="Q377" s="1" t="str">
        <v/>
      </c>
    </row>
    <row r="378" x14ac:dyDescent="0.25">
      <c r="A378" s="1" t="str">
        <v/>
      </c>
      <c r="B378" s="1" t="str">
        <v/>
      </c>
      <c r="C378" s="1" t="str">
        <v/>
      </c>
      <c r="D378" s="1" t="str">
        <v/>
      </c>
      <c r="E378" s="1" t="str">
        <v/>
      </c>
      <c r="F378" s="1" t="str">
        <v/>
      </c>
      <c r="G378" s="1" t="str">
        <v/>
      </c>
      <c r="H378" s="1" t="str">
        <v/>
      </c>
      <c r="I378" s="2" t="str">
        <v/>
      </c>
      <c r="J378" s="2" t="str">
        <v/>
      </c>
      <c r="K378" s="2" t="str">
        <v/>
      </c>
      <c r="L378" s="1" t="str">
        <v/>
      </c>
      <c r="M378" s="2" t="str">
        <v/>
      </c>
      <c r="N378" s="2" t="str">
        <v/>
      </c>
      <c r="O378" s="1" t="str">
        <v/>
      </c>
      <c r="P378" s="1" t="str">
        <v/>
      </c>
      <c r="Q378" s="1" t="str">
        <v/>
      </c>
    </row>
    <row r="379" x14ac:dyDescent="0.25">
      <c r="A379" s="1" t="str">
        <v/>
      </c>
      <c r="B379" s="1" t="str">
        <v/>
      </c>
      <c r="C379" s="1" t="str">
        <v/>
      </c>
      <c r="D379" s="1" t="str">
        <v/>
      </c>
      <c r="E379" s="1" t="str">
        <v/>
      </c>
      <c r="F379" s="1" t="str">
        <v/>
      </c>
      <c r="G379" s="1" t="str">
        <v/>
      </c>
      <c r="H379" s="1" t="str">
        <v/>
      </c>
      <c r="I379" s="2" t="str">
        <v/>
      </c>
      <c r="J379" s="2" t="str">
        <v/>
      </c>
      <c r="K379" s="2" t="str">
        <v/>
      </c>
      <c r="L379" s="1" t="str">
        <v/>
      </c>
      <c r="M379" s="2" t="str">
        <v/>
      </c>
      <c r="N379" s="2" t="str">
        <v/>
      </c>
      <c r="O379" s="1" t="str">
        <v/>
      </c>
      <c r="P379" s="1" t="str">
        <v/>
      </c>
      <c r="Q379" s="1" t="str">
        <v/>
      </c>
    </row>
    <row r="380" x14ac:dyDescent="0.25">
      <c r="A380" s="1" t="str">
        <v/>
      </c>
      <c r="B380" s="1" t="str">
        <v/>
      </c>
      <c r="C380" s="1" t="str">
        <v/>
      </c>
      <c r="D380" s="1" t="str">
        <v/>
      </c>
      <c r="E380" s="1" t="str">
        <v/>
      </c>
      <c r="F380" s="1" t="str">
        <v/>
      </c>
      <c r="G380" s="1" t="str">
        <v/>
      </c>
      <c r="H380" s="1" t="str">
        <v/>
      </c>
      <c r="I380" s="2" t="str">
        <v/>
      </c>
      <c r="J380" s="2" t="str">
        <v/>
      </c>
      <c r="K380" s="2" t="str">
        <v/>
      </c>
      <c r="L380" s="1" t="str">
        <v/>
      </c>
      <c r="M380" s="2" t="str">
        <v/>
      </c>
      <c r="N380" s="2" t="str">
        <v/>
      </c>
      <c r="O380" s="1" t="str">
        <v/>
      </c>
      <c r="P380" s="1" t="str">
        <v/>
      </c>
      <c r="Q380" s="1" t="str">
        <v/>
      </c>
    </row>
    <row r="381" x14ac:dyDescent="0.25">
      <c r="A381" s="1" t="str">
        <v/>
      </c>
      <c r="B381" s="1" t="str">
        <v/>
      </c>
      <c r="C381" s="1" t="str">
        <v/>
      </c>
      <c r="D381" s="1" t="str">
        <v/>
      </c>
      <c r="E381" s="1" t="str">
        <v/>
      </c>
      <c r="F381" s="1" t="str">
        <v/>
      </c>
      <c r="G381" s="1" t="str">
        <v/>
      </c>
      <c r="H381" s="1" t="str">
        <v/>
      </c>
      <c r="I381" s="2" t="str">
        <v/>
      </c>
      <c r="J381" s="2" t="str">
        <v/>
      </c>
      <c r="K381" s="2" t="str">
        <v/>
      </c>
      <c r="L381" s="1" t="str">
        <v/>
      </c>
      <c r="M381" s="2" t="str">
        <v/>
      </c>
      <c r="N381" s="2" t="str">
        <v/>
      </c>
      <c r="O381" s="1" t="str">
        <v/>
      </c>
      <c r="P381" s="1" t="str">
        <v/>
      </c>
      <c r="Q381" s="1" t="str">
        <v/>
      </c>
    </row>
    <row r="382" x14ac:dyDescent="0.25">
      <c r="A382" s="1" t="str">
        <v/>
      </c>
      <c r="B382" s="1" t="str">
        <v/>
      </c>
      <c r="C382" s="1" t="str">
        <v/>
      </c>
      <c r="D382" s="1" t="str">
        <v/>
      </c>
      <c r="E382" s="1" t="str">
        <v/>
      </c>
      <c r="F382" s="1" t="str">
        <v/>
      </c>
      <c r="G382" s="1" t="str">
        <v/>
      </c>
      <c r="H382" s="1" t="str">
        <v/>
      </c>
      <c r="I382" s="2" t="str">
        <v/>
      </c>
      <c r="J382" s="2" t="str">
        <v/>
      </c>
      <c r="K382" s="2" t="str">
        <v/>
      </c>
      <c r="L382" s="1" t="str">
        <v/>
      </c>
      <c r="M382" s="2" t="str">
        <v/>
      </c>
      <c r="N382" s="2" t="str">
        <v/>
      </c>
      <c r="O382" s="1" t="str">
        <v/>
      </c>
      <c r="P382" s="1" t="str">
        <v/>
      </c>
      <c r="Q382" s="1" t="str">
        <v/>
      </c>
    </row>
    <row r="383" x14ac:dyDescent="0.25">
      <c r="A383" s="1" t="str">
        <v/>
      </c>
      <c r="B383" s="1" t="str">
        <v/>
      </c>
      <c r="C383" s="1" t="str">
        <v/>
      </c>
      <c r="D383" s="1" t="str">
        <v/>
      </c>
      <c r="E383" s="1" t="str">
        <v/>
      </c>
      <c r="F383" s="1" t="str">
        <v/>
      </c>
      <c r="G383" s="1" t="str">
        <v/>
      </c>
      <c r="H383" s="1" t="str">
        <v/>
      </c>
      <c r="I383" s="2" t="str">
        <v/>
      </c>
      <c r="J383" s="2" t="str">
        <v/>
      </c>
      <c r="K383" s="2" t="str">
        <v/>
      </c>
      <c r="L383" s="1" t="str">
        <v/>
      </c>
      <c r="M383" s="2" t="str">
        <v/>
      </c>
      <c r="N383" s="2" t="str">
        <v/>
      </c>
      <c r="O383" s="1" t="str">
        <v/>
      </c>
      <c r="P383" s="1" t="str">
        <v/>
      </c>
      <c r="Q383" s="1" t="str">
        <v/>
      </c>
    </row>
    <row r="384" x14ac:dyDescent="0.25">
      <c r="A384" s="1" t="str">
        <v/>
      </c>
      <c r="B384" s="1" t="str">
        <v/>
      </c>
      <c r="C384" s="1" t="str">
        <v/>
      </c>
      <c r="D384" s="1" t="str">
        <v/>
      </c>
      <c r="E384" s="1" t="str">
        <v/>
      </c>
      <c r="F384" s="1" t="str">
        <v/>
      </c>
      <c r="G384" s="1" t="str">
        <v/>
      </c>
      <c r="H384" s="1" t="str">
        <v/>
      </c>
      <c r="I384" s="2" t="str">
        <v/>
      </c>
      <c r="J384" s="2" t="str">
        <v/>
      </c>
      <c r="K384" s="2" t="str">
        <v/>
      </c>
      <c r="L384" s="1" t="str">
        <v/>
      </c>
      <c r="M384" s="2" t="str">
        <v/>
      </c>
      <c r="N384" s="2" t="str">
        <v/>
      </c>
      <c r="O384" s="1" t="str">
        <v/>
      </c>
      <c r="P384" s="1" t="str">
        <v/>
      </c>
      <c r="Q384" s="1" t="str">
        <v/>
      </c>
    </row>
    <row r="385" x14ac:dyDescent="0.25">
      <c r="A385" s="1" t="str">
        <v/>
      </c>
      <c r="B385" s="1" t="str">
        <v/>
      </c>
      <c r="C385" s="1" t="str">
        <v/>
      </c>
      <c r="D385" s="1" t="str">
        <v/>
      </c>
      <c r="E385" s="1" t="str">
        <v/>
      </c>
      <c r="F385" s="1" t="str">
        <v/>
      </c>
      <c r="G385" s="1" t="str">
        <v/>
      </c>
      <c r="H385" s="1" t="str">
        <v/>
      </c>
      <c r="I385" s="2" t="str">
        <v/>
      </c>
      <c r="J385" s="2" t="str">
        <v/>
      </c>
      <c r="K385" s="2" t="str">
        <v/>
      </c>
      <c r="L385" s="1" t="str">
        <v/>
      </c>
      <c r="M385" s="2" t="str">
        <v/>
      </c>
      <c r="N385" s="2" t="str">
        <v/>
      </c>
      <c r="O385" s="1" t="str">
        <v/>
      </c>
      <c r="P385" s="1" t="str">
        <v/>
      </c>
      <c r="Q385" s="1" t="str">
        <v/>
      </c>
    </row>
    <row r="386" x14ac:dyDescent="0.25">
      <c r="A386" s="1" t="str">
        <v/>
      </c>
      <c r="B386" s="1" t="str">
        <v/>
      </c>
      <c r="C386" s="1" t="str">
        <v/>
      </c>
      <c r="D386" s="1" t="str">
        <v/>
      </c>
      <c r="E386" s="1" t="str">
        <v/>
      </c>
      <c r="F386" s="1" t="str">
        <v/>
      </c>
      <c r="G386" s="1" t="str">
        <v/>
      </c>
      <c r="H386" s="1" t="str">
        <v/>
      </c>
      <c r="I386" s="2" t="str">
        <v/>
      </c>
      <c r="J386" s="2" t="str">
        <v/>
      </c>
      <c r="K386" s="2" t="str">
        <v/>
      </c>
      <c r="L386" s="1" t="str">
        <v/>
      </c>
      <c r="M386" s="2" t="str">
        <v/>
      </c>
      <c r="N386" s="2" t="str">
        <v/>
      </c>
      <c r="O386" s="1" t="str">
        <v/>
      </c>
      <c r="P386" s="1" t="str">
        <v/>
      </c>
      <c r="Q386" s="1" t="str">
        <v/>
      </c>
    </row>
    <row r="387" x14ac:dyDescent="0.25">
      <c r="A387" s="1" t="str">
        <v/>
      </c>
      <c r="B387" s="1" t="str">
        <v/>
      </c>
      <c r="C387" s="1" t="str">
        <v/>
      </c>
      <c r="D387" s="1" t="str">
        <v/>
      </c>
      <c r="E387" s="1" t="str">
        <v/>
      </c>
      <c r="F387" s="1" t="str">
        <v/>
      </c>
      <c r="G387" s="1" t="str">
        <v/>
      </c>
      <c r="H387" s="1" t="str">
        <v/>
      </c>
      <c r="I387" s="2" t="str">
        <v/>
      </c>
      <c r="J387" s="2" t="str">
        <v/>
      </c>
      <c r="K387" s="2" t="str">
        <v/>
      </c>
      <c r="L387" s="1" t="str">
        <v/>
      </c>
      <c r="M387" s="2" t="str">
        <v/>
      </c>
      <c r="N387" s="2" t="str">
        <v/>
      </c>
      <c r="O387" s="1" t="str">
        <v/>
      </c>
      <c r="P387" s="1" t="str">
        <v/>
      </c>
      <c r="Q387" s="1" t="str">
        <v/>
      </c>
    </row>
    <row r="388" x14ac:dyDescent="0.25">
      <c r="A388" s="1" t="str">
        <v/>
      </c>
      <c r="B388" s="1" t="str">
        <v/>
      </c>
      <c r="C388" s="1" t="str">
        <v/>
      </c>
      <c r="D388" s="1" t="str">
        <v/>
      </c>
      <c r="E388" s="1" t="str">
        <v/>
      </c>
      <c r="F388" s="1" t="str">
        <v/>
      </c>
      <c r="G388" s="1" t="str">
        <v/>
      </c>
      <c r="H388" s="1" t="str">
        <v/>
      </c>
      <c r="I388" s="2" t="str">
        <v/>
      </c>
      <c r="J388" s="2" t="str">
        <v/>
      </c>
      <c r="K388" s="2" t="str">
        <v/>
      </c>
      <c r="L388" s="1" t="str">
        <v/>
      </c>
      <c r="M388" s="2" t="str">
        <v/>
      </c>
      <c r="N388" s="2" t="str">
        <v/>
      </c>
      <c r="O388" s="1" t="str">
        <v/>
      </c>
      <c r="P388" s="1" t="str">
        <v/>
      </c>
      <c r="Q388" s="1" t="str">
        <v/>
      </c>
    </row>
    <row r="389" x14ac:dyDescent="0.25">
      <c r="A389" s="1" t="str">
        <v/>
      </c>
      <c r="B389" s="1" t="str">
        <v/>
      </c>
      <c r="C389" s="1" t="str">
        <v/>
      </c>
      <c r="D389" s="1" t="str">
        <v/>
      </c>
      <c r="E389" s="1" t="str">
        <v/>
      </c>
      <c r="F389" s="1" t="str">
        <v/>
      </c>
      <c r="G389" s="1" t="str">
        <v/>
      </c>
      <c r="H389" s="1" t="str">
        <v/>
      </c>
      <c r="I389" s="2" t="str">
        <v/>
      </c>
      <c r="J389" s="2" t="str">
        <v/>
      </c>
      <c r="K389" s="2" t="str">
        <v/>
      </c>
      <c r="L389" s="1" t="str">
        <v/>
      </c>
      <c r="M389" s="2" t="str">
        <v/>
      </c>
      <c r="N389" s="2" t="str">
        <v/>
      </c>
      <c r="O389" s="1" t="str">
        <v/>
      </c>
      <c r="P389" s="1" t="str">
        <v/>
      </c>
      <c r="Q389" s="1" t="str">
        <v/>
      </c>
    </row>
    <row r="390" x14ac:dyDescent="0.25">
      <c r="A390" s="1" t="str">
        <v/>
      </c>
      <c r="B390" s="1" t="str">
        <v/>
      </c>
      <c r="C390" s="1" t="str">
        <v/>
      </c>
      <c r="D390" s="1" t="str">
        <v/>
      </c>
      <c r="E390" s="1" t="str">
        <v/>
      </c>
      <c r="F390" s="1" t="str">
        <v/>
      </c>
      <c r="G390" s="1" t="str">
        <v/>
      </c>
      <c r="H390" s="1" t="str">
        <v/>
      </c>
      <c r="I390" s="2" t="str">
        <v/>
      </c>
      <c r="J390" s="2" t="str">
        <v/>
      </c>
      <c r="K390" s="2" t="str">
        <v/>
      </c>
      <c r="L390" s="1" t="str">
        <v/>
      </c>
      <c r="M390" s="2" t="str">
        <v/>
      </c>
      <c r="N390" s="2" t="str">
        <v/>
      </c>
      <c r="O390" s="1" t="str">
        <v/>
      </c>
      <c r="P390" s="1" t="str">
        <v/>
      </c>
      <c r="Q390" s="1" t="str">
        <v/>
      </c>
    </row>
    <row r="391" x14ac:dyDescent="0.25">
      <c r="A391" s="1" t="str">
        <v/>
      </c>
      <c r="B391" s="1" t="str">
        <v/>
      </c>
      <c r="C391" s="1" t="str">
        <v/>
      </c>
      <c r="D391" s="1" t="str">
        <v/>
      </c>
      <c r="E391" s="1" t="str">
        <v/>
      </c>
      <c r="F391" s="1" t="str">
        <v/>
      </c>
      <c r="G391" s="1" t="str">
        <v/>
      </c>
      <c r="H391" s="1" t="str">
        <v/>
      </c>
      <c r="I391" s="2" t="str">
        <v/>
      </c>
      <c r="J391" s="2" t="str">
        <v/>
      </c>
      <c r="K391" s="2" t="str">
        <v/>
      </c>
      <c r="L391" s="1" t="str">
        <v/>
      </c>
      <c r="M391" s="2" t="str">
        <v/>
      </c>
      <c r="N391" s="2" t="str">
        <v/>
      </c>
      <c r="O391" s="1" t="str">
        <v/>
      </c>
      <c r="P391" s="1" t="str">
        <v/>
      </c>
      <c r="Q391" s="1" t="str">
        <v/>
      </c>
    </row>
    <row r="392" x14ac:dyDescent="0.25">
      <c r="A392" s="1" t="str">
        <v/>
      </c>
      <c r="B392" s="1" t="str">
        <v/>
      </c>
      <c r="C392" s="1" t="str">
        <v/>
      </c>
      <c r="D392" s="1" t="str">
        <v/>
      </c>
      <c r="E392" s="1" t="str">
        <v/>
      </c>
      <c r="F392" s="1" t="str">
        <v/>
      </c>
      <c r="G392" s="1" t="str">
        <v/>
      </c>
      <c r="H392" s="1" t="str">
        <v/>
      </c>
      <c r="I392" s="2" t="str">
        <v/>
      </c>
      <c r="J392" s="2" t="str">
        <v/>
      </c>
      <c r="K392" s="2" t="str">
        <v/>
      </c>
      <c r="L392" s="1" t="str">
        <v/>
      </c>
      <c r="M392" s="2" t="str">
        <v/>
      </c>
      <c r="N392" s="2" t="str">
        <v/>
      </c>
      <c r="O392" s="1" t="str">
        <v/>
      </c>
      <c r="P392" s="1" t="str">
        <v/>
      </c>
      <c r="Q392" s="1" t="str">
        <v/>
      </c>
    </row>
    <row r="393" x14ac:dyDescent="0.25">
      <c r="A393" s="1" t="str">
        <v/>
      </c>
      <c r="B393" s="1" t="str">
        <v/>
      </c>
      <c r="C393" s="1" t="str">
        <v/>
      </c>
      <c r="D393" s="1" t="str">
        <v/>
      </c>
      <c r="E393" s="1" t="str">
        <v/>
      </c>
      <c r="F393" s="1" t="str">
        <v/>
      </c>
      <c r="G393" s="1" t="str">
        <v/>
      </c>
      <c r="H393" s="1" t="str">
        <v/>
      </c>
      <c r="I393" s="2" t="str">
        <v/>
      </c>
      <c r="J393" s="2" t="str">
        <v/>
      </c>
      <c r="K393" s="2" t="str">
        <v/>
      </c>
      <c r="L393" s="1" t="str">
        <v/>
      </c>
      <c r="M393" s="2" t="str">
        <v/>
      </c>
      <c r="N393" s="2" t="str">
        <v/>
      </c>
      <c r="O393" s="1" t="str">
        <v/>
      </c>
      <c r="P393" s="1" t="str">
        <v/>
      </c>
      <c r="Q393" s="1" t="str">
        <v/>
      </c>
    </row>
    <row r="394" x14ac:dyDescent="0.25">
      <c r="A394" s="1" t="str">
        <v/>
      </c>
      <c r="B394" s="1" t="str">
        <v/>
      </c>
      <c r="C394" s="1" t="str">
        <v/>
      </c>
      <c r="D394" s="1" t="str">
        <v/>
      </c>
      <c r="E394" s="1" t="str">
        <v/>
      </c>
      <c r="F394" s="1" t="str">
        <v/>
      </c>
      <c r="G394" s="1" t="str">
        <v/>
      </c>
      <c r="H394" s="1" t="str">
        <v/>
      </c>
      <c r="I394" s="2" t="str">
        <v/>
      </c>
      <c r="J394" s="2" t="str">
        <v/>
      </c>
      <c r="K394" s="2" t="str">
        <v/>
      </c>
      <c r="L394" s="1" t="str">
        <v/>
      </c>
      <c r="M394" s="2" t="str">
        <v/>
      </c>
      <c r="N394" s="2" t="str">
        <v/>
      </c>
      <c r="O394" s="1" t="str">
        <v/>
      </c>
      <c r="P394" s="1" t="str">
        <v/>
      </c>
      <c r="Q394" s="1" t="str">
        <v/>
      </c>
    </row>
    <row r="395" x14ac:dyDescent="0.25">
      <c r="A395" s="1" t="str">
        <v/>
      </c>
      <c r="B395" s="1" t="str">
        <v/>
      </c>
      <c r="C395" s="1" t="str">
        <v/>
      </c>
      <c r="D395" s="1" t="str">
        <v/>
      </c>
      <c r="E395" s="1" t="str">
        <v/>
      </c>
      <c r="F395" s="1" t="str">
        <v/>
      </c>
      <c r="G395" s="1" t="str">
        <v/>
      </c>
      <c r="H395" s="1" t="str">
        <v/>
      </c>
      <c r="I395" s="2" t="str">
        <v/>
      </c>
      <c r="J395" s="2" t="str">
        <v/>
      </c>
      <c r="K395" s="2" t="str">
        <v/>
      </c>
      <c r="L395" s="1" t="str">
        <v/>
      </c>
      <c r="M395" s="2" t="str">
        <v/>
      </c>
      <c r="N395" s="2" t="str">
        <v/>
      </c>
      <c r="O395" s="1" t="str">
        <v/>
      </c>
      <c r="P395" s="1" t="str">
        <v/>
      </c>
      <c r="Q395" s="1" t="str">
        <v/>
      </c>
    </row>
    <row r="396" x14ac:dyDescent="0.25">
      <c r="A396" s="1" t="str">
        <v/>
      </c>
      <c r="B396" s="1" t="str">
        <v/>
      </c>
      <c r="C396" s="1" t="str">
        <v/>
      </c>
      <c r="D396" s="1" t="str">
        <v/>
      </c>
      <c r="E396" s="1" t="str">
        <v/>
      </c>
      <c r="F396" s="1" t="str">
        <v/>
      </c>
      <c r="G396" s="1" t="str">
        <v/>
      </c>
      <c r="H396" s="1" t="str">
        <v/>
      </c>
      <c r="I396" s="2" t="str">
        <v/>
      </c>
      <c r="J396" s="2" t="str">
        <v/>
      </c>
      <c r="K396" s="2" t="str">
        <v/>
      </c>
      <c r="L396" s="1" t="str">
        <v/>
      </c>
      <c r="M396" s="2" t="str">
        <v/>
      </c>
      <c r="N396" s="2" t="str">
        <v/>
      </c>
      <c r="O396" s="1" t="str">
        <v/>
      </c>
      <c r="P396" s="1" t="str">
        <v/>
      </c>
      <c r="Q396" s="1" t="str">
        <v/>
      </c>
    </row>
    <row r="397" x14ac:dyDescent="0.25">
      <c r="A397" s="1" t="str">
        <v/>
      </c>
      <c r="B397" s="1" t="str">
        <v/>
      </c>
      <c r="C397" s="1" t="str">
        <v/>
      </c>
      <c r="D397" s="1" t="str">
        <v/>
      </c>
      <c r="E397" s="1" t="str">
        <v/>
      </c>
      <c r="F397" s="1" t="str">
        <v/>
      </c>
      <c r="G397" s="1" t="str">
        <v/>
      </c>
      <c r="H397" s="1" t="str">
        <v/>
      </c>
      <c r="I397" s="2" t="str">
        <v/>
      </c>
      <c r="J397" s="2" t="str">
        <v/>
      </c>
      <c r="K397" s="2" t="str">
        <v/>
      </c>
      <c r="L397" s="1" t="str">
        <v/>
      </c>
      <c r="M397" s="2" t="str">
        <v/>
      </c>
      <c r="N397" s="2" t="str">
        <v/>
      </c>
      <c r="O397" s="1" t="str">
        <v/>
      </c>
      <c r="P397" s="1" t="str">
        <v/>
      </c>
      <c r="Q397" s="1" t="str">
        <v/>
      </c>
    </row>
    <row r="398" x14ac:dyDescent="0.25">
      <c r="A398" s="1" t="str">
        <v/>
      </c>
      <c r="B398" s="1" t="str">
        <v/>
      </c>
      <c r="C398" s="1" t="str">
        <v/>
      </c>
      <c r="D398" s="1" t="str">
        <v/>
      </c>
      <c r="E398" s="1" t="str">
        <v/>
      </c>
      <c r="F398" s="1" t="str">
        <v/>
      </c>
      <c r="G398" s="1" t="str">
        <v/>
      </c>
      <c r="H398" s="1" t="str">
        <v/>
      </c>
      <c r="I398" s="2" t="str">
        <v/>
      </c>
      <c r="J398" s="2" t="str">
        <v/>
      </c>
      <c r="K398" s="2" t="str">
        <v/>
      </c>
      <c r="L398" s="1" t="str">
        <v/>
      </c>
      <c r="M398" s="2" t="str">
        <v/>
      </c>
      <c r="N398" s="2" t="str">
        <v/>
      </c>
      <c r="O398" s="1" t="str">
        <v/>
      </c>
      <c r="P398" s="1" t="str">
        <v/>
      </c>
      <c r="Q398" s="1" t="str">
        <v/>
      </c>
    </row>
    <row r="399" x14ac:dyDescent="0.25">
      <c r="A399" s="1" t="str">
        <v/>
      </c>
      <c r="B399" s="1" t="str">
        <v/>
      </c>
      <c r="C399" s="1" t="str">
        <v/>
      </c>
      <c r="D399" s="1" t="str">
        <v/>
      </c>
      <c r="E399" s="1" t="str">
        <v/>
      </c>
      <c r="F399" s="1" t="str">
        <v/>
      </c>
      <c r="G399" s="1" t="str">
        <v/>
      </c>
      <c r="H399" s="1" t="str">
        <v/>
      </c>
      <c r="I399" s="2" t="str">
        <v/>
      </c>
      <c r="J399" s="2" t="str">
        <v/>
      </c>
      <c r="K399" s="2" t="str">
        <v/>
      </c>
      <c r="L399" s="1" t="str">
        <v/>
      </c>
      <c r="M399" s="2" t="str">
        <v/>
      </c>
      <c r="N399" s="2" t="str">
        <v/>
      </c>
      <c r="O399" s="1" t="str">
        <v/>
      </c>
      <c r="P399" s="1" t="str">
        <v/>
      </c>
      <c r="Q399" s="1" t="str">
        <v/>
      </c>
    </row>
    <row r="400" x14ac:dyDescent="0.25">
      <c r="A400" s="1" t="str">
        <v/>
      </c>
      <c r="B400" s="1" t="str">
        <v/>
      </c>
      <c r="C400" s="1" t="str">
        <v/>
      </c>
      <c r="D400" s="1" t="str">
        <v/>
      </c>
      <c r="E400" s="1" t="str">
        <v/>
      </c>
      <c r="F400" s="1" t="str">
        <v/>
      </c>
      <c r="G400" s="1" t="str">
        <v/>
      </c>
      <c r="H400" s="1" t="str">
        <v/>
      </c>
      <c r="I400" s="2" t="str">
        <v/>
      </c>
      <c r="J400" s="2" t="str">
        <v/>
      </c>
      <c r="K400" s="2" t="str">
        <v/>
      </c>
      <c r="L400" s="1" t="str">
        <v/>
      </c>
      <c r="M400" s="2" t="str">
        <v/>
      </c>
      <c r="N400" s="2" t="str">
        <v/>
      </c>
      <c r="O400" s="1" t="str">
        <v/>
      </c>
      <c r="P400" s="1" t="str">
        <v/>
      </c>
      <c r="Q400" s="1" t="str">
        <v/>
      </c>
    </row>
    <row r="401" x14ac:dyDescent="0.25">
      <c r="A401" s="1" t="str">
        <v/>
      </c>
      <c r="B401" s="1" t="str">
        <v/>
      </c>
      <c r="C401" s="1" t="str">
        <v/>
      </c>
      <c r="D401" s="1" t="str">
        <v/>
      </c>
      <c r="E401" s="1" t="str">
        <v/>
      </c>
      <c r="F401" s="1" t="str">
        <v/>
      </c>
      <c r="G401" s="1" t="str">
        <v/>
      </c>
      <c r="H401" s="1" t="str">
        <v/>
      </c>
      <c r="I401" s="2" t="str">
        <v/>
      </c>
      <c r="J401" s="2" t="str">
        <v/>
      </c>
      <c r="K401" s="2" t="str">
        <v/>
      </c>
      <c r="L401" s="1" t="str">
        <v/>
      </c>
      <c r="M401" s="2" t="str">
        <v/>
      </c>
      <c r="N401" s="2" t="str">
        <v/>
      </c>
      <c r="O401" s="1" t="str">
        <v/>
      </c>
      <c r="P401" s="1" t="str">
        <v/>
      </c>
      <c r="Q401" s="1" t="str">
        <v/>
      </c>
    </row>
    <row r="402" x14ac:dyDescent="0.25">
      <c r="A402" s="1" t="str">
        <v/>
      </c>
      <c r="B402" s="1" t="str">
        <v/>
      </c>
      <c r="C402" s="1" t="str">
        <v/>
      </c>
      <c r="D402" s="1" t="str">
        <v/>
      </c>
      <c r="E402" s="1" t="str">
        <v/>
      </c>
      <c r="F402" s="1" t="str">
        <v/>
      </c>
      <c r="G402" s="1" t="str">
        <v/>
      </c>
      <c r="H402" s="1" t="str">
        <v/>
      </c>
      <c r="I402" s="2" t="str">
        <v/>
      </c>
      <c r="J402" s="2" t="str">
        <v/>
      </c>
      <c r="K402" s="2" t="str">
        <v/>
      </c>
      <c r="L402" s="1" t="str">
        <v/>
      </c>
      <c r="M402" s="2" t="str">
        <v/>
      </c>
      <c r="N402" s="2" t="str">
        <v/>
      </c>
      <c r="O402" s="1" t="str">
        <v/>
      </c>
      <c r="P402" s="1" t="str">
        <v/>
      </c>
      <c r="Q402" s="1" t="str">
        <v/>
      </c>
    </row>
    <row r="403" x14ac:dyDescent="0.25">
      <c r="A403" s="1" t="str">
        <v/>
      </c>
      <c r="B403" s="1" t="str">
        <v/>
      </c>
      <c r="C403" s="1" t="str">
        <v/>
      </c>
      <c r="D403" s="1" t="str">
        <v/>
      </c>
      <c r="E403" s="1" t="str">
        <v/>
      </c>
      <c r="F403" s="1" t="str">
        <v/>
      </c>
      <c r="G403" s="1" t="str">
        <v/>
      </c>
      <c r="H403" s="1" t="str">
        <v/>
      </c>
      <c r="I403" s="2" t="str">
        <v/>
      </c>
      <c r="J403" s="2" t="str">
        <v/>
      </c>
      <c r="K403" s="2" t="str">
        <v/>
      </c>
      <c r="L403" s="1" t="str">
        <v/>
      </c>
      <c r="M403" s="2" t="str">
        <v/>
      </c>
      <c r="N403" s="2" t="str">
        <v/>
      </c>
      <c r="O403" s="1" t="str">
        <v/>
      </c>
      <c r="P403" s="1" t="str">
        <v/>
      </c>
      <c r="Q403" s="1" t="str">
        <v/>
      </c>
    </row>
    <row r="404" x14ac:dyDescent="0.25">
      <c r="A404" s="1" t="str">
        <v/>
      </c>
      <c r="B404" s="1" t="str">
        <v/>
      </c>
      <c r="C404" s="1" t="str">
        <v/>
      </c>
      <c r="D404" s="1" t="str">
        <v/>
      </c>
      <c r="E404" s="1" t="str">
        <v/>
      </c>
      <c r="F404" s="1" t="str">
        <v/>
      </c>
      <c r="G404" s="1" t="str">
        <v/>
      </c>
      <c r="H404" s="1" t="str">
        <v/>
      </c>
      <c r="I404" s="2" t="str">
        <v/>
      </c>
      <c r="J404" s="2" t="str">
        <v/>
      </c>
      <c r="K404" s="2" t="str">
        <v/>
      </c>
      <c r="L404" s="1" t="str">
        <v/>
      </c>
      <c r="M404" s="2" t="str">
        <v/>
      </c>
      <c r="N404" s="2" t="str">
        <v/>
      </c>
      <c r="O404" s="1" t="str">
        <v/>
      </c>
      <c r="P404" s="1" t="str">
        <v/>
      </c>
      <c r="Q404" s="1" t="str">
        <v/>
      </c>
    </row>
    <row r="405" x14ac:dyDescent="0.25">
      <c r="A405" s="1" t="str">
        <v/>
      </c>
      <c r="B405" s="1" t="str">
        <v/>
      </c>
      <c r="C405" s="1" t="str">
        <v/>
      </c>
      <c r="D405" s="1" t="str">
        <v/>
      </c>
      <c r="E405" s="1" t="str">
        <v/>
      </c>
      <c r="F405" s="1" t="str">
        <v/>
      </c>
      <c r="G405" s="1" t="str">
        <v/>
      </c>
      <c r="H405" s="1" t="str">
        <v/>
      </c>
      <c r="I405" s="2" t="str">
        <v/>
      </c>
      <c r="J405" s="2" t="str">
        <v/>
      </c>
      <c r="K405" s="2" t="str">
        <v/>
      </c>
      <c r="L405" s="1" t="str">
        <v/>
      </c>
      <c r="M405" s="2" t="str">
        <v/>
      </c>
      <c r="N405" s="2" t="str">
        <v/>
      </c>
      <c r="O405" s="1" t="str">
        <v/>
      </c>
      <c r="P405" s="1" t="str">
        <v/>
      </c>
      <c r="Q405" s="1" t="str">
        <v/>
      </c>
    </row>
    <row r="406" x14ac:dyDescent="0.25">
      <c r="A406" s="1" t="str">
        <v/>
      </c>
      <c r="B406" s="1" t="str">
        <v/>
      </c>
      <c r="C406" s="1" t="str">
        <v/>
      </c>
      <c r="D406" s="1" t="str">
        <v/>
      </c>
      <c r="E406" s="1" t="str">
        <v/>
      </c>
      <c r="F406" s="1" t="str">
        <v/>
      </c>
      <c r="G406" s="1" t="str">
        <v/>
      </c>
      <c r="H406" s="1" t="str">
        <v/>
      </c>
      <c r="I406" s="2" t="str">
        <v/>
      </c>
      <c r="J406" s="2" t="str">
        <v/>
      </c>
      <c r="K406" s="2" t="str">
        <v/>
      </c>
      <c r="L406" s="1" t="str">
        <v/>
      </c>
      <c r="M406" s="2" t="str">
        <v/>
      </c>
      <c r="N406" s="2" t="str">
        <v/>
      </c>
      <c r="O406" s="1" t="str">
        <v/>
      </c>
      <c r="P406" s="1" t="str">
        <v/>
      </c>
      <c r="Q406" s="1" t="str">
        <v/>
      </c>
    </row>
    <row r="407" x14ac:dyDescent="0.25">
      <c r="A407" s="1" t="str">
        <v/>
      </c>
      <c r="B407" s="1" t="str">
        <v/>
      </c>
      <c r="C407" s="1" t="str">
        <v/>
      </c>
      <c r="D407" s="1" t="str">
        <v/>
      </c>
      <c r="E407" s="1" t="str">
        <v/>
      </c>
      <c r="F407" s="1" t="str">
        <v/>
      </c>
      <c r="G407" s="1" t="str">
        <v/>
      </c>
      <c r="H407" s="1" t="str">
        <v/>
      </c>
      <c r="I407" s="2" t="str">
        <v/>
      </c>
      <c r="J407" s="2" t="str">
        <v/>
      </c>
      <c r="K407" s="2" t="str">
        <v/>
      </c>
      <c r="L407" s="1" t="str">
        <v/>
      </c>
      <c r="M407" s="2" t="str">
        <v/>
      </c>
      <c r="N407" s="2" t="str">
        <v/>
      </c>
      <c r="O407" s="1" t="str">
        <v/>
      </c>
      <c r="P407" s="1" t="str">
        <v/>
      </c>
      <c r="Q407" s="1" t="str">
        <v/>
      </c>
    </row>
    <row r="408" x14ac:dyDescent="0.25">
      <c r="A408" s="1" t="str">
        <v/>
      </c>
      <c r="B408" s="1" t="str">
        <v/>
      </c>
      <c r="C408" s="1" t="str">
        <v/>
      </c>
      <c r="D408" s="1" t="str">
        <v/>
      </c>
      <c r="E408" s="1" t="str">
        <v/>
      </c>
      <c r="F408" s="1" t="str">
        <v/>
      </c>
      <c r="G408" s="1" t="str">
        <v/>
      </c>
      <c r="H408" s="1" t="str">
        <v/>
      </c>
      <c r="I408" s="2" t="str">
        <v/>
      </c>
      <c r="J408" s="2" t="str">
        <v/>
      </c>
      <c r="K408" s="2" t="str">
        <v/>
      </c>
      <c r="L408" s="1" t="str">
        <v/>
      </c>
      <c r="M408" s="2" t="str">
        <v/>
      </c>
      <c r="N408" s="2" t="str">
        <v/>
      </c>
      <c r="O408" s="1" t="str">
        <v/>
      </c>
      <c r="P408" s="1" t="str">
        <v/>
      </c>
      <c r="Q408" s="1" t="str">
        <v/>
      </c>
    </row>
    <row r="409" x14ac:dyDescent="0.25">
      <c r="A409" s="1" t="str">
        <v/>
      </c>
      <c r="B409" s="1" t="str">
        <v/>
      </c>
      <c r="C409" s="1" t="str">
        <v/>
      </c>
      <c r="D409" s="1" t="str">
        <v/>
      </c>
      <c r="E409" s="1" t="str">
        <v/>
      </c>
      <c r="F409" s="1" t="str">
        <v/>
      </c>
      <c r="G409" s="1" t="str">
        <v/>
      </c>
      <c r="H409" s="1" t="str">
        <v/>
      </c>
      <c r="I409" s="2" t="str">
        <v/>
      </c>
      <c r="J409" s="2" t="str">
        <v/>
      </c>
      <c r="K409" s="2" t="str">
        <v/>
      </c>
      <c r="L409" s="1" t="str">
        <v/>
      </c>
      <c r="M409" s="2" t="str">
        <v/>
      </c>
      <c r="N409" s="2" t="str">
        <v/>
      </c>
      <c r="O409" s="1" t="str">
        <v/>
      </c>
      <c r="P409" s="1" t="str">
        <v/>
      </c>
      <c r="Q409" s="1" t="str">
        <v/>
      </c>
    </row>
    <row r="410" x14ac:dyDescent="0.25">
      <c r="A410" s="1" t="str">
        <v/>
      </c>
      <c r="B410" s="1" t="str">
        <v/>
      </c>
      <c r="C410" s="1" t="str">
        <v/>
      </c>
      <c r="D410" s="1" t="str">
        <v/>
      </c>
      <c r="E410" s="1" t="str">
        <v/>
      </c>
      <c r="F410" s="1" t="str">
        <v/>
      </c>
      <c r="G410" s="1" t="str">
        <v/>
      </c>
      <c r="H410" s="1" t="str">
        <v/>
      </c>
      <c r="I410" s="2" t="str">
        <v/>
      </c>
      <c r="J410" s="2" t="str">
        <v/>
      </c>
      <c r="K410" s="2" t="str">
        <v/>
      </c>
      <c r="L410" s="1" t="str">
        <v/>
      </c>
      <c r="M410" s="2" t="str">
        <v/>
      </c>
      <c r="N410" s="2" t="str">
        <v/>
      </c>
      <c r="O410" s="1" t="str">
        <v/>
      </c>
      <c r="P410" s="1" t="str">
        <v/>
      </c>
      <c r="Q410" s="1" t="str">
        <v/>
      </c>
    </row>
    <row r="411" x14ac:dyDescent="0.25">
      <c r="A411" s="1" t="str">
        <v/>
      </c>
      <c r="B411" s="1" t="str">
        <v/>
      </c>
      <c r="C411" s="1" t="str">
        <v/>
      </c>
      <c r="D411" s="1" t="str">
        <v/>
      </c>
      <c r="E411" s="1" t="str">
        <v/>
      </c>
      <c r="F411" s="1" t="str">
        <v/>
      </c>
      <c r="G411" s="1" t="str">
        <v/>
      </c>
      <c r="H411" s="1" t="str">
        <v/>
      </c>
      <c r="I411" s="2" t="str">
        <v/>
      </c>
      <c r="J411" s="2" t="str">
        <v/>
      </c>
      <c r="K411" s="2" t="str">
        <v/>
      </c>
      <c r="L411" s="1" t="str">
        <v/>
      </c>
      <c r="M411" s="2" t="str">
        <v/>
      </c>
      <c r="N411" s="2" t="str">
        <v/>
      </c>
      <c r="O411" s="1" t="str">
        <v/>
      </c>
      <c r="P411" s="1" t="str">
        <v/>
      </c>
      <c r="Q411" s="1" t="str">
        <v/>
      </c>
    </row>
    <row r="412" x14ac:dyDescent="0.25">
      <c r="A412" s="1" t="str">
        <v/>
      </c>
      <c r="B412" s="1" t="str">
        <v/>
      </c>
      <c r="C412" s="1" t="str">
        <v/>
      </c>
      <c r="D412" s="1" t="str">
        <v/>
      </c>
      <c r="E412" s="1" t="str">
        <v/>
      </c>
      <c r="F412" s="1" t="str">
        <v/>
      </c>
      <c r="G412" s="1" t="str">
        <v/>
      </c>
      <c r="H412" s="1" t="str">
        <v/>
      </c>
      <c r="I412" s="2" t="str">
        <v/>
      </c>
      <c r="J412" s="2" t="str">
        <v/>
      </c>
      <c r="K412" s="2" t="str">
        <v/>
      </c>
      <c r="L412" s="1" t="str">
        <v/>
      </c>
      <c r="M412" s="2" t="str">
        <v/>
      </c>
      <c r="N412" s="2" t="str">
        <v/>
      </c>
      <c r="O412" s="1" t="str">
        <v/>
      </c>
      <c r="P412" s="1" t="str">
        <v/>
      </c>
      <c r="Q412" s="1" t="str">
        <v/>
      </c>
    </row>
    <row r="413" x14ac:dyDescent="0.25">
      <c r="A413" s="1" t="str">
        <v/>
      </c>
      <c r="B413" s="1" t="str">
        <v/>
      </c>
      <c r="C413" s="1" t="str">
        <v/>
      </c>
      <c r="D413" s="1" t="str">
        <v/>
      </c>
      <c r="E413" s="1" t="str">
        <v/>
      </c>
      <c r="F413" s="1" t="str">
        <v/>
      </c>
      <c r="G413" s="1" t="str">
        <v/>
      </c>
      <c r="H413" s="1" t="str">
        <v/>
      </c>
      <c r="I413" s="2" t="str">
        <v/>
      </c>
      <c r="J413" s="2" t="str">
        <v/>
      </c>
      <c r="K413" s="2" t="str">
        <v/>
      </c>
      <c r="L413" s="1" t="str">
        <v/>
      </c>
      <c r="M413" s="2" t="str">
        <v/>
      </c>
      <c r="N413" s="2" t="str">
        <v/>
      </c>
      <c r="O413" s="1" t="str">
        <v/>
      </c>
      <c r="P413" s="1" t="str">
        <v/>
      </c>
      <c r="Q413" s="1" t="str">
        <v/>
      </c>
    </row>
    <row r="414" x14ac:dyDescent="0.25">
      <c r="A414" s="1" t="str">
        <v/>
      </c>
      <c r="B414" s="1" t="str">
        <v/>
      </c>
      <c r="C414" s="1" t="str">
        <v/>
      </c>
      <c r="D414" s="1" t="str">
        <v/>
      </c>
      <c r="E414" s="1" t="str">
        <v/>
      </c>
      <c r="F414" s="1" t="str">
        <v/>
      </c>
      <c r="G414" s="1" t="str">
        <v/>
      </c>
      <c r="H414" s="1" t="str">
        <v/>
      </c>
      <c r="I414" s="2" t="str">
        <v/>
      </c>
      <c r="J414" s="2" t="str">
        <v/>
      </c>
      <c r="K414" s="2" t="str">
        <v/>
      </c>
      <c r="L414" s="1" t="str">
        <v/>
      </c>
      <c r="M414" s="2" t="str">
        <v/>
      </c>
      <c r="N414" s="2" t="str">
        <v/>
      </c>
      <c r="O414" s="1" t="str">
        <v/>
      </c>
      <c r="P414" s="1" t="str">
        <v/>
      </c>
      <c r="Q414" s="1" t="str">
        <v/>
      </c>
    </row>
    <row r="415" x14ac:dyDescent="0.25">
      <c r="A415" s="1" t="str">
        <v/>
      </c>
      <c r="B415" s="1" t="str">
        <v/>
      </c>
      <c r="C415" s="1" t="str">
        <v/>
      </c>
      <c r="D415" s="1" t="str">
        <v/>
      </c>
      <c r="E415" s="1" t="str">
        <v/>
      </c>
      <c r="F415" s="1" t="str">
        <v/>
      </c>
      <c r="G415" s="1" t="str">
        <v/>
      </c>
      <c r="H415" s="1" t="str">
        <v/>
      </c>
      <c r="I415" s="2" t="str">
        <v/>
      </c>
      <c r="J415" s="2" t="str">
        <v/>
      </c>
      <c r="K415" s="2" t="str">
        <v/>
      </c>
      <c r="L415" s="1" t="str">
        <v/>
      </c>
      <c r="M415" s="2" t="str">
        <v/>
      </c>
      <c r="N415" s="2" t="str">
        <v/>
      </c>
      <c r="O415" s="1" t="str">
        <v/>
      </c>
      <c r="P415" s="1" t="str">
        <v/>
      </c>
      <c r="Q415" s="1" t="str">
        <v/>
      </c>
    </row>
    <row r="416" x14ac:dyDescent="0.25">
      <c r="A416" s="1" t="str">
        <v/>
      </c>
      <c r="B416" s="1" t="str">
        <v/>
      </c>
      <c r="C416" s="1" t="str">
        <v/>
      </c>
      <c r="D416" s="1" t="str">
        <v/>
      </c>
      <c r="E416" s="1" t="str">
        <v/>
      </c>
      <c r="F416" s="1" t="str">
        <v/>
      </c>
      <c r="G416" s="1" t="str">
        <v/>
      </c>
      <c r="H416" s="1" t="str">
        <v/>
      </c>
      <c r="I416" s="2" t="str">
        <v/>
      </c>
      <c r="J416" s="2" t="str">
        <v/>
      </c>
      <c r="K416" s="2" t="str">
        <v/>
      </c>
      <c r="L416" s="1" t="str">
        <v/>
      </c>
      <c r="M416" s="2" t="str">
        <v/>
      </c>
      <c r="N416" s="2" t="str">
        <v/>
      </c>
      <c r="O416" s="1" t="str">
        <v/>
      </c>
      <c r="P416" s="1" t="str">
        <v/>
      </c>
      <c r="Q416" s="1" t="str">
        <v/>
      </c>
    </row>
    <row r="417" x14ac:dyDescent="0.25">
      <c r="A417" s="1" t="str">
        <v/>
      </c>
      <c r="B417" s="1" t="str">
        <v/>
      </c>
      <c r="C417" s="1" t="str">
        <v/>
      </c>
      <c r="D417" s="1" t="str">
        <v/>
      </c>
      <c r="E417" s="1" t="str">
        <v/>
      </c>
      <c r="F417" s="1" t="str">
        <v/>
      </c>
      <c r="G417" s="1" t="str">
        <v/>
      </c>
      <c r="H417" s="1" t="str">
        <v/>
      </c>
      <c r="I417" s="2" t="str">
        <v/>
      </c>
      <c r="J417" s="2" t="str">
        <v/>
      </c>
      <c r="K417" s="2" t="str">
        <v/>
      </c>
      <c r="L417" s="1" t="str">
        <v/>
      </c>
      <c r="M417" s="2" t="str">
        <v/>
      </c>
      <c r="N417" s="2" t="str">
        <v/>
      </c>
      <c r="O417" s="1" t="str">
        <v/>
      </c>
      <c r="P417" s="1" t="str">
        <v/>
      </c>
      <c r="Q417" s="1" t="str">
        <v/>
      </c>
    </row>
    <row r="418" x14ac:dyDescent="0.25">
      <c r="A418" s="1" t="str">
        <v/>
      </c>
      <c r="B418" s="1" t="str">
        <v/>
      </c>
      <c r="C418" s="1" t="str">
        <v/>
      </c>
      <c r="D418" s="1" t="str">
        <v/>
      </c>
      <c r="E418" s="1" t="str">
        <v/>
      </c>
      <c r="F418" s="1" t="str">
        <v/>
      </c>
      <c r="G418" s="1" t="str">
        <v/>
      </c>
      <c r="H418" s="1" t="str">
        <v/>
      </c>
      <c r="I418" s="2" t="str">
        <v/>
      </c>
      <c r="J418" s="2" t="str">
        <v/>
      </c>
      <c r="K418" s="2" t="str">
        <v/>
      </c>
      <c r="L418" s="1" t="str">
        <v/>
      </c>
      <c r="M418" s="2" t="str">
        <v/>
      </c>
      <c r="N418" s="2" t="str">
        <v/>
      </c>
      <c r="O418" s="1" t="str">
        <v/>
      </c>
      <c r="P418" s="1" t="str">
        <v/>
      </c>
      <c r="Q418" s="1" t="str">
        <v/>
      </c>
    </row>
    <row r="419" x14ac:dyDescent="0.25">
      <c r="A419" s="1" t="str">
        <v/>
      </c>
      <c r="B419" s="1" t="str">
        <v/>
      </c>
      <c r="C419" s="1" t="str">
        <v/>
      </c>
      <c r="D419" s="1" t="str">
        <v/>
      </c>
      <c r="E419" s="1" t="str">
        <v/>
      </c>
      <c r="F419" s="1" t="str">
        <v/>
      </c>
      <c r="G419" s="1" t="str">
        <v/>
      </c>
      <c r="H419" s="1" t="str">
        <v/>
      </c>
      <c r="I419" s="2" t="str">
        <v/>
      </c>
      <c r="J419" s="2" t="str">
        <v/>
      </c>
      <c r="K419" s="2" t="str">
        <v/>
      </c>
      <c r="L419" s="1" t="str">
        <v/>
      </c>
      <c r="M419" s="2" t="str">
        <v/>
      </c>
      <c r="N419" s="2" t="str">
        <v/>
      </c>
      <c r="O419" s="1" t="str">
        <v/>
      </c>
      <c r="P419" s="1" t="str">
        <v/>
      </c>
      <c r="Q419" s="1" t="str">
        <v/>
      </c>
    </row>
    <row r="420" x14ac:dyDescent="0.25">
      <c r="A420" s="1" t="str">
        <v/>
      </c>
      <c r="B420" s="1" t="str">
        <v/>
      </c>
      <c r="C420" s="1" t="str">
        <v/>
      </c>
      <c r="D420" s="1" t="str">
        <v/>
      </c>
      <c r="E420" s="1" t="str">
        <v/>
      </c>
      <c r="F420" s="1" t="str">
        <v/>
      </c>
      <c r="G420" s="1" t="str">
        <v/>
      </c>
      <c r="H420" s="1" t="str">
        <v/>
      </c>
      <c r="I420" s="2" t="str">
        <v/>
      </c>
      <c r="J420" s="2" t="str">
        <v/>
      </c>
      <c r="K420" s="2" t="str">
        <v/>
      </c>
      <c r="L420" s="1" t="str">
        <v/>
      </c>
      <c r="M420" s="2" t="str">
        <v/>
      </c>
      <c r="N420" s="2" t="str">
        <v/>
      </c>
      <c r="O420" s="1" t="str">
        <v/>
      </c>
      <c r="P420" s="1" t="str">
        <v/>
      </c>
      <c r="Q420" s="1" t="str">
        <v/>
      </c>
    </row>
    <row r="421" x14ac:dyDescent="0.25">
      <c r="A421" s="1" t="str">
        <v/>
      </c>
      <c r="B421" s="1" t="str">
        <v/>
      </c>
      <c r="C421" s="1" t="str">
        <v/>
      </c>
      <c r="D421" s="1" t="str">
        <v/>
      </c>
      <c r="E421" s="1" t="str">
        <v/>
      </c>
      <c r="F421" s="1" t="str">
        <v/>
      </c>
      <c r="G421" s="1" t="str">
        <v/>
      </c>
      <c r="H421" s="1" t="str">
        <v/>
      </c>
      <c r="I421" s="2" t="str">
        <v/>
      </c>
      <c r="J421" s="2" t="str">
        <v/>
      </c>
      <c r="K421" s="2" t="str">
        <v/>
      </c>
      <c r="L421" s="1" t="str">
        <v/>
      </c>
      <c r="M421" s="2" t="str">
        <v/>
      </c>
      <c r="N421" s="2" t="str">
        <v/>
      </c>
      <c r="O421" s="1" t="str">
        <v/>
      </c>
      <c r="P421" s="1" t="str">
        <v/>
      </c>
      <c r="Q421" s="1" t="str">
        <v/>
      </c>
    </row>
    <row r="422" x14ac:dyDescent="0.25">
      <c r="A422" s="1" t="str">
        <v/>
      </c>
      <c r="B422" s="1" t="str">
        <v/>
      </c>
      <c r="C422" s="1" t="str">
        <v/>
      </c>
      <c r="D422" s="1" t="str">
        <v/>
      </c>
      <c r="E422" s="1" t="str">
        <v/>
      </c>
      <c r="F422" s="1" t="str">
        <v/>
      </c>
      <c r="G422" s="1" t="str">
        <v/>
      </c>
      <c r="H422" s="1" t="str">
        <v/>
      </c>
      <c r="I422" s="2" t="str">
        <v/>
      </c>
      <c r="J422" s="2" t="str">
        <v/>
      </c>
      <c r="K422" s="2" t="str">
        <v/>
      </c>
      <c r="L422" s="1" t="str">
        <v/>
      </c>
      <c r="M422" s="2" t="str">
        <v/>
      </c>
      <c r="N422" s="2" t="str">
        <v/>
      </c>
      <c r="O422" s="1" t="str">
        <v/>
      </c>
      <c r="P422" s="1" t="str">
        <v/>
      </c>
      <c r="Q422" s="1" t="str">
        <v/>
      </c>
    </row>
    <row r="423" x14ac:dyDescent="0.25">
      <c r="A423" s="1" t="str">
        <v/>
      </c>
      <c r="B423" s="1" t="str">
        <v/>
      </c>
      <c r="C423" s="1" t="str">
        <v/>
      </c>
      <c r="D423" s="1" t="str">
        <v/>
      </c>
      <c r="E423" s="1" t="str">
        <v/>
      </c>
      <c r="F423" s="1" t="str">
        <v/>
      </c>
      <c r="G423" s="1" t="str">
        <v/>
      </c>
      <c r="H423" s="1" t="str">
        <v/>
      </c>
      <c r="I423" s="2" t="str">
        <v/>
      </c>
      <c r="J423" s="2" t="str">
        <v/>
      </c>
      <c r="K423" s="2" t="str">
        <v/>
      </c>
      <c r="L423" s="1" t="str">
        <v/>
      </c>
      <c r="M423" s="2" t="str">
        <v/>
      </c>
      <c r="N423" s="2" t="str">
        <v/>
      </c>
      <c r="O423" s="1" t="str">
        <v/>
      </c>
      <c r="P423" s="1" t="str">
        <v/>
      </c>
      <c r="Q423" s="1" t="str">
        <v/>
      </c>
    </row>
    <row r="424" x14ac:dyDescent="0.25">
      <c r="A424" s="1" t="str">
        <v/>
      </c>
      <c r="B424" s="1" t="str">
        <v/>
      </c>
      <c r="C424" s="1" t="str">
        <v/>
      </c>
      <c r="D424" s="1" t="str">
        <v/>
      </c>
      <c r="E424" s="1" t="str">
        <v/>
      </c>
      <c r="F424" s="1" t="str">
        <v/>
      </c>
      <c r="G424" s="1" t="str">
        <v/>
      </c>
      <c r="H424" s="1" t="str">
        <v/>
      </c>
      <c r="I424" s="2" t="str">
        <v/>
      </c>
      <c r="J424" s="2" t="str">
        <v/>
      </c>
      <c r="K424" s="2" t="str">
        <v/>
      </c>
      <c r="L424" s="1" t="str">
        <v/>
      </c>
      <c r="M424" s="2" t="str">
        <v/>
      </c>
      <c r="N424" s="2" t="str">
        <v/>
      </c>
      <c r="O424" s="1" t="str">
        <v/>
      </c>
      <c r="P424" s="1" t="str">
        <v/>
      </c>
      <c r="Q424" s="1" t="str">
        <v/>
      </c>
    </row>
    <row r="425" x14ac:dyDescent="0.25">
      <c r="A425" s="1" t="str">
        <v/>
      </c>
      <c r="B425" s="1" t="str">
        <v/>
      </c>
      <c r="C425" s="1" t="str">
        <v/>
      </c>
      <c r="D425" s="1" t="str">
        <v/>
      </c>
      <c r="E425" s="1" t="str">
        <v/>
      </c>
      <c r="F425" s="1" t="str">
        <v/>
      </c>
      <c r="G425" s="1" t="str">
        <v/>
      </c>
      <c r="H425" s="1" t="str">
        <v/>
      </c>
      <c r="I425" s="2" t="str">
        <v/>
      </c>
      <c r="J425" s="2" t="str">
        <v/>
      </c>
      <c r="K425" s="2" t="str">
        <v/>
      </c>
      <c r="L425" s="1" t="str">
        <v/>
      </c>
      <c r="M425" s="2" t="str">
        <v/>
      </c>
      <c r="N425" s="2" t="str">
        <v/>
      </c>
      <c r="O425" s="1" t="str">
        <v/>
      </c>
      <c r="P425" s="1" t="str">
        <v/>
      </c>
      <c r="Q425" s="1" t="str">
        <v/>
      </c>
    </row>
    <row r="426" x14ac:dyDescent="0.25">
      <c r="A426" s="1" t="str">
        <v/>
      </c>
      <c r="B426" s="1" t="str">
        <v/>
      </c>
      <c r="C426" s="1" t="str">
        <v/>
      </c>
      <c r="D426" s="1" t="str">
        <v/>
      </c>
      <c r="E426" s="1" t="str">
        <v/>
      </c>
      <c r="F426" s="1" t="str">
        <v/>
      </c>
      <c r="G426" s="1" t="str">
        <v/>
      </c>
      <c r="H426" s="1" t="str">
        <v/>
      </c>
      <c r="I426" s="2" t="str">
        <v/>
      </c>
      <c r="J426" s="2" t="str">
        <v/>
      </c>
      <c r="K426" s="2" t="str">
        <v/>
      </c>
      <c r="L426" s="1" t="str">
        <v/>
      </c>
      <c r="M426" s="2" t="str">
        <v/>
      </c>
      <c r="N426" s="2" t="str">
        <v/>
      </c>
      <c r="O426" s="1" t="str">
        <v/>
      </c>
      <c r="P426" s="1" t="str">
        <v/>
      </c>
      <c r="Q426" s="1" t="str">
        <v/>
      </c>
    </row>
    <row r="427" x14ac:dyDescent="0.25">
      <c r="A427" s="1" t="str">
        <v/>
      </c>
      <c r="B427" s="1" t="str">
        <v/>
      </c>
      <c r="C427" s="1" t="str">
        <v/>
      </c>
      <c r="D427" s="1" t="str">
        <v/>
      </c>
      <c r="E427" s="1" t="str">
        <v/>
      </c>
      <c r="F427" s="1" t="str">
        <v/>
      </c>
      <c r="G427" s="1" t="str">
        <v/>
      </c>
      <c r="H427" s="1" t="str">
        <v/>
      </c>
      <c r="I427" s="2" t="str">
        <v/>
      </c>
      <c r="J427" s="2" t="str">
        <v/>
      </c>
      <c r="K427" s="2" t="str">
        <v/>
      </c>
      <c r="L427" s="1" t="str">
        <v/>
      </c>
      <c r="M427" s="2" t="str">
        <v/>
      </c>
      <c r="N427" s="2" t="str">
        <v/>
      </c>
      <c r="O427" s="1" t="str">
        <v/>
      </c>
      <c r="P427" s="1" t="str">
        <v/>
      </c>
      <c r="Q427" s="1" t="str">
        <v/>
      </c>
    </row>
    <row r="428" x14ac:dyDescent="0.25">
      <c r="A428" s="1" t="str">
        <v/>
      </c>
      <c r="B428" s="1" t="str">
        <v/>
      </c>
      <c r="C428" s="1" t="str">
        <v/>
      </c>
      <c r="D428" s="1" t="str">
        <v/>
      </c>
      <c r="E428" s="1" t="str">
        <v/>
      </c>
      <c r="F428" s="1" t="str">
        <v/>
      </c>
      <c r="G428" s="1" t="str">
        <v/>
      </c>
      <c r="H428" s="1" t="str">
        <v/>
      </c>
      <c r="I428" s="2" t="str">
        <v/>
      </c>
      <c r="J428" s="2" t="str">
        <v/>
      </c>
      <c r="K428" s="2" t="str">
        <v/>
      </c>
      <c r="L428" s="1" t="str">
        <v/>
      </c>
      <c r="M428" s="2" t="str">
        <v/>
      </c>
      <c r="N428" s="2" t="str">
        <v/>
      </c>
      <c r="O428" s="1" t="str">
        <v/>
      </c>
      <c r="P428" s="1" t="str">
        <v/>
      </c>
      <c r="Q428" s="1" t="str">
        <v/>
      </c>
    </row>
    <row r="429" x14ac:dyDescent="0.25">
      <c r="A429" s="1" t="str">
        <v/>
      </c>
      <c r="B429" s="1" t="str">
        <v/>
      </c>
      <c r="C429" s="1" t="str">
        <v/>
      </c>
      <c r="D429" s="1" t="str">
        <v/>
      </c>
      <c r="E429" s="1" t="str">
        <v/>
      </c>
      <c r="F429" s="1" t="str">
        <v/>
      </c>
      <c r="G429" s="1" t="str">
        <v/>
      </c>
      <c r="H429" s="1" t="str">
        <v/>
      </c>
      <c r="I429" s="2" t="str">
        <v/>
      </c>
      <c r="J429" s="2" t="str">
        <v/>
      </c>
      <c r="K429" s="2" t="str">
        <v/>
      </c>
      <c r="L429" s="1" t="str">
        <v/>
      </c>
      <c r="M429" s="2" t="str">
        <v/>
      </c>
      <c r="N429" s="2" t="str">
        <v/>
      </c>
      <c r="O429" s="1" t="str">
        <v/>
      </c>
      <c r="P429" s="1" t="str">
        <v/>
      </c>
      <c r="Q429" s="1" t="str">
        <v/>
      </c>
    </row>
    <row r="430" x14ac:dyDescent="0.25">
      <c r="A430" s="1" t="str">
        <v/>
      </c>
      <c r="B430" s="1" t="str">
        <v/>
      </c>
      <c r="C430" s="1" t="str">
        <v/>
      </c>
      <c r="D430" s="1" t="str">
        <v/>
      </c>
      <c r="E430" s="1" t="str">
        <v/>
      </c>
      <c r="F430" s="1" t="str">
        <v/>
      </c>
      <c r="G430" s="1" t="str">
        <v/>
      </c>
      <c r="H430" s="1" t="str">
        <v/>
      </c>
      <c r="I430" s="2" t="str">
        <v/>
      </c>
      <c r="J430" s="2" t="str">
        <v/>
      </c>
      <c r="K430" s="2" t="str">
        <v/>
      </c>
      <c r="L430" s="1" t="str">
        <v/>
      </c>
      <c r="M430" s="2" t="str">
        <v/>
      </c>
      <c r="N430" s="2" t="str">
        <v/>
      </c>
      <c r="O430" s="1" t="str">
        <v/>
      </c>
      <c r="P430" s="1" t="str">
        <v/>
      </c>
      <c r="Q430" s="1" t="str">
        <v/>
      </c>
    </row>
    <row r="431" x14ac:dyDescent="0.25">
      <c r="A431" s="1" t="str">
        <v/>
      </c>
      <c r="B431" s="1" t="str">
        <v/>
      </c>
      <c r="C431" s="1" t="str">
        <v/>
      </c>
      <c r="D431" s="1" t="str">
        <v/>
      </c>
      <c r="E431" s="1" t="str">
        <v/>
      </c>
      <c r="F431" s="1" t="str">
        <v/>
      </c>
      <c r="G431" s="1" t="str">
        <v/>
      </c>
      <c r="H431" s="1" t="str">
        <v/>
      </c>
      <c r="I431" s="2" t="str">
        <v/>
      </c>
      <c r="J431" s="2" t="str">
        <v/>
      </c>
      <c r="K431" s="2" t="str">
        <v/>
      </c>
      <c r="L431" s="1" t="str">
        <v/>
      </c>
      <c r="M431" s="2" t="str">
        <v/>
      </c>
      <c r="N431" s="2" t="str">
        <v/>
      </c>
      <c r="O431" s="1" t="str">
        <v/>
      </c>
      <c r="P431" s="1" t="str">
        <v/>
      </c>
      <c r="Q431" s="1" t="str">
        <v/>
      </c>
    </row>
    <row r="432" x14ac:dyDescent="0.25">
      <c r="A432" s="1" t="str">
        <v/>
      </c>
      <c r="B432" s="1" t="str">
        <v/>
      </c>
      <c r="C432" s="1" t="str">
        <v/>
      </c>
      <c r="D432" s="1" t="str">
        <v/>
      </c>
      <c r="E432" s="1" t="str">
        <v/>
      </c>
      <c r="F432" s="1" t="str">
        <v/>
      </c>
      <c r="G432" s="1" t="str">
        <v/>
      </c>
      <c r="H432" s="1" t="str">
        <v/>
      </c>
      <c r="I432" s="2" t="str">
        <v/>
      </c>
      <c r="J432" s="2" t="str">
        <v/>
      </c>
      <c r="K432" s="2" t="str">
        <v/>
      </c>
      <c r="L432" s="1" t="str">
        <v/>
      </c>
      <c r="M432" s="2" t="str">
        <v/>
      </c>
      <c r="N432" s="2" t="str">
        <v/>
      </c>
      <c r="O432" s="1" t="str">
        <v/>
      </c>
      <c r="P432" s="1" t="str">
        <v/>
      </c>
      <c r="Q432" s="1" t="str">
        <v/>
      </c>
    </row>
    <row r="433" x14ac:dyDescent="0.25">
      <c r="A433" s="1" t="str">
        <v/>
      </c>
      <c r="B433" s="1" t="str">
        <v/>
      </c>
      <c r="C433" s="1" t="str">
        <v/>
      </c>
      <c r="D433" s="1" t="str">
        <v/>
      </c>
      <c r="E433" s="1" t="str">
        <v/>
      </c>
      <c r="F433" s="1" t="str">
        <v/>
      </c>
      <c r="G433" s="1" t="str">
        <v/>
      </c>
      <c r="H433" s="1" t="str">
        <v/>
      </c>
      <c r="I433" s="2" t="str">
        <v/>
      </c>
      <c r="J433" s="2" t="str">
        <v/>
      </c>
      <c r="K433" s="2" t="str">
        <v/>
      </c>
      <c r="L433" s="1" t="str">
        <v/>
      </c>
      <c r="M433" s="2" t="str">
        <v/>
      </c>
      <c r="N433" s="2" t="str">
        <v/>
      </c>
      <c r="O433" s="1" t="str">
        <v/>
      </c>
      <c r="P433" s="1" t="str">
        <v/>
      </c>
      <c r="Q433" s="1" t="str">
        <v/>
      </c>
    </row>
    <row r="434" x14ac:dyDescent="0.25">
      <c r="A434" s="1" t="str">
        <v/>
      </c>
      <c r="B434" s="1" t="str">
        <v/>
      </c>
      <c r="C434" s="1" t="str">
        <v/>
      </c>
      <c r="D434" s="1" t="str">
        <v/>
      </c>
      <c r="E434" s="1" t="str">
        <v/>
      </c>
      <c r="F434" s="1" t="str">
        <v/>
      </c>
      <c r="G434" s="1" t="str">
        <v/>
      </c>
      <c r="H434" s="1" t="str">
        <v/>
      </c>
      <c r="I434" s="2" t="str">
        <v/>
      </c>
      <c r="J434" s="2" t="str">
        <v/>
      </c>
      <c r="K434" s="2" t="str">
        <v/>
      </c>
      <c r="L434" s="1" t="str">
        <v/>
      </c>
      <c r="M434" s="2" t="str">
        <v/>
      </c>
      <c r="N434" s="2" t="str">
        <v/>
      </c>
      <c r="O434" s="1" t="str">
        <v/>
      </c>
      <c r="P434" s="1" t="str">
        <v/>
      </c>
      <c r="Q434" s="1" t="str">
        <v/>
      </c>
    </row>
    <row r="435" x14ac:dyDescent="0.25">
      <c r="A435" s="1" t="str">
        <v/>
      </c>
      <c r="B435" s="1" t="str">
        <v/>
      </c>
      <c r="C435" s="1" t="str">
        <v/>
      </c>
      <c r="D435" s="1" t="str">
        <v/>
      </c>
      <c r="E435" s="1" t="str">
        <v/>
      </c>
      <c r="F435" s="1" t="str">
        <v/>
      </c>
      <c r="G435" s="1" t="str">
        <v/>
      </c>
      <c r="H435" s="1" t="str">
        <v/>
      </c>
      <c r="I435" s="2" t="str">
        <v/>
      </c>
      <c r="J435" s="2" t="str">
        <v/>
      </c>
      <c r="K435" s="2" t="str">
        <v/>
      </c>
      <c r="L435" s="1" t="str">
        <v/>
      </c>
      <c r="M435" s="2" t="str">
        <v/>
      </c>
      <c r="N435" s="2" t="str">
        <v/>
      </c>
      <c r="O435" s="1" t="str">
        <v/>
      </c>
      <c r="P435" s="1" t="str">
        <v/>
      </c>
      <c r="Q435" s="1" t="str">
        <v/>
      </c>
    </row>
    <row r="436" x14ac:dyDescent="0.25">
      <c r="A436" s="1" t="str">
        <v/>
      </c>
      <c r="B436" s="1" t="str">
        <v/>
      </c>
      <c r="C436" s="1" t="str">
        <v/>
      </c>
      <c r="D436" s="1" t="str">
        <v/>
      </c>
      <c r="E436" s="1" t="str">
        <v/>
      </c>
      <c r="F436" s="1" t="str">
        <v/>
      </c>
      <c r="G436" s="1" t="str">
        <v/>
      </c>
      <c r="H436" s="1" t="str">
        <v/>
      </c>
      <c r="I436" s="2" t="str">
        <v/>
      </c>
      <c r="J436" s="2" t="str">
        <v/>
      </c>
      <c r="K436" s="2" t="str">
        <v/>
      </c>
      <c r="L436" s="1" t="str">
        <v/>
      </c>
      <c r="M436" s="2" t="str">
        <v/>
      </c>
      <c r="N436" s="2" t="str">
        <v/>
      </c>
      <c r="O436" s="1" t="str">
        <v/>
      </c>
      <c r="P436" s="1" t="str">
        <v/>
      </c>
      <c r="Q436" s="1" t="str">
        <v/>
      </c>
    </row>
    <row r="437" x14ac:dyDescent="0.25">
      <c r="A437" s="1" t="str">
        <v/>
      </c>
      <c r="B437" s="1" t="str">
        <v/>
      </c>
      <c r="C437" s="1" t="str">
        <v/>
      </c>
      <c r="D437" s="1" t="str">
        <v/>
      </c>
      <c r="E437" s="1" t="str">
        <v/>
      </c>
      <c r="F437" s="1" t="str">
        <v/>
      </c>
      <c r="G437" s="1" t="str">
        <v/>
      </c>
      <c r="H437" s="1" t="str">
        <v/>
      </c>
      <c r="I437" s="2" t="str">
        <v/>
      </c>
      <c r="J437" s="2" t="str">
        <v/>
      </c>
      <c r="K437" s="2" t="str">
        <v/>
      </c>
      <c r="L437" s="1" t="str">
        <v/>
      </c>
      <c r="M437" s="2" t="str">
        <v/>
      </c>
      <c r="N437" s="2" t="str">
        <v/>
      </c>
      <c r="O437" s="1" t="str">
        <v/>
      </c>
      <c r="P437" s="1" t="str">
        <v/>
      </c>
      <c r="Q437" s="1" t="str">
        <v/>
      </c>
    </row>
    <row r="438" x14ac:dyDescent="0.25">
      <c r="A438" s="1" t="str">
        <v/>
      </c>
      <c r="B438" s="1" t="str">
        <v/>
      </c>
      <c r="C438" s="1" t="str">
        <v/>
      </c>
      <c r="D438" s="1" t="str">
        <v/>
      </c>
      <c r="E438" s="1" t="str">
        <v/>
      </c>
      <c r="F438" s="1" t="str">
        <v/>
      </c>
      <c r="G438" s="1" t="str">
        <v/>
      </c>
      <c r="H438" s="1" t="str">
        <v/>
      </c>
      <c r="I438" s="2" t="str">
        <v/>
      </c>
      <c r="J438" s="2" t="str">
        <v/>
      </c>
      <c r="K438" s="2" t="str">
        <v/>
      </c>
      <c r="L438" s="1" t="str">
        <v/>
      </c>
      <c r="M438" s="2" t="str">
        <v/>
      </c>
      <c r="N438" s="2" t="str">
        <v/>
      </c>
      <c r="O438" s="1" t="str">
        <v/>
      </c>
      <c r="P438" s="1" t="str">
        <v/>
      </c>
      <c r="Q438" s="1" t="str">
        <v/>
      </c>
    </row>
    <row r="439" x14ac:dyDescent="0.25">
      <c r="A439" s="1" t="str">
        <v/>
      </c>
      <c r="B439" s="1" t="str">
        <v/>
      </c>
      <c r="C439" s="1" t="str">
        <v/>
      </c>
      <c r="D439" s="1" t="str">
        <v/>
      </c>
      <c r="E439" s="1" t="str">
        <v/>
      </c>
      <c r="F439" s="1" t="str">
        <v/>
      </c>
      <c r="G439" s="1" t="str">
        <v/>
      </c>
      <c r="H439" s="1" t="str">
        <v/>
      </c>
      <c r="I439" s="2" t="str">
        <v/>
      </c>
      <c r="J439" s="2" t="str">
        <v/>
      </c>
      <c r="K439" s="2" t="str">
        <v/>
      </c>
      <c r="L439" s="1" t="str">
        <v/>
      </c>
      <c r="M439" s="2" t="str">
        <v/>
      </c>
      <c r="N439" s="2" t="str">
        <v/>
      </c>
      <c r="O439" s="1" t="str">
        <v/>
      </c>
      <c r="P439" s="1" t="str">
        <v/>
      </c>
      <c r="Q439" s="1" t="str">
        <v/>
      </c>
    </row>
    <row r="440" x14ac:dyDescent="0.25">
      <c r="A440" s="1" t="str">
        <v/>
      </c>
      <c r="B440" s="1" t="str">
        <v/>
      </c>
      <c r="C440" s="1" t="str">
        <v/>
      </c>
      <c r="D440" s="1" t="str">
        <v/>
      </c>
      <c r="E440" s="1" t="str">
        <v/>
      </c>
      <c r="F440" s="1" t="str">
        <v/>
      </c>
      <c r="G440" s="1" t="str">
        <v/>
      </c>
      <c r="H440" s="1" t="str">
        <v/>
      </c>
      <c r="I440" s="2" t="str">
        <v/>
      </c>
      <c r="J440" s="2" t="str">
        <v/>
      </c>
      <c r="K440" s="2" t="str">
        <v/>
      </c>
      <c r="L440" s="1" t="str">
        <v/>
      </c>
      <c r="M440" s="2" t="str">
        <v/>
      </c>
      <c r="N440" s="2" t="str">
        <v/>
      </c>
      <c r="O440" s="1" t="str">
        <v/>
      </c>
      <c r="P440" s="1" t="str">
        <v/>
      </c>
      <c r="Q440" s="1" t="str">
        <v/>
      </c>
    </row>
    <row r="441" x14ac:dyDescent="0.25">
      <c r="A441" s="1" t="str">
        <v/>
      </c>
      <c r="B441" s="1" t="str">
        <v/>
      </c>
      <c r="C441" s="1" t="str">
        <v/>
      </c>
      <c r="D441" s="1" t="str">
        <v/>
      </c>
      <c r="E441" s="1" t="str">
        <v/>
      </c>
      <c r="F441" s="1" t="str">
        <v/>
      </c>
      <c r="G441" s="1" t="str">
        <v/>
      </c>
      <c r="H441" s="1" t="str">
        <v/>
      </c>
      <c r="I441" s="2" t="str">
        <v/>
      </c>
      <c r="J441" s="2" t="str">
        <v/>
      </c>
      <c r="K441" s="2" t="str">
        <v/>
      </c>
      <c r="L441" s="1" t="str">
        <v/>
      </c>
      <c r="M441" s="2" t="str">
        <v/>
      </c>
      <c r="N441" s="2" t="str">
        <v/>
      </c>
      <c r="O441" s="1" t="str">
        <v/>
      </c>
      <c r="P441" s="1" t="str">
        <v/>
      </c>
      <c r="Q441" s="1" t="str">
        <v/>
      </c>
    </row>
    <row r="442" x14ac:dyDescent="0.25">
      <c r="A442" s="1" t="str">
        <v/>
      </c>
      <c r="B442" s="1" t="str">
        <v/>
      </c>
      <c r="C442" s="1" t="str">
        <v/>
      </c>
      <c r="D442" s="1" t="str">
        <v/>
      </c>
      <c r="E442" s="1" t="str">
        <v/>
      </c>
      <c r="F442" s="1" t="str">
        <v/>
      </c>
      <c r="G442" s="1" t="str">
        <v/>
      </c>
      <c r="H442" s="1" t="str">
        <v/>
      </c>
      <c r="I442" s="2" t="str">
        <v/>
      </c>
      <c r="J442" s="2" t="str">
        <v/>
      </c>
      <c r="K442" s="2" t="str">
        <v/>
      </c>
      <c r="L442" s="1" t="str">
        <v/>
      </c>
      <c r="M442" s="2" t="str">
        <v/>
      </c>
      <c r="N442" s="2" t="str">
        <v/>
      </c>
      <c r="O442" s="1" t="str">
        <v/>
      </c>
      <c r="P442" s="1" t="str">
        <v/>
      </c>
      <c r="Q442" s="1" t="str">
        <v/>
      </c>
    </row>
    <row r="443" x14ac:dyDescent="0.25">
      <c r="A443" s="1" t="str">
        <v/>
      </c>
      <c r="B443" s="1" t="str">
        <v/>
      </c>
      <c r="C443" s="1" t="str">
        <v/>
      </c>
      <c r="D443" s="1" t="str">
        <v/>
      </c>
      <c r="E443" s="1" t="str">
        <v/>
      </c>
      <c r="F443" s="1" t="str">
        <v/>
      </c>
      <c r="G443" s="1" t="str">
        <v/>
      </c>
      <c r="H443" s="1" t="str">
        <v/>
      </c>
      <c r="I443" s="2" t="str">
        <v/>
      </c>
      <c r="J443" s="2" t="str">
        <v/>
      </c>
      <c r="K443" s="2" t="str">
        <v/>
      </c>
      <c r="L443" s="1" t="str">
        <v/>
      </c>
      <c r="M443" s="2" t="str">
        <v/>
      </c>
      <c r="N443" s="2" t="str">
        <v/>
      </c>
      <c r="O443" s="1" t="str">
        <v/>
      </c>
      <c r="P443" s="1" t="str">
        <v/>
      </c>
      <c r="Q443" s="1" t="str">
        <v/>
      </c>
    </row>
    <row r="444" x14ac:dyDescent="0.25">
      <c r="A444" s="1" t="str">
        <v/>
      </c>
      <c r="B444" s="1" t="str">
        <v/>
      </c>
      <c r="C444" s="1" t="str">
        <v/>
      </c>
      <c r="D444" s="1" t="str">
        <v/>
      </c>
      <c r="E444" s="1" t="str">
        <v/>
      </c>
      <c r="F444" s="1" t="str">
        <v/>
      </c>
      <c r="G444" s="1" t="str">
        <v/>
      </c>
      <c r="H444" s="1" t="str">
        <v/>
      </c>
      <c r="I444" s="2" t="str">
        <v/>
      </c>
      <c r="J444" s="2" t="str">
        <v/>
      </c>
      <c r="K444" s="2" t="str">
        <v/>
      </c>
      <c r="L444" s="1" t="str">
        <v/>
      </c>
      <c r="M444" s="2" t="str">
        <v/>
      </c>
      <c r="N444" s="2" t="str">
        <v/>
      </c>
      <c r="O444" s="1" t="str">
        <v/>
      </c>
      <c r="P444" s="1" t="str">
        <v/>
      </c>
      <c r="Q444" s="1" t="str">
        <v/>
      </c>
    </row>
    <row r="445" x14ac:dyDescent="0.25">
      <c r="A445" s="1" t="str">
        <v/>
      </c>
      <c r="B445" s="1" t="str">
        <v/>
      </c>
      <c r="C445" s="1" t="str">
        <v/>
      </c>
      <c r="D445" s="1" t="str">
        <v/>
      </c>
      <c r="E445" s="1" t="str">
        <v/>
      </c>
      <c r="F445" s="1" t="str">
        <v/>
      </c>
      <c r="G445" s="1" t="str">
        <v/>
      </c>
      <c r="H445" s="1" t="str">
        <v/>
      </c>
      <c r="I445" s="2" t="str">
        <v/>
      </c>
      <c r="J445" s="2" t="str">
        <v/>
      </c>
      <c r="K445" s="2" t="str">
        <v/>
      </c>
      <c r="L445" s="1" t="str">
        <v/>
      </c>
      <c r="M445" s="2" t="str">
        <v/>
      </c>
      <c r="N445" s="2" t="str">
        <v/>
      </c>
      <c r="O445" s="1" t="str">
        <v/>
      </c>
      <c r="P445" s="1" t="str">
        <v/>
      </c>
      <c r="Q445" s="1" t="str">
        <v/>
      </c>
    </row>
    <row r="446" x14ac:dyDescent="0.25">
      <c r="A446" s="1" t="str">
        <v/>
      </c>
      <c r="B446" s="1" t="str">
        <v/>
      </c>
      <c r="C446" s="1" t="str">
        <v/>
      </c>
      <c r="D446" s="1" t="str">
        <v/>
      </c>
      <c r="E446" s="1" t="str">
        <v/>
      </c>
      <c r="F446" s="1" t="str">
        <v/>
      </c>
      <c r="G446" s="1" t="str">
        <v/>
      </c>
      <c r="H446" s="1" t="str">
        <v/>
      </c>
      <c r="I446" s="2" t="str">
        <v/>
      </c>
      <c r="J446" s="2" t="str">
        <v/>
      </c>
      <c r="K446" s="2" t="str">
        <v/>
      </c>
      <c r="L446" s="1" t="str">
        <v/>
      </c>
      <c r="M446" s="2" t="str">
        <v/>
      </c>
      <c r="N446" s="2" t="str">
        <v/>
      </c>
      <c r="O446" s="1" t="str">
        <v/>
      </c>
      <c r="P446" s="1" t="str">
        <v/>
      </c>
      <c r="Q446" s="1" t="str">
        <v/>
      </c>
    </row>
    <row r="447" x14ac:dyDescent="0.25">
      <c r="A447" s="1" t="str">
        <v/>
      </c>
      <c r="B447" s="1" t="str">
        <v/>
      </c>
      <c r="C447" s="1" t="str">
        <v/>
      </c>
      <c r="D447" s="1" t="str">
        <v/>
      </c>
      <c r="E447" s="1" t="str">
        <v/>
      </c>
      <c r="F447" s="1" t="str">
        <v/>
      </c>
      <c r="G447" s="1" t="str">
        <v/>
      </c>
      <c r="H447" s="1" t="str">
        <v/>
      </c>
      <c r="I447" s="2" t="str">
        <v/>
      </c>
      <c r="J447" s="2" t="str">
        <v/>
      </c>
      <c r="K447" s="2" t="str">
        <v/>
      </c>
      <c r="L447" s="1" t="str">
        <v/>
      </c>
      <c r="M447" s="2" t="str">
        <v/>
      </c>
      <c r="N447" s="2" t="str">
        <v/>
      </c>
      <c r="O447" s="1" t="str">
        <v/>
      </c>
      <c r="P447" s="1" t="str">
        <v/>
      </c>
      <c r="Q447" s="1" t="str">
        <v/>
      </c>
    </row>
    <row r="448" x14ac:dyDescent="0.25">
      <c r="A448" s="1" t="str">
        <v/>
      </c>
      <c r="B448" s="1" t="str">
        <v/>
      </c>
      <c r="C448" s="1" t="str">
        <v/>
      </c>
      <c r="D448" s="1" t="str">
        <v/>
      </c>
      <c r="E448" s="1" t="str">
        <v/>
      </c>
      <c r="F448" s="1" t="str">
        <v/>
      </c>
      <c r="G448" s="1" t="str">
        <v/>
      </c>
      <c r="H448" s="1" t="str">
        <v/>
      </c>
      <c r="I448" s="2" t="str">
        <v/>
      </c>
      <c r="J448" s="2" t="str">
        <v/>
      </c>
      <c r="K448" s="2" t="str">
        <v/>
      </c>
      <c r="L448" s="1" t="str">
        <v/>
      </c>
      <c r="M448" s="2" t="str">
        <v/>
      </c>
      <c r="N448" s="2" t="str">
        <v/>
      </c>
      <c r="O448" s="1" t="str">
        <v/>
      </c>
      <c r="P448" s="1" t="str">
        <v/>
      </c>
      <c r="Q448" s="1" t="str">
        <v/>
      </c>
    </row>
    <row r="449" x14ac:dyDescent="0.25">
      <c r="A449" s="1" t="str">
        <v/>
      </c>
      <c r="B449" s="1" t="str">
        <v/>
      </c>
      <c r="C449" s="1" t="str">
        <v/>
      </c>
      <c r="D449" s="1" t="str">
        <v/>
      </c>
      <c r="E449" s="1" t="str">
        <v/>
      </c>
      <c r="F449" s="1" t="str">
        <v/>
      </c>
      <c r="G449" s="1" t="str">
        <v/>
      </c>
      <c r="H449" s="1" t="str">
        <v/>
      </c>
      <c r="I449" s="2" t="str">
        <v/>
      </c>
      <c r="J449" s="2" t="str">
        <v/>
      </c>
      <c r="K449" s="2" t="str">
        <v/>
      </c>
      <c r="L449" s="1" t="str">
        <v/>
      </c>
      <c r="M449" s="2" t="str">
        <v/>
      </c>
      <c r="N449" s="2" t="str">
        <v/>
      </c>
      <c r="O449" s="1" t="str">
        <v/>
      </c>
      <c r="P449" s="1" t="str">
        <v/>
      </c>
      <c r="Q449" s="1" t="str">
        <v/>
      </c>
    </row>
    <row r="450" x14ac:dyDescent="0.25">
      <c r="A450" s="1" t="str">
        <v/>
      </c>
      <c r="B450" s="1" t="str">
        <v/>
      </c>
      <c r="C450" s="1" t="str">
        <v/>
      </c>
      <c r="D450" s="1" t="str">
        <v/>
      </c>
      <c r="E450" s="1" t="str">
        <v/>
      </c>
      <c r="F450" s="1" t="str">
        <v/>
      </c>
      <c r="G450" s="1" t="str">
        <v/>
      </c>
      <c r="H450" s="1" t="str">
        <v/>
      </c>
      <c r="I450" s="2" t="str">
        <v/>
      </c>
      <c r="J450" s="2" t="str">
        <v/>
      </c>
      <c r="K450" s="2" t="str">
        <v/>
      </c>
      <c r="L450" s="1" t="str">
        <v/>
      </c>
      <c r="M450" s="2" t="str">
        <v/>
      </c>
      <c r="N450" s="2" t="str">
        <v/>
      </c>
      <c r="O450" s="1" t="str">
        <v/>
      </c>
      <c r="P450" s="1" t="str">
        <v/>
      </c>
      <c r="Q450" s="1" t="str">
        <v/>
      </c>
    </row>
    <row r="451" x14ac:dyDescent="0.25">
      <c r="A451" s="1" t="str">
        <v/>
      </c>
      <c r="B451" s="1" t="str">
        <v/>
      </c>
      <c r="C451" s="1" t="str">
        <v/>
      </c>
      <c r="D451" s="1" t="str">
        <v/>
      </c>
      <c r="E451" s="1" t="str">
        <v/>
      </c>
      <c r="F451" s="1" t="str">
        <v/>
      </c>
      <c r="G451" s="1" t="str">
        <v/>
      </c>
      <c r="H451" s="1" t="str">
        <v/>
      </c>
      <c r="I451" s="2" t="str">
        <v/>
      </c>
      <c r="J451" s="2" t="str">
        <v/>
      </c>
      <c r="K451" s="2" t="str">
        <v/>
      </c>
      <c r="L451" s="1" t="str">
        <v/>
      </c>
      <c r="M451" s="2" t="str">
        <v/>
      </c>
      <c r="N451" s="2" t="str">
        <v/>
      </c>
      <c r="O451" s="1" t="str">
        <v/>
      </c>
      <c r="P451" s="1" t="str">
        <v/>
      </c>
      <c r="Q451" s="1" t="str">
        <v/>
      </c>
    </row>
    <row r="452" x14ac:dyDescent="0.25">
      <c r="A452" s="1" t="str">
        <v/>
      </c>
      <c r="B452" s="1" t="str">
        <v/>
      </c>
      <c r="C452" s="1" t="str">
        <v/>
      </c>
      <c r="D452" s="1" t="str">
        <v/>
      </c>
      <c r="E452" s="1" t="str">
        <v/>
      </c>
      <c r="F452" s="1" t="str">
        <v/>
      </c>
      <c r="G452" s="1" t="str">
        <v/>
      </c>
      <c r="H452" s="1" t="str">
        <v/>
      </c>
      <c r="I452" s="2" t="str">
        <v/>
      </c>
      <c r="J452" s="2" t="str">
        <v/>
      </c>
      <c r="K452" s="2" t="str">
        <v/>
      </c>
      <c r="L452" s="1" t="str">
        <v/>
      </c>
      <c r="M452" s="2" t="str">
        <v/>
      </c>
      <c r="N452" s="2" t="str">
        <v/>
      </c>
      <c r="O452" s="1" t="str">
        <v/>
      </c>
      <c r="P452" s="1" t="str">
        <v/>
      </c>
      <c r="Q452" s="1" t="str">
        <v/>
      </c>
    </row>
    <row r="453" x14ac:dyDescent="0.25">
      <c r="A453" s="1" t="str">
        <v/>
      </c>
      <c r="B453" s="1" t="str">
        <v/>
      </c>
      <c r="C453" s="1" t="str">
        <v/>
      </c>
      <c r="D453" s="1" t="str">
        <v/>
      </c>
      <c r="E453" s="1" t="str">
        <v/>
      </c>
      <c r="F453" s="1" t="str">
        <v/>
      </c>
      <c r="G453" s="1" t="str">
        <v/>
      </c>
      <c r="H453" s="1" t="str">
        <v/>
      </c>
      <c r="I453" s="2" t="str">
        <v/>
      </c>
      <c r="J453" s="2" t="str">
        <v/>
      </c>
      <c r="K453" s="2" t="str">
        <v/>
      </c>
      <c r="L453" s="1" t="str">
        <v/>
      </c>
      <c r="M453" s="2" t="str">
        <v/>
      </c>
      <c r="N453" s="2" t="str">
        <v/>
      </c>
      <c r="O453" s="1" t="str">
        <v/>
      </c>
      <c r="P453" s="1" t="str">
        <v/>
      </c>
      <c r="Q453" s="1" t="str">
        <v/>
      </c>
    </row>
    <row r="454" x14ac:dyDescent="0.25">
      <c r="A454" s="1" t="str">
        <v/>
      </c>
      <c r="B454" s="1" t="str">
        <v/>
      </c>
      <c r="C454" s="1" t="str">
        <v/>
      </c>
      <c r="D454" s="1" t="str">
        <v/>
      </c>
      <c r="E454" s="1" t="str">
        <v/>
      </c>
      <c r="F454" s="1" t="str">
        <v/>
      </c>
      <c r="G454" s="1" t="str">
        <v/>
      </c>
      <c r="H454" s="1" t="str">
        <v/>
      </c>
      <c r="I454" s="2" t="str">
        <v/>
      </c>
      <c r="J454" s="2" t="str">
        <v/>
      </c>
      <c r="K454" s="2" t="str">
        <v/>
      </c>
      <c r="L454" s="1" t="str">
        <v/>
      </c>
      <c r="M454" s="2" t="str">
        <v/>
      </c>
      <c r="N454" s="2" t="str">
        <v/>
      </c>
      <c r="O454" s="1" t="str">
        <v/>
      </c>
      <c r="P454" s="1" t="str">
        <v/>
      </c>
      <c r="Q454" s="1" t="str">
        <v/>
      </c>
    </row>
    <row r="455" x14ac:dyDescent="0.25">
      <c r="A455" s="1" t="str">
        <v/>
      </c>
      <c r="B455" s="1" t="str">
        <v/>
      </c>
      <c r="C455" s="1" t="str">
        <v/>
      </c>
      <c r="D455" s="1" t="str">
        <v/>
      </c>
      <c r="E455" s="1" t="str">
        <v/>
      </c>
      <c r="F455" s="1" t="str">
        <v/>
      </c>
      <c r="G455" s="1" t="str">
        <v/>
      </c>
      <c r="H455" s="1" t="str">
        <v/>
      </c>
      <c r="I455" s="2" t="str">
        <v/>
      </c>
      <c r="J455" s="2" t="str">
        <v/>
      </c>
      <c r="K455" s="2" t="str">
        <v/>
      </c>
      <c r="L455" s="1" t="str">
        <v/>
      </c>
      <c r="M455" s="2" t="str">
        <v/>
      </c>
      <c r="N455" s="2" t="str">
        <v/>
      </c>
      <c r="O455" s="1" t="str">
        <v/>
      </c>
      <c r="P455" s="1" t="str">
        <v/>
      </c>
      <c r="Q455" s="1" t="str">
        <v/>
      </c>
    </row>
    <row r="456" x14ac:dyDescent="0.25">
      <c r="A456" s="1" t="str">
        <v/>
      </c>
      <c r="B456" s="1" t="str">
        <v/>
      </c>
      <c r="C456" s="1" t="str">
        <v/>
      </c>
      <c r="D456" s="1" t="str">
        <v/>
      </c>
      <c r="E456" s="1" t="str">
        <v/>
      </c>
      <c r="F456" s="1" t="str">
        <v/>
      </c>
      <c r="G456" s="1" t="str">
        <v/>
      </c>
      <c r="H456" s="1" t="str">
        <v/>
      </c>
      <c r="I456" s="2" t="str">
        <v/>
      </c>
      <c r="J456" s="2" t="str">
        <v/>
      </c>
      <c r="K456" s="2" t="str">
        <v/>
      </c>
      <c r="L456" s="1" t="str">
        <v/>
      </c>
      <c r="M456" s="2" t="str">
        <v/>
      </c>
      <c r="N456" s="2" t="str">
        <v/>
      </c>
      <c r="O456" s="1" t="str">
        <v/>
      </c>
      <c r="P456" s="1" t="str">
        <v/>
      </c>
      <c r="Q456" s="1" t="str">
        <v/>
      </c>
    </row>
    <row r="457" x14ac:dyDescent="0.25">
      <c r="A457" s="1" t="str">
        <v/>
      </c>
      <c r="B457" s="1" t="str">
        <v/>
      </c>
      <c r="C457" s="1" t="str">
        <v/>
      </c>
      <c r="D457" s="1" t="str">
        <v/>
      </c>
      <c r="E457" s="1" t="str">
        <v/>
      </c>
      <c r="F457" s="1" t="str">
        <v/>
      </c>
      <c r="G457" s="1" t="str">
        <v/>
      </c>
      <c r="H457" s="1" t="str">
        <v/>
      </c>
      <c r="I457" s="2" t="str">
        <v/>
      </c>
      <c r="J457" s="2" t="str">
        <v/>
      </c>
      <c r="K457" s="2" t="str">
        <v/>
      </c>
      <c r="L457" s="1" t="str">
        <v/>
      </c>
      <c r="M457" s="2" t="str">
        <v/>
      </c>
      <c r="N457" s="2" t="str">
        <v/>
      </c>
      <c r="O457" s="1" t="str">
        <v/>
      </c>
      <c r="P457" s="1" t="str">
        <v/>
      </c>
      <c r="Q457" s="1" t="str">
        <v/>
      </c>
    </row>
    <row r="458" x14ac:dyDescent="0.25">
      <c r="A458" s="1" t="str">
        <v/>
      </c>
      <c r="B458" s="1" t="str">
        <v/>
      </c>
      <c r="C458" s="1" t="str">
        <v/>
      </c>
      <c r="D458" s="1" t="str">
        <v/>
      </c>
      <c r="E458" s="1" t="str">
        <v/>
      </c>
      <c r="F458" s="1" t="str">
        <v/>
      </c>
      <c r="G458" s="1" t="str">
        <v/>
      </c>
      <c r="H458" s="1" t="str">
        <v/>
      </c>
      <c r="I458" s="2" t="str">
        <v/>
      </c>
      <c r="J458" s="2" t="str">
        <v/>
      </c>
      <c r="K458" s="2" t="str">
        <v/>
      </c>
      <c r="L458" s="1" t="str">
        <v/>
      </c>
      <c r="M458" s="2" t="str">
        <v/>
      </c>
      <c r="N458" s="2" t="str">
        <v/>
      </c>
      <c r="O458" s="1" t="str">
        <v/>
      </c>
      <c r="P458" s="1" t="str">
        <v/>
      </c>
      <c r="Q458" s="1" t="str">
        <v/>
      </c>
    </row>
    <row r="459" x14ac:dyDescent="0.25">
      <c r="A459" s="1" t="str">
        <v/>
      </c>
      <c r="B459" s="1" t="str">
        <v/>
      </c>
      <c r="C459" s="1" t="str">
        <v/>
      </c>
      <c r="D459" s="1" t="str">
        <v/>
      </c>
      <c r="E459" s="1" t="str">
        <v/>
      </c>
      <c r="F459" s="1" t="str">
        <v/>
      </c>
      <c r="G459" s="1" t="str">
        <v/>
      </c>
      <c r="H459" s="1" t="str">
        <v/>
      </c>
      <c r="I459" s="2" t="str">
        <v/>
      </c>
      <c r="J459" s="2" t="str">
        <v/>
      </c>
      <c r="K459" s="2" t="str">
        <v/>
      </c>
      <c r="L459" s="1" t="str">
        <v/>
      </c>
      <c r="M459" s="2" t="str">
        <v/>
      </c>
      <c r="N459" s="2" t="str">
        <v/>
      </c>
      <c r="O459" s="1" t="str">
        <v/>
      </c>
      <c r="P459" s="1" t="str">
        <v/>
      </c>
      <c r="Q459" s="1" t="str">
        <v/>
      </c>
    </row>
    <row r="460" x14ac:dyDescent="0.25">
      <c r="A460" s="1" t="str">
        <v/>
      </c>
      <c r="B460" s="1" t="str">
        <v/>
      </c>
      <c r="C460" s="1" t="str">
        <v/>
      </c>
      <c r="D460" s="1" t="str">
        <v/>
      </c>
      <c r="E460" s="1" t="str">
        <v/>
      </c>
      <c r="F460" s="1" t="str">
        <v/>
      </c>
      <c r="G460" s="1" t="str">
        <v/>
      </c>
      <c r="H460" s="1" t="str">
        <v/>
      </c>
      <c r="I460" s="2" t="str">
        <v/>
      </c>
      <c r="J460" s="2" t="str">
        <v/>
      </c>
      <c r="K460" s="2" t="str">
        <v/>
      </c>
      <c r="L460" s="1" t="str">
        <v/>
      </c>
      <c r="M460" s="2" t="str">
        <v/>
      </c>
      <c r="N460" s="2" t="str">
        <v/>
      </c>
      <c r="O460" s="1" t="str">
        <v/>
      </c>
      <c r="P460" s="1" t="str">
        <v/>
      </c>
      <c r="Q460" s="1" t="str">
        <v/>
      </c>
    </row>
    <row r="461" x14ac:dyDescent="0.25">
      <c r="A461" s="1" t="str">
        <v/>
      </c>
      <c r="B461" s="1" t="str">
        <v/>
      </c>
      <c r="C461" s="1" t="str">
        <v/>
      </c>
      <c r="D461" s="1" t="str">
        <v/>
      </c>
      <c r="E461" s="1" t="str">
        <v/>
      </c>
      <c r="F461" s="1" t="str">
        <v/>
      </c>
      <c r="G461" s="1" t="str">
        <v/>
      </c>
      <c r="H461" s="1" t="str">
        <v/>
      </c>
      <c r="I461" s="2" t="str">
        <v/>
      </c>
      <c r="J461" s="2" t="str">
        <v/>
      </c>
      <c r="K461" s="2" t="str">
        <v/>
      </c>
      <c r="L461" s="1" t="str">
        <v/>
      </c>
      <c r="M461" s="2" t="str">
        <v/>
      </c>
      <c r="N461" s="2" t="str">
        <v/>
      </c>
      <c r="O461" s="1" t="str">
        <v/>
      </c>
      <c r="P461" s="1" t="str">
        <v/>
      </c>
      <c r="Q461" s="1" t="str">
        <v/>
      </c>
    </row>
    <row r="462" x14ac:dyDescent="0.25">
      <c r="A462" s="1" t="str">
        <v/>
      </c>
      <c r="B462" s="1" t="str">
        <v/>
      </c>
      <c r="C462" s="1" t="str">
        <v/>
      </c>
      <c r="D462" s="1" t="str">
        <v/>
      </c>
      <c r="E462" s="1" t="str">
        <v/>
      </c>
      <c r="F462" s="1" t="str">
        <v/>
      </c>
      <c r="G462" s="1" t="str">
        <v/>
      </c>
      <c r="H462" s="1" t="str">
        <v/>
      </c>
      <c r="I462" s="2" t="str">
        <v/>
      </c>
      <c r="J462" s="2" t="str">
        <v/>
      </c>
      <c r="K462" s="2" t="str">
        <v/>
      </c>
      <c r="L462" s="1" t="str">
        <v/>
      </c>
      <c r="M462" s="2" t="str">
        <v/>
      </c>
      <c r="N462" s="2" t="str">
        <v/>
      </c>
      <c r="O462" s="1" t="str">
        <v/>
      </c>
      <c r="P462" s="1" t="str">
        <v/>
      </c>
      <c r="Q462" s="1" t="str">
        <v/>
      </c>
    </row>
    <row r="463" x14ac:dyDescent="0.25">
      <c r="A463" s="1" t="str">
        <v/>
      </c>
      <c r="B463" s="1" t="str">
        <v/>
      </c>
      <c r="C463" s="1" t="str">
        <v/>
      </c>
      <c r="D463" s="1" t="str">
        <v/>
      </c>
      <c r="E463" s="1" t="str">
        <v/>
      </c>
      <c r="F463" s="1" t="str">
        <v/>
      </c>
      <c r="G463" s="1" t="str">
        <v/>
      </c>
      <c r="H463" s="1" t="str">
        <v/>
      </c>
      <c r="I463" s="2" t="str">
        <v/>
      </c>
      <c r="J463" s="2" t="str">
        <v/>
      </c>
      <c r="K463" s="2" t="str">
        <v/>
      </c>
      <c r="L463" s="1" t="str">
        <v/>
      </c>
      <c r="M463" s="2" t="str">
        <v/>
      </c>
      <c r="N463" s="2" t="str">
        <v/>
      </c>
      <c r="O463" s="1" t="str">
        <v/>
      </c>
      <c r="P463" s="1" t="str">
        <v/>
      </c>
      <c r="Q463" s="1" t="str">
        <v/>
      </c>
    </row>
    <row r="464" x14ac:dyDescent="0.25">
      <c r="A464" s="1" t="str">
        <v/>
      </c>
      <c r="B464" s="1" t="str">
        <v/>
      </c>
      <c r="C464" s="1" t="str">
        <v/>
      </c>
      <c r="D464" s="1" t="str">
        <v/>
      </c>
      <c r="E464" s="1" t="str">
        <v/>
      </c>
      <c r="F464" s="1" t="str">
        <v/>
      </c>
      <c r="G464" s="1" t="str">
        <v/>
      </c>
      <c r="H464" s="1" t="str">
        <v/>
      </c>
      <c r="I464" s="2" t="str">
        <v/>
      </c>
      <c r="J464" s="2" t="str">
        <v/>
      </c>
      <c r="K464" s="2" t="str">
        <v/>
      </c>
      <c r="L464" s="1" t="str">
        <v/>
      </c>
      <c r="M464" s="2" t="str">
        <v/>
      </c>
      <c r="N464" s="2" t="str">
        <v/>
      </c>
      <c r="O464" s="1" t="str">
        <v/>
      </c>
      <c r="P464" s="1" t="str">
        <v/>
      </c>
      <c r="Q464" s="1" t="str">
        <v/>
      </c>
    </row>
    <row r="465" x14ac:dyDescent="0.25">
      <c r="A465" s="1" t="str">
        <v/>
      </c>
      <c r="B465" s="1" t="str">
        <v/>
      </c>
      <c r="C465" s="1" t="str">
        <v/>
      </c>
      <c r="D465" s="1" t="str">
        <v/>
      </c>
      <c r="E465" s="1" t="str">
        <v/>
      </c>
      <c r="F465" s="1" t="str">
        <v/>
      </c>
      <c r="G465" s="1" t="str">
        <v/>
      </c>
      <c r="H465" s="1" t="str">
        <v/>
      </c>
      <c r="I465" s="2" t="str">
        <v/>
      </c>
      <c r="J465" s="2" t="str">
        <v/>
      </c>
      <c r="K465" s="2" t="str">
        <v/>
      </c>
      <c r="L465" s="1" t="str">
        <v/>
      </c>
      <c r="M465" s="2" t="str">
        <v/>
      </c>
      <c r="N465" s="2" t="str">
        <v/>
      </c>
      <c r="O465" s="1" t="str">
        <v/>
      </c>
      <c r="P465" s="1" t="str">
        <v/>
      </c>
      <c r="Q465" s="1" t="str">
        <v/>
      </c>
    </row>
    <row r="466" x14ac:dyDescent="0.25">
      <c r="A466" s="1" t="str">
        <v/>
      </c>
      <c r="B466" s="1" t="str">
        <v/>
      </c>
      <c r="C466" s="1" t="str">
        <v/>
      </c>
      <c r="D466" s="1" t="str">
        <v/>
      </c>
      <c r="E466" s="1" t="str">
        <v/>
      </c>
      <c r="F466" s="1" t="str">
        <v/>
      </c>
      <c r="G466" s="1" t="str">
        <v/>
      </c>
      <c r="H466" s="1" t="str">
        <v/>
      </c>
      <c r="I466" s="2" t="str">
        <v/>
      </c>
      <c r="J466" s="2" t="str">
        <v/>
      </c>
      <c r="K466" s="2" t="str">
        <v/>
      </c>
      <c r="L466" s="1" t="str">
        <v/>
      </c>
      <c r="M466" s="2" t="str">
        <v/>
      </c>
      <c r="N466" s="2" t="str">
        <v/>
      </c>
      <c r="O466" s="1" t="str">
        <v/>
      </c>
      <c r="P466" s="1" t="str">
        <v/>
      </c>
      <c r="Q466" s="1" t="str">
        <v/>
      </c>
    </row>
    <row r="467" x14ac:dyDescent="0.25">
      <c r="A467" s="1" t="str">
        <v/>
      </c>
      <c r="B467" s="1" t="str">
        <v/>
      </c>
      <c r="C467" s="1" t="str">
        <v/>
      </c>
      <c r="D467" s="1" t="str">
        <v/>
      </c>
      <c r="E467" s="1" t="str">
        <v/>
      </c>
      <c r="F467" s="1" t="str">
        <v/>
      </c>
      <c r="G467" s="1" t="str">
        <v/>
      </c>
      <c r="H467" s="1" t="str">
        <v/>
      </c>
      <c r="I467" s="2" t="str">
        <v/>
      </c>
      <c r="J467" s="2" t="str">
        <v/>
      </c>
      <c r="K467" s="2" t="str">
        <v/>
      </c>
      <c r="L467" s="1" t="str">
        <v/>
      </c>
      <c r="M467" s="2" t="str">
        <v/>
      </c>
      <c r="N467" s="2" t="str">
        <v/>
      </c>
      <c r="O467" s="1" t="str">
        <v/>
      </c>
      <c r="P467" s="1" t="str">
        <v/>
      </c>
      <c r="Q467" s="1" t="str">
        <v/>
      </c>
    </row>
    <row r="468" x14ac:dyDescent="0.25">
      <c r="A468" s="1" t="str">
        <v/>
      </c>
      <c r="B468" s="1" t="str">
        <v/>
      </c>
      <c r="C468" s="1" t="str">
        <v/>
      </c>
      <c r="D468" s="1" t="str">
        <v/>
      </c>
      <c r="E468" s="1" t="str">
        <v/>
      </c>
      <c r="F468" s="1" t="str">
        <v/>
      </c>
      <c r="G468" s="1" t="str">
        <v/>
      </c>
      <c r="H468" s="1" t="str">
        <v/>
      </c>
      <c r="I468" s="2" t="str">
        <v/>
      </c>
      <c r="J468" s="2" t="str">
        <v/>
      </c>
      <c r="K468" s="2" t="str">
        <v/>
      </c>
      <c r="L468" s="1" t="str">
        <v/>
      </c>
      <c r="M468" s="2" t="str">
        <v/>
      </c>
      <c r="N468" s="2" t="str">
        <v/>
      </c>
      <c r="O468" s="1" t="str">
        <v/>
      </c>
      <c r="P468" s="1" t="str">
        <v/>
      </c>
      <c r="Q468" s="1" t="str">
        <v/>
      </c>
    </row>
    <row r="469" x14ac:dyDescent="0.25">
      <c r="A469" s="1" t="str">
        <v/>
      </c>
      <c r="B469" s="1" t="str">
        <v/>
      </c>
      <c r="C469" s="1" t="str">
        <v/>
      </c>
      <c r="D469" s="1" t="str">
        <v/>
      </c>
      <c r="E469" s="1" t="str">
        <v/>
      </c>
      <c r="F469" s="1" t="str">
        <v/>
      </c>
      <c r="G469" s="1" t="str">
        <v/>
      </c>
      <c r="H469" s="1" t="str">
        <v/>
      </c>
      <c r="I469" s="2" t="str">
        <v/>
      </c>
      <c r="J469" s="2" t="str">
        <v/>
      </c>
      <c r="K469" s="2" t="str">
        <v/>
      </c>
      <c r="L469" s="1" t="str">
        <v/>
      </c>
      <c r="M469" s="2" t="str">
        <v/>
      </c>
      <c r="N469" s="2" t="str">
        <v/>
      </c>
      <c r="O469" s="1" t="str">
        <v/>
      </c>
      <c r="P469" s="1" t="str">
        <v/>
      </c>
      <c r="Q469" s="1" t="str">
        <v/>
      </c>
    </row>
    <row r="470" x14ac:dyDescent="0.25">
      <c r="A470" s="1" t="str">
        <v/>
      </c>
      <c r="B470" s="1" t="str">
        <v/>
      </c>
      <c r="C470" s="1" t="str">
        <v/>
      </c>
      <c r="D470" s="1" t="str">
        <v/>
      </c>
      <c r="E470" s="1" t="str">
        <v/>
      </c>
      <c r="F470" s="1" t="str">
        <v/>
      </c>
      <c r="G470" s="1" t="str">
        <v/>
      </c>
      <c r="H470" s="1" t="str">
        <v/>
      </c>
      <c r="I470" s="2" t="str">
        <v/>
      </c>
      <c r="J470" s="2" t="str">
        <v/>
      </c>
      <c r="K470" s="2" t="str">
        <v/>
      </c>
      <c r="L470" s="1" t="str">
        <v/>
      </c>
      <c r="M470" s="2" t="str">
        <v/>
      </c>
      <c r="N470" s="2" t="str">
        <v/>
      </c>
      <c r="O470" s="1" t="str">
        <v/>
      </c>
      <c r="P470" s="1" t="str">
        <v/>
      </c>
      <c r="Q470" s="1" t="str">
        <v/>
      </c>
    </row>
    <row r="471" x14ac:dyDescent="0.25">
      <c r="A471" s="1" t="str">
        <v/>
      </c>
      <c r="B471" s="1" t="str">
        <v/>
      </c>
      <c r="C471" s="1" t="str">
        <v/>
      </c>
      <c r="D471" s="1" t="str">
        <v/>
      </c>
      <c r="E471" s="1" t="str">
        <v/>
      </c>
      <c r="F471" s="1" t="str">
        <v/>
      </c>
      <c r="G471" s="1" t="str">
        <v/>
      </c>
      <c r="H471" s="1" t="str">
        <v/>
      </c>
      <c r="I471" s="2" t="str">
        <v/>
      </c>
      <c r="J471" s="2" t="str">
        <v/>
      </c>
      <c r="K471" s="2" t="str">
        <v/>
      </c>
      <c r="L471" s="1" t="str">
        <v/>
      </c>
      <c r="M471" s="2" t="str">
        <v/>
      </c>
      <c r="N471" s="2" t="str">
        <v/>
      </c>
      <c r="O471" s="1" t="str">
        <v/>
      </c>
      <c r="P471" s="1" t="str">
        <v/>
      </c>
      <c r="Q471" s="1" t="str">
        <v/>
      </c>
    </row>
    <row r="472" x14ac:dyDescent="0.25">
      <c r="A472" s="1" t="str">
        <v/>
      </c>
      <c r="B472" s="1" t="str">
        <v/>
      </c>
      <c r="C472" s="1" t="str">
        <v/>
      </c>
      <c r="D472" s="1" t="str">
        <v/>
      </c>
      <c r="E472" s="1" t="str">
        <v/>
      </c>
      <c r="F472" s="1" t="str">
        <v/>
      </c>
      <c r="G472" s="1" t="str">
        <v/>
      </c>
      <c r="H472" s="1" t="str">
        <v/>
      </c>
      <c r="I472" s="2" t="str">
        <v/>
      </c>
      <c r="J472" s="2" t="str">
        <v/>
      </c>
      <c r="K472" s="2" t="str">
        <v/>
      </c>
      <c r="L472" s="1" t="str">
        <v/>
      </c>
      <c r="M472" s="2" t="str">
        <v/>
      </c>
      <c r="N472" s="2" t="str">
        <v/>
      </c>
      <c r="O472" s="1" t="str">
        <v/>
      </c>
      <c r="P472" s="1" t="str">
        <v/>
      </c>
      <c r="Q472" s="1" t="str">
        <v/>
      </c>
    </row>
    <row r="473" x14ac:dyDescent="0.25">
      <c r="A473" s="1" t="str">
        <v/>
      </c>
      <c r="B473" s="1" t="str">
        <v/>
      </c>
      <c r="C473" s="1" t="str">
        <v/>
      </c>
      <c r="D473" s="1" t="str">
        <v/>
      </c>
      <c r="E473" s="1" t="str">
        <v/>
      </c>
      <c r="F473" s="1" t="str">
        <v/>
      </c>
      <c r="G473" s="1" t="str">
        <v/>
      </c>
      <c r="H473" s="1" t="str">
        <v/>
      </c>
      <c r="I473" s="2" t="str">
        <v/>
      </c>
      <c r="J473" s="2" t="str">
        <v/>
      </c>
      <c r="K473" s="2" t="str">
        <v/>
      </c>
      <c r="L473" s="1" t="str">
        <v/>
      </c>
      <c r="M473" s="2" t="str">
        <v/>
      </c>
      <c r="N473" s="2" t="str">
        <v/>
      </c>
      <c r="O473" s="1" t="str">
        <v/>
      </c>
      <c r="P473" s="1" t="str">
        <v/>
      </c>
      <c r="Q473" s="1" t="str">
        <v/>
      </c>
    </row>
    <row r="474" x14ac:dyDescent="0.25">
      <c r="A474" s="1" t="str">
        <v/>
      </c>
      <c r="B474" s="1" t="str">
        <v/>
      </c>
      <c r="C474" s="1" t="str">
        <v/>
      </c>
      <c r="D474" s="1" t="str">
        <v/>
      </c>
      <c r="E474" s="1" t="str">
        <v/>
      </c>
      <c r="F474" s="1" t="str">
        <v/>
      </c>
      <c r="G474" s="1" t="str">
        <v/>
      </c>
      <c r="H474" s="1" t="str">
        <v/>
      </c>
      <c r="I474" s="2" t="str">
        <v/>
      </c>
      <c r="J474" s="2" t="str">
        <v/>
      </c>
      <c r="K474" s="2" t="str">
        <v/>
      </c>
      <c r="L474" s="1" t="str">
        <v/>
      </c>
      <c r="M474" s="2" t="str">
        <v/>
      </c>
      <c r="N474" s="2" t="str">
        <v/>
      </c>
      <c r="O474" s="1" t="str">
        <v/>
      </c>
      <c r="P474" s="1" t="str">
        <v/>
      </c>
      <c r="Q474" s="1" t="str">
        <v/>
      </c>
    </row>
    <row r="475" x14ac:dyDescent="0.25">
      <c r="A475" s="1" t="str">
        <v/>
      </c>
      <c r="B475" s="1" t="str">
        <v/>
      </c>
      <c r="C475" s="1" t="str">
        <v/>
      </c>
      <c r="D475" s="1" t="str">
        <v/>
      </c>
      <c r="E475" s="1" t="str">
        <v/>
      </c>
      <c r="F475" s="1" t="str">
        <v/>
      </c>
      <c r="G475" s="1" t="str">
        <v/>
      </c>
      <c r="H475" s="1" t="str">
        <v/>
      </c>
      <c r="I475" s="2" t="str">
        <v/>
      </c>
      <c r="J475" s="2" t="str">
        <v/>
      </c>
      <c r="K475" s="2" t="str">
        <v/>
      </c>
      <c r="L475" s="1" t="str">
        <v/>
      </c>
      <c r="M475" s="2" t="str">
        <v/>
      </c>
      <c r="N475" s="2" t="str">
        <v/>
      </c>
      <c r="O475" s="1" t="str">
        <v/>
      </c>
      <c r="P475" s="1" t="str">
        <v/>
      </c>
      <c r="Q475" s="1" t="str">
        <v/>
      </c>
    </row>
    <row r="476" x14ac:dyDescent="0.25">
      <c r="A476" s="1" t="str">
        <v/>
      </c>
      <c r="B476" s="1" t="str">
        <v/>
      </c>
      <c r="C476" s="1" t="str">
        <v/>
      </c>
      <c r="D476" s="1" t="str">
        <v/>
      </c>
      <c r="E476" s="1" t="str">
        <v/>
      </c>
      <c r="F476" s="1" t="str">
        <v/>
      </c>
      <c r="G476" s="1" t="str">
        <v/>
      </c>
      <c r="H476" s="1" t="str">
        <v/>
      </c>
      <c r="I476" s="2" t="str">
        <v/>
      </c>
      <c r="J476" s="2" t="str">
        <v/>
      </c>
      <c r="K476" s="2" t="str">
        <v/>
      </c>
      <c r="L476" s="1" t="str">
        <v/>
      </c>
      <c r="M476" s="2" t="str">
        <v/>
      </c>
      <c r="N476" s="2" t="str">
        <v/>
      </c>
      <c r="O476" s="1" t="str">
        <v/>
      </c>
      <c r="P476" s="1" t="str">
        <v/>
      </c>
      <c r="Q476" s="1" t="str">
        <v/>
      </c>
    </row>
    <row r="477" x14ac:dyDescent="0.25">
      <c r="A477" s="1" t="str">
        <v/>
      </c>
      <c r="B477" s="1" t="str">
        <v/>
      </c>
      <c r="C477" s="1" t="str">
        <v/>
      </c>
      <c r="D477" s="1" t="str">
        <v/>
      </c>
      <c r="E477" s="1" t="str">
        <v/>
      </c>
      <c r="F477" s="1" t="str">
        <v/>
      </c>
      <c r="G477" s="1" t="str">
        <v/>
      </c>
      <c r="H477" s="1" t="str">
        <v/>
      </c>
      <c r="I477" s="2" t="str">
        <v/>
      </c>
      <c r="J477" s="2" t="str">
        <v/>
      </c>
      <c r="K477" s="2" t="str">
        <v/>
      </c>
      <c r="L477" s="1" t="str">
        <v/>
      </c>
      <c r="M477" s="2" t="str">
        <v/>
      </c>
      <c r="N477" s="2" t="str">
        <v/>
      </c>
      <c r="O477" s="1" t="str">
        <v/>
      </c>
      <c r="P477" s="1" t="str">
        <v/>
      </c>
      <c r="Q477" s="1" t="str">
        <v/>
      </c>
    </row>
    <row r="478" x14ac:dyDescent="0.25">
      <c r="A478" s="1" t="str">
        <v/>
      </c>
      <c r="B478" s="1" t="str">
        <v/>
      </c>
      <c r="C478" s="1" t="str">
        <v/>
      </c>
      <c r="D478" s="1" t="str">
        <v/>
      </c>
      <c r="E478" s="1" t="str">
        <v/>
      </c>
      <c r="F478" s="1" t="str">
        <v/>
      </c>
      <c r="G478" s="1" t="str">
        <v/>
      </c>
      <c r="H478" s="1" t="str">
        <v/>
      </c>
      <c r="I478" s="2" t="str">
        <v/>
      </c>
      <c r="J478" s="2" t="str">
        <v/>
      </c>
      <c r="K478" s="2" t="str">
        <v/>
      </c>
      <c r="L478" s="1" t="str">
        <v/>
      </c>
      <c r="M478" s="2" t="str">
        <v/>
      </c>
      <c r="N478" s="2" t="str">
        <v/>
      </c>
      <c r="O478" s="1" t="str">
        <v/>
      </c>
      <c r="P478" s="1" t="str">
        <v/>
      </c>
      <c r="Q478" s="1" t="str">
        <v/>
      </c>
    </row>
    <row r="479" x14ac:dyDescent="0.25">
      <c r="A479" s="1" t="str">
        <v/>
      </c>
      <c r="B479" s="1" t="str">
        <v/>
      </c>
      <c r="C479" s="1" t="str">
        <v/>
      </c>
      <c r="D479" s="1" t="str">
        <v/>
      </c>
      <c r="E479" s="1" t="str">
        <v/>
      </c>
      <c r="F479" s="1" t="str">
        <v/>
      </c>
      <c r="G479" s="1" t="str">
        <v/>
      </c>
      <c r="H479" s="1" t="str">
        <v/>
      </c>
      <c r="I479" s="2" t="str">
        <v/>
      </c>
      <c r="J479" s="2" t="str">
        <v/>
      </c>
      <c r="K479" s="2" t="str">
        <v/>
      </c>
      <c r="L479" s="1" t="str">
        <v/>
      </c>
      <c r="M479" s="2" t="str">
        <v/>
      </c>
      <c r="N479" s="2" t="str">
        <v/>
      </c>
      <c r="O479" s="1" t="str">
        <v/>
      </c>
      <c r="P479" s="1" t="str">
        <v/>
      </c>
      <c r="Q479" s="1" t="str">
        <v/>
      </c>
    </row>
    <row r="480" x14ac:dyDescent="0.25">
      <c r="A480" s="1" t="str">
        <v/>
      </c>
      <c r="B480" s="1" t="str">
        <v/>
      </c>
      <c r="C480" s="1" t="str">
        <v/>
      </c>
      <c r="D480" s="1" t="str">
        <v/>
      </c>
      <c r="E480" s="1" t="str">
        <v/>
      </c>
      <c r="F480" s="1" t="str">
        <v/>
      </c>
      <c r="G480" s="1" t="str">
        <v/>
      </c>
      <c r="H480" s="1" t="str">
        <v/>
      </c>
      <c r="I480" s="2" t="str">
        <v/>
      </c>
      <c r="J480" s="2" t="str">
        <v/>
      </c>
      <c r="K480" s="2" t="str">
        <v/>
      </c>
      <c r="L480" s="1" t="str">
        <v/>
      </c>
      <c r="M480" s="2" t="str">
        <v/>
      </c>
      <c r="N480" s="2" t="str">
        <v/>
      </c>
      <c r="O480" s="1" t="str">
        <v/>
      </c>
      <c r="P480" s="1" t="str">
        <v/>
      </c>
      <c r="Q480" s="1" t="str">
        <v/>
      </c>
    </row>
    <row r="481" x14ac:dyDescent="0.25">
      <c r="A481" s="1" t="str">
        <v/>
      </c>
      <c r="B481" s="1" t="str">
        <v/>
      </c>
      <c r="C481" s="1" t="str">
        <v/>
      </c>
      <c r="D481" s="1" t="str">
        <v/>
      </c>
      <c r="E481" s="1" t="str">
        <v/>
      </c>
      <c r="F481" s="1" t="str">
        <v/>
      </c>
      <c r="G481" s="1" t="str">
        <v/>
      </c>
      <c r="H481" s="1" t="str">
        <v/>
      </c>
      <c r="I481" s="2" t="str">
        <v/>
      </c>
      <c r="J481" s="2" t="str">
        <v/>
      </c>
      <c r="K481" s="2" t="str">
        <v/>
      </c>
      <c r="L481" s="1" t="str">
        <v/>
      </c>
      <c r="M481" s="2" t="str">
        <v/>
      </c>
      <c r="N481" s="2" t="str">
        <v/>
      </c>
      <c r="O481" s="1" t="str">
        <v/>
      </c>
      <c r="P481" s="1" t="str">
        <v/>
      </c>
      <c r="Q481" s="1" t="str">
        <v/>
      </c>
    </row>
    <row r="482" x14ac:dyDescent="0.25">
      <c r="A482" s="1" t="str">
        <v/>
      </c>
      <c r="B482" s="1" t="str">
        <v/>
      </c>
      <c r="C482" s="1" t="str">
        <v/>
      </c>
      <c r="D482" s="1" t="str">
        <v/>
      </c>
      <c r="E482" s="1" t="str">
        <v/>
      </c>
      <c r="F482" s="1" t="str">
        <v/>
      </c>
      <c r="G482" s="1" t="str">
        <v/>
      </c>
      <c r="H482" s="1" t="str">
        <v/>
      </c>
      <c r="I482" s="2" t="str">
        <v/>
      </c>
      <c r="J482" s="2" t="str">
        <v/>
      </c>
      <c r="K482" s="2" t="str">
        <v/>
      </c>
      <c r="L482" s="1" t="str">
        <v/>
      </c>
      <c r="M482" s="2" t="str">
        <v/>
      </c>
      <c r="N482" s="2" t="str">
        <v/>
      </c>
      <c r="O482" s="1" t="str">
        <v/>
      </c>
      <c r="P482" s="1" t="str">
        <v/>
      </c>
      <c r="Q482" s="1" t="str">
        <v/>
      </c>
    </row>
    <row r="483" x14ac:dyDescent="0.25">
      <c r="A483" s="1" t="str">
        <v/>
      </c>
      <c r="B483" s="1" t="str">
        <v/>
      </c>
      <c r="C483" s="1" t="str">
        <v/>
      </c>
      <c r="D483" s="1" t="str">
        <v/>
      </c>
      <c r="E483" s="1" t="str">
        <v/>
      </c>
      <c r="F483" s="1" t="str">
        <v/>
      </c>
      <c r="G483" s="1" t="str">
        <v/>
      </c>
      <c r="H483" s="1" t="str">
        <v/>
      </c>
      <c r="I483" s="2" t="str">
        <v/>
      </c>
      <c r="J483" s="2" t="str">
        <v/>
      </c>
      <c r="K483" s="2" t="str">
        <v/>
      </c>
      <c r="L483" s="1" t="str">
        <v/>
      </c>
      <c r="M483" s="2" t="str">
        <v/>
      </c>
      <c r="N483" s="2" t="str">
        <v/>
      </c>
      <c r="O483" s="1" t="str">
        <v/>
      </c>
      <c r="P483" s="1" t="str">
        <v/>
      </c>
      <c r="Q483" s="1" t="str">
        <v/>
      </c>
    </row>
    <row r="484" x14ac:dyDescent="0.25">
      <c r="A484" s="1" t="str">
        <v/>
      </c>
      <c r="B484" s="1" t="str">
        <v/>
      </c>
      <c r="C484" s="1" t="str">
        <v/>
      </c>
      <c r="D484" s="1" t="str">
        <v/>
      </c>
      <c r="E484" s="1" t="str">
        <v/>
      </c>
      <c r="F484" s="1" t="str">
        <v/>
      </c>
      <c r="G484" s="1" t="str">
        <v/>
      </c>
      <c r="H484" s="1" t="str">
        <v/>
      </c>
      <c r="I484" s="2" t="str">
        <v/>
      </c>
      <c r="J484" s="2" t="str">
        <v/>
      </c>
      <c r="K484" s="2" t="str">
        <v/>
      </c>
      <c r="L484" s="1" t="str">
        <v/>
      </c>
      <c r="M484" s="2" t="str">
        <v/>
      </c>
      <c r="N484" s="2" t="str">
        <v/>
      </c>
      <c r="O484" s="1" t="str">
        <v/>
      </c>
      <c r="P484" s="1" t="str">
        <v/>
      </c>
      <c r="Q484" s="1" t="str">
        <v/>
      </c>
    </row>
    <row r="485" x14ac:dyDescent="0.25">
      <c r="A485" s="1" t="str">
        <v/>
      </c>
      <c r="B485" s="1" t="str">
        <v/>
      </c>
      <c r="C485" s="1" t="str">
        <v/>
      </c>
      <c r="D485" s="1" t="str">
        <v/>
      </c>
      <c r="E485" s="1" t="str">
        <v/>
      </c>
      <c r="F485" s="1" t="str">
        <v/>
      </c>
      <c r="G485" s="1" t="str">
        <v/>
      </c>
      <c r="H485" s="1" t="str">
        <v/>
      </c>
      <c r="I485" s="2" t="str">
        <v/>
      </c>
      <c r="J485" s="2" t="str">
        <v/>
      </c>
      <c r="K485" s="2" t="str">
        <v/>
      </c>
      <c r="L485" s="1" t="str">
        <v/>
      </c>
      <c r="M485" s="2" t="str">
        <v/>
      </c>
      <c r="N485" s="2" t="str">
        <v/>
      </c>
      <c r="O485" s="1" t="str">
        <v/>
      </c>
      <c r="P485" s="1" t="str">
        <v/>
      </c>
      <c r="Q485" s="1" t="str">
        <v/>
      </c>
    </row>
    <row r="486" x14ac:dyDescent="0.25">
      <c r="A486" s="1" t="str">
        <v/>
      </c>
      <c r="B486" s="1" t="str">
        <v/>
      </c>
      <c r="C486" s="1" t="str">
        <v/>
      </c>
      <c r="D486" s="1" t="str">
        <v/>
      </c>
      <c r="E486" s="1" t="str">
        <v/>
      </c>
      <c r="F486" s="1" t="str">
        <v/>
      </c>
      <c r="G486" s="1" t="str">
        <v/>
      </c>
      <c r="H486" s="1" t="str">
        <v/>
      </c>
      <c r="I486" s="2" t="str">
        <v/>
      </c>
      <c r="J486" s="2" t="str">
        <v/>
      </c>
      <c r="K486" s="2" t="str">
        <v/>
      </c>
      <c r="L486" s="1" t="str">
        <v/>
      </c>
      <c r="M486" s="2" t="str">
        <v/>
      </c>
      <c r="N486" s="2" t="str">
        <v/>
      </c>
      <c r="O486" s="1" t="str">
        <v/>
      </c>
      <c r="P486" s="1" t="str">
        <v/>
      </c>
      <c r="Q486" s="1" t="str">
        <v/>
      </c>
    </row>
    <row r="487" x14ac:dyDescent="0.25">
      <c r="A487" s="1" t="str">
        <v/>
      </c>
      <c r="B487" s="1" t="str">
        <v/>
      </c>
      <c r="C487" s="1" t="str">
        <v/>
      </c>
      <c r="D487" s="1" t="str">
        <v/>
      </c>
      <c r="E487" s="1" t="str">
        <v/>
      </c>
      <c r="F487" s="1" t="str">
        <v/>
      </c>
      <c r="G487" s="1" t="str">
        <v/>
      </c>
      <c r="H487" s="1" t="str">
        <v/>
      </c>
      <c r="I487" s="2" t="str">
        <v/>
      </c>
      <c r="J487" s="2" t="str">
        <v/>
      </c>
      <c r="K487" s="2" t="str">
        <v/>
      </c>
      <c r="L487" s="1" t="str">
        <v/>
      </c>
      <c r="M487" s="2" t="str">
        <v/>
      </c>
      <c r="N487" s="2" t="str">
        <v/>
      </c>
      <c r="O487" s="1" t="str">
        <v/>
      </c>
      <c r="P487" s="1" t="str">
        <v/>
      </c>
      <c r="Q487" s="1" t="str">
        <v/>
      </c>
    </row>
    <row r="488" x14ac:dyDescent="0.25">
      <c r="A488" s="1" t="str">
        <v/>
      </c>
      <c r="B488" s="1" t="str">
        <v/>
      </c>
      <c r="C488" s="1" t="str">
        <v/>
      </c>
      <c r="D488" s="1" t="str">
        <v/>
      </c>
      <c r="E488" s="1" t="str">
        <v/>
      </c>
      <c r="F488" s="1" t="str">
        <v/>
      </c>
      <c r="G488" s="1" t="str">
        <v/>
      </c>
      <c r="H488" s="1" t="str">
        <v/>
      </c>
      <c r="I488" s="2" t="str">
        <v/>
      </c>
      <c r="J488" s="2" t="str">
        <v/>
      </c>
      <c r="K488" s="2" t="str">
        <v/>
      </c>
      <c r="L488" s="1" t="str">
        <v/>
      </c>
      <c r="M488" s="2" t="str">
        <v/>
      </c>
      <c r="N488" s="2" t="str">
        <v/>
      </c>
      <c r="O488" s="1" t="str">
        <v/>
      </c>
      <c r="P488" s="1" t="str">
        <v/>
      </c>
      <c r="Q488" s="1" t="str">
        <v/>
      </c>
    </row>
    <row r="489" x14ac:dyDescent="0.25">
      <c r="A489" s="1" t="str">
        <v/>
      </c>
      <c r="B489" s="1" t="str">
        <v/>
      </c>
      <c r="C489" s="1" t="str">
        <v/>
      </c>
      <c r="D489" s="1" t="str">
        <v/>
      </c>
      <c r="E489" s="1" t="str">
        <v/>
      </c>
      <c r="F489" s="1" t="str">
        <v/>
      </c>
      <c r="G489" s="1" t="str">
        <v/>
      </c>
      <c r="H489" s="1" t="str">
        <v/>
      </c>
      <c r="I489" s="2" t="str">
        <v/>
      </c>
      <c r="J489" s="2" t="str">
        <v/>
      </c>
      <c r="K489" s="2" t="str">
        <v/>
      </c>
      <c r="L489" s="1" t="str">
        <v/>
      </c>
      <c r="M489" s="2" t="str">
        <v/>
      </c>
      <c r="N489" s="2" t="str">
        <v/>
      </c>
      <c r="O489" s="1" t="str">
        <v/>
      </c>
      <c r="P489" s="1" t="str">
        <v/>
      </c>
      <c r="Q489" s="1" t="str">
        <v/>
      </c>
    </row>
    <row r="490" x14ac:dyDescent="0.25">
      <c r="A490" s="1" t="str">
        <v/>
      </c>
      <c r="B490" s="1" t="str">
        <v/>
      </c>
      <c r="C490" s="1" t="str">
        <v/>
      </c>
      <c r="D490" s="1" t="str">
        <v/>
      </c>
      <c r="E490" s="1" t="str">
        <v/>
      </c>
      <c r="F490" s="1" t="str">
        <v/>
      </c>
      <c r="G490" s="1" t="str">
        <v/>
      </c>
      <c r="H490" s="1" t="str">
        <v/>
      </c>
      <c r="I490" s="2" t="str">
        <v/>
      </c>
      <c r="J490" s="2" t="str">
        <v/>
      </c>
      <c r="K490" s="2" t="str">
        <v/>
      </c>
      <c r="L490" s="1" t="str">
        <v/>
      </c>
      <c r="M490" s="2" t="str">
        <v/>
      </c>
      <c r="N490" s="2" t="str">
        <v/>
      </c>
      <c r="O490" s="1" t="str">
        <v/>
      </c>
      <c r="P490" s="1" t="str">
        <v/>
      </c>
      <c r="Q490" s="1" t="str">
        <v/>
      </c>
    </row>
    <row r="491" x14ac:dyDescent="0.25">
      <c r="A491" s="1" t="str">
        <v/>
      </c>
      <c r="B491" s="1" t="str">
        <v/>
      </c>
      <c r="C491" s="1" t="str">
        <v/>
      </c>
      <c r="D491" s="1" t="str">
        <v/>
      </c>
      <c r="E491" s="1" t="str">
        <v/>
      </c>
      <c r="F491" s="1" t="str">
        <v/>
      </c>
      <c r="G491" s="1" t="str">
        <v/>
      </c>
      <c r="H491" s="1" t="str">
        <v/>
      </c>
      <c r="I491" s="2" t="str">
        <v/>
      </c>
      <c r="J491" s="2" t="str">
        <v/>
      </c>
      <c r="K491" s="2" t="str">
        <v/>
      </c>
      <c r="L491" s="1" t="str">
        <v/>
      </c>
      <c r="M491" s="2" t="str">
        <v/>
      </c>
      <c r="N491" s="2" t="str">
        <v/>
      </c>
      <c r="O491" s="1" t="str">
        <v/>
      </c>
      <c r="P491" s="1" t="str">
        <v/>
      </c>
      <c r="Q491" s="1" t="str">
        <v/>
      </c>
    </row>
    <row r="492" x14ac:dyDescent="0.25">
      <c r="A492" s="1" t="str">
        <v/>
      </c>
      <c r="B492" s="1" t="str">
        <v/>
      </c>
      <c r="C492" s="1" t="str">
        <v/>
      </c>
      <c r="D492" s="1" t="str">
        <v/>
      </c>
      <c r="E492" s="1" t="str">
        <v/>
      </c>
      <c r="F492" s="1" t="str">
        <v/>
      </c>
      <c r="G492" s="1" t="str">
        <v/>
      </c>
      <c r="H492" s="1" t="str">
        <v/>
      </c>
      <c r="I492" s="2" t="str">
        <v/>
      </c>
      <c r="J492" s="2" t="str">
        <v/>
      </c>
      <c r="K492" s="2" t="str">
        <v/>
      </c>
      <c r="L492" s="1" t="str">
        <v/>
      </c>
      <c r="M492" s="2" t="str">
        <v/>
      </c>
      <c r="N492" s="2" t="str">
        <v/>
      </c>
      <c r="O492" s="1" t="str">
        <v/>
      </c>
      <c r="P492" s="1" t="str">
        <v/>
      </c>
      <c r="Q492" s="1" t="str">
        <v/>
      </c>
    </row>
    <row r="493" x14ac:dyDescent="0.25">
      <c r="A493" s="1" t="str">
        <v/>
      </c>
      <c r="B493" s="1" t="str">
        <v/>
      </c>
      <c r="C493" s="1" t="str">
        <v/>
      </c>
      <c r="D493" s="1" t="str">
        <v/>
      </c>
      <c r="E493" s="1" t="str">
        <v/>
      </c>
      <c r="F493" s="1" t="str">
        <v/>
      </c>
      <c r="G493" s="1" t="str">
        <v/>
      </c>
      <c r="H493" s="1" t="str">
        <v/>
      </c>
      <c r="I493" s="2" t="str">
        <v/>
      </c>
      <c r="J493" s="2" t="str">
        <v/>
      </c>
      <c r="K493" s="2" t="str">
        <v/>
      </c>
      <c r="L493" s="1" t="str">
        <v/>
      </c>
      <c r="M493" s="2" t="str">
        <v/>
      </c>
      <c r="N493" s="2" t="str">
        <v/>
      </c>
      <c r="O493" s="1" t="str">
        <v/>
      </c>
      <c r="P493" s="1" t="str">
        <v/>
      </c>
      <c r="Q493" s="1" t="str">
        <v/>
      </c>
    </row>
    <row r="494" x14ac:dyDescent="0.25">
      <c r="A494" s="1" t="str">
        <v/>
      </c>
      <c r="B494" s="1" t="str">
        <v/>
      </c>
      <c r="C494" s="1" t="str">
        <v/>
      </c>
      <c r="D494" s="1" t="str">
        <v/>
      </c>
      <c r="E494" s="1" t="str">
        <v/>
      </c>
      <c r="F494" s="1" t="str">
        <v/>
      </c>
      <c r="G494" s="1" t="str">
        <v/>
      </c>
      <c r="H494" s="1" t="str">
        <v/>
      </c>
      <c r="I494" s="2" t="str">
        <v/>
      </c>
      <c r="J494" s="2" t="str">
        <v/>
      </c>
      <c r="K494" s="2" t="str">
        <v/>
      </c>
      <c r="L494" s="1" t="str">
        <v/>
      </c>
      <c r="M494" s="2" t="str">
        <v/>
      </c>
      <c r="N494" s="2" t="str">
        <v/>
      </c>
      <c r="O494" s="1" t="str">
        <v/>
      </c>
      <c r="P494" s="1" t="str">
        <v/>
      </c>
      <c r="Q494" s="1" t="str">
        <v/>
      </c>
    </row>
    <row r="495" x14ac:dyDescent="0.25">
      <c r="A495" s="1" t="str">
        <v/>
      </c>
      <c r="B495" s="1" t="str">
        <v/>
      </c>
      <c r="C495" s="1" t="str">
        <v/>
      </c>
      <c r="D495" s="1" t="str">
        <v/>
      </c>
      <c r="E495" s="1" t="str">
        <v/>
      </c>
      <c r="F495" s="1" t="str">
        <v/>
      </c>
      <c r="G495" s="1" t="str">
        <v/>
      </c>
      <c r="H495" s="1" t="str">
        <v/>
      </c>
      <c r="I495" s="2" t="str">
        <v/>
      </c>
      <c r="J495" s="2" t="str">
        <v/>
      </c>
      <c r="K495" s="2" t="str">
        <v/>
      </c>
      <c r="L495" s="1" t="str">
        <v/>
      </c>
      <c r="M495" s="2" t="str">
        <v/>
      </c>
      <c r="N495" s="2" t="str">
        <v/>
      </c>
      <c r="O495" s="1" t="str">
        <v/>
      </c>
      <c r="P495" s="1" t="str">
        <v/>
      </c>
      <c r="Q495" s="1" t="str">
        <v/>
      </c>
    </row>
    <row r="496" x14ac:dyDescent="0.25">
      <c r="A496" s="1" t="str">
        <v/>
      </c>
      <c r="B496" s="1" t="str">
        <v/>
      </c>
      <c r="C496" s="1" t="str">
        <v/>
      </c>
      <c r="D496" s="1" t="str">
        <v/>
      </c>
      <c r="E496" s="1" t="str">
        <v/>
      </c>
      <c r="F496" s="1" t="str">
        <v/>
      </c>
      <c r="G496" s="1" t="str">
        <v/>
      </c>
      <c r="H496" s="1" t="str">
        <v/>
      </c>
      <c r="I496" s="2" t="str">
        <v/>
      </c>
      <c r="J496" s="2" t="str">
        <v/>
      </c>
      <c r="K496" s="2" t="str">
        <v/>
      </c>
      <c r="L496" s="1" t="str">
        <v/>
      </c>
      <c r="M496" s="2" t="str">
        <v/>
      </c>
      <c r="N496" s="2" t="str">
        <v/>
      </c>
      <c r="O496" s="1" t="str">
        <v/>
      </c>
      <c r="P496" s="1" t="str">
        <v/>
      </c>
      <c r="Q496" s="1" t="str">
        <v/>
      </c>
    </row>
    <row r="497" x14ac:dyDescent="0.25">
      <c r="A497" s="1" t="str">
        <v/>
      </c>
      <c r="B497" s="1" t="str">
        <v/>
      </c>
      <c r="C497" s="1" t="str">
        <v/>
      </c>
      <c r="D497" s="1" t="str">
        <v/>
      </c>
      <c r="E497" s="1" t="str">
        <v/>
      </c>
      <c r="F497" s="1" t="str">
        <v/>
      </c>
      <c r="G497" s="1" t="str">
        <v/>
      </c>
      <c r="H497" s="1" t="str">
        <v/>
      </c>
      <c r="I497" s="2" t="str">
        <v/>
      </c>
      <c r="J497" s="2" t="str">
        <v/>
      </c>
      <c r="K497" s="2" t="str">
        <v/>
      </c>
      <c r="L497" s="1" t="str">
        <v/>
      </c>
      <c r="M497" s="2" t="str">
        <v/>
      </c>
      <c r="N497" s="2" t="str">
        <v/>
      </c>
      <c r="O497" s="1" t="str">
        <v/>
      </c>
      <c r="P497" s="1" t="str">
        <v/>
      </c>
      <c r="Q497" s="1" t="str">
        <v/>
      </c>
    </row>
    <row r="498" x14ac:dyDescent="0.25">
      <c r="A498" s="1" t="str">
        <v/>
      </c>
      <c r="B498" s="1" t="str">
        <v/>
      </c>
      <c r="C498" s="1" t="str">
        <v/>
      </c>
      <c r="D498" s="1" t="str">
        <v/>
      </c>
      <c r="E498" s="1" t="str">
        <v/>
      </c>
      <c r="F498" s="1" t="str">
        <v/>
      </c>
      <c r="G498" s="1" t="str">
        <v/>
      </c>
      <c r="H498" s="1" t="str">
        <v/>
      </c>
      <c r="I498" s="2" t="str">
        <v/>
      </c>
      <c r="J498" s="2" t="str">
        <v/>
      </c>
      <c r="K498" s="2" t="str">
        <v/>
      </c>
      <c r="L498" s="1" t="str">
        <v/>
      </c>
      <c r="M498" s="2" t="str">
        <v/>
      </c>
      <c r="N498" s="2" t="str">
        <v/>
      </c>
      <c r="O498" s="1" t="str">
        <v/>
      </c>
      <c r="P498" s="1" t="str">
        <v/>
      </c>
      <c r="Q498" s="1" t="str">
        <v/>
      </c>
    </row>
    <row r="499" x14ac:dyDescent="0.25">
      <c r="A499" s="1" t="str">
        <v/>
      </c>
      <c r="B499" s="1" t="str">
        <v/>
      </c>
      <c r="C499" s="1" t="str">
        <v/>
      </c>
      <c r="D499" s="1" t="str">
        <v/>
      </c>
      <c r="E499" s="1" t="str">
        <v/>
      </c>
      <c r="F499" s="1" t="str">
        <v/>
      </c>
      <c r="G499" s="1" t="str">
        <v/>
      </c>
      <c r="H499" s="1" t="str">
        <v/>
      </c>
      <c r="I499" s="2" t="str">
        <v/>
      </c>
      <c r="J499" s="2" t="str">
        <v/>
      </c>
      <c r="K499" s="2" t="str">
        <v/>
      </c>
      <c r="L499" s="1" t="str">
        <v/>
      </c>
      <c r="M499" s="2" t="str">
        <v/>
      </c>
      <c r="N499" s="2" t="str">
        <v/>
      </c>
      <c r="O499" s="1" t="str">
        <v/>
      </c>
      <c r="P499" s="1" t="str">
        <v/>
      </c>
      <c r="Q499" s="1" t="str">
        <v/>
      </c>
    </row>
    <row r="500" x14ac:dyDescent="0.25">
      <c r="A500" s="1" t="str">
        <v/>
      </c>
      <c r="B500" s="1" t="str">
        <v/>
      </c>
      <c r="C500" s="1" t="str">
        <v/>
      </c>
      <c r="D500" s="1" t="str">
        <v/>
      </c>
      <c r="E500" s="1" t="str">
        <v/>
      </c>
      <c r="F500" s="1" t="str">
        <v/>
      </c>
      <c r="G500" s="1" t="str">
        <v/>
      </c>
      <c r="H500" s="1" t="str">
        <v/>
      </c>
      <c r="I500" s="2" t="str">
        <v/>
      </c>
      <c r="J500" s="2" t="str">
        <v/>
      </c>
      <c r="K500" s="2" t="str">
        <v/>
      </c>
      <c r="L500" s="1" t="str">
        <v/>
      </c>
      <c r="M500" s="2" t="str">
        <v/>
      </c>
      <c r="N500" s="2" t="str">
        <v/>
      </c>
      <c r="O500" s="1" t="str">
        <v/>
      </c>
      <c r="P500" s="1" t="str">
        <v/>
      </c>
      <c r="Q500" s="1" t="str">
        <v/>
      </c>
    </row>
    <row r="501" x14ac:dyDescent="0.25">
      <c r="A501" s="1" t="str">
        <v/>
      </c>
      <c r="B501" s="1" t="str">
        <v/>
      </c>
      <c r="C501" s="1" t="str">
        <v/>
      </c>
      <c r="D501" s="1" t="str">
        <v/>
      </c>
      <c r="E501" s="1" t="str">
        <v/>
      </c>
      <c r="F501" s="1" t="str">
        <v/>
      </c>
      <c r="G501" s="1" t="str">
        <v/>
      </c>
      <c r="H501" s="1" t="str">
        <v/>
      </c>
      <c r="I501" s="2" t="str">
        <v/>
      </c>
      <c r="J501" s="2" t="str">
        <v/>
      </c>
      <c r="K501" s="2" t="str">
        <v/>
      </c>
      <c r="L501" s="1" t="str">
        <v/>
      </c>
      <c r="M501" s="2" t="str">
        <v/>
      </c>
      <c r="N501" s="2" t="str">
        <v/>
      </c>
      <c r="O501" s="1" t="str">
        <v/>
      </c>
      <c r="P501" s="1" t="str">
        <v/>
      </c>
      <c r="Q501" s="1" t="str">
        <v/>
      </c>
    </row>
    <row r="502" x14ac:dyDescent="0.25">
      <c r="A502" s="1" t="str">
        <v/>
      </c>
      <c r="B502" s="1" t="str">
        <v/>
      </c>
      <c r="C502" s="1" t="str">
        <v/>
      </c>
      <c r="D502" s="1" t="str">
        <v/>
      </c>
      <c r="E502" s="1" t="str">
        <v/>
      </c>
      <c r="F502" s="1" t="str">
        <v/>
      </c>
      <c r="G502" s="1" t="str">
        <v/>
      </c>
      <c r="H502" s="1" t="str">
        <v/>
      </c>
      <c r="I502" s="2" t="str">
        <v/>
      </c>
      <c r="J502" s="2" t="str">
        <v/>
      </c>
      <c r="K502" s="2" t="str">
        <v/>
      </c>
      <c r="L502" s="1" t="str">
        <v/>
      </c>
      <c r="M502" s="2" t="str">
        <v/>
      </c>
      <c r="N502" s="2" t="str">
        <v/>
      </c>
      <c r="O502" s="1" t="str">
        <v/>
      </c>
      <c r="P502" s="1" t="str">
        <v/>
      </c>
      <c r="Q502" s="1" t="str">
        <v/>
      </c>
    </row>
    <row r="503" x14ac:dyDescent="0.25">
      <c r="A503" s="1" t="str">
        <v/>
      </c>
      <c r="B503" s="1" t="str">
        <v/>
      </c>
      <c r="C503" s="1" t="str">
        <v/>
      </c>
      <c r="D503" s="1" t="str">
        <v/>
      </c>
      <c r="E503" s="1" t="str">
        <v/>
      </c>
      <c r="F503" s="1" t="str">
        <v/>
      </c>
      <c r="G503" s="1" t="str">
        <v/>
      </c>
      <c r="H503" s="1" t="str">
        <v/>
      </c>
      <c r="I503" s="2" t="str">
        <v/>
      </c>
      <c r="J503" s="2" t="str">
        <v/>
      </c>
      <c r="K503" s="2" t="str">
        <v/>
      </c>
      <c r="L503" s="1" t="str">
        <v/>
      </c>
      <c r="M503" s="2" t="str">
        <v/>
      </c>
      <c r="N503" s="2" t="str">
        <v/>
      </c>
      <c r="O503" s="1" t="str">
        <v/>
      </c>
      <c r="P503" s="1" t="str">
        <v/>
      </c>
      <c r="Q503" s="1" t="str">
        <v/>
      </c>
    </row>
    <row r="504" x14ac:dyDescent="0.25">
      <c r="A504" s="1" t="str">
        <v/>
      </c>
      <c r="B504" s="1" t="str">
        <v/>
      </c>
      <c r="C504" s="1" t="str">
        <v/>
      </c>
      <c r="D504" s="1" t="str">
        <v/>
      </c>
      <c r="E504" s="1" t="str">
        <v/>
      </c>
      <c r="F504" s="1" t="str">
        <v/>
      </c>
      <c r="G504" s="1" t="str">
        <v/>
      </c>
      <c r="H504" s="1" t="str">
        <v/>
      </c>
      <c r="I504" s="2" t="str">
        <v/>
      </c>
      <c r="J504" s="2" t="str">
        <v/>
      </c>
      <c r="K504" s="2" t="str">
        <v/>
      </c>
      <c r="L504" s="1" t="str">
        <v/>
      </c>
      <c r="M504" s="2" t="str">
        <v/>
      </c>
      <c r="N504" s="2" t="str">
        <v/>
      </c>
      <c r="O504" s="1" t="str">
        <v/>
      </c>
      <c r="P504" s="1" t="str">
        <v/>
      </c>
      <c r="Q504" s="1" t="str">
        <v/>
      </c>
    </row>
    <row r="505" x14ac:dyDescent="0.25">
      <c r="A505" s="1" t="str">
        <v/>
      </c>
      <c r="B505" s="1" t="str">
        <v/>
      </c>
      <c r="C505" s="1" t="str">
        <v/>
      </c>
      <c r="D505" s="1" t="str">
        <v/>
      </c>
      <c r="E505" s="1" t="str">
        <v/>
      </c>
      <c r="F505" s="1" t="str">
        <v/>
      </c>
      <c r="G505" s="1" t="str">
        <v/>
      </c>
      <c r="H505" s="1" t="str">
        <v/>
      </c>
      <c r="I505" s="2" t="str">
        <v/>
      </c>
      <c r="J505" s="2" t="str">
        <v/>
      </c>
      <c r="K505" s="2" t="str">
        <v/>
      </c>
      <c r="L505" s="1" t="str">
        <v/>
      </c>
      <c r="M505" s="2" t="str">
        <v/>
      </c>
      <c r="N505" s="2" t="str">
        <v/>
      </c>
      <c r="O505" s="1" t="str">
        <v/>
      </c>
      <c r="P505" s="1" t="str">
        <v/>
      </c>
      <c r="Q505" s="1" t="str">
        <v/>
      </c>
    </row>
    <row r="506" x14ac:dyDescent="0.25">
      <c r="A506" s="1" t="str">
        <v/>
      </c>
      <c r="B506" s="1" t="str">
        <v/>
      </c>
      <c r="C506" s="1" t="str">
        <v/>
      </c>
      <c r="D506" s="1" t="str">
        <v/>
      </c>
      <c r="E506" s="1" t="str">
        <v/>
      </c>
      <c r="F506" s="1" t="str">
        <v/>
      </c>
      <c r="G506" s="1" t="str">
        <v/>
      </c>
      <c r="H506" s="1" t="str">
        <v/>
      </c>
      <c r="I506" s="2" t="str">
        <v/>
      </c>
      <c r="J506" s="2" t="str">
        <v/>
      </c>
      <c r="K506" s="2" t="str">
        <v/>
      </c>
      <c r="L506" s="1" t="str">
        <v/>
      </c>
      <c r="M506" s="2" t="str">
        <v/>
      </c>
      <c r="N506" s="2" t="str">
        <v/>
      </c>
      <c r="O506" s="1" t="str">
        <v/>
      </c>
      <c r="P506" s="1" t="str">
        <v/>
      </c>
      <c r="Q506" s="1" t="str">
        <v/>
      </c>
    </row>
    <row r="507" x14ac:dyDescent="0.25">
      <c r="A507" s="1" t="str">
        <v/>
      </c>
      <c r="B507" s="1" t="str">
        <v/>
      </c>
      <c r="C507" s="1" t="str">
        <v/>
      </c>
      <c r="D507" s="1" t="str">
        <v/>
      </c>
      <c r="E507" s="1" t="str">
        <v/>
      </c>
      <c r="F507" s="1" t="str">
        <v/>
      </c>
      <c r="G507" s="1" t="str">
        <v/>
      </c>
      <c r="H507" s="1" t="str">
        <v/>
      </c>
      <c r="I507" s="2" t="str">
        <v/>
      </c>
      <c r="J507" s="2" t="str">
        <v/>
      </c>
      <c r="K507" s="2" t="str">
        <v/>
      </c>
      <c r="L507" s="1" t="str">
        <v/>
      </c>
      <c r="M507" s="2" t="str">
        <v/>
      </c>
      <c r="N507" s="2" t="str">
        <v/>
      </c>
      <c r="O507" s="1" t="str">
        <v/>
      </c>
      <c r="P507" s="1" t="str">
        <v/>
      </c>
      <c r="Q507" s="1" t="str">
        <v/>
      </c>
    </row>
    <row r="508" x14ac:dyDescent="0.25">
      <c r="A508" s="1" t="str">
        <v/>
      </c>
      <c r="B508" s="1" t="str">
        <v/>
      </c>
      <c r="C508" s="1" t="str">
        <v/>
      </c>
      <c r="D508" s="1" t="str">
        <v/>
      </c>
      <c r="E508" s="1" t="str">
        <v/>
      </c>
      <c r="F508" s="1" t="str">
        <v/>
      </c>
      <c r="G508" s="1" t="str">
        <v/>
      </c>
      <c r="H508" s="1" t="str">
        <v/>
      </c>
      <c r="I508" s="2" t="str">
        <v/>
      </c>
      <c r="J508" s="2" t="str">
        <v/>
      </c>
      <c r="K508" s="2" t="str">
        <v/>
      </c>
      <c r="L508" s="1" t="str">
        <v/>
      </c>
      <c r="M508" s="2" t="str">
        <v/>
      </c>
      <c r="N508" s="2" t="str">
        <v/>
      </c>
      <c r="O508" s="1" t="str">
        <v/>
      </c>
      <c r="P508" s="1" t="str">
        <v/>
      </c>
      <c r="Q508" s="1" t="str">
        <v/>
      </c>
    </row>
    <row r="509" x14ac:dyDescent="0.25">
      <c r="A509" s="1" t="str">
        <v/>
      </c>
      <c r="B509" s="1" t="str">
        <v/>
      </c>
      <c r="C509" s="1" t="str">
        <v/>
      </c>
      <c r="D509" s="1" t="str">
        <v/>
      </c>
      <c r="E509" s="1" t="str">
        <v/>
      </c>
      <c r="F509" s="1" t="str">
        <v/>
      </c>
      <c r="G509" s="1" t="str">
        <v/>
      </c>
      <c r="H509" s="1" t="str">
        <v/>
      </c>
      <c r="I509" s="2" t="str">
        <v/>
      </c>
      <c r="J509" s="2" t="str">
        <v/>
      </c>
      <c r="K509" s="2" t="str">
        <v/>
      </c>
      <c r="L509" s="1" t="str">
        <v/>
      </c>
      <c r="M509" s="2" t="str">
        <v/>
      </c>
      <c r="N509" s="2" t="str">
        <v/>
      </c>
      <c r="O509" s="1" t="str">
        <v/>
      </c>
      <c r="P509" s="1" t="str">
        <v/>
      </c>
      <c r="Q509" s="1" t="str">
        <v/>
      </c>
    </row>
    <row r="510" x14ac:dyDescent="0.25">
      <c r="A510" s="1" t="str">
        <v/>
      </c>
      <c r="B510" s="1" t="str">
        <v/>
      </c>
      <c r="C510" s="1" t="str">
        <v/>
      </c>
      <c r="D510" s="1" t="str">
        <v/>
      </c>
      <c r="E510" s="1" t="str">
        <v/>
      </c>
      <c r="F510" s="1" t="str">
        <v/>
      </c>
      <c r="G510" s="1" t="str">
        <v/>
      </c>
      <c r="H510" s="1" t="str">
        <v/>
      </c>
      <c r="I510" s="2" t="str">
        <v/>
      </c>
      <c r="J510" s="2" t="str">
        <v/>
      </c>
      <c r="K510" s="2" t="str">
        <v/>
      </c>
      <c r="L510" s="1" t="str">
        <v/>
      </c>
      <c r="M510" s="2" t="str">
        <v/>
      </c>
      <c r="N510" s="2" t="str">
        <v/>
      </c>
      <c r="O510" s="1" t="str">
        <v/>
      </c>
      <c r="P510" s="1" t="str">
        <v/>
      </c>
      <c r="Q510" s="1" t="str">
        <v/>
      </c>
    </row>
    <row r="511" x14ac:dyDescent="0.25">
      <c r="A511" s="1" t="str">
        <v/>
      </c>
      <c r="B511" s="1" t="str">
        <v/>
      </c>
      <c r="C511" s="1" t="str">
        <v/>
      </c>
      <c r="D511" s="1" t="str">
        <v/>
      </c>
      <c r="E511" s="1" t="str">
        <v/>
      </c>
      <c r="F511" s="1" t="str">
        <v/>
      </c>
      <c r="G511" s="1" t="str">
        <v/>
      </c>
      <c r="H511" s="1" t="str">
        <v/>
      </c>
      <c r="I511" s="2" t="str">
        <v/>
      </c>
      <c r="J511" s="2" t="str">
        <v/>
      </c>
      <c r="K511" s="2" t="str">
        <v/>
      </c>
      <c r="L511" s="1" t="str">
        <v/>
      </c>
      <c r="M511" s="2" t="str">
        <v/>
      </c>
      <c r="N511" s="2" t="str">
        <v/>
      </c>
      <c r="O511" s="1" t="str">
        <v/>
      </c>
      <c r="P511" s="1" t="str">
        <v/>
      </c>
      <c r="Q511" s="1" t="str">
        <v/>
      </c>
    </row>
    <row r="512" x14ac:dyDescent="0.25">
      <c r="A512" s="1" t="str">
        <v/>
      </c>
      <c r="B512" s="1" t="str">
        <v/>
      </c>
      <c r="C512" s="1" t="str">
        <v/>
      </c>
      <c r="D512" s="1" t="str">
        <v/>
      </c>
      <c r="E512" s="1" t="str">
        <v/>
      </c>
      <c r="F512" s="1" t="str">
        <v/>
      </c>
      <c r="G512" s="1" t="str">
        <v/>
      </c>
      <c r="H512" s="1" t="str">
        <v/>
      </c>
      <c r="I512" s="2" t="str">
        <v/>
      </c>
      <c r="J512" s="2" t="str">
        <v/>
      </c>
      <c r="K512" s="2" t="str">
        <v/>
      </c>
      <c r="L512" s="1" t="str">
        <v/>
      </c>
      <c r="M512" s="2" t="str">
        <v/>
      </c>
      <c r="N512" s="2" t="str">
        <v/>
      </c>
      <c r="O512" s="1" t="str">
        <v/>
      </c>
      <c r="P512" s="1" t="str">
        <v/>
      </c>
      <c r="Q512" s="1" t="str">
        <v/>
      </c>
    </row>
    <row r="513" x14ac:dyDescent="0.25">
      <c r="A513" s="1" t="str">
        <v/>
      </c>
      <c r="B513" s="1" t="str">
        <v/>
      </c>
      <c r="C513" s="1" t="str">
        <v/>
      </c>
      <c r="D513" s="1" t="str">
        <v/>
      </c>
      <c r="E513" s="1" t="str">
        <v/>
      </c>
      <c r="F513" s="1" t="str">
        <v/>
      </c>
      <c r="G513" s="1" t="str">
        <v/>
      </c>
      <c r="H513" s="1" t="str">
        <v/>
      </c>
      <c r="I513" s="2" t="str">
        <v/>
      </c>
      <c r="J513" s="2" t="str">
        <v/>
      </c>
      <c r="K513" s="2" t="str">
        <v/>
      </c>
      <c r="L513" s="1" t="str">
        <v/>
      </c>
      <c r="M513" s="2" t="str">
        <v/>
      </c>
      <c r="N513" s="2" t="str">
        <v/>
      </c>
      <c r="O513" s="1" t="str">
        <v/>
      </c>
      <c r="P513" s="1" t="str">
        <v/>
      </c>
      <c r="Q513" s="1" t="str">
        <v/>
      </c>
    </row>
    <row r="514" x14ac:dyDescent="0.25">
      <c r="A514" s="1" t="str">
        <v/>
      </c>
      <c r="B514" s="1" t="str">
        <v/>
      </c>
      <c r="C514" s="1" t="str">
        <v/>
      </c>
      <c r="D514" s="1" t="str">
        <v/>
      </c>
      <c r="E514" s="1" t="str">
        <v/>
      </c>
      <c r="F514" s="1" t="str">
        <v/>
      </c>
      <c r="G514" s="1" t="str">
        <v/>
      </c>
      <c r="H514" s="1" t="str">
        <v/>
      </c>
      <c r="I514" s="2" t="str">
        <v/>
      </c>
      <c r="J514" s="2" t="str">
        <v/>
      </c>
      <c r="K514" s="2" t="str">
        <v/>
      </c>
      <c r="L514" s="1" t="str">
        <v/>
      </c>
      <c r="M514" s="2" t="str">
        <v/>
      </c>
      <c r="N514" s="2" t="str">
        <v/>
      </c>
      <c r="O514" s="1" t="str">
        <v/>
      </c>
      <c r="P514" s="1" t="str">
        <v/>
      </c>
      <c r="Q514" s="1" t="str">
        <v/>
      </c>
    </row>
    <row r="515" x14ac:dyDescent="0.25">
      <c r="A515" s="1" t="str">
        <v/>
      </c>
      <c r="B515" s="1" t="str">
        <v/>
      </c>
      <c r="C515" s="1" t="str">
        <v/>
      </c>
      <c r="D515" s="1" t="str">
        <v/>
      </c>
      <c r="E515" s="1" t="str">
        <v/>
      </c>
      <c r="F515" s="1" t="str">
        <v/>
      </c>
      <c r="G515" s="1" t="str">
        <v/>
      </c>
      <c r="H515" s="1" t="str">
        <v/>
      </c>
      <c r="I515" s="2" t="str">
        <v/>
      </c>
      <c r="J515" s="2" t="str">
        <v/>
      </c>
      <c r="K515" s="2" t="str">
        <v/>
      </c>
      <c r="L515" s="1" t="str">
        <v/>
      </c>
      <c r="M515" s="2" t="str">
        <v/>
      </c>
      <c r="N515" s="2" t="str">
        <v/>
      </c>
      <c r="O515" s="1" t="str">
        <v/>
      </c>
      <c r="P515" s="1" t="str">
        <v/>
      </c>
      <c r="Q515" s="1" t="str">
        <v/>
      </c>
    </row>
    <row r="516" x14ac:dyDescent="0.25">
      <c r="A516" s="1" t="str">
        <v/>
      </c>
      <c r="B516" s="1" t="str">
        <v/>
      </c>
      <c r="C516" s="1" t="str">
        <v/>
      </c>
      <c r="D516" s="1" t="str">
        <v/>
      </c>
      <c r="E516" s="1" t="str">
        <v/>
      </c>
      <c r="F516" s="1" t="str">
        <v/>
      </c>
      <c r="G516" s="1" t="str">
        <v/>
      </c>
      <c r="H516" s="1" t="str">
        <v/>
      </c>
      <c r="I516" s="2" t="str">
        <v/>
      </c>
      <c r="J516" s="2" t="str">
        <v/>
      </c>
      <c r="K516" s="2" t="str">
        <v/>
      </c>
      <c r="L516" s="1" t="str">
        <v/>
      </c>
      <c r="M516" s="2" t="str">
        <v/>
      </c>
      <c r="N516" s="2" t="str">
        <v/>
      </c>
      <c r="O516" s="1" t="str">
        <v/>
      </c>
      <c r="P516" s="1" t="str">
        <v/>
      </c>
      <c r="Q516" s="1" t="str">
        <v/>
      </c>
    </row>
    <row r="517" x14ac:dyDescent="0.25">
      <c r="A517" s="1" t="str">
        <v/>
      </c>
      <c r="B517" s="1" t="str">
        <v/>
      </c>
      <c r="C517" s="1" t="str">
        <v/>
      </c>
      <c r="D517" s="1" t="str">
        <v/>
      </c>
      <c r="E517" s="1" t="str">
        <v/>
      </c>
      <c r="F517" s="1" t="str">
        <v/>
      </c>
      <c r="G517" s="1" t="str">
        <v/>
      </c>
      <c r="H517" s="1" t="str">
        <v/>
      </c>
      <c r="I517" s="2" t="str">
        <v/>
      </c>
      <c r="J517" s="2" t="str">
        <v/>
      </c>
      <c r="K517" s="2" t="str">
        <v/>
      </c>
      <c r="L517" s="1" t="str">
        <v/>
      </c>
      <c r="M517" s="2" t="str">
        <v/>
      </c>
      <c r="N517" s="2" t="str">
        <v/>
      </c>
      <c r="O517" s="1" t="str">
        <v/>
      </c>
      <c r="P517" s="1" t="str">
        <v/>
      </c>
      <c r="Q517" s="1" t="str">
        <v/>
      </c>
    </row>
    <row r="518" x14ac:dyDescent="0.25">
      <c r="A518" s="1" t="str">
        <v/>
      </c>
      <c r="B518" s="1" t="str">
        <v/>
      </c>
      <c r="C518" s="1" t="str">
        <v/>
      </c>
      <c r="D518" s="1" t="str">
        <v/>
      </c>
      <c r="E518" s="1" t="str">
        <v/>
      </c>
      <c r="F518" s="1" t="str">
        <v/>
      </c>
      <c r="G518" s="1" t="str">
        <v/>
      </c>
      <c r="H518" s="1" t="str">
        <v/>
      </c>
      <c r="I518" s="2" t="str">
        <v/>
      </c>
      <c r="J518" s="2" t="str">
        <v/>
      </c>
      <c r="K518" s="2" t="str">
        <v/>
      </c>
      <c r="L518" s="1" t="str">
        <v/>
      </c>
      <c r="M518" s="2" t="str">
        <v/>
      </c>
      <c r="N518" s="2" t="str">
        <v/>
      </c>
      <c r="O518" s="1" t="str">
        <v/>
      </c>
      <c r="P518" s="1" t="str">
        <v/>
      </c>
      <c r="Q518" s="1" t="str">
        <v/>
      </c>
    </row>
    <row r="519" x14ac:dyDescent="0.25">
      <c r="A519" s="1" t="str">
        <v/>
      </c>
      <c r="B519" s="1" t="str">
        <v/>
      </c>
      <c r="C519" s="1" t="str">
        <v/>
      </c>
      <c r="D519" s="1" t="str">
        <v/>
      </c>
      <c r="E519" s="1" t="str">
        <v/>
      </c>
      <c r="F519" s="1" t="str">
        <v/>
      </c>
      <c r="G519" s="1" t="str">
        <v/>
      </c>
      <c r="H519" s="1" t="str">
        <v/>
      </c>
      <c r="I519" s="2" t="str">
        <v/>
      </c>
      <c r="J519" s="2" t="str">
        <v/>
      </c>
      <c r="K519" s="2" t="str">
        <v/>
      </c>
      <c r="L519" s="1" t="str">
        <v/>
      </c>
      <c r="M519" s="2" t="str">
        <v/>
      </c>
      <c r="N519" s="2" t="str">
        <v/>
      </c>
      <c r="O519" s="1" t="str">
        <v/>
      </c>
      <c r="P519" s="1" t="str">
        <v/>
      </c>
      <c r="Q519" s="1" t="str">
        <v/>
      </c>
    </row>
    <row r="520" x14ac:dyDescent="0.25">
      <c r="A520" s="1" t="str">
        <v/>
      </c>
      <c r="B520" s="1" t="str">
        <v/>
      </c>
      <c r="C520" s="1" t="str">
        <v/>
      </c>
      <c r="D520" s="1" t="str">
        <v/>
      </c>
      <c r="E520" s="1" t="str">
        <v/>
      </c>
      <c r="F520" s="1" t="str">
        <v/>
      </c>
      <c r="G520" s="1" t="str">
        <v/>
      </c>
      <c r="H520" s="1" t="str">
        <v/>
      </c>
      <c r="I520" s="2" t="str">
        <v/>
      </c>
      <c r="J520" s="2" t="str">
        <v/>
      </c>
      <c r="K520" s="2" t="str">
        <v/>
      </c>
      <c r="L520" s="1" t="str">
        <v/>
      </c>
      <c r="M520" s="2" t="str">
        <v/>
      </c>
      <c r="N520" s="2" t="str">
        <v/>
      </c>
      <c r="O520" s="1" t="str">
        <v/>
      </c>
      <c r="P520" s="1" t="str">
        <v/>
      </c>
      <c r="Q520" s="1" t="str">
        <v/>
      </c>
    </row>
    <row r="521" x14ac:dyDescent="0.25">
      <c r="A521" s="1" t="str">
        <v/>
      </c>
      <c r="B521" s="1" t="str">
        <v/>
      </c>
      <c r="C521" s="1" t="str">
        <v/>
      </c>
      <c r="D521" s="1" t="str">
        <v/>
      </c>
      <c r="E521" s="1" t="str">
        <v/>
      </c>
      <c r="F521" s="1" t="str">
        <v/>
      </c>
      <c r="G521" s="1" t="str">
        <v/>
      </c>
      <c r="H521" s="1" t="str">
        <v/>
      </c>
      <c r="I521" s="2" t="str">
        <v/>
      </c>
      <c r="J521" s="2" t="str">
        <v/>
      </c>
      <c r="K521" s="2" t="str">
        <v/>
      </c>
      <c r="L521" s="1" t="str">
        <v/>
      </c>
      <c r="M521" s="2" t="str">
        <v/>
      </c>
      <c r="N521" s="2" t="str">
        <v/>
      </c>
      <c r="O521" s="1" t="str">
        <v/>
      </c>
      <c r="P521" s="1" t="str">
        <v/>
      </c>
      <c r="Q521" s="1" t="str">
        <v/>
      </c>
    </row>
    <row r="522" x14ac:dyDescent="0.25">
      <c r="A522" s="1" t="str">
        <v/>
      </c>
      <c r="B522" s="1" t="str">
        <v/>
      </c>
      <c r="C522" s="1" t="str">
        <v/>
      </c>
      <c r="D522" s="1" t="str">
        <v/>
      </c>
      <c r="E522" s="1" t="str">
        <v/>
      </c>
      <c r="F522" s="1" t="str">
        <v/>
      </c>
      <c r="G522" s="1" t="str">
        <v/>
      </c>
      <c r="H522" s="1" t="str">
        <v/>
      </c>
      <c r="I522" s="2" t="str">
        <v/>
      </c>
      <c r="J522" s="2" t="str">
        <v/>
      </c>
      <c r="K522" s="2" t="str">
        <v/>
      </c>
      <c r="L522" s="1" t="str">
        <v/>
      </c>
      <c r="M522" s="2" t="str">
        <v/>
      </c>
      <c r="N522" s="2" t="str">
        <v/>
      </c>
      <c r="O522" s="1" t="str">
        <v/>
      </c>
      <c r="P522" s="1" t="str">
        <v/>
      </c>
      <c r="Q522" s="1" t="str">
        <v/>
      </c>
    </row>
    <row r="523" x14ac:dyDescent="0.25">
      <c r="A523" s="1" t="str">
        <v/>
      </c>
      <c r="B523" s="1" t="str">
        <v/>
      </c>
      <c r="C523" s="1" t="str">
        <v/>
      </c>
      <c r="D523" s="1" t="str">
        <v/>
      </c>
      <c r="E523" s="1" t="str">
        <v/>
      </c>
      <c r="F523" s="1" t="str">
        <v/>
      </c>
      <c r="G523" s="1" t="str">
        <v/>
      </c>
      <c r="H523" s="1" t="str">
        <v/>
      </c>
      <c r="I523" s="2" t="str">
        <v/>
      </c>
      <c r="J523" s="2" t="str">
        <v/>
      </c>
      <c r="K523" s="2" t="str">
        <v/>
      </c>
      <c r="L523" s="1" t="str">
        <v/>
      </c>
      <c r="M523" s="2" t="str">
        <v/>
      </c>
      <c r="N523" s="2" t="str">
        <v/>
      </c>
      <c r="O523" s="1" t="str">
        <v/>
      </c>
      <c r="P523" s="1" t="str">
        <v/>
      </c>
      <c r="Q523" s="1" t="str">
        <v/>
      </c>
    </row>
    <row r="524" x14ac:dyDescent="0.25">
      <c r="A524" s="1" t="str">
        <v/>
      </c>
      <c r="B524" s="1" t="str">
        <v/>
      </c>
      <c r="C524" s="1" t="str">
        <v/>
      </c>
      <c r="D524" s="1" t="str">
        <v/>
      </c>
      <c r="E524" s="1" t="str">
        <v/>
      </c>
      <c r="F524" s="1" t="str">
        <v/>
      </c>
      <c r="G524" s="1" t="str">
        <v/>
      </c>
      <c r="H524" s="1" t="str">
        <v/>
      </c>
      <c r="I524" s="2" t="str">
        <v/>
      </c>
      <c r="J524" s="2" t="str">
        <v/>
      </c>
      <c r="K524" s="2" t="str">
        <v/>
      </c>
      <c r="L524" s="1" t="str">
        <v/>
      </c>
      <c r="M524" s="2" t="str">
        <v/>
      </c>
      <c r="N524" s="2" t="str">
        <v/>
      </c>
      <c r="O524" s="1" t="str">
        <v/>
      </c>
      <c r="P524" s="1" t="str">
        <v/>
      </c>
      <c r="Q524" s="1" t="str">
        <v/>
      </c>
    </row>
    <row r="525" x14ac:dyDescent="0.25">
      <c r="A525" s="1" t="str">
        <v/>
      </c>
      <c r="B525" s="1" t="str">
        <v/>
      </c>
      <c r="C525" s="1" t="str">
        <v/>
      </c>
      <c r="D525" s="1" t="str">
        <v/>
      </c>
      <c r="E525" s="1" t="str">
        <v/>
      </c>
      <c r="F525" s="1" t="str">
        <v/>
      </c>
      <c r="G525" s="1" t="str">
        <v/>
      </c>
      <c r="H525" s="1" t="str">
        <v/>
      </c>
      <c r="I525" s="2" t="str">
        <v/>
      </c>
      <c r="J525" s="2" t="str">
        <v/>
      </c>
      <c r="K525" s="2" t="str">
        <v/>
      </c>
      <c r="L525" s="1" t="str">
        <v/>
      </c>
      <c r="M525" s="2" t="str">
        <v/>
      </c>
      <c r="N525" s="2" t="str">
        <v/>
      </c>
      <c r="O525" s="1" t="str">
        <v/>
      </c>
      <c r="P525" s="1" t="str">
        <v/>
      </c>
      <c r="Q525" s="1" t="str">
        <v/>
      </c>
    </row>
    <row r="526" x14ac:dyDescent="0.25">
      <c r="A526" s="1" t="str">
        <v/>
      </c>
      <c r="B526" s="1" t="str">
        <v/>
      </c>
      <c r="C526" s="1" t="str">
        <v/>
      </c>
      <c r="D526" s="1" t="str">
        <v/>
      </c>
      <c r="E526" s="1" t="str">
        <v/>
      </c>
      <c r="F526" s="1" t="str">
        <v/>
      </c>
      <c r="G526" s="1" t="str">
        <v/>
      </c>
      <c r="H526" s="1" t="str">
        <v/>
      </c>
      <c r="I526" s="2" t="str">
        <v/>
      </c>
      <c r="J526" s="2" t="str">
        <v/>
      </c>
      <c r="K526" s="2" t="str">
        <v/>
      </c>
      <c r="L526" s="1" t="str">
        <v/>
      </c>
      <c r="M526" s="2" t="str">
        <v/>
      </c>
      <c r="N526" s="2" t="str">
        <v/>
      </c>
      <c r="O526" s="1" t="str">
        <v/>
      </c>
      <c r="P526" s="1" t="str">
        <v/>
      </c>
      <c r="Q526" s="1" t="str">
        <v/>
      </c>
    </row>
    <row r="527" x14ac:dyDescent="0.25">
      <c r="A527" s="1" t="str">
        <v/>
      </c>
      <c r="B527" s="1" t="str">
        <v/>
      </c>
      <c r="C527" s="1" t="str">
        <v/>
      </c>
      <c r="D527" s="1" t="str">
        <v/>
      </c>
      <c r="E527" s="1" t="str">
        <v/>
      </c>
      <c r="F527" s="1" t="str">
        <v/>
      </c>
      <c r="G527" s="1" t="str">
        <v/>
      </c>
      <c r="H527" s="1" t="str">
        <v/>
      </c>
      <c r="I527" s="2" t="str">
        <v/>
      </c>
      <c r="J527" s="2" t="str">
        <v/>
      </c>
      <c r="K527" s="2" t="str">
        <v/>
      </c>
      <c r="L527" s="1" t="str">
        <v/>
      </c>
      <c r="M527" s="2" t="str">
        <v/>
      </c>
      <c r="N527" s="2" t="str">
        <v/>
      </c>
      <c r="O527" s="1" t="str">
        <v/>
      </c>
      <c r="P527" s="1" t="str">
        <v/>
      </c>
      <c r="Q527" s="1" t="str">
        <v/>
      </c>
    </row>
    <row r="528" x14ac:dyDescent="0.25">
      <c r="A528" s="1" t="str">
        <v/>
      </c>
      <c r="B528" s="1" t="str">
        <v/>
      </c>
      <c r="C528" s="1" t="str">
        <v/>
      </c>
      <c r="D528" s="1" t="str">
        <v/>
      </c>
      <c r="E528" s="1" t="str">
        <v/>
      </c>
      <c r="F528" s="1" t="str">
        <v/>
      </c>
      <c r="G528" s="1" t="str">
        <v/>
      </c>
      <c r="H528" s="1" t="str">
        <v/>
      </c>
      <c r="I528" s="2" t="str">
        <v/>
      </c>
      <c r="J528" s="2" t="str">
        <v/>
      </c>
      <c r="K528" s="2" t="str">
        <v/>
      </c>
      <c r="L528" s="1" t="str">
        <v/>
      </c>
      <c r="M528" s="2" t="str">
        <v/>
      </c>
      <c r="N528" s="2" t="str">
        <v/>
      </c>
      <c r="O528" s="1" t="str">
        <v/>
      </c>
      <c r="P528" s="1" t="str">
        <v/>
      </c>
      <c r="Q528" s="1" t="str">
        <v/>
      </c>
    </row>
    <row r="529" x14ac:dyDescent="0.25">
      <c r="A529" s="1" t="str">
        <v/>
      </c>
      <c r="B529" s="1" t="str">
        <v/>
      </c>
      <c r="C529" s="1" t="str">
        <v/>
      </c>
      <c r="D529" s="1" t="str">
        <v/>
      </c>
      <c r="E529" s="1" t="str">
        <v/>
      </c>
      <c r="F529" s="1" t="str">
        <v/>
      </c>
      <c r="G529" s="1" t="str">
        <v/>
      </c>
      <c r="H529" s="1" t="str">
        <v/>
      </c>
      <c r="I529" s="2" t="str">
        <v/>
      </c>
      <c r="J529" s="2" t="str">
        <v/>
      </c>
      <c r="K529" s="2" t="str">
        <v/>
      </c>
      <c r="L529" s="1" t="str">
        <v/>
      </c>
      <c r="M529" s="2" t="str">
        <v/>
      </c>
      <c r="N529" s="2" t="str">
        <v/>
      </c>
      <c r="O529" s="1" t="str">
        <v/>
      </c>
      <c r="P529" s="1" t="str">
        <v/>
      </c>
      <c r="Q529" s="1" t="str">
        <v/>
      </c>
    </row>
    <row r="530" x14ac:dyDescent="0.25">
      <c r="A530" s="1" t="str">
        <v/>
      </c>
      <c r="B530" s="1" t="str">
        <v/>
      </c>
      <c r="C530" s="1" t="str">
        <v/>
      </c>
      <c r="D530" s="1" t="str">
        <v/>
      </c>
      <c r="E530" s="1" t="str">
        <v/>
      </c>
      <c r="F530" s="1" t="str">
        <v/>
      </c>
      <c r="G530" s="1" t="str">
        <v/>
      </c>
      <c r="H530" s="1" t="str">
        <v/>
      </c>
      <c r="I530" s="2" t="str">
        <v/>
      </c>
      <c r="J530" s="2" t="str">
        <v/>
      </c>
      <c r="K530" s="2" t="str">
        <v/>
      </c>
      <c r="L530" s="1" t="str">
        <v/>
      </c>
      <c r="M530" s="2" t="str">
        <v/>
      </c>
      <c r="N530" s="2" t="str">
        <v/>
      </c>
      <c r="O530" s="1" t="str">
        <v/>
      </c>
      <c r="P530" s="1" t="str">
        <v/>
      </c>
      <c r="Q530" s="1" t="str">
        <v/>
      </c>
    </row>
    <row r="531" x14ac:dyDescent="0.25">
      <c r="A531" s="1" t="str">
        <v/>
      </c>
      <c r="B531" s="1" t="str">
        <v/>
      </c>
      <c r="C531" s="1" t="str">
        <v/>
      </c>
      <c r="D531" s="1" t="str">
        <v/>
      </c>
      <c r="E531" s="1" t="str">
        <v/>
      </c>
      <c r="F531" s="1" t="str">
        <v/>
      </c>
      <c r="G531" s="1" t="str">
        <v/>
      </c>
      <c r="H531" s="1" t="str">
        <v/>
      </c>
      <c r="I531" s="2" t="str">
        <v/>
      </c>
      <c r="J531" s="2" t="str">
        <v/>
      </c>
      <c r="K531" s="2" t="str">
        <v/>
      </c>
      <c r="L531" s="1" t="str">
        <v/>
      </c>
      <c r="M531" s="2" t="str">
        <v/>
      </c>
      <c r="N531" s="2" t="str">
        <v/>
      </c>
      <c r="O531" s="1" t="str">
        <v/>
      </c>
      <c r="P531" s="1" t="str">
        <v/>
      </c>
      <c r="Q531" s="1" t="str">
        <v/>
      </c>
    </row>
    <row r="532" x14ac:dyDescent="0.25">
      <c r="A532" s="1" t="str">
        <v/>
      </c>
      <c r="B532" s="1" t="str">
        <v/>
      </c>
      <c r="C532" s="1" t="str">
        <v/>
      </c>
      <c r="D532" s="1" t="str">
        <v/>
      </c>
      <c r="E532" s="1" t="str">
        <v/>
      </c>
      <c r="F532" s="1" t="str">
        <v/>
      </c>
      <c r="G532" s="1" t="str">
        <v/>
      </c>
      <c r="H532" s="1" t="str">
        <v/>
      </c>
      <c r="I532" s="2" t="str">
        <v/>
      </c>
      <c r="J532" s="2" t="str">
        <v/>
      </c>
      <c r="K532" s="2" t="str">
        <v/>
      </c>
      <c r="L532" s="1" t="str">
        <v/>
      </c>
      <c r="M532" s="2" t="str">
        <v/>
      </c>
      <c r="N532" s="2" t="str">
        <v/>
      </c>
      <c r="O532" s="1" t="str">
        <v/>
      </c>
      <c r="P532" s="1" t="str">
        <v/>
      </c>
      <c r="Q532" s="1" t="str">
        <v/>
      </c>
    </row>
    <row r="533" x14ac:dyDescent="0.25">
      <c r="A533" s="1" t="str">
        <v/>
      </c>
      <c r="B533" s="1" t="str">
        <v/>
      </c>
      <c r="C533" s="1" t="str">
        <v/>
      </c>
      <c r="D533" s="1" t="str">
        <v/>
      </c>
      <c r="E533" s="1" t="str">
        <v/>
      </c>
      <c r="F533" s="1" t="str">
        <v/>
      </c>
      <c r="G533" s="1" t="str">
        <v/>
      </c>
      <c r="H533" s="1" t="str">
        <v/>
      </c>
      <c r="I533" s="2" t="str">
        <v/>
      </c>
      <c r="J533" s="2" t="str">
        <v/>
      </c>
      <c r="K533" s="2" t="str">
        <v/>
      </c>
      <c r="L533" s="1" t="str">
        <v/>
      </c>
      <c r="M533" s="2" t="str">
        <v/>
      </c>
      <c r="N533" s="2" t="str">
        <v/>
      </c>
      <c r="O533" s="1" t="str">
        <v/>
      </c>
      <c r="P533" s="1" t="str">
        <v/>
      </c>
      <c r="Q533" s="1" t="str">
        <v/>
      </c>
    </row>
    <row r="534" x14ac:dyDescent="0.25">
      <c r="A534" s="1" t="str">
        <v/>
      </c>
      <c r="B534" s="1" t="str">
        <v/>
      </c>
      <c r="C534" s="1" t="str">
        <v/>
      </c>
      <c r="D534" s="1" t="str">
        <v/>
      </c>
      <c r="E534" s="1" t="str">
        <v/>
      </c>
      <c r="F534" s="1" t="str">
        <v/>
      </c>
      <c r="G534" s="1" t="str">
        <v/>
      </c>
      <c r="H534" s="1" t="str">
        <v/>
      </c>
      <c r="I534" s="2" t="str">
        <v/>
      </c>
      <c r="J534" s="2" t="str">
        <v/>
      </c>
      <c r="K534" s="2" t="str">
        <v/>
      </c>
      <c r="L534" s="1" t="str">
        <v/>
      </c>
      <c r="M534" s="2" t="str">
        <v/>
      </c>
      <c r="N534" s="2" t="str">
        <v/>
      </c>
      <c r="O534" s="1" t="str">
        <v/>
      </c>
      <c r="P534" s="1" t="str">
        <v/>
      </c>
      <c r="Q534" s="1" t="str">
        <v/>
      </c>
    </row>
    <row r="535" x14ac:dyDescent="0.25">
      <c r="A535" s="1" t="str">
        <v/>
      </c>
      <c r="B535" s="1" t="str">
        <v/>
      </c>
      <c r="C535" s="1" t="str">
        <v/>
      </c>
      <c r="D535" s="1" t="str">
        <v/>
      </c>
      <c r="E535" s="1" t="str">
        <v/>
      </c>
      <c r="F535" s="1" t="str">
        <v/>
      </c>
      <c r="G535" s="1" t="str">
        <v/>
      </c>
      <c r="H535" s="1" t="str">
        <v/>
      </c>
      <c r="I535" s="2" t="str">
        <v/>
      </c>
      <c r="J535" s="2" t="str">
        <v/>
      </c>
      <c r="K535" s="2" t="str">
        <v/>
      </c>
      <c r="L535" s="1" t="str">
        <v/>
      </c>
      <c r="M535" s="2" t="str">
        <v/>
      </c>
      <c r="N535" s="2" t="str">
        <v/>
      </c>
      <c r="O535" s="1" t="str">
        <v/>
      </c>
      <c r="P535" s="1" t="str">
        <v/>
      </c>
      <c r="Q535" s="1" t="str">
        <v/>
      </c>
    </row>
    <row r="536" x14ac:dyDescent="0.25">
      <c r="A536" s="1" t="str">
        <v/>
      </c>
      <c r="B536" s="1" t="str">
        <v/>
      </c>
      <c r="C536" s="1" t="str">
        <v/>
      </c>
      <c r="D536" s="1" t="str">
        <v/>
      </c>
      <c r="E536" s="1" t="str">
        <v/>
      </c>
      <c r="F536" s="1" t="str">
        <v/>
      </c>
      <c r="G536" s="1" t="str">
        <v/>
      </c>
      <c r="H536" s="1" t="str">
        <v/>
      </c>
      <c r="I536" s="2" t="str">
        <v/>
      </c>
      <c r="J536" s="2" t="str">
        <v/>
      </c>
      <c r="K536" s="2" t="str">
        <v/>
      </c>
      <c r="L536" s="1" t="str">
        <v/>
      </c>
      <c r="M536" s="2" t="str">
        <v/>
      </c>
      <c r="N536" s="2" t="str">
        <v/>
      </c>
      <c r="O536" s="1" t="str">
        <v/>
      </c>
      <c r="P536" s="1" t="str">
        <v/>
      </c>
      <c r="Q536" s="1" t="str">
        <v/>
      </c>
    </row>
    <row r="537" x14ac:dyDescent="0.25">
      <c r="A537" s="1" t="str">
        <v/>
      </c>
      <c r="B537" s="1" t="str">
        <v/>
      </c>
      <c r="C537" s="1" t="str">
        <v/>
      </c>
      <c r="D537" s="1" t="str">
        <v/>
      </c>
      <c r="E537" s="1" t="str">
        <v/>
      </c>
      <c r="F537" s="1" t="str">
        <v/>
      </c>
      <c r="G537" s="1" t="str">
        <v/>
      </c>
      <c r="H537" s="1" t="str">
        <v/>
      </c>
      <c r="I537" s="2" t="str">
        <v/>
      </c>
      <c r="J537" s="2" t="str">
        <v/>
      </c>
      <c r="K537" s="2" t="str">
        <v/>
      </c>
      <c r="L537" s="1" t="str">
        <v/>
      </c>
      <c r="M537" s="2" t="str">
        <v/>
      </c>
      <c r="N537" s="2" t="str">
        <v/>
      </c>
      <c r="O537" s="1" t="str">
        <v/>
      </c>
      <c r="P537" s="1" t="str">
        <v/>
      </c>
      <c r="Q537" s="1" t="str">
        <v/>
      </c>
    </row>
    <row r="538" x14ac:dyDescent="0.25">
      <c r="A538" s="1" t="str">
        <v/>
      </c>
      <c r="B538" s="1" t="str">
        <v/>
      </c>
      <c r="C538" s="1" t="str">
        <v/>
      </c>
      <c r="D538" s="1" t="str">
        <v/>
      </c>
      <c r="E538" s="1" t="str">
        <v/>
      </c>
      <c r="F538" s="1" t="str">
        <v/>
      </c>
      <c r="G538" s="1" t="str">
        <v/>
      </c>
      <c r="H538" s="1" t="str">
        <v/>
      </c>
      <c r="I538" s="2" t="str">
        <v/>
      </c>
      <c r="J538" s="2" t="str">
        <v/>
      </c>
      <c r="K538" s="2" t="str">
        <v/>
      </c>
      <c r="L538" s="1" t="str">
        <v/>
      </c>
      <c r="M538" s="2" t="str">
        <v/>
      </c>
      <c r="N538" s="2" t="str">
        <v/>
      </c>
      <c r="O538" s="1" t="str">
        <v/>
      </c>
      <c r="P538" s="1" t="str">
        <v/>
      </c>
      <c r="Q538" s="1" t="str">
        <v/>
      </c>
    </row>
    <row r="539" x14ac:dyDescent="0.25">
      <c r="A539" s="1" t="str">
        <v/>
      </c>
      <c r="B539" s="1" t="str">
        <v/>
      </c>
      <c r="C539" s="1" t="str">
        <v/>
      </c>
      <c r="D539" s="1" t="str">
        <v/>
      </c>
      <c r="E539" s="1" t="str">
        <v/>
      </c>
      <c r="F539" s="1" t="str">
        <v/>
      </c>
      <c r="G539" s="1" t="str">
        <v/>
      </c>
      <c r="H539" s="1" t="str">
        <v/>
      </c>
      <c r="I539" s="2" t="str">
        <v/>
      </c>
      <c r="J539" s="2" t="str">
        <v/>
      </c>
      <c r="K539" s="2" t="str">
        <v/>
      </c>
      <c r="L539" s="1" t="str">
        <v/>
      </c>
      <c r="M539" s="2" t="str">
        <v/>
      </c>
      <c r="N539" s="2" t="str">
        <v/>
      </c>
      <c r="O539" s="1" t="str">
        <v/>
      </c>
      <c r="P539" s="1" t="str">
        <v/>
      </c>
      <c r="Q539" s="1" t="str">
        <v/>
      </c>
    </row>
    <row r="540" x14ac:dyDescent="0.25">
      <c r="A540" s="1" t="str">
        <v/>
      </c>
      <c r="B540" s="1" t="str">
        <v/>
      </c>
      <c r="C540" s="1" t="str">
        <v/>
      </c>
      <c r="D540" s="1" t="str">
        <v/>
      </c>
      <c r="E540" s="1" t="str">
        <v/>
      </c>
      <c r="F540" s="1" t="str">
        <v/>
      </c>
      <c r="G540" s="1" t="str">
        <v/>
      </c>
      <c r="H540" s="1" t="str">
        <v/>
      </c>
      <c r="I540" s="2" t="str">
        <v/>
      </c>
      <c r="J540" s="2" t="str">
        <v/>
      </c>
      <c r="K540" s="2" t="str">
        <v/>
      </c>
      <c r="L540" s="1" t="str">
        <v/>
      </c>
      <c r="M540" s="2" t="str">
        <v/>
      </c>
      <c r="N540" s="2" t="str">
        <v/>
      </c>
      <c r="O540" s="1" t="str">
        <v/>
      </c>
      <c r="P540" s="1" t="str">
        <v/>
      </c>
      <c r="Q540" s="1" t="str">
        <v/>
      </c>
    </row>
    <row r="541" x14ac:dyDescent="0.25">
      <c r="A541" s="1" t="str">
        <v/>
      </c>
      <c r="B541" s="1" t="str">
        <v/>
      </c>
      <c r="C541" s="1" t="str">
        <v/>
      </c>
      <c r="D541" s="1" t="str">
        <v/>
      </c>
      <c r="E541" s="1" t="str">
        <v/>
      </c>
      <c r="F541" s="1" t="str">
        <v/>
      </c>
      <c r="G541" s="1" t="str">
        <v/>
      </c>
      <c r="H541" s="1" t="str">
        <v/>
      </c>
      <c r="I541" s="2" t="str">
        <v/>
      </c>
      <c r="J541" s="2" t="str">
        <v/>
      </c>
      <c r="K541" s="2" t="str">
        <v/>
      </c>
      <c r="L541" s="1" t="str">
        <v/>
      </c>
      <c r="M541" s="2" t="str">
        <v/>
      </c>
      <c r="N541" s="2" t="str">
        <v/>
      </c>
      <c r="O541" s="1" t="str">
        <v/>
      </c>
      <c r="P541" s="1" t="str">
        <v/>
      </c>
      <c r="Q541" s="1" t="str">
        <v/>
      </c>
    </row>
    <row r="542" x14ac:dyDescent="0.25">
      <c r="A542" s="1" t="str">
        <v/>
      </c>
      <c r="B542" s="1" t="str">
        <v/>
      </c>
      <c r="C542" s="1" t="str">
        <v/>
      </c>
      <c r="D542" s="1" t="str">
        <v/>
      </c>
      <c r="E542" s="1" t="str">
        <v/>
      </c>
      <c r="F542" s="1" t="str">
        <v/>
      </c>
      <c r="G542" s="1" t="str">
        <v/>
      </c>
      <c r="H542" s="1" t="str">
        <v/>
      </c>
      <c r="I542" s="2" t="str">
        <v/>
      </c>
      <c r="J542" s="2" t="str">
        <v/>
      </c>
      <c r="K542" s="2" t="str">
        <v/>
      </c>
      <c r="L542" s="1" t="str">
        <v/>
      </c>
      <c r="M542" s="2" t="str">
        <v/>
      </c>
      <c r="N542" s="2" t="str">
        <v/>
      </c>
      <c r="O542" s="1" t="str">
        <v/>
      </c>
      <c r="P542" s="1" t="str">
        <v/>
      </c>
      <c r="Q542" s="1" t="str">
        <v/>
      </c>
    </row>
    <row r="543" x14ac:dyDescent="0.25">
      <c r="A543" s="1" t="str">
        <v/>
      </c>
      <c r="B543" s="1" t="str">
        <v/>
      </c>
      <c r="C543" s="1" t="str">
        <v/>
      </c>
      <c r="D543" s="1" t="str">
        <v/>
      </c>
      <c r="E543" s="1" t="str">
        <v/>
      </c>
      <c r="F543" s="1" t="str">
        <v/>
      </c>
      <c r="G543" s="1" t="str">
        <v/>
      </c>
      <c r="H543" s="1" t="str">
        <v/>
      </c>
      <c r="I543" s="2" t="str">
        <v/>
      </c>
      <c r="J543" s="2" t="str">
        <v/>
      </c>
      <c r="K543" s="2" t="str">
        <v/>
      </c>
      <c r="L543" s="1" t="str">
        <v/>
      </c>
      <c r="M543" s="2" t="str">
        <v/>
      </c>
      <c r="N543" s="2" t="str">
        <v/>
      </c>
      <c r="O543" s="1" t="str">
        <v/>
      </c>
      <c r="P543" s="1" t="str">
        <v/>
      </c>
      <c r="Q543" s="1" t="str">
        <v/>
      </c>
    </row>
    <row r="544" x14ac:dyDescent="0.25">
      <c r="A544" s="1" t="str">
        <v/>
      </c>
      <c r="B544" s="1" t="str">
        <v/>
      </c>
      <c r="C544" s="1" t="str">
        <v/>
      </c>
      <c r="D544" s="1" t="str">
        <v/>
      </c>
      <c r="E544" s="1" t="str">
        <v/>
      </c>
      <c r="F544" s="1" t="str">
        <v/>
      </c>
      <c r="G544" s="1" t="str">
        <v/>
      </c>
      <c r="H544" s="1" t="str">
        <v/>
      </c>
      <c r="I544" s="2" t="str">
        <v/>
      </c>
      <c r="J544" s="2" t="str">
        <v/>
      </c>
      <c r="K544" s="2" t="str">
        <v/>
      </c>
      <c r="L544" s="1" t="str">
        <v/>
      </c>
      <c r="M544" s="2" t="str">
        <v/>
      </c>
      <c r="N544" s="2" t="str">
        <v/>
      </c>
      <c r="O544" s="1" t="str">
        <v/>
      </c>
      <c r="P544" s="1" t="str">
        <v/>
      </c>
      <c r="Q544" s="1" t="str">
        <v/>
      </c>
    </row>
    <row r="545" x14ac:dyDescent="0.25">
      <c r="A545" s="1" t="str">
        <v/>
      </c>
      <c r="B545" s="1" t="str">
        <v/>
      </c>
      <c r="C545" s="1" t="str">
        <v/>
      </c>
      <c r="D545" s="1" t="str">
        <v/>
      </c>
      <c r="E545" s="1" t="str">
        <v/>
      </c>
      <c r="F545" s="1" t="str">
        <v/>
      </c>
      <c r="G545" s="1" t="str">
        <v/>
      </c>
      <c r="H545" s="1" t="str">
        <v/>
      </c>
      <c r="I545" s="2" t="str">
        <v/>
      </c>
      <c r="J545" s="2" t="str">
        <v/>
      </c>
      <c r="K545" s="2" t="str">
        <v/>
      </c>
      <c r="L545" s="1" t="str">
        <v/>
      </c>
      <c r="M545" s="2" t="str">
        <v/>
      </c>
      <c r="N545" s="2" t="str">
        <v/>
      </c>
      <c r="O545" s="1" t="str">
        <v/>
      </c>
      <c r="P545" s="1" t="str">
        <v/>
      </c>
      <c r="Q545" s="1" t="str">
        <v/>
      </c>
    </row>
    <row r="546" x14ac:dyDescent="0.25">
      <c r="A546" s="1" t="str">
        <v/>
      </c>
      <c r="B546" s="1" t="str">
        <v/>
      </c>
      <c r="C546" s="1" t="str">
        <v/>
      </c>
      <c r="D546" s="1" t="str">
        <v/>
      </c>
      <c r="E546" s="1" t="str">
        <v/>
      </c>
      <c r="F546" s="1" t="str">
        <v/>
      </c>
      <c r="G546" s="1" t="str">
        <v/>
      </c>
      <c r="H546" s="1" t="str">
        <v/>
      </c>
      <c r="I546" s="2" t="str">
        <v/>
      </c>
      <c r="J546" s="2" t="str">
        <v/>
      </c>
      <c r="K546" s="2" t="str">
        <v/>
      </c>
      <c r="L546" s="1" t="str">
        <v/>
      </c>
      <c r="M546" s="2" t="str">
        <v/>
      </c>
      <c r="N546" s="2" t="str">
        <v/>
      </c>
      <c r="O546" s="1" t="str">
        <v/>
      </c>
      <c r="P546" s="1" t="str">
        <v/>
      </c>
      <c r="Q546" s="1" t="str">
        <v/>
      </c>
    </row>
    <row r="547" x14ac:dyDescent="0.25">
      <c r="A547" s="1" t="str">
        <v/>
      </c>
      <c r="B547" s="1" t="str">
        <v/>
      </c>
      <c r="C547" s="1" t="str">
        <v/>
      </c>
      <c r="D547" s="1" t="str">
        <v/>
      </c>
      <c r="E547" s="1" t="str">
        <v/>
      </c>
      <c r="F547" s="1" t="str">
        <v/>
      </c>
      <c r="G547" s="1" t="str">
        <v/>
      </c>
      <c r="H547" s="1" t="str">
        <v/>
      </c>
      <c r="I547" s="2" t="str">
        <v/>
      </c>
      <c r="J547" s="2" t="str">
        <v/>
      </c>
      <c r="K547" s="2" t="str">
        <v/>
      </c>
      <c r="L547" s="1" t="str">
        <v/>
      </c>
      <c r="M547" s="2" t="str">
        <v/>
      </c>
      <c r="N547" s="2" t="str">
        <v/>
      </c>
      <c r="O547" s="1" t="str">
        <v/>
      </c>
      <c r="P547" s="1" t="str">
        <v/>
      </c>
      <c r="Q547" s="1" t="str">
        <v/>
      </c>
    </row>
    <row r="548" x14ac:dyDescent="0.25">
      <c r="A548" s="1" t="str">
        <v/>
      </c>
      <c r="B548" s="1" t="str">
        <v/>
      </c>
      <c r="C548" s="1" t="str">
        <v/>
      </c>
      <c r="D548" s="1" t="str">
        <v/>
      </c>
      <c r="E548" s="1" t="str">
        <v/>
      </c>
      <c r="F548" s="1" t="str">
        <v/>
      </c>
      <c r="G548" s="1" t="str">
        <v/>
      </c>
      <c r="H548" s="1" t="str">
        <v/>
      </c>
      <c r="I548" s="2" t="str">
        <v/>
      </c>
      <c r="J548" s="2" t="str">
        <v/>
      </c>
      <c r="K548" s="2" t="str">
        <v/>
      </c>
      <c r="L548" s="1" t="str">
        <v/>
      </c>
      <c r="M548" s="2" t="str">
        <v/>
      </c>
      <c r="N548" s="2" t="str">
        <v/>
      </c>
      <c r="O548" s="1" t="str">
        <v/>
      </c>
      <c r="P548" s="1" t="str">
        <v/>
      </c>
      <c r="Q548" s="1" t="str">
        <v/>
      </c>
    </row>
    <row r="549" x14ac:dyDescent="0.25">
      <c r="A549" s="1" t="str">
        <v/>
      </c>
      <c r="B549" s="1" t="str">
        <v/>
      </c>
      <c r="C549" s="1" t="str">
        <v/>
      </c>
      <c r="D549" s="1" t="str">
        <v/>
      </c>
      <c r="E549" s="1" t="str">
        <v/>
      </c>
      <c r="F549" s="1" t="str">
        <v/>
      </c>
      <c r="G549" s="1" t="str">
        <v/>
      </c>
      <c r="H549" s="1" t="str">
        <v/>
      </c>
      <c r="I549" s="2" t="str">
        <v/>
      </c>
      <c r="J549" s="2" t="str">
        <v/>
      </c>
      <c r="K549" s="2" t="str">
        <v/>
      </c>
      <c r="L549" s="1" t="str">
        <v/>
      </c>
      <c r="M549" s="2" t="str">
        <v/>
      </c>
      <c r="N549" s="2" t="str">
        <v/>
      </c>
      <c r="O549" s="1" t="str">
        <v/>
      </c>
      <c r="P549" s="1" t="str">
        <v/>
      </c>
      <c r="Q549" s="1" t="str">
        <v/>
      </c>
    </row>
    <row r="550" x14ac:dyDescent="0.25">
      <c r="A550" s="1" t="str">
        <v/>
      </c>
      <c r="B550" s="1" t="str">
        <v/>
      </c>
      <c r="C550" s="1" t="str">
        <v/>
      </c>
      <c r="D550" s="1" t="str">
        <v/>
      </c>
      <c r="E550" s="1" t="str">
        <v/>
      </c>
      <c r="F550" s="1" t="str">
        <v/>
      </c>
      <c r="G550" s="1" t="str">
        <v/>
      </c>
      <c r="H550" s="1" t="str">
        <v/>
      </c>
      <c r="I550" s="2" t="str">
        <v/>
      </c>
      <c r="J550" s="2" t="str">
        <v/>
      </c>
      <c r="K550" s="2" t="str">
        <v/>
      </c>
      <c r="L550" s="1" t="str">
        <v/>
      </c>
      <c r="M550" s="2" t="str">
        <v/>
      </c>
      <c r="N550" s="2" t="str">
        <v/>
      </c>
      <c r="O550" s="1" t="str">
        <v/>
      </c>
      <c r="P550" s="1" t="str">
        <v/>
      </c>
      <c r="Q550" s="1" t="str">
        <v/>
      </c>
    </row>
    <row r="551" x14ac:dyDescent="0.25">
      <c r="A551" s="1" t="str">
        <v/>
      </c>
      <c r="B551" s="1" t="str">
        <v/>
      </c>
      <c r="C551" s="1" t="str">
        <v/>
      </c>
      <c r="D551" s="1" t="str">
        <v/>
      </c>
      <c r="E551" s="1" t="str">
        <v/>
      </c>
      <c r="F551" s="1" t="str">
        <v/>
      </c>
      <c r="G551" s="1" t="str">
        <v/>
      </c>
      <c r="H551" s="1" t="str">
        <v/>
      </c>
      <c r="I551" s="2" t="str">
        <v/>
      </c>
      <c r="J551" s="2" t="str">
        <v/>
      </c>
      <c r="K551" s="2" t="str">
        <v/>
      </c>
      <c r="L551" s="1" t="str">
        <v/>
      </c>
      <c r="M551" s="2" t="str">
        <v/>
      </c>
      <c r="N551" s="2" t="str">
        <v/>
      </c>
      <c r="O551" s="1" t="str">
        <v/>
      </c>
      <c r="P551" s="1" t="str">
        <v/>
      </c>
      <c r="Q551" s="1" t="str">
        <v/>
      </c>
    </row>
    <row r="552"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row>
    <row r="553"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row>
    <row r="554"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row>
    <row r="555"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row>
    <row r="556"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row>
    <row r="557"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row>
    <row r="558"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row>
    <row r="559"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row>
    <row r="560"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row>
    <row r="561"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row>
    <row r="562"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row>
    <row r="563"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row>
    <row r="564"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row>
    <row r="565"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row>
    <row r="566"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row>
    <row r="567"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row>
    <row r="568"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row>
    <row r="569"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row>
    <row r="570"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row>
    <row r="571"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row>
    <row r="572"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row>
    <row r="573"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row>
    <row r="574"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row>
    <row r="575"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row>
    <row r="576"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row>
    <row r="577"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row>
    <row r="578"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row>
    <row r="579"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row>
    <row r="580"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row>
    <row r="581"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row>
    <row r="582"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row>
    <row r="583"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row>
    <row r="584"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row>
    <row r="585"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row>
    <row r="586"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row>
    <row r="587"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row>
    <row r="588"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row>
    <row r="589"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row>
    <row r="590"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row>
    <row r="591"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row>
    <row r="592"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row>
    <row r="593"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row>
    <row r="594"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row>
    <row r="595"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row>
    <row r="596"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row>
    <row r="597"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row>
    <row r="598"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row>
    <row r="599"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row>
    <row r="600"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row>
    <row r="601"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row>
    <row r="602"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row>
    <row r="603"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row>
    <row r="604"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row>
    <row r="605"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row>
    <row r="606"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row>
    <row r="607"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row>
    <row r="608"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row>
    <row r="609"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row>
    <row r="610"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row>
    <row r="611"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row>
    <row r="612"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row>
    <row r="613"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row>
    <row r="614"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row>
    <row r="615"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row>
    <row r="616"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row>
    <row r="617"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row>
    <row r="618"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row>
    <row r="619"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row>
    <row r="620"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row>
    <row r="621"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row>
    <row r="622"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row>
    <row r="623"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row>
    <row r="624"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row>
    <row r="625"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row>
    <row r="626"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row>
    <row r="627"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row>
    <row r="628"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row>
    <row r="629"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row>
    <row r="630"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row>
    <row r="631"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row>
    <row r="632"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row>
    <row r="633"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row>
    <row r="634"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row>
    <row r="635"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row>
    <row r="636"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row>
    <row r="637"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row>
    <row r="638"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row>
    <row r="639"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row>
    <row r="640"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row>
    <row r="641"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row>
    <row r="642"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row>
    <row r="643"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row>
    <row r="644"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row>
    <row r="645"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row>
    <row r="646"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row>
    <row r="647"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row>
    <row r="648"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row>
    <row r="649"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row>
    <row r="650"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row>
    <row r="651"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row>
    <row r="652"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row>
    <row r="653"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row>
    <row r="654"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row>
    <row r="655"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row>
    <row r="656"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row>
    <row r="657"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row>
    <row r="658"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row>
    <row r="659"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row>
    <row r="660"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row>
    <row r="661"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row>
    <row r="662"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row>
    <row r="663"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row>
    <row r="664"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row>
    <row r="665"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row>
    <row r="666"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row>
    <row r="667"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row>
    <row r="668"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row>
    <row r="669"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row>
    <row r="670"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row>
    <row r="671"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row>
    <row r="672"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row>
    <row r="673"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row>
    <row r="674"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row>
    <row r="675"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row>
    <row r="676"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row>
    <row r="677"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row>
    <row r="678"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row>
    <row r="679"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row>
    <row r="680"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row>
    <row r="681"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row>
    <row r="682"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row>
    <row r="683"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row>
    <row r="684"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row>
    <row r="685"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row>
    <row r="686"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row>
    <row r="687"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row>
    <row r="688"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row>
    <row r="689"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row>
    <row r="690"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row>
    <row r="691"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row>
    <row r="692"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row>
    <row r="693"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row>
    <row r="694"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row>
    <row r="695"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row>
    <row r="696"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row>
    <row r="697"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row>
    <row r="698"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row>
    <row r="699"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row>
    <row r="700"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row>
    <row r="701"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row>
    <row r="702"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row>
    <row r="703"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row>
    <row r="704"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row>
    <row r="705"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row>
    <row r="706"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row>
    <row r="707"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row>
    <row r="708"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row>
    <row r="709"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row>
    <row r="710"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row>
    <row r="711"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row>
    <row r="712"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row>
    <row r="713"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row>
    <row r="714"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row>
    <row r="715"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row>
    <row r="716"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row>
    <row r="717"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row>
    <row r="718"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row>
    <row r="719"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row>
    <row r="720"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row>
    <row r="721"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row>
    <row r="722"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row>
    <row r="723"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row>
    <row r="724"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row>
    <row r="725"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row>
    <row r="726"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row>
    <row r="727"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row>
    <row r="728"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row>
    <row r="729"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row>
    <row r="730"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row>
    <row r="731"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row>
    <row r="732"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row>
    <row r="733"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row>
    <row r="734"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row>
    <row r="735"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row>
    <row r="736"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row>
    <row r="737"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row>
    <row r="738"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row>
    <row r="739"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row>
    <row r="740"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row>
    <row r="741"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row>
    <row r="742"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row>
    <row r="743"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row>
    <row r="744"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row>
    <row r="745"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row>
    <row r="746"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row>
    <row r="747"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row>
    <row r="748"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row>
    <row r="749"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row>
    <row r="750"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row>
    <row r="751"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row>
    <row r="752"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row>
    <row r="753"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row>
    <row r="754"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row>
    <row r="755"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row>
    <row r="756"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row>
    <row r="757"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row>
    <row r="758"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row>
    <row r="759"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row>
    <row r="760"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row>
    <row r="761"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row>
    <row r="762"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row>
    <row r="763"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row>
    <row r="764"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row>
    <row r="765"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row>
    <row r="766"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row>
    <row r="767"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row>
    <row r="768"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row>
    <row r="769"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row>
    <row r="770"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row>
    <row r="771"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row>
    <row r="772"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row>
    <row r="773"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row>
    <row r="774"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row>
    <row r="775"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row>
    <row r="776"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row>
    <row r="777"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row>
    <row r="778"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row>
    <row r="779"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row>
    <row r="780"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row>
    <row r="781"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row>
    <row r="782"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row>
    <row r="783"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row>
    <row r="784"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row>
    <row r="785"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row>
    <row r="786"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row>
    <row r="787"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row>
    <row r="788"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row>
    <row r="789"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row>
    <row r="790"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row>
    <row r="791"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row>
    <row r="792"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row>
    <row r="793"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row>
    <row r="794"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row>
    <row r="795"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row>
    <row r="796"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row>
    <row r="797"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row>
    <row r="798"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row>
    <row r="799"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row>
    <row r="800"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row>
    <row r="801"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row>
    <row r="802"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row>
    <row r="803"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row>
    <row r="804"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row>
    <row r="805"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row>
    <row r="806"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row>
    <row r="807"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row>
    <row r="808"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row>
    <row r="809"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row>
    <row r="810"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row>
    <row r="811"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row>
    <row r="812"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row>
    <row r="813"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row>
    <row r="814"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row>
    <row r="815"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row>
    <row r="816"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row>
    <row r="817"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row>
    <row r="818"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row>
    <row r="819"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row>
    <row r="820"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row>
    <row r="821"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row>
    <row r="822"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row>
    <row r="823"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row>
    <row r="824"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row>
    <row r="825"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row>
    <row r="826"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row>
    <row r="827"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row>
    <row r="828"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row>
    <row r="829"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row>
    <row r="830"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row>
    <row r="831"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row>
    <row r="832"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row>
    <row r="833"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row>
    <row r="834"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row>
    <row r="835"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row>
    <row r="836"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row>
    <row r="837"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row>
    <row r="838"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row>
    <row r="839"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row>
    <row r="840"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row>
    <row r="841"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row>
    <row r="842"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row>
    <row r="843"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row>
    <row r="844"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row>
    <row r="845"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row>
    <row r="846"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row>
    <row r="847"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row>
    <row r="848"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row>
    <row r="849"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row>
    <row r="850"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row>
    <row r="851"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row>
    <row r="852"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row>
    <row r="853"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row>
    <row r="854"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row>
    <row r="855"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row>
    <row r="856"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row>
    <row r="857"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row>
    <row r="858"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row>
    <row r="859"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row>
    <row r="860"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row>
    <row r="861"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row>
    <row r="862"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row>
    <row r="863"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row>
    <row r="864"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row>
    <row r="865"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row>
    <row r="866"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row>
    <row r="867"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row>
    <row r="868"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row>
    <row r="869"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row>
    <row r="870"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row>
    <row r="871"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row>
    <row r="872"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row>
    <row r="873"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row>
    <row r="874"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row>
    <row r="875"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row>
    <row r="876"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row>
    <row r="877"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row>
    <row r="878"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row>
    <row r="879"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row>
    <row r="880"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row>
    <row r="881"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row>
    <row r="882"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row>
    <row r="883"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row>
    <row r="884"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row>
    <row r="885"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row>
    <row r="886"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row>
    <row r="887"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row>
    <row r="888"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row>
    <row r="889"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row>
    <row r="890"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row>
    <row r="891"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row>
    <row r="892"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row>
    <row r="893"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row>
    <row r="894"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row>
    <row r="895"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row>
    <row r="896"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row>
    <row r="897"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row>
    <row r="898"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row>
    <row r="899"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row>
    <row r="900"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row>
    <row r="901"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row>
    <row r="902"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row>
    <row r="903"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row>
    <row r="904"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row>
    <row r="905"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row>
    <row r="906"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row>
    <row r="907"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row>
    <row r="908"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row>
    <row r="909"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row>
    <row r="910"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row>
    <row r="911"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row>
    <row r="912"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row>
    <row r="913"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row>
    <row r="914"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row>
    <row r="915"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row>
    <row r="916"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row>
    <row r="917"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row>
    <row r="918"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row>
    <row r="919"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row>
    <row r="920"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row>
    <row r="921"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row>
    <row r="922"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row>
    <row r="923"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row>
    <row r="924"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row>
    <row r="925"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row>
    <row r="926"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row>
    <row r="927"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row>
    <row r="928"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row>
    <row r="929"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row>
    <row r="930"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row>
    <row r="931"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row>
    <row r="932"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row>
    <row r="933"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row>
    <row r="934"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row>
    <row r="935"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row>
    <row r="936"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row>
    <row r="937"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row>
    <row r="938"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row>
    <row r="939"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row>
    <row r="940"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row>
    <row r="941"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row>
    <row r="942"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row>
    <row r="943"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row>
    <row r="944"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row>
    <row r="945"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row>
    <row r="946"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row>
    <row r="947"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row>
    <row r="948"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row>
    <row r="949"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row>
    <row r="950"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row>
    <row r="951"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row>
    <row r="952"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row>
    <row r="953"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row>
    <row r="954"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row>
    <row r="955"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row>
    <row r="956"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row>
    <row r="957"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row>
    <row r="958"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row>
    <row r="959"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row>
    <row r="960"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row>
    <row r="961"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row>
    <row r="962"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row>
    <row r="963"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row>
    <row r="964"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row>
    <row r="965"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row>
    <row r="966"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row>
    <row r="967"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row>
    <row r="968"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row>
    <row r="969"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row>
    <row r="970"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row>
    <row r="971"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row>
    <row r="972"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row>
    <row r="973"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row>
    <row r="974"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row>
    <row r="975"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row>
    <row r="976"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row>
    <row r="977"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row>
    <row r="978"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row>
    <row r="979"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row>
    <row r="980"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row>
    <row r="981"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row>
    <row r="982"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row>
    <row r="983"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row>
    <row r="984"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row>
    <row r="985"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row>
    <row r="986"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row>
    <row r="987"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row>
    <row r="988"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row>
    <row r="989"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row>
    <row r="990"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row>
    <row r="991"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row>
    <row r="992"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row>
    <row r="993"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row>
    <row r="994"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row>
    <row r="995"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T600"/>
  <sheetViews>
    <sheetView zoomScale="79" workbookViewId="0">
      <selection activeCell="E12" sqref="E12"/>
    </sheetView>
  </sheetViews>
  <sheetFormatPr baseColWidth="10" defaultRowHeight="14.5" x14ac:dyDescent="0.35"/>
  <cols>
    <col min="1" max="1" width="16" customWidth="true"/>
    <col min="2" max="2" width="24.7265625" bestFit="true" customWidth="true"/>
    <col min="3" max="3" width="22.453125" bestFit="true" customWidth="true"/>
    <col min="4" max="4" width="22.453125" customWidth="true"/>
    <col min="5" max="20" width="16" customWidth="true"/>
  </cols>
  <sheetData>
    <row r="1" s="15" customFormat="true" ht="13" x14ac:dyDescent="0.3">
      <c r="A1" s="14" t="s">
        <v>0</v>
      </c>
      <c r="B1" s="14" t="s">
        <v>9</v>
      </c>
      <c r="C1" s="14" t="s">
        <v>950</v>
      </c>
      <c r="D1" s="14" t="s">
        <v>101</v>
      </c>
      <c r="E1" s="14" t="s">
        <v>141</v>
      </c>
      <c r="F1" s="14" t="s">
        <v>1412</v>
      </c>
      <c r="G1" s="14" t="s">
        <v>10</v>
      </c>
      <c r="H1" s="14" t="s">
        <v>11</v>
      </c>
      <c r="I1" s="14" t="s">
        <v>12</v>
      </c>
      <c r="J1" s="14" t="s">
        <v>13</v>
      </c>
      <c r="K1" s="14" t="s">
        <v>14</v>
      </c>
      <c r="L1" s="14" t="s">
        <v>15</v>
      </c>
      <c r="M1" s="14" t="s">
        <v>16</v>
      </c>
      <c r="N1" s="14" t="s">
        <v>18</v>
      </c>
      <c r="O1" s="14" t="s">
        <v>17</v>
      </c>
      <c r="P1" s="14" t="s">
        <v>133</v>
      </c>
      <c r="Q1" s="14" t="s">
        <v>134</v>
      </c>
      <c r="R1" s="14" t="s">
        <v>135</v>
      </c>
      <c r="S1" s="14" t="s">
        <v>136</v>
      </c>
      <c r="T1" s="14" t="s">
        <v>137</v>
      </c>
    </row>
    <row r="2" x14ac:dyDescent="0.35">
      <c r="A2" cm="1">
        <f t="array" ref="A2:A600">++IF((Sobrevivientes!B2:B600&lt;&gt;""),Sobrevivientes!B2:B600,"")</f>
        <v>1</v>
      </c>
      <c r="B2" t="str" cm="1">
        <f t="array" ref="B2:B600">++IF((Sobrevivientes!E2:E600&lt;&gt;""),Sobrevivientes!E2:E600,"")</f>
        <v>Zenobia (Señorita) </v>
      </c>
      <c r="C2" t="str" cm="1">
        <f t="array" ref="C2:C600">++IF((Sobrevivientes!C2:C600&lt;&gt;""),Sobrevivientes!C2:C600,"")</f>
        <v>Leyden María Capa Barrios</v>
      </c>
      <c r="D2" t="str" cm="1">
        <f t="array" ref="D2:D600">++IF((Sobrevivientes!D2:D600&lt;&gt;""),Sobrevivientes!D2:D600,"")</f>
        <v>Distrito Judicial: Callao</v>
      </c>
      <c r="E2" t="str" cm="1">
        <f t="array" ref="E2:E600">++IF((Sobrevivientes!G2:G600&lt;&gt;""),Sobrevivientes!G2:G600,"")</f>
        <v/>
      </c>
      <c r="F2" t="str" cm="1">
        <f t="array" ref="F2:F600">++IF((Sobrevivientes!H2:H600&lt;&gt;""),Sobrevivientes!H2:H600,"")</f>
        <v>No</v>
      </c>
      <c r="G2" t="str" cm="1">
        <f t="array" ref="G2:G600">++IF((Sobrevivientes!J2:J600&lt;&gt;""),Sobrevivientes!J2:J600,"")</f>
        <v/>
      </c>
      <c r="H2" t="str" cm="1">
        <f t="array" ref="H2:H600">++IF((Sobrevivientes!K2:K600&lt;&gt;""),Sobrevivientes!K2:K600,"")</f>
        <v/>
      </c>
      <c r="I2" t="str" cm="1">
        <f t="array" ref="I2:I600">++IF((Sobrevivientes!L2:L600&lt;&gt;""),Sobrevivientes!L2:L600,"")</f>
        <v/>
      </c>
      <c r="J2" t="str" cm="1">
        <f t="array" ref="J2:J600">++IF((Sobrevivientes!I2:I600&lt;&gt;""),Sobrevivientes!I2:I600,"")</f>
        <v>En coordinación</v>
      </c>
      <c r="K2" t="str" cm="1">
        <f t="array" ref="K2:K600">++IF((Sobrevivientes!N2:N600&lt;&gt;""),Sobrevivientes!N2:N600,"")</f>
        <v/>
      </c>
      <c r="L2" t="str" cm="1">
        <f t="array" ref="L2:L600">++IF((Sobrevivientes!O2:O600&lt;&gt;""),Sobrevivientes!O2:O600,"")</f>
        <v/>
      </c>
      <c r="M2" t="str" cm="1">
        <f t="array" ref="M2:M600">++IF((Sobrevivientes!Q2:Q600&lt;&gt;""),Sobrevivientes!Q2:Q600,"")</f>
        <v/>
      </c>
      <c r="N2" t="str" cm="1">
        <f t="array" ref="N2:N600">++IF((Sobrevivientes!P2:P600&lt;&gt;""),Sobrevivientes!P2:P600,"")</f>
        <v/>
      </c>
      <c r="O2" t="str" cm="1">
        <f t="array" ref="O2:O600">++IF((Sobrevivientes!R2:R600&lt;&gt;""),Sobrevivientes!R2:R600,"")</f>
        <v/>
      </c>
      <c r="P2">
        <f>IF(F2="Sí",1,0)</f>
        <v>0</v>
      </c>
      <c r="Q2">
        <f>IF(J2="En coordinación",1,0)</f>
        <v>1</v>
      </c>
      <c r="R2">
        <f>IF(J2="En coordinación",1,0)</f>
        <v>1</v>
      </c>
      <c r="S2">
        <f>IF(J2="Realizada completa",1,0)</f>
        <v>0</v>
      </c>
      <c r="T2">
        <f>IF(J2="Sin respuesta",1,0)</f>
        <v>0</v>
      </c>
    </row>
    <row r="3" x14ac:dyDescent="0.35">
      <c r="A3">
        <v>2</v>
      </c>
      <c r="B3" t="str">
        <v>CRISTINA MENDOZA (Lideresa)</v>
      </c>
      <c r="C3" t="str">
        <v>Leyden María Capa Barrios</v>
      </c>
      <c r="D3" t="str">
        <v>Distrito Judicial: Callao</v>
      </c>
      <c r="E3" t="str">
        <v/>
      </c>
      <c r="F3" t="str">
        <v>No</v>
      </c>
      <c r="G3" s="16" t="str">
        <v/>
      </c>
      <c r="H3" t="str">
        <v/>
      </c>
      <c r="I3" t="str">
        <v/>
      </c>
      <c r="J3" t="str">
        <v>En coordinación</v>
      </c>
      <c r="K3" s="16" t="str">
        <v/>
      </c>
      <c r="L3" s="16" t="str">
        <v/>
      </c>
      <c r="M3" t="str">
        <v/>
      </c>
      <c r="N3" t="str">
        <v/>
      </c>
      <c r="O3" t="str">
        <v/>
      </c>
      <c r="P3">
        <f t="shared" ref="P3" si="0">IF(F3="Sí",1,0)</f>
        <v>0</v>
      </c>
      <c r="Q3">
        <f t="shared" ref="Q3" si="1">IF(J3="En coordinación",1,0)</f>
        <v>1</v>
      </c>
      <c r="R3">
        <f t="shared" ref="R3" si="2">IF(J3="En coordinación",1,0)</f>
        <v>1</v>
      </c>
      <c r="S3">
        <f t="shared" ref="S3:S66" si="3">IF(J3="Realizada completa",1,0)</f>
        <v>0</v>
      </c>
      <c r="T3">
        <f t="shared" ref="T3:T66" si="4">IF(J3="Sin respuesta",1,0)</f>
        <v>0</v>
      </c>
    </row>
    <row r="4" x14ac:dyDescent="0.35">
      <c r="A4">
        <v>3</v>
      </c>
      <c r="B4" t="str">
        <v>Naidolith Peña (Líder)</v>
      </c>
      <c r="C4" t="str">
        <v>Leyden María Capa Barrios</v>
      </c>
      <c r="D4" t="str">
        <v>Distrito Judicial: Callao</v>
      </c>
      <c r="E4" t="str">
        <v/>
      </c>
      <c r="F4" t="str">
        <v>No</v>
      </c>
      <c r="G4" s="16" t="str">
        <v/>
      </c>
      <c r="H4" t="str">
        <v/>
      </c>
      <c r="I4" t="str">
        <v/>
      </c>
      <c r="J4" t="str">
        <v>En coordinación</v>
      </c>
      <c r="K4" t="str">
        <v/>
      </c>
      <c r="L4" t="str">
        <v/>
      </c>
      <c r="M4" t="str">
        <v/>
      </c>
      <c r="N4" t="str">
        <v/>
      </c>
      <c r="O4" t="str">
        <v/>
      </c>
      <c r="P4">
        <f t="shared" ref="P4:P67" si="5">IF(F4="Sí",1,0)</f>
        <v>0</v>
      </c>
      <c r="Q4">
        <f t="shared" ref="Q4:Q67" si="6">IF(J4="En coordinación",1,0)</f>
        <v>1</v>
      </c>
      <c r="R4">
        <f t="shared" ref="R4:R67" si="7">IF(J4="En coordinación",1,0)</f>
        <v>1</v>
      </c>
      <c r="S4">
        <f t="shared" si="3"/>
        <v>0</v>
      </c>
      <c r="T4">
        <f t="shared" si="4"/>
        <v>0</v>
      </c>
    </row>
    <row r="5" x14ac:dyDescent="0.35">
      <c r="A5">
        <v>4</v>
      </c>
      <c r="B5" t="str">
        <v>Martha Quispe</v>
      </c>
      <c r="C5" t="str">
        <v>Leyden María Capa Barrios</v>
      </c>
      <c r="D5" t="str">
        <v>Distrito Judicial: Callao</v>
      </c>
      <c r="E5" t="str">
        <v/>
      </c>
      <c r="F5" t="str">
        <v>No</v>
      </c>
      <c r="G5" t="str">
        <v/>
      </c>
      <c r="H5" t="str">
        <v/>
      </c>
      <c r="I5" t="str">
        <v/>
      </c>
      <c r="J5" t="str">
        <v>En coordinación</v>
      </c>
      <c r="K5" t="str">
        <v/>
      </c>
      <c r="L5" t="str">
        <v/>
      </c>
      <c r="M5" t="str">
        <v/>
      </c>
      <c r="N5" t="str">
        <v/>
      </c>
      <c r="O5" t="str">
        <v/>
      </c>
      <c r="P5">
        <f t="shared" si="5"/>
        <v>0</v>
      </c>
      <c r="Q5">
        <f t="shared" si="6"/>
        <v>1</v>
      </c>
      <c r="R5">
        <f t="shared" si="7"/>
        <v>1</v>
      </c>
      <c r="S5">
        <f t="shared" si="3"/>
        <v>0</v>
      </c>
      <c r="T5">
        <f t="shared" si="4"/>
        <v>0</v>
      </c>
    </row>
    <row r="6" x14ac:dyDescent="0.35">
      <c r="A6">
        <v>5</v>
      </c>
      <c r="B6" t="str">
        <v/>
      </c>
      <c r="C6" t="str">
        <v>Líder</v>
      </c>
      <c r="D6" t="str">
        <v>Distrito Judicial: Huánuco</v>
      </c>
      <c r="E6" t="str">
        <v>APOYO</v>
      </c>
      <c r="F6" t="str">
        <v>Sí</v>
      </c>
      <c r="G6" t="str">
        <v/>
      </c>
      <c r="H6" t="str">
        <v/>
      </c>
      <c r="I6" t="str">
        <v/>
      </c>
      <c r="J6" t="str">
        <v>Realizada completa</v>
      </c>
      <c r="K6" t="str">
        <v/>
      </c>
      <c r="L6" t="str">
        <v/>
      </c>
      <c r="M6" t="str">
        <v>Realizada completa</v>
      </c>
      <c r="N6" t="str">
        <v>Presencial</v>
      </c>
      <c r="O6" t="str">
        <v/>
      </c>
      <c r="P6">
        <f t="shared" si="5"/>
        <v>1</v>
      </c>
      <c r="Q6">
        <f t="shared" si="6"/>
        <v>0</v>
      </c>
      <c r="R6">
        <f t="shared" si="7"/>
        <v>0</v>
      </c>
      <c r="S6">
        <f t="shared" si="3"/>
        <v>1</v>
      </c>
      <c r="T6">
        <f t="shared" si="4"/>
        <v>0</v>
      </c>
    </row>
    <row r="7" x14ac:dyDescent="0.35">
      <c r="A7">
        <v>6</v>
      </c>
      <c r="B7" t="str">
        <v/>
      </c>
      <c r="C7" t="str">
        <v>Sobreviviente01</v>
      </c>
      <c r="D7" t="str">
        <v>Distrito Judicial: Huánuco</v>
      </c>
      <c r="E7" t="str">
        <v>APOYO</v>
      </c>
      <c r="F7" t="str">
        <v>Sí</v>
      </c>
      <c r="G7" t="str">
        <v/>
      </c>
      <c r="H7" t="str">
        <v/>
      </c>
      <c r="I7" t="str">
        <v/>
      </c>
      <c r="J7" t="str">
        <v>Realizada completa</v>
      </c>
      <c r="K7" t="str">
        <v/>
      </c>
      <c r="L7" t="str">
        <v/>
      </c>
      <c r="M7" t="str">
        <v>Realizada completa</v>
      </c>
      <c r="N7" t="str">
        <v>Presencial</v>
      </c>
      <c r="O7" t="str">
        <v/>
      </c>
      <c r="P7">
        <f t="shared" si="5"/>
        <v>1</v>
      </c>
      <c r="Q7">
        <f t="shared" si="6"/>
        <v>0</v>
      </c>
      <c r="R7">
        <f t="shared" si="7"/>
        <v>0</v>
      </c>
      <c r="S7">
        <f t="shared" si="3"/>
        <v>1</v>
      </c>
      <c r="T7">
        <f t="shared" si="4"/>
        <v>0</v>
      </c>
    </row>
    <row r="8" x14ac:dyDescent="0.35">
      <c r="A8">
        <v>7</v>
      </c>
      <c r="B8" t="str">
        <v/>
      </c>
      <c r="C8" t="str">
        <v>Sobreviviente02</v>
      </c>
      <c r="D8" t="str">
        <v>Distrito Judicial: Huánuco</v>
      </c>
      <c r="E8" t="str">
        <v>APOYO</v>
      </c>
      <c r="F8" t="str">
        <v>Sí</v>
      </c>
      <c r="G8" t="str">
        <v/>
      </c>
      <c r="H8" t="str">
        <v/>
      </c>
      <c r="I8" t="str">
        <v/>
      </c>
      <c r="J8" t="str">
        <v>Realizada completa</v>
      </c>
      <c r="K8" t="str">
        <v/>
      </c>
      <c r="L8" t="str">
        <v/>
      </c>
      <c r="M8" t="str">
        <v>Realizada completa</v>
      </c>
      <c r="N8" t="str">
        <v>Virtual</v>
      </c>
      <c r="O8" t="str">
        <v/>
      </c>
      <c r="P8">
        <f t="shared" si="5"/>
        <v>1</v>
      </c>
      <c r="Q8">
        <f t="shared" si="6"/>
        <v>0</v>
      </c>
      <c r="R8">
        <f t="shared" si="7"/>
        <v>0</v>
      </c>
      <c r="S8">
        <f t="shared" si="3"/>
        <v>1</v>
      </c>
      <c r="T8">
        <f t="shared" si="4"/>
        <v>0</v>
      </c>
    </row>
    <row r="9" x14ac:dyDescent="0.35">
      <c r="A9" t="str">
        <v/>
      </c>
      <c r="B9" t="str">
        <v/>
      </c>
      <c r="C9" t="str">
        <v/>
      </c>
      <c r="D9" t="str">
        <v/>
      </c>
      <c r="E9" t="str">
        <v/>
      </c>
      <c r="F9" t="str">
        <v/>
      </c>
      <c r="G9" t="str">
        <v/>
      </c>
      <c r="H9" t="str">
        <v/>
      </c>
      <c r="I9" t="str">
        <v/>
      </c>
      <c r="J9" t="str">
        <v/>
      </c>
      <c r="K9" t="str">
        <v/>
      </c>
      <c r="L9" t="str">
        <v/>
      </c>
      <c r="M9" t="str">
        <v/>
      </c>
      <c r="N9" t="str">
        <v/>
      </c>
      <c r="O9" t="str">
        <v/>
      </c>
      <c r="P9">
        <f t="shared" si="5"/>
        <v>0</v>
      </c>
      <c r="Q9">
        <f t="shared" si="6"/>
        <v>0</v>
      </c>
      <c r="R9">
        <f t="shared" si="7"/>
        <v>0</v>
      </c>
      <c r="S9">
        <f t="shared" si="3"/>
        <v>0</v>
      </c>
      <c r="T9">
        <f t="shared" si="4"/>
        <v>0</v>
      </c>
    </row>
    <row r="10" x14ac:dyDescent="0.35">
      <c r="A10" s="76" t="str">
        <v/>
      </c>
      <c r="B10" t="str">
        <v/>
      </c>
      <c r="C10" t="str">
        <v/>
      </c>
      <c r="D10" t="str">
        <v/>
      </c>
      <c r="E10" t="str">
        <v/>
      </c>
      <c r="F10" t="str">
        <v/>
      </c>
      <c r="G10" t="str">
        <v/>
      </c>
      <c r="H10" t="str">
        <v/>
      </c>
      <c r="I10" t="str">
        <v/>
      </c>
      <c r="J10" t="str">
        <v/>
      </c>
      <c r="K10" t="str">
        <v/>
      </c>
      <c r="L10" t="str">
        <v/>
      </c>
      <c r="M10" t="str">
        <v/>
      </c>
      <c r="N10" t="str">
        <v/>
      </c>
      <c r="O10" t="str">
        <v/>
      </c>
      <c r="P10">
        <f t="shared" si="5"/>
        <v>0</v>
      </c>
      <c r="Q10">
        <f t="shared" si="6"/>
        <v>0</v>
      </c>
      <c r="R10">
        <f t="shared" si="7"/>
        <v>0</v>
      </c>
      <c r="S10">
        <f t="shared" si="3"/>
        <v>0</v>
      </c>
      <c r="T10">
        <f t="shared" si="4"/>
        <v>0</v>
      </c>
    </row>
    <row r="11" x14ac:dyDescent="0.35">
      <c r="A11" t="str">
        <v/>
      </c>
      <c r="B11" t="str">
        <v/>
      </c>
      <c r="C11" t="str">
        <v/>
      </c>
      <c r="D11" t="str">
        <v/>
      </c>
      <c r="E11" t="str">
        <v/>
      </c>
      <c r="F11" t="str">
        <v/>
      </c>
      <c r="G11" t="str">
        <v/>
      </c>
      <c r="H11" t="str">
        <v/>
      </c>
      <c r="I11" t="str">
        <v/>
      </c>
      <c r="J11" t="str">
        <v/>
      </c>
      <c r="K11" t="str">
        <v/>
      </c>
      <c r="L11" t="str">
        <v/>
      </c>
      <c r="M11" t="str">
        <v/>
      </c>
      <c r="N11" t="str">
        <v/>
      </c>
      <c r="O11" t="str">
        <v/>
      </c>
      <c r="P11">
        <f t="shared" si="5"/>
        <v>0</v>
      </c>
      <c r="Q11">
        <f t="shared" si="6"/>
        <v>0</v>
      </c>
      <c r="R11">
        <f t="shared" si="7"/>
        <v>0</v>
      </c>
      <c r="S11">
        <f t="shared" si="3"/>
        <v>0</v>
      </c>
      <c r="T11">
        <f t="shared" si="4"/>
        <v>0</v>
      </c>
    </row>
    <row r="12" x14ac:dyDescent="0.35">
      <c r="A12" t="str">
        <v/>
      </c>
      <c r="B12" t="str">
        <v/>
      </c>
      <c r="C12" t="str">
        <v/>
      </c>
      <c r="D12" t="str">
        <v/>
      </c>
      <c r="E12" t="str">
        <v/>
      </c>
      <c r="F12" t="str">
        <v/>
      </c>
      <c r="G12" t="str">
        <v/>
      </c>
      <c r="H12" t="str">
        <v/>
      </c>
      <c r="I12" t="str">
        <v/>
      </c>
      <c r="J12" t="str">
        <v/>
      </c>
      <c r="K12" t="str">
        <v/>
      </c>
      <c r="L12" t="str">
        <v/>
      </c>
      <c r="M12" t="str">
        <v/>
      </c>
      <c r="N12" t="str">
        <v/>
      </c>
      <c r="O12" t="str">
        <v/>
      </c>
      <c r="P12">
        <f t="shared" si="5"/>
        <v>0</v>
      </c>
      <c r="Q12">
        <f t="shared" si="6"/>
        <v>0</v>
      </c>
      <c r="R12">
        <f t="shared" si="7"/>
        <v>0</v>
      </c>
      <c r="S12">
        <f t="shared" si="3"/>
        <v>0</v>
      </c>
      <c r="T12">
        <f t="shared" si="4"/>
        <v>0</v>
      </c>
    </row>
    <row r="13" x14ac:dyDescent="0.35">
      <c r="A13" t="str">
        <v/>
      </c>
      <c r="B13" t="str">
        <v/>
      </c>
      <c r="C13" t="str">
        <v/>
      </c>
      <c r="D13" t="str">
        <v/>
      </c>
      <c r="E13" t="str">
        <v/>
      </c>
      <c r="F13" t="str">
        <v/>
      </c>
      <c r="G13" t="str">
        <v/>
      </c>
      <c r="H13" t="str">
        <v/>
      </c>
      <c r="I13" t="str">
        <v/>
      </c>
      <c r="J13" t="str">
        <v/>
      </c>
      <c r="K13" t="str">
        <v/>
      </c>
      <c r="L13" t="str">
        <v/>
      </c>
      <c r="M13" t="str">
        <v/>
      </c>
      <c r="N13" t="str">
        <v/>
      </c>
      <c r="O13" t="str">
        <v/>
      </c>
      <c r="P13">
        <f t="shared" si="5"/>
        <v>0</v>
      </c>
      <c r="Q13">
        <f t="shared" si="6"/>
        <v>0</v>
      </c>
      <c r="R13">
        <f t="shared" si="7"/>
        <v>0</v>
      </c>
      <c r="S13">
        <f t="shared" si="3"/>
        <v>0</v>
      </c>
      <c r="T13">
        <f t="shared" si="4"/>
        <v>0</v>
      </c>
    </row>
    <row r="14" x14ac:dyDescent="0.35">
      <c r="A14" t="str">
        <v/>
      </c>
      <c r="B14" t="str">
        <v/>
      </c>
      <c r="C14" t="str">
        <v/>
      </c>
      <c r="D14" t="str">
        <v/>
      </c>
      <c r="E14" t="str">
        <v/>
      </c>
      <c r="F14" t="str">
        <v/>
      </c>
      <c r="G14" t="str">
        <v/>
      </c>
      <c r="H14" t="str">
        <v/>
      </c>
      <c r="I14" t="str">
        <v/>
      </c>
      <c r="J14" t="str">
        <v/>
      </c>
      <c r="K14" t="str">
        <v/>
      </c>
      <c r="L14" t="str">
        <v/>
      </c>
      <c r="M14" t="str">
        <v/>
      </c>
      <c r="N14" t="str">
        <v/>
      </c>
      <c r="O14" t="str">
        <v/>
      </c>
      <c r="P14">
        <f t="shared" si="5"/>
        <v>0</v>
      </c>
      <c r="Q14">
        <f t="shared" si="6"/>
        <v>0</v>
      </c>
      <c r="R14">
        <f t="shared" si="7"/>
        <v>0</v>
      </c>
      <c r="S14">
        <f t="shared" si="3"/>
        <v>0</v>
      </c>
      <c r="T14">
        <f t="shared" si="4"/>
        <v>0</v>
      </c>
    </row>
    <row r="15" x14ac:dyDescent="0.35">
      <c r="A15" t="str">
        <v/>
      </c>
      <c r="B15" t="str">
        <v/>
      </c>
      <c r="C15" t="str">
        <v/>
      </c>
      <c r="D15" t="str">
        <v/>
      </c>
      <c r="E15" t="str">
        <v/>
      </c>
      <c r="F15" t="str">
        <v/>
      </c>
      <c r="G15" t="str">
        <v/>
      </c>
      <c r="H15" t="str">
        <v/>
      </c>
      <c r="I15" t="str">
        <v/>
      </c>
      <c r="J15" t="str">
        <v/>
      </c>
      <c r="K15" t="str">
        <v/>
      </c>
      <c r="L15" t="str">
        <v/>
      </c>
      <c r="M15" t="str">
        <v/>
      </c>
      <c r="N15" t="str">
        <v/>
      </c>
      <c r="O15" t="str">
        <v/>
      </c>
      <c r="P15">
        <f t="shared" si="5"/>
        <v>0</v>
      </c>
      <c r="Q15">
        <f t="shared" si="6"/>
        <v>0</v>
      </c>
      <c r="R15">
        <f t="shared" si="7"/>
        <v>0</v>
      </c>
      <c r="S15">
        <f t="shared" si="3"/>
        <v>0</v>
      </c>
      <c r="T15">
        <f t="shared" si="4"/>
        <v>0</v>
      </c>
    </row>
    <row r="16" x14ac:dyDescent="0.35">
      <c r="A16" t="str">
        <v/>
      </c>
      <c r="B16" t="str">
        <v/>
      </c>
      <c r="C16" t="str">
        <v/>
      </c>
      <c r="D16" t="str">
        <v/>
      </c>
      <c r="E16" t="str">
        <v/>
      </c>
      <c r="F16" t="str">
        <v/>
      </c>
      <c r="G16" t="str">
        <v/>
      </c>
      <c r="H16" t="str">
        <v/>
      </c>
      <c r="I16" t="str">
        <v/>
      </c>
      <c r="J16" t="str">
        <v/>
      </c>
      <c r="K16" t="str">
        <v/>
      </c>
      <c r="L16" t="str">
        <v/>
      </c>
      <c r="M16" t="str">
        <v/>
      </c>
      <c r="N16" t="str">
        <v/>
      </c>
      <c r="O16" t="str">
        <v/>
      </c>
      <c r="P16">
        <f t="shared" si="5"/>
        <v>0</v>
      </c>
      <c r="Q16">
        <f t="shared" si="6"/>
        <v>0</v>
      </c>
      <c r="R16">
        <f t="shared" si="7"/>
        <v>0</v>
      </c>
      <c r="S16">
        <f t="shared" si="3"/>
        <v>0</v>
      </c>
      <c r="T16">
        <f t="shared" si="4"/>
        <v>0</v>
      </c>
    </row>
    <row r="17" x14ac:dyDescent="0.35">
      <c r="A17" t="str">
        <v/>
      </c>
      <c r="B17" t="str">
        <v/>
      </c>
      <c r="C17" t="str">
        <v/>
      </c>
      <c r="D17" t="str">
        <v/>
      </c>
      <c r="E17" t="str">
        <v/>
      </c>
      <c r="F17" t="str">
        <v/>
      </c>
      <c r="G17" t="str">
        <v/>
      </c>
      <c r="H17" t="str">
        <v/>
      </c>
      <c r="I17" t="str">
        <v/>
      </c>
      <c r="J17" t="str">
        <v/>
      </c>
      <c r="K17" t="str">
        <v/>
      </c>
      <c r="L17" t="str">
        <v/>
      </c>
      <c r="M17" t="str">
        <v/>
      </c>
      <c r="N17" t="str">
        <v/>
      </c>
      <c r="O17" t="str">
        <v/>
      </c>
      <c r="P17">
        <f t="shared" si="5"/>
        <v>0</v>
      </c>
      <c r="Q17">
        <f t="shared" si="6"/>
        <v>0</v>
      </c>
      <c r="R17">
        <f t="shared" si="7"/>
        <v>0</v>
      </c>
      <c r="S17">
        <f t="shared" si="3"/>
        <v>0</v>
      </c>
      <c r="T17">
        <f t="shared" si="4"/>
        <v>0</v>
      </c>
    </row>
    <row r="18" x14ac:dyDescent="0.35">
      <c r="A18" t="str">
        <v/>
      </c>
      <c r="B18" t="str">
        <v/>
      </c>
      <c r="C18" t="str">
        <v/>
      </c>
      <c r="D18" t="str">
        <v/>
      </c>
      <c r="E18" t="str">
        <v/>
      </c>
      <c r="F18" t="str">
        <v/>
      </c>
      <c r="G18" t="str">
        <v/>
      </c>
      <c r="H18" t="str">
        <v/>
      </c>
      <c r="I18" t="str">
        <v/>
      </c>
      <c r="J18" t="str">
        <v/>
      </c>
      <c r="K18" t="str">
        <v/>
      </c>
      <c r="L18" t="str">
        <v/>
      </c>
      <c r="M18" t="str">
        <v/>
      </c>
      <c r="N18" t="str">
        <v/>
      </c>
      <c r="O18" t="str">
        <v/>
      </c>
      <c r="P18">
        <f t="shared" si="5"/>
        <v>0</v>
      </c>
      <c r="Q18">
        <f t="shared" si="6"/>
        <v>0</v>
      </c>
      <c r="R18">
        <f t="shared" si="7"/>
        <v>0</v>
      </c>
      <c r="S18">
        <f t="shared" si="3"/>
        <v>0</v>
      </c>
      <c r="T18">
        <f t="shared" si="4"/>
        <v>0</v>
      </c>
    </row>
    <row r="19" x14ac:dyDescent="0.35">
      <c r="A19" t="str">
        <v/>
      </c>
      <c r="B19" t="str">
        <v/>
      </c>
      <c r="C19" t="str">
        <v/>
      </c>
      <c r="D19" t="str">
        <v/>
      </c>
      <c r="E19" t="str">
        <v/>
      </c>
      <c r="F19" t="str">
        <v/>
      </c>
      <c r="G19" t="str">
        <v/>
      </c>
      <c r="H19" t="str">
        <v/>
      </c>
      <c r="I19" t="str">
        <v/>
      </c>
      <c r="J19" t="str">
        <v/>
      </c>
      <c r="K19" t="str">
        <v/>
      </c>
      <c r="L19" t="str">
        <v/>
      </c>
      <c r="M19" t="str">
        <v/>
      </c>
      <c r="N19" t="str">
        <v/>
      </c>
      <c r="O19" t="str">
        <v/>
      </c>
      <c r="P19">
        <f t="shared" si="5"/>
        <v>0</v>
      </c>
      <c r="Q19">
        <f t="shared" si="6"/>
        <v>0</v>
      </c>
      <c r="R19">
        <f t="shared" si="7"/>
        <v>0</v>
      </c>
      <c r="S19">
        <f t="shared" si="3"/>
        <v>0</v>
      </c>
      <c r="T19">
        <f t="shared" si="4"/>
        <v>0</v>
      </c>
    </row>
    <row r="20" x14ac:dyDescent="0.35">
      <c r="A20" t="str">
        <v/>
      </c>
      <c r="B20" t="str">
        <v/>
      </c>
      <c r="C20" t="str">
        <v/>
      </c>
      <c r="D20" t="str">
        <v/>
      </c>
      <c r="E20" t="str">
        <v/>
      </c>
      <c r="F20" t="str">
        <v/>
      </c>
      <c r="G20" t="str">
        <v/>
      </c>
      <c r="H20" t="str">
        <v/>
      </c>
      <c r="I20" t="str">
        <v/>
      </c>
      <c r="J20" t="str">
        <v/>
      </c>
      <c r="K20" t="str">
        <v/>
      </c>
      <c r="L20" t="str">
        <v/>
      </c>
      <c r="M20" t="str">
        <v/>
      </c>
      <c r="N20" t="str">
        <v/>
      </c>
      <c r="O20" t="str">
        <v/>
      </c>
      <c r="P20">
        <f t="shared" si="5"/>
        <v>0</v>
      </c>
      <c r="Q20">
        <f t="shared" si="6"/>
        <v>0</v>
      </c>
      <c r="R20">
        <f t="shared" si="7"/>
        <v>0</v>
      </c>
      <c r="S20">
        <f t="shared" si="3"/>
        <v>0</v>
      </c>
      <c r="T20">
        <f t="shared" si="4"/>
        <v>0</v>
      </c>
    </row>
    <row r="21" x14ac:dyDescent="0.35">
      <c r="A21" t="str">
        <v/>
      </c>
      <c r="B21" t="str">
        <v/>
      </c>
      <c r="C21" t="str">
        <v/>
      </c>
      <c r="D21" t="str">
        <v/>
      </c>
      <c r="E21" t="str">
        <v/>
      </c>
      <c r="F21" t="str">
        <v/>
      </c>
      <c r="G21" t="str">
        <v/>
      </c>
      <c r="H21" t="str">
        <v/>
      </c>
      <c r="I21" t="str">
        <v/>
      </c>
      <c r="J21" t="str">
        <v/>
      </c>
      <c r="K21" t="str">
        <v/>
      </c>
      <c r="L21" t="str">
        <v/>
      </c>
      <c r="M21" t="str">
        <v/>
      </c>
      <c r="N21" t="str">
        <v/>
      </c>
      <c r="O21" t="str">
        <v/>
      </c>
      <c r="P21">
        <f t="shared" si="5"/>
        <v>0</v>
      </c>
      <c r="Q21">
        <f t="shared" si="6"/>
        <v>0</v>
      </c>
      <c r="R21">
        <f t="shared" si="7"/>
        <v>0</v>
      </c>
      <c r="S21">
        <f t="shared" si="3"/>
        <v>0</v>
      </c>
      <c r="T21">
        <f t="shared" si="4"/>
        <v>0</v>
      </c>
    </row>
    <row r="22" x14ac:dyDescent="0.35">
      <c r="A22" t="str">
        <v/>
      </c>
      <c r="B22" t="str">
        <v/>
      </c>
      <c r="C22" t="str">
        <v/>
      </c>
      <c r="D22" t="str">
        <v/>
      </c>
      <c r="E22" t="str">
        <v/>
      </c>
      <c r="F22" t="str">
        <v/>
      </c>
      <c r="G22" t="str">
        <v/>
      </c>
      <c r="H22" t="str">
        <v/>
      </c>
      <c r="I22" t="str">
        <v/>
      </c>
      <c r="J22" t="str">
        <v/>
      </c>
      <c r="K22" t="str">
        <v/>
      </c>
      <c r="L22" t="str">
        <v/>
      </c>
      <c r="M22" t="str">
        <v/>
      </c>
      <c r="N22" t="str">
        <v/>
      </c>
      <c r="O22" t="str">
        <v/>
      </c>
      <c r="P22">
        <f t="shared" si="5"/>
        <v>0</v>
      </c>
      <c r="Q22">
        <f t="shared" si="6"/>
        <v>0</v>
      </c>
      <c r="R22">
        <f t="shared" si="7"/>
        <v>0</v>
      </c>
      <c r="S22">
        <f t="shared" si="3"/>
        <v>0</v>
      </c>
      <c r="T22">
        <f t="shared" si="4"/>
        <v>0</v>
      </c>
    </row>
    <row r="23" x14ac:dyDescent="0.35">
      <c r="A23" t="str">
        <v/>
      </c>
      <c r="B23" t="str">
        <v/>
      </c>
      <c r="C23" t="str">
        <v/>
      </c>
      <c r="D23" t="str">
        <v/>
      </c>
      <c r="E23" t="str">
        <v/>
      </c>
      <c r="F23" t="str">
        <v/>
      </c>
      <c r="G23" t="str">
        <v/>
      </c>
      <c r="H23" t="str">
        <v/>
      </c>
      <c r="I23" t="str">
        <v/>
      </c>
      <c r="J23" t="str">
        <v/>
      </c>
      <c r="K23" t="str">
        <v/>
      </c>
      <c r="L23" t="str">
        <v/>
      </c>
      <c r="M23" t="str">
        <v/>
      </c>
      <c r="N23" t="str">
        <v/>
      </c>
      <c r="O23" t="str">
        <v/>
      </c>
      <c r="P23">
        <f t="shared" si="5"/>
        <v>0</v>
      </c>
      <c r="Q23">
        <f t="shared" si="6"/>
        <v>0</v>
      </c>
      <c r="R23">
        <f t="shared" si="7"/>
        <v>0</v>
      </c>
      <c r="S23">
        <f t="shared" si="3"/>
        <v>0</v>
      </c>
      <c r="T23">
        <f t="shared" si="4"/>
        <v>0</v>
      </c>
    </row>
    <row r="24" x14ac:dyDescent="0.35">
      <c r="A24" t="str">
        <v/>
      </c>
      <c r="B24" t="str">
        <v/>
      </c>
      <c r="C24" t="str">
        <v/>
      </c>
      <c r="D24" t="str">
        <v/>
      </c>
      <c r="E24" t="str">
        <v/>
      </c>
      <c r="F24" t="str">
        <v/>
      </c>
      <c r="G24" t="str">
        <v/>
      </c>
      <c r="H24" t="str">
        <v/>
      </c>
      <c r="I24" t="str">
        <v/>
      </c>
      <c r="J24" t="str">
        <v/>
      </c>
      <c r="K24" t="str">
        <v/>
      </c>
      <c r="L24" t="str">
        <v/>
      </c>
      <c r="M24" t="str">
        <v/>
      </c>
      <c r="N24" t="str">
        <v/>
      </c>
      <c r="O24" t="str">
        <v/>
      </c>
      <c r="P24">
        <f t="shared" si="5"/>
        <v>0</v>
      </c>
      <c r="Q24">
        <f t="shared" si="6"/>
        <v>0</v>
      </c>
      <c r="R24">
        <f t="shared" si="7"/>
        <v>0</v>
      </c>
      <c r="S24">
        <f t="shared" si="3"/>
        <v>0</v>
      </c>
      <c r="T24">
        <f t="shared" si="4"/>
        <v>0</v>
      </c>
    </row>
    <row r="25" x14ac:dyDescent="0.35">
      <c r="A25" t="str">
        <v/>
      </c>
      <c r="B25" t="str">
        <v/>
      </c>
      <c r="C25" t="str">
        <v/>
      </c>
      <c r="D25" t="str">
        <v/>
      </c>
      <c r="E25" t="str">
        <v/>
      </c>
      <c r="F25" t="str">
        <v/>
      </c>
      <c r="G25" t="str">
        <v/>
      </c>
      <c r="H25" t="str">
        <v/>
      </c>
      <c r="I25" t="str">
        <v/>
      </c>
      <c r="J25" t="str">
        <v/>
      </c>
      <c r="K25" t="str">
        <v/>
      </c>
      <c r="L25" t="str">
        <v/>
      </c>
      <c r="M25" t="str">
        <v/>
      </c>
      <c r="N25" t="str">
        <v/>
      </c>
      <c r="O25" t="str">
        <v/>
      </c>
      <c r="P25">
        <f t="shared" si="5"/>
        <v>0</v>
      </c>
      <c r="Q25">
        <f t="shared" si="6"/>
        <v>0</v>
      </c>
      <c r="R25">
        <f t="shared" si="7"/>
        <v>0</v>
      </c>
      <c r="S25">
        <f t="shared" si="3"/>
        <v>0</v>
      </c>
      <c r="T25">
        <f t="shared" si="4"/>
        <v>0</v>
      </c>
    </row>
    <row r="26" x14ac:dyDescent="0.35">
      <c r="A26" t="str">
        <v/>
      </c>
      <c r="B26" t="str">
        <v/>
      </c>
      <c r="C26" t="str">
        <v/>
      </c>
      <c r="D26" t="str">
        <v/>
      </c>
      <c r="E26" t="str">
        <v/>
      </c>
      <c r="F26" t="str">
        <v/>
      </c>
      <c r="G26" t="str">
        <v/>
      </c>
      <c r="H26" t="str">
        <v/>
      </c>
      <c r="I26" t="str">
        <v/>
      </c>
      <c r="J26" t="str">
        <v/>
      </c>
      <c r="K26" t="str">
        <v/>
      </c>
      <c r="L26" t="str">
        <v/>
      </c>
      <c r="M26" t="str">
        <v/>
      </c>
      <c r="N26" t="str">
        <v/>
      </c>
      <c r="O26" t="str">
        <v/>
      </c>
      <c r="P26">
        <f t="shared" si="5"/>
        <v>0</v>
      </c>
      <c r="Q26">
        <f t="shared" si="6"/>
        <v>0</v>
      </c>
      <c r="R26">
        <f t="shared" si="7"/>
        <v>0</v>
      </c>
      <c r="S26">
        <f t="shared" si="3"/>
        <v>0</v>
      </c>
      <c r="T26">
        <f t="shared" si="4"/>
        <v>0</v>
      </c>
    </row>
    <row r="27" x14ac:dyDescent="0.35">
      <c r="A27" t="str">
        <v/>
      </c>
      <c r="B27" t="str">
        <v/>
      </c>
      <c r="C27" t="str">
        <v/>
      </c>
      <c r="D27" t="str">
        <v/>
      </c>
      <c r="E27" t="str">
        <v/>
      </c>
      <c r="F27" t="str">
        <v/>
      </c>
      <c r="G27" t="str">
        <v/>
      </c>
      <c r="H27" t="str">
        <v/>
      </c>
      <c r="I27" t="str">
        <v/>
      </c>
      <c r="J27" t="str">
        <v/>
      </c>
      <c r="K27" t="str">
        <v/>
      </c>
      <c r="L27" t="str">
        <v/>
      </c>
      <c r="M27" t="str">
        <v/>
      </c>
      <c r="N27" t="str">
        <v/>
      </c>
      <c r="O27" t="str">
        <v/>
      </c>
      <c r="P27">
        <f t="shared" si="5"/>
        <v>0</v>
      </c>
      <c r="Q27">
        <f t="shared" si="6"/>
        <v>0</v>
      </c>
      <c r="R27">
        <f t="shared" si="7"/>
        <v>0</v>
      </c>
      <c r="S27">
        <f t="shared" si="3"/>
        <v>0</v>
      </c>
      <c r="T27">
        <f t="shared" si="4"/>
        <v>0</v>
      </c>
    </row>
    <row r="28" x14ac:dyDescent="0.35">
      <c r="A28" t="str">
        <v/>
      </c>
      <c r="B28" t="str">
        <v/>
      </c>
      <c r="C28" t="str">
        <v/>
      </c>
      <c r="D28" t="str">
        <v/>
      </c>
      <c r="E28" t="str">
        <v/>
      </c>
      <c r="F28" t="str">
        <v/>
      </c>
      <c r="G28" t="str">
        <v/>
      </c>
      <c r="H28" t="str">
        <v/>
      </c>
      <c r="I28" t="str">
        <v/>
      </c>
      <c r="J28" t="str">
        <v/>
      </c>
      <c r="K28" t="str">
        <v/>
      </c>
      <c r="L28" t="str">
        <v/>
      </c>
      <c r="M28" t="str">
        <v/>
      </c>
      <c r="N28" t="str">
        <v/>
      </c>
      <c r="O28" t="str">
        <v/>
      </c>
      <c r="P28">
        <f t="shared" si="5"/>
        <v>0</v>
      </c>
      <c r="Q28">
        <f t="shared" si="6"/>
        <v>0</v>
      </c>
      <c r="R28">
        <f t="shared" si="7"/>
        <v>0</v>
      </c>
      <c r="S28">
        <f t="shared" si="3"/>
        <v>0</v>
      </c>
      <c r="T28">
        <f t="shared" si="4"/>
        <v>0</v>
      </c>
    </row>
    <row r="29" x14ac:dyDescent="0.35">
      <c r="A29" t="str">
        <v/>
      </c>
      <c r="B29" t="str">
        <v/>
      </c>
      <c r="C29" t="str">
        <v/>
      </c>
      <c r="D29" t="str">
        <v/>
      </c>
      <c r="E29" t="str">
        <v/>
      </c>
      <c r="F29" t="str">
        <v/>
      </c>
      <c r="G29" t="str">
        <v/>
      </c>
      <c r="H29" t="str">
        <v/>
      </c>
      <c r="I29" t="str">
        <v/>
      </c>
      <c r="J29" t="str">
        <v/>
      </c>
      <c r="K29" t="str">
        <v/>
      </c>
      <c r="L29" t="str">
        <v/>
      </c>
      <c r="M29" t="str">
        <v/>
      </c>
      <c r="N29" t="str">
        <v/>
      </c>
      <c r="O29" t="str">
        <v/>
      </c>
      <c r="P29">
        <f t="shared" si="5"/>
        <v>0</v>
      </c>
      <c r="Q29">
        <f t="shared" si="6"/>
        <v>0</v>
      </c>
      <c r="R29">
        <f t="shared" si="7"/>
        <v>0</v>
      </c>
      <c r="S29">
        <f t="shared" si="3"/>
        <v>0</v>
      </c>
      <c r="T29">
        <f t="shared" si="4"/>
        <v>0</v>
      </c>
    </row>
    <row r="30" x14ac:dyDescent="0.35">
      <c r="A30" t="str">
        <v/>
      </c>
      <c r="B30" t="str">
        <v/>
      </c>
      <c r="C30" t="str">
        <v/>
      </c>
      <c r="D30" t="str">
        <v/>
      </c>
      <c r="E30" t="str">
        <v/>
      </c>
      <c r="F30" t="str">
        <v/>
      </c>
      <c r="G30" t="str">
        <v/>
      </c>
      <c r="H30" t="str">
        <v/>
      </c>
      <c r="I30" t="str">
        <v/>
      </c>
      <c r="J30" t="str">
        <v/>
      </c>
      <c r="K30" t="str">
        <v/>
      </c>
      <c r="L30" t="str">
        <v/>
      </c>
      <c r="M30" t="str">
        <v/>
      </c>
      <c r="N30" t="str">
        <v/>
      </c>
      <c r="O30" t="str">
        <v/>
      </c>
      <c r="P30">
        <f t="shared" si="5"/>
        <v>0</v>
      </c>
      <c r="Q30">
        <f t="shared" si="6"/>
        <v>0</v>
      </c>
      <c r="R30">
        <f t="shared" si="7"/>
        <v>0</v>
      </c>
      <c r="S30">
        <f t="shared" si="3"/>
        <v>0</v>
      </c>
      <c r="T30">
        <f t="shared" si="4"/>
        <v>0</v>
      </c>
    </row>
    <row r="31" x14ac:dyDescent="0.35">
      <c r="A31" t="str">
        <v/>
      </c>
      <c r="B31" t="str">
        <v/>
      </c>
      <c r="C31" t="str">
        <v/>
      </c>
      <c r="D31" t="str">
        <v/>
      </c>
      <c r="E31" t="str">
        <v/>
      </c>
      <c r="F31" t="str">
        <v/>
      </c>
      <c r="G31" t="str">
        <v/>
      </c>
      <c r="H31" t="str">
        <v/>
      </c>
      <c r="I31" t="str">
        <v/>
      </c>
      <c r="J31" t="str">
        <v/>
      </c>
      <c r="K31" t="str">
        <v/>
      </c>
      <c r="L31" t="str">
        <v/>
      </c>
      <c r="M31" t="str">
        <v/>
      </c>
      <c r="N31" t="str">
        <v/>
      </c>
      <c r="O31" t="str">
        <v/>
      </c>
      <c r="P31">
        <f t="shared" si="5"/>
        <v>0</v>
      </c>
      <c r="Q31">
        <f t="shared" si="6"/>
        <v>0</v>
      </c>
      <c r="R31">
        <f t="shared" si="7"/>
        <v>0</v>
      </c>
      <c r="S31">
        <f t="shared" si="3"/>
        <v>0</v>
      </c>
      <c r="T31">
        <f t="shared" si="4"/>
        <v>0</v>
      </c>
    </row>
    <row r="32" x14ac:dyDescent="0.35">
      <c r="A32" t="str">
        <v/>
      </c>
      <c r="B32" t="str">
        <v/>
      </c>
      <c r="C32" t="str">
        <v/>
      </c>
      <c r="D32" t="str">
        <v/>
      </c>
      <c r="E32" t="str">
        <v/>
      </c>
      <c r="F32" t="str">
        <v/>
      </c>
      <c r="G32" t="str">
        <v/>
      </c>
      <c r="H32" t="str">
        <v/>
      </c>
      <c r="I32" t="str">
        <v/>
      </c>
      <c r="J32" t="str">
        <v/>
      </c>
      <c r="K32" t="str">
        <v/>
      </c>
      <c r="L32" t="str">
        <v/>
      </c>
      <c r="M32" t="str">
        <v/>
      </c>
      <c r="N32" t="str">
        <v/>
      </c>
      <c r="O32" t="str">
        <v/>
      </c>
      <c r="P32">
        <f t="shared" si="5"/>
        <v>0</v>
      </c>
      <c r="Q32">
        <f t="shared" si="6"/>
        <v>0</v>
      </c>
      <c r="R32">
        <f t="shared" si="7"/>
        <v>0</v>
      </c>
      <c r="S32">
        <f t="shared" si="3"/>
        <v>0</v>
      </c>
      <c r="T32">
        <f t="shared" si="4"/>
        <v>0</v>
      </c>
    </row>
    <row r="33" x14ac:dyDescent="0.35">
      <c r="A33" t="str">
        <v/>
      </c>
      <c r="B33" t="str">
        <v/>
      </c>
      <c r="C33" t="str">
        <v/>
      </c>
      <c r="D33" t="str">
        <v/>
      </c>
      <c r="E33" t="str">
        <v/>
      </c>
      <c r="F33" t="str">
        <v/>
      </c>
      <c r="G33" t="str">
        <v/>
      </c>
      <c r="H33" t="str">
        <v/>
      </c>
      <c r="I33" t="str">
        <v/>
      </c>
      <c r="J33" t="str">
        <v/>
      </c>
      <c r="K33" t="str">
        <v/>
      </c>
      <c r="L33" t="str">
        <v/>
      </c>
      <c r="M33" t="str">
        <v/>
      </c>
      <c r="N33" t="str">
        <v/>
      </c>
      <c r="O33" t="str">
        <v/>
      </c>
      <c r="P33">
        <f t="shared" si="5"/>
        <v>0</v>
      </c>
      <c r="Q33">
        <f t="shared" si="6"/>
        <v>0</v>
      </c>
      <c r="R33">
        <f t="shared" si="7"/>
        <v>0</v>
      </c>
      <c r="S33">
        <f t="shared" si="3"/>
        <v>0</v>
      </c>
      <c r="T33">
        <f t="shared" si="4"/>
        <v>0</v>
      </c>
    </row>
    <row r="34" x14ac:dyDescent="0.35">
      <c r="A34" t="str">
        <v/>
      </c>
      <c r="B34" t="str">
        <v/>
      </c>
      <c r="C34" t="str">
        <v/>
      </c>
      <c r="D34" t="str">
        <v/>
      </c>
      <c r="E34" t="str">
        <v/>
      </c>
      <c r="F34" t="str">
        <v/>
      </c>
      <c r="G34" t="str">
        <v/>
      </c>
      <c r="H34" t="str">
        <v/>
      </c>
      <c r="I34" t="str">
        <v/>
      </c>
      <c r="J34" t="str">
        <v/>
      </c>
      <c r="K34" t="str">
        <v/>
      </c>
      <c r="L34" t="str">
        <v/>
      </c>
      <c r="M34" t="str">
        <v/>
      </c>
      <c r="N34" t="str">
        <v/>
      </c>
      <c r="O34" t="str">
        <v/>
      </c>
      <c r="P34">
        <f t="shared" si="5"/>
        <v>0</v>
      </c>
      <c r="Q34">
        <f t="shared" si="6"/>
        <v>0</v>
      </c>
      <c r="R34">
        <f t="shared" si="7"/>
        <v>0</v>
      </c>
      <c r="S34">
        <f t="shared" si="3"/>
        <v>0</v>
      </c>
      <c r="T34">
        <f t="shared" si="4"/>
        <v>0</v>
      </c>
    </row>
    <row r="35" x14ac:dyDescent="0.35">
      <c r="A35" t="str">
        <v/>
      </c>
      <c r="B35" t="str">
        <v/>
      </c>
      <c r="C35" t="str">
        <v/>
      </c>
      <c r="D35" t="str">
        <v/>
      </c>
      <c r="E35" t="str">
        <v/>
      </c>
      <c r="F35" t="str">
        <v/>
      </c>
      <c r="G35" t="str">
        <v/>
      </c>
      <c r="H35" t="str">
        <v/>
      </c>
      <c r="I35" t="str">
        <v/>
      </c>
      <c r="J35" t="str">
        <v/>
      </c>
      <c r="K35" t="str">
        <v/>
      </c>
      <c r="L35" t="str">
        <v/>
      </c>
      <c r="M35" t="str">
        <v/>
      </c>
      <c r="N35" t="str">
        <v/>
      </c>
      <c r="O35" t="str">
        <v/>
      </c>
      <c r="P35">
        <f t="shared" si="5"/>
        <v>0</v>
      </c>
      <c r="Q35">
        <f t="shared" si="6"/>
        <v>0</v>
      </c>
      <c r="R35">
        <f t="shared" si="7"/>
        <v>0</v>
      </c>
      <c r="S35">
        <f t="shared" si="3"/>
        <v>0</v>
      </c>
      <c r="T35">
        <f t="shared" si="4"/>
        <v>0</v>
      </c>
    </row>
    <row r="36" x14ac:dyDescent="0.35">
      <c r="A36" t="str">
        <v/>
      </c>
      <c r="B36" t="str">
        <v/>
      </c>
      <c r="C36" t="str">
        <v/>
      </c>
      <c r="D36" t="str">
        <v/>
      </c>
      <c r="E36" t="str">
        <v/>
      </c>
      <c r="F36" t="str">
        <v/>
      </c>
      <c r="G36" t="str">
        <v/>
      </c>
      <c r="H36" t="str">
        <v/>
      </c>
      <c r="I36" t="str">
        <v/>
      </c>
      <c r="J36" t="str">
        <v/>
      </c>
      <c r="K36" t="str">
        <v/>
      </c>
      <c r="L36" t="str">
        <v/>
      </c>
      <c r="M36" t="str">
        <v/>
      </c>
      <c r="N36" t="str">
        <v/>
      </c>
      <c r="O36" t="str">
        <v/>
      </c>
      <c r="P36">
        <f t="shared" si="5"/>
        <v>0</v>
      </c>
      <c r="Q36">
        <f t="shared" si="6"/>
        <v>0</v>
      </c>
      <c r="R36">
        <f t="shared" si="7"/>
        <v>0</v>
      </c>
      <c r="S36">
        <f t="shared" si="3"/>
        <v>0</v>
      </c>
      <c r="T36">
        <f t="shared" si="4"/>
        <v>0</v>
      </c>
    </row>
    <row r="37" x14ac:dyDescent="0.35">
      <c r="A37" t="str">
        <v/>
      </c>
      <c r="B37" t="str">
        <v/>
      </c>
      <c r="C37" t="str">
        <v/>
      </c>
      <c r="D37" t="str">
        <v/>
      </c>
      <c r="E37" t="str">
        <v/>
      </c>
      <c r="F37" t="str">
        <v/>
      </c>
      <c r="G37" t="str">
        <v/>
      </c>
      <c r="H37" t="str">
        <v/>
      </c>
      <c r="I37" t="str">
        <v/>
      </c>
      <c r="J37" t="str">
        <v/>
      </c>
      <c r="K37" t="str">
        <v/>
      </c>
      <c r="L37" t="str">
        <v/>
      </c>
      <c r="M37" t="str">
        <v/>
      </c>
      <c r="N37" t="str">
        <v/>
      </c>
      <c r="O37" t="str">
        <v/>
      </c>
      <c r="P37">
        <f t="shared" si="5"/>
        <v>0</v>
      </c>
      <c r="Q37">
        <f t="shared" si="6"/>
        <v>0</v>
      </c>
      <c r="R37">
        <f t="shared" si="7"/>
        <v>0</v>
      </c>
      <c r="S37">
        <f t="shared" si="3"/>
        <v>0</v>
      </c>
      <c r="T37">
        <f t="shared" si="4"/>
        <v>0</v>
      </c>
    </row>
    <row r="38" x14ac:dyDescent="0.35">
      <c r="A38" t="str">
        <v/>
      </c>
      <c r="B38" t="str">
        <v/>
      </c>
      <c r="C38" t="str">
        <v/>
      </c>
      <c r="D38" t="str">
        <v/>
      </c>
      <c r="E38" t="str">
        <v/>
      </c>
      <c r="F38" t="str">
        <v/>
      </c>
      <c r="G38" t="str">
        <v/>
      </c>
      <c r="H38" t="str">
        <v/>
      </c>
      <c r="I38" t="str">
        <v/>
      </c>
      <c r="J38" t="str">
        <v/>
      </c>
      <c r="K38" t="str">
        <v/>
      </c>
      <c r="L38" t="str">
        <v/>
      </c>
      <c r="M38" t="str">
        <v/>
      </c>
      <c r="N38" t="str">
        <v/>
      </c>
      <c r="O38" t="str">
        <v/>
      </c>
      <c r="P38">
        <f t="shared" si="5"/>
        <v>0</v>
      </c>
      <c r="Q38">
        <f t="shared" si="6"/>
        <v>0</v>
      </c>
      <c r="R38">
        <f t="shared" si="7"/>
        <v>0</v>
      </c>
      <c r="S38">
        <f t="shared" si="3"/>
        <v>0</v>
      </c>
      <c r="T38">
        <f t="shared" si="4"/>
        <v>0</v>
      </c>
    </row>
    <row r="39" x14ac:dyDescent="0.35">
      <c r="A39" t="str">
        <v/>
      </c>
      <c r="B39" t="str">
        <v/>
      </c>
      <c r="C39" t="str">
        <v/>
      </c>
      <c r="D39" t="str">
        <v/>
      </c>
      <c r="E39" t="str">
        <v/>
      </c>
      <c r="F39" t="str">
        <v/>
      </c>
      <c r="G39" t="str">
        <v/>
      </c>
      <c r="H39" t="str">
        <v/>
      </c>
      <c r="I39" t="str">
        <v/>
      </c>
      <c r="J39" t="str">
        <v/>
      </c>
      <c r="K39" t="str">
        <v/>
      </c>
      <c r="L39" t="str">
        <v/>
      </c>
      <c r="M39" t="str">
        <v/>
      </c>
      <c r="N39" t="str">
        <v/>
      </c>
      <c r="O39" t="str">
        <v/>
      </c>
      <c r="P39">
        <f t="shared" si="5"/>
        <v>0</v>
      </c>
      <c r="Q39">
        <f t="shared" si="6"/>
        <v>0</v>
      </c>
      <c r="R39">
        <f t="shared" si="7"/>
        <v>0</v>
      </c>
      <c r="S39">
        <f t="shared" si="3"/>
        <v>0</v>
      </c>
      <c r="T39">
        <f t="shared" si="4"/>
        <v>0</v>
      </c>
    </row>
    <row r="40" x14ac:dyDescent="0.35">
      <c r="A40" t="str">
        <v/>
      </c>
      <c r="B40" t="str">
        <v/>
      </c>
      <c r="C40" t="str">
        <v/>
      </c>
      <c r="D40" t="str">
        <v/>
      </c>
      <c r="E40" t="str">
        <v/>
      </c>
      <c r="F40" t="str">
        <v/>
      </c>
      <c r="G40" t="str">
        <v/>
      </c>
      <c r="H40" t="str">
        <v/>
      </c>
      <c r="I40" t="str">
        <v/>
      </c>
      <c r="J40" t="str">
        <v/>
      </c>
      <c r="K40" t="str">
        <v/>
      </c>
      <c r="L40" t="str">
        <v/>
      </c>
      <c r="M40" t="str">
        <v/>
      </c>
      <c r="N40" t="str">
        <v/>
      </c>
      <c r="O40" t="str">
        <v/>
      </c>
      <c r="P40">
        <f t="shared" si="5"/>
        <v>0</v>
      </c>
      <c r="Q40">
        <f t="shared" si="6"/>
        <v>0</v>
      </c>
      <c r="R40">
        <f t="shared" si="7"/>
        <v>0</v>
      </c>
      <c r="S40">
        <f t="shared" si="3"/>
        <v>0</v>
      </c>
      <c r="T40">
        <f t="shared" si="4"/>
        <v>0</v>
      </c>
    </row>
    <row r="41" x14ac:dyDescent="0.35">
      <c r="A41" t="str">
        <v/>
      </c>
      <c r="B41" t="str">
        <v/>
      </c>
      <c r="C41" t="str">
        <v/>
      </c>
      <c r="D41" t="str">
        <v/>
      </c>
      <c r="E41" t="str">
        <v/>
      </c>
      <c r="F41" t="str">
        <v/>
      </c>
      <c r="G41" t="str">
        <v/>
      </c>
      <c r="H41" t="str">
        <v/>
      </c>
      <c r="I41" t="str">
        <v/>
      </c>
      <c r="J41" t="str">
        <v/>
      </c>
      <c r="K41" t="str">
        <v/>
      </c>
      <c r="L41" t="str">
        <v/>
      </c>
      <c r="M41" t="str">
        <v/>
      </c>
      <c r="N41" t="str">
        <v/>
      </c>
      <c r="O41" t="str">
        <v/>
      </c>
      <c r="P41">
        <f t="shared" si="5"/>
        <v>0</v>
      </c>
      <c r="Q41">
        <f t="shared" si="6"/>
        <v>0</v>
      </c>
      <c r="R41">
        <f t="shared" si="7"/>
        <v>0</v>
      </c>
      <c r="S41">
        <f t="shared" si="3"/>
        <v>0</v>
      </c>
      <c r="T41">
        <f t="shared" si="4"/>
        <v>0</v>
      </c>
    </row>
    <row r="42" x14ac:dyDescent="0.35">
      <c r="A42" t="str">
        <v/>
      </c>
      <c r="B42" t="str">
        <v/>
      </c>
      <c r="C42" t="str">
        <v/>
      </c>
      <c r="D42" t="str">
        <v/>
      </c>
      <c r="E42" t="str">
        <v/>
      </c>
      <c r="F42" t="str">
        <v/>
      </c>
      <c r="G42" t="str">
        <v/>
      </c>
      <c r="H42" t="str">
        <v/>
      </c>
      <c r="I42" t="str">
        <v/>
      </c>
      <c r="J42" t="str">
        <v/>
      </c>
      <c r="K42" t="str">
        <v/>
      </c>
      <c r="L42" t="str">
        <v/>
      </c>
      <c r="M42" t="str">
        <v/>
      </c>
      <c r="N42" t="str">
        <v/>
      </c>
      <c r="O42" t="str">
        <v/>
      </c>
      <c r="P42">
        <f t="shared" si="5"/>
        <v>0</v>
      </c>
      <c r="Q42">
        <f t="shared" si="6"/>
        <v>0</v>
      </c>
      <c r="R42">
        <f t="shared" si="7"/>
        <v>0</v>
      </c>
      <c r="S42">
        <f t="shared" si="3"/>
        <v>0</v>
      </c>
      <c r="T42">
        <f t="shared" si="4"/>
        <v>0</v>
      </c>
    </row>
    <row r="43" x14ac:dyDescent="0.35">
      <c r="A43" t="str">
        <v/>
      </c>
      <c r="B43" t="str">
        <v/>
      </c>
      <c r="C43" t="str">
        <v/>
      </c>
      <c r="D43" t="str">
        <v/>
      </c>
      <c r="E43" t="str">
        <v/>
      </c>
      <c r="F43" t="str">
        <v/>
      </c>
      <c r="G43" t="str">
        <v/>
      </c>
      <c r="H43" t="str">
        <v/>
      </c>
      <c r="I43" t="str">
        <v/>
      </c>
      <c r="J43" t="str">
        <v/>
      </c>
      <c r="K43" t="str">
        <v/>
      </c>
      <c r="L43" t="str">
        <v/>
      </c>
      <c r="M43" t="str">
        <v/>
      </c>
      <c r="N43" t="str">
        <v/>
      </c>
      <c r="O43" t="str">
        <v/>
      </c>
      <c r="P43">
        <f t="shared" si="5"/>
        <v>0</v>
      </c>
      <c r="Q43">
        <f t="shared" si="6"/>
        <v>0</v>
      </c>
      <c r="R43">
        <f t="shared" si="7"/>
        <v>0</v>
      </c>
      <c r="S43">
        <f t="shared" si="3"/>
        <v>0</v>
      </c>
      <c r="T43">
        <f t="shared" si="4"/>
        <v>0</v>
      </c>
    </row>
    <row r="44" x14ac:dyDescent="0.35">
      <c r="A44" t="str">
        <v/>
      </c>
      <c r="B44" t="str">
        <v/>
      </c>
      <c r="C44" t="str">
        <v/>
      </c>
      <c r="D44" t="str">
        <v/>
      </c>
      <c r="E44" t="str">
        <v/>
      </c>
      <c r="F44" t="str">
        <v/>
      </c>
      <c r="G44" t="str">
        <v/>
      </c>
      <c r="H44" t="str">
        <v/>
      </c>
      <c r="I44" t="str">
        <v/>
      </c>
      <c r="J44" t="str">
        <v/>
      </c>
      <c r="K44" t="str">
        <v/>
      </c>
      <c r="L44" t="str">
        <v/>
      </c>
      <c r="M44" t="str">
        <v/>
      </c>
      <c r="N44" t="str">
        <v/>
      </c>
      <c r="O44" t="str">
        <v/>
      </c>
      <c r="P44">
        <f t="shared" si="5"/>
        <v>0</v>
      </c>
      <c r="Q44">
        <f t="shared" si="6"/>
        <v>0</v>
      </c>
      <c r="R44">
        <f t="shared" si="7"/>
        <v>0</v>
      </c>
      <c r="S44">
        <f t="shared" si="3"/>
        <v>0</v>
      </c>
      <c r="T44">
        <f t="shared" si="4"/>
        <v>0</v>
      </c>
    </row>
    <row r="45" x14ac:dyDescent="0.35">
      <c r="A45" t="str">
        <v/>
      </c>
      <c r="B45" t="str">
        <v/>
      </c>
      <c r="C45" t="str">
        <v/>
      </c>
      <c r="D45" t="str">
        <v/>
      </c>
      <c r="E45" t="str">
        <v/>
      </c>
      <c r="F45" t="str">
        <v/>
      </c>
      <c r="G45" t="str">
        <v/>
      </c>
      <c r="H45" t="str">
        <v/>
      </c>
      <c r="I45" t="str">
        <v/>
      </c>
      <c r="J45" t="str">
        <v/>
      </c>
      <c r="K45" t="str">
        <v/>
      </c>
      <c r="L45" t="str">
        <v/>
      </c>
      <c r="M45" t="str">
        <v/>
      </c>
      <c r="N45" t="str">
        <v/>
      </c>
      <c r="O45" t="str">
        <v/>
      </c>
      <c r="P45">
        <f t="shared" si="5"/>
        <v>0</v>
      </c>
      <c r="Q45">
        <f t="shared" si="6"/>
        <v>0</v>
      </c>
      <c r="R45">
        <f t="shared" si="7"/>
        <v>0</v>
      </c>
      <c r="S45">
        <f t="shared" si="3"/>
        <v>0</v>
      </c>
      <c r="T45">
        <f t="shared" si="4"/>
        <v>0</v>
      </c>
    </row>
    <row r="46" x14ac:dyDescent="0.35">
      <c r="A46" t="str">
        <v/>
      </c>
      <c r="B46" t="str">
        <v/>
      </c>
      <c r="C46" t="str">
        <v/>
      </c>
      <c r="D46" t="str">
        <v/>
      </c>
      <c r="E46" t="str">
        <v/>
      </c>
      <c r="F46" t="str">
        <v/>
      </c>
      <c r="G46" t="str">
        <v/>
      </c>
      <c r="H46" t="str">
        <v/>
      </c>
      <c r="I46" t="str">
        <v/>
      </c>
      <c r="J46" t="str">
        <v/>
      </c>
      <c r="K46" t="str">
        <v/>
      </c>
      <c r="L46" t="str">
        <v/>
      </c>
      <c r="M46" t="str">
        <v/>
      </c>
      <c r="N46" t="str">
        <v/>
      </c>
      <c r="O46" t="str">
        <v/>
      </c>
      <c r="P46">
        <f t="shared" si="5"/>
        <v>0</v>
      </c>
      <c r="Q46">
        <f t="shared" si="6"/>
        <v>0</v>
      </c>
      <c r="R46">
        <f t="shared" si="7"/>
        <v>0</v>
      </c>
      <c r="S46">
        <f t="shared" si="3"/>
        <v>0</v>
      </c>
      <c r="T46">
        <f t="shared" si="4"/>
        <v>0</v>
      </c>
    </row>
    <row r="47" x14ac:dyDescent="0.35">
      <c r="A47" t="str">
        <v/>
      </c>
      <c r="B47" t="str">
        <v/>
      </c>
      <c r="C47" t="str">
        <v/>
      </c>
      <c r="D47" t="str">
        <v/>
      </c>
      <c r="E47" t="str">
        <v/>
      </c>
      <c r="F47" t="str">
        <v/>
      </c>
      <c r="G47" t="str">
        <v/>
      </c>
      <c r="H47" t="str">
        <v/>
      </c>
      <c r="I47" t="str">
        <v/>
      </c>
      <c r="J47" t="str">
        <v/>
      </c>
      <c r="K47" t="str">
        <v/>
      </c>
      <c r="L47" t="str">
        <v/>
      </c>
      <c r="M47" t="str">
        <v/>
      </c>
      <c r="N47" t="str">
        <v/>
      </c>
      <c r="O47" t="str">
        <v/>
      </c>
      <c r="P47">
        <f t="shared" si="5"/>
        <v>0</v>
      </c>
      <c r="Q47">
        <f t="shared" si="6"/>
        <v>0</v>
      </c>
      <c r="R47">
        <f t="shared" si="7"/>
        <v>0</v>
      </c>
      <c r="S47">
        <f t="shared" si="3"/>
        <v>0</v>
      </c>
      <c r="T47">
        <f t="shared" si="4"/>
        <v>0</v>
      </c>
    </row>
    <row r="48" x14ac:dyDescent="0.35">
      <c r="A48" t="str">
        <v/>
      </c>
      <c r="B48" t="str">
        <v/>
      </c>
      <c r="C48" t="str">
        <v/>
      </c>
      <c r="D48" t="str">
        <v/>
      </c>
      <c r="E48" t="str">
        <v/>
      </c>
      <c r="F48" t="str">
        <v/>
      </c>
      <c r="G48" t="str">
        <v/>
      </c>
      <c r="H48" t="str">
        <v/>
      </c>
      <c r="I48" t="str">
        <v/>
      </c>
      <c r="J48" t="str">
        <v/>
      </c>
      <c r="K48" t="str">
        <v/>
      </c>
      <c r="L48" t="str">
        <v/>
      </c>
      <c r="M48" t="str">
        <v/>
      </c>
      <c r="N48" t="str">
        <v/>
      </c>
      <c r="O48" t="str">
        <v/>
      </c>
      <c r="P48">
        <f t="shared" si="5"/>
        <v>0</v>
      </c>
      <c r="Q48">
        <f t="shared" si="6"/>
        <v>0</v>
      </c>
      <c r="R48">
        <f t="shared" si="7"/>
        <v>0</v>
      </c>
      <c r="S48">
        <f t="shared" si="3"/>
        <v>0</v>
      </c>
      <c r="T48">
        <f t="shared" si="4"/>
        <v>0</v>
      </c>
    </row>
    <row r="49" x14ac:dyDescent="0.35">
      <c r="A49" t="str">
        <v/>
      </c>
      <c r="B49" t="str">
        <v/>
      </c>
      <c r="C49" t="str">
        <v/>
      </c>
      <c r="D49" t="str">
        <v/>
      </c>
      <c r="E49" t="str">
        <v/>
      </c>
      <c r="F49" t="str">
        <v/>
      </c>
      <c r="G49" t="str">
        <v/>
      </c>
      <c r="H49" t="str">
        <v/>
      </c>
      <c r="I49" t="str">
        <v/>
      </c>
      <c r="J49" t="str">
        <v/>
      </c>
      <c r="K49" t="str">
        <v/>
      </c>
      <c r="L49" t="str">
        <v/>
      </c>
      <c r="M49" t="str">
        <v/>
      </c>
      <c r="N49" t="str">
        <v/>
      </c>
      <c r="O49" t="str">
        <v/>
      </c>
      <c r="P49">
        <f t="shared" si="5"/>
        <v>0</v>
      </c>
      <c r="Q49">
        <f t="shared" si="6"/>
        <v>0</v>
      </c>
      <c r="R49">
        <f t="shared" si="7"/>
        <v>0</v>
      </c>
      <c r="S49">
        <f t="shared" si="3"/>
        <v>0</v>
      </c>
      <c r="T49">
        <f t="shared" si="4"/>
        <v>0</v>
      </c>
    </row>
    <row r="50" x14ac:dyDescent="0.35">
      <c r="A50" t="str">
        <v/>
      </c>
      <c r="B50" t="str">
        <v/>
      </c>
      <c r="C50" t="str">
        <v/>
      </c>
      <c r="D50" t="str">
        <v/>
      </c>
      <c r="E50" t="str">
        <v/>
      </c>
      <c r="F50" t="str">
        <v/>
      </c>
      <c r="G50" t="str">
        <v/>
      </c>
      <c r="H50" t="str">
        <v/>
      </c>
      <c r="I50" t="str">
        <v/>
      </c>
      <c r="J50" t="str">
        <v/>
      </c>
      <c r="K50" t="str">
        <v/>
      </c>
      <c r="L50" t="str">
        <v/>
      </c>
      <c r="M50" t="str">
        <v/>
      </c>
      <c r="N50" t="str">
        <v/>
      </c>
      <c r="O50" t="str">
        <v/>
      </c>
      <c r="P50">
        <f t="shared" si="5"/>
        <v>0</v>
      </c>
      <c r="Q50">
        <f t="shared" si="6"/>
        <v>0</v>
      </c>
      <c r="R50">
        <f t="shared" si="7"/>
        <v>0</v>
      </c>
      <c r="S50">
        <f t="shared" si="3"/>
        <v>0</v>
      </c>
      <c r="T50">
        <f t="shared" si="4"/>
        <v>0</v>
      </c>
    </row>
    <row r="51" x14ac:dyDescent="0.35">
      <c r="A51" t="str">
        <v/>
      </c>
      <c r="B51" t="str">
        <v/>
      </c>
      <c r="C51" t="str">
        <v/>
      </c>
      <c r="D51" t="str">
        <v/>
      </c>
      <c r="E51" t="str">
        <v/>
      </c>
      <c r="F51" t="str">
        <v/>
      </c>
      <c r="G51" t="str">
        <v/>
      </c>
      <c r="H51" t="str">
        <v/>
      </c>
      <c r="I51" t="str">
        <v/>
      </c>
      <c r="J51" t="str">
        <v/>
      </c>
      <c r="K51" t="str">
        <v/>
      </c>
      <c r="L51" t="str">
        <v/>
      </c>
      <c r="M51" t="str">
        <v/>
      </c>
      <c r="N51" t="str">
        <v/>
      </c>
      <c r="O51" t="str">
        <v/>
      </c>
      <c r="P51">
        <f t="shared" si="5"/>
        <v>0</v>
      </c>
      <c r="Q51">
        <f t="shared" si="6"/>
        <v>0</v>
      </c>
      <c r="R51">
        <f t="shared" si="7"/>
        <v>0</v>
      </c>
      <c r="S51">
        <f t="shared" si="3"/>
        <v>0</v>
      </c>
      <c r="T51">
        <f t="shared" si="4"/>
        <v>0</v>
      </c>
    </row>
    <row r="52" x14ac:dyDescent="0.35">
      <c r="A52" t="str">
        <v/>
      </c>
      <c r="B52" t="str">
        <v/>
      </c>
      <c r="C52" t="str">
        <v/>
      </c>
      <c r="D52" t="str">
        <v/>
      </c>
      <c r="E52" t="str">
        <v/>
      </c>
      <c r="F52" t="str">
        <v/>
      </c>
      <c r="G52" t="str">
        <v/>
      </c>
      <c r="H52" t="str">
        <v/>
      </c>
      <c r="I52" t="str">
        <v/>
      </c>
      <c r="J52" t="str">
        <v/>
      </c>
      <c r="K52" t="str">
        <v/>
      </c>
      <c r="L52" t="str">
        <v/>
      </c>
      <c r="M52" t="str">
        <v/>
      </c>
      <c r="N52" t="str">
        <v/>
      </c>
      <c r="O52" t="str">
        <v/>
      </c>
      <c r="P52">
        <f t="shared" si="5"/>
        <v>0</v>
      </c>
      <c r="Q52">
        <f t="shared" si="6"/>
        <v>0</v>
      </c>
      <c r="R52">
        <f t="shared" si="7"/>
        <v>0</v>
      </c>
      <c r="S52">
        <f t="shared" si="3"/>
        <v>0</v>
      </c>
      <c r="T52">
        <f t="shared" si="4"/>
        <v>0</v>
      </c>
    </row>
    <row r="53" x14ac:dyDescent="0.35">
      <c r="A53" t="str">
        <v/>
      </c>
      <c r="B53" t="str">
        <v/>
      </c>
      <c r="C53" t="str">
        <v/>
      </c>
      <c r="D53" t="str">
        <v/>
      </c>
      <c r="E53" t="str">
        <v/>
      </c>
      <c r="F53" t="str">
        <v/>
      </c>
      <c r="G53" t="str">
        <v/>
      </c>
      <c r="H53" t="str">
        <v/>
      </c>
      <c r="I53" t="str">
        <v/>
      </c>
      <c r="J53" t="str">
        <v/>
      </c>
      <c r="K53" t="str">
        <v/>
      </c>
      <c r="L53" t="str">
        <v/>
      </c>
      <c r="M53" t="str">
        <v/>
      </c>
      <c r="N53" t="str">
        <v/>
      </c>
      <c r="O53" t="str">
        <v/>
      </c>
      <c r="P53">
        <f t="shared" si="5"/>
        <v>0</v>
      </c>
      <c r="Q53">
        <f t="shared" si="6"/>
        <v>0</v>
      </c>
      <c r="R53">
        <f t="shared" si="7"/>
        <v>0</v>
      </c>
      <c r="S53">
        <f t="shared" si="3"/>
        <v>0</v>
      </c>
      <c r="T53">
        <f t="shared" si="4"/>
        <v>0</v>
      </c>
    </row>
    <row r="54" x14ac:dyDescent="0.35">
      <c r="A54" t="str">
        <v/>
      </c>
      <c r="B54" t="str">
        <v/>
      </c>
      <c r="C54" t="str">
        <v/>
      </c>
      <c r="D54" t="str">
        <v/>
      </c>
      <c r="E54" t="str">
        <v/>
      </c>
      <c r="F54" t="str">
        <v/>
      </c>
      <c r="G54" t="str">
        <v/>
      </c>
      <c r="H54" t="str">
        <v/>
      </c>
      <c r="I54" t="str">
        <v/>
      </c>
      <c r="J54" t="str">
        <v/>
      </c>
      <c r="K54" t="str">
        <v/>
      </c>
      <c r="L54" t="str">
        <v/>
      </c>
      <c r="M54" t="str">
        <v/>
      </c>
      <c r="N54" t="str">
        <v/>
      </c>
      <c r="O54" t="str">
        <v/>
      </c>
      <c r="P54">
        <f t="shared" si="5"/>
        <v>0</v>
      </c>
      <c r="Q54">
        <f t="shared" si="6"/>
        <v>0</v>
      </c>
      <c r="R54">
        <f t="shared" si="7"/>
        <v>0</v>
      </c>
      <c r="S54">
        <f t="shared" si="3"/>
        <v>0</v>
      </c>
      <c r="T54">
        <f t="shared" si="4"/>
        <v>0</v>
      </c>
    </row>
    <row r="55" x14ac:dyDescent="0.35">
      <c r="A55" t="str">
        <v/>
      </c>
      <c r="B55" t="str">
        <v/>
      </c>
      <c r="C55" t="str">
        <v/>
      </c>
      <c r="D55" t="str">
        <v/>
      </c>
      <c r="E55" t="str">
        <v/>
      </c>
      <c r="F55" t="str">
        <v/>
      </c>
      <c r="G55" t="str">
        <v/>
      </c>
      <c r="H55" t="str">
        <v/>
      </c>
      <c r="I55" t="str">
        <v/>
      </c>
      <c r="J55" t="str">
        <v/>
      </c>
      <c r="K55" t="str">
        <v/>
      </c>
      <c r="L55" t="str">
        <v/>
      </c>
      <c r="M55" t="str">
        <v/>
      </c>
      <c r="N55" t="str">
        <v/>
      </c>
      <c r="O55" t="str">
        <v/>
      </c>
      <c r="P55">
        <f t="shared" si="5"/>
        <v>0</v>
      </c>
      <c r="Q55">
        <f t="shared" si="6"/>
        <v>0</v>
      </c>
      <c r="R55">
        <f t="shared" si="7"/>
        <v>0</v>
      </c>
      <c r="S55">
        <f t="shared" si="3"/>
        <v>0</v>
      </c>
      <c r="T55">
        <f t="shared" si="4"/>
        <v>0</v>
      </c>
    </row>
    <row r="56" x14ac:dyDescent="0.35">
      <c r="A56" t="str">
        <v/>
      </c>
      <c r="B56" t="str">
        <v/>
      </c>
      <c r="C56" t="str">
        <v/>
      </c>
      <c r="D56" t="str">
        <v/>
      </c>
      <c r="E56" t="str">
        <v/>
      </c>
      <c r="F56" t="str">
        <v/>
      </c>
      <c r="G56" t="str">
        <v/>
      </c>
      <c r="H56" t="str">
        <v/>
      </c>
      <c r="I56" t="str">
        <v/>
      </c>
      <c r="J56" t="str">
        <v/>
      </c>
      <c r="K56" t="str">
        <v/>
      </c>
      <c r="L56" t="str">
        <v/>
      </c>
      <c r="M56" t="str">
        <v/>
      </c>
      <c r="N56" t="str">
        <v/>
      </c>
      <c r="O56" t="str">
        <v/>
      </c>
      <c r="P56">
        <f t="shared" si="5"/>
        <v>0</v>
      </c>
      <c r="Q56">
        <f t="shared" si="6"/>
        <v>0</v>
      </c>
      <c r="R56">
        <f t="shared" si="7"/>
        <v>0</v>
      </c>
      <c r="S56">
        <f t="shared" si="3"/>
        <v>0</v>
      </c>
      <c r="T56">
        <f t="shared" si="4"/>
        <v>0</v>
      </c>
    </row>
    <row r="57" x14ac:dyDescent="0.35">
      <c r="A57" t="str">
        <v/>
      </c>
      <c r="B57" t="str">
        <v/>
      </c>
      <c r="C57" t="str">
        <v/>
      </c>
      <c r="D57" t="str">
        <v/>
      </c>
      <c r="E57" t="str">
        <v/>
      </c>
      <c r="F57" t="str">
        <v/>
      </c>
      <c r="G57" t="str">
        <v/>
      </c>
      <c r="H57" t="str">
        <v/>
      </c>
      <c r="I57" t="str">
        <v/>
      </c>
      <c r="J57" t="str">
        <v/>
      </c>
      <c r="K57" t="str">
        <v/>
      </c>
      <c r="L57" t="str">
        <v/>
      </c>
      <c r="M57" t="str">
        <v/>
      </c>
      <c r="N57" t="str">
        <v/>
      </c>
      <c r="O57" t="str">
        <v/>
      </c>
      <c r="P57">
        <f t="shared" si="5"/>
        <v>0</v>
      </c>
      <c r="Q57">
        <f t="shared" si="6"/>
        <v>0</v>
      </c>
      <c r="R57">
        <f t="shared" si="7"/>
        <v>0</v>
      </c>
      <c r="S57">
        <f t="shared" si="3"/>
        <v>0</v>
      </c>
      <c r="T57">
        <f t="shared" si="4"/>
        <v>0</v>
      </c>
    </row>
    <row r="58" x14ac:dyDescent="0.35">
      <c r="A58" t="str">
        <v/>
      </c>
      <c r="B58" t="str">
        <v/>
      </c>
      <c r="C58" t="str">
        <v/>
      </c>
      <c r="D58" t="str">
        <v/>
      </c>
      <c r="E58" t="str">
        <v/>
      </c>
      <c r="F58" t="str">
        <v/>
      </c>
      <c r="G58" t="str">
        <v/>
      </c>
      <c r="H58" t="str">
        <v/>
      </c>
      <c r="I58" t="str">
        <v/>
      </c>
      <c r="J58" t="str">
        <v/>
      </c>
      <c r="K58" t="str">
        <v/>
      </c>
      <c r="L58" t="str">
        <v/>
      </c>
      <c r="M58" t="str">
        <v/>
      </c>
      <c r="N58" t="str">
        <v/>
      </c>
      <c r="O58" t="str">
        <v/>
      </c>
      <c r="P58">
        <f t="shared" si="5"/>
        <v>0</v>
      </c>
      <c r="Q58">
        <f t="shared" si="6"/>
        <v>0</v>
      </c>
      <c r="R58">
        <f t="shared" si="7"/>
        <v>0</v>
      </c>
      <c r="S58">
        <f t="shared" si="3"/>
        <v>0</v>
      </c>
      <c r="T58">
        <f t="shared" si="4"/>
        <v>0</v>
      </c>
    </row>
    <row r="59" x14ac:dyDescent="0.35">
      <c r="A59" t="str">
        <v/>
      </c>
      <c r="B59" t="str">
        <v/>
      </c>
      <c r="C59" t="str">
        <v/>
      </c>
      <c r="D59" t="str">
        <v/>
      </c>
      <c r="E59" t="str">
        <v/>
      </c>
      <c r="F59" t="str">
        <v/>
      </c>
      <c r="G59" t="str">
        <v/>
      </c>
      <c r="H59" t="str">
        <v/>
      </c>
      <c r="I59" t="str">
        <v/>
      </c>
      <c r="J59" t="str">
        <v/>
      </c>
      <c r="K59" t="str">
        <v/>
      </c>
      <c r="L59" t="str">
        <v/>
      </c>
      <c r="M59" t="str">
        <v/>
      </c>
      <c r="N59" t="str">
        <v/>
      </c>
      <c r="O59" t="str">
        <v/>
      </c>
      <c r="P59">
        <f t="shared" si="5"/>
        <v>0</v>
      </c>
      <c r="Q59">
        <f t="shared" si="6"/>
        <v>0</v>
      </c>
      <c r="R59">
        <f t="shared" si="7"/>
        <v>0</v>
      </c>
      <c r="S59">
        <f t="shared" si="3"/>
        <v>0</v>
      </c>
      <c r="T59">
        <f t="shared" si="4"/>
        <v>0</v>
      </c>
    </row>
    <row r="60" x14ac:dyDescent="0.35">
      <c r="A60" t="str">
        <v/>
      </c>
      <c r="B60" t="str">
        <v/>
      </c>
      <c r="C60" t="str">
        <v/>
      </c>
      <c r="D60" t="str">
        <v/>
      </c>
      <c r="E60" t="str">
        <v/>
      </c>
      <c r="F60" t="str">
        <v/>
      </c>
      <c r="G60" t="str">
        <v/>
      </c>
      <c r="H60" t="str">
        <v/>
      </c>
      <c r="I60" t="str">
        <v/>
      </c>
      <c r="J60" t="str">
        <v/>
      </c>
      <c r="K60" t="str">
        <v/>
      </c>
      <c r="L60" t="str">
        <v/>
      </c>
      <c r="M60" t="str">
        <v/>
      </c>
      <c r="N60" t="str">
        <v/>
      </c>
      <c r="O60" t="str">
        <v/>
      </c>
      <c r="P60">
        <f t="shared" si="5"/>
        <v>0</v>
      </c>
      <c r="Q60">
        <f t="shared" si="6"/>
        <v>0</v>
      </c>
      <c r="R60">
        <f t="shared" si="7"/>
        <v>0</v>
      </c>
      <c r="S60">
        <f t="shared" si="3"/>
        <v>0</v>
      </c>
      <c r="T60">
        <f t="shared" si="4"/>
        <v>0</v>
      </c>
    </row>
    <row r="61" x14ac:dyDescent="0.35">
      <c r="A61" t="str">
        <v/>
      </c>
      <c r="B61" t="str">
        <v/>
      </c>
      <c r="C61" t="str">
        <v/>
      </c>
      <c r="D61" t="str">
        <v/>
      </c>
      <c r="E61" t="str">
        <v/>
      </c>
      <c r="F61" t="str">
        <v/>
      </c>
      <c r="G61" t="str">
        <v/>
      </c>
      <c r="H61" t="str">
        <v/>
      </c>
      <c r="I61" t="str">
        <v/>
      </c>
      <c r="J61" t="str">
        <v/>
      </c>
      <c r="K61" t="str">
        <v/>
      </c>
      <c r="L61" t="str">
        <v/>
      </c>
      <c r="M61" t="str">
        <v/>
      </c>
      <c r="N61" t="str">
        <v/>
      </c>
      <c r="O61" t="str">
        <v/>
      </c>
      <c r="P61">
        <f t="shared" si="5"/>
        <v>0</v>
      </c>
      <c r="Q61">
        <f t="shared" si="6"/>
        <v>0</v>
      </c>
      <c r="R61">
        <f t="shared" si="7"/>
        <v>0</v>
      </c>
      <c r="S61">
        <f t="shared" si="3"/>
        <v>0</v>
      </c>
      <c r="T61">
        <f t="shared" si="4"/>
        <v>0</v>
      </c>
    </row>
    <row r="62" x14ac:dyDescent="0.35">
      <c r="A62" t="str">
        <v/>
      </c>
      <c r="B62" t="str">
        <v/>
      </c>
      <c r="C62" t="str">
        <v/>
      </c>
      <c r="D62" t="str">
        <v/>
      </c>
      <c r="E62" t="str">
        <v/>
      </c>
      <c r="F62" t="str">
        <v/>
      </c>
      <c r="G62" t="str">
        <v/>
      </c>
      <c r="H62" t="str">
        <v/>
      </c>
      <c r="I62" t="str">
        <v/>
      </c>
      <c r="J62" t="str">
        <v/>
      </c>
      <c r="K62" t="str">
        <v/>
      </c>
      <c r="L62" t="str">
        <v/>
      </c>
      <c r="M62" t="str">
        <v/>
      </c>
      <c r="N62" t="str">
        <v/>
      </c>
      <c r="O62" t="str">
        <v/>
      </c>
      <c r="P62">
        <f t="shared" si="5"/>
        <v>0</v>
      </c>
      <c r="Q62">
        <f t="shared" si="6"/>
        <v>0</v>
      </c>
      <c r="R62">
        <f t="shared" si="7"/>
        <v>0</v>
      </c>
      <c r="S62">
        <f t="shared" si="3"/>
        <v>0</v>
      </c>
      <c r="T62">
        <f t="shared" si="4"/>
        <v>0</v>
      </c>
    </row>
    <row r="63" x14ac:dyDescent="0.35">
      <c r="A63" t="str">
        <v/>
      </c>
      <c r="B63" t="str">
        <v/>
      </c>
      <c r="C63" t="str">
        <v/>
      </c>
      <c r="D63" t="str">
        <v/>
      </c>
      <c r="E63" t="str">
        <v/>
      </c>
      <c r="F63" t="str">
        <v/>
      </c>
      <c r="G63" t="str">
        <v/>
      </c>
      <c r="H63" t="str">
        <v/>
      </c>
      <c r="I63" t="str">
        <v/>
      </c>
      <c r="J63" t="str">
        <v/>
      </c>
      <c r="K63" t="str">
        <v/>
      </c>
      <c r="L63" t="str">
        <v/>
      </c>
      <c r="M63" t="str">
        <v/>
      </c>
      <c r="N63" t="str">
        <v/>
      </c>
      <c r="O63" t="str">
        <v/>
      </c>
      <c r="P63">
        <f t="shared" si="5"/>
        <v>0</v>
      </c>
      <c r="Q63">
        <f t="shared" si="6"/>
        <v>0</v>
      </c>
      <c r="R63">
        <f t="shared" si="7"/>
        <v>0</v>
      </c>
      <c r="S63">
        <f t="shared" si="3"/>
        <v>0</v>
      </c>
      <c r="T63">
        <f t="shared" si="4"/>
        <v>0</v>
      </c>
    </row>
    <row r="64" x14ac:dyDescent="0.35">
      <c r="A64" t="str">
        <v/>
      </c>
      <c r="B64" t="str">
        <v/>
      </c>
      <c r="C64" t="str">
        <v/>
      </c>
      <c r="D64" t="str">
        <v/>
      </c>
      <c r="E64" t="str">
        <v/>
      </c>
      <c r="F64" t="str">
        <v/>
      </c>
      <c r="G64" t="str">
        <v/>
      </c>
      <c r="H64" t="str">
        <v/>
      </c>
      <c r="I64" t="str">
        <v/>
      </c>
      <c r="J64" t="str">
        <v/>
      </c>
      <c r="K64" t="str">
        <v/>
      </c>
      <c r="L64" t="str">
        <v/>
      </c>
      <c r="M64" t="str">
        <v/>
      </c>
      <c r="N64" t="str">
        <v/>
      </c>
      <c r="O64" t="str">
        <v/>
      </c>
      <c r="P64">
        <f t="shared" si="5"/>
        <v>0</v>
      </c>
      <c r="Q64">
        <f t="shared" si="6"/>
        <v>0</v>
      </c>
      <c r="R64">
        <f t="shared" si="7"/>
        <v>0</v>
      </c>
      <c r="S64">
        <f t="shared" si="3"/>
        <v>0</v>
      </c>
      <c r="T64">
        <f t="shared" si="4"/>
        <v>0</v>
      </c>
    </row>
    <row r="65" x14ac:dyDescent="0.35">
      <c r="A65" t="str">
        <v/>
      </c>
      <c r="B65" t="str">
        <v/>
      </c>
      <c r="C65" t="str">
        <v/>
      </c>
      <c r="D65" t="str">
        <v/>
      </c>
      <c r="E65" t="str">
        <v/>
      </c>
      <c r="F65" t="str">
        <v/>
      </c>
      <c r="G65" t="str">
        <v/>
      </c>
      <c r="H65" t="str">
        <v/>
      </c>
      <c r="I65" t="str">
        <v/>
      </c>
      <c r="J65" t="str">
        <v/>
      </c>
      <c r="K65" t="str">
        <v/>
      </c>
      <c r="L65" t="str">
        <v/>
      </c>
      <c r="M65" t="str">
        <v/>
      </c>
      <c r="N65" t="str">
        <v/>
      </c>
      <c r="O65" t="str">
        <v/>
      </c>
      <c r="P65">
        <f t="shared" si="5"/>
        <v>0</v>
      </c>
      <c r="Q65">
        <f t="shared" si="6"/>
        <v>0</v>
      </c>
      <c r="R65">
        <f t="shared" si="7"/>
        <v>0</v>
      </c>
      <c r="S65">
        <f t="shared" si="3"/>
        <v>0</v>
      </c>
      <c r="T65">
        <f t="shared" si="4"/>
        <v>0</v>
      </c>
    </row>
    <row r="66" x14ac:dyDescent="0.35">
      <c r="A66" t="str">
        <v/>
      </c>
      <c r="B66" t="str">
        <v/>
      </c>
      <c r="C66" t="str">
        <v/>
      </c>
      <c r="D66" t="str">
        <v/>
      </c>
      <c r="E66" t="str">
        <v/>
      </c>
      <c r="F66" t="str">
        <v/>
      </c>
      <c r="G66" t="str">
        <v/>
      </c>
      <c r="H66" t="str">
        <v/>
      </c>
      <c r="I66" t="str">
        <v/>
      </c>
      <c r="J66" t="str">
        <v/>
      </c>
      <c r="K66" t="str">
        <v/>
      </c>
      <c r="L66" t="str">
        <v/>
      </c>
      <c r="M66" t="str">
        <v/>
      </c>
      <c r="N66" t="str">
        <v/>
      </c>
      <c r="O66" t="str">
        <v/>
      </c>
      <c r="P66">
        <f t="shared" si="5"/>
        <v>0</v>
      </c>
      <c r="Q66">
        <f t="shared" si="6"/>
        <v>0</v>
      </c>
      <c r="R66">
        <f t="shared" si="7"/>
        <v>0</v>
      </c>
      <c r="S66">
        <f t="shared" si="3"/>
        <v>0</v>
      </c>
      <c r="T66">
        <f t="shared" si="4"/>
        <v>0</v>
      </c>
    </row>
    <row r="67" x14ac:dyDescent="0.35">
      <c r="A67" t="str">
        <v/>
      </c>
      <c r="B67" t="str">
        <v/>
      </c>
      <c r="C67" t="str">
        <v/>
      </c>
      <c r="D67" t="str">
        <v/>
      </c>
      <c r="E67" t="str">
        <v/>
      </c>
      <c r="F67" t="str">
        <v/>
      </c>
      <c r="G67" t="str">
        <v/>
      </c>
      <c r="H67" t="str">
        <v/>
      </c>
      <c r="I67" t="str">
        <v/>
      </c>
      <c r="J67" t="str">
        <v/>
      </c>
      <c r="K67" t="str">
        <v/>
      </c>
      <c r="L67" t="str">
        <v/>
      </c>
      <c r="M67" t="str">
        <v/>
      </c>
      <c r="N67" t="str">
        <v/>
      </c>
      <c r="O67" t="str">
        <v/>
      </c>
      <c r="P67">
        <f t="shared" si="5"/>
        <v>0</v>
      </c>
      <c r="Q67">
        <f t="shared" si="6"/>
        <v>0</v>
      </c>
      <c r="R67">
        <f t="shared" si="7"/>
        <v>0</v>
      </c>
      <c r="S67">
        <f t="shared" ref="S67:S130" si="8">IF(J67="Realizada completa",1,0)</f>
        <v>0</v>
      </c>
      <c r="T67">
        <f t="shared" ref="T67:T130" si="9">IF(J67="Sin respuesta",1,0)</f>
        <v>0</v>
      </c>
    </row>
    <row r="68" x14ac:dyDescent="0.35">
      <c r="A68" t="str">
        <v/>
      </c>
      <c r="B68" t="str">
        <v/>
      </c>
      <c r="C68" t="str">
        <v/>
      </c>
      <c r="D68" t="str">
        <v/>
      </c>
      <c r="E68" t="str">
        <v/>
      </c>
      <c r="F68" t="str">
        <v/>
      </c>
      <c r="G68" t="str">
        <v/>
      </c>
      <c r="H68" t="str">
        <v/>
      </c>
      <c r="I68" t="str">
        <v/>
      </c>
      <c r="J68" t="str">
        <v/>
      </c>
      <c r="K68" t="str">
        <v/>
      </c>
      <c r="L68" t="str">
        <v/>
      </c>
      <c r="M68" t="str">
        <v/>
      </c>
      <c r="N68" t="str">
        <v/>
      </c>
      <c r="O68" t="str">
        <v/>
      </c>
      <c r="P68">
        <f t="shared" ref="P68:P131" si="10">IF(F68="Sí",1,0)</f>
        <v>0</v>
      </c>
      <c r="Q68">
        <f t="shared" ref="Q68:Q131" si="11">IF(J68="En coordinación",1,0)</f>
        <v>0</v>
      </c>
      <c r="R68">
        <f t="shared" ref="R68:R131" si="12">IF(J68="En coordinación",1,0)</f>
        <v>0</v>
      </c>
      <c r="S68">
        <f t="shared" si="8"/>
        <v>0</v>
      </c>
      <c r="T68">
        <f t="shared" si="9"/>
        <v>0</v>
      </c>
    </row>
    <row r="69" x14ac:dyDescent="0.35">
      <c r="A69" t="str">
        <v/>
      </c>
      <c r="B69" t="str">
        <v/>
      </c>
      <c r="C69" t="str">
        <v/>
      </c>
      <c r="D69" t="str">
        <v/>
      </c>
      <c r="E69" t="str">
        <v/>
      </c>
      <c r="F69" t="str">
        <v/>
      </c>
      <c r="G69" t="str">
        <v/>
      </c>
      <c r="H69" t="str">
        <v/>
      </c>
      <c r="I69" t="str">
        <v/>
      </c>
      <c r="J69" t="str">
        <v/>
      </c>
      <c r="K69" t="str">
        <v/>
      </c>
      <c r="L69" t="str">
        <v/>
      </c>
      <c r="M69" t="str">
        <v/>
      </c>
      <c r="N69" t="str">
        <v/>
      </c>
      <c r="O69" t="str">
        <v/>
      </c>
      <c r="P69">
        <f t="shared" si="10"/>
        <v>0</v>
      </c>
      <c r="Q69">
        <f t="shared" si="11"/>
        <v>0</v>
      </c>
      <c r="R69">
        <f t="shared" si="12"/>
        <v>0</v>
      </c>
      <c r="S69">
        <f t="shared" si="8"/>
        <v>0</v>
      </c>
      <c r="T69">
        <f t="shared" si="9"/>
        <v>0</v>
      </c>
    </row>
    <row r="70" x14ac:dyDescent="0.35">
      <c r="A70" t="str">
        <v/>
      </c>
      <c r="B70" t="str">
        <v/>
      </c>
      <c r="C70" t="str">
        <v/>
      </c>
      <c r="D70" t="str">
        <v/>
      </c>
      <c r="E70" t="str">
        <v/>
      </c>
      <c r="F70" t="str">
        <v/>
      </c>
      <c r="G70" t="str">
        <v/>
      </c>
      <c r="H70" t="str">
        <v/>
      </c>
      <c r="I70" t="str">
        <v/>
      </c>
      <c r="J70" t="str">
        <v/>
      </c>
      <c r="K70" t="str">
        <v/>
      </c>
      <c r="L70" t="str">
        <v/>
      </c>
      <c r="M70" t="str">
        <v/>
      </c>
      <c r="N70" t="str">
        <v/>
      </c>
      <c r="O70" t="str">
        <v/>
      </c>
      <c r="P70">
        <f t="shared" si="10"/>
        <v>0</v>
      </c>
      <c r="Q70">
        <f t="shared" si="11"/>
        <v>0</v>
      </c>
      <c r="R70">
        <f t="shared" si="12"/>
        <v>0</v>
      </c>
      <c r="S70">
        <f t="shared" si="8"/>
        <v>0</v>
      </c>
      <c r="T70">
        <f t="shared" si="9"/>
        <v>0</v>
      </c>
    </row>
    <row r="71" x14ac:dyDescent="0.35">
      <c r="A71" t="str">
        <v/>
      </c>
      <c r="B71" t="str">
        <v/>
      </c>
      <c r="C71" t="str">
        <v/>
      </c>
      <c r="D71" t="str">
        <v/>
      </c>
      <c r="E71" t="str">
        <v/>
      </c>
      <c r="F71" t="str">
        <v/>
      </c>
      <c r="G71" t="str">
        <v/>
      </c>
      <c r="H71" t="str">
        <v/>
      </c>
      <c r="I71" t="str">
        <v/>
      </c>
      <c r="J71" t="str">
        <v/>
      </c>
      <c r="K71" t="str">
        <v/>
      </c>
      <c r="L71" t="str">
        <v/>
      </c>
      <c r="M71" t="str">
        <v/>
      </c>
      <c r="N71" t="str">
        <v/>
      </c>
      <c r="O71" t="str">
        <v/>
      </c>
      <c r="P71">
        <f t="shared" si="10"/>
        <v>0</v>
      </c>
      <c r="Q71">
        <f t="shared" si="11"/>
        <v>0</v>
      </c>
      <c r="R71">
        <f t="shared" si="12"/>
        <v>0</v>
      </c>
      <c r="S71">
        <f t="shared" si="8"/>
        <v>0</v>
      </c>
      <c r="T71">
        <f t="shared" si="9"/>
        <v>0</v>
      </c>
    </row>
    <row r="72" x14ac:dyDescent="0.35">
      <c r="A72" t="str">
        <v/>
      </c>
      <c r="B72" t="str">
        <v/>
      </c>
      <c r="C72" t="str">
        <v/>
      </c>
      <c r="D72" t="str">
        <v/>
      </c>
      <c r="E72" t="str">
        <v/>
      </c>
      <c r="F72" t="str">
        <v/>
      </c>
      <c r="G72" t="str">
        <v/>
      </c>
      <c r="H72" t="str">
        <v/>
      </c>
      <c r="I72" t="str">
        <v/>
      </c>
      <c r="J72" t="str">
        <v/>
      </c>
      <c r="K72" t="str">
        <v/>
      </c>
      <c r="L72" t="str">
        <v/>
      </c>
      <c r="M72" t="str">
        <v/>
      </c>
      <c r="N72" t="str">
        <v/>
      </c>
      <c r="O72" t="str">
        <v/>
      </c>
      <c r="P72">
        <f t="shared" si="10"/>
        <v>0</v>
      </c>
      <c r="Q72">
        <f t="shared" si="11"/>
        <v>0</v>
      </c>
      <c r="R72">
        <f t="shared" si="12"/>
        <v>0</v>
      </c>
      <c r="S72">
        <f t="shared" si="8"/>
        <v>0</v>
      </c>
      <c r="T72">
        <f t="shared" si="9"/>
        <v>0</v>
      </c>
    </row>
    <row r="73" x14ac:dyDescent="0.35">
      <c r="A73" t="str">
        <v/>
      </c>
      <c r="B73" t="str">
        <v/>
      </c>
      <c r="C73" t="str">
        <v/>
      </c>
      <c r="D73" t="str">
        <v/>
      </c>
      <c r="E73" t="str">
        <v/>
      </c>
      <c r="F73" t="str">
        <v/>
      </c>
      <c r="G73" t="str">
        <v/>
      </c>
      <c r="H73" t="str">
        <v/>
      </c>
      <c r="I73" t="str">
        <v/>
      </c>
      <c r="J73" t="str">
        <v/>
      </c>
      <c r="K73" t="str">
        <v/>
      </c>
      <c r="L73" t="str">
        <v/>
      </c>
      <c r="M73" t="str">
        <v/>
      </c>
      <c r="N73" t="str">
        <v/>
      </c>
      <c r="O73" t="str">
        <v/>
      </c>
      <c r="P73">
        <f t="shared" si="10"/>
        <v>0</v>
      </c>
      <c r="Q73">
        <f t="shared" si="11"/>
        <v>0</v>
      </c>
      <c r="R73">
        <f t="shared" si="12"/>
        <v>0</v>
      </c>
      <c r="S73">
        <f t="shared" si="8"/>
        <v>0</v>
      </c>
      <c r="T73">
        <f t="shared" si="9"/>
        <v>0</v>
      </c>
    </row>
    <row r="74" x14ac:dyDescent="0.35">
      <c r="A74" t="str">
        <v/>
      </c>
      <c r="B74" t="str">
        <v/>
      </c>
      <c r="C74" t="str">
        <v/>
      </c>
      <c r="D74" t="str">
        <v/>
      </c>
      <c r="E74" t="str">
        <v/>
      </c>
      <c r="F74" t="str">
        <v/>
      </c>
      <c r="G74" t="str">
        <v/>
      </c>
      <c r="H74" t="str">
        <v/>
      </c>
      <c r="I74" t="str">
        <v/>
      </c>
      <c r="J74" t="str">
        <v/>
      </c>
      <c r="K74" t="str">
        <v/>
      </c>
      <c r="L74" t="str">
        <v/>
      </c>
      <c r="M74" t="str">
        <v/>
      </c>
      <c r="N74" t="str">
        <v/>
      </c>
      <c r="O74" t="str">
        <v/>
      </c>
      <c r="P74">
        <f t="shared" si="10"/>
        <v>0</v>
      </c>
      <c r="Q74">
        <f t="shared" si="11"/>
        <v>0</v>
      </c>
      <c r="R74">
        <f t="shared" si="12"/>
        <v>0</v>
      </c>
      <c r="S74">
        <f t="shared" si="8"/>
        <v>0</v>
      </c>
      <c r="T74">
        <f t="shared" si="9"/>
        <v>0</v>
      </c>
    </row>
    <row r="75" x14ac:dyDescent="0.35">
      <c r="A75" t="str">
        <v/>
      </c>
      <c r="B75" t="str">
        <v/>
      </c>
      <c r="C75" t="str">
        <v/>
      </c>
      <c r="D75" t="str">
        <v/>
      </c>
      <c r="E75" t="str">
        <v/>
      </c>
      <c r="F75" t="str">
        <v/>
      </c>
      <c r="G75" t="str">
        <v/>
      </c>
      <c r="H75" t="str">
        <v/>
      </c>
      <c r="I75" t="str">
        <v/>
      </c>
      <c r="J75" t="str">
        <v/>
      </c>
      <c r="K75" t="str">
        <v/>
      </c>
      <c r="L75" t="str">
        <v/>
      </c>
      <c r="M75" t="str">
        <v/>
      </c>
      <c r="N75" t="str">
        <v/>
      </c>
      <c r="O75" t="str">
        <v/>
      </c>
      <c r="P75">
        <f t="shared" si="10"/>
        <v>0</v>
      </c>
      <c r="Q75">
        <f t="shared" si="11"/>
        <v>0</v>
      </c>
      <c r="R75">
        <f t="shared" si="12"/>
        <v>0</v>
      </c>
      <c r="S75">
        <f t="shared" si="8"/>
        <v>0</v>
      </c>
      <c r="T75">
        <f t="shared" si="9"/>
        <v>0</v>
      </c>
    </row>
    <row r="76" x14ac:dyDescent="0.35">
      <c r="A76" t="str">
        <v/>
      </c>
      <c r="B76" t="str">
        <v/>
      </c>
      <c r="C76" t="str">
        <v/>
      </c>
      <c r="D76" t="str">
        <v/>
      </c>
      <c r="E76" t="str">
        <v/>
      </c>
      <c r="F76" t="str">
        <v/>
      </c>
      <c r="G76" t="str">
        <v/>
      </c>
      <c r="H76" t="str">
        <v/>
      </c>
      <c r="I76" t="str">
        <v/>
      </c>
      <c r="J76" t="str">
        <v/>
      </c>
      <c r="K76" t="str">
        <v/>
      </c>
      <c r="L76" t="str">
        <v/>
      </c>
      <c r="M76" t="str">
        <v/>
      </c>
      <c r="N76" t="str">
        <v/>
      </c>
      <c r="O76" t="str">
        <v/>
      </c>
      <c r="P76">
        <f t="shared" si="10"/>
        <v>0</v>
      </c>
      <c r="Q76">
        <f t="shared" si="11"/>
        <v>0</v>
      </c>
      <c r="R76">
        <f t="shared" si="12"/>
        <v>0</v>
      </c>
      <c r="S76">
        <f t="shared" si="8"/>
        <v>0</v>
      </c>
      <c r="T76">
        <f t="shared" si="9"/>
        <v>0</v>
      </c>
    </row>
    <row r="77" x14ac:dyDescent="0.35">
      <c r="A77" t="str">
        <v/>
      </c>
      <c r="B77" t="str">
        <v/>
      </c>
      <c r="C77" t="str">
        <v/>
      </c>
      <c r="D77" t="str">
        <v/>
      </c>
      <c r="E77" t="str">
        <v/>
      </c>
      <c r="F77" t="str">
        <v/>
      </c>
      <c r="G77" t="str">
        <v/>
      </c>
      <c r="H77" t="str">
        <v/>
      </c>
      <c r="I77" t="str">
        <v/>
      </c>
      <c r="J77" t="str">
        <v/>
      </c>
      <c r="K77" t="str">
        <v/>
      </c>
      <c r="L77" t="str">
        <v/>
      </c>
      <c r="M77" t="str">
        <v/>
      </c>
      <c r="N77" t="str">
        <v/>
      </c>
      <c r="O77" t="str">
        <v/>
      </c>
      <c r="P77">
        <f t="shared" si="10"/>
        <v>0</v>
      </c>
      <c r="Q77">
        <f t="shared" si="11"/>
        <v>0</v>
      </c>
      <c r="R77">
        <f t="shared" si="12"/>
        <v>0</v>
      </c>
      <c r="S77">
        <f t="shared" si="8"/>
        <v>0</v>
      </c>
      <c r="T77">
        <f t="shared" si="9"/>
        <v>0</v>
      </c>
    </row>
    <row r="78" x14ac:dyDescent="0.35">
      <c r="A78" t="str">
        <v/>
      </c>
      <c r="B78" t="str">
        <v/>
      </c>
      <c r="C78" t="str">
        <v/>
      </c>
      <c r="D78" t="str">
        <v/>
      </c>
      <c r="E78" t="str">
        <v/>
      </c>
      <c r="F78" t="str">
        <v/>
      </c>
      <c r="G78" t="str">
        <v/>
      </c>
      <c r="H78" t="str">
        <v/>
      </c>
      <c r="I78" t="str">
        <v/>
      </c>
      <c r="J78" t="str">
        <v/>
      </c>
      <c r="K78" t="str">
        <v/>
      </c>
      <c r="L78" t="str">
        <v/>
      </c>
      <c r="M78" t="str">
        <v/>
      </c>
      <c r="N78" t="str">
        <v/>
      </c>
      <c r="O78" t="str">
        <v/>
      </c>
      <c r="P78">
        <f t="shared" si="10"/>
        <v>0</v>
      </c>
      <c r="Q78">
        <f t="shared" si="11"/>
        <v>0</v>
      </c>
      <c r="R78">
        <f t="shared" si="12"/>
        <v>0</v>
      </c>
      <c r="S78">
        <f t="shared" si="8"/>
        <v>0</v>
      </c>
      <c r="T78">
        <f t="shared" si="9"/>
        <v>0</v>
      </c>
    </row>
    <row r="79" x14ac:dyDescent="0.35">
      <c r="A79" t="str">
        <v/>
      </c>
      <c r="B79" t="str">
        <v/>
      </c>
      <c r="C79" t="str">
        <v/>
      </c>
      <c r="D79" t="str">
        <v/>
      </c>
      <c r="E79" t="str">
        <v/>
      </c>
      <c r="F79" t="str">
        <v/>
      </c>
      <c r="G79" t="str">
        <v/>
      </c>
      <c r="H79" t="str">
        <v/>
      </c>
      <c r="I79" t="str">
        <v/>
      </c>
      <c r="J79" t="str">
        <v/>
      </c>
      <c r="K79" t="str">
        <v/>
      </c>
      <c r="L79" t="str">
        <v/>
      </c>
      <c r="M79" t="str">
        <v/>
      </c>
      <c r="N79" t="str">
        <v/>
      </c>
      <c r="O79" t="str">
        <v/>
      </c>
      <c r="P79">
        <f t="shared" si="10"/>
        <v>0</v>
      </c>
      <c r="Q79">
        <f t="shared" si="11"/>
        <v>0</v>
      </c>
      <c r="R79">
        <f t="shared" si="12"/>
        <v>0</v>
      </c>
      <c r="S79">
        <f t="shared" si="8"/>
        <v>0</v>
      </c>
      <c r="T79">
        <f t="shared" si="9"/>
        <v>0</v>
      </c>
    </row>
    <row r="80" x14ac:dyDescent="0.35">
      <c r="A80" t="str">
        <v/>
      </c>
      <c r="B80" t="str">
        <v/>
      </c>
      <c r="C80" t="str">
        <v/>
      </c>
      <c r="D80" t="str">
        <v/>
      </c>
      <c r="E80" t="str">
        <v/>
      </c>
      <c r="F80" t="str">
        <v/>
      </c>
      <c r="G80" t="str">
        <v/>
      </c>
      <c r="H80" t="str">
        <v/>
      </c>
      <c r="I80" t="str">
        <v/>
      </c>
      <c r="J80" t="str">
        <v/>
      </c>
      <c r="K80" t="str">
        <v/>
      </c>
      <c r="L80" t="str">
        <v/>
      </c>
      <c r="M80" t="str">
        <v/>
      </c>
      <c r="N80" t="str">
        <v/>
      </c>
      <c r="O80" t="str">
        <v/>
      </c>
      <c r="P80">
        <f t="shared" si="10"/>
        <v>0</v>
      </c>
      <c r="Q80">
        <f t="shared" si="11"/>
        <v>0</v>
      </c>
      <c r="R80">
        <f t="shared" si="12"/>
        <v>0</v>
      </c>
      <c r="S80">
        <f t="shared" si="8"/>
        <v>0</v>
      </c>
      <c r="T80">
        <f t="shared" si="9"/>
        <v>0</v>
      </c>
    </row>
    <row r="81" x14ac:dyDescent="0.35">
      <c r="A81" t="str">
        <v/>
      </c>
      <c r="B81" t="str">
        <v/>
      </c>
      <c r="C81" t="str">
        <v/>
      </c>
      <c r="D81" t="str">
        <v/>
      </c>
      <c r="E81" t="str">
        <v/>
      </c>
      <c r="F81" t="str">
        <v/>
      </c>
      <c r="G81" t="str">
        <v/>
      </c>
      <c r="H81" t="str">
        <v/>
      </c>
      <c r="I81" t="str">
        <v/>
      </c>
      <c r="J81" t="str">
        <v/>
      </c>
      <c r="K81" t="str">
        <v/>
      </c>
      <c r="L81" t="str">
        <v/>
      </c>
      <c r="M81" t="str">
        <v/>
      </c>
      <c r="N81" t="str">
        <v/>
      </c>
      <c r="O81" t="str">
        <v/>
      </c>
      <c r="P81">
        <f t="shared" si="10"/>
        <v>0</v>
      </c>
      <c r="Q81">
        <f t="shared" si="11"/>
        <v>0</v>
      </c>
      <c r="R81">
        <f t="shared" si="12"/>
        <v>0</v>
      </c>
      <c r="S81">
        <f t="shared" si="8"/>
        <v>0</v>
      </c>
      <c r="T81">
        <f t="shared" si="9"/>
        <v>0</v>
      </c>
    </row>
    <row r="82" x14ac:dyDescent="0.35">
      <c r="A82" t="str">
        <v/>
      </c>
      <c r="B82" t="str">
        <v/>
      </c>
      <c r="C82" t="str">
        <v/>
      </c>
      <c r="D82" t="str">
        <v/>
      </c>
      <c r="E82" t="str">
        <v/>
      </c>
      <c r="F82" t="str">
        <v/>
      </c>
      <c r="G82" t="str">
        <v/>
      </c>
      <c r="H82" t="str">
        <v/>
      </c>
      <c r="I82" t="str">
        <v/>
      </c>
      <c r="J82" t="str">
        <v/>
      </c>
      <c r="K82" t="str">
        <v/>
      </c>
      <c r="L82" t="str">
        <v/>
      </c>
      <c r="M82" t="str">
        <v/>
      </c>
      <c r="N82" t="str">
        <v/>
      </c>
      <c r="O82" t="str">
        <v/>
      </c>
      <c r="P82">
        <f t="shared" si="10"/>
        <v>0</v>
      </c>
      <c r="Q82">
        <f t="shared" si="11"/>
        <v>0</v>
      </c>
      <c r="R82">
        <f t="shared" si="12"/>
        <v>0</v>
      </c>
      <c r="S82">
        <f t="shared" si="8"/>
        <v>0</v>
      </c>
      <c r="T82">
        <f t="shared" si="9"/>
        <v>0</v>
      </c>
    </row>
    <row r="83" x14ac:dyDescent="0.35">
      <c r="A83" t="str">
        <v/>
      </c>
      <c r="B83" t="str">
        <v/>
      </c>
      <c r="C83" t="str">
        <v/>
      </c>
      <c r="D83" t="str">
        <v/>
      </c>
      <c r="E83" t="str">
        <v/>
      </c>
      <c r="F83" t="str">
        <v/>
      </c>
      <c r="G83" t="str">
        <v/>
      </c>
      <c r="H83" t="str">
        <v/>
      </c>
      <c r="I83" t="str">
        <v/>
      </c>
      <c r="J83" t="str">
        <v/>
      </c>
      <c r="K83" t="str">
        <v/>
      </c>
      <c r="L83" t="str">
        <v/>
      </c>
      <c r="M83" t="str">
        <v/>
      </c>
      <c r="N83" t="str">
        <v/>
      </c>
      <c r="O83" t="str">
        <v/>
      </c>
      <c r="P83">
        <f t="shared" si="10"/>
        <v>0</v>
      </c>
      <c r="Q83">
        <f t="shared" si="11"/>
        <v>0</v>
      </c>
      <c r="R83">
        <f t="shared" si="12"/>
        <v>0</v>
      </c>
      <c r="S83">
        <f t="shared" si="8"/>
        <v>0</v>
      </c>
      <c r="T83">
        <f t="shared" si="9"/>
        <v>0</v>
      </c>
    </row>
    <row r="84" x14ac:dyDescent="0.35">
      <c r="A84" t="str">
        <v/>
      </c>
      <c r="B84" t="str">
        <v/>
      </c>
      <c r="C84" t="str">
        <v/>
      </c>
      <c r="D84" t="str">
        <v/>
      </c>
      <c r="E84" t="str">
        <v/>
      </c>
      <c r="F84" t="str">
        <v/>
      </c>
      <c r="G84" t="str">
        <v/>
      </c>
      <c r="H84" t="str">
        <v/>
      </c>
      <c r="I84" t="str">
        <v/>
      </c>
      <c r="J84" t="str">
        <v/>
      </c>
      <c r="K84" t="str">
        <v/>
      </c>
      <c r="L84" t="str">
        <v/>
      </c>
      <c r="M84" t="str">
        <v/>
      </c>
      <c r="N84" t="str">
        <v/>
      </c>
      <c r="O84" t="str">
        <v/>
      </c>
      <c r="P84">
        <f t="shared" si="10"/>
        <v>0</v>
      </c>
      <c r="Q84">
        <f t="shared" si="11"/>
        <v>0</v>
      </c>
      <c r="R84">
        <f t="shared" si="12"/>
        <v>0</v>
      </c>
      <c r="S84">
        <f t="shared" si="8"/>
        <v>0</v>
      </c>
      <c r="T84">
        <f t="shared" si="9"/>
        <v>0</v>
      </c>
    </row>
    <row r="85" x14ac:dyDescent="0.35">
      <c r="A85" t="str">
        <v/>
      </c>
      <c r="B85" t="str">
        <v/>
      </c>
      <c r="C85" t="str">
        <v/>
      </c>
      <c r="D85" t="str">
        <v/>
      </c>
      <c r="E85" t="str">
        <v/>
      </c>
      <c r="F85" t="str">
        <v/>
      </c>
      <c r="G85" t="str">
        <v/>
      </c>
      <c r="H85" t="str">
        <v/>
      </c>
      <c r="I85" t="str">
        <v/>
      </c>
      <c r="J85" t="str">
        <v/>
      </c>
      <c r="K85" t="str">
        <v/>
      </c>
      <c r="L85" t="str">
        <v/>
      </c>
      <c r="M85" t="str">
        <v/>
      </c>
      <c r="N85" t="str">
        <v/>
      </c>
      <c r="O85" t="str">
        <v/>
      </c>
      <c r="P85">
        <f t="shared" si="10"/>
        <v>0</v>
      </c>
      <c r="Q85">
        <f t="shared" si="11"/>
        <v>0</v>
      </c>
      <c r="R85">
        <f t="shared" si="12"/>
        <v>0</v>
      </c>
      <c r="S85">
        <f t="shared" si="8"/>
        <v>0</v>
      </c>
      <c r="T85">
        <f t="shared" si="9"/>
        <v>0</v>
      </c>
    </row>
    <row r="86" x14ac:dyDescent="0.35">
      <c r="A86" t="str">
        <v/>
      </c>
      <c r="B86" t="str">
        <v/>
      </c>
      <c r="C86" t="str">
        <v/>
      </c>
      <c r="D86" t="str">
        <v/>
      </c>
      <c r="E86" t="str">
        <v/>
      </c>
      <c r="F86" t="str">
        <v/>
      </c>
      <c r="G86" t="str">
        <v/>
      </c>
      <c r="H86" t="str">
        <v/>
      </c>
      <c r="I86" t="str">
        <v/>
      </c>
      <c r="J86" t="str">
        <v/>
      </c>
      <c r="K86" t="str">
        <v/>
      </c>
      <c r="L86" t="str">
        <v/>
      </c>
      <c r="M86" t="str">
        <v/>
      </c>
      <c r="N86" t="str">
        <v/>
      </c>
      <c r="O86" t="str">
        <v/>
      </c>
      <c r="P86">
        <f t="shared" si="10"/>
        <v>0</v>
      </c>
      <c r="Q86">
        <f t="shared" si="11"/>
        <v>0</v>
      </c>
      <c r="R86">
        <f t="shared" si="12"/>
        <v>0</v>
      </c>
      <c r="S86">
        <f t="shared" si="8"/>
        <v>0</v>
      </c>
      <c r="T86">
        <f t="shared" si="9"/>
        <v>0</v>
      </c>
    </row>
    <row r="87" x14ac:dyDescent="0.35">
      <c r="A87" t="str">
        <v/>
      </c>
      <c r="B87" t="str">
        <v/>
      </c>
      <c r="C87" t="str">
        <v/>
      </c>
      <c r="D87" t="str">
        <v/>
      </c>
      <c r="E87" t="str">
        <v/>
      </c>
      <c r="F87" t="str">
        <v/>
      </c>
      <c r="G87" t="str">
        <v/>
      </c>
      <c r="H87" t="str">
        <v/>
      </c>
      <c r="I87" t="str">
        <v/>
      </c>
      <c r="J87" t="str">
        <v/>
      </c>
      <c r="K87" t="str">
        <v/>
      </c>
      <c r="L87" t="str">
        <v/>
      </c>
      <c r="M87" t="str">
        <v/>
      </c>
      <c r="N87" t="str">
        <v/>
      </c>
      <c r="O87" t="str">
        <v/>
      </c>
      <c r="P87">
        <f t="shared" si="10"/>
        <v>0</v>
      </c>
      <c r="Q87">
        <f t="shared" si="11"/>
        <v>0</v>
      </c>
      <c r="R87">
        <f t="shared" si="12"/>
        <v>0</v>
      </c>
      <c r="S87">
        <f t="shared" si="8"/>
        <v>0</v>
      </c>
      <c r="T87">
        <f t="shared" si="9"/>
        <v>0</v>
      </c>
    </row>
    <row r="88" x14ac:dyDescent="0.35">
      <c r="A88" t="str">
        <v/>
      </c>
      <c r="B88" t="str">
        <v/>
      </c>
      <c r="C88" t="str">
        <v/>
      </c>
      <c r="D88" t="str">
        <v/>
      </c>
      <c r="E88" t="str">
        <v/>
      </c>
      <c r="F88" t="str">
        <v/>
      </c>
      <c r="G88" t="str">
        <v/>
      </c>
      <c r="H88" t="str">
        <v/>
      </c>
      <c r="I88" t="str">
        <v/>
      </c>
      <c r="J88" t="str">
        <v/>
      </c>
      <c r="K88" t="str">
        <v/>
      </c>
      <c r="L88" t="str">
        <v/>
      </c>
      <c r="M88" t="str">
        <v/>
      </c>
      <c r="N88" t="str">
        <v/>
      </c>
      <c r="O88" t="str">
        <v/>
      </c>
      <c r="P88">
        <f t="shared" si="10"/>
        <v>0</v>
      </c>
      <c r="Q88">
        <f t="shared" si="11"/>
        <v>0</v>
      </c>
      <c r="R88">
        <f t="shared" si="12"/>
        <v>0</v>
      </c>
      <c r="S88">
        <f t="shared" si="8"/>
        <v>0</v>
      </c>
      <c r="T88">
        <f t="shared" si="9"/>
        <v>0</v>
      </c>
    </row>
    <row r="89" x14ac:dyDescent="0.35">
      <c r="A89" t="str">
        <v/>
      </c>
      <c r="B89" t="str">
        <v/>
      </c>
      <c r="C89" t="str">
        <v/>
      </c>
      <c r="D89" t="str">
        <v/>
      </c>
      <c r="E89" t="str">
        <v/>
      </c>
      <c r="F89" t="str">
        <v/>
      </c>
      <c r="G89" t="str">
        <v/>
      </c>
      <c r="H89" t="str">
        <v/>
      </c>
      <c r="I89" t="str">
        <v/>
      </c>
      <c r="J89" t="str">
        <v/>
      </c>
      <c r="K89" t="str">
        <v/>
      </c>
      <c r="L89" t="str">
        <v/>
      </c>
      <c r="M89" t="str">
        <v/>
      </c>
      <c r="N89" t="str">
        <v/>
      </c>
      <c r="O89" t="str">
        <v/>
      </c>
      <c r="P89">
        <f t="shared" si="10"/>
        <v>0</v>
      </c>
      <c r="Q89">
        <f t="shared" si="11"/>
        <v>0</v>
      </c>
      <c r="R89">
        <f t="shared" si="12"/>
        <v>0</v>
      </c>
      <c r="S89">
        <f t="shared" si="8"/>
        <v>0</v>
      </c>
      <c r="T89">
        <f t="shared" si="9"/>
        <v>0</v>
      </c>
    </row>
    <row r="90" x14ac:dyDescent="0.35">
      <c r="A90" t="str">
        <v/>
      </c>
      <c r="B90" t="str">
        <v/>
      </c>
      <c r="C90" t="str">
        <v/>
      </c>
      <c r="D90" t="str">
        <v/>
      </c>
      <c r="E90" t="str">
        <v/>
      </c>
      <c r="F90" t="str">
        <v/>
      </c>
      <c r="G90" t="str">
        <v/>
      </c>
      <c r="H90" t="str">
        <v/>
      </c>
      <c r="I90" t="str">
        <v/>
      </c>
      <c r="J90" t="str">
        <v/>
      </c>
      <c r="K90" t="str">
        <v/>
      </c>
      <c r="L90" t="str">
        <v/>
      </c>
      <c r="M90" t="str">
        <v/>
      </c>
      <c r="N90" t="str">
        <v/>
      </c>
      <c r="O90" t="str">
        <v/>
      </c>
      <c r="P90">
        <f t="shared" si="10"/>
        <v>0</v>
      </c>
      <c r="Q90">
        <f t="shared" si="11"/>
        <v>0</v>
      </c>
      <c r="R90">
        <f t="shared" si="12"/>
        <v>0</v>
      </c>
      <c r="S90">
        <f t="shared" si="8"/>
        <v>0</v>
      </c>
      <c r="T90">
        <f t="shared" si="9"/>
        <v>0</v>
      </c>
    </row>
    <row r="91" x14ac:dyDescent="0.35">
      <c r="A91" t="str">
        <v/>
      </c>
      <c r="B91" t="str">
        <v/>
      </c>
      <c r="C91" t="str">
        <v/>
      </c>
      <c r="D91" t="str">
        <v/>
      </c>
      <c r="E91" t="str">
        <v/>
      </c>
      <c r="F91" t="str">
        <v/>
      </c>
      <c r="G91" t="str">
        <v/>
      </c>
      <c r="H91" t="str">
        <v/>
      </c>
      <c r="I91" t="str">
        <v/>
      </c>
      <c r="J91" t="str">
        <v/>
      </c>
      <c r="K91" t="str">
        <v/>
      </c>
      <c r="L91" t="str">
        <v/>
      </c>
      <c r="M91" t="str">
        <v/>
      </c>
      <c r="N91" t="str">
        <v/>
      </c>
      <c r="O91" t="str">
        <v/>
      </c>
      <c r="P91">
        <f t="shared" si="10"/>
        <v>0</v>
      </c>
      <c r="Q91">
        <f t="shared" si="11"/>
        <v>0</v>
      </c>
      <c r="R91">
        <f t="shared" si="12"/>
        <v>0</v>
      </c>
      <c r="S91">
        <f t="shared" si="8"/>
        <v>0</v>
      </c>
      <c r="T91">
        <f t="shared" si="9"/>
        <v>0</v>
      </c>
    </row>
    <row r="92" x14ac:dyDescent="0.35">
      <c r="A92" t="str">
        <v/>
      </c>
      <c r="B92" t="str">
        <v/>
      </c>
      <c r="C92" t="str">
        <v/>
      </c>
      <c r="D92" t="str">
        <v/>
      </c>
      <c r="E92" t="str">
        <v/>
      </c>
      <c r="F92" t="str">
        <v/>
      </c>
      <c r="G92" t="str">
        <v/>
      </c>
      <c r="H92" t="str">
        <v/>
      </c>
      <c r="I92" t="str">
        <v/>
      </c>
      <c r="J92" t="str">
        <v/>
      </c>
      <c r="K92" t="str">
        <v/>
      </c>
      <c r="L92" t="str">
        <v/>
      </c>
      <c r="M92" t="str">
        <v/>
      </c>
      <c r="N92" t="str">
        <v/>
      </c>
      <c r="O92" t="str">
        <v/>
      </c>
      <c r="P92">
        <f t="shared" si="10"/>
        <v>0</v>
      </c>
      <c r="Q92">
        <f t="shared" si="11"/>
        <v>0</v>
      </c>
      <c r="R92">
        <f t="shared" si="12"/>
        <v>0</v>
      </c>
      <c r="S92">
        <f t="shared" si="8"/>
        <v>0</v>
      </c>
      <c r="T92">
        <f t="shared" si="9"/>
        <v>0</v>
      </c>
    </row>
    <row r="93" x14ac:dyDescent="0.35">
      <c r="A93" t="str">
        <v/>
      </c>
      <c r="B93" t="str">
        <v/>
      </c>
      <c r="C93" t="str">
        <v/>
      </c>
      <c r="D93" t="str">
        <v/>
      </c>
      <c r="E93" t="str">
        <v/>
      </c>
      <c r="F93" t="str">
        <v/>
      </c>
      <c r="G93" t="str">
        <v/>
      </c>
      <c r="H93" t="str">
        <v/>
      </c>
      <c r="I93" t="str">
        <v/>
      </c>
      <c r="J93" t="str">
        <v/>
      </c>
      <c r="K93" t="str">
        <v/>
      </c>
      <c r="L93" t="str">
        <v/>
      </c>
      <c r="M93" t="str">
        <v/>
      </c>
      <c r="N93" t="str">
        <v/>
      </c>
      <c r="O93" t="str">
        <v/>
      </c>
      <c r="P93">
        <f t="shared" si="10"/>
        <v>0</v>
      </c>
      <c r="Q93">
        <f t="shared" si="11"/>
        <v>0</v>
      </c>
      <c r="R93">
        <f t="shared" si="12"/>
        <v>0</v>
      </c>
      <c r="S93">
        <f t="shared" si="8"/>
        <v>0</v>
      </c>
      <c r="T93">
        <f t="shared" si="9"/>
        <v>0</v>
      </c>
    </row>
    <row r="94" x14ac:dyDescent="0.35">
      <c r="A94" t="str">
        <v/>
      </c>
      <c r="B94" t="str">
        <v/>
      </c>
      <c r="C94" t="str">
        <v/>
      </c>
      <c r="D94" t="str">
        <v/>
      </c>
      <c r="E94" t="str">
        <v/>
      </c>
      <c r="F94" t="str">
        <v/>
      </c>
      <c r="G94" t="str">
        <v/>
      </c>
      <c r="H94" t="str">
        <v/>
      </c>
      <c r="I94" t="str">
        <v/>
      </c>
      <c r="J94" t="str">
        <v/>
      </c>
      <c r="K94" t="str">
        <v/>
      </c>
      <c r="L94" t="str">
        <v/>
      </c>
      <c r="M94" t="str">
        <v/>
      </c>
      <c r="N94" t="str">
        <v/>
      </c>
      <c r="O94" t="str">
        <v/>
      </c>
      <c r="P94">
        <f t="shared" si="10"/>
        <v>0</v>
      </c>
      <c r="Q94">
        <f t="shared" si="11"/>
        <v>0</v>
      </c>
      <c r="R94">
        <f t="shared" si="12"/>
        <v>0</v>
      </c>
      <c r="S94">
        <f t="shared" si="8"/>
        <v>0</v>
      </c>
      <c r="T94">
        <f t="shared" si="9"/>
        <v>0</v>
      </c>
    </row>
    <row r="95" x14ac:dyDescent="0.35">
      <c r="A95" t="str">
        <v/>
      </c>
      <c r="B95" t="str">
        <v/>
      </c>
      <c r="C95" t="str">
        <v/>
      </c>
      <c r="D95" t="str">
        <v/>
      </c>
      <c r="E95" t="str">
        <v/>
      </c>
      <c r="F95" t="str">
        <v/>
      </c>
      <c r="G95" t="str">
        <v/>
      </c>
      <c r="H95" t="str">
        <v/>
      </c>
      <c r="I95" t="str">
        <v/>
      </c>
      <c r="J95" t="str">
        <v/>
      </c>
      <c r="K95" t="str">
        <v/>
      </c>
      <c r="L95" t="str">
        <v/>
      </c>
      <c r="M95" t="str">
        <v/>
      </c>
      <c r="N95" t="str">
        <v/>
      </c>
      <c r="O95" t="str">
        <v/>
      </c>
      <c r="P95">
        <f t="shared" si="10"/>
        <v>0</v>
      </c>
      <c r="Q95">
        <f t="shared" si="11"/>
        <v>0</v>
      </c>
      <c r="R95">
        <f t="shared" si="12"/>
        <v>0</v>
      </c>
      <c r="S95">
        <f t="shared" si="8"/>
        <v>0</v>
      </c>
      <c r="T95">
        <f t="shared" si="9"/>
        <v>0</v>
      </c>
    </row>
    <row r="96" x14ac:dyDescent="0.35">
      <c r="A96" t="str">
        <v/>
      </c>
      <c r="B96" t="str">
        <v/>
      </c>
      <c r="C96" t="str">
        <v/>
      </c>
      <c r="D96" t="str">
        <v/>
      </c>
      <c r="E96" t="str">
        <v/>
      </c>
      <c r="F96" t="str">
        <v/>
      </c>
      <c r="G96" t="str">
        <v/>
      </c>
      <c r="H96" t="str">
        <v/>
      </c>
      <c r="I96" t="str">
        <v/>
      </c>
      <c r="J96" t="str">
        <v/>
      </c>
      <c r="K96" t="str">
        <v/>
      </c>
      <c r="L96" t="str">
        <v/>
      </c>
      <c r="M96" t="str">
        <v/>
      </c>
      <c r="N96" t="str">
        <v/>
      </c>
      <c r="O96" t="str">
        <v/>
      </c>
      <c r="P96">
        <f t="shared" si="10"/>
        <v>0</v>
      </c>
      <c r="Q96">
        <f t="shared" si="11"/>
        <v>0</v>
      </c>
      <c r="R96">
        <f t="shared" si="12"/>
        <v>0</v>
      </c>
      <c r="S96">
        <f t="shared" si="8"/>
        <v>0</v>
      </c>
      <c r="T96">
        <f t="shared" si="9"/>
        <v>0</v>
      </c>
    </row>
    <row r="97" x14ac:dyDescent="0.35">
      <c r="A97" t="str">
        <v/>
      </c>
      <c r="B97" t="str">
        <v/>
      </c>
      <c r="C97" t="str">
        <v/>
      </c>
      <c r="D97" t="str">
        <v/>
      </c>
      <c r="E97" t="str">
        <v/>
      </c>
      <c r="F97" t="str">
        <v/>
      </c>
      <c r="G97" t="str">
        <v/>
      </c>
      <c r="H97" t="str">
        <v/>
      </c>
      <c r="I97" t="str">
        <v/>
      </c>
      <c r="J97" t="str">
        <v/>
      </c>
      <c r="K97" t="str">
        <v/>
      </c>
      <c r="L97" t="str">
        <v/>
      </c>
      <c r="M97" t="str">
        <v/>
      </c>
      <c r="N97" t="str">
        <v/>
      </c>
      <c r="O97" t="str">
        <v/>
      </c>
      <c r="P97">
        <f t="shared" si="10"/>
        <v>0</v>
      </c>
      <c r="Q97">
        <f t="shared" si="11"/>
        <v>0</v>
      </c>
      <c r="R97">
        <f t="shared" si="12"/>
        <v>0</v>
      </c>
      <c r="S97">
        <f t="shared" si="8"/>
        <v>0</v>
      </c>
      <c r="T97">
        <f t="shared" si="9"/>
        <v>0</v>
      </c>
    </row>
    <row r="98" x14ac:dyDescent="0.35">
      <c r="A98" t="str">
        <v/>
      </c>
      <c r="B98" t="str">
        <v/>
      </c>
      <c r="C98" t="str">
        <v/>
      </c>
      <c r="D98" t="str">
        <v/>
      </c>
      <c r="E98" t="str">
        <v/>
      </c>
      <c r="F98" t="str">
        <v/>
      </c>
      <c r="G98" t="str">
        <v/>
      </c>
      <c r="H98" t="str">
        <v/>
      </c>
      <c r="I98" t="str">
        <v/>
      </c>
      <c r="J98" t="str">
        <v/>
      </c>
      <c r="K98" t="str">
        <v/>
      </c>
      <c r="L98" t="str">
        <v/>
      </c>
      <c r="M98" t="str">
        <v/>
      </c>
      <c r="N98" t="str">
        <v/>
      </c>
      <c r="O98" t="str">
        <v/>
      </c>
      <c r="P98">
        <f t="shared" si="10"/>
        <v>0</v>
      </c>
      <c r="Q98">
        <f t="shared" si="11"/>
        <v>0</v>
      </c>
      <c r="R98">
        <f t="shared" si="12"/>
        <v>0</v>
      </c>
      <c r="S98">
        <f t="shared" si="8"/>
        <v>0</v>
      </c>
      <c r="T98">
        <f t="shared" si="9"/>
        <v>0</v>
      </c>
    </row>
    <row r="99" x14ac:dyDescent="0.35">
      <c r="A99" t="str">
        <v/>
      </c>
      <c r="B99" t="str">
        <v/>
      </c>
      <c r="C99" t="str">
        <v/>
      </c>
      <c r="D99" t="str">
        <v/>
      </c>
      <c r="E99" t="str">
        <v/>
      </c>
      <c r="F99" t="str">
        <v/>
      </c>
      <c r="G99" t="str">
        <v/>
      </c>
      <c r="H99" t="str">
        <v/>
      </c>
      <c r="I99" t="str">
        <v/>
      </c>
      <c r="J99" t="str">
        <v/>
      </c>
      <c r="K99" t="str">
        <v/>
      </c>
      <c r="L99" t="str">
        <v/>
      </c>
      <c r="M99" t="str">
        <v/>
      </c>
      <c r="N99" t="str">
        <v/>
      </c>
      <c r="O99" t="str">
        <v/>
      </c>
      <c r="P99">
        <f t="shared" si="10"/>
        <v>0</v>
      </c>
      <c r="Q99">
        <f t="shared" si="11"/>
        <v>0</v>
      </c>
      <c r="R99">
        <f t="shared" si="12"/>
        <v>0</v>
      </c>
      <c r="S99">
        <f t="shared" si="8"/>
        <v>0</v>
      </c>
      <c r="T99">
        <f t="shared" si="9"/>
        <v>0</v>
      </c>
    </row>
    <row r="100"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f t="shared" si="10"/>
        <v>0</v>
      </c>
      <c r="Q100">
        <f t="shared" si="11"/>
        <v>0</v>
      </c>
      <c r="R100">
        <f t="shared" si="12"/>
        <v>0</v>
      </c>
      <c r="S100">
        <f t="shared" si="8"/>
        <v>0</v>
      </c>
      <c r="T100">
        <f t="shared" si="9"/>
        <v>0</v>
      </c>
    </row>
    <row r="101"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f t="shared" si="10"/>
        <v>0</v>
      </c>
      <c r="Q101">
        <f t="shared" si="11"/>
        <v>0</v>
      </c>
      <c r="R101">
        <f t="shared" si="12"/>
        <v>0</v>
      </c>
      <c r="S101">
        <f t="shared" si="8"/>
        <v>0</v>
      </c>
      <c r="T101">
        <f t="shared" si="9"/>
        <v>0</v>
      </c>
    </row>
    <row r="102"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f t="shared" si="10"/>
        <v>0</v>
      </c>
      <c r="Q102">
        <f t="shared" si="11"/>
        <v>0</v>
      </c>
      <c r="R102">
        <f t="shared" si="12"/>
        <v>0</v>
      </c>
      <c r="S102">
        <f t="shared" si="8"/>
        <v>0</v>
      </c>
      <c r="T102">
        <f t="shared" si="9"/>
        <v>0</v>
      </c>
    </row>
    <row r="103"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f t="shared" si="10"/>
        <v>0</v>
      </c>
      <c r="Q103">
        <f t="shared" si="11"/>
        <v>0</v>
      </c>
      <c r="R103">
        <f t="shared" si="12"/>
        <v>0</v>
      </c>
      <c r="S103">
        <f t="shared" si="8"/>
        <v>0</v>
      </c>
      <c r="T103">
        <f t="shared" si="9"/>
        <v>0</v>
      </c>
    </row>
    <row r="104"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f t="shared" si="10"/>
        <v>0</v>
      </c>
      <c r="Q104">
        <f t="shared" si="11"/>
        <v>0</v>
      </c>
      <c r="R104">
        <f t="shared" si="12"/>
        <v>0</v>
      </c>
      <c r="S104">
        <f t="shared" si="8"/>
        <v>0</v>
      </c>
      <c r="T104">
        <f t="shared" si="9"/>
        <v>0</v>
      </c>
    </row>
    <row r="105"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f t="shared" si="10"/>
        <v>0</v>
      </c>
      <c r="Q105">
        <f t="shared" si="11"/>
        <v>0</v>
      </c>
      <c r="R105">
        <f t="shared" si="12"/>
        <v>0</v>
      </c>
      <c r="S105">
        <f t="shared" si="8"/>
        <v>0</v>
      </c>
      <c r="T105">
        <f t="shared" si="9"/>
        <v>0</v>
      </c>
    </row>
    <row r="106"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f t="shared" si="10"/>
        <v>0</v>
      </c>
      <c r="Q106">
        <f t="shared" si="11"/>
        <v>0</v>
      </c>
      <c r="R106">
        <f t="shared" si="12"/>
        <v>0</v>
      </c>
      <c r="S106">
        <f t="shared" si="8"/>
        <v>0</v>
      </c>
      <c r="T106">
        <f t="shared" si="9"/>
        <v>0</v>
      </c>
    </row>
    <row r="107"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f t="shared" si="10"/>
        <v>0</v>
      </c>
      <c r="Q107">
        <f t="shared" si="11"/>
        <v>0</v>
      </c>
      <c r="R107">
        <f t="shared" si="12"/>
        <v>0</v>
      </c>
      <c r="S107">
        <f t="shared" si="8"/>
        <v>0</v>
      </c>
      <c r="T107">
        <f t="shared" si="9"/>
        <v>0</v>
      </c>
    </row>
    <row r="108"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f t="shared" si="10"/>
        <v>0</v>
      </c>
      <c r="Q108">
        <f t="shared" si="11"/>
        <v>0</v>
      </c>
      <c r="R108">
        <f t="shared" si="12"/>
        <v>0</v>
      </c>
      <c r="S108">
        <f t="shared" si="8"/>
        <v>0</v>
      </c>
      <c r="T108">
        <f t="shared" si="9"/>
        <v>0</v>
      </c>
    </row>
    <row r="109"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f t="shared" si="10"/>
        <v>0</v>
      </c>
      <c r="Q109">
        <f t="shared" si="11"/>
        <v>0</v>
      </c>
      <c r="R109">
        <f t="shared" si="12"/>
        <v>0</v>
      </c>
      <c r="S109">
        <f t="shared" si="8"/>
        <v>0</v>
      </c>
      <c r="T109">
        <f t="shared" si="9"/>
        <v>0</v>
      </c>
    </row>
    <row r="110"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f t="shared" si="10"/>
        <v>0</v>
      </c>
      <c r="Q110">
        <f t="shared" si="11"/>
        <v>0</v>
      </c>
      <c r="R110">
        <f t="shared" si="12"/>
        <v>0</v>
      </c>
      <c r="S110">
        <f t="shared" si="8"/>
        <v>0</v>
      </c>
      <c r="T110">
        <f t="shared" si="9"/>
        <v>0</v>
      </c>
    </row>
    <row r="111"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f t="shared" si="10"/>
        <v>0</v>
      </c>
      <c r="Q111">
        <f t="shared" si="11"/>
        <v>0</v>
      </c>
      <c r="R111">
        <f t="shared" si="12"/>
        <v>0</v>
      </c>
      <c r="S111">
        <f t="shared" si="8"/>
        <v>0</v>
      </c>
      <c r="T111">
        <f t="shared" si="9"/>
        <v>0</v>
      </c>
    </row>
    <row r="112"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f t="shared" si="10"/>
        <v>0</v>
      </c>
      <c r="Q112">
        <f t="shared" si="11"/>
        <v>0</v>
      </c>
      <c r="R112">
        <f t="shared" si="12"/>
        <v>0</v>
      </c>
      <c r="S112">
        <f t="shared" si="8"/>
        <v>0</v>
      </c>
      <c r="T112">
        <f t="shared" si="9"/>
        <v>0</v>
      </c>
    </row>
    <row r="113"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f t="shared" si="10"/>
        <v>0</v>
      </c>
      <c r="Q113">
        <f t="shared" si="11"/>
        <v>0</v>
      </c>
      <c r="R113">
        <f t="shared" si="12"/>
        <v>0</v>
      </c>
      <c r="S113">
        <f t="shared" si="8"/>
        <v>0</v>
      </c>
      <c r="T113">
        <f t="shared" si="9"/>
        <v>0</v>
      </c>
    </row>
    <row r="114"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f t="shared" si="10"/>
        <v>0</v>
      </c>
      <c r="Q114">
        <f t="shared" si="11"/>
        <v>0</v>
      </c>
      <c r="R114">
        <f t="shared" si="12"/>
        <v>0</v>
      </c>
      <c r="S114">
        <f t="shared" si="8"/>
        <v>0</v>
      </c>
      <c r="T114">
        <f t="shared" si="9"/>
        <v>0</v>
      </c>
    </row>
    <row r="115"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f t="shared" si="10"/>
        <v>0</v>
      </c>
      <c r="Q115">
        <f t="shared" si="11"/>
        <v>0</v>
      </c>
      <c r="R115">
        <f t="shared" si="12"/>
        <v>0</v>
      </c>
      <c r="S115">
        <f t="shared" si="8"/>
        <v>0</v>
      </c>
      <c r="T115">
        <f t="shared" si="9"/>
        <v>0</v>
      </c>
    </row>
    <row r="116"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f t="shared" si="10"/>
        <v>0</v>
      </c>
      <c r="Q116">
        <f t="shared" si="11"/>
        <v>0</v>
      </c>
      <c r="R116">
        <f t="shared" si="12"/>
        <v>0</v>
      </c>
      <c r="S116">
        <f t="shared" si="8"/>
        <v>0</v>
      </c>
      <c r="T116">
        <f t="shared" si="9"/>
        <v>0</v>
      </c>
    </row>
    <row r="117"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f t="shared" si="10"/>
        <v>0</v>
      </c>
      <c r="Q117">
        <f t="shared" si="11"/>
        <v>0</v>
      </c>
      <c r="R117">
        <f t="shared" si="12"/>
        <v>0</v>
      </c>
      <c r="S117">
        <f t="shared" si="8"/>
        <v>0</v>
      </c>
      <c r="T117">
        <f t="shared" si="9"/>
        <v>0</v>
      </c>
    </row>
    <row r="118"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f t="shared" si="10"/>
        <v>0</v>
      </c>
      <c r="Q118">
        <f t="shared" si="11"/>
        <v>0</v>
      </c>
      <c r="R118">
        <f t="shared" si="12"/>
        <v>0</v>
      </c>
      <c r="S118">
        <f t="shared" si="8"/>
        <v>0</v>
      </c>
      <c r="T118">
        <f t="shared" si="9"/>
        <v>0</v>
      </c>
    </row>
    <row r="119"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f t="shared" si="10"/>
        <v>0</v>
      </c>
      <c r="Q119">
        <f t="shared" si="11"/>
        <v>0</v>
      </c>
      <c r="R119">
        <f t="shared" si="12"/>
        <v>0</v>
      </c>
      <c r="S119">
        <f t="shared" si="8"/>
        <v>0</v>
      </c>
      <c r="T119">
        <f t="shared" si="9"/>
        <v>0</v>
      </c>
    </row>
    <row r="120"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f t="shared" si="10"/>
        <v>0</v>
      </c>
      <c r="Q120">
        <f t="shared" si="11"/>
        <v>0</v>
      </c>
      <c r="R120">
        <f t="shared" si="12"/>
        <v>0</v>
      </c>
      <c r="S120">
        <f t="shared" si="8"/>
        <v>0</v>
      </c>
      <c r="T120">
        <f t="shared" si="9"/>
        <v>0</v>
      </c>
    </row>
    <row r="121"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f t="shared" si="10"/>
        <v>0</v>
      </c>
      <c r="Q121">
        <f t="shared" si="11"/>
        <v>0</v>
      </c>
      <c r="R121">
        <f t="shared" si="12"/>
        <v>0</v>
      </c>
      <c r="S121">
        <f t="shared" si="8"/>
        <v>0</v>
      </c>
      <c r="T121">
        <f t="shared" si="9"/>
        <v>0</v>
      </c>
    </row>
    <row r="122"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f t="shared" si="10"/>
        <v>0</v>
      </c>
      <c r="Q122">
        <f t="shared" si="11"/>
        <v>0</v>
      </c>
      <c r="R122">
        <f t="shared" si="12"/>
        <v>0</v>
      </c>
      <c r="S122">
        <f t="shared" si="8"/>
        <v>0</v>
      </c>
      <c r="T122">
        <f t="shared" si="9"/>
        <v>0</v>
      </c>
    </row>
    <row r="123"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f t="shared" si="10"/>
        <v>0</v>
      </c>
      <c r="Q123">
        <f t="shared" si="11"/>
        <v>0</v>
      </c>
      <c r="R123">
        <f t="shared" si="12"/>
        <v>0</v>
      </c>
      <c r="S123">
        <f t="shared" si="8"/>
        <v>0</v>
      </c>
      <c r="T123">
        <f t="shared" si="9"/>
        <v>0</v>
      </c>
    </row>
    <row r="124"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f t="shared" si="10"/>
        <v>0</v>
      </c>
      <c r="Q124">
        <f t="shared" si="11"/>
        <v>0</v>
      </c>
      <c r="R124">
        <f t="shared" si="12"/>
        <v>0</v>
      </c>
      <c r="S124">
        <f t="shared" si="8"/>
        <v>0</v>
      </c>
      <c r="T124">
        <f t="shared" si="9"/>
        <v>0</v>
      </c>
    </row>
    <row r="125"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f t="shared" si="10"/>
        <v>0</v>
      </c>
      <c r="Q125">
        <f t="shared" si="11"/>
        <v>0</v>
      </c>
      <c r="R125">
        <f t="shared" si="12"/>
        <v>0</v>
      </c>
      <c r="S125">
        <f t="shared" si="8"/>
        <v>0</v>
      </c>
      <c r="T125">
        <f t="shared" si="9"/>
        <v>0</v>
      </c>
    </row>
    <row r="126"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f t="shared" si="10"/>
        <v>0</v>
      </c>
      <c r="Q126">
        <f t="shared" si="11"/>
        <v>0</v>
      </c>
      <c r="R126">
        <f t="shared" si="12"/>
        <v>0</v>
      </c>
      <c r="S126">
        <f t="shared" si="8"/>
        <v>0</v>
      </c>
      <c r="T126">
        <f t="shared" si="9"/>
        <v>0</v>
      </c>
    </row>
    <row r="127"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f t="shared" si="10"/>
        <v>0</v>
      </c>
      <c r="Q127">
        <f t="shared" si="11"/>
        <v>0</v>
      </c>
      <c r="R127">
        <f t="shared" si="12"/>
        <v>0</v>
      </c>
      <c r="S127">
        <f t="shared" si="8"/>
        <v>0</v>
      </c>
      <c r="T127">
        <f t="shared" si="9"/>
        <v>0</v>
      </c>
    </row>
    <row r="128"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f t="shared" si="10"/>
        <v>0</v>
      </c>
      <c r="Q128">
        <f t="shared" si="11"/>
        <v>0</v>
      </c>
      <c r="R128">
        <f t="shared" si="12"/>
        <v>0</v>
      </c>
      <c r="S128">
        <f t="shared" si="8"/>
        <v>0</v>
      </c>
      <c r="T128">
        <f t="shared" si="9"/>
        <v>0</v>
      </c>
    </row>
    <row r="129"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f t="shared" si="10"/>
        <v>0</v>
      </c>
      <c r="Q129">
        <f t="shared" si="11"/>
        <v>0</v>
      </c>
      <c r="R129">
        <f t="shared" si="12"/>
        <v>0</v>
      </c>
      <c r="S129">
        <f t="shared" si="8"/>
        <v>0</v>
      </c>
      <c r="T129">
        <f t="shared" si="9"/>
        <v>0</v>
      </c>
    </row>
    <row r="130"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f t="shared" si="10"/>
        <v>0</v>
      </c>
      <c r="Q130">
        <f t="shared" si="11"/>
        <v>0</v>
      </c>
      <c r="R130">
        <f t="shared" si="12"/>
        <v>0</v>
      </c>
      <c r="S130">
        <f t="shared" si="8"/>
        <v>0</v>
      </c>
      <c r="T130">
        <f t="shared" si="9"/>
        <v>0</v>
      </c>
    </row>
    <row r="131"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f t="shared" si="10"/>
        <v>0</v>
      </c>
      <c r="Q131">
        <f t="shared" si="11"/>
        <v>0</v>
      </c>
      <c r="R131">
        <f t="shared" si="12"/>
        <v>0</v>
      </c>
      <c r="S131">
        <f t="shared" ref="S131:S194" si="13">IF(J131="Realizada completa",1,0)</f>
        <v>0</v>
      </c>
      <c r="T131">
        <f t="shared" ref="T131:T194" si="14">IF(J131="Sin respuesta",1,0)</f>
        <v>0</v>
      </c>
    </row>
    <row r="132"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f t="shared" ref="P132:P195" si="15">IF(F132="Sí",1,0)</f>
        <v>0</v>
      </c>
      <c r="Q132">
        <f t="shared" ref="Q132:Q195" si="16">IF(J132="En coordinación",1,0)</f>
        <v>0</v>
      </c>
      <c r="R132">
        <f t="shared" ref="R132:R195" si="17">IF(J132="En coordinación",1,0)</f>
        <v>0</v>
      </c>
      <c r="S132">
        <f t="shared" si="13"/>
        <v>0</v>
      </c>
      <c r="T132">
        <f t="shared" si="14"/>
        <v>0</v>
      </c>
    </row>
    <row r="133"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f t="shared" si="15"/>
        <v>0</v>
      </c>
      <c r="Q133">
        <f t="shared" si="16"/>
        <v>0</v>
      </c>
      <c r="R133">
        <f t="shared" si="17"/>
        <v>0</v>
      </c>
      <c r="S133">
        <f t="shared" si="13"/>
        <v>0</v>
      </c>
      <c r="T133">
        <f t="shared" si="14"/>
        <v>0</v>
      </c>
    </row>
    <row r="134"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f t="shared" si="15"/>
        <v>0</v>
      </c>
      <c r="Q134">
        <f t="shared" si="16"/>
        <v>0</v>
      </c>
      <c r="R134">
        <f t="shared" si="17"/>
        <v>0</v>
      </c>
      <c r="S134">
        <f t="shared" si="13"/>
        <v>0</v>
      </c>
      <c r="T134">
        <f t="shared" si="14"/>
        <v>0</v>
      </c>
    </row>
    <row r="135"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f t="shared" si="15"/>
        <v>0</v>
      </c>
      <c r="Q135">
        <f t="shared" si="16"/>
        <v>0</v>
      </c>
      <c r="R135">
        <f t="shared" si="17"/>
        <v>0</v>
      </c>
      <c r="S135">
        <f t="shared" si="13"/>
        <v>0</v>
      </c>
      <c r="T135">
        <f t="shared" si="14"/>
        <v>0</v>
      </c>
    </row>
    <row r="136"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f t="shared" si="15"/>
        <v>0</v>
      </c>
      <c r="Q136">
        <f t="shared" si="16"/>
        <v>0</v>
      </c>
      <c r="R136">
        <f t="shared" si="17"/>
        <v>0</v>
      </c>
      <c r="S136">
        <f t="shared" si="13"/>
        <v>0</v>
      </c>
      <c r="T136">
        <f t="shared" si="14"/>
        <v>0</v>
      </c>
    </row>
    <row r="137"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f t="shared" si="15"/>
        <v>0</v>
      </c>
      <c r="Q137">
        <f t="shared" si="16"/>
        <v>0</v>
      </c>
      <c r="R137">
        <f t="shared" si="17"/>
        <v>0</v>
      </c>
      <c r="S137">
        <f t="shared" si="13"/>
        <v>0</v>
      </c>
      <c r="T137">
        <f t="shared" si="14"/>
        <v>0</v>
      </c>
    </row>
    <row r="138"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f t="shared" si="15"/>
        <v>0</v>
      </c>
      <c r="Q138">
        <f t="shared" si="16"/>
        <v>0</v>
      </c>
      <c r="R138">
        <f t="shared" si="17"/>
        <v>0</v>
      </c>
      <c r="S138">
        <f t="shared" si="13"/>
        <v>0</v>
      </c>
      <c r="T138">
        <f t="shared" si="14"/>
        <v>0</v>
      </c>
    </row>
    <row r="139"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f t="shared" si="15"/>
        <v>0</v>
      </c>
      <c r="Q139">
        <f t="shared" si="16"/>
        <v>0</v>
      </c>
      <c r="R139">
        <f t="shared" si="17"/>
        <v>0</v>
      </c>
      <c r="S139">
        <f t="shared" si="13"/>
        <v>0</v>
      </c>
      <c r="T139">
        <f t="shared" si="14"/>
        <v>0</v>
      </c>
    </row>
    <row r="140"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f t="shared" si="15"/>
        <v>0</v>
      </c>
      <c r="Q140">
        <f t="shared" si="16"/>
        <v>0</v>
      </c>
      <c r="R140">
        <f t="shared" si="17"/>
        <v>0</v>
      </c>
      <c r="S140">
        <f t="shared" si="13"/>
        <v>0</v>
      </c>
      <c r="T140">
        <f t="shared" si="14"/>
        <v>0</v>
      </c>
    </row>
    <row r="141"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f t="shared" si="15"/>
        <v>0</v>
      </c>
      <c r="Q141">
        <f t="shared" si="16"/>
        <v>0</v>
      </c>
      <c r="R141">
        <f t="shared" si="17"/>
        <v>0</v>
      </c>
      <c r="S141">
        <f t="shared" si="13"/>
        <v>0</v>
      </c>
      <c r="T141">
        <f t="shared" si="14"/>
        <v>0</v>
      </c>
    </row>
    <row r="142"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f t="shared" si="15"/>
        <v>0</v>
      </c>
      <c r="Q142">
        <f t="shared" si="16"/>
        <v>0</v>
      </c>
      <c r="R142">
        <f t="shared" si="17"/>
        <v>0</v>
      </c>
      <c r="S142">
        <f t="shared" si="13"/>
        <v>0</v>
      </c>
      <c r="T142">
        <f t="shared" si="14"/>
        <v>0</v>
      </c>
    </row>
    <row r="143"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f t="shared" si="15"/>
        <v>0</v>
      </c>
      <c r="Q143">
        <f t="shared" si="16"/>
        <v>0</v>
      </c>
      <c r="R143">
        <f t="shared" si="17"/>
        <v>0</v>
      </c>
      <c r="S143">
        <f t="shared" si="13"/>
        <v>0</v>
      </c>
      <c r="T143">
        <f t="shared" si="14"/>
        <v>0</v>
      </c>
    </row>
    <row r="144"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f t="shared" si="15"/>
        <v>0</v>
      </c>
      <c r="Q144">
        <f t="shared" si="16"/>
        <v>0</v>
      </c>
      <c r="R144">
        <f t="shared" si="17"/>
        <v>0</v>
      </c>
      <c r="S144">
        <f t="shared" si="13"/>
        <v>0</v>
      </c>
      <c r="T144">
        <f t="shared" si="14"/>
        <v>0</v>
      </c>
    </row>
    <row r="145"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f t="shared" si="15"/>
        <v>0</v>
      </c>
      <c r="Q145">
        <f t="shared" si="16"/>
        <v>0</v>
      </c>
      <c r="R145">
        <f t="shared" si="17"/>
        <v>0</v>
      </c>
      <c r="S145">
        <f t="shared" si="13"/>
        <v>0</v>
      </c>
      <c r="T145">
        <f t="shared" si="14"/>
        <v>0</v>
      </c>
    </row>
    <row r="146"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f t="shared" si="15"/>
        <v>0</v>
      </c>
      <c r="Q146">
        <f t="shared" si="16"/>
        <v>0</v>
      </c>
      <c r="R146">
        <f t="shared" si="17"/>
        <v>0</v>
      </c>
      <c r="S146">
        <f t="shared" si="13"/>
        <v>0</v>
      </c>
      <c r="T146">
        <f t="shared" si="14"/>
        <v>0</v>
      </c>
    </row>
    <row r="147"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f t="shared" si="15"/>
        <v>0</v>
      </c>
      <c r="Q147">
        <f t="shared" si="16"/>
        <v>0</v>
      </c>
      <c r="R147">
        <f t="shared" si="17"/>
        <v>0</v>
      </c>
      <c r="S147">
        <f t="shared" si="13"/>
        <v>0</v>
      </c>
      <c r="T147">
        <f t="shared" si="14"/>
        <v>0</v>
      </c>
    </row>
    <row r="148"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f t="shared" si="15"/>
        <v>0</v>
      </c>
      <c r="Q148">
        <f t="shared" si="16"/>
        <v>0</v>
      </c>
      <c r="R148">
        <f t="shared" si="17"/>
        <v>0</v>
      </c>
      <c r="S148">
        <f t="shared" si="13"/>
        <v>0</v>
      </c>
      <c r="T148">
        <f t="shared" si="14"/>
        <v>0</v>
      </c>
    </row>
    <row r="149"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f t="shared" si="15"/>
        <v>0</v>
      </c>
      <c r="Q149">
        <f t="shared" si="16"/>
        <v>0</v>
      </c>
      <c r="R149">
        <f t="shared" si="17"/>
        <v>0</v>
      </c>
      <c r="S149">
        <f t="shared" si="13"/>
        <v>0</v>
      </c>
      <c r="T149">
        <f t="shared" si="14"/>
        <v>0</v>
      </c>
    </row>
    <row r="150"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f t="shared" si="15"/>
        <v>0</v>
      </c>
      <c r="Q150">
        <f t="shared" si="16"/>
        <v>0</v>
      </c>
      <c r="R150">
        <f t="shared" si="17"/>
        <v>0</v>
      </c>
      <c r="S150">
        <f t="shared" si="13"/>
        <v>0</v>
      </c>
      <c r="T150">
        <f t="shared" si="14"/>
        <v>0</v>
      </c>
    </row>
    <row r="151"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f t="shared" si="15"/>
        <v>0</v>
      </c>
      <c r="Q151">
        <f t="shared" si="16"/>
        <v>0</v>
      </c>
      <c r="R151">
        <f t="shared" si="17"/>
        <v>0</v>
      </c>
      <c r="S151">
        <f t="shared" si="13"/>
        <v>0</v>
      </c>
      <c r="T151">
        <f t="shared" si="14"/>
        <v>0</v>
      </c>
    </row>
    <row r="152"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f t="shared" si="15"/>
        <v>0</v>
      </c>
      <c r="Q152">
        <f t="shared" si="16"/>
        <v>0</v>
      </c>
      <c r="R152">
        <f t="shared" si="17"/>
        <v>0</v>
      </c>
      <c r="S152">
        <f t="shared" si="13"/>
        <v>0</v>
      </c>
      <c r="T152">
        <f t="shared" si="14"/>
        <v>0</v>
      </c>
    </row>
    <row r="153"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f t="shared" si="15"/>
        <v>0</v>
      </c>
      <c r="Q153">
        <f t="shared" si="16"/>
        <v>0</v>
      </c>
      <c r="R153">
        <f t="shared" si="17"/>
        <v>0</v>
      </c>
      <c r="S153">
        <f t="shared" si="13"/>
        <v>0</v>
      </c>
      <c r="T153">
        <f t="shared" si="14"/>
        <v>0</v>
      </c>
    </row>
    <row r="154"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f t="shared" si="15"/>
        <v>0</v>
      </c>
      <c r="Q154">
        <f t="shared" si="16"/>
        <v>0</v>
      </c>
      <c r="R154">
        <f t="shared" si="17"/>
        <v>0</v>
      </c>
      <c r="S154">
        <f t="shared" si="13"/>
        <v>0</v>
      </c>
      <c r="T154">
        <f t="shared" si="14"/>
        <v>0</v>
      </c>
    </row>
    <row r="155"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f t="shared" si="15"/>
        <v>0</v>
      </c>
      <c r="Q155">
        <f t="shared" si="16"/>
        <v>0</v>
      </c>
      <c r="R155">
        <f t="shared" si="17"/>
        <v>0</v>
      </c>
      <c r="S155">
        <f t="shared" si="13"/>
        <v>0</v>
      </c>
      <c r="T155">
        <f t="shared" si="14"/>
        <v>0</v>
      </c>
    </row>
    <row r="156"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f t="shared" si="15"/>
        <v>0</v>
      </c>
      <c r="Q156">
        <f t="shared" si="16"/>
        <v>0</v>
      </c>
      <c r="R156">
        <f t="shared" si="17"/>
        <v>0</v>
      </c>
      <c r="S156">
        <f t="shared" si="13"/>
        <v>0</v>
      </c>
      <c r="T156">
        <f t="shared" si="14"/>
        <v>0</v>
      </c>
    </row>
    <row r="157"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f t="shared" si="15"/>
        <v>0</v>
      </c>
      <c r="Q157">
        <f t="shared" si="16"/>
        <v>0</v>
      </c>
      <c r="R157">
        <f t="shared" si="17"/>
        <v>0</v>
      </c>
      <c r="S157">
        <f t="shared" si="13"/>
        <v>0</v>
      </c>
      <c r="T157">
        <f t="shared" si="14"/>
        <v>0</v>
      </c>
    </row>
    <row r="158"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f t="shared" si="15"/>
        <v>0</v>
      </c>
      <c r="Q158">
        <f t="shared" si="16"/>
        <v>0</v>
      </c>
      <c r="R158">
        <f t="shared" si="17"/>
        <v>0</v>
      </c>
      <c r="S158">
        <f t="shared" si="13"/>
        <v>0</v>
      </c>
      <c r="T158">
        <f t="shared" si="14"/>
        <v>0</v>
      </c>
    </row>
    <row r="159"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f t="shared" si="15"/>
        <v>0</v>
      </c>
      <c r="Q159">
        <f t="shared" si="16"/>
        <v>0</v>
      </c>
      <c r="R159">
        <f t="shared" si="17"/>
        <v>0</v>
      </c>
      <c r="S159">
        <f t="shared" si="13"/>
        <v>0</v>
      </c>
      <c r="T159">
        <f t="shared" si="14"/>
        <v>0</v>
      </c>
    </row>
    <row r="160"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f t="shared" si="15"/>
        <v>0</v>
      </c>
      <c r="Q160">
        <f t="shared" si="16"/>
        <v>0</v>
      </c>
      <c r="R160">
        <f t="shared" si="17"/>
        <v>0</v>
      </c>
      <c r="S160">
        <f t="shared" si="13"/>
        <v>0</v>
      </c>
      <c r="T160">
        <f t="shared" si="14"/>
        <v>0</v>
      </c>
    </row>
    <row r="161"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f t="shared" si="15"/>
        <v>0</v>
      </c>
      <c r="Q161">
        <f t="shared" si="16"/>
        <v>0</v>
      </c>
      <c r="R161">
        <f t="shared" si="17"/>
        <v>0</v>
      </c>
      <c r="S161">
        <f t="shared" si="13"/>
        <v>0</v>
      </c>
      <c r="T161">
        <f t="shared" si="14"/>
        <v>0</v>
      </c>
    </row>
    <row r="162"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f t="shared" si="15"/>
        <v>0</v>
      </c>
      <c r="Q162">
        <f t="shared" si="16"/>
        <v>0</v>
      </c>
      <c r="R162">
        <f t="shared" si="17"/>
        <v>0</v>
      </c>
      <c r="S162">
        <f t="shared" si="13"/>
        <v>0</v>
      </c>
      <c r="T162">
        <f t="shared" si="14"/>
        <v>0</v>
      </c>
    </row>
    <row r="163"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f t="shared" si="15"/>
        <v>0</v>
      </c>
      <c r="Q163">
        <f t="shared" si="16"/>
        <v>0</v>
      </c>
      <c r="R163">
        <f t="shared" si="17"/>
        <v>0</v>
      </c>
      <c r="S163">
        <f t="shared" si="13"/>
        <v>0</v>
      </c>
      <c r="T163">
        <f t="shared" si="14"/>
        <v>0</v>
      </c>
    </row>
    <row r="164"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f t="shared" si="15"/>
        <v>0</v>
      </c>
      <c r="Q164">
        <f t="shared" si="16"/>
        <v>0</v>
      </c>
      <c r="R164">
        <f t="shared" si="17"/>
        <v>0</v>
      </c>
      <c r="S164">
        <f t="shared" si="13"/>
        <v>0</v>
      </c>
      <c r="T164">
        <f t="shared" si="14"/>
        <v>0</v>
      </c>
    </row>
    <row r="165"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f t="shared" si="15"/>
        <v>0</v>
      </c>
      <c r="Q165">
        <f t="shared" si="16"/>
        <v>0</v>
      </c>
      <c r="R165">
        <f t="shared" si="17"/>
        <v>0</v>
      </c>
      <c r="S165">
        <f t="shared" si="13"/>
        <v>0</v>
      </c>
      <c r="T165">
        <f t="shared" si="14"/>
        <v>0</v>
      </c>
    </row>
    <row r="166"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f t="shared" si="15"/>
        <v>0</v>
      </c>
      <c r="Q166">
        <f t="shared" si="16"/>
        <v>0</v>
      </c>
      <c r="R166">
        <f t="shared" si="17"/>
        <v>0</v>
      </c>
      <c r="S166">
        <f t="shared" si="13"/>
        <v>0</v>
      </c>
      <c r="T166">
        <f t="shared" si="14"/>
        <v>0</v>
      </c>
    </row>
    <row r="167"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f t="shared" si="15"/>
        <v>0</v>
      </c>
      <c r="Q167">
        <f t="shared" si="16"/>
        <v>0</v>
      </c>
      <c r="R167">
        <f t="shared" si="17"/>
        <v>0</v>
      </c>
      <c r="S167">
        <f t="shared" si="13"/>
        <v>0</v>
      </c>
      <c r="T167">
        <f t="shared" si="14"/>
        <v>0</v>
      </c>
    </row>
    <row r="168"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f t="shared" si="15"/>
        <v>0</v>
      </c>
      <c r="Q168">
        <f t="shared" si="16"/>
        <v>0</v>
      </c>
      <c r="R168">
        <f t="shared" si="17"/>
        <v>0</v>
      </c>
      <c r="S168">
        <f t="shared" si="13"/>
        <v>0</v>
      </c>
      <c r="T168">
        <f t="shared" si="14"/>
        <v>0</v>
      </c>
    </row>
    <row r="169"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f t="shared" si="15"/>
        <v>0</v>
      </c>
      <c r="Q169">
        <f t="shared" si="16"/>
        <v>0</v>
      </c>
      <c r="R169">
        <f t="shared" si="17"/>
        <v>0</v>
      </c>
      <c r="S169">
        <f t="shared" si="13"/>
        <v>0</v>
      </c>
      <c r="T169">
        <f t="shared" si="14"/>
        <v>0</v>
      </c>
    </row>
    <row r="170"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f t="shared" si="15"/>
        <v>0</v>
      </c>
      <c r="Q170">
        <f t="shared" si="16"/>
        <v>0</v>
      </c>
      <c r="R170">
        <f t="shared" si="17"/>
        <v>0</v>
      </c>
      <c r="S170">
        <f t="shared" si="13"/>
        <v>0</v>
      </c>
      <c r="T170">
        <f t="shared" si="14"/>
        <v>0</v>
      </c>
    </row>
    <row r="171"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f t="shared" si="15"/>
        <v>0</v>
      </c>
      <c r="Q171">
        <f t="shared" si="16"/>
        <v>0</v>
      </c>
      <c r="R171">
        <f t="shared" si="17"/>
        <v>0</v>
      </c>
      <c r="S171">
        <f t="shared" si="13"/>
        <v>0</v>
      </c>
      <c r="T171">
        <f t="shared" si="14"/>
        <v>0</v>
      </c>
    </row>
    <row r="172"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f t="shared" si="15"/>
        <v>0</v>
      </c>
      <c r="Q172">
        <f t="shared" si="16"/>
        <v>0</v>
      </c>
      <c r="R172">
        <f t="shared" si="17"/>
        <v>0</v>
      </c>
      <c r="S172">
        <f t="shared" si="13"/>
        <v>0</v>
      </c>
      <c r="T172">
        <f t="shared" si="14"/>
        <v>0</v>
      </c>
    </row>
    <row r="173"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f t="shared" si="15"/>
        <v>0</v>
      </c>
      <c r="Q173">
        <f t="shared" si="16"/>
        <v>0</v>
      </c>
      <c r="R173">
        <f t="shared" si="17"/>
        <v>0</v>
      </c>
      <c r="S173">
        <f t="shared" si="13"/>
        <v>0</v>
      </c>
      <c r="T173">
        <f t="shared" si="14"/>
        <v>0</v>
      </c>
    </row>
    <row r="174"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f t="shared" si="15"/>
        <v>0</v>
      </c>
      <c r="Q174">
        <f t="shared" si="16"/>
        <v>0</v>
      </c>
      <c r="R174">
        <f t="shared" si="17"/>
        <v>0</v>
      </c>
      <c r="S174">
        <f t="shared" si="13"/>
        <v>0</v>
      </c>
      <c r="T174">
        <f t="shared" si="14"/>
        <v>0</v>
      </c>
    </row>
    <row r="175"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f t="shared" si="15"/>
        <v>0</v>
      </c>
      <c r="Q175">
        <f t="shared" si="16"/>
        <v>0</v>
      </c>
      <c r="R175">
        <f t="shared" si="17"/>
        <v>0</v>
      </c>
      <c r="S175">
        <f t="shared" si="13"/>
        <v>0</v>
      </c>
      <c r="T175">
        <f t="shared" si="14"/>
        <v>0</v>
      </c>
    </row>
    <row r="176"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f t="shared" si="15"/>
        <v>0</v>
      </c>
      <c r="Q176">
        <f t="shared" si="16"/>
        <v>0</v>
      </c>
      <c r="R176">
        <f t="shared" si="17"/>
        <v>0</v>
      </c>
      <c r="S176">
        <f t="shared" si="13"/>
        <v>0</v>
      </c>
      <c r="T176">
        <f t="shared" si="14"/>
        <v>0</v>
      </c>
    </row>
    <row r="177"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f t="shared" si="15"/>
        <v>0</v>
      </c>
      <c r="Q177">
        <f t="shared" si="16"/>
        <v>0</v>
      </c>
      <c r="R177">
        <f t="shared" si="17"/>
        <v>0</v>
      </c>
      <c r="S177">
        <f t="shared" si="13"/>
        <v>0</v>
      </c>
      <c r="T177">
        <f t="shared" si="14"/>
        <v>0</v>
      </c>
    </row>
    <row r="178"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f t="shared" si="15"/>
        <v>0</v>
      </c>
      <c r="Q178">
        <f t="shared" si="16"/>
        <v>0</v>
      </c>
      <c r="R178">
        <f t="shared" si="17"/>
        <v>0</v>
      </c>
      <c r="S178">
        <f t="shared" si="13"/>
        <v>0</v>
      </c>
      <c r="T178">
        <f t="shared" si="14"/>
        <v>0</v>
      </c>
    </row>
    <row r="179"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f t="shared" si="15"/>
        <v>0</v>
      </c>
      <c r="Q179">
        <f t="shared" si="16"/>
        <v>0</v>
      </c>
      <c r="R179">
        <f t="shared" si="17"/>
        <v>0</v>
      </c>
      <c r="S179">
        <f t="shared" si="13"/>
        <v>0</v>
      </c>
      <c r="T179">
        <f t="shared" si="14"/>
        <v>0</v>
      </c>
    </row>
    <row r="180"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f t="shared" si="15"/>
        <v>0</v>
      </c>
      <c r="Q180">
        <f t="shared" si="16"/>
        <v>0</v>
      </c>
      <c r="R180">
        <f t="shared" si="17"/>
        <v>0</v>
      </c>
      <c r="S180">
        <f t="shared" si="13"/>
        <v>0</v>
      </c>
      <c r="T180">
        <f t="shared" si="14"/>
        <v>0</v>
      </c>
    </row>
    <row r="181"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f t="shared" si="15"/>
        <v>0</v>
      </c>
      <c r="Q181">
        <f t="shared" si="16"/>
        <v>0</v>
      </c>
      <c r="R181">
        <f t="shared" si="17"/>
        <v>0</v>
      </c>
      <c r="S181">
        <f t="shared" si="13"/>
        <v>0</v>
      </c>
      <c r="T181">
        <f t="shared" si="14"/>
        <v>0</v>
      </c>
    </row>
    <row r="182"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f t="shared" si="15"/>
        <v>0</v>
      </c>
      <c r="Q182">
        <f t="shared" si="16"/>
        <v>0</v>
      </c>
      <c r="R182">
        <f t="shared" si="17"/>
        <v>0</v>
      </c>
      <c r="S182">
        <f t="shared" si="13"/>
        <v>0</v>
      </c>
      <c r="T182">
        <f t="shared" si="14"/>
        <v>0</v>
      </c>
    </row>
    <row r="183"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f t="shared" si="15"/>
        <v>0</v>
      </c>
      <c r="Q183">
        <f t="shared" si="16"/>
        <v>0</v>
      </c>
      <c r="R183">
        <f t="shared" si="17"/>
        <v>0</v>
      </c>
      <c r="S183">
        <f t="shared" si="13"/>
        <v>0</v>
      </c>
      <c r="T183">
        <f t="shared" si="14"/>
        <v>0</v>
      </c>
    </row>
    <row r="184"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f t="shared" si="15"/>
        <v>0</v>
      </c>
      <c r="Q184">
        <f t="shared" si="16"/>
        <v>0</v>
      </c>
      <c r="R184">
        <f t="shared" si="17"/>
        <v>0</v>
      </c>
      <c r="S184">
        <f t="shared" si="13"/>
        <v>0</v>
      </c>
      <c r="T184">
        <f t="shared" si="14"/>
        <v>0</v>
      </c>
    </row>
    <row r="185"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f t="shared" si="15"/>
        <v>0</v>
      </c>
      <c r="Q185">
        <f t="shared" si="16"/>
        <v>0</v>
      </c>
      <c r="R185">
        <f t="shared" si="17"/>
        <v>0</v>
      </c>
      <c r="S185">
        <f t="shared" si="13"/>
        <v>0</v>
      </c>
      <c r="T185">
        <f t="shared" si="14"/>
        <v>0</v>
      </c>
    </row>
    <row r="186"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f t="shared" si="15"/>
        <v>0</v>
      </c>
      <c r="Q186">
        <f t="shared" si="16"/>
        <v>0</v>
      </c>
      <c r="R186">
        <f t="shared" si="17"/>
        <v>0</v>
      </c>
      <c r="S186">
        <f t="shared" si="13"/>
        <v>0</v>
      </c>
      <c r="T186">
        <f t="shared" si="14"/>
        <v>0</v>
      </c>
    </row>
    <row r="187"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f t="shared" si="15"/>
        <v>0</v>
      </c>
      <c r="Q187">
        <f t="shared" si="16"/>
        <v>0</v>
      </c>
      <c r="R187">
        <f t="shared" si="17"/>
        <v>0</v>
      </c>
      <c r="S187">
        <f t="shared" si="13"/>
        <v>0</v>
      </c>
      <c r="T187">
        <f t="shared" si="14"/>
        <v>0</v>
      </c>
    </row>
    <row r="188"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f t="shared" si="15"/>
        <v>0</v>
      </c>
      <c r="Q188">
        <f t="shared" si="16"/>
        <v>0</v>
      </c>
      <c r="R188">
        <f t="shared" si="17"/>
        <v>0</v>
      </c>
      <c r="S188">
        <f t="shared" si="13"/>
        <v>0</v>
      </c>
      <c r="T188">
        <f t="shared" si="14"/>
        <v>0</v>
      </c>
    </row>
    <row r="189"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f t="shared" si="15"/>
        <v>0</v>
      </c>
      <c r="Q189">
        <f t="shared" si="16"/>
        <v>0</v>
      </c>
      <c r="R189">
        <f t="shared" si="17"/>
        <v>0</v>
      </c>
      <c r="S189">
        <f t="shared" si="13"/>
        <v>0</v>
      </c>
      <c r="T189">
        <f t="shared" si="14"/>
        <v>0</v>
      </c>
    </row>
    <row r="190"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f t="shared" si="15"/>
        <v>0</v>
      </c>
      <c r="Q190">
        <f t="shared" si="16"/>
        <v>0</v>
      </c>
      <c r="R190">
        <f t="shared" si="17"/>
        <v>0</v>
      </c>
      <c r="S190">
        <f t="shared" si="13"/>
        <v>0</v>
      </c>
      <c r="T190">
        <f t="shared" si="14"/>
        <v>0</v>
      </c>
    </row>
    <row r="191"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f t="shared" si="15"/>
        <v>0</v>
      </c>
      <c r="Q191">
        <f t="shared" si="16"/>
        <v>0</v>
      </c>
      <c r="R191">
        <f t="shared" si="17"/>
        <v>0</v>
      </c>
      <c r="S191">
        <f t="shared" si="13"/>
        <v>0</v>
      </c>
      <c r="T191">
        <f t="shared" si="14"/>
        <v>0</v>
      </c>
    </row>
    <row r="192"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f t="shared" si="15"/>
        <v>0</v>
      </c>
      <c r="Q192">
        <f t="shared" si="16"/>
        <v>0</v>
      </c>
      <c r="R192">
        <f t="shared" si="17"/>
        <v>0</v>
      </c>
      <c r="S192">
        <f t="shared" si="13"/>
        <v>0</v>
      </c>
      <c r="T192">
        <f t="shared" si="14"/>
        <v>0</v>
      </c>
    </row>
    <row r="193"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f t="shared" si="15"/>
        <v>0</v>
      </c>
      <c r="Q193">
        <f t="shared" si="16"/>
        <v>0</v>
      </c>
      <c r="R193">
        <f t="shared" si="17"/>
        <v>0</v>
      </c>
      <c r="S193">
        <f t="shared" si="13"/>
        <v>0</v>
      </c>
      <c r="T193">
        <f t="shared" si="14"/>
        <v>0</v>
      </c>
    </row>
    <row r="194"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f t="shared" si="15"/>
        <v>0</v>
      </c>
      <c r="Q194">
        <f t="shared" si="16"/>
        <v>0</v>
      </c>
      <c r="R194">
        <f t="shared" si="17"/>
        <v>0</v>
      </c>
      <c r="S194">
        <f t="shared" si="13"/>
        <v>0</v>
      </c>
      <c r="T194">
        <f t="shared" si="14"/>
        <v>0</v>
      </c>
    </row>
    <row r="195"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f t="shared" si="15"/>
        <v>0</v>
      </c>
      <c r="Q195">
        <f t="shared" si="16"/>
        <v>0</v>
      </c>
      <c r="R195">
        <f t="shared" si="17"/>
        <v>0</v>
      </c>
      <c r="S195">
        <f t="shared" ref="S195:S258" si="18">IF(J195="Realizada completa",1,0)</f>
        <v>0</v>
      </c>
      <c r="T195">
        <f t="shared" ref="T195:T258" si="19">IF(J195="Sin respuesta",1,0)</f>
        <v>0</v>
      </c>
    </row>
    <row r="196"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f t="shared" ref="P196:P259" si="20">IF(F196="Sí",1,0)</f>
        <v>0</v>
      </c>
      <c r="Q196">
        <f t="shared" ref="Q196:Q259" si="21">IF(J196="En coordinación",1,0)</f>
        <v>0</v>
      </c>
      <c r="R196">
        <f t="shared" ref="R196:R259" si="22">IF(J196="En coordinación",1,0)</f>
        <v>0</v>
      </c>
      <c r="S196">
        <f t="shared" si="18"/>
        <v>0</v>
      </c>
      <c r="T196">
        <f t="shared" si="19"/>
        <v>0</v>
      </c>
    </row>
    <row r="197"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f t="shared" si="20"/>
        <v>0</v>
      </c>
      <c r="Q197">
        <f t="shared" si="21"/>
        <v>0</v>
      </c>
      <c r="R197">
        <f t="shared" si="22"/>
        <v>0</v>
      </c>
      <c r="S197">
        <f t="shared" si="18"/>
        <v>0</v>
      </c>
      <c r="T197">
        <f t="shared" si="19"/>
        <v>0</v>
      </c>
    </row>
    <row r="198"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f t="shared" si="20"/>
        <v>0</v>
      </c>
      <c r="Q198">
        <f t="shared" si="21"/>
        <v>0</v>
      </c>
      <c r="R198">
        <f t="shared" si="22"/>
        <v>0</v>
      </c>
      <c r="S198">
        <f t="shared" si="18"/>
        <v>0</v>
      </c>
      <c r="T198">
        <f t="shared" si="19"/>
        <v>0</v>
      </c>
    </row>
    <row r="199"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f t="shared" si="20"/>
        <v>0</v>
      </c>
      <c r="Q199">
        <f t="shared" si="21"/>
        <v>0</v>
      </c>
      <c r="R199">
        <f t="shared" si="22"/>
        <v>0</v>
      </c>
      <c r="S199">
        <f t="shared" si="18"/>
        <v>0</v>
      </c>
      <c r="T199">
        <f t="shared" si="19"/>
        <v>0</v>
      </c>
    </row>
    <row r="200"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f t="shared" si="20"/>
        <v>0</v>
      </c>
      <c r="Q200">
        <f t="shared" si="21"/>
        <v>0</v>
      </c>
      <c r="R200">
        <f t="shared" si="22"/>
        <v>0</v>
      </c>
      <c r="S200">
        <f t="shared" si="18"/>
        <v>0</v>
      </c>
      <c r="T200">
        <f t="shared" si="19"/>
        <v>0</v>
      </c>
    </row>
    <row r="201"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f t="shared" si="20"/>
        <v>0</v>
      </c>
      <c r="Q201">
        <f t="shared" si="21"/>
        <v>0</v>
      </c>
      <c r="R201">
        <f t="shared" si="22"/>
        <v>0</v>
      </c>
      <c r="S201">
        <f t="shared" si="18"/>
        <v>0</v>
      </c>
      <c r="T201">
        <f t="shared" si="19"/>
        <v>0</v>
      </c>
    </row>
    <row r="202"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f t="shared" si="20"/>
        <v>0</v>
      </c>
      <c r="Q202">
        <f t="shared" si="21"/>
        <v>0</v>
      </c>
      <c r="R202">
        <f t="shared" si="22"/>
        <v>0</v>
      </c>
      <c r="S202">
        <f t="shared" si="18"/>
        <v>0</v>
      </c>
      <c r="T202">
        <f t="shared" si="19"/>
        <v>0</v>
      </c>
    </row>
    <row r="203"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f t="shared" si="20"/>
        <v>0</v>
      </c>
      <c r="Q203">
        <f t="shared" si="21"/>
        <v>0</v>
      </c>
      <c r="R203">
        <f t="shared" si="22"/>
        <v>0</v>
      </c>
      <c r="S203">
        <f t="shared" si="18"/>
        <v>0</v>
      </c>
      <c r="T203">
        <f t="shared" si="19"/>
        <v>0</v>
      </c>
    </row>
    <row r="204"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f t="shared" si="20"/>
        <v>0</v>
      </c>
      <c r="Q204">
        <f t="shared" si="21"/>
        <v>0</v>
      </c>
      <c r="R204">
        <f t="shared" si="22"/>
        <v>0</v>
      </c>
      <c r="S204">
        <f t="shared" si="18"/>
        <v>0</v>
      </c>
      <c r="T204">
        <f t="shared" si="19"/>
        <v>0</v>
      </c>
    </row>
    <row r="205"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f t="shared" si="20"/>
        <v>0</v>
      </c>
      <c r="Q205">
        <f t="shared" si="21"/>
        <v>0</v>
      </c>
      <c r="R205">
        <f t="shared" si="22"/>
        <v>0</v>
      </c>
      <c r="S205">
        <f t="shared" si="18"/>
        <v>0</v>
      </c>
      <c r="T205">
        <f t="shared" si="19"/>
        <v>0</v>
      </c>
    </row>
    <row r="206"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f t="shared" si="20"/>
        <v>0</v>
      </c>
      <c r="Q206">
        <f t="shared" si="21"/>
        <v>0</v>
      </c>
      <c r="R206">
        <f t="shared" si="22"/>
        <v>0</v>
      </c>
      <c r="S206">
        <f t="shared" si="18"/>
        <v>0</v>
      </c>
      <c r="T206">
        <f t="shared" si="19"/>
        <v>0</v>
      </c>
    </row>
    <row r="207"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f t="shared" si="20"/>
        <v>0</v>
      </c>
      <c r="Q207">
        <f t="shared" si="21"/>
        <v>0</v>
      </c>
      <c r="R207">
        <f t="shared" si="22"/>
        <v>0</v>
      </c>
      <c r="S207">
        <f t="shared" si="18"/>
        <v>0</v>
      </c>
      <c r="T207">
        <f t="shared" si="19"/>
        <v>0</v>
      </c>
    </row>
    <row r="208"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f t="shared" si="20"/>
        <v>0</v>
      </c>
      <c r="Q208">
        <f t="shared" si="21"/>
        <v>0</v>
      </c>
      <c r="R208">
        <f t="shared" si="22"/>
        <v>0</v>
      </c>
      <c r="S208">
        <f t="shared" si="18"/>
        <v>0</v>
      </c>
      <c r="T208">
        <f t="shared" si="19"/>
        <v>0</v>
      </c>
    </row>
    <row r="209"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f t="shared" si="20"/>
        <v>0</v>
      </c>
      <c r="Q209">
        <f t="shared" si="21"/>
        <v>0</v>
      </c>
      <c r="R209">
        <f t="shared" si="22"/>
        <v>0</v>
      </c>
      <c r="S209">
        <f t="shared" si="18"/>
        <v>0</v>
      </c>
      <c r="T209">
        <f t="shared" si="19"/>
        <v>0</v>
      </c>
    </row>
    <row r="210"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f t="shared" si="20"/>
        <v>0</v>
      </c>
      <c r="Q210">
        <f t="shared" si="21"/>
        <v>0</v>
      </c>
      <c r="R210">
        <f t="shared" si="22"/>
        <v>0</v>
      </c>
      <c r="S210">
        <f t="shared" si="18"/>
        <v>0</v>
      </c>
      <c r="T210">
        <f t="shared" si="19"/>
        <v>0</v>
      </c>
    </row>
    <row r="211"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f t="shared" si="20"/>
        <v>0</v>
      </c>
      <c r="Q211">
        <f t="shared" si="21"/>
        <v>0</v>
      </c>
      <c r="R211">
        <f t="shared" si="22"/>
        <v>0</v>
      </c>
      <c r="S211">
        <f t="shared" si="18"/>
        <v>0</v>
      </c>
      <c r="T211">
        <f t="shared" si="19"/>
        <v>0</v>
      </c>
    </row>
    <row r="212"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f t="shared" si="20"/>
        <v>0</v>
      </c>
      <c r="Q212">
        <f t="shared" si="21"/>
        <v>0</v>
      </c>
      <c r="R212">
        <f t="shared" si="22"/>
        <v>0</v>
      </c>
      <c r="S212">
        <f t="shared" si="18"/>
        <v>0</v>
      </c>
      <c r="T212">
        <f t="shared" si="19"/>
        <v>0</v>
      </c>
    </row>
    <row r="213"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f t="shared" si="20"/>
        <v>0</v>
      </c>
      <c r="Q213">
        <f t="shared" si="21"/>
        <v>0</v>
      </c>
      <c r="R213">
        <f t="shared" si="22"/>
        <v>0</v>
      </c>
      <c r="S213">
        <f t="shared" si="18"/>
        <v>0</v>
      </c>
      <c r="T213">
        <f t="shared" si="19"/>
        <v>0</v>
      </c>
    </row>
    <row r="214"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f t="shared" si="20"/>
        <v>0</v>
      </c>
      <c r="Q214">
        <f t="shared" si="21"/>
        <v>0</v>
      </c>
      <c r="R214">
        <f t="shared" si="22"/>
        <v>0</v>
      </c>
      <c r="S214">
        <f t="shared" si="18"/>
        <v>0</v>
      </c>
      <c r="T214">
        <f t="shared" si="19"/>
        <v>0</v>
      </c>
    </row>
    <row r="215"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f t="shared" si="20"/>
        <v>0</v>
      </c>
      <c r="Q215">
        <f t="shared" si="21"/>
        <v>0</v>
      </c>
      <c r="R215">
        <f t="shared" si="22"/>
        <v>0</v>
      </c>
      <c r="S215">
        <f t="shared" si="18"/>
        <v>0</v>
      </c>
      <c r="T215">
        <f t="shared" si="19"/>
        <v>0</v>
      </c>
    </row>
    <row r="216"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f t="shared" si="20"/>
        <v>0</v>
      </c>
      <c r="Q216">
        <f t="shared" si="21"/>
        <v>0</v>
      </c>
      <c r="R216">
        <f t="shared" si="22"/>
        <v>0</v>
      </c>
      <c r="S216">
        <f t="shared" si="18"/>
        <v>0</v>
      </c>
      <c r="T216">
        <f t="shared" si="19"/>
        <v>0</v>
      </c>
    </row>
    <row r="217"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f t="shared" si="20"/>
        <v>0</v>
      </c>
      <c r="Q217">
        <f t="shared" si="21"/>
        <v>0</v>
      </c>
      <c r="R217">
        <f t="shared" si="22"/>
        <v>0</v>
      </c>
      <c r="S217">
        <f t="shared" si="18"/>
        <v>0</v>
      </c>
      <c r="T217">
        <f t="shared" si="19"/>
        <v>0</v>
      </c>
    </row>
    <row r="218"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f t="shared" si="20"/>
        <v>0</v>
      </c>
      <c r="Q218">
        <f t="shared" si="21"/>
        <v>0</v>
      </c>
      <c r="R218">
        <f t="shared" si="22"/>
        <v>0</v>
      </c>
      <c r="S218">
        <f t="shared" si="18"/>
        <v>0</v>
      </c>
      <c r="T218">
        <f t="shared" si="19"/>
        <v>0</v>
      </c>
    </row>
    <row r="219"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f t="shared" si="20"/>
        <v>0</v>
      </c>
      <c r="Q219">
        <f t="shared" si="21"/>
        <v>0</v>
      </c>
      <c r="R219">
        <f t="shared" si="22"/>
        <v>0</v>
      </c>
      <c r="S219">
        <f t="shared" si="18"/>
        <v>0</v>
      </c>
      <c r="T219">
        <f t="shared" si="19"/>
        <v>0</v>
      </c>
    </row>
    <row r="220"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f t="shared" si="20"/>
        <v>0</v>
      </c>
      <c r="Q220">
        <f t="shared" si="21"/>
        <v>0</v>
      </c>
      <c r="R220">
        <f t="shared" si="22"/>
        <v>0</v>
      </c>
      <c r="S220">
        <f t="shared" si="18"/>
        <v>0</v>
      </c>
      <c r="T220">
        <f t="shared" si="19"/>
        <v>0</v>
      </c>
    </row>
    <row r="221"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f t="shared" si="20"/>
        <v>0</v>
      </c>
      <c r="Q221">
        <f t="shared" si="21"/>
        <v>0</v>
      </c>
      <c r="R221">
        <f t="shared" si="22"/>
        <v>0</v>
      </c>
      <c r="S221">
        <f t="shared" si="18"/>
        <v>0</v>
      </c>
      <c r="T221">
        <f t="shared" si="19"/>
        <v>0</v>
      </c>
    </row>
    <row r="222"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f t="shared" si="20"/>
        <v>0</v>
      </c>
      <c r="Q222">
        <f t="shared" si="21"/>
        <v>0</v>
      </c>
      <c r="R222">
        <f t="shared" si="22"/>
        <v>0</v>
      </c>
      <c r="S222">
        <f t="shared" si="18"/>
        <v>0</v>
      </c>
      <c r="T222">
        <f t="shared" si="19"/>
        <v>0</v>
      </c>
    </row>
    <row r="223"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f t="shared" si="20"/>
        <v>0</v>
      </c>
      <c r="Q223">
        <f t="shared" si="21"/>
        <v>0</v>
      </c>
      <c r="R223">
        <f t="shared" si="22"/>
        <v>0</v>
      </c>
      <c r="S223">
        <f t="shared" si="18"/>
        <v>0</v>
      </c>
      <c r="T223">
        <f t="shared" si="19"/>
        <v>0</v>
      </c>
    </row>
    <row r="224"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f t="shared" si="20"/>
        <v>0</v>
      </c>
      <c r="Q224">
        <f t="shared" si="21"/>
        <v>0</v>
      </c>
      <c r="R224">
        <f t="shared" si="22"/>
        <v>0</v>
      </c>
      <c r="S224">
        <f t="shared" si="18"/>
        <v>0</v>
      </c>
      <c r="T224">
        <f t="shared" si="19"/>
        <v>0</v>
      </c>
    </row>
    <row r="225"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f t="shared" si="20"/>
        <v>0</v>
      </c>
      <c r="Q225">
        <f t="shared" si="21"/>
        <v>0</v>
      </c>
      <c r="R225">
        <f t="shared" si="22"/>
        <v>0</v>
      </c>
      <c r="S225">
        <f t="shared" si="18"/>
        <v>0</v>
      </c>
      <c r="T225">
        <f t="shared" si="19"/>
        <v>0</v>
      </c>
    </row>
    <row r="226"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f t="shared" si="20"/>
        <v>0</v>
      </c>
      <c r="Q226">
        <f t="shared" si="21"/>
        <v>0</v>
      </c>
      <c r="R226">
        <f t="shared" si="22"/>
        <v>0</v>
      </c>
      <c r="S226">
        <f t="shared" si="18"/>
        <v>0</v>
      </c>
      <c r="T226">
        <f t="shared" si="19"/>
        <v>0</v>
      </c>
    </row>
    <row r="227"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f t="shared" si="20"/>
        <v>0</v>
      </c>
      <c r="Q227">
        <f t="shared" si="21"/>
        <v>0</v>
      </c>
      <c r="R227">
        <f t="shared" si="22"/>
        <v>0</v>
      </c>
      <c r="S227">
        <f t="shared" si="18"/>
        <v>0</v>
      </c>
      <c r="T227">
        <f t="shared" si="19"/>
        <v>0</v>
      </c>
    </row>
    <row r="228"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f t="shared" si="20"/>
        <v>0</v>
      </c>
      <c r="Q228">
        <f t="shared" si="21"/>
        <v>0</v>
      </c>
      <c r="R228">
        <f t="shared" si="22"/>
        <v>0</v>
      </c>
      <c r="S228">
        <f t="shared" si="18"/>
        <v>0</v>
      </c>
      <c r="T228">
        <f t="shared" si="19"/>
        <v>0</v>
      </c>
    </row>
    <row r="229"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f t="shared" si="20"/>
        <v>0</v>
      </c>
      <c r="Q229">
        <f t="shared" si="21"/>
        <v>0</v>
      </c>
      <c r="R229">
        <f t="shared" si="22"/>
        <v>0</v>
      </c>
      <c r="S229">
        <f t="shared" si="18"/>
        <v>0</v>
      </c>
      <c r="T229">
        <f t="shared" si="19"/>
        <v>0</v>
      </c>
    </row>
    <row r="230"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f t="shared" si="20"/>
        <v>0</v>
      </c>
      <c r="Q230">
        <f t="shared" si="21"/>
        <v>0</v>
      </c>
      <c r="R230">
        <f t="shared" si="22"/>
        <v>0</v>
      </c>
      <c r="S230">
        <f t="shared" si="18"/>
        <v>0</v>
      </c>
      <c r="T230">
        <f t="shared" si="19"/>
        <v>0</v>
      </c>
    </row>
    <row r="231"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f t="shared" si="20"/>
        <v>0</v>
      </c>
      <c r="Q231">
        <f t="shared" si="21"/>
        <v>0</v>
      </c>
      <c r="R231">
        <f t="shared" si="22"/>
        <v>0</v>
      </c>
      <c r="S231">
        <f t="shared" si="18"/>
        <v>0</v>
      </c>
      <c r="T231">
        <f t="shared" si="19"/>
        <v>0</v>
      </c>
    </row>
    <row r="232"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f t="shared" si="20"/>
        <v>0</v>
      </c>
      <c r="Q232">
        <f t="shared" si="21"/>
        <v>0</v>
      </c>
      <c r="R232">
        <f t="shared" si="22"/>
        <v>0</v>
      </c>
      <c r="S232">
        <f t="shared" si="18"/>
        <v>0</v>
      </c>
      <c r="T232">
        <f t="shared" si="19"/>
        <v>0</v>
      </c>
    </row>
    <row r="233"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f t="shared" si="20"/>
        <v>0</v>
      </c>
      <c r="Q233">
        <f t="shared" si="21"/>
        <v>0</v>
      </c>
      <c r="R233">
        <f t="shared" si="22"/>
        <v>0</v>
      </c>
      <c r="S233">
        <f t="shared" si="18"/>
        <v>0</v>
      </c>
      <c r="T233">
        <f t="shared" si="19"/>
        <v>0</v>
      </c>
    </row>
    <row r="234"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f t="shared" si="20"/>
        <v>0</v>
      </c>
      <c r="Q234">
        <f t="shared" si="21"/>
        <v>0</v>
      </c>
      <c r="R234">
        <f t="shared" si="22"/>
        <v>0</v>
      </c>
      <c r="S234">
        <f t="shared" si="18"/>
        <v>0</v>
      </c>
      <c r="T234">
        <f t="shared" si="19"/>
        <v>0</v>
      </c>
    </row>
    <row r="235"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f t="shared" si="20"/>
        <v>0</v>
      </c>
      <c r="Q235">
        <f t="shared" si="21"/>
        <v>0</v>
      </c>
      <c r="R235">
        <f t="shared" si="22"/>
        <v>0</v>
      </c>
      <c r="S235">
        <f t="shared" si="18"/>
        <v>0</v>
      </c>
      <c r="T235">
        <f t="shared" si="19"/>
        <v>0</v>
      </c>
    </row>
    <row r="236"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f t="shared" si="20"/>
        <v>0</v>
      </c>
      <c r="Q236">
        <f t="shared" si="21"/>
        <v>0</v>
      </c>
      <c r="R236">
        <f t="shared" si="22"/>
        <v>0</v>
      </c>
      <c r="S236">
        <f t="shared" si="18"/>
        <v>0</v>
      </c>
      <c r="T236">
        <f t="shared" si="19"/>
        <v>0</v>
      </c>
    </row>
    <row r="237"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f t="shared" si="20"/>
        <v>0</v>
      </c>
      <c r="Q237">
        <f t="shared" si="21"/>
        <v>0</v>
      </c>
      <c r="R237">
        <f t="shared" si="22"/>
        <v>0</v>
      </c>
      <c r="S237">
        <f t="shared" si="18"/>
        <v>0</v>
      </c>
      <c r="T237">
        <f t="shared" si="19"/>
        <v>0</v>
      </c>
    </row>
    <row r="238"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f t="shared" si="20"/>
        <v>0</v>
      </c>
      <c r="Q238">
        <f t="shared" si="21"/>
        <v>0</v>
      </c>
      <c r="R238">
        <f t="shared" si="22"/>
        <v>0</v>
      </c>
      <c r="S238">
        <f t="shared" si="18"/>
        <v>0</v>
      </c>
      <c r="T238">
        <f t="shared" si="19"/>
        <v>0</v>
      </c>
    </row>
    <row r="239"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f t="shared" si="20"/>
        <v>0</v>
      </c>
      <c r="Q239">
        <f t="shared" si="21"/>
        <v>0</v>
      </c>
      <c r="R239">
        <f t="shared" si="22"/>
        <v>0</v>
      </c>
      <c r="S239">
        <f t="shared" si="18"/>
        <v>0</v>
      </c>
      <c r="T239">
        <f t="shared" si="19"/>
        <v>0</v>
      </c>
    </row>
    <row r="240"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f t="shared" si="20"/>
        <v>0</v>
      </c>
      <c r="Q240">
        <f t="shared" si="21"/>
        <v>0</v>
      </c>
      <c r="R240">
        <f t="shared" si="22"/>
        <v>0</v>
      </c>
      <c r="S240">
        <f t="shared" si="18"/>
        <v>0</v>
      </c>
      <c r="T240">
        <f t="shared" si="19"/>
        <v>0</v>
      </c>
    </row>
    <row r="241"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f t="shared" si="20"/>
        <v>0</v>
      </c>
      <c r="Q241">
        <f t="shared" si="21"/>
        <v>0</v>
      </c>
      <c r="R241">
        <f t="shared" si="22"/>
        <v>0</v>
      </c>
      <c r="S241">
        <f t="shared" si="18"/>
        <v>0</v>
      </c>
      <c r="T241">
        <f t="shared" si="19"/>
        <v>0</v>
      </c>
    </row>
    <row r="242"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f t="shared" si="20"/>
        <v>0</v>
      </c>
      <c r="Q242">
        <f t="shared" si="21"/>
        <v>0</v>
      </c>
      <c r="R242">
        <f t="shared" si="22"/>
        <v>0</v>
      </c>
      <c r="S242">
        <f t="shared" si="18"/>
        <v>0</v>
      </c>
      <c r="T242">
        <f t="shared" si="19"/>
        <v>0</v>
      </c>
    </row>
    <row r="243"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f t="shared" si="20"/>
        <v>0</v>
      </c>
      <c r="Q243">
        <f t="shared" si="21"/>
        <v>0</v>
      </c>
      <c r="R243">
        <f t="shared" si="22"/>
        <v>0</v>
      </c>
      <c r="S243">
        <f t="shared" si="18"/>
        <v>0</v>
      </c>
      <c r="T243">
        <f t="shared" si="19"/>
        <v>0</v>
      </c>
    </row>
    <row r="244"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f t="shared" si="20"/>
        <v>0</v>
      </c>
      <c r="Q244">
        <f t="shared" si="21"/>
        <v>0</v>
      </c>
      <c r="R244">
        <f t="shared" si="22"/>
        <v>0</v>
      </c>
      <c r="S244">
        <f t="shared" si="18"/>
        <v>0</v>
      </c>
      <c r="T244">
        <f t="shared" si="19"/>
        <v>0</v>
      </c>
    </row>
    <row r="245"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f t="shared" si="20"/>
        <v>0</v>
      </c>
      <c r="Q245">
        <f t="shared" si="21"/>
        <v>0</v>
      </c>
      <c r="R245">
        <f t="shared" si="22"/>
        <v>0</v>
      </c>
      <c r="S245">
        <f t="shared" si="18"/>
        <v>0</v>
      </c>
      <c r="T245">
        <f t="shared" si="19"/>
        <v>0</v>
      </c>
    </row>
    <row r="246"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f t="shared" si="20"/>
        <v>0</v>
      </c>
      <c r="Q246">
        <f t="shared" si="21"/>
        <v>0</v>
      </c>
      <c r="R246">
        <f t="shared" si="22"/>
        <v>0</v>
      </c>
      <c r="S246">
        <f t="shared" si="18"/>
        <v>0</v>
      </c>
      <c r="T246">
        <f t="shared" si="19"/>
        <v>0</v>
      </c>
    </row>
    <row r="247"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f t="shared" si="20"/>
        <v>0</v>
      </c>
      <c r="Q247">
        <f t="shared" si="21"/>
        <v>0</v>
      </c>
      <c r="R247">
        <f t="shared" si="22"/>
        <v>0</v>
      </c>
      <c r="S247">
        <f t="shared" si="18"/>
        <v>0</v>
      </c>
      <c r="T247">
        <f t="shared" si="19"/>
        <v>0</v>
      </c>
    </row>
    <row r="248"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f t="shared" si="20"/>
        <v>0</v>
      </c>
      <c r="Q248">
        <f t="shared" si="21"/>
        <v>0</v>
      </c>
      <c r="R248">
        <f t="shared" si="22"/>
        <v>0</v>
      </c>
      <c r="S248">
        <f t="shared" si="18"/>
        <v>0</v>
      </c>
      <c r="T248">
        <f t="shared" si="19"/>
        <v>0</v>
      </c>
    </row>
    <row r="249"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f t="shared" si="20"/>
        <v>0</v>
      </c>
      <c r="Q249">
        <f t="shared" si="21"/>
        <v>0</v>
      </c>
      <c r="R249">
        <f t="shared" si="22"/>
        <v>0</v>
      </c>
      <c r="S249">
        <f t="shared" si="18"/>
        <v>0</v>
      </c>
      <c r="T249">
        <f t="shared" si="19"/>
        <v>0</v>
      </c>
    </row>
    <row r="250"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f t="shared" si="20"/>
        <v>0</v>
      </c>
      <c r="Q250">
        <f t="shared" si="21"/>
        <v>0</v>
      </c>
      <c r="R250">
        <f t="shared" si="22"/>
        <v>0</v>
      </c>
      <c r="S250">
        <f t="shared" si="18"/>
        <v>0</v>
      </c>
      <c r="T250">
        <f t="shared" si="19"/>
        <v>0</v>
      </c>
    </row>
    <row r="251"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f t="shared" si="20"/>
        <v>0</v>
      </c>
      <c r="Q251">
        <f t="shared" si="21"/>
        <v>0</v>
      </c>
      <c r="R251">
        <f t="shared" si="22"/>
        <v>0</v>
      </c>
      <c r="S251">
        <f t="shared" si="18"/>
        <v>0</v>
      </c>
      <c r="T251">
        <f t="shared" si="19"/>
        <v>0</v>
      </c>
    </row>
    <row r="252"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f t="shared" si="20"/>
        <v>0</v>
      </c>
      <c r="Q252">
        <f t="shared" si="21"/>
        <v>0</v>
      </c>
      <c r="R252">
        <f t="shared" si="22"/>
        <v>0</v>
      </c>
      <c r="S252">
        <f t="shared" si="18"/>
        <v>0</v>
      </c>
      <c r="T252">
        <f t="shared" si="19"/>
        <v>0</v>
      </c>
    </row>
    <row r="253"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f t="shared" si="20"/>
        <v>0</v>
      </c>
      <c r="Q253">
        <f t="shared" si="21"/>
        <v>0</v>
      </c>
      <c r="R253">
        <f t="shared" si="22"/>
        <v>0</v>
      </c>
      <c r="S253">
        <f t="shared" si="18"/>
        <v>0</v>
      </c>
      <c r="T253">
        <f t="shared" si="19"/>
        <v>0</v>
      </c>
    </row>
    <row r="254"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f t="shared" si="20"/>
        <v>0</v>
      </c>
      <c r="Q254">
        <f t="shared" si="21"/>
        <v>0</v>
      </c>
      <c r="R254">
        <f t="shared" si="22"/>
        <v>0</v>
      </c>
      <c r="S254">
        <f t="shared" si="18"/>
        <v>0</v>
      </c>
      <c r="T254">
        <f t="shared" si="19"/>
        <v>0</v>
      </c>
    </row>
    <row r="255"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f t="shared" si="20"/>
        <v>0</v>
      </c>
      <c r="Q255">
        <f t="shared" si="21"/>
        <v>0</v>
      </c>
      <c r="R255">
        <f t="shared" si="22"/>
        <v>0</v>
      </c>
      <c r="S255">
        <f t="shared" si="18"/>
        <v>0</v>
      </c>
      <c r="T255">
        <f t="shared" si="19"/>
        <v>0</v>
      </c>
    </row>
    <row r="256"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f t="shared" si="20"/>
        <v>0</v>
      </c>
      <c r="Q256">
        <f t="shared" si="21"/>
        <v>0</v>
      </c>
      <c r="R256">
        <f t="shared" si="22"/>
        <v>0</v>
      </c>
      <c r="S256">
        <f t="shared" si="18"/>
        <v>0</v>
      </c>
      <c r="T256">
        <f t="shared" si="19"/>
        <v>0</v>
      </c>
    </row>
    <row r="257"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f t="shared" si="20"/>
        <v>0</v>
      </c>
      <c r="Q257">
        <f t="shared" si="21"/>
        <v>0</v>
      </c>
      <c r="R257">
        <f t="shared" si="22"/>
        <v>0</v>
      </c>
      <c r="S257">
        <f t="shared" si="18"/>
        <v>0</v>
      </c>
      <c r="T257">
        <f t="shared" si="19"/>
        <v>0</v>
      </c>
    </row>
    <row r="258"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f t="shared" si="20"/>
        <v>0</v>
      </c>
      <c r="Q258">
        <f t="shared" si="21"/>
        <v>0</v>
      </c>
      <c r="R258">
        <f t="shared" si="22"/>
        <v>0</v>
      </c>
      <c r="S258">
        <f t="shared" si="18"/>
        <v>0</v>
      </c>
      <c r="T258">
        <f t="shared" si="19"/>
        <v>0</v>
      </c>
    </row>
    <row r="259"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f t="shared" si="20"/>
        <v>0</v>
      </c>
      <c r="Q259">
        <f t="shared" si="21"/>
        <v>0</v>
      </c>
      <c r="R259">
        <f t="shared" si="22"/>
        <v>0</v>
      </c>
      <c r="S259">
        <f t="shared" ref="S259:S322" si="23">IF(J259="Realizada completa",1,0)</f>
        <v>0</v>
      </c>
      <c r="T259">
        <f t="shared" ref="T259:T322" si="24">IF(J259="Sin respuesta",1,0)</f>
        <v>0</v>
      </c>
    </row>
    <row r="260"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f t="shared" ref="P260:P323" si="25">IF(F260="Sí",1,0)</f>
        <v>0</v>
      </c>
      <c r="Q260">
        <f t="shared" ref="Q260:Q323" si="26">IF(J260="En coordinación",1,0)</f>
        <v>0</v>
      </c>
      <c r="R260">
        <f t="shared" ref="R260:R323" si="27">IF(J260="En coordinación",1,0)</f>
        <v>0</v>
      </c>
      <c r="S260">
        <f t="shared" si="23"/>
        <v>0</v>
      </c>
      <c r="T260">
        <f t="shared" si="24"/>
        <v>0</v>
      </c>
    </row>
    <row r="261"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f t="shared" si="25"/>
        <v>0</v>
      </c>
      <c r="Q261">
        <f t="shared" si="26"/>
        <v>0</v>
      </c>
      <c r="R261">
        <f t="shared" si="27"/>
        <v>0</v>
      </c>
      <c r="S261">
        <f t="shared" si="23"/>
        <v>0</v>
      </c>
      <c r="T261">
        <f t="shared" si="24"/>
        <v>0</v>
      </c>
    </row>
    <row r="262"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f t="shared" si="25"/>
        <v>0</v>
      </c>
      <c r="Q262">
        <f t="shared" si="26"/>
        <v>0</v>
      </c>
      <c r="R262">
        <f t="shared" si="27"/>
        <v>0</v>
      </c>
      <c r="S262">
        <f t="shared" si="23"/>
        <v>0</v>
      </c>
      <c r="T262">
        <f t="shared" si="24"/>
        <v>0</v>
      </c>
    </row>
    <row r="263"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f t="shared" si="25"/>
        <v>0</v>
      </c>
      <c r="Q263">
        <f t="shared" si="26"/>
        <v>0</v>
      </c>
      <c r="R263">
        <f t="shared" si="27"/>
        <v>0</v>
      </c>
      <c r="S263">
        <f t="shared" si="23"/>
        <v>0</v>
      </c>
      <c r="T263">
        <f t="shared" si="24"/>
        <v>0</v>
      </c>
    </row>
    <row r="264"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f t="shared" si="25"/>
        <v>0</v>
      </c>
      <c r="Q264">
        <f t="shared" si="26"/>
        <v>0</v>
      </c>
      <c r="R264">
        <f t="shared" si="27"/>
        <v>0</v>
      </c>
      <c r="S264">
        <f t="shared" si="23"/>
        <v>0</v>
      </c>
      <c r="T264">
        <f t="shared" si="24"/>
        <v>0</v>
      </c>
    </row>
    <row r="265"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f t="shared" si="25"/>
        <v>0</v>
      </c>
      <c r="Q265">
        <f t="shared" si="26"/>
        <v>0</v>
      </c>
      <c r="R265">
        <f t="shared" si="27"/>
        <v>0</v>
      </c>
      <c r="S265">
        <f t="shared" si="23"/>
        <v>0</v>
      </c>
      <c r="T265">
        <f t="shared" si="24"/>
        <v>0</v>
      </c>
    </row>
    <row r="266"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f t="shared" si="25"/>
        <v>0</v>
      </c>
      <c r="Q266">
        <f t="shared" si="26"/>
        <v>0</v>
      </c>
      <c r="R266">
        <f t="shared" si="27"/>
        <v>0</v>
      </c>
      <c r="S266">
        <f t="shared" si="23"/>
        <v>0</v>
      </c>
      <c r="T266">
        <f t="shared" si="24"/>
        <v>0</v>
      </c>
    </row>
    <row r="267"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f t="shared" si="25"/>
        <v>0</v>
      </c>
      <c r="Q267">
        <f t="shared" si="26"/>
        <v>0</v>
      </c>
      <c r="R267">
        <f t="shared" si="27"/>
        <v>0</v>
      </c>
      <c r="S267">
        <f t="shared" si="23"/>
        <v>0</v>
      </c>
      <c r="T267">
        <f t="shared" si="24"/>
        <v>0</v>
      </c>
    </row>
    <row r="268"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f t="shared" si="25"/>
        <v>0</v>
      </c>
      <c r="Q268">
        <f t="shared" si="26"/>
        <v>0</v>
      </c>
      <c r="R268">
        <f t="shared" si="27"/>
        <v>0</v>
      </c>
      <c r="S268">
        <f t="shared" si="23"/>
        <v>0</v>
      </c>
      <c r="T268">
        <f t="shared" si="24"/>
        <v>0</v>
      </c>
    </row>
    <row r="269"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f t="shared" si="25"/>
        <v>0</v>
      </c>
      <c r="Q269">
        <f t="shared" si="26"/>
        <v>0</v>
      </c>
      <c r="R269">
        <f t="shared" si="27"/>
        <v>0</v>
      </c>
      <c r="S269">
        <f t="shared" si="23"/>
        <v>0</v>
      </c>
      <c r="T269">
        <f t="shared" si="24"/>
        <v>0</v>
      </c>
    </row>
    <row r="270"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f t="shared" si="25"/>
        <v>0</v>
      </c>
      <c r="Q270">
        <f t="shared" si="26"/>
        <v>0</v>
      </c>
      <c r="R270">
        <f t="shared" si="27"/>
        <v>0</v>
      </c>
      <c r="S270">
        <f t="shared" si="23"/>
        <v>0</v>
      </c>
      <c r="T270">
        <f t="shared" si="24"/>
        <v>0</v>
      </c>
    </row>
    <row r="271"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f t="shared" si="25"/>
        <v>0</v>
      </c>
      <c r="Q271">
        <f t="shared" si="26"/>
        <v>0</v>
      </c>
      <c r="R271">
        <f t="shared" si="27"/>
        <v>0</v>
      </c>
      <c r="S271">
        <f t="shared" si="23"/>
        <v>0</v>
      </c>
      <c r="T271">
        <f t="shared" si="24"/>
        <v>0</v>
      </c>
    </row>
    <row r="272"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f t="shared" si="25"/>
        <v>0</v>
      </c>
      <c r="Q272">
        <f t="shared" si="26"/>
        <v>0</v>
      </c>
      <c r="R272">
        <f t="shared" si="27"/>
        <v>0</v>
      </c>
      <c r="S272">
        <f t="shared" si="23"/>
        <v>0</v>
      </c>
      <c r="T272">
        <f t="shared" si="24"/>
        <v>0</v>
      </c>
    </row>
    <row r="273"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f t="shared" si="25"/>
        <v>0</v>
      </c>
      <c r="Q273">
        <f t="shared" si="26"/>
        <v>0</v>
      </c>
      <c r="R273">
        <f t="shared" si="27"/>
        <v>0</v>
      </c>
      <c r="S273">
        <f t="shared" si="23"/>
        <v>0</v>
      </c>
      <c r="T273">
        <f t="shared" si="24"/>
        <v>0</v>
      </c>
    </row>
    <row r="274"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f t="shared" si="25"/>
        <v>0</v>
      </c>
      <c r="Q274">
        <f t="shared" si="26"/>
        <v>0</v>
      </c>
      <c r="R274">
        <f t="shared" si="27"/>
        <v>0</v>
      </c>
      <c r="S274">
        <f t="shared" si="23"/>
        <v>0</v>
      </c>
      <c r="T274">
        <f t="shared" si="24"/>
        <v>0</v>
      </c>
    </row>
    <row r="275"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f t="shared" si="25"/>
        <v>0</v>
      </c>
      <c r="Q275">
        <f t="shared" si="26"/>
        <v>0</v>
      </c>
      <c r="R275">
        <f t="shared" si="27"/>
        <v>0</v>
      </c>
      <c r="S275">
        <f t="shared" si="23"/>
        <v>0</v>
      </c>
      <c r="T275">
        <f t="shared" si="24"/>
        <v>0</v>
      </c>
    </row>
    <row r="276"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f t="shared" si="25"/>
        <v>0</v>
      </c>
      <c r="Q276">
        <f t="shared" si="26"/>
        <v>0</v>
      </c>
      <c r="R276">
        <f t="shared" si="27"/>
        <v>0</v>
      </c>
      <c r="S276">
        <f t="shared" si="23"/>
        <v>0</v>
      </c>
      <c r="T276">
        <f t="shared" si="24"/>
        <v>0</v>
      </c>
    </row>
    <row r="277"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f t="shared" si="25"/>
        <v>0</v>
      </c>
      <c r="Q277">
        <f t="shared" si="26"/>
        <v>0</v>
      </c>
      <c r="R277">
        <f t="shared" si="27"/>
        <v>0</v>
      </c>
      <c r="S277">
        <f t="shared" si="23"/>
        <v>0</v>
      </c>
      <c r="T277">
        <f t="shared" si="24"/>
        <v>0</v>
      </c>
    </row>
    <row r="278"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f t="shared" si="25"/>
        <v>0</v>
      </c>
      <c r="Q278">
        <f t="shared" si="26"/>
        <v>0</v>
      </c>
      <c r="R278">
        <f t="shared" si="27"/>
        <v>0</v>
      </c>
      <c r="S278">
        <f t="shared" si="23"/>
        <v>0</v>
      </c>
      <c r="T278">
        <f t="shared" si="24"/>
        <v>0</v>
      </c>
    </row>
    <row r="279"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f t="shared" si="25"/>
        <v>0</v>
      </c>
      <c r="Q279">
        <f t="shared" si="26"/>
        <v>0</v>
      </c>
      <c r="R279">
        <f t="shared" si="27"/>
        <v>0</v>
      </c>
      <c r="S279">
        <f t="shared" si="23"/>
        <v>0</v>
      </c>
      <c r="T279">
        <f t="shared" si="24"/>
        <v>0</v>
      </c>
    </row>
    <row r="280"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f t="shared" si="25"/>
        <v>0</v>
      </c>
      <c r="Q280">
        <f t="shared" si="26"/>
        <v>0</v>
      </c>
      <c r="R280">
        <f t="shared" si="27"/>
        <v>0</v>
      </c>
      <c r="S280">
        <f t="shared" si="23"/>
        <v>0</v>
      </c>
      <c r="T280">
        <f t="shared" si="24"/>
        <v>0</v>
      </c>
    </row>
    <row r="281"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f t="shared" si="25"/>
        <v>0</v>
      </c>
      <c r="Q281">
        <f t="shared" si="26"/>
        <v>0</v>
      </c>
      <c r="R281">
        <f t="shared" si="27"/>
        <v>0</v>
      </c>
      <c r="S281">
        <f t="shared" si="23"/>
        <v>0</v>
      </c>
      <c r="T281">
        <f t="shared" si="24"/>
        <v>0</v>
      </c>
    </row>
    <row r="282"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f t="shared" si="25"/>
        <v>0</v>
      </c>
      <c r="Q282">
        <f t="shared" si="26"/>
        <v>0</v>
      </c>
      <c r="R282">
        <f t="shared" si="27"/>
        <v>0</v>
      </c>
      <c r="S282">
        <f t="shared" si="23"/>
        <v>0</v>
      </c>
      <c r="T282">
        <f t="shared" si="24"/>
        <v>0</v>
      </c>
    </row>
    <row r="283"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f t="shared" si="25"/>
        <v>0</v>
      </c>
      <c r="Q283">
        <f t="shared" si="26"/>
        <v>0</v>
      </c>
      <c r="R283">
        <f t="shared" si="27"/>
        <v>0</v>
      </c>
      <c r="S283">
        <f t="shared" si="23"/>
        <v>0</v>
      </c>
      <c r="T283">
        <f t="shared" si="24"/>
        <v>0</v>
      </c>
    </row>
    <row r="284"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f t="shared" si="25"/>
        <v>0</v>
      </c>
      <c r="Q284">
        <f t="shared" si="26"/>
        <v>0</v>
      </c>
      <c r="R284">
        <f t="shared" si="27"/>
        <v>0</v>
      </c>
      <c r="S284">
        <f t="shared" si="23"/>
        <v>0</v>
      </c>
      <c r="T284">
        <f t="shared" si="24"/>
        <v>0</v>
      </c>
    </row>
    <row r="285"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f t="shared" si="25"/>
        <v>0</v>
      </c>
      <c r="Q285">
        <f t="shared" si="26"/>
        <v>0</v>
      </c>
      <c r="R285">
        <f t="shared" si="27"/>
        <v>0</v>
      </c>
      <c r="S285">
        <f t="shared" si="23"/>
        <v>0</v>
      </c>
      <c r="T285">
        <f t="shared" si="24"/>
        <v>0</v>
      </c>
    </row>
    <row r="286"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f t="shared" si="25"/>
        <v>0</v>
      </c>
      <c r="Q286">
        <f t="shared" si="26"/>
        <v>0</v>
      </c>
      <c r="R286">
        <f t="shared" si="27"/>
        <v>0</v>
      </c>
      <c r="S286">
        <f t="shared" si="23"/>
        <v>0</v>
      </c>
      <c r="T286">
        <f t="shared" si="24"/>
        <v>0</v>
      </c>
    </row>
    <row r="287"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f t="shared" si="25"/>
        <v>0</v>
      </c>
      <c r="Q287">
        <f t="shared" si="26"/>
        <v>0</v>
      </c>
      <c r="R287">
        <f t="shared" si="27"/>
        <v>0</v>
      </c>
      <c r="S287">
        <f t="shared" si="23"/>
        <v>0</v>
      </c>
      <c r="T287">
        <f t="shared" si="24"/>
        <v>0</v>
      </c>
    </row>
    <row r="288"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f t="shared" si="25"/>
        <v>0</v>
      </c>
      <c r="Q288">
        <f t="shared" si="26"/>
        <v>0</v>
      </c>
      <c r="R288">
        <f t="shared" si="27"/>
        <v>0</v>
      </c>
      <c r="S288">
        <f t="shared" si="23"/>
        <v>0</v>
      </c>
      <c r="T288">
        <f t="shared" si="24"/>
        <v>0</v>
      </c>
    </row>
    <row r="289"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f t="shared" si="25"/>
        <v>0</v>
      </c>
      <c r="Q289">
        <f t="shared" si="26"/>
        <v>0</v>
      </c>
      <c r="R289">
        <f t="shared" si="27"/>
        <v>0</v>
      </c>
      <c r="S289">
        <f t="shared" si="23"/>
        <v>0</v>
      </c>
      <c r="T289">
        <f t="shared" si="24"/>
        <v>0</v>
      </c>
    </row>
    <row r="290"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f t="shared" si="25"/>
        <v>0</v>
      </c>
      <c r="Q290">
        <f t="shared" si="26"/>
        <v>0</v>
      </c>
      <c r="R290">
        <f t="shared" si="27"/>
        <v>0</v>
      </c>
      <c r="S290">
        <f t="shared" si="23"/>
        <v>0</v>
      </c>
      <c r="T290">
        <f t="shared" si="24"/>
        <v>0</v>
      </c>
    </row>
    <row r="291"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f t="shared" si="25"/>
        <v>0</v>
      </c>
      <c r="Q291">
        <f t="shared" si="26"/>
        <v>0</v>
      </c>
      <c r="R291">
        <f t="shared" si="27"/>
        <v>0</v>
      </c>
      <c r="S291">
        <f t="shared" si="23"/>
        <v>0</v>
      </c>
      <c r="T291">
        <f t="shared" si="24"/>
        <v>0</v>
      </c>
    </row>
    <row r="292"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f t="shared" si="25"/>
        <v>0</v>
      </c>
      <c r="Q292">
        <f t="shared" si="26"/>
        <v>0</v>
      </c>
      <c r="R292">
        <f t="shared" si="27"/>
        <v>0</v>
      </c>
      <c r="S292">
        <f t="shared" si="23"/>
        <v>0</v>
      </c>
      <c r="T292">
        <f t="shared" si="24"/>
        <v>0</v>
      </c>
    </row>
    <row r="293"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f t="shared" si="25"/>
        <v>0</v>
      </c>
      <c r="Q293">
        <f t="shared" si="26"/>
        <v>0</v>
      </c>
      <c r="R293">
        <f t="shared" si="27"/>
        <v>0</v>
      </c>
      <c r="S293">
        <f t="shared" si="23"/>
        <v>0</v>
      </c>
      <c r="T293">
        <f t="shared" si="24"/>
        <v>0</v>
      </c>
    </row>
    <row r="294"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f t="shared" si="25"/>
        <v>0</v>
      </c>
      <c r="Q294">
        <f t="shared" si="26"/>
        <v>0</v>
      </c>
      <c r="R294">
        <f t="shared" si="27"/>
        <v>0</v>
      </c>
      <c r="S294">
        <f t="shared" si="23"/>
        <v>0</v>
      </c>
      <c r="T294">
        <f t="shared" si="24"/>
        <v>0</v>
      </c>
    </row>
    <row r="295"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f t="shared" si="25"/>
        <v>0</v>
      </c>
      <c r="Q295">
        <f t="shared" si="26"/>
        <v>0</v>
      </c>
      <c r="R295">
        <f t="shared" si="27"/>
        <v>0</v>
      </c>
      <c r="S295">
        <f t="shared" si="23"/>
        <v>0</v>
      </c>
      <c r="T295">
        <f t="shared" si="24"/>
        <v>0</v>
      </c>
    </row>
    <row r="296"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f t="shared" si="25"/>
        <v>0</v>
      </c>
      <c r="Q296">
        <f t="shared" si="26"/>
        <v>0</v>
      </c>
      <c r="R296">
        <f t="shared" si="27"/>
        <v>0</v>
      </c>
      <c r="S296">
        <f t="shared" si="23"/>
        <v>0</v>
      </c>
      <c r="T296">
        <f t="shared" si="24"/>
        <v>0</v>
      </c>
    </row>
    <row r="297"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f t="shared" si="25"/>
        <v>0</v>
      </c>
      <c r="Q297">
        <f t="shared" si="26"/>
        <v>0</v>
      </c>
      <c r="R297">
        <f t="shared" si="27"/>
        <v>0</v>
      </c>
      <c r="S297">
        <f t="shared" si="23"/>
        <v>0</v>
      </c>
      <c r="T297">
        <f t="shared" si="24"/>
        <v>0</v>
      </c>
    </row>
    <row r="298"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f t="shared" si="25"/>
        <v>0</v>
      </c>
      <c r="Q298">
        <f t="shared" si="26"/>
        <v>0</v>
      </c>
      <c r="R298">
        <f t="shared" si="27"/>
        <v>0</v>
      </c>
      <c r="S298">
        <f t="shared" si="23"/>
        <v>0</v>
      </c>
      <c r="T298">
        <f t="shared" si="24"/>
        <v>0</v>
      </c>
    </row>
    <row r="299"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f t="shared" si="25"/>
        <v>0</v>
      </c>
      <c r="Q299">
        <f t="shared" si="26"/>
        <v>0</v>
      </c>
      <c r="R299">
        <f t="shared" si="27"/>
        <v>0</v>
      </c>
      <c r="S299">
        <f t="shared" si="23"/>
        <v>0</v>
      </c>
      <c r="T299">
        <f t="shared" si="24"/>
        <v>0</v>
      </c>
    </row>
    <row r="300"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f t="shared" si="25"/>
        <v>0</v>
      </c>
      <c r="Q300">
        <f t="shared" si="26"/>
        <v>0</v>
      </c>
      <c r="R300">
        <f t="shared" si="27"/>
        <v>0</v>
      </c>
      <c r="S300">
        <f t="shared" si="23"/>
        <v>0</v>
      </c>
      <c r="T300">
        <f t="shared" si="24"/>
        <v>0</v>
      </c>
    </row>
    <row r="301"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f t="shared" si="25"/>
        <v>0</v>
      </c>
      <c r="Q301">
        <f t="shared" si="26"/>
        <v>0</v>
      </c>
      <c r="R301">
        <f t="shared" si="27"/>
        <v>0</v>
      </c>
      <c r="S301">
        <f t="shared" si="23"/>
        <v>0</v>
      </c>
      <c r="T301">
        <f t="shared" si="24"/>
        <v>0</v>
      </c>
    </row>
    <row r="302"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f t="shared" si="25"/>
        <v>0</v>
      </c>
      <c r="Q302">
        <f t="shared" si="26"/>
        <v>0</v>
      </c>
      <c r="R302">
        <f t="shared" si="27"/>
        <v>0</v>
      </c>
      <c r="S302">
        <f t="shared" si="23"/>
        <v>0</v>
      </c>
      <c r="T302">
        <f t="shared" si="24"/>
        <v>0</v>
      </c>
    </row>
    <row r="303"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f t="shared" si="25"/>
        <v>0</v>
      </c>
      <c r="Q303">
        <f t="shared" si="26"/>
        <v>0</v>
      </c>
      <c r="R303">
        <f t="shared" si="27"/>
        <v>0</v>
      </c>
      <c r="S303">
        <f t="shared" si="23"/>
        <v>0</v>
      </c>
      <c r="T303">
        <f t="shared" si="24"/>
        <v>0</v>
      </c>
    </row>
    <row r="304"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f t="shared" si="25"/>
        <v>0</v>
      </c>
      <c r="Q304">
        <f t="shared" si="26"/>
        <v>0</v>
      </c>
      <c r="R304">
        <f t="shared" si="27"/>
        <v>0</v>
      </c>
      <c r="S304">
        <f t="shared" si="23"/>
        <v>0</v>
      </c>
      <c r="T304">
        <f t="shared" si="24"/>
        <v>0</v>
      </c>
    </row>
    <row r="305"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f t="shared" si="25"/>
        <v>0</v>
      </c>
      <c r="Q305">
        <f t="shared" si="26"/>
        <v>0</v>
      </c>
      <c r="R305">
        <f t="shared" si="27"/>
        <v>0</v>
      </c>
      <c r="S305">
        <f t="shared" si="23"/>
        <v>0</v>
      </c>
      <c r="T305">
        <f t="shared" si="24"/>
        <v>0</v>
      </c>
    </row>
    <row r="306"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f t="shared" si="25"/>
        <v>0</v>
      </c>
      <c r="Q306">
        <f t="shared" si="26"/>
        <v>0</v>
      </c>
      <c r="R306">
        <f t="shared" si="27"/>
        <v>0</v>
      </c>
      <c r="S306">
        <f t="shared" si="23"/>
        <v>0</v>
      </c>
      <c r="T306">
        <f t="shared" si="24"/>
        <v>0</v>
      </c>
    </row>
    <row r="307"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f t="shared" si="25"/>
        <v>0</v>
      </c>
      <c r="Q307">
        <f t="shared" si="26"/>
        <v>0</v>
      </c>
      <c r="R307">
        <f t="shared" si="27"/>
        <v>0</v>
      </c>
      <c r="S307">
        <f t="shared" si="23"/>
        <v>0</v>
      </c>
      <c r="T307">
        <f t="shared" si="24"/>
        <v>0</v>
      </c>
    </row>
    <row r="308"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f t="shared" si="25"/>
        <v>0</v>
      </c>
      <c r="Q308">
        <f t="shared" si="26"/>
        <v>0</v>
      </c>
      <c r="R308">
        <f t="shared" si="27"/>
        <v>0</v>
      </c>
      <c r="S308">
        <f t="shared" si="23"/>
        <v>0</v>
      </c>
      <c r="T308">
        <f t="shared" si="24"/>
        <v>0</v>
      </c>
    </row>
    <row r="309"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f t="shared" si="25"/>
        <v>0</v>
      </c>
      <c r="Q309">
        <f t="shared" si="26"/>
        <v>0</v>
      </c>
      <c r="R309">
        <f t="shared" si="27"/>
        <v>0</v>
      </c>
      <c r="S309">
        <f t="shared" si="23"/>
        <v>0</v>
      </c>
      <c r="T309">
        <f t="shared" si="24"/>
        <v>0</v>
      </c>
    </row>
    <row r="310"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f t="shared" si="25"/>
        <v>0</v>
      </c>
      <c r="Q310">
        <f t="shared" si="26"/>
        <v>0</v>
      </c>
      <c r="R310">
        <f t="shared" si="27"/>
        <v>0</v>
      </c>
      <c r="S310">
        <f t="shared" si="23"/>
        <v>0</v>
      </c>
      <c r="T310">
        <f t="shared" si="24"/>
        <v>0</v>
      </c>
    </row>
    <row r="311"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f t="shared" si="25"/>
        <v>0</v>
      </c>
      <c r="Q311">
        <f t="shared" si="26"/>
        <v>0</v>
      </c>
      <c r="R311">
        <f t="shared" si="27"/>
        <v>0</v>
      </c>
      <c r="S311">
        <f t="shared" si="23"/>
        <v>0</v>
      </c>
      <c r="T311">
        <f t="shared" si="24"/>
        <v>0</v>
      </c>
    </row>
    <row r="312"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f t="shared" si="25"/>
        <v>0</v>
      </c>
      <c r="Q312">
        <f t="shared" si="26"/>
        <v>0</v>
      </c>
      <c r="R312">
        <f t="shared" si="27"/>
        <v>0</v>
      </c>
      <c r="S312">
        <f t="shared" si="23"/>
        <v>0</v>
      </c>
      <c r="T312">
        <f t="shared" si="24"/>
        <v>0</v>
      </c>
    </row>
    <row r="313"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f t="shared" si="25"/>
        <v>0</v>
      </c>
      <c r="Q313">
        <f t="shared" si="26"/>
        <v>0</v>
      </c>
      <c r="R313">
        <f t="shared" si="27"/>
        <v>0</v>
      </c>
      <c r="S313">
        <f t="shared" si="23"/>
        <v>0</v>
      </c>
      <c r="T313">
        <f t="shared" si="24"/>
        <v>0</v>
      </c>
    </row>
    <row r="314"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f t="shared" si="25"/>
        <v>0</v>
      </c>
      <c r="Q314">
        <f t="shared" si="26"/>
        <v>0</v>
      </c>
      <c r="R314">
        <f t="shared" si="27"/>
        <v>0</v>
      </c>
      <c r="S314">
        <f t="shared" si="23"/>
        <v>0</v>
      </c>
      <c r="T314">
        <f t="shared" si="24"/>
        <v>0</v>
      </c>
    </row>
    <row r="315"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f t="shared" si="25"/>
        <v>0</v>
      </c>
      <c r="Q315">
        <f t="shared" si="26"/>
        <v>0</v>
      </c>
      <c r="R315">
        <f t="shared" si="27"/>
        <v>0</v>
      </c>
      <c r="S315">
        <f t="shared" si="23"/>
        <v>0</v>
      </c>
      <c r="T315">
        <f t="shared" si="24"/>
        <v>0</v>
      </c>
    </row>
    <row r="316"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f t="shared" si="25"/>
        <v>0</v>
      </c>
      <c r="Q316">
        <f t="shared" si="26"/>
        <v>0</v>
      </c>
      <c r="R316">
        <f t="shared" si="27"/>
        <v>0</v>
      </c>
      <c r="S316">
        <f t="shared" si="23"/>
        <v>0</v>
      </c>
      <c r="T316">
        <f t="shared" si="24"/>
        <v>0</v>
      </c>
    </row>
    <row r="317"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f t="shared" si="25"/>
        <v>0</v>
      </c>
      <c r="Q317">
        <f t="shared" si="26"/>
        <v>0</v>
      </c>
      <c r="R317">
        <f t="shared" si="27"/>
        <v>0</v>
      </c>
      <c r="S317">
        <f t="shared" si="23"/>
        <v>0</v>
      </c>
      <c r="T317">
        <f t="shared" si="24"/>
        <v>0</v>
      </c>
    </row>
    <row r="318"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f t="shared" si="25"/>
        <v>0</v>
      </c>
      <c r="Q318">
        <f t="shared" si="26"/>
        <v>0</v>
      </c>
      <c r="R318">
        <f t="shared" si="27"/>
        <v>0</v>
      </c>
      <c r="S318">
        <f t="shared" si="23"/>
        <v>0</v>
      </c>
      <c r="T318">
        <f t="shared" si="24"/>
        <v>0</v>
      </c>
    </row>
    <row r="319"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f t="shared" si="25"/>
        <v>0</v>
      </c>
      <c r="Q319">
        <f t="shared" si="26"/>
        <v>0</v>
      </c>
      <c r="R319">
        <f t="shared" si="27"/>
        <v>0</v>
      </c>
      <c r="S319">
        <f t="shared" si="23"/>
        <v>0</v>
      </c>
      <c r="T319">
        <f t="shared" si="24"/>
        <v>0</v>
      </c>
    </row>
    <row r="320"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f t="shared" si="25"/>
        <v>0</v>
      </c>
      <c r="Q320">
        <f t="shared" si="26"/>
        <v>0</v>
      </c>
      <c r="R320">
        <f t="shared" si="27"/>
        <v>0</v>
      </c>
      <c r="S320">
        <f t="shared" si="23"/>
        <v>0</v>
      </c>
      <c r="T320">
        <f t="shared" si="24"/>
        <v>0</v>
      </c>
    </row>
    <row r="321"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f t="shared" si="25"/>
        <v>0</v>
      </c>
      <c r="Q321">
        <f t="shared" si="26"/>
        <v>0</v>
      </c>
      <c r="R321">
        <f t="shared" si="27"/>
        <v>0</v>
      </c>
      <c r="S321">
        <f t="shared" si="23"/>
        <v>0</v>
      </c>
      <c r="T321">
        <f t="shared" si="24"/>
        <v>0</v>
      </c>
    </row>
    <row r="322"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f t="shared" si="25"/>
        <v>0</v>
      </c>
      <c r="Q322">
        <f t="shared" si="26"/>
        <v>0</v>
      </c>
      <c r="R322">
        <f t="shared" si="27"/>
        <v>0</v>
      </c>
      <c r="S322">
        <f t="shared" si="23"/>
        <v>0</v>
      </c>
      <c r="T322">
        <f t="shared" si="24"/>
        <v>0</v>
      </c>
    </row>
    <row r="323"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f t="shared" si="25"/>
        <v>0</v>
      </c>
      <c r="Q323">
        <f t="shared" si="26"/>
        <v>0</v>
      </c>
      <c r="R323">
        <f t="shared" si="27"/>
        <v>0</v>
      </c>
      <c r="S323">
        <f t="shared" ref="S323:S386" si="28">IF(J323="Realizada completa",1,0)</f>
        <v>0</v>
      </c>
      <c r="T323">
        <f t="shared" ref="T323:T386" si="29">IF(J323="Sin respuesta",1,0)</f>
        <v>0</v>
      </c>
    </row>
    <row r="324"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f t="shared" ref="P324:P387" si="30">IF(F324="Sí",1,0)</f>
        <v>0</v>
      </c>
      <c r="Q324">
        <f t="shared" ref="Q324:Q387" si="31">IF(J324="En coordinación",1,0)</f>
        <v>0</v>
      </c>
      <c r="R324">
        <f t="shared" ref="R324:R387" si="32">IF(J324="En coordinación",1,0)</f>
        <v>0</v>
      </c>
      <c r="S324">
        <f t="shared" si="28"/>
        <v>0</v>
      </c>
      <c r="T324">
        <f t="shared" si="29"/>
        <v>0</v>
      </c>
    </row>
    <row r="325"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f t="shared" si="30"/>
        <v>0</v>
      </c>
      <c r="Q325">
        <f t="shared" si="31"/>
        <v>0</v>
      </c>
      <c r="R325">
        <f t="shared" si="32"/>
        <v>0</v>
      </c>
      <c r="S325">
        <f t="shared" si="28"/>
        <v>0</v>
      </c>
      <c r="T325">
        <f t="shared" si="29"/>
        <v>0</v>
      </c>
    </row>
    <row r="326"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f t="shared" si="30"/>
        <v>0</v>
      </c>
      <c r="Q326">
        <f t="shared" si="31"/>
        <v>0</v>
      </c>
      <c r="R326">
        <f t="shared" si="32"/>
        <v>0</v>
      </c>
      <c r="S326">
        <f t="shared" si="28"/>
        <v>0</v>
      </c>
      <c r="T326">
        <f t="shared" si="29"/>
        <v>0</v>
      </c>
    </row>
    <row r="327"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f t="shared" si="30"/>
        <v>0</v>
      </c>
      <c r="Q327">
        <f t="shared" si="31"/>
        <v>0</v>
      </c>
      <c r="R327">
        <f t="shared" si="32"/>
        <v>0</v>
      </c>
      <c r="S327">
        <f t="shared" si="28"/>
        <v>0</v>
      </c>
      <c r="T327">
        <f t="shared" si="29"/>
        <v>0</v>
      </c>
    </row>
    <row r="328"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f t="shared" si="30"/>
        <v>0</v>
      </c>
      <c r="Q328">
        <f t="shared" si="31"/>
        <v>0</v>
      </c>
      <c r="R328">
        <f t="shared" si="32"/>
        <v>0</v>
      </c>
      <c r="S328">
        <f t="shared" si="28"/>
        <v>0</v>
      </c>
      <c r="T328">
        <f t="shared" si="29"/>
        <v>0</v>
      </c>
    </row>
    <row r="329"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f t="shared" si="30"/>
        <v>0</v>
      </c>
      <c r="Q329">
        <f t="shared" si="31"/>
        <v>0</v>
      </c>
      <c r="R329">
        <f t="shared" si="32"/>
        <v>0</v>
      </c>
      <c r="S329">
        <f t="shared" si="28"/>
        <v>0</v>
      </c>
      <c r="T329">
        <f t="shared" si="29"/>
        <v>0</v>
      </c>
    </row>
    <row r="330"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f t="shared" si="30"/>
        <v>0</v>
      </c>
      <c r="Q330">
        <f t="shared" si="31"/>
        <v>0</v>
      </c>
      <c r="R330">
        <f t="shared" si="32"/>
        <v>0</v>
      </c>
      <c r="S330">
        <f t="shared" si="28"/>
        <v>0</v>
      </c>
      <c r="T330">
        <f t="shared" si="29"/>
        <v>0</v>
      </c>
    </row>
    <row r="331"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f t="shared" si="30"/>
        <v>0</v>
      </c>
      <c r="Q331">
        <f t="shared" si="31"/>
        <v>0</v>
      </c>
      <c r="R331">
        <f t="shared" si="32"/>
        <v>0</v>
      </c>
      <c r="S331">
        <f t="shared" si="28"/>
        <v>0</v>
      </c>
      <c r="T331">
        <f t="shared" si="29"/>
        <v>0</v>
      </c>
    </row>
    <row r="332"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f t="shared" si="30"/>
        <v>0</v>
      </c>
      <c r="Q332">
        <f t="shared" si="31"/>
        <v>0</v>
      </c>
      <c r="R332">
        <f t="shared" si="32"/>
        <v>0</v>
      </c>
      <c r="S332">
        <f t="shared" si="28"/>
        <v>0</v>
      </c>
      <c r="T332">
        <f t="shared" si="29"/>
        <v>0</v>
      </c>
    </row>
    <row r="333"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f t="shared" si="30"/>
        <v>0</v>
      </c>
      <c r="Q333">
        <f t="shared" si="31"/>
        <v>0</v>
      </c>
      <c r="R333">
        <f t="shared" si="32"/>
        <v>0</v>
      </c>
      <c r="S333">
        <f t="shared" si="28"/>
        <v>0</v>
      </c>
      <c r="T333">
        <f t="shared" si="29"/>
        <v>0</v>
      </c>
    </row>
    <row r="334"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f t="shared" si="30"/>
        <v>0</v>
      </c>
      <c r="Q334">
        <f t="shared" si="31"/>
        <v>0</v>
      </c>
      <c r="R334">
        <f t="shared" si="32"/>
        <v>0</v>
      </c>
      <c r="S334">
        <f t="shared" si="28"/>
        <v>0</v>
      </c>
      <c r="T334">
        <f t="shared" si="29"/>
        <v>0</v>
      </c>
    </row>
    <row r="335"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f t="shared" si="30"/>
        <v>0</v>
      </c>
      <c r="Q335">
        <f t="shared" si="31"/>
        <v>0</v>
      </c>
      <c r="R335">
        <f t="shared" si="32"/>
        <v>0</v>
      </c>
      <c r="S335">
        <f t="shared" si="28"/>
        <v>0</v>
      </c>
      <c r="T335">
        <f t="shared" si="29"/>
        <v>0</v>
      </c>
    </row>
    <row r="336"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f t="shared" si="30"/>
        <v>0</v>
      </c>
      <c r="Q336">
        <f t="shared" si="31"/>
        <v>0</v>
      </c>
      <c r="R336">
        <f t="shared" si="32"/>
        <v>0</v>
      </c>
      <c r="S336">
        <f t="shared" si="28"/>
        <v>0</v>
      </c>
      <c r="T336">
        <f t="shared" si="29"/>
        <v>0</v>
      </c>
    </row>
    <row r="337"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f t="shared" si="30"/>
        <v>0</v>
      </c>
      <c r="Q337">
        <f t="shared" si="31"/>
        <v>0</v>
      </c>
      <c r="R337">
        <f t="shared" si="32"/>
        <v>0</v>
      </c>
      <c r="S337">
        <f t="shared" si="28"/>
        <v>0</v>
      </c>
      <c r="T337">
        <f t="shared" si="29"/>
        <v>0</v>
      </c>
    </row>
    <row r="338"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f t="shared" si="30"/>
        <v>0</v>
      </c>
      <c r="Q338">
        <f t="shared" si="31"/>
        <v>0</v>
      </c>
      <c r="R338">
        <f t="shared" si="32"/>
        <v>0</v>
      </c>
      <c r="S338">
        <f t="shared" si="28"/>
        <v>0</v>
      </c>
      <c r="T338">
        <f t="shared" si="29"/>
        <v>0</v>
      </c>
    </row>
    <row r="339"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f t="shared" si="30"/>
        <v>0</v>
      </c>
      <c r="Q339">
        <f t="shared" si="31"/>
        <v>0</v>
      </c>
      <c r="R339">
        <f t="shared" si="32"/>
        <v>0</v>
      </c>
      <c r="S339">
        <f t="shared" si="28"/>
        <v>0</v>
      </c>
      <c r="T339">
        <f t="shared" si="29"/>
        <v>0</v>
      </c>
    </row>
    <row r="340"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f t="shared" si="30"/>
        <v>0</v>
      </c>
      <c r="Q340">
        <f t="shared" si="31"/>
        <v>0</v>
      </c>
      <c r="R340">
        <f t="shared" si="32"/>
        <v>0</v>
      </c>
      <c r="S340">
        <f t="shared" si="28"/>
        <v>0</v>
      </c>
      <c r="T340">
        <f t="shared" si="29"/>
        <v>0</v>
      </c>
    </row>
    <row r="341"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f t="shared" si="30"/>
        <v>0</v>
      </c>
      <c r="Q341">
        <f t="shared" si="31"/>
        <v>0</v>
      </c>
      <c r="R341">
        <f t="shared" si="32"/>
        <v>0</v>
      </c>
      <c r="S341">
        <f t="shared" si="28"/>
        <v>0</v>
      </c>
      <c r="T341">
        <f t="shared" si="29"/>
        <v>0</v>
      </c>
    </row>
    <row r="342"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f t="shared" si="30"/>
        <v>0</v>
      </c>
      <c r="Q342">
        <f t="shared" si="31"/>
        <v>0</v>
      </c>
      <c r="R342">
        <f t="shared" si="32"/>
        <v>0</v>
      </c>
      <c r="S342">
        <f t="shared" si="28"/>
        <v>0</v>
      </c>
      <c r="T342">
        <f t="shared" si="29"/>
        <v>0</v>
      </c>
    </row>
    <row r="343"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f t="shared" si="30"/>
        <v>0</v>
      </c>
      <c r="Q343">
        <f t="shared" si="31"/>
        <v>0</v>
      </c>
      <c r="R343">
        <f t="shared" si="32"/>
        <v>0</v>
      </c>
      <c r="S343">
        <f t="shared" si="28"/>
        <v>0</v>
      </c>
      <c r="T343">
        <f t="shared" si="29"/>
        <v>0</v>
      </c>
    </row>
    <row r="344"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f t="shared" si="30"/>
        <v>0</v>
      </c>
      <c r="Q344">
        <f t="shared" si="31"/>
        <v>0</v>
      </c>
      <c r="R344">
        <f t="shared" si="32"/>
        <v>0</v>
      </c>
      <c r="S344">
        <f t="shared" si="28"/>
        <v>0</v>
      </c>
      <c r="T344">
        <f t="shared" si="29"/>
        <v>0</v>
      </c>
    </row>
    <row r="345"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f t="shared" si="30"/>
        <v>0</v>
      </c>
      <c r="Q345">
        <f t="shared" si="31"/>
        <v>0</v>
      </c>
      <c r="R345">
        <f t="shared" si="32"/>
        <v>0</v>
      </c>
      <c r="S345">
        <f t="shared" si="28"/>
        <v>0</v>
      </c>
      <c r="T345">
        <f t="shared" si="29"/>
        <v>0</v>
      </c>
    </row>
    <row r="346"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f t="shared" si="30"/>
        <v>0</v>
      </c>
      <c r="Q346">
        <f t="shared" si="31"/>
        <v>0</v>
      </c>
      <c r="R346">
        <f t="shared" si="32"/>
        <v>0</v>
      </c>
      <c r="S346">
        <f t="shared" si="28"/>
        <v>0</v>
      </c>
      <c r="T346">
        <f t="shared" si="29"/>
        <v>0</v>
      </c>
    </row>
    <row r="347"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f t="shared" si="30"/>
        <v>0</v>
      </c>
      <c r="Q347">
        <f t="shared" si="31"/>
        <v>0</v>
      </c>
      <c r="R347">
        <f t="shared" si="32"/>
        <v>0</v>
      </c>
      <c r="S347">
        <f t="shared" si="28"/>
        <v>0</v>
      </c>
      <c r="T347">
        <f t="shared" si="29"/>
        <v>0</v>
      </c>
    </row>
    <row r="348"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f t="shared" si="30"/>
        <v>0</v>
      </c>
      <c r="Q348">
        <f t="shared" si="31"/>
        <v>0</v>
      </c>
      <c r="R348">
        <f t="shared" si="32"/>
        <v>0</v>
      </c>
      <c r="S348">
        <f t="shared" si="28"/>
        <v>0</v>
      </c>
      <c r="T348">
        <f t="shared" si="29"/>
        <v>0</v>
      </c>
    </row>
    <row r="349"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f t="shared" si="30"/>
        <v>0</v>
      </c>
      <c r="Q349">
        <f t="shared" si="31"/>
        <v>0</v>
      </c>
      <c r="R349">
        <f t="shared" si="32"/>
        <v>0</v>
      </c>
      <c r="S349">
        <f t="shared" si="28"/>
        <v>0</v>
      </c>
      <c r="T349">
        <f t="shared" si="29"/>
        <v>0</v>
      </c>
    </row>
    <row r="350"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f t="shared" si="30"/>
        <v>0</v>
      </c>
      <c r="Q350">
        <f t="shared" si="31"/>
        <v>0</v>
      </c>
      <c r="R350">
        <f t="shared" si="32"/>
        <v>0</v>
      </c>
      <c r="S350">
        <f t="shared" si="28"/>
        <v>0</v>
      </c>
      <c r="T350">
        <f t="shared" si="29"/>
        <v>0</v>
      </c>
    </row>
    <row r="351"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f t="shared" si="30"/>
        <v>0</v>
      </c>
      <c r="Q351">
        <f t="shared" si="31"/>
        <v>0</v>
      </c>
      <c r="R351">
        <f t="shared" si="32"/>
        <v>0</v>
      </c>
      <c r="S351">
        <f t="shared" si="28"/>
        <v>0</v>
      </c>
      <c r="T351">
        <f t="shared" si="29"/>
        <v>0</v>
      </c>
    </row>
    <row r="352"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f t="shared" si="30"/>
        <v>0</v>
      </c>
      <c r="Q352">
        <f t="shared" si="31"/>
        <v>0</v>
      </c>
      <c r="R352">
        <f t="shared" si="32"/>
        <v>0</v>
      </c>
      <c r="S352">
        <f t="shared" si="28"/>
        <v>0</v>
      </c>
      <c r="T352">
        <f t="shared" si="29"/>
        <v>0</v>
      </c>
    </row>
    <row r="353"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f t="shared" si="30"/>
        <v>0</v>
      </c>
      <c r="Q353">
        <f t="shared" si="31"/>
        <v>0</v>
      </c>
      <c r="R353">
        <f t="shared" si="32"/>
        <v>0</v>
      </c>
      <c r="S353">
        <f t="shared" si="28"/>
        <v>0</v>
      </c>
      <c r="T353">
        <f t="shared" si="29"/>
        <v>0</v>
      </c>
    </row>
    <row r="354"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f t="shared" si="30"/>
        <v>0</v>
      </c>
      <c r="Q354">
        <f t="shared" si="31"/>
        <v>0</v>
      </c>
      <c r="R354">
        <f t="shared" si="32"/>
        <v>0</v>
      </c>
      <c r="S354">
        <f t="shared" si="28"/>
        <v>0</v>
      </c>
      <c r="T354">
        <f t="shared" si="29"/>
        <v>0</v>
      </c>
    </row>
    <row r="355"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f t="shared" si="30"/>
        <v>0</v>
      </c>
      <c r="Q355">
        <f t="shared" si="31"/>
        <v>0</v>
      </c>
      <c r="R355">
        <f t="shared" si="32"/>
        <v>0</v>
      </c>
      <c r="S355">
        <f t="shared" si="28"/>
        <v>0</v>
      </c>
      <c r="T355">
        <f t="shared" si="29"/>
        <v>0</v>
      </c>
    </row>
    <row r="356"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f t="shared" si="30"/>
        <v>0</v>
      </c>
      <c r="Q356">
        <f t="shared" si="31"/>
        <v>0</v>
      </c>
      <c r="R356">
        <f t="shared" si="32"/>
        <v>0</v>
      </c>
      <c r="S356">
        <f t="shared" si="28"/>
        <v>0</v>
      </c>
      <c r="T356">
        <f t="shared" si="29"/>
        <v>0</v>
      </c>
    </row>
    <row r="357"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f t="shared" si="30"/>
        <v>0</v>
      </c>
      <c r="Q357">
        <f t="shared" si="31"/>
        <v>0</v>
      </c>
      <c r="R357">
        <f t="shared" si="32"/>
        <v>0</v>
      </c>
      <c r="S357">
        <f t="shared" si="28"/>
        <v>0</v>
      </c>
      <c r="T357">
        <f t="shared" si="29"/>
        <v>0</v>
      </c>
    </row>
    <row r="358"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f t="shared" si="30"/>
        <v>0</v>
      </c>
      <c r="Q358">
        <f t="shared" si="31"/>
        <v>0</v>
      </c>
      <c r="R358">
        <f t="shared" si="32"/>
        <v>0</v>
      </c>
      <c r="S358">
        <f t="shared" si="28"/>
        <v>0</v>
      </c>
      <c r="T358">
        <f t="shared" si="29"/>
        <v>0</v>
      </c>
    </row>
    <row r="359"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f t="shared" si="30"/>
        <v>0</v>
      </c>
      <c r="Q359">
        <f t="shared" si="31"/>
        <v>0</v>
      </c>
      <c r="R359">
        <f t="shared" si="32"/>
        <v>0</v>
      </c>
      <c r="S359">
        <f t="shared" si="28"/>
        <v>0</v>
      </c>
      <c r="T359">
        <f t="shared" si="29"/>
        <v>0</v>
      </c>
    </row>
    <row r="360"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f t="shared" si="30"/>
        <v>0</v>
      </c>
      <c r="Q360">
        <f t="shared" si="31"/>
        <v>0</v>
      </c>
      <c r="R360">
        <f t="shared" si="32"/>
        <v>0</v>
      </c>
      <c r="S360">
        <f t="shared" si="28"/>
        <v>0</v>
      </c>
      <c r="T360">
        <f t="shared" si="29"/>
        <v>0</v>
      </c>
    </row>
    <row r="361"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f t="shared" si="30"/>
        <v>0</v>
      </c>
      <c r="Q361">
        <f t="shared" si="31"/>
        <v>0</v>
      </c>
      <c r="R361">
        <f t="shared" si="32"/>
        <v>0</v>
      </c>
      <c r="S361">
        <f t="shared" si="28"/>
        <v>0</v>
      </c>
      <c r="T361">
        <f t="shared" si="29"/>
        <v>0</v>
      </c>
    </row>
    <row r="362"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f t="shared" si="30"/>
        <v>0</v>
      </c>
      <c r="Q362">
        <f t="shared" si="31"/>
        <v>0</v>
      </c>
      <c r="R362">
        <f t="shared" si="32"/>
        <v>0</v>
      </c>
      <c r="S362">
        <f t="shared" si="28"/>
        <v>0</v>
      </c>
      <c r="T362">
        <f t="shared" si="29"/>
        <v>0</v>
      </c>
    </row>
    <row r="363"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f t="shared" si="30"/>
        <v>0</v>
      </c>
      <c r="Q363">
        <f t="shared" si="31"/>
        <v>0</v>
      </c>
      <c r="R363">
        <f t="shared" si="32"/>
        <v>0</v>
      </c>
      <c r="S363">
        <f t="shared" si="28"/>
        <v>0</v>
      </c>
      <c r="T363">
        <f t="shared" si="29"/>
        <v>0</v>
      </c>
    </row>
    <row r="364"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f t="shared" si="30"/>
        <v>0</v>
      </c>
      <c r="Q364">
        <f t="shared" si="31"/>
        <v>0</v>
      </c>
      <c r="R364">
        <f t="shared" si="32"/>
        <v>0</v>
      </c>
      <c r="S364">
        <f t="shared" si="28"/>
        <v>0</v>
      </c>
      <c r="T364">
        <f t="shared" si="29"/>
        <v>0</v>
      </c>
    </row>
    <row r="365"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f t="shared" si="30"/>
        <v>0</v>
      </c>
      <c r="Q365">
        <f t="shared" si="31"/>
        <v>0</v>
      </c>
      <c r="R365">
        <f t="shared" si="32"/>
        <v>0</v>
      </c>
      <c r="S365">
        <f t="shared" si="28"/>
        <v>0</v>
      </c>
      <c r="T365">
        <f t="shared" si="29"/>
        <v>0</v>
      </c>
    </row>
    <row r="366"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f t="shared" si="30"/>
        <v>0</v>
      </c>
      <c r="Q366">
        <f t="shared" si="31"/>
        <v>0</v>
      </c>
      <c r="R366">
        <f t="shared" si="32"/>
        <v>0</v>
      </c>
      <c r="S366">
        <f t="shared" si="28"/>
        <v>0</v>
      </c>
      <c r="T366">
        <f t="shared" si="29"/>
        <v>0</v>
      </c>
    </row>
    <row r="367"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f t="shared" si="30"/>
        <v>0</v>
      </c>
      <c r="Q367">
        <f t="shared" si="31"/>
        <v>0</v>
      </c>
      <c r="R367">
        <f t="shared" si="32"/>
        <v>0</v>
      </c>
      <c r="S367">
        <f t="shared" si="28"/>
        <v>0</v>
      </c>
      <c r="T367">
        <f t="shared" si="29"/>
        <v>0</v>
      </c>
    </row>
    <row r="368"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f t="shared" si="30"/>
        <v>0</v>
      </c>
      <c r="Q368">
        <f t="shared" si="31"/>
        <v>0</v>
      </c>
      <c r="R368">
        <f t="shared" si="32"/>
        <v>0</v>
      </c>
      <c r="S368">
        <f t="shared" si="28"/>
        <v>0</v>
      </c>
      <c r="T368">
        <f t="shared" si="29"/>
        <v>0</v>
      </c>
    </row>
    <row r="369"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f t="shared" si="30"/>
        <v>0</v>
      </c>
      <c r="Q369">
        <f t="shared" si="31"/>
        <v>0</v>
      </c>
      <c r="R369">
        <f t="shared" si="32"/>
        <v>0</v>
      </c>
      <c r="S369">
        <f t="shared" si="28"/>
        <v>0</v>
      </c>
      <c r="T369">
        <f t="shared" si="29"/>
        <v>0</v>
      </c>
    </row>
    <row r="370"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f t="shared" si="30"/>
        <v>0</v>
      </c>
      <c r="Q370">
        <f t="shared" si="31"/>
        <v>0</v>
      </c>
      <c r="R370">
        <f t="shared" si="32"/>
        <v>0</v>
      </c>
      <c r="S370">
        <f t="shared" si="28"/>
        <v>0</v>
      </c>
      <c r="T370">
        <f t="shared" si="29"/>
        <v>0</v>
      </c>
    </row>
    <row r="371"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f t="shared" si="30"/>
        <v>0</v>
      </c>
      <c r="Q371">
        <f t="shared" si="31"/>
        <v>0</v>
      </c>
      <c r="R371">
        <f t="shared" si="32"/>
        <v>0</v>
      </c>
      <c r="S371">
        <f t="shared" si="28"/>
        <v>0</v>
      </c>
      <c r="T371">
        <f t="shared" si="29"/>
        <v>0</v>
      </c>
    </row>
    <row r="372"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f t="shared" si="30"/>
        <v>0</v>
      </c>
      <c r="Q372">
        <f t="shared" si="31"/>
        <v>0</v>
      </c>
      <c r="R372">
        <f t="shared" si="32"/>
        <v>0</v>
      </c>
      <c r="S372">
        <f t="shared" si="28"/>
        <v>0</v>
      </c>
      <c r="T372">
        <f t="shared" si="29"/>
        <v>0</v>
      </c>
    </row>
    <row r="373"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f t="shared" si="30"/>
        <v>0</v>
      </c>
      <c r="Q373">
        <f t="shared" si="31"/>
        <v>0</v>
      </c>
      <c r="R373">
        <f t="shared" si="32"/>
        <v>0</v>
      </c>
      <c r="S373">
        <f t="shared" si="28"/>
        <v>0</v>
      </c>
      <c r="T373">
        <f t="shared" si="29"/>
        <v>0</v>
      </c>
    </row>
    <row r="374"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f t="shared" si="30"/>
        <v>0</v>
      </c>
      <c r="Q374">
        <f t="shared" si="31"/>
        <v>0</v>
      </c>
      <c r="R374">
        <f t="shared" si="32"/>
        <v>0</v>
      </c>
      <c r="S374">
        <f t="shared" si="28"/>
        <v>0</v>
      </c>
      <c r="T374">
        <f t="shared" si="29"/>
        <v>0</v>
      </c>
    </row>
    <row r="375"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f t="shared" si="30"/>
        <v>0</v>
      </c>
      <c r="Q375">
        <f t="shared" si="31"/>
        <v>0</v>
      </c>
      <c r="R375">
        <f t="shared" si="32"/>
        <v>0</v>
      </c>
      <c r="S375">
        <f t="shared" si="28"/>
        <v>0</v>
      </c>
      <c r="T375">
        <f t="shared" si="29"/>
        <v>0</v>
      </c>
    </row>
    <row r="376"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f t="shared" si="30"/>
        <v>0</v>
      </c>
      <c r="Q376">
        <f t="shared" si="31"/>
        <v>0</v>
      </c>
      <c r="R376">
        <f t="shared" si="32"/>
        <v>0</v>
      </c>
      <c r="S376">
        <f t="shared" si="28"/>
        <v>0</v>
      </c>
      <c r="T376">
        <f t="shared" si="29"/>
        <v>0</v>
      </c>
    </row>
    <row r="377"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f t="shared" si="30"/>
        <v>0</v>
      </c>
      <c r="Q377">
        <f t="shared" si="31"/>
        <v>0</v>
      </c>
      <c r="R377">
        <f t="shared" si="32"/>
        <v>0</v>
      </c>
      <c r="S377">
        <f t="shared" si="28"/>
        <v>0</v>
      </c>
      <c r="T377">
        <f t="shared" si="29"/>
        <v>0</v>
      </c>
    </row>
    <row r="378"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f t="shared" si="30"/>
        <v>0</v>
      </c>
      <c r="Q378">
        <f t="shared" si="31"/>
        <v>0</v>
      </c>
      <c r="R378">
        <f t="shared" si="32"/>
        <v>0</v>
      </c>
      <c r="S378">
        <f t="shared" si="28"/>
        <v>0</v>
      </c>
      <c r="T378">
        <f t="shared" si="29"/>
        <v>0</v>
      </c>
    </row>
    <row r="379"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f t="shared" si="30"/>
        <v>0</v>
      </c>
      <c r="Q379">
        <f t="shared" si="31"/>
        <v>0</v>
      </c>
      <c r="R379">
        <f t="shared" si="32"/>
        <v>0</v>
      </c>
      <c r="S379">
        <f t="shared" si="28"/>
        <v>0</v>
      </c>
      <c r="T379">
        <f t="shared" si="29"/>
        <v>0</v>
      </c>
    </row>
    <row r="380"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f t="shared" si="30"/>
        <v>0</v>
      </c>
      <c r="Q380">
        <f t="shared" si="31"/>
        <v>0</v>
      </c>
      <c r="R380">
        <f t="shared" si="32"/>
        <v>0</v>
      </c>
      <c r="S380">
        <f t="shared" si="28"/>
        <v>0</v>
      </c>
      <c r="T380">
        <f t="shared" si="29"/>
        <v>0</v>
      </c>
    </row>
    <row r="381"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f t="shared" si="30"/>
        <v>0</v>
      </c>
      <c r="Q381">
        <f t="shared" si="31"/>
        <v>0</v>
      </c>
      <c r="R381">
        <f t="shared" si="32"/>
        <v>0</v>
      </c>
      <c r="S381">
        <f t="shared" si="28"/>
        <v>0</v>
      </c>
      <c r="T381">
        <f t="shared" si="29"/>
        <v>0</v>
      </c>
    </row>
    <row r="382"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f t="shared" si="30"/>
        <v>0</v>
      </c>
      <c r="Q382">
        <f t="shared" si="31"/>
        <v>0</v>
      </c>
      <c r="R382">
        <f t="shared" si="32"/>
        <v>0</v>
      </c>
      <c r="S382">
        <f t="shared" si="28"/>
        <v>0</v>
      </c>
      <c r="T382">
        <f t="shared" si="29"/>
        <v>0</v>
      </c>
    </row>
    <row r="383"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f t="shared" si="30"/>
        <v>0</v>
      </c>
      <c r="Q383">
        <f t="shared" si="31"/>
        <v>0</v>
      </c>
      <c r="R383">
        <f t="shared" si="32"/>
        <v>0</v>
      </c>
      <c r="S383">
        <f t="shared" si="28"/>
        <v>0</v>
      </c>
      <c r="T383">
        <f t="shared" si="29"/>
        <v>0</v>
      </c>
    </row>
    <row r="384"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f t="shared" si="30"/>
        <v>0</v>
      </c>
      <c r="Q384">
        <f t="shared" si="31"/>
        <v>0</v>
      </c>
      <c r="R384">
        <f t="shared" si="32"/>
        <v>0</v>
      </c>
      <c r="S384">
        <f t="shared" si="28"/>
        <v>0</v>
      </c>
      <c r="T384">
        <f t="shared" si="29"/>
        <v>0</v>
      </c>
    </row>
    <row r="385"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f t="shared" si="30"/>
        <v>0</v>
      </c>
      <c r="Q385">
        <f t="shared" si="31"/>
        <v>0</v>
      </c>
      <c r="R385">
        <f t="shared" si="32"/>
        <v>0</v>
      </c>
      <c r="S385">
        <f t="shared" si="28"/>
        <v>0</v>
      </c>
      <c r="T385">
        <f t="shared" si="29"/>
        <v>0</v>
      </c>
    </row>
    <row r="386"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f t="shared" si="30"/>
        <v>0</v>
      </c>
      <c r="Q386">
        <f t="shared" si="31"/>
        <v>0</v>
      </c>
      <c r="R386">
        <f t="shared" si="32"/>
        <v>0</v>
      </c>
      <c r="S386">
        <f t="shared" si="28"/>
        <v>0</v>
      </c>
      <c r="T386">
        <f t="shared" si="29"/>
        <v>0</v>
      </c>
    </row>
    <row r="387"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f t="shared" si="30"/>
        <v>0</v>
      </c>
      <c r="Q387">
        <f t="shared" si="31"/>
        <v>0</v>
      </c>
      <c r="R387">
        <f t="shared" si="32"/>
        <v>0</v>
      </c>
      <c r="S387">
        <f t="shared" ref="S387:S450" si="33">IF(J387="Realizada completa",1,0)</f>
        <v>0</v>
      </c>
      <c r="T387">
        <f t="shared" ref="T387:T450" si="34">IF(J387="Sin respuesta",1,0)</f>
        <v>0</v>
      </c>
    </row>
    <row r="388"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f t="shared" ref="P388:P451" si="35">IF(F388="Sí",1,0)</f>
        <v>0</v>
      </c>
      <c r="Q388">
        <f t="shared" ref="Q388:Q451" si="36">IF(J388="En coordinación",1,0)</f>
        <v>0</v>
      </c>
      <c r="R388">
        <f t="shared" ref="R388:R451" si="37">IF(J388="En coordinación",1,0)</f>
        <v>0</v>
      </c>
      <c r="S388">
        <f t="shared" si="33"/>
        <v>0</v>
      </c>
      <c r="T388">
        <f t="shared" si="34"/>
        <v>0</v>
      </c>
    </row>
    <row r="389"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f t="shared" si="35"/>
        <v>0</v>
      </c>
      <c r="Q389">
        <f t="shared" si="36"/>
        <v>0</v>
      </c>
      <c r="R389">
        <f t="shared" si="37"/>
        <v>0</v>
      </c>
      <c r="S389">
        <f t="shared" si="33"/>
        <v>0</v>
      </c>
      <c r="T389">
        <f t="shared" si="34"/>
        <v>0</v>
      </c>
    </row>
    <row r="390"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f t="shared" si="35"/>
        <v>0</v>
      </c>
      <c r="Q390">
        <f t="shared" si="36"/>
        <v>0</v>
      </c>
      <c r="R390">
        <f t="shared" si="37"/>
        <v>0</v>
      </c>
      <c r="S390">
        <f t="shared" si="33"/>
        <v>0</v>
      </c>
      <c r="T390">
        <f t="shared" si="34"/>
        <v>0</v>
      </c>
    </row>
    <row r="391"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f t="shared" si="35"/>
        <v>0</v>
      </c>
      <c r="Q391">
        <f t="shared" si="36"/>
        <v>0</v>
      </c>
      <c r="R391">
        <f t="shared" si="37"/>
        <v>0</v>
      </c>
      <c r="S391">
        <f t="shared" si="33"/>
        <v>0</v>
      </c>
      <c r="T391">
        <f t="shared" si="34"/>
        <v>0</v>
      </c>
    </row>
    <row r="392"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f t="shared" si="35"/>
        <v>0</v>
      </c>
      <c r="Q392">
        <f t="shared" si="36"/>
        <v>0</v>
      </c>
      <c r="R392">
        <f t="shared" si="37"/>
        <v>0</v>
      </c>
      <c r="S392">
        <f t="shared" si="33"/>
        <v>0</v>
      </c>
      <c r="T392">
        <f t="shared" si="34"/>
        <v>0</v>
      </c>
    </row>
    <row r="393"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f t="shared" si="35"/>
        <v>0</v>
      </c>
      <c r="Q393">
        <f t="shared" si="36"/>
        <v>0</v>
      </c>
      <c r="R393">
        <f t="shared" si="37"/>
        <v>0</v>
      </c>
      <c r="S393">
        <f t="shared" si="33"/>
        <v>0</v>
      </c>
      <c r="T393">
        <f t="shared" si="34"/>
        <v>0</v>
      </c>
    </row>
    <row r="394"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f t="shared" si="35"/>
        <v>0</v>
      </c>
      <c r="Q394">
        <f t="shared" si="36"/>
        <v>0</v>
      </c>
      <c r="R394">
        <f t="shared" si="37"/>
        <v>0</v>
      </c>
      <c r="S394">
        <f t="shared" si="33"/>
        <v>0</v>
      </c>
      <c r="T394">
        <f t="shared" si="34"/>
        <v>0</v>
      </c>
    </row>
    <row r="395"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f t="shared" si="35"/>
        <v>0</v>
      </c>
      <c r="Q395">
        <f t="shared" si="36"/>
        <v>0</v>
      </c>
      <c r="R395">
        <f t="shared" si="37"/>
        <v>0</v>
      </c>
      <c r="S395">
        <f t="shared" si="33"/>
        <v>0</v>
      </c>
      <c r="T395">
        <f t="shared" si="34"/>
        <v>0</v>
      </c>
    </row>
    <row r="396"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f t="shared" si="35"/>
        <v>0</v>
      </c>
      <c r="Q396">
        <f t="shared" si="36"/>
        <v>0</v>
      </c>
      <c r="R396">
        <f t="shared" si="37"/>
        <v>0</v>
      </c>
      <c r="S396">
        <f t="shared" si="33"/>
        <v>0</v>
      </c>
      <c r="T396">
        <f t="shared" si="34"/>
        <v>0</v>
      </c>
    </row>
    <row r="397"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f t="shared" si="35"/>
        <v>0</v>
      </c>
      <c r="Q397">
        <f t="shared" si="36"/>
        <v>0</v>
      </c>
      <c r="R397">
        <f t="shared" si="37"/>
        <v>0</v>
      </c>
      <c r="S397">
        <f t="shared" si="33"/>
        <v>0</v>
      </c>
      <c r="T397">
        <f t="shared" si="34"/>
        <v>0</v>
      </c>
    </row>
    <row r="398"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f t="shared" si="35"/>
        <v>0</v>
      </c>
      <c r="Q398">
        <f t="shared" si="36"/>
        <v>0</v>
      </c>
      <c r="R398">
        <f t="shared" si="37"/>
        <v>0</v>
      </c>
      <c r="S398">
        <f t="shared" si="33"/>
        <v>0</v>
      </c>
      <c r="T398">
        <f t="shared" si="34"/>
        <v>0</v>
      </c>
    </row>
    <row r="399"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f t="shared" si="35"/>
        <v>0</v>
      </c>
      <c r="Q399">
        <f t="shared" si="36"/>
        <v>0</v>
      </c>
      <c r="R399">
        <f t="shared" si="37"/>
        <v>0</v>
      </c>
      <c r="S399">
        <f t="shared" si="33"/>
        <v>0</v>
      </c>
      <c r="T399">
        <f t="shared" si="34"/>
        <v>0</v>
      </c>
    </row>
    <row r="400"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f t="shared" si="35"/>
        <v>0</v>
      </c>
      <c r="Q400">
        <f t="shared" si="36"/>
        <v>0</v>
      </c>
      <c r="R400">
        <f t="shared" si="37"/>
        <v>0</v>
      </c>
      <c r="S400">
        <f t="shared" si="33"/>
        <v>0</v>
      </c>
      <c r="T400">
        <f t="shared" si="34"/>
        <v>0</v>
      </c>
    </row>
    <row r="401"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f t="shared" si="35"/>
        <v>0</v>
      </c>
      <c r="Q401">
        <f t="shared" si="36"/>
        <v>0</v>
      </c>
      <c r="R401">
        <f t="shared" si="37"/>
        <v>0</v>
      </c>
      <c r="S401">
        <f t="shared" si="33"/>
        <v>0</v>
      </c>
      <c r="T401">
        <f t="shared" si="34"/>
        <v>0</v>
      </c>
    </row>
    <row r="402"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f t="shared" si="35"/>
        <v>0</v>
      </c>
      <c r="Q402">
        <f t="shared" si="36"/>
        <v>0</v>
      </c>
      <c r="R402">
        <f t="shared" si="37"/>
        <v>0</v>
      </c>
      <c r="S402">
        <f t="shared" si="33"/>
        <v>0</v>
      </c>
      <c r="T402">
        <f t="shared" si="34"/>
        <v>0</v>
      </c>
    </row>
    <row r="403"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f t="shared" si="35"/>
        <v>0</v>
      </c>
      <c r="Q403">
        <f t="shared" si="36"/>
        <v>0</v>
      </c>
      <c r="R403">
        <f t="shared" si="37"/>
        <v>0</v>
      </c>
      <c r="S403">
        <f t="shared" si="33"/>
        <v>0</v>
      </c>
      <c r="T403">
        <f t="shared" si="34"/>
        <v>0</v>
      </c>
    </row>
    <row r="404"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f t="shared" si="35"/>
        <v>0</v>
      </c>
      <c r="Q404">
        <f t="shared" si="36"/>
        <v>0</v>
      </c>
      <c r="R404">
        <f t="shared" si="37"/>
        <v>0</v>
      </c>
      <c r="S404">
        <f t="shared" si="33"/>
        <v>0</v>
      </c>
      <c r="T404">
        <f t="shared" si="34"/>
        <v>0</v>
      </c>
    </row>
    <row r="405"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f t="shared" si="35"/>
        <v>0</v>
      </c>
      <c r="Q405">
        <f t="shared" si="36"/>
        <v>0</v>
      </c>
      <c r="R405">
        <f t="shared" si="37"/>
        <v>0</v>
      </c>
      <c r="S405">
        <f t="shared" si="33"/>
        <v>0</v>
      </c>
      <c r="T405">
        <f t="shared" si="34"/>
        <v>0</v>
      </c>
    </row>
    <row r="406"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f t="shared" si="35"/>
        <v>0</v>
      </c>
      <c r="Q406">
        <f t="shared" si="36"/>
        <v>0</v>
      </c>
      <c r="R406">
        <f t="shared" si="37"/>
        <v>0</v>
      </c>
      <c r="S406">
        <f t="shared" si="33"/>
        <v>0</v>
      </c>
      <c r="T406">
        <f t="shared" si="34"/>
        <v>0</v>
      </c>
    </row>
    <row r="407"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f t="shared" si="35"/>
        <v>0</v>
      </c>
      <c r="Q407">
        <f t="shared" si="36"/>
        <v>0</v>
      </c>
      <c r="R407">
        <f t="shared" si="37"/>
        <v>0</v>
      </c>
      <c r="S407">
        <f t="shared" si="33"/>
        <v>0</v>
      </c>
      <c r="T407">
        <f t="shared" si="34"/>
        <v>0</v>
      </c>
    </row>
    <row r="408"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f t="shared" si="35"/>
        <v>0</v>
      </c>
      <c r="Q408">
        <f t="shared" si="36"/>
        <v>0</v>
      </c>
      <c r="R408">
        <f t="shared" si="37"/>
        <v>0</v>
      </c>
      <c r="S408">
        <f t="shared" si="33"/>
        <v>0</v>
      </c>
      <c r="T408">
        <f t="shared" si="34"/>
        <v>0</v>
      </c>
    </row>
    <row r="409"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f t="shared" si="35"/>
        <v>0</v>
      </c>
      <c r="Q409">
        <f t="shared" si="36"/>
        <v>0</v>
      </c>
      <c r="R409">
        <f t="shared" si="37"/>
        <v>0</v>
      </c>
      <c r="S409">
        <f t="shared" si="33"/>
        <v>0</v>
      </c>
      <c r="T409">
        <f t="shared" si="34"/>
        <v>0</v>
      </c>
    </row>
    <row r="410"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f t="shared" si="35"/>
        <v>0</v>
      </c>
      <c r="Q410">
        <f t="shared" si="36"/>
        <v>0</v>
      </c>
      <c r="R410">
        <f t="shared" si="37"/>
        <v>0</v>
      </c>
      <c r="S410">
        <f t="shared" si="33"/>
        <v>0</v>
      </c>
      <c r="T410">
        <f t="shared" si="34"/>
        <v>0</v>
      </c>
    </row>
    <row r="411"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f t="shared" si="35"/>
        <v>0</v>
      </c>
      <c r="Q411">
        <f t="shared" si="36"/>
        <v>0</v>
      </c>
      <c r="R411">
        <f t="shared" si="37"/>
        <v>0</v>
      </c>
      <c r="S411">
        <f t="shared" si="33"/>
        <v>0</v>
      </c>
      <c r="T411">
        <f t="shared" si="34"/>
        <v>0</v>
      </c>
    </row>
    <row r="412"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f t="shared" si="35"/>
        <v>0</v>
      </c>
      <c r="Q412">
        <f t="shared" si="36"/>
        <v>0</v>
      </c>
      <c r="R412">
        <f t="shared" si="37"/>
        <v>0</v>
      </c>
      <c r="S412">
        <f t="shared" si="33"/>
        <v>0</v>
      </c>
      <c r="T412">
        <f t="shared" si="34"/>
        <v>0</v>
      </c>
    </row>
    <row r="413"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f t="shared" si="35"/>
        <v>0</v>
      </c>
      <c r="Q413">
        <f t="shared" si="36"/>
        <v>0</v>
      </c>
      <c r="R413">
        <f t="shared" si="37"/>
        <v>0</v>
      </c>
      <c r="S413">
        <f t="shared" si="33"/>
        <v>0</v>
      </c>
      <c r="T413">
        <f t="shared" si="34"/>
        <v>0</v>
      </c>
    </row>
    <row r="414"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f t="shared" si="35"/>
        <v>0</v>
      </c>
      <c r="Q414">
        <f t="shared" si="36"/>
        <v>0</v>
      </c>
      <c r="R414">
        <f t="shared" si="37"/>
        <v>0</v>
      </c>
      <c r="S414">
        <f t="shared" si="33"/>
        <v>0</v>
      </c>
      <c r="T414">
        <f t="shared" si="34"/>
        <v>0</v>
      </c>
    </row>
    <row r="415"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f t="shared" si="35"/>
        <v>0</v>
      </c>
      <c r="Q415">
        <f t="shared" si="36"/>
        <v>0</v>
      </c>
      <c r="R415">
        <f t="shared" si="37"/>
        <v>0</v>
      </c>
      <c r="S415">
        <f t="shared" si="33"/>
        <v>0</v>
      </c>
      <c r="T415">
        <f t="shared" si="34"/>
        <v>0</v>
      </c>
    </row>
    <row r="416"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f t="shared" si="35"/>
        <v>0</v>
      </c>
      <c r="Q416">
        <f t="shared" si="36"/>
        <v>0</v>
      </c>
      <c r="R416">
        <f t="shared" si="37"/>
        <v>0</v>
      </c>
      <c r="S416">
        <f t="shared" si="33"/>
        <v>0</v>
      </c>
      <c r="T416">
        <f t="shared" si="34"/>
        <v>0</v>
      </c>
    </row>
    <row r="417"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f t="shared" si="35"/>
        <v>0</v>
      </c>
      <c r="Q417">
        <f t="shared" si="36"/>
        <v>0</v>
      </c>
      <c r="R417">
        <f t="shared" si="37"/>
        <v>0</v>
      </c>
      <c r="S417">
        <f t="shared" si="33"/>
        <v>0</v>
      </c>
      <c r="T417">
        <f t="shared" si="34"/>
        <v>0</v>
      </c>
    </row>
    <row r="418"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f t="shared" si="35"/>
        <v>0</v>
      </c>
      <c r="Q418">
        <f t="shared" si="36"/>
        <v>0</v>
      </c>
      <c r="R418">
        <f t="shared" si="37"/>
        <v>0</v>
      </c>
      <c r="S418">
        <f t="shared" si="33"/>
        <v>0</v>
      </c>
      <c r="T418">
        <f t="shared" si="34"/>
        <v>0</v>
      </c>
    </row>
    <row r="419"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f t="shared" si="35"/>
        <v>0</v>
      </c>
      <c r="Q419">
        <f t="shared" si="36"/>
        <v>0</v>
      </c>
      <c r="R419">
        <f t="shared" si="37"/>
        <v>0</v>
      </c>
      <c r="S419">
        <f t="shared" si="33"/>
        <v>0</v>
      </c>
      <c r="T419">
        <f t="shared" si="34"/>
        <v>0</v>
      </c>
    </row>
    <row r="420"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f t="shared" si="35"/>
        <v>0</v>
      </c>
      <c r="Q420">
        <f t="shared" si="36"/>
        <v>0</v>
      </c>
      <c r="R420">
        <f t="shared" si="37"/>
        <v>0</v>
      </c>
      <c r="S420">
        <f t="shared" si="33"/>
        <v>0</v>
      </c>
      <c r="T420">
        <f t="shared" si="34"/>
        <v>0</v>
      </c>
    </row>
    <row r="421"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f t="shared" si="35"/>
        <v>0</v>
      </c>
      <c r="Q421">
        <f t="shared" si="36"/>
        <v>0</v>
      </c>
      <c r="R421">
        <f t="shared" si="37"/>
        <v>0</v>
      </c>
      <c r="S421">
        <f t="shared" si="33"/>
        <v>0</v>
      </c>
      <c r="T421">
        <f t="shared" si="34"/>
        <v>0</v>
      </c>
    </row>
    <row r="422"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f t="shared" si="35"/>
        <v>0</v>
      </c>
      <c r="Q422">
        <f t="shared" si="36"/>
        <v>0</v>
      </c>
      <c r="R422">
        <f t="shared" si="37"/>
        <v>0</v>
      </c>
      <c r="S422">
        <f t="shared" si="33"/>
        <v>0</v>
      </c>
      <c r="T422">
        <f t="shared" si="34"/>
        <v>0</v>
      </c>
    </row>
    <row r="423"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f t="shared" si="35"/>
        <v>0</v>
      </c>
      <c r="Q423">
        <f t="shared" si="36"/>
        <v>0</v>
      </c>
      <c r="R423">
        <f t="shared" si="37"/>
        <v>0</v>
      </c>
      <c r="S423">
        <f t="shared" si="33"/>
        <v>0</v>
      </c>
      <c r="T423">
        <f t="shared" si="34"/>
        <v>0</v>
      </c>
    </row>
    <row r="424"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f t="shared" si="35"/>
        <v>0</v>
      </c>
      <c r="Q424">
        <f t="shared" si="36"/>
        <v>0</v>
      </c>
      <c r="R424">
        <f t="shared" si="37"/>
        <v>0</v>
      </c>
      <c r="S424">
        <f t="shared" si="33"/>
        <v>0</v>
      </c>
      <c r="T424">
        <f t="shared" si="34"/>
        <v>0</v>
      </c>
    </row>
    <row r="425"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f t="shared" si="35"/>
        <v>0</v>
      </c>
      <c r="Q425">
        <f t="shared" si="36"/>
        <v>0</v>
      </c>
      <c r="R425">
        <f t="shared" si="37"/>
        <v>0</v>
      </c>
      <c r="S425">
        <f t="shared" si="33"/>
        <v>0</v>
      </c>
      <c r="T425">
        <f t="shared" si="34"/>
        <v>0</v>
      </c>
    </row>
    <row r="426"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f t="shared" si="35"/>
        <v>0</v>
      </c>
      <c r="Q426">
        <f t="shared" si="36"/>
        <v>0</v>
      </c>
      <c r="R426">
        <f t="shared" si="37"/>
        <v>0</v>
      </c>
      <c r="S426">
        <f t="shared" si="33"/>
        <v>0</v>
      </c>
      <c r="T426">
        <f t="shared" si="34"/>
        <v>0</v>
      </c>
    </row>
    <row r="427"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f t="shared" si="35"/>
        <v>0</v>
      </c>
      <c r="Q427">
        <f t="shared" si="36"/>
        <v>0</v>
      </c>
      <c r="R427">
        <f t="shared" si="37"/>
        <v>0</v>
      </c>
      <c r="S427">
        <f t="shared" si="33"/>
        <v>0</v>
      </c>
      <c r="T427">
        <f t="shared" si="34"/>
        <v>0</v>
      </c>
    </row>
    <row r="428"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f t="shared" si="35"/>
        <v>0</v>
      </c>
      <c r="Q428">
        <f t="shared" si="36"/>
        <v>0</v>
      </c>
      <c r="R428">
        <f t="shared" si="37"/>
        <v>0</v>
      </c>
      <c r="S428">
        <f t="shared" si="33"/>
        <v>0</v>
      </c>
      <c r="T428">
        <f t="shared" si="34"/>
        <v>0</v>
      </c>
    </row>
    <row r="429"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f t="shared" si="35"/>
        <v>0</v>
      </c>
      <c r="Q429">
        <f t="shared" si="36"/>
        <v>0</v>
      </c>
      <c r="R429">
        <f t="shared" si="37"/>
        <v>0</v>
      </c>
      <c r="S429">
        <f t="shared" si="33"/>
        <v>0</v>
      </c>
      <c r="T429">
        <f t="shared" si="34"/>
        <v>0</v>
      </c>
    </row>
    <row r="430"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f t="shared" si="35"/>
        <v>0</v>
      </c>
      <c r="Q430">
        <f t="shared" si="36"/>
        <v>0</v>
      </c>
      <c r="R430">
        <f t="shared" si="37"/>
        <v>0</v>
      </c>
      <c r="S430">
        <f t="shared" si="33"/>
        <v>0</v>
      </c>
      <c r="T430">
        <f t="shared" si="34"/>
        <v>0</v>
      </c>
    </row>
    <row r="431"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f t="shared" si="35"/>
        <v>0</v>
      </c>
      <c r="Q431">
        <f t="shared" si="36"/>
        <v>0</v>
      </c>
      <c r="R431">
        <f t="shared" si="37"/>
        <v>0</v>
      </c>
      <c r="S431">
        <f t="shared" si="33"/>
        <v>0</v>
      </c>
      <c r="T431">
        <f t="shared" si="34"/>
        <v>0</v>
      </c>
    </row>
    <row r="432"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f t="shared" si="35"/>
        <v>0</v>
      </c>
      <c r="Q432">
        <f t="shared" si="36"/>
        <v>0</v>
      </c>
      <c r="R432">
        <f t="shared" si="37"/>
        <v>0</v>
      </c>
      <c r="S432">
        <f t="shared" si="33"/>
        <v>0</v>
      </c>
      <c r="T432">
        <f t="shared" si="34"/>
        <v>0</v>
      </c>
    </row>
    <row r="433"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f t="shared" si="35"/>
        <v>0</v>
      </c>
      <c r="Q433">
        <f t="shared" si="36"/>
        <v>0</v>
      </c>
      <c r="R433">
        <f t="shared" si="37"/>
        <v>0</v>
      </c>
      <c r="S433">
        <f t="shared" si="33"/>
        <v>0</v>
      </c>
      <c r="T433">
        <f t="shared" si="34"/>
        <v>0</v>
      </c>
    </row>
    <row r="434"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f t="shared" si="35"/>
        <v>0</v>
      </c>
      <c r="Q434">
        <f t="shared" si="36"/>
        <v>0</v>
      </c>
      <c r="R434">
        <f t="shared" si="37"/>
        <v>0</v>
      </c>
      <c r="S434">
        <f t="shared" si="33"/>
        <v>0</v>
      </c>
      <c r="T434">
        <f t="shared" si="34"/>
        <v>0</v>
      </c>
    </row>
    <row r="435"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f t="shared" si="35"/>
        <v>0</v>
      </c>
      <c r="Q435">
        <f t="shared" si="36"/>
        <v>0</v>
      </c>
      <c r="R435">
        <f t="shared" si="37"/>
        <v>0</v>
      </c>
      <c r="S435">
        <f t="shared" si="33"/>
        <v>0</v>
      </c>
      <c r="T435">
        <f t="shared" si="34"/>
        <v>0</v>
      </c>
    </row>
    <row r="436"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f t="shared" si="35"/>
        <v>0</v>
      </c>
      <c r="Q436">
        <f t="shared" si="36"/>
        <v>0</v>
      </c>
      <c r="R436">
        <f t="shared" si="37"/>
        <v>0</v>
      </c>
      <c r="S436">
        <f t="shared" si="33"/>
        <v>0</v>
      </c>
      <c r="T436">
        <f t="shared" si="34"/>
        <v>0</v>
      </c>
    </row>
    <row r="437"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f t="shared" si="35"/>
        <v>0</v>
      </c>
      <c r="Q437">
        <f t="shared" si="36"/>
        <v>0</v>
      </c>
      <c r="R437">
        <f t="shared" si="37"/>
        <v>0</v>
      </c>
      <c r="S437">
        <f t="shared" si="33"/>
        <v>0</v>
      </c>
      <c r="T437">
        <f t="shared" si="34"/>
        <v>0</v>
      </c>
    </row>
    <row r="438"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f t="shared" si="35"/>
        <v>0</v>
      </c>
      <c r="Q438">
        <f t="shared" si="36"/>
        <v>0</v>
      </c>
      <c r="R438">
        <f t="shared" si="37"/>
        <v>0</v>
      </c>
      <c r="S438">
        <f t="shared" si="33"/>
        <v>0</v>
      </c>
      <c r="T438">
        <f t="shared" si="34"/>
        <v>0</v>
      </c>
    </row>
    <row r="439"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f t="shared" si="35"/>
        <v>0</v>
      </c>
      <c r="Q439">
        <f t="shared" si="36"/>
        <v>0</v>
      </c>
      <c r="R439">
        <f t="shared" si="37"/>
        <v>0</v>
      </c>
      <c r="S439">
        <f t="shared" si="33"/>
        <v>0</v>
      </c>
      <c r="T439">
        <f t="shared" si="34"/>
        <v>0</v>
      </c>
    </row>
    <row r="440"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f t="shared" si="35"/>
        <v>0</v>
      </c>
      <c r="Q440">
        <f t="shared" si="36"/>
        <v>0</v>
      </c>
      <c r="R440">
        <f t="shared" si="37"/>
        <v>0</v>
      </c>
      <c r="S440">
        <f t="shared" si="33"/>
        <v>0</v>
      </c>
      <c r="T440">
        <f t="shared" si="34"/>
        <v>0</v>
      </c>
    </row>
    <row r="441"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f t="shared" si="35"/>
        <v>0</v>
      </c>
      <c r="Q441">
        <f t="shared" si="36"/>
        <v>0</v>
      </c>
      <c r="R441">
        <f t="shared" si="37"/>
        <v>0</v>
      </c>
      <c r="S441">
        <f t="shared" si="33"/>
        <v>0</v>
      </c>
      <c r="T441">
        <f t="shared" si="34"/>
        <v>0</v>
      </c>
    </row>
    <row r="442"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f t="shared" si="35"/>
        <v>0</v>
      </c>
      <c r="Q442">
        <f t="shared" si="36"/>
        <v>0</v>
      </c>
      <c r="R442">
        <f t="shared" si="37"/>
        <v>0</v>
      </c>
      <c r="S442">
        <f t="shared" si="33"/>
        <v>0</v>
      </c>
      <c r="T442">
        <f t="shared" si="34"/>
        <v>0</v>
      </c>
    </row>
    <row r="443"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f t="shared" si="35"/>
        <v>0</v>
      </c>
      <c r="Q443">
        <f t="shared" si="36"/>
        <v>0</v>
      </c>
      <c r="R443">
        <f t="shared" si="37"/>
        <v>0</v>
      </c>
      <c r="S443">
        <f t="shared" si="33"/>
        <v>0</v>
      </c>
      <c r="T443">
        <f t="shared" si="34"/>
        <v>0</v>
      </c>
    </row>
    <row r="444"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f t="shared" si="35"/>
        <v>0</v>
      </c>
      <c r="Q444">
        <f t="shared" si="36"/>
        <v>0</v>
      </c>
      <c r="R444">
        <f t="shared" si="37"/>
        <v>0</v>
      </c>
      <c r="S444">
        <f t="shared" si="33"/>
        <v>0</v>
      </c>
      <c r="T444">
        <f t="shared" si="34"/>
        <v>0</v>
      </c>
    </row>
    <row r="445"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f t="shared" si="35"/>
        <v>0</v>
      </c>
      <c r="Q445">
        <f t="shared" si="36"/>
        <v>0</v>
      </c>
      <c r="R445">
        <f t="shared" si="37"/>
        <v>0</v>
      </c>
      <c r="S445">
        <f t="shared" si="33"/>
        <v>0</v>
      </c>
      <c r="T445">
        <f t="shared" si="34"/>
        <v>0</v>
      </c>
    </row>
    <row r="446"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f t="shared" si="35"/>
        <v>0</v>
      </c>
      <c r="Q446">
        <f t="shared" si="36"/>
        <v>0</v>
      </c>
      <c r="R446">
        <f t="shared" si="37"/>
        <v>0</v>
      </c>
      <c r="S446">
        <f t="shared" si="33"/>
        <v>0</v>
      </c>
      <c r="T446">
        <f t="shared" si="34"/>
        <v>0</v>
      </c>
    </row>
    <row r="447"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f t="shared" si="35"/>
        <v>0</v>
      </c>
      <c r="Q447">
        <f t="shared" si="36"/>
        <v>0</v>
      </c>
      <c r="R447">
        <f t="shared" si="37"/>
        <v>0</v>
      </c>
      <c r="S447">
        <f t="shared" si="33"/>
        <v>0</v>
      </c>
      <c r="T447">
        <f t="shared" si="34"/>
        <v>0</v>
      </c>
    </row>
    <row r="448"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f t="shared" si="35"/>
        <v>0</v>
      </c>
      <c r="Q448">
        <f t="shared" si="36"/>
        <v>0</v>
      </c>
      <c r="R448">
        <f t="shared" si="37"/>
        <v>0</v>
      </c>
      <c r="S448">
        <f t="shared" si="33"/>
        <v>0</v>
      </c>
      <c r="T448">
        <f t="shared" si="34"/>
        <v>0</v>
      </c>
    </row>
    <row r="449"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f t="shared" si="35"/>
        <v>0</v>
      </c>
      <c r="Q449">
        <f t="shared" si="36"/>
        <v>0</v>
      </c>
      <c r="R449">
        <f t="shared" si="37"/>
        <v>0</v>
      </c>
      <c r="S449">
        <f t="shared" si="33"/>
        <v>0</v>
      </c>
      <c r="T449">
        <f t="shared" si="34"/>
        <v>0</v>
      </c>
    </row>
    <row r="450"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f t="shared" si="35"/>
        <v>0</v>
      </c>
      <c r="Q450">
        <f t="shared" si="36"/>
        <v>0</v>
      </c>
      <c r="R450">
        <f t="shared" si="37"/>
        <v>0</v>
      </c>
      <c r="S450">
        <f t="shared" si="33"/>
        <v>0</v>
      </c>
      <c r="T450">
        <f t="shared" si="34"/>
        <v>0</v>
      </c>
    </row>
    <row r="451"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f t="shared" si="35"/>
        <v>0</v>
      </c>
      <c r="Q451">
        <f t="shared" si="36"/>
        <v>0</v>
      </c>
      <c r="R451">
        <f t="shared" si="37"/>
        <v>0</v>
      </c>
      <c r="S451">
        <f t="shared" ref="S451:S514" si="38">IF(J451="Realizada completa",1,0)</f>
        <v>0</v>
      </c>
      <c r="T451">
        <f t="shared" ref="T451:T514" si="39">IF(J451="Sin respuesta",1,0)</f>
        <v>0</v>
      </c>
    </row>
    <row r="452"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f t="shared" ref="P452:P515" si="40">IF(F452="Sí",1,0)</f>
        <v>0</v>
      </c>
      <c r="Q452">
        <f t="shared" ref="Q452:Q515" si="41">IF(J452="En coordinación",1,0)</f>
        <v>0</v>
      </c>
      <c r="R452">
        <f t="shared" ref="R452:R515" si="42">IF(J452="En coordinación",1,0)</f>
        <v>0</v>
      </c>
      <c r="S452">
        <f t="shared" si="38"/>
        <v>0</v>
      </c>
      <c r="T452">
        <f t="shared" si="39"/>
        <v>0</v>
      </c>
    </row>
    <row r="453"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f t="shared" si="40"/>
        <v>0</v>
      </c>
      <c r="Q453">
        <f t="shared" si="41"/>
        <v>0</v>
      </c>
      <c r="R453">
        <f t="shared" si="42"/>
        <v>0</v>
      </c>
      <c r="S453">
        <f t="shared" si="38"/>
        <v>0</v>
      </c>
      <c r="T453">
        <f t="shared" si="39"/>
        <v>0</v>
      </c>
    </row>
    <row r="454"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f t="shared" si="40"/>
        <v>0</v>
      </c>
      <c r="Q454">
        <f t="shared" si="41"/>
        <v>0</v>
      </c>
      <c r="R454">
        <f t="shared" si="42"/>
        <v>0</v>
      </c>
      <c r="S454">
        <f t="shared" si="38"/>
        <v>0</v>
      </c>
      <c r="T454">
        <f t="shared" si="39"/>
        <v>0</v>
      </c>
    </row>
    <row r="455"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f t="shared" si="40"/>
        <v>0</v>
      </c>
      <c r="Q455">
        <f t="shared" si="41"/>
        <v>0</v>
      </c>
      <c r="R455">
        <f t="shared" si="42"/>
        <v>0</v>
      </c>
      <c r="S455">
        <f t="shared" si="38"/>
        <v>0</v>
      </c>
      <c r="T455">
        <f t="shared" si="39"/>
        <v>0</v>
      </c>
    </row>
    <row r="456"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f t="shared" si="40"/>
        <v>0</v>
      </c>
      <c r="Q456">
        <f t="shared" si="41"/>
        <v>0</v>
      </c>
      <c r="R456">
        <f t="shared" si="42"/>
        <v>0</v>
      </c>
      <c r="S456">
        <f t="shared" si="38"/>
        <v>0</v>
      </c>
      <c r="T456">
        <f t="shared" si="39"/>
        <v>0</v>
      </c>
    </row>
    <row r="457"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f t="shared" si="40"/>
        <v>0</v>
      </c>
      <c r="Q457">
        <f t="shared" si="41"/>
        <v>0</v>
      </c>
      <c r="R457">
        <f t="shared" si="42"/>
        <v>0</v>
      </c>
      <c r="S457">
        <f t="shared" si="38"/>
        <v>0</v>
      </c>
      <c r="T457">
        <f t="shared" si="39"/>
        <v>0</v>
      </c>
    </row>
    <row r="458"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f t="shared" si="40"/>
        <v>0</v>
      </c>
      <c r="Q458">
        <f t="shared" si="41"/>
        <v>0</v>
      </c>
      <c r="R458">
        <f t="shared" si="42"/>
        <v>0</v>
      </c>
      <c r="S458">
        <f t="shared" si="38"/>
        <v>0</v>
      </c>
      <c r="T458">
        <f t="shared" si="39"/>
        <v>0</v>
      </c>
    </row>
    <row r="459"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f t="shared" si="40"/>
        <v>0</v>
      </c>
      <c r="Q459">
        <f t="shared" si="41"/>
        <v>0</v>
      </c>
      <c r="R459">
        <f t="shared" si="42"/>
        <v>0</v>
      </c>
      <c r="S459">
        <f t="shared" si="38"/>
        <v>0</v>
      </c>
      <c r="T459">
        <f t="shared" si="39"/>
        <v>0</v>
      </c>
    </row>
    <row r="460"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f t="shared" si="40"/>
        <v>0</v>
      </c>
      <c r="Q460">
        <f t="shared" si="41"/>
        <v>0</v>
      </c>
      <c r="R460">
        <f t="shared" si="42"/>
        <v>0</v>
      </c>
      <c r="S460">
        <f t="shared" si="38"/>
        <v>0</v>
      </c>
      <c r="T460">
        <f t="shared" si="39"/>
        <v>0</v>
      </c>
    </row>
    <row r="461"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f t="shared" si="40"/>
        <v>0</v>
      </c>
      <c r="Q461">
        <f t="shared" si="41"/>
        <v>0</v>
      </c>
      <c r="R461">
        <f t="shared" si="42"/>
        <v>0</v>
      </c>
      <c r="S461">
        <f t="shared" si="38"/>
        <v>0</v>
      </c>
      <c r="T461">
        <f t="shared" si="39"/>
        <v>0</v>
      </c>
    </row>
    <row r="462"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f t="shared" si="40"/>
        <v>0</v>
      </c>
      <c r="Q462">
        <f t="shared" si="41"/>
        <v>0</v>
      </c>
      <c r="R462">
        <f t="shared" si="42"/>
        <v>0</v>
      </c>
      <c r="S462">
        <f t="shared" si="38"/>
        <v>0</v>
      </c>
      <c r="T462">
        <f t="shared" si="39"/>
        <v>0</v>
      </c>
    </row>
    <row r="463"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f t="shared" si="40"/>
        <v>0</v>
      </c>
      <c r="Q463">
        <f t="shared" si="41"/>
        <v>0</v>
      </c>
      <c r="R463">
        <f t="shared" si="42"/>
        <v>0</v>
      </c>
      <c r="S463">
        <f t="shared" si="38"/>
        <v>0</v>
      </c>
      <c r="T463">
        <f t="shared" si="39"/>
        <v>0</v>
      </c>
    </row>
    <row r="464"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f t="shared" si="40"/>
        <v>0</v>
      </c>
      <c r="Q464">
        <f t="shared" si="41"/>
        <v>0</v>
      </c>
      <c r="R464">
        <f t="shared" si="42"/>
        <v>0</v>
      </c>
      <c r="S464">
        <f t="shared" si="38"/>
        <v>0</v>
      </c>
      <c r="T464">
        <f t="shared" si="39"/>
        <v>0</v>
      </c>
    </row>
    <row r="465"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f t="shared" si="40"/>
        <v>0</v>
      </c>
      <c r="Q465">
        <f t="shared" si="41"/>
        <v>0</v>
      </c>
      <c r="R465">
        <f t="shared" si="42"/>
        <v>0</v>
      </c>
      <c r="S465">
        <f t="shared" si="38"/>
        <v>0</v>
      </c>
      <c r="T465">
        <f t="shared" si="39"/>
        <v>0</v>
      </c>
    </row>
    <row r="466"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f t="shared" si="40"/>
        <v>0</v>
      </c>
      <c r="Q466">
        <f t="shared" si="41"/>
        <v>0</v>
      </c>
      <c r="R466">
        <f t="shared" si="42"/>
        <v>0</v>
      </c>
      <c r="S466">
        <f t="shared" si="38"/>
        <v>0</v>
      </c>
      <c r="T466">
        <f t="shared" si="39"/>
        <v>0</v>
      </c>
    </row>
    <row r="467"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f t="shared" si="40"/>
        <v>0</v>
      </c>
      <c r="Q467">
        <f t="shared" si="41"/>
        <v>0</v>
      </c>
      <c r="R467">
        <f t="shared" si="42"/>
        <v>0</v>
      </c>
      <c r="S467">
        <f t="shared" si="38"/>
        <v>0</v>
      </c>
      <c r="T467">
        <f t="shared" si="39"/>
        <v>0</v>
      </c>
    </row>
    <row r="468"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f t="shared" si="40"/>
        <v>0</v>
      </c>
      <c r="Q468">
        <f t="shared" si="41"/>
        <v>0</v>
      </c>
      <c r="R468">
        <f t="shared" si="42"/>
        <v>0</v>
      </c>
      <c r="S468">
        <f t="shared" si="38"/>
        <v>0</v>
      </c>
      <c r="T468">
        <f t="shared" si="39"/>
        <v>0</v>
      </c>
    </row>
    <row r="469"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f t="shared" si="40"/>
        <v>0</v>
      </c>
      <c r="Q469">
        <f t="shared" si="41"/>
        <v>0</v>
      </c>
      <c r="R469">
        <f t="shared" si="42"/>
        <v>0</v>
      </c>
      <c r="S469">
        <f t="shared" si="38"/>
        <v>0</v>
      </c>
      <c r="T469">
        <f t="shared" si="39"/>
        <v>0</v>
      </c>
    </row>
    <row r="470"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f t="shared" si="40"/>
        <v>0</v>
      </c>
      <c r="Q470">
        <f t="shared" si="41"/>
        <v>0</v>
      </c>
      <c r="R470">
        <f t="shared" si="42"/>
        <v>0</v>
      </c>
      <c r="S470">
        <f t="shared" si="38"/>
        <v>0</v>
      </c>
      <c r="T470">
        <f t="shared" si="39"/>
        <v>0</v>
      </c>
    </row>
    <row r="471"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f t="shared" si="40"/>
        <v>0</v>
      </c>
      <c r="Q471">
        <f t="shared" si="41"/>
        <v>0</v>
      </c>
      <c r="R471">
        <f t="shared" si="42"/>
        <v>0</v>
      </c>
      <c r="S471">
        <f t="shared" si="38"/>
        <v>0</v>
      </c>
      <c r="T471">
        <f t="shared" si="39"/>
        <v>0</v>
      </c>
    </row>
    <row r="472"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f t="shared" si="40"/>
        <v>0</v>
      </c>
      <c r="Q472">
        <f t="shared" si="41"/>
        <v>0</v>
      </c>
      <c r="R472">
        <f t="shared" si="42"/>
        <v>0</v>
      </c>
      <c r="S472">
        <f t="shared" si="38"/>
        <v>0</v>
      </c>
      <c r="T472">
        <f t="shared" si="39"/>
        <v>0</v>
      </c>
    </row>
    <row r="473"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f t="shared" si="40"/>
        <v>0</v>
      </c>
      <c r="Q473">
        <f t="shared" si="41"/>
        <v>0</v>
      </c>
      <c r="R473">
        <f t="shared" si="42"/>
        <v>0</v>
      </c>
      <c r="S473">
        <f t="shared" si="38"/>
        <v>0</v>
      </c>
      <c r="T473">
        <f t="shared" si="39"/>
        <v>0</v>
      </c>
    </row>
    <row r="474"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f t="shared" si="40"/>
        <v>0</v>
      </c>
      <c r="Q474">
        <f t="shared" si="41"/>
        <v>0</v>
      </c>
      <c r="R474">
        <f t="shared" si="42"/>
        <v>0</v>
      </c>
      <c r="S474">
        <f t="shared" si="38"/>
        <v>0</v>
      </c>
      <c r="T474">
        <f t="shared" si="39"/>
        <v>0</v>
      </c>
    </row>
    <row r="475"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f t="shared" si="40"/>
        <v>0</v>
      </c>
      <c r="Q475">
        <f t="shared" si="41"/>
        <v>0</v>
      </c>
      <c r="R475">
        <f t="shared" si="42"/>
        <v>0</v>
      </c>
      <c r="S475">
        <f t="shared" si="38"/>
        <v>0</v>
      </c>
      <c r="T475">
        <f t="shared" si="39"/>
        <v>0</v>
      </c>
    </row>
    <row r="476"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f t="shared" si="40"/>
        <v>0</v>
      </c>
      <c r="Q476">
        <f t="shared" si="41"/>
        <v>0</v>
      </c>
      <c r="R476">
        <f t="shared" si="42"/>
        <v>0</v>
      </c>
      <c r="S476">
        <f t="shared" si="38"/>
        <v>0</v>
      </c>
      <c r="T476">
        <f t="shared" si="39"/>
        <v>0</v>
      </c>
    </row>
    <row r="477"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f t="shared" si="40"/>
        <v>0</v>
      </c>
      <c r="Q477">
        <f t="shared" si="41"/>
        <v>0</v>
      </c>
      <c r="R477">
        <f t="shared" si="42"/>
        <v>0</v>
      </c>
      <c r="S477">
        <f t="shared" si="38"/>
        <v>0</v>
      </c>
      <c r="T477">
        <f t="shared" si="39"/>
        <v>0</v>
      </c>
    </row>
    <row r="478"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f t="shared" si="40"/>
        <v>0</v>
      </c>
      <c r="Q478">
        <f t="shared" si="41"/>
        <v>0</v>
      </c>
      <c r="R478">
        <f t="shared" si="42"/>
        <v>0</v>
      </c>
      <c r="S478">
        <f t="shared" si="38"/>
        <v>0</v>
      </c>
      <c r="T478">
        <f t="shared" si="39"/>
        <v>0</v>
      </c>
    </row>
    <row r="479"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f t="shared" si="40"/>
        <v>0</v>
      </c>
      <c r="Q479">
        <f t="shared" si="41"/>
        <v>0</v>
      </c>
      <c r="R479">
        <f t="shared" si="42"/>
        <v>0</v>
      </c>
      <c r="S479">
        <f t="shared" si="38"/>
        <v>0</v>
      </c>
      <c r="T479">
        <f t="shared" si="39"/>
        <v>0</v>
      </c>
    </row>
    <row r="480"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f t="shared" si="40"/>
        <v>0</v>
      </c>
      <c r="Q480">
        <f t="shared" si="41"/>
        <v>0</v>
      </c>
      <c r="R480">
        <f t="shared" si="42"/>
        <v>0</v>
      </c>
      <c r="S480">
        <f t="shared" si="38"/>
        <v>0</v>
      </c>
      <c r="T480">
        <f t="shared" si="39"/>
        <v>0</v>
      </c>
    </row>
    <row r="481"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f t="shared" si="40"/>
        <v>0</v>
      </c>
      <c r="Q481">
        <f t="shared" si="41"/>
        <v>0</v>
      </c>
      <c r="R481">
        <f t="shared" si="42"/>
        <v>0</v>
      </c>
      <c r="S481">
        <f t="shared" si="38"/>
        <v>0</v>
      </c>
      <c r="T481">
        <f t="shared" si="39"/>
        <v>0</v>
      </c>
    </row>
    <row r="482"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f t="shared" si="40"/>
        <v>0</v>
      </c>
      <c r="Q482">
        <f t="shared" si="41"/>
        <v>0</v>
      </c>
      <c r="R482">
        <f t="shared" si="42"/>
        <v>0</v>
      </c>
      <c r="S482">
        <f t="shared" si="38"/>
        <v>0</v>
      </c>
      <c r="T482">
        <f t="shared" si="39"/>
        <v>0</v>
      </c>
    </row>
    <row r="483"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f t="shared" si="40"/>
        <v>0</v>
      </c>
      <c r="Q483">
        <f t="shared" si="41"/>
        <v>0</v>
      </c>
      <c r="R483">
        <f t="shared" si="42"/>
        <v>0</v>
      </c>
      <c r="S483">
        <f t="shared" si="38"/>
        <v>0</v>
      </c>
      <c r="T483">
        <f t="shared" si="39"/>
        <v>0</v>
      </c>
    </row>
    <row r="484"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f t="shared" si="40"/>
        <v>0</v>
      </c>
      <c r="Q484">
        <f t="shared" si="41"/>
        <v>0</v>
      </c>
      <c r="R484">
        <f t="shared" si="42"/>
        <v>0</v>
      </c>
      <c r="S484">
        <f t="shared" si="38"/>
        <v>0</v>
      </c>
      <c r="T484">
        <f t="shared" si="39"/>
        <v>0</v>
      </c>
    </row>
    <row r="485"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f t="shared" si="40"/>
        <v>0</v>
      </c>
      <c r="Q485">
        <f t="shared" si="41"/>
        <v>0</v>
      </c>
      <c r="R485">
        <f t="shared" si="42"/>
        <v>0</v>
      </c>
      <c r="S485">
        <f t="shared" si="38"/>
        <v>0</v>
      </c>
      <c r="T485">
        <f t="shared" si="39"/>
        <v>0</v>
      </c>
    </row>
    <row r="486"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f t="shared" si="40"/>
        <v>0</v>
      </c>
      <c r="Q486">
        <f t="shared" si="41"/>
        <v>0</v>
      </c>
      <c r="R486">
        <f t="shared" si="42"/>
        <v>0</v>
      </c>
      <c r="S486">
        <f t="shared" si="38"/>
        <v>0</v>
      </c>
      <c r="T486">
        <f t="shared" si="39"/>
        <v>0</v>
      </c>
    </row>
    <row r="487"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f t="shared" si="40"/>
        <v>0</v>
      </c>
      <c r="Q487">
        <f t="shared" si="41"/>
        <v>0</v>
      </c>
      <c r="R487">
        <f t="shared" si="42"/>
        <v>0</v>
      </c>
      <c r="S487">
        <f t="shared" si="38"/>
        <v>0</v>
      </c>
      <c r="T487">
        <f t="shared" si="39"/>
        <v>0</v>
      </c>
    </row>
    <row r="488"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f t="shared" si="40"/>
        <v>0</v>
      </c>
      <c r="Q488">
        <f t="shared" si="41"/>
        <v>0</v>
      </c>
      <c r="R488">
        <f t="shared" si="42"/>
        <v>0</v>
      </c>
      <c r="S488">
        <f t="shared" si="38"/>
        <v>0</v>
      </c>
      <c r="T488">
        <f t="shared" si="39"/>
        <v>0</v>
      </c>
    </row>
    <row r="489"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f t="shared" si="40"/>
        <v>0</v>
      </c>
      <c r="Q489">
        <f t="shared" si="41"/>
        <v>0</v>
      </c>
      <c r="R489">
        <f t="shared" si="42"/>
        <v>0</v>
      </c>
      <c r="S489">
        <f t="shared" si="38"/>
        <v>0</v>
      </c>
      <c r="T489">
        <f t="shared" si="39"/>
        <v>0</v>
      </c>
    </row>
    <row r="490"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f t="shared" si="40"/>
        <v>0</v>
      </c>
      <c r="Q490">
        <f t="shared" si="41"/>
        <v>0</v>
      </c>
      <c r="R490">
        <f t="shared" si="42"/>
        <v>0</v>
      </c>
      <c r="S490">
        <f t="shared" si="38"/>
        <v>0</v>
      </c>
      <c r="T490">
        <f t="shared" si="39"/>
        <v>0</v>
      </c>
    </row>
    <row r="491"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f t="shared" si="40"/>
        <v>0</v>
      </c>
      <c r="Q491">
        <f t="shared" si="41"/>
        <v>0</v>
      </c>
      <c r="R491">
        <f t="shared" si="42"/>
        <v>0</v>
      </c>
      <c r="S491">
        <f t="shared" si="38"/>
        <v>0</v>
      </c>
      <c r="T491">
        <f t="shared" si="39"/>
        <v>0</v>
      </c>
    </row>
    <row r="492"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f t="shared" si="40"/>
        <v>0</v>
      </c>
      <c r="Q492">
        <f t="shared" si="41"/>
        <v>0</v>
      </c>
      <c r="R492">
        <f t="shared" si="42"/>
        <v>0</v>
      </c>
      <c r="S492">
        <f t="shared" si="38"/>
        <v>0</v>
      </c>
      <c r="T492">
        <f t="shared" si="39"/>
        <v>0</v>
      </c>
    </row>
    <row r="493"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f t="shared" si="40"/>
        <v>0</v>
      </c>
      <c r="Q493">
        <f t="shared" si="41"/>
        <v>0</v>
      </c>
      <c r="R493">
        <f t="shared" si="42"/>
        <v>0</v>
      </c>
      <c r="S493">
        <f t="shared" si="38"/>
        <v>0</v>
      </c>
      <c r="T493">
        <f t="shared" si="39"/>
        <v>0</v>
      </c>
    </row>
    <row r="494"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f t="shared" si="40"/>
        <v>0</v>
      </c>
      <c r="Q494">
        <f t="shared" si="41"/>
        <v>0</v>
      </c>
      <c r="R494">
        <f t="shared" si="42"/>
        <v>0</v>
      </c>
      <c r="S494">
        <f t="shared" si="38"/>
        <v>0</v>
      </c>
      <c r="T494">
        <f t="shared" si="39"/>
        <v>0</v>
      </c>
    </row>
    <row r="495"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f t="shared" si="40"/>
        <v>0</v>
      </c>
      <c r="Q495">
        <f t="shared" si="41"/>
        <v>0</v>
      </c>
      <c r="R495">
        <f t="shared" si="42"/>
        <v>0</v>
      </c>
      <c r="S495">
        <f t="shared" si="38"/>
        <v>0</v>
      </c>
      <c r="T495">
        <f t="shared" si="39"/>
        <v>0</v>
      </c>
    </row>
    <row r="496"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f t="shared" si="40"/>
        <v>0</v>
      </c>
      <c r="Q496">
        <f t="shared" si="41"/>
        <v>0</v>
      </c>
      <c r="R496">
        <f t="shared" si="42"/>
        <v>0</v>
      </c>
      <c r="S496">
        <f t="shared" si="38"/>
        <v>0</v>
      </c>
      <c r="T496">
        <f t="shared" si="39"/>
        <v>0</v>
      </c>
    </row>
    <row r="497"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f t="shared" si="40"/>
        <v>0</v>
      </c>
      <c r="Q497">
        <f t="shared" si="41"/>
        <v>0</v>
      </c>
      <c r="R497">
        <f t="shared" si="42"/>
        <v>0</v>
      </c>
      <c r="S497">
        <f t="shared" si="38"/>
        <v>0</v>
      </c>
      <c r="T497">
        <f t="shared" si="39"/>
        <v>0</v>
      </c>
    </row>
    <row r="498"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f t="shared" si="40"/>
        <v>0</v>
      </c>
      <c r="Q498">
        <f t="shared" si="41"/>
        <v>0</v>
      </c>
      <c r="R498">
        <f t="shared" si="42"/>
        <v>0</v>
      </c>
      <c r="S498">
        <f t="shared" si="38"/>
        <v>0</v>
      </c>
      <c r="T498">
        <f t="shared" si="39"/>
        <v>0</v>
      </c>
    </row>
    <row r="499"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f t="shared" si="40"/>
        <v>0</v>
      </c>
      <c r="Q499">
        <f t="shared" si="41"/>
        <v>0</v>
      </c>
      <c r="R499">
        <f t="shared" si="42"/>
        <v>0</v>
      </c>
      <c r="S499">
        <f t="shared" si="38"/>
        <v>0</v>
      </c>
      <c r="T499">
        <f t="shared" si="39"/>
        <v>0</v>
      </c>
    </row>
    <row r="500"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f t="shared" si="40"/>
        <v>0</v>
      </c>
      <c r="Q500">
        <f t="shared" si="41"/>
        <v>0</v>
      </c>
      <c r="R500">
        <f t="shared" si="42"/>
        <v>0</v>
      </c>
      <c r="S500">
        <f t="shared" si="38"/>
        <v>0</v>
      </c>
      <c r="T500">
        <f t="shared" si="39"/>
        <v>0</v>
      </c>
    </row>
    <row r="501"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f t="shared" si="40"/>
        <v>0</v>
      </c>
      <c r="Q501">
        <f t="shared" si="41"/>
        <v>0</v>
      </c>
      <c r="R501">
        <f t="shared" si="42"/>
        <v>0</v>
      </c>
      <c r="S501">
        <f t="shared" si="38"/>
        <v>0</v>
      </c>
      <c r="T501">
        <f t="shared" si="39"/>
        <v>0</v>
      </c>
    </row>
    <row r="502"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f t="shared" si="40"/>
        <v>0</v>
      </c>
      <c r="Q502">
        <f t="shared" si="41"/>
        <v>0</v>
      </c>
      <c r="R502">
        <f t="shared" si="42"/>
        <v>0</v>
      </c>
      <c r="S502">
        <f t="shared" si="38"/>
        <v>0</v>
      </c>
      <c r="T502">
        <f t="shared" si="39"/>
        <v>0</v>
      </c>
    </row>
    <row r="503"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f t="shared" si="40"/>
        <v>0</v>
      </c>
      <c r="Q503">
        <f t="shared" si="41"/>
        <v>0</v>
      </c>
      <c r="R503">
        <f t="shared" si="42"/>
        <v>0</v>
      </c>
      <c r="S503">
        <f t="shared" si="38"/>
        <v>0</v>
      </c>
      <c r="T503">
        <f t="shared" si="39"/>
        <v>0</v>
      </c>
    </row>
    <row r="504"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f t="shared" si="40"/>
        <v>0</v>
      </c>
      <c r="Q504">
        <f t="shared" si="41"/>
        <v>0</v>
      </c>
      <c r="R504">
        <f t="shared" si="42"/>
        <v>0</v>
      </c>
      <c r="S504">
        <f t="shared" si="38"/>
        <v>0</v>
      </c>
      <c r="T504">
        <f t="shared" si="39"/>
        <v>0</v>
      </c>
    </row>
    <row r="505"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f t="shared" si="40"/>
        <v>0</v>
      </c>
      <c r="Q505">
        <f t="shared" si="41"/>
        <v>0</v>
      </c>
      <c r="R505">
        <f t="shared" si="42"/>
        <v>0</v>
      </c>
      <c r="S505">
        <f t="shared" si="38"/>
        <v>0</v>
      </c>
      <c r="T505">
        <f t="shared" si="39"/>
        <v>0</v>
      </c>
    </row>
    <row r="506"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f t="shared" si="40"/>
        <v>0</v>
      </c>
      <c r="Q506">
        <f t="shared" si="41"/>
        <v>0</v>
      </c>
      <c r="R506">
        <f t="shared" si="42"/>
        <v>0</v>
      </c>
      <c r="S506">
        <f t="shared" si="38"/>
        <v>0</v>
      </c>
      <c r="T506">
        <f t="shared" si="39"/>
        <v>0</v>
      </c>
    </row>
    <row r="507"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f t="shared" si="40"/>
        <v>0</v>
      </c>
      <c r="Q507">
        <f t="shared" si="41"/>
        <v>0</v>
      </c>
      <c r="R507">
        <f t="shared" si="42"/>
        <v>0</v>
      </c>
      <c r="S507">
        <f t="shared" si="38"/>
        <v>0</v>
      </c>
      <c r="T507">
        <f t="shared" si="39"/>
        <v>0</v>
      </c>
    </row>
    <row r="508"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f t="shared" si="40"/>
        <v>0</v>
      </c>
      <c r="Q508">
        <f t="shared" si="41"/>
        <v>0</v>
      </c>
      <c r="R508">
        <f t="shared" si="42"/>
        <v>0</v>
      </c>
      <c r="S508">
        <f t="shared" si="38"/>
        <v>0</v>
      </c>
      <c r="T508">
        <f t="shared" si="39"/>
        <v>0</v>
      </c>
    </row>
    <row r="509"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f t="shared" si="40"/>
        <v>0</v>
      </c>
      <c r="Q509">
        <f t="shared" si="41"/>
        <v>0</v>
      </c>
      <c r="R509">
        <f t="shared" si="42"/>
        <v>0</v>
      </c>
      <c r="S509">
        <f t="shared" si="38"/>
        <v>0</v>
      </c>
      <c r="T509">
        <f t="shared" si="39"/>
        <v>0</v>
      </c>
    </row>
    <row r="510"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f t="shared" si="40"/>
        <v>0</v>
      </c>
      <c r="Q510">
        <f t="shared" si="41"/>
        <v>0</v>
      </c>
      <c r="R510">
        <f t="shared" si="42"/>
        <v>0</v>
      </c>
      <c r="S510">
        <f t="shared" si="38"/>
        <v>0</v>
      </c>
      <c r="T510">
        <f t="shared" si="39"/>
        <v>0</v>
      </c>
    </row>
    <row r="511"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f t="shared" si="40"/>
        <v>0</v>
      </c>
      <c r="Q511">
        <f t="shared" si="41"/>
        <v>0</v>
      </c>
      <c r="R511">
        <f t="shared" si="42"/>
        <v>0</v>
      </c>
      <c r="S511">
        <f t="shared" si="38"/>
        <v>0</v>
      </c>
      <c r="T511">
        <f t="shared" si="39"/>
        <v>0</v>
      </c>
    </row>
    <row r="512"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f t="shared" si="40"/>
        <v>0</v>
      </c>
      <c r="Q512">
        <f t="shared" si="41"/>
        <v>0</v>
      </c>
      <c r="R512">
        <f t="shared" si="42"/>
        <v>0</v>
      </c>
      <c r="S512">
        <f t="shared" si="38"/>
        <v>0</v>
      </c>
      <c r="T512">
        <f t="shared" si="39"/>
        <v>0</v>
      </c>
    </row>
    <row r="513"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f t="shared" si="40"/>
        <v>0</v>
      </c>
      <c r="Q513">
        <f t="shared" si="41"/>
        <v>0</v>
      </c>
      <c r="R513">
        <f t="shared" si="42"/>
        <v>0</v>
      </c>
      <c r="S513">
        <f t="shared" si="38"/>
        <v>0</v>
      </c>
      <c r="T513">
        <f t="shared" si="39"/>
        <v>0</v>
      </c>
    </row>
    <row r="514"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f t="shared" si="40"/>
        <v>0</v>
      </c>
      <c r="Q514">
        <f t="shared" si="41"/>
        <v>0</v>
      </c>
      <c r="R514">
        <f t="shared" si="42"/>
        <v>0</v>
      </c>
      <c r="S514">
        <f t="shared" si="38"/>
        <v>0</v>
      </c>
      <c r="T514">
        <f t="shared" si="39"/>
        <v>0</v>
      </c>
    </row>
    <row r="515"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f t="shared" si="40"/>
        <v>0</v>
      </c>
      <c r="Q515">
        <f t="shared" si="41"/>
        <v>0</v>
      </c>
      <c r="R515">
        <f t="shared" si="42"/>
        <v>0</v>
      </c>
      <c r="S515">
        <f t="shared" ref="S515:S578" si="43">IF(J515="Realizada completa",1,0)</f>
        <v>0</v>
      </c>
      <c r="T515">
        <f t="shared" ref="T515:T578" si="44">IF(J515="Sin respuesta",1,0)</f>
        <v>0</v>
      </c>
    </row>
    <row r="516"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f t="shared" ref="P516:P579" si="45">IF(F516="Sí",1,0)</f>
        <v>0</v>
      </c>
      <c r="Q516">
        <f t="shared" ref="Q516:Q579" si="46">IF(J516="En coordinación",1,0)</f>
        <v>0</v>
      </c>
      <c r="R516">
        <f t="shared" ref="R516:R579" si="47">IF(J516="En coordinación",1,0)</f>
        <v>0</v>
      </c>
      <c r="S516">
        <f t="shared" si="43"/>
        <v>0</v>
      </c>
      <c r="T516">
        <f t="shared" si="44"/>
        <v>0</v>
      </c>
    </row>
    <row r="517"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f t="shared" si="45"/>
        <v>0</v>
      </c>
      <c r="Q517">
        <f t="shared" si="46"/>
        <v>0</v>
      </c>
      <c r="R517">
        <f t="shared" si="47"/>
        <v>0</v>
      </c>
      <c r="S517">
        <f t="shared" si="43"/>
        <v>0</v>
      </c>
      <c r="T517">
        <f t="shared" si="44"/>
        <v>0</v>
      </c>
    </row>
    <row r="518"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f t="shared" si="45"/>
        <v>0</v>
      </c>
      <c r="Q518">
        <f t="shared" si="46"/>
        <v>0</v>
      </c>
      <c r="R518">
        <f t="shared" si="47"/>
        <v>0</v>
      </c>
      <c r="S518">
        <f t="shared" si="43"/>
        <v>0</v>
      </c>
      <c r="T518">
        <f t="shared" si="44"/>
        <v>0</v>
      </c>
    </row>
    <row r="519"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f t="shared" si="45"/>
        <v>0</v>
      </c>
      <c r="Q519">
        <f t="shared" si="46"/>
        <v>0</v>
      </c>
      <c r="R519">
        <f t="shared" si="47"/>
        <v>0</v>
      </c>
      <c r="S519">
        <f t="shared" si="43"/>
        <v>0</v>
      </c>
      <c r="T519">
        <f t="shared" si="44"/>
        <v>0</v>
      </c>
    </row>
    <row r="520"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f t="shared" si="45"/>
        <v>0</v>
      </c>
      <c r="Q520">
        <f t="shared" si="46"/>
        <v>0</v>
      </c>
      <c r="R520">
        <f t="shared" si="47"/>
        <v>0</v>
      </c>
      <c r="S520">
        <f t="shared" si="43"/>
        <v>0</v>
      </c>
      <c r="T520">
        <f t="shared" si="44"/>
        <v>0</v>
      </c>
    </row>
    <row r="521"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f t="shared" si="45"/>
        <v>0</v>
      </c>
      <c r="Q521">
        <f t="shared" si="46"/>
        <v>0</v>
      </c>
      <c r="R521">
        <f t="shared" si="47"/>
        <v>0</v>
      </c>
      <c r="S521">
        <f t="shared" si="43"/>
        <v>0</v>
      </c>
      <c r="T521">
        <f t="shared" si="44"/>
        <v>0</v>
      </c>
    </row>
    <row r="522"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f t="shared" si="45"/>
        <v>0</v>
      </c>
      <c r="Q522">
        <f t="shared" si="46"/>
        <v>0</v>
      </c>
      <c r="R522">
        <f t="shared" si="47"/>
        <v>0</v>
      </c>
      <c r="S522">
        <f t="shared" si="43"/>
        <v>0</v>
      </c>
      <c r="T522">
        <f t="shared" si="44"/>
        <v>0</v>
      </c>
    </row>
    <row r="523"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f t="shared" si="45"/>
        <v>0</v>
      </c>
      <c r="Q523">
        <f t="shared" si="46"/>
        <v>0</v>
      </c>
      <c r="R523">
        <f t="shared" si="47"/>
        <v>0</v>
      </c>
      <c r="S523">
        <f t="shared" si="43"/>
        <v>0</v>
      </c>
      <c r="T523">
        <f t="shared" si="44"/>
        <v>0</v>
      </c>
    </row>
    <row r="524"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f t="shared" si="45"/>
        <v>0</v>
      </c>
      <c r="Q524">
        <f t="shared" si="46"/>
        <v>0</v>
      </c>
      <c r="R524">
        <f t="shared" si="47"/>
        <v>0</v>
      </c>
      <c r="S524">
        <f t="shared" si="43"/>
        <v>0</v>
      </c>
      <c r="T524">
        <f t="shared" si="44"/>
        <v>0</v>
      </c>
    </row>
    <row r="525"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f t="shared" si="45"/>
        <v>0</v>
      </c>
      <c r="Q525">
        <f t="shared" si="46"/>
        <v>0</v>
      </c>
      <c r="R525">
        <f t="shared" si="47"/>
        <v>0</v>
      </c>
      <c r="S525">
        <f t="shared" si="43"/>
        <v>0</v>
      </c>
      <c r="T525">
        <f t="shared" si="44"/>
        <v>0</v>
      </c>
    </row>
    <row r="526"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f t="shared" si="45"/>
        <v>0</v>
      </c>
      <c r="Q526">
        <f t="shared" si="46"/>
        <v>0</v>
      </c>
      <c r="R526">
        <f t="shared" si="47"/>
        <v>0</v>
      </c>
      <c r="S526">
        <f t="shared" si="43"/>
        <v>0</v>
      </c>
      <c r="T526">
        <f t="shared" si="44"/>
        <v>0</v>
      </c>
    </row>
    <row r="527"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f t="shared" si="45"/>
        <v>0</v>
      </c>
      <c r="Q527">
        <f t="shared" si="46"/>
        <v>0</v>
      </c>
      <c r="R527">
        <f t="shared" si="47"/>
        <v>0</v>
      </c>
      <c r="S527">
        <f t="shared" si="43"/>
        <v>0</v>
      </c>
      <c r="T527">
        <f t="shared" si="44"/>
        <v>0</v>
      </c>
    </row>
    <row r="528"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f t="shared" si="45"/>
        <v>0</v>
      </c>
      <c r="Q528">
        <f t="shared" si="46"/>
        <v>0</v>
      </c>
      <c r="R528">
        <f t="shared" si="47"/>
        <v>0</v>
      </c>
      <c r="S528">
        <f t="shared" si="43"/>
        <v>0</v>
      </c>
      <c r="T528">
        <f t="shared" si="44"/>
        <v>0</v>
      </c>
    </row>
    <row r="529"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f t="shared" si="45"/>
        <v>0</v>
      </c>
      <c r="Q529">
        <f t="shared" si="46"/>
        <v>0</v>
      </c>
      <c r="R529">
        <f t="shared" si="47"/>
        <v>0</v>
      </c>
      <c r="S529">
        <f t="shared" si="43"/>
        <v>0</v>
      </c>
      <c r="T529">
        <f t="shared" si="44"/>
        <v>0</v>
      </c>
    </row>
    <row r="530"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f t="shared" si="45"/>
        <v>0</v>
      </c>
      <c r="Q530">
        <f t="shared" si="46"/>
        <v>0</v>
      </c>
      <c r="R530">
        <f t="shared" si="47"/>
        <v>0</v>
      </c>
      <c r="S530">
        <f t="shared" si="43"/>
        <v>0</v>
      </c>
      <c r="T530">
        <f t="shared" si="44"/>
        <v>0</v>
      </c>
    </row>
    <row r="531"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f t="shared" si="45"/>
        <v>0</v>
      </c>
      <c r="Q531">
        <f t="shared" si="46"/>
        <v>0</v>
      </c>
      <c r="R531">
        <f t="shared" si="47"/>
        <v>0</v>
      </c>
      <c r="S531">
        <f t="shared" si="43"/>
        <v>0</v>
      </c>
      <c r="T531">
        <f t="shared" si="44"/>
        <v>0</v>
      </c>
    </row>
    <row r="532"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f t="shared" si="45"/>
        <v>0</v>
      </c>
      <c r="Q532">
        <f t="shared" si="46"/>
        <v>0</v>
      </c>
      <c r="R532">
        <f t="shared" si="47"/>
        <v>0</v>
      </c>
      <c r="S532">
        <f t="shared" si="43"/>
        <v>0</v>
      </c>
      <c r="T532">
        <f t="shared" si="44"/>
        <v>0</v>
      </c>
    </row>
    <row r="533"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f t="shared" si="45"/>
        <v>0</v>
      </c>
      <c r="Q533">
        <f t="shared" si="46"/>
        <v>0</v>
      </c>
      <c r="R533">
        <f t="shared" si="47"/>
        <v>0</v>
      </c>
      <c r="S533">
        <f t="shared" si="43"/>
        <v>0</v>
      </c>
      <c r="T533">
        <f t="shared" si="44"/>
        <v>0</v>
      </c>
    </row>
    <row r="534"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f t="shared" si="45"/>
        <v>0</v>
      </c>
      <c r="Q534">
        <f t="shared" si="46"/>
        <v>0</v>
      </c>
      <c r="R534">
        <f t="shared" si="47"/>
        <v>0</v>
      </c>
      <c r="S534">
        <f t="shared" si="43"/>
        <v>0</v>
      </c>
      <c r="T534">
        <f t="shared" si="44"/>
        <v>0</v>
      </c>
    </row>
    <row r="535"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f t="shared" si="45"/>
        <v>0</v>
      </c>
      <c r="Q535">
        <f t="shared" si="46"/>
        <v>0</v>
      </c>
      <c r="R535">
        <f t="shared" si="47"/>
        <v>0</v>
      </c>
      <c r="S535">
        <f t="shared" si="43"/>
        <v>0</v>
      </c>
      <c r="T535">
        <f t="shared" si="44"/>
        <v>0</v>
      </c>
    </row>
    <row r="536"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f t="shared" si="45"/>
        <v>0</v>
      </c>
      <c r="Q536">
        <f t="shared" si="46"/>
        <v>0</v>
      </c>
      <c r="R536">
        <f t="shared" si="47"/>
        <v>0</v>
      </c>
      <c r="S536">
        <f t="shared" si="43"/>
        <v>0</v>
      </c>
      <c r="T536">
        <f t="shared" si="44"/>
        <v>0</v>
      </c>
    </row>
    <row r="537"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f t="shared" si="45"/>
        <v>0</v>
      </c>
      <c r="Q537">
        <f t="shared" si="46"/>
        <v>0</v>
      </c>
      <c r="R537">
        <f t="shared" si="47"/>
        <v>0</v>
      </c>
      <c r="S537">
        <f t="shared" si="43"/>
        <v>0</v>
      </c>
      <c r="T537">
        <f t="shared" si="44"/>
        <v>0</v>
      </c>
    </row>
    <row r="538"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f t="shared" si="45"/>
        <v>0</v>
      </c>
      <c r="Q538">
        <f t="shared" si="46"/>
        <v>0</v>
      </c>
      <c r="R538">
        <f t="shared" si="47"/>
        <v>0</v>
      </c>
      <c r="S538">
        <f t="shared" si="43"/>
        <v>0</v>
      </c>
      <c r="T538">
        <f t="shared" si="44"/>
        <v>0</v>
      </c>
    </row>
    <row r="539"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f t="shared" si="45"/>
        <v>0</v>
      </c>
      <c r="Q539">
        <f t="shared" si="46"/>
        <v>0</v>
      </c>
      <c r="R539">
        <f t="shared" si="47"/>
        <v>0</v>
      </c>
      <c r="S539">
        <f t="shared" si="43"/>
        <v>0</v>
      </c>
      <c r="T539">
        <f t="shared" si="44"/>
        <v>0</v>
      </c>
    </row>
    <row r="540"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f t="shared" si="45"/>
        <v>0</v>
      </c>
      <c r="Q540">
        <f t="shared" si="46"/>
        <v>0</v>
      </c>
      <c r="R540">
        <f t="shared" si="47"/>
        <v>0</v>
      </c>
      <c r="S540">
        <f t="shared" si="43"/>
        <v>0</v>
      </c>
      <c r="T540">
        <f t="shared" si="44"/>
        <v>0</v>
      </c>
    </row>
    <row r="541"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f t="shared" si="45"/>
        <v>0</v>
      </c>
      <c r="Q541">
        <f t="shared" si="46"/>
        <v>0</v>
      </c>
      <c r="R541">
        <f t="shared" si="47"/>
        <v>0</v>
      </c>
      <c r="S541">
        <f t="shared" si="43"/>
        <v>0</v>
      </c>
      <c r="T541">
        <f t="shared" si="44"/>
        <v>0</v>
      </c>
    </row>
    <row r="542"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f t="shared" si="45"/>
        <v>0</v>
      </c>
      <c r="Q542">
        <f t="shared" si="46"/>
        <v>0</v>
      </c>
      <c r="R542">
        <f t="shared" si="47"/>
        <v>0</v>
      </c>
      <c r="S542">
        <f t="shared" si="43"/>
        <v>0</v>
      </c>
      <c r="T542">
        <f t="shared" si="44"/>
        <v>0</v>
      </c>
    </row>
    <row r="543"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f t="shared" si="45"/>
        <v>0</v>
      </c>
      <c r="Q543">
        <f t="shared" si="46"/>
        <v>0</v>
      </c>
      <c r="R543">
        <f t="shared" si="47"/>
        <v>0</v>
      </c>
      <c r="S543">
        <f t="shared" si="43"/>
        <v>0</v>
      </c>
      <c r="T543">
        <f t="shared" si="44"/>
        <v>0</v>
      </c>
    </row>
    <row r="544"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f t="shared" si="45"/>
        <v>0</v>
      </c>
      <c r="Q544">
        <f t="shared" si="46"/>
        <v>0</v>
      </c>
      <c r="R544">
        <f t="shared" si="47"/>
        <v>0</v>
      </c>
      <c r="S544">
        <f t="shared" si="43"/>
        <v>0</v>
      </c>
      <c r="T544">
        <f t="shared" si="44"/>
        <v>0</v>
      </c>
    </row>
    <row r="545"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f t="shared" si="45"/>
        <v>0</v>
      </c>
      <c r="Q545">
        <f t="shared" si="46"/>
        <v>0</v>
      </c>
      <c r="R545">
        <f t="shared" si="47"/>
        <v>0</v>
      </c>
      <c r="S545">
        <f t="shared" si="43"/>
        <v>0</v>
      </c>
      <c r="T545">
        <f t="shared" si="44"/>
        <v>0</v>
      </c>
    </row>
    <row r="546"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f t="shared" si="45"/>
        <v>0</v>
      </c>
      <c r="Q546">
        <f t="shared" si="46"/>
        <v>0</v>
      </c>
      <c r="R546">
        <f t="shared" si="47"/>
        <v>0</v>
      </c>
      <c r="S546">
        <f t="shared" si="43"/>
        <v>0</v>
      </c>
      <c r="T546">
        <f t="shared" si="44"/>
        <v>0</v>
      </c>
    </row>
    <row r="547"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f t="shared" si="45"/>
        <v>0</v>
      </c>
      <c r="Q547">
        <f t="shared" si="46"/>
        <v>0</v>
      </c>
      <c r="R547">
        <f t="shared" si="47"/>
        <v>0</v>
      </c>
      <c r="S547">
        <f t="shared" si="43"/>
        <v>0</v>
      </c>
      <c r="T547">
        <f t="shared" si="44"/>
        <v>0</v>
      </c>
    </row>
    <row r="548"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f t="shared" si="45"/>
        <v>0</v>
      </c>
      <c r="Q548">
        <f t="shared" si="46"/>
        <v>0</v>
      </c>
      <c r="R548">
        <f t="shared" si="47"/>
        <v>0</v>
      </c>
      <c r="S548">
        <f t="shared" si="43"/>
        <v>0</v>
      </c>
      <c r="T548">
        <f t="shared" si="44"/>
        <v>0</v>
      </c>
    </row>
    <row r="549"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f t="shared" si="45"/>
        <v>0</v>
      </c>
      <c r="Q549">
        <f t="shared" si="46"/>
        <v>0</v>
      </c>
      <c r="R549">
        <f t="shared" si="47"/>
        <v>0</v>
      </c>
      <c r="S549">
        <f t="shared" si="43"/>
        <v>0</v>
      </c>
      <c r="T549">
        <f t="shared" si="44"/>
        <v>0</v>
      </c>
    </row>
    <row r="550"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f t="shared" si="45"/>
        <v>0</v>
      </c>
      <c r="Q550">
        <f t="shared" si="46"/>
        <v>0</v>
      </c>
      <c r="R550">
        <f t="shared" si="47"/>
        <v>0</v>
      </c>
      <c r="S550">
        <f t="shared" si="43"/>
        <v>0</v>
      </c>
      <c r="T550">
        <f t="shared" si="44"/>
        <v>0</v>
      </c>
    </row>
    <row r="551"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f t="shared" si="45"/>
        <v>0</v>
      </c>
      <c r="Q551">
        <f t="shared" si="46"/>
        <v>0</v>
      </c>
      <c r="R551">
        <f t="shared" si="47"/>
        <v>0</v>
      </c>
      <c r="S551">
        <f t="shared" si="43"/>
        <v>0</v>
      </c>
      <c r="T551">
        <f t="shared" si="44"/>
        <v>0</v>
      </c>
    </row>
    <row r="552"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f t="shared" si="45"/>
        <v>0</v>
      </c>
      <c r="Q552">
        <f t="shared" si="46"/>
        <v>0</v>
      </c>
      <c r="R552">
        <f t="shared" si="47"/>
        <v>0</v>
      </c>
      <c r="S552">
        <f t="shared" si="43"/>
        <v>0</v>
      </c>
      <c r="T552">
        <f t="shared" si="44"/>
        <v>0</v>
      </c>
    </row>
    <row r="553"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f t="shared" si="45"/>
        <v>0</v>
      </c>
      <c r="Q553">
        <f t="shared" si="46"/>
        <v>0</v>
      </c>
      <c r="R553">
        <f t="shared" si="47"/>
        <v>0</v>
      </c>
      <c r="S553">
        <f t="shared" si="43"/>
        <v>0</v>
      </c>
      <c r="T553">
        <f t="shared" si="44"/>
        <v>0</v>
      </c>
    </row>
    <row r="554"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f t="shared" si="45"/>
        <v>0</v>
      </c>
      <c r="Q554">
        <f t="shared" si="46"/>
        <v>0</v>
      </c>
      <c r="R554">
        <f t="shared" si="47"/>
        <v>0</v>
      </c>
      <c r="S554">
        <f t="shared" si="43"/>
        <v>0</v>
      </c>
      <c r="T554">
        <f t="shared" si="44"/>
        <v>0</v>
      </c>
    </row>
    <row r="555"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f t="shared" si="45"/>
        <v>0</v>
      </c>
      <c r="Q555">
        <f t="shared" si="46"/>
        <v>0</v>
      </c>
      <c r="R555">
        <f t="shared" si="47"/>
        <v>0</v>
      </c>
      <c r="S555">
        <f t="shared" si="43"/>
        <v>0</v>
      </c>
      <c r="T555">
        <f t="shared" si="44"/>
        <v>0</v>
      </c>
    </row>
    <row r="556"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f t="shared" si="45"/>
        <v>0</v>
      </c>
      <c r="Q556">
        <f t="shared" si="46"/>
        <v>0</v>
      </c>
      <c r="R556">
        <f t="shared" si="47"/>
        <v>0</v>
      </c>
      <c r="S556">
        <f t="shared" si="43"/>
        <v>0</v>
      </c>
      <c r="T556">
        <f t="shared" si="44"/>
        <v>0</v>
      </c>
    </row>
    <row r="557"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f t="shared" si="45"/>
        <v>0</v>
      </c>
      <c r="Q557">
        <f t="shared" si="46"/>
        <v>0</v>
      </c>
      <c r="R557">
        <f t="shared" si="47"/>
        <v>0</v>
      </c>
      <c r="S557">
        <f t="shared" si="43"/>
        <v>0</v>
      </c>
      <c r="T557">
        <f t="shared" si="44"/>
        <v>0</v>
      </c>
    </row>
    <row r="558"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f t="shared" si="45"/>
        <v>0</v>
      </c>
      <c r="Q558">
        <f t="shared" si="46"/>
        <v>0</v>
      </c>
      <c r="R558">
        <f t="shared" si="47"/>
        <v>0</v>
      </c>
      <c r="S558">
        <f t="shared" si="43"/>
        <v>0</v>
      </c>
      <c r="T558">
        <f t="shared" si="44"/>
        <v>0</v>
      </c>
    </row>
    <row r="559"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f t="shared" si="45"/>
        <v>0</v>
      </c>
      <c r="Q559">
        <f t="shared" si="46"/>
        <v>0</v>
      </c>
      <c r="R559">
        <f t="shared" si="47"/>
        <v>0</v>
      </c>
      <c r="S559">
        <f t="shared" si="43"/>
        <v>0</v>
      </c>
      <c r="T559">
        <f t="shared" si="44"/>
        <v>0</v>
      </c>
    </row>
    <row r="560"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f t="shared" si="45"/>
        <v>0</v>
      </c>
      <c r="Q560">
        <f t="shared" si="46"/>
        <v>0</v>
      </c>
      <c r="R560">
        <f t="shared" si="47"/>
        <v>0</v>
      </c>
      <c r="S560">
        <f t="shared" si="43"/>
        <v>0</v>
      </c>
      <c r="T560">
        <f t="shared" si="44"/>
        <v>0</v>
      </c>
    </row>
    <row r="561"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f t="shared" si="45"/>
        <v>0</v>
      </c>
      <c r="Q561">
        <f t="shared" si="46"/>
        <v>0</v>
      </c>
      <c r="R561">
        <f t="shared" si="47"/>
        <v>0</v>
      </c>
      <c r="S561">
        <f t="shared" si="43"/>
        <v>0</v>
      </c>
      <c r="T561">
        <f t="shared" si="44"/>
        <v>0</v>
      </c>
    </row>
    <row r="562"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f t="shared" si="45"/>
        <v>0</v>
      </c>
      <c r="Q562">
        <f t="shared" si="46"/>
        <v>0</v>
      </c>
      <c r="R562">
        <f t="shared" si="47"/>
        <v>0</v>
      </c>
      <c r="S562">
        <f t="shared" si="43"/>
        <v>0</v>
      </c>
      <c r="T562">
        <f t="shared" si="44"/>
        <v>0</v>
      </c>
    </row>
    <row r="563"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f t="shared" si="45"/>
        <v>0</v>
      </c>
      <c r="Q563">
        <f t="shared" si="46"/>
        <v>0</v>
      </c>
      <c r="R563">
        <f t="shared" si="47"/>
        <v>0</v>
      </c>
      <c r="S563">
        <f t="shared" si="43"/>
        <v>0</v>
      </c>
      <c r="T563">
        <f t="shared" si="44"/>
        <v>0</v>
      </c>
    </row>
    <row r="564"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f t="shared" si="45"/>
        <v>0</v>
      </c>
      <c r="Q564">
        <f t="shared" si="46"/>
        <v>0</v>
      </c>
      <c r="R564">
        <f t="shared" si="47"/>
        <v>0</v>
      </c>
      <c r="S564">
        <f t="shared" si="43"/>
        <v>0</v>
      </c>
      <c r="T564">
        <f t="shared" si="44"/>
        <v>0</v>
      </c>
    </row>
    <row r="565"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f t="shared" si="45"/>
        <v>0</v>
      </c>
      <c r="Q565">
        <f t="shared" si="46"/>
        <v>0</v>
      </c>
      <c r="R565">
        <f t="shared" si="47"/>
        <v>0</v>
      </c>
      <c r="S565">
        <f t="shared" si="43"/>
        <v>0</v>
      </c>
      <c r="T565">
        <f t="shared" si="44"/>
        <v>0</v>
      </c>
    </row>
    <row r="566"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f t="shared" si="45"/>
        <v>0</v>
      </c>
      <c r="Q566">
        <f t="shared" si="46"/>
        <v>0</v>
      </c>
      <c r="R566">
        <f t="shared" si="47"/>
        <v>0</v>
      </c>
      <c r="S566">
        <f t="shared" si="43"/>
        <v>0</v>
      </c>
      <c r="T566">
        <f t="shared" si="44"/>
        <v>0</v>
      </c>
    </row>
    <row r="567"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f t="shared" si="45"/>
        <v>0</v>
      </c>
      <c r="Q567">
        <f t="shared" si="46"/>
        <v>0</v>
      </c>
      <c r="R567">
        <f t="shared" si="47"/>
        <v>0</v>
      </c>
      <c r="S567">
        <f t="shared" si="43"/>
        <v>0</v>
      </c>
      <c r="T567">
        <f t="shared" si="44"/>
        <v>0</v>
      </c>
    </row>
    <row r="568"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f t="shared" si="45"/>
        <v>0</v>
      </c>
      <c r="Q568">
        <f t="shared" si="46"/>
        <v>0</v>
      </c>
      <c r="R568">
        <f t="shared" si="47"/>
        <v>0</v>
      </c>
      <c r="S568">
        <f t="shared" si="43"/>
        <v>0</v>
      </c>
      <c r="T568">
        <f t="shared" si="44"/>
        <v>0</v>
      </c>
    </row>
    <row r="569"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f t="shared" si="45"/>
        <v>0</v>
      </c>
      <c r="Q569">
        <f t="shared" si="46"/>
        <v>0</v>
      </c>
      <c r="R569">
        <f t="shared" si="47"/>
        <v>0</v>
      </c>
      <c r="S569">
        <f t="shared" si="43"/>
        <v>0</v>
      </c>
      <c r="T569">
        <f t="shared" si="44"/>
        <v>0</v>
      </c>
    </row>
    <row r="570"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f t="shared" si="45"/>
        <v>0</v>
      </c>
      <c r="Q570">
        <f t="shared" si="46"/>
        <v>0</v>
      </c>
      <c r="R570">
        <f t="shared" si="47"/>
        <v>0</v>
      </c>
      <c r="S570">
        <f t="shared" si="43"/>
        <v>0</v>
      </c>
      <c r="T570">
        <f t="shared" si="44"/>
        <v>0</v>
      </c>
    </row>
    <row r="571"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f t="shared" si="45"/>
        <v>0</v>
      </c>
      <c r="Q571">
        <f t="shared" si="46"/>
        <v>0</v>
      </c>
      <c r="R571">
        <f t="shared" si="47"/>
        <v>0</v>
      </c>
      <c r="S571">
        <f t="shared" si="43"/>
        <v>0</v>
      </c>
      <c r="T571">
        <f t="shared" si="44"/>
        <v>0</v>
      </c>
    </row>
    <row r="572"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f t="shared" si="45"/>
        <v>0</v>
      </c>
      <c r="Q572">
        <f t="shared" si="46"/>
        <v>0</v>
      </c>
      <c r="R572">
        <f t="shared" si="47"/>
        <v>0</v>
      </c>
      <c r="S572">
        <f t="shared" si="43"/>
        <v>0</v>
      </c>
      <c r="T572">
        <f t="shared" si="44"/>
        <v>0</v>
      </c>
    </row>
    <row r="573"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f t="shared" si="45"/>
        <v>0</v>
      </c>
      <c r="Q573">
        <f t="shared" si="46"/>
        <v>0</v>
      </c>
      <c r="R573">
        <f t="shared" si="47"/>
        <v>0</v>
      </c>
      <c r="S573">
        <f t="shared" si="43"/>
        <v>0</v>
      </c>
      <c r="T573">
        <f t="shared" si="44"/>
        <v>0</v>
      </c>
    </row>
    <row r="574"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f t="shared" si="45"/>
        <v>0</v>
      </c>
      <c r="Q574">
        <f t="shared" si="46"/>
        <v>0</v>
      </c>
      <c r="R574">
        <f t="shared" si="47"/>
        <v>0</v>
      </c>
      <c r="S574">
        <f t="shared" si="43"/>
        <v>0</v>
      </c>
      <c r="T574">
        <f t="shared" si="44"/>
        <v>0</v>
      </c>
    </row>
    <row r="575"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f t="shared" si="45"/>
        <v>0</v>
      </c>
      <c r="Q575">
        <f t="shared" si="46"/>
        <v>0</v>
      </c>
      <c r="R575">
        <f t="shared" si="47"/>
        <v>0</v>
      </c>
      <c r="S575">
        <f t="shared" si="43"/>
        <v>0</v>
      </c>
      <c r="T575">
        <f t="shared" si="44"/>
        <v>0</v>
      </c>
    </row>
    <row r="576"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f t="shared" si="45"/>
        <v>0</v>
      </c>
      <c r="Q576">
        <f t="shared" si="46"/>
        <v>0</v>
      </c>
      <c r="R576">
        <f t="shared" si="47"/>
        <v>0</v>
      </c>
      <c r="S576">
        <f t="shared" si="43"/>
        <v>0</v>
      </c>
      <c r="T576">
        <f t="shared" si="44"/>
        <v>0</v>
      </c>
    </row>
    <row r="577"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f t="shared" si="45"/>
        <v>0</v>
      </c>
      <c r="Q577">
        <f t="shared" si="46"/>
        <v>0</v>
      </c>
      <c r="R577">
        <f t="shared" si="47"/>
        <v>0</v>
      </c>
      <c r="S577">
        <f t="shared" si="43"/>
        <v>0</v>
      </c>
      <c r="T577">
        <f t="shared" si="44"/>
        <v>0</v>
      </c>
    </row>
    <row r="578"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f t="shared" si="45"/>
        <v>0</v>
      </c>
      <c r="Q578">
        <f t="shared" si="46"/>
        <v>0</v>
      </c>
      <c r="R578">
        <f t="shared" si="47"/>
        <v>0</v>
      </c>
      <c r="S578">
        <f t="shared" si="43"/>
        <v>0</v>
      </c>
      <c r="T578">
        <f t="shared" si="44"/>
        <v>0</v>
      </c>
    </row>
    <row r="579"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f t="shared" si="45"/>
        <v>0</v>
      </c>
      <c r="Q579">
        <f t="shared" si="46"/>
        <v>0</v>
      </c>
      <c r="R579">
        <f t="shared" si="47"/>
        <v>0</v>
      </c>
      <c r="S579">
        <f t="shared" ref="S579:S600" si="48">IF(J579="Realizada completa",1,0)</f>
        <v>0</v>
      </c>
      <c r="T579">
        <f t="shared" ref="T579:T600" si="49">IF(J579="Sin respuesta",1,0)</f>
        <v>0</v>
      </c>
    </row>
    <row r="580"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f t="shared" ref="P580:P600" si="50">IF(F580="Sí",1,0)</f>
        <v>0</v>
      </c>
      <c r="Q580">
        <f t="shared" ref="Q580:Q600" si="51">IF(J580="En coordinación",1,0)</f>
        <v>0</v>
      </c>
      <c r="R580">
        <f t="shared" ref="R580:R600" si="52">IF(J580="En coordinación",1,0)</f>
        <v>0</v>
      </c>
      <c r="S580">
        <f t="shared" si="48"/>
        <v>0</v>
      </c>
      <c r="T580">
        <f t="shared" si="49"/>
        <v>0</v>
      </c>
    </row>
    <row r="581"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f t="shared" si="50"/>
        <v>0</v>
      </c>
      <c r="Q581">
        <f t="shared" si="51"/>
        <v>0</v>
      </c>
      <c r="R581">
        <f t="shared" si="52"/>
        <v>0</v>
      </c>
      <c r="S581">
        <f t="shared" si="48"/>
        <v>0</v>
      </c>
      <c r="T581">
        <f t="shared" si="49"/>
        <v>0</v>
      </c>
    </row>
    <row r="582"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f t="shared" si="50"/>
        <v>0</v>
      </c>
      <c r="Q582">
        <f t="shared" si="51"/>
        <v>0</v>
      </c>
      <c r="R582">
        <f t="shared" si="52"/>
        <v>0</v>
      </c>
      <c r="S582">
        <f t="shared" si="48"/>
        <v>0</v>
      </c>
      <c r="T582">
        <f t="shared" si="49"/>
        <v>0</v>
      </c>
    </row>
    <row r="583"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f t="shared" si="50"/>
        <v>0</v>
      </c>
      <c r="Q583">
        <f t="shared" si="51"/>
        <v>0</v>
      </c>
      <c r="R583">
        <f t="shared" si="52"/>
        <v>0</v>
      </c>
      <c r="S583">
        <f t="shared" si="48"/>
        <v>0</v>
      </c>
      <c r="T583">
        <f t="shared" si="49"/>
        <v>0</v>
      </c>
    </row>
    <row r="584"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f t="shared" si="50"/>
        <v>0</v>
      </c>
      <c r="Q584">
        <f t="shared" si="51"/>
        <v>0</v>
      </c>
      <c r="R584">
        <f t="shared" si="52"/>
        <v>0</v>
      </c>
      <c r="S584">
        <f t="shared" si="48"/>
        <v>0</v>
      </c>
      <c r="T584">
        <f t="shared" si="49"/>
        <v>0</v>
      </c>
    </row>
    <row r="585"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f t="shared" si="50"/>
        <v>0</v>
      </c>
      <c r="Q585">
        <f t="shared" si="51"/>
        <v>0</v>
      </c>
      <c r="R585">
        <f t="shared" si="52"/>
        <v>0</v>
      </c>
      <c r="S585">
        <f t="shared" si="48"/>
        <v>0</v>
      </c>
      <c r="T585">
        <f t="shared" si="49"/>
        <v>0</v>
      </c>
    </row>
    <row r="586"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f t="shared" si="50"/>
        <v>0</v>
      </c>
      <c r="Q586">
        <f t="shared" si="51"/>
        <v>0</v>
      </c>
      <c r="R586">
        <f t="shared" si="52"/>
        <v>0</v>
      </c>
      <c r="S586">
        <f t="shared" si="48"/>
        <v>0</v>
      </c>
      <c r="T586">
        <f t="shared" si="49"/>
        <v>0</v>
      </c>
    </row>
    <row r="587"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f t="shared" si="50"/>
        <v>0</v>
      </c>
      <c r="Q587">
        <f t="shared" si="51"/>
        <v>0</v>
      </c>
      <c r="R587">
        <f t="shared" si="52"/>
        <v>0</v>
      </c>
      <c r="S587">
        <f t="shared" si="48"/>
        <v>0</v>
      </c>
      <c r="T587">
        <f t="shared" si="49"/>
        <v>0</v>
      </c>
    </row>
    <row r="588"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f t="shared" si="50"/>
        <v>0</v>
      </c>
      <c r="Q588">
        <f t="shared" si="51"/>
        <v>0</v>
      </c>
      <c r="R588">
        <f t="shared" si="52"/>
        <v>0</v>
      </c>
      <c r="S588">
        <f t="shared" si="48"/>
        <v>0</v>
      </c>
      <c r="T588">
        <f t="shared" si="49"/>
        <v>0</v>
      </c>
    </row>
    <row r="589"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f t="shared" si="50"/>
        <v>0</v>
      </c>
      <c r="Q589">
        <f t="shared" si="51"/>
        <v>0</v>
      </c>
      <c r="R589">
        <f t="shared" si="52"/>
        <v>0</v>
      </c>
      <c r="S589">
        <f t="shared" si="48"/>
        <v>0</v>
      </c>
      <c r="T589">
        <f t="shared" si="49"/>
        <v>0</v>
      </c>
    </row>
    <row r="590"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f t="shared" si="50"/>
        <v>0</v>
      </c>
      <c r="Q590">
        <f t="shared" si="51"/>
        <v>0</v>
      </c>
      <c r="R590">
        <f t="shared" si="52"/>
        <v>0</v>
      </c>
      <c r="S590">
        <f t="shared" si="48"/>
        <v>0</v>
      </c>
      <c r="T590">
        <f t="shared" si="49"/>
        <v>0</v>
      </c>
    </row>
    <row r="591"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f t="shared" si="50"/>
        <v>0</v>
      </c>
      <c r="Q591">
        <f t="shared" si="51"/>
        <v>0</v>
      </c>
      <c r="R591">
        <f t="shared" si="52"/>
        <v>0</v>
      </c>
      <c r="S591">
        <f t="shared" si="48"/>
        <v>0</v>
      </c>
      <c r="T591">
        <f t="shared" si="49"/>
        <v>0</v>
      </c>
    </row>
    <row r="592"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f t="shared" si="50"/>
        <v>0</v>
      </c>
      <c r="Q592">
        <f t="shared" si="51"/>
        <v>0</v>
      </c>
      <c r="R592">
        <f t="shared" si="52"/>
        <v>0</v>
      </c>
      <c r="S592">
        <f t="shared" si="48"/>
        <v>0</v>
      </c>
      <c r="T592">
        <f t="shared" si="49"/>
        <v>0</v>
      </c>
    </row>
    <row r="593"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f t="shared" si="50"/>
        <v>0</v>
      </c>
      <c r="Q593">
        <f t="shared" si="51"/>
        <v>0</v>
      </c>
      <c r="R593">
        <f t="shared" si="52"/>
        <v>0</v>
      </c>
      <c r="S593">
        <f t="shared" si="48"/>
        <v>0</v>
      </c>
      <c r="T593">
        <f t="shared" si="49"/>
        <v>0</v>
      </c>
    </row>
    <row r="594"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f t="shared" si="50"/>
        <v>0</v>
      </c>
      <c r="Q594">
        <f t="shared" si="51"/>
        <v>0</v>
      </c>
      <c r="R594">
        <f t="shared" si="52"/>
        <v>0</v>
      </c>
      <c r="S594">
        <f t="shared" si="48"/>
        <v>0</v>
      </c>
      <c r="T594">
        <f t="shared" si="49"/>
        <v>0</v>
      </c>
    </row>
    <row r="595"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f t="shared" si="50"/>
        <v>0</v>
      </c>
      <c r="Q595">
        <f t="shared" si="51"/>
        <v>0</v>
      </c>
      <c r="R595">
        <f t="shared" si="52"/>
        <v>0</v>
      </c>
      <c r="S595">
        <f t="shared" si="48"/>
        <v>0</v>
      </c>
      <c r="T595">
        <f t="shared" si="49"/>
        <v>0</v>
      </c>
    </row>
    <row r="596"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f t="shared" si="50"/>
        <v>0</v>
      </c>
      <c r="Q596">
        <f t="shared" si="51"/>
        <v>0</v>
      </c>
      <c r="R596">
        <f t="shared" si="52"/>
        <v>0</v>
      </c>
      <c r="S596">
        <f t="shared" si="48"/>
        <v>0</v>
      </c>
      <c r="T596">
        <f t="shared" si="49"/>
        <v>0</v>
      </c>
    </row>
    <row r="597"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f t="shared" si="50"/>
        <v>0</v>
      </c>
      <c r="Q597">
        <f t="shared" si="51"/>
        <v>0</v>
      </c>
      <c r="R597">
        <f t="shared" si="52"/>
        <v>0</v>
      </c>
      <c r="S597">
        <f t="shared" si="48"/>
        <v>0</v>
      </c>
      <c r="T597">
        <f t="shared" si="49"/>
        <v>0</v>
      </c>
    </row>
    <row r="598"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f t="shared" si="50"/>
        <v>0</v>
      </c>
      <c r="Q598">
        <f t="shared" si="51"/>
        <v>0</v>
      </c>
      <c r="R598">
        <f t="shared" si="52"/>
        <v>0</v>
      </c>
      <c r="S598">
        <f t="shared" si="48"/>
        <v>0</v>
      </c>
      <c r="T598">
        <f t="shared" si="49"/>
        <v>0</v>
      </c>
    </row>
    <row r="599"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f t="shared" si="50"/>
        <v>0</v>
      </c>
      <c r="Q599">
        <f t="shared" si="51"/>
        <v>0</v>
      </c>
      <c r="R599">
        <f t="shared" si="52"/>
        <v>0</v>
      </c>
      <c r="S599">
        <f t="shared" si="48"/>
        <v>0</v>
      </c>
      <c r="T599">
        <f t="shared" si="49"/>
        <v>0</v>
      </c>
    </row>
    <row r="600"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f t="shared" si="50"/>
        <v>0</v>
      </c>
      <c r="Q600">
        <f t="shared" si="51"/>
        <v>0</v>
      </c>
      <c r="R600">
        <f t="shared" si="52"/>
        <v>0</v>
      </c>
      <c r="S600">
        <f t="shared" si="48"/>
        <v>0</v>
      </c>
      <c r="T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997</v>
      </c>
      <c r="P1" s="3" t="s">
        <v>17</v>
      </c>
      <c r="Q1" s="3" t="s">
        <v>1000</v>
      </c>
      <c r="R1" s="3" t="s">
        <v>134</v>
      </c>
      <c r="S1" s="3" t="s">
        <v>138</v>
      </c>
      <c r="T1" s="3" t="s">
        <v>139</v>
      </c>
      <c r="U1" s="3" t="s">
        <v>140</v>
      </c>
    </row>
    <row r="2"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Multilaterales</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4/27/2026</v>
      </c>
      <c r="J2" s="2" t="str" cm="1">
        <f t="array" ref="J2:J994">+IF('Seguimiento grupos focales'!V7:V999&lt;&gt;"",'Seguimiento grupos focales'!V7:V999,"")</f>
        <v>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x14ac:dyDescent="0.35">
      <c r="A3" s="15" t="str">
        <v>2</v>
      </c>
      <c r="B3" s="5" t="str">
        <v>Cinthia Navarro</v>
      </c>
      <c r="C3" s="1" t="str">
        <v>Grupo focal de reconocimiento</v>
      </c>
      <c r="D3" s="1" t="str">
        <v>Oxfam</v>
      </c>
      <c r="E3" s="1" t="str">
        <v>Multilaterales</v>
      </c>
      <c r="F3" s="1" t="str">
        <v>Nacional</v>
      </c>
      <c r="G3" s="1" t="str">
        <v>IJM</v>
      </c>
      <c r="H3" s="1" t="str">
        <v>Sí</v>
      </c>
      <c r="I3" s="2" t="str">
        <v> 4/27/2026</v>
      </c>
      <c r="J3" s="2" t="str">
        <v>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x14ac:dyDescent="0.35">
      <c r="A4" s="15" t="str">
        <v>3</v>
      </c>
      <c r="B4" s="5" t="str">
        <v>Sofia Garcia</v>
      </c>
      <c r="C4" s="1" t="str">
        <v>Grupo focal de reconocimiento</v>
      </c>
      <c r="D4" s="1" t="str">
        <v>Instituto Promoviendo Desarrollo Social-IPRODES</v>
      </c>
      <c r="E4" s="1" t="str">
        <v>Multilaterales</v>
      </c>
      <c r="F4" s="1" t="str">
        <v>Distrito Judicial: Huánuco</v>
      </c>
      <c r="G4" s="1" t="str">
        <v>APOYO</v>
      </c>
      <c r="H4" s="1" t="str">
        <v>Sí</v>
      </c>
      <c r="I4" s="2" t="str">
        <v>29-Apr</v>
      </c>
      <c r="J4" s="2" t="str">
        <v>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x14ac:dyDescent="0.35">
      <c r="A5" s="15" t="str">
        <v>4</v>
      </c>
      <c r="B5" s="5" t="str">
        <v>Sandra Contreras</v>
      </c>
      <c r="C5" s="1" t="str">
        <v>Grupo focal de reconocimiento</v>
      </c>
      <c r="D5" s="1" t="str">
        <v>World Vision</v>
      </c>
      <c r="E5" s="1" t="str">
        <v>Multilaterales</v>
      </c>
      <c r="F5" s="1" t="str">
        <v>Nacional</v>
      </c>
      <c r="G5" s="1" t="str">
        <v>APOYO</v>
      </c>
      <c r="H5" s="1" t="str">
        <v>Sí</v>
      </c>
      <c r="I5" s="2" t="str">
        <v> 9-Apr</v>
      </c>
      <c r="J5" s="2" t="str">
        <v> 6-May</v>
      </c>
      <c r="K5" s="2" t="str">
        <v/>
      </c>
      <c r="L5" s="1" t="str">
        <v>Sin respuesta</v>
      </c>
      <c r="M5" s="2" t="str">
        <v/>
      </c>
      <c r="N5" s="1" t="str">
        <v/>
      </c>
      <c r="O5" s="1" t="str">
        <v>Grupo focal 2</v>
      </c>
      <c r="P5" s="1" t="str">
        <v/>
      </c>
      <c r="Q5" s="1">
        <f t="shared" si="0"/>
        <v>1</v>
      </c>
      <c r="R5" s="1">
        <f t="shared" si="1"/>
        <v>0</v>
      </c>
      <c r="S5">
        <v>1</v>
      </c>
      <c r="T5">
        <f t="shared" si="2"/>
        <v>0</v>
      </c>
      <c r="U5">
        <f t="shared" si="3"/>
        <v>0</v>
      </c>
    </row>
    <row r="6" x14ac:dyDescent="0.35">
      <c r="A6" s="15" t="str">
        <v>5</v>
      </c>
      <c r="B6" s="5" t="str">
        <v>Silvia Romero Borda</v>
      </c>
      <c r="C6" s="1" t="str">
        <v>Grupo focal de reconocimiento</v>
      </c>
      <c r="D6" s="1" t="str">
        <v>GIZ</v>
      </c>
      <c r="E6" s="1" t="str">
        <v>Multilaterales</v>
      </c>
      <c r="F6" s="1" t="str">
        <v>Nacional</v>
      </c>
      <c r="G6" s="1" t="str">
        <v>IJM</v>
      </c>
      <c r="H6" s="1" t="str">
        <v>Sí</v>
      </c>
      <c r="I6" s="2" t="str">
        <v>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x14ac:dyDescent="0.35">
      <c r="A8" s="15" t="str">
        <v>7</v>
      </c>
      <c r="B8" s="5" t="str">
        <v>Lissette Tobar</v>
      </c>
      <c r="C8" s="1" t="str">
        <v>Grupo focal de reconocimiento</v>
      </c>
      <c r="D8" s="1" t="str">
        <v>Fundación Arbol de la Vida</v>
      </c>
      <c r="E8" s="1" t="str">
        <v>Multilaterales</v>
      </c>
      <c r="F8" s="1" t="str">
        <v>Distrito Judicial: Ucayali</v>
      </c>
      <c r="G8" s="1" t="str">
        <v>IJM</v>
      </c>
      <c r="H8" s="1" t="str">
        <v>Sí</v>
      </c>
      <c r="I8" s="2" t="str">
        <v> 4/27/2026</v>
      </c>
      <c r="J8" s="2" t="str">
        <v>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x14ac:dyDescent="0.35">
      <c r="A9" s="15" t="str">
        <v>8</v>
      </c>
      <c r="B9" s="5" t="str">
        <v>Jenny Dador</v>
      </c>
      <c r="C9" s="1" t="str">
        <v>Grupo focal de reconocimiento</v>
      </c>
      <c r="D9" s="1" t="str">
        <v>Coordinadora de Derechos Humanos</v>
      </c>
      <c r="E9" s="1" t="str">
        <v>Multilaterales</v>
      </c>
      <c r="F9" s="1" t="str">
        <v>Distrito Judicial: Lima Este</v>
      </c>
      <c r="G9" s="1" t="str">
        <v>APOYO</v>
      </c>
      <c r="H9" s="1" t="str">
        <v>Sí</v>
      </c>
      <c r="I9" s="2" t="str">
        <v>29-Apr</v>
      </c>
      <c r="J9" s="2" t="str">
        <v>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x14ac:dyDescent="0.35">
      <c r="A10" s="15" t="str">
        <v>9</v>
      </c>
      <c r="B10" s="5" t="str">
        <v>Oscar Andrés Alva Arías</v>
      </c>
      <c r="C10" s="1" t="str">
        <v>Grupo focal de reconocimiento</v>
      </c>
      <c r="D10" s="1" t="str">
        <v>Ministerio de la Mujer </v>
      </c>
      <c r="E10" s="1" t="str">
        <v>Actores locales</v>
      </c>
      <c r="F10" s="1" t="str">
        <v>Nacional</v>
      </c>
      <c r="G10" s="1" t="str">
        <v>IJM</v>
      </c>
      <c r="H10" s="1" t="str">
        <v>Sí</v>
      </c>
      <c r="I10" s="2" t="str">
        <v>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6-May</v>
      </c>
      <c r="K12" s="2" t="str">
        <v> 8-May</v>
      </c>
      <c r="L12" s="1" t="str">
        <v>Sin respuesta</v>
      </c>
      <c r="M12" s="2" t="str">
        <v/>
      </c>
      <c r="N12" s="1" t="str">
        <v/>
      </c>
      <c r="O12" s="1" t="str">
        <v>Grupo focal 2</v>
      </c>
      <c r="P12" s="1" t="str">
        <v/>
      </c>
      <c r="Q12" s="1">
        <f t="shared" si="0"/>
        <v>1</v>
      </c>
      <c r="R12" s="1">
        <f t="shared" si="1"/>
        <v>0</v>
      </c>
      <c r="S12">
        <v>1</v>
      </c>
      <c r="T12">
        <f t="shared" si="2"/>
        <v>0</v>
      </c>
      <c r="U12">
        <f t="shared" si="3"/>
        <v>0</v>
      </c>
    </row>
    <row r="13"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6-May</v>
      </c>
      <c r="K13" s="2" t="str">
        <v> 8-May</v>
      </c>
      <c r="L13" s="1" t="str">
        <v>Sin respuesta</v>
      </c>
      <c r="M13" s="2" t="str">
        <v/>
      </c>
      <c r="N13" s="1" t="str">
        <v/>
      </c>
      <c r="O13" s="1" t="str">
        <v>Grupo focal 1</v>
      </c>
      <c r="P13" s="1" t="str">
        <v/>
      </c>
      <c r="Q13" s="1">
        <f t="shared" si="0"/>
        <v>1</v>
      </c>
      <c r="R13" s="1">
        <f t="shared" si="1"/>
        <v>0</v>
      </c>
      <c r="S13">
        <v>1</v>
      </c>
      <c r="T13">
        <f t="shared" si="2"/>
        <v>0</v>
      </c>
      <c r="U13">
        <f t="shared" si="3"/>
        <v>0</v>
      </c>
    </row>
    <row r="14"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6-May</v>
      </c>
      <c r="K15" s="2" t="str">
        <v> 8-May</v>
      </c>
      <c r="L15" s="1" t="str">
        <v>Aceptada</v>
      </c>
      <c r="M15" s="2" t="str">
        <v>20-May</v>
      </c>
      <c r="N15" s="1" t="str">
        <v/>
      </c>
      <c r="O15" s="1" t="str">
        <v>Grupo focal 2</v>
      </c>
      <c r="P15" s="1" t="str">
        <v/>
      </c>
      <c r="Q15" s="1">
        <f t="shared" si="0"/>
        <v>1</v>
      </c>
      <c r="R15" s="1">
        <f t="shared" si="1"/>
        <v>0</v>
      </c>
      <c r="S15">
        <v>1</v>
      </c>
      <c r="T15">
        <f t="shared" si="2"/>
        <v>0</v>
      </c>
      <c r="U15">
        <f t="shared" si="3"/>
        <v>1</v>
      </c>
    </row>
    <row r="16"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6-May</v>
      </c>
      <c r="K18" s="2" t="str">
        <v> 8-May</v>
      </c>
      <c r="L18" s="1" t="str">
        <v>Sin respuesta</v>
      </c>
      <c r="M18" s="2" t="str">
        <v/>
      </c>
      <c r="N18" s="1" t="str">
        <v/>
      </c>
      <c r="O18" s="1" t="str">
        <v>Grupo focal 1</v>
      </c>
      <c r="P18" s="1" t="str">
        <v/>
      </c>
      <c r="Q18" s="1">
        <f t="shared" si="0"/>
        <v>1</v>
      </c>
      <c r="R18" s="1">
        <f t="shared" si="1"/>
        <v>0</v>
      </c>
      <c r="S18">
        <v>1</v>
      </c>
      <c r="T18">
        <f t="shared" si="2"/>
        <v>0</v>
      </c>
      <c r="U18">
        <f t="shared" si="3"/>
        <v>0</v>
      </c>
    </row>
    <row r="19"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6-May</v>
      </c>
      <c r="K19" s="2" t="str">
        <v> 8-May</v>
      </c>
      <c r="L19" s="1" t="str">
        <v>Sin respuesta</v>
      </c>
      <c r="M19" s="2" t="str">
        <v/>
      </c>
      <c r="N19" s="1" t="str">
        <v/>
      </c>
      <c r="O19" s="1" t="str">
        <v>Grupo focal 2</v>
      </c>
      <c r="P19" s="1" t="str">
        <v/>
      </c>
      <c r="Q19" s="1">
        <f t="shared" si="0"/>
        <v>1</v>
      </c>
      <c r="R19" s="1">
        <f t="shared" si="1"/>
        <v>0</v>
      </c>
      <c r="S19">
        <v>1</v>
      </c>
      <c r="T19">
        <f t="shared" si="2"/>
        <v>0</v>
      </c>
      <c r="U19">
        <f t="shared" si="3"/>
        <v>0</v>
      </c>
    </row>
    <row r="20"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x14ac:dyDescent="0.35">
      <c r="A26" s="15" t="str">
        <v>25</v>
      </c>
      <c r="B26" s="5" t="str">
        <v>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4/27/2026</v>
      </c>
      <c r="J26" s="2" t="str">
        <v>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5/7/2026</v>
      </c>
      <c r="J27" s="2" t="str">
        <v>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x14ac:dyDescent="0.35">
      <c r="A28" s="15" t="str">
        <v>27</v>
      </c>
      <c r="B28" s="5" t="str">
        <v>Norma Rojas </v>
      </c>
      <c r="C28" s="1" t="str">
        <v>Grupo focal de reconocimiento</v>
      </c>
      <c r="D28" s="1" t="str">
        <v>Ministerio del Interior</v>
      </c>
      <c r="E28" s="1" t="str">
        <v>Funcionarios del Sistema</v>
      </c>
      <c r="F28" s="1" t="str">
        <v>Distrito Judicial: Apurímac</v>
      </c>
      <c r="G28" s="1" t="str">
        <v>IJM</v>
      </c>
      <c r="H28" s="1" t="str">
        <v>Sí</v>
      </c>
      <c r="I28" s="2" t="str">
        <v>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4/27/2026</v>
      </c>
      <c r="J29" s="2" t="str">
        <v>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6-May</v>
      </c>
      <c r="J30" s="2" t="str">
        <v>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6-May</v>
      </c>
      <c r="J31" s="2" t="str">
        <v>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6-May</v>
      </c>
      <c r="J33" s="2" t="str">
        <v> 8-May</v>
      </c>
      <c r="K33" s="2" t="str">
        <v/>
      </c>
      <c r="L33" s="1" t="str">
        <v>En coordinación</v>
      </c>
      <c r="M33" s="2" t="str">
        <v/>
      </c>
      <c r="N33" s="1" t="str">
        <v/>
      </c>
      <c r="O33" s="1" t="str">
        <v/>
      </c>
      <c r="P33" s="1" t="str">
        <v/>
      </c>
      <c r="Q33" s="1">
        <f t="shared" si="0"/>
        <v>1</v>
      </c>
      <c r="R33" s="1">
        <f t="shared" si="1"/>
        <v>1</v>
      </c>
      <c r="S33">
        <v>1</v>
      </c>
      <c r="T33">
        <f t="shared" si="2"/>
        <v>0</v>
      </c>
      <c r="U33">
        <f t="shared" si="3"/>
        <v>0</v>
      </c>
    </row>
    <row r="34"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4/27/2026</v>
      </c>
      <c r="J34" s="2" t="str">
        <v>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x14ac:dyDescent="0.35">
      <c r="A35" s="15" t="str">
        <v>34</v>
      </c>
      <c r="B35" s="23" t="str">
        <v>Zoila Cabanillas</v>
      </c>
      <c r="C35" t="str">
        <v>Grupo focal de reconocimiento</v>
      </c>
      <c r="D35" t="str">
        <v>Wami Ñan</v>
      </c>
      <c r="E35" t="str">
        <v>Acompañantes</v>
      </c>
      <c r="F35" t="str">
        <v>Distrito Judicial: Lima</v>
      </c>
      <c r="G35" t="str">
        <v>IJM</v>
      </c>
      <c r="H35" t="str">
        <v>Sí</v>
      </c>
      <c r="I35" s="2" t="str">
        <v> 4/27/2026</v>
      </c>
      <c r="J35" s="2" t="str">
        <v>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6-May</v>
      </c>
      <c r="K37" s="2" t="str">
        <v>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6-May</v>
      </c>
      <c r="K40" s="2" t="str">
        <v> 8-May</v>
      </c>
      <c r="L40" s="1" t="str">
        <v>Sin respuesta</v>
      </c>
      <c r="M40" s="2" t="str">
        <v/>
      </c>
      <c r="N40" s="1" t="str">
        <v/>
      </c>
      <c r="O40" s="1" t="str">
        <v>Grupo focal 2</v>
      </c>
      <c r="P40" s="1" t="str">
        <v/>
      </c>
      <c r="Q40" s="1">
        <f t="shared" si="0"/>
        <v>1</v>
      </c>
      <c r="R40" s="1">
        <f t="shared" si="1"/>
        <v>0</v>
      </c>
      <c r="S40">
        <v>1</v>
      </c>
      <c r="T40">
        <f t="shared" si="2"/>
        <v>0</v>
      </c>
      <c r="U40">
        <f t="shared" si="3"/>
        <v>0</v>
      </c>
    </row>
    <row r="4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x14ac:dyDescent="0.35">
      <c r="A44" s="21" t="str">
        <v>43</v>
      </c>
      <c r="B44" s="23" t="str">
        <v>Elga Prado</v>
      </c>
      <c r="C44" t="str">
        <v>Grupo focal de reconocimiento</v>
      </c>
      <c r="D44" t="str">
        <v>Manuela Ramos</v>
      </c>
      <c r="E44" t="str">
        <v>Actores locales</v>
      </c>
      <c r="F44" t="str">
        <v>Nacional</v>
      </c>
      <c r="G44" t="str">
        <v>IJM</v>
      </c>
      <c r="H44" t="str">
        <v>Sí</v>
      </c>
      <c r="I44" s="2" t="str">
        <v>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x14ac:dyDescent="0.35">
      <c r="A45" s="21" t="str">
        <v>44</v>
      </c>
      <c r="B45" s="23" t="str">
        <v>Fabiana Rodari </v>
      </c>
      <c r="C45" t="str">
        <v>Grupo focal de reconocimiento</v>
      </c>
      <c r="D45" t="str">
        <v>Apurímac ETS</v>
      </c>
      <c r="E45" t="str">
        <v>Acompañantes</v>
      </c>
      <c r="F45" t="str">
        <v>Distrito Judicial: Apurímac</v>
      </c>
      <c r="G45" t="str">
        <v>IJM</v>
      </c>
      <c r="H45" t="str">
        <v>Sí</v>
      </c>
      <c r="I45" s="2" t="str">
        <v>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x14ac:dyDescent="0.35">
      <c r="A47" s="21" t="str">
        <v>46</v>
      </c>
      <c r="B47" s="23" t="str">
        <v>Patricia Nieto</v>
      </c>
      <c r="C47" t="str">
        <v>Grupo focal de reconocimiento</v>
      </c>
      <c r="D47" t="str">
        <v>ONG Buckner</v>
      </c>
      <c r="E47" t="str">
        <v>Actores locales</v>
      </c>
      <c r="F47" t="str">
        <v>Nacional</v>
      </c>
      <c r="G47" t="str">
        <v>IJM</v>
      </c>
      <c r="H47" t="str">
        <v>Sí</v>
      </c>
      <c r="I47" s="2" t="str">
        <v>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x14ac:dyDescent="0.35">
      <c r="A49" s="21" t="str">
        <v>48</v>
      </c>
      <c r="B49" s="23" t="str">
        <v>María Pía Molero</v>
      </c>
      <c r="C49" t="str">
        <v>Grupo focal de reconocimiento</v>
      </c>
      <c r="D49" t="str">
        <v>ONU Mujer</v>
      </c>
      <c r="E49" t="str">
        <v>Multilaterales</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x14ac:dyDescent="0.35">
      <c r="A50" s="21" t="str">
        <v>49</v>
      </c>
      <c r="B50" s="23" t="str">
        <v>Susana Osorio</v>
      </c>
      <c r="C50" t="str">
        <v>Grupo focal de reconocimiento</v>
      </c>
      <c r="D50" t="str">
        <v>Save the children </v>
      </c>
      <c r="E50" t="str">
        <v>Multilaterales</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x14ac:dyDescent="0.35">
      <c r="A51" s="21" t="str">
        <v>50</v>
      </c>
      <c r="B51" s="23" t="str">
        <v>Diana Rodriguez / Antonella Rojas</v>
      </c>
      <c r="C51" t="str">
        <v>Grupo focal de reconocimiento</v>
      </c>
      <c r="D51" t="str">
        <v>Save the children </v>
      </c>
      <c r="E51" t="str">
        <v>Multilaterales</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x14ac:dyDescent="0.35">
      <c r="A55" s="21" t="str">
        <v>54</v>
      </c>
      <c r="B55" s="23" t="str">
        <v>Luisa Martinez</v>
      </c>
      <c r="C55" t="str">
        <v>Grupo focal de reconocimiento</v>
      </c>
      <c r="D55" t="str">
        <v>UNICEF</v>
      </c>
      <c r="E55" t="str">
        <v>Multilaterales</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x14ac:dyDescent="0.35">
      <c r="A58" s="21" t="str">
        <v>57</v>
      </c>
      <c r="B58" s="23" t="str">
        <v>Virginia Rose Losada</v>
      </c>
      <c r="C58" t="str">
        <v>Grupo focal de reconocimiento</v>
      </c>
      <c r="D58" t="str">
        <v>OIT</v>
      </c>
      <c r="E58" t="str">
        <v>Multilaterales</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x14ac:dyDescent="0.35">
      <c r="A59" s="21" t="str">
        <v>58</v>
      </c>
      <c r="B59" s="23" t="str">
        <v>Corali Ormeño Michelena</v>
      </c>
      <c r="C59" t="str">
        <v>Grupo focal de reconocimiento</v>
      </c>
      <c r="D59" t="str">
        <v>CARE ONG</v>
      </c>
      <c r="E59" t="str">
        <v>Multilaterales</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x14ac:dyDescent="0.35">
      <c r="Q995" s="1">
        <f t="shared" si="60"/>
        <v>0</v>
      </c>
      <c r="R995" s="1">
        <f t="shared" si="61"/>
        <v>0</v>
      </c>
      <c r="T995">
        <f t="shared" si="62"/>
        <v>0</v>
      </c>
      <c r="U995">
        <f t="shared" si="63"/>
        <v>0</v>
      </c>
    </row>
    <row r="996"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dimension ref="A1:E30"/>
  <sheetViews>
    <sheetView topLeftCell="A15" zoomScale="89" zoomScaleNormal="118" workbookViewId="0">
      <selection activeCell="H33" sqref="H33"/>
    </sheetView>
  </sheetViews>
  <sheetFormatPr baseColWidth="10" defaultRowHeight="14.5" x14ac:dyDescent="0.35"/>
  <cols>
    <col min="2" max="2" width="30.453125" customWidth="true"/>
    <col min="3" max="4" width="23.54296875" style="19" customWidth="true"/>
    <col min="5" max="5" width="10.81640625" style="19"/>
  </cols>
  <sheetData>
    <row r="1" x14ac:dyDescent="0.35">
      <c r="A1" t="s">
        <v>1038</v>
      </c>
      <c r="B1" t="s">
        <v>6</v>
      </c>
      <c r="C1" s="19" t="s">
        <v>1037</v>
      </c>
      <c r="D1" s="19" t="s">
        <v>7</v>
      </c>
      <c r="E1" s="19" t="s">
        <v>173</v>
      </c>
    </row>
    <row r="2" x14ac:dyDescent="0.35">
      <c r="A2">
        <v>1</v>
      </c>
      <c r="B2" t="s">
        <v>247</v>
      </c>
      <c r="C2" s="19" t="s">
        <v>49</v>
      </c>
      <c r="D2" s="19" t="s">
        <v>82</v>
      </c>
      <c r="E2" s="19">
        <v>10</v>
      </c>
    </row>
    <row r="3" x14ac:dyDescent="0.35">
      <c r="A3">
        <f>+A2+1</f>
        <v>2</v>
      </c>
      <c r="B3" t="s">
        <v>247</v>
      </c>
      <c r="C3" s="19" t="s">
        <v>49</v>
      </c>
      <c r="D3" s="19" t="s">
        <v>111</v>
      </c>
      <c r="E3" s="19">
        <v>10</v>
      </c>
    </row>
    <row r="4" x14ac:dyDescent="0.35">
      <c r="A4">
        <f t="shared" ref="A4:A30" si="0">+A3+1</f>
        <v>3</v>
      </c>
      <c r="B4" t="s">
        <v>247</v>
      </c>
      <c r="C4" s="19" t="s">
        <v>49</v>
      </c>
      <c r="D4" s="19" t="s">
        <v>37</v>
      </c>
      <c r="E4" s="20">
        <v>8</v>
      </c>
    </row>
    <row r="5" x14ac:dyDescent="0.35">
      <c r="A5">
        <f t="shared" si="0"/>
        <v>4</v>
      </c>
      <c r="B5" t="s">
        <v>247</v>
      </c>
      <c r="C5" s="19" t="s">
        <v>49</v>
      </c>
      <c r="D5" s="19" t="s">
        <v>430</v>
      </c>
      <c r="E5" s="20">
        <v>16</v>
      </c>
    </row>
    <row r="6" x14ac:dyDescent="0.35">
      <c r="A6">
        <f t="shared" si="0"/>
        <v>5</v>
      </c>
      <c r="B6" t="s">
        <v>247</v>
      </c>
      <c r="C6" s="19" t="s">
        <v>49</v>
      </c>
      <c r="D6" s="19" t="s">
        <v>60</v>
      </c>
      <c r="E6" s="20">
        <v>16</v>
      </c>
    </row>
    <row r="7" x14ac:dyDescent="0.35">
      <c r="A7">
        <f t="shared" si="0"/>
        <v>6</v>
      </c>
      <c r="B7" t="s">
        <v>247</v>
      </c>
      <c r="C7" s="19" t="s">
        <v>109</v>
      </c>
      <c r="D7" s="19" t="s">
        <v>37</v>
      </c>
      <c r="E7" s="19">
        <v>1</v>
      </c>
    </row>
    <row r="8" x14ac:dyDescent="0.35">
      <c r="A8">
        <f t="shared" si="0"/>
        <v>7</v>
      </c>
      <c r="B8" t="s">
        <v>247</v>
      </c>
      <c r="C8" s="19" t="s">
        <v>109</v>
      </c>
      <c r="D8" s="19" t="s">
        <v>430</v>
      </c>
      <c r="E8" s="19">
        <v>2</v>
      </c>
    </row>
    <row r="9" x14ac:dyDescent="0.35">
      <c r="A9">
        <f t="shared" si="0"/>
        <v>8</v>
      </c>
      <c r="B9" t="s">
        <v>247</v>
      </c>
      <c r="C9" s="19" t="s">
        <v>109</v>
      </c>
      <c r="D9" s="19" t="s">
        <v>60</v>
      </c>
      <c r="E9" s="19">
        <v>2</v>
      </c>
    </row>
    <row r="10" x14ac:dyDescent="0.35">
      <c r="A10">
        <f t="shared" si="0"/>
        <v>9</v>
      </c>
      <c r="B10" t="s">
        <v>247</v>
      </c>
      <c r="C10" s="19" t="s">
        <v>61</v>
      </c>
      <c r="D10" s="19" t="s">
        <v>37</v>
      </c>
      <c r="E10" s="19">
        <v>1</v>
      </c>
    </row>
    <row r="11" x14ac:dyDescent="0.35">
      <c r="A11">
        <f t="shared" si="0"/>
        <v>10</v>
      </c>
      <c r="B11" t="s">
        <v>247</v>
      </c>
      <c r="C11" s="19" t="s">
        <v>61</v>
      </c>
      <c r="D11" s="19" t="s">
        <v>430</v>
      </c>
      <c r="E11" s="19">
        <v>2</v>
      </c>
    </row>
    <row r="12" x14ac:dyDescent="0.35">
      <c r="A12">
        <f t="shared" si="0"/>
        <v>11</v>
      </c>
      <c r="B12" t="s">
        <v>247</v>
      </c>
      <c r="C12" s="19" t="s">
        <v>61</v>
      </c>
      <c r="D12" s="19" t="s">
        <v>60</v>
      </c>
      <c r="E12" s="19">
        <v>2</v>
      </c>
    </row>
    <row r="13" x14ac:dyDescent="0.35">
      <c r="A13">
        <f t="shared" si="0"/>
        <v>12</v>
      </c>
      <c r="B13" t="s">
        <v>247</v>
      </c>
      <c r="C13" s="19" t="s">
        <v>56</v>
      </c>
      <c r="D13" s="19" t="s">
        <v>37</v>
      </c>
      <c r="E13" s="19">
        <v>1</v>
      </c>
    </row>
    <row r="14" x14ac:dyDescent="0.35">
      <c r="A14">
        <f t="shared" si="0"/>
        <v>13</v>
      </c>
      <c r="B14" t="s">
        <v>247</v>
      </c>
      <c r="C14" s="19" t="s">
        <v>56</v>
      </c>
      <c r="D14" s="19" t="s">
        <v>430</v>
      </c>
      <c r="E14" s="19">
        <v>2</v>
      </c>
    </row>
    <row r="15" x14ac:dyDescent="0.35">
      <c r="A15">
        <f t="shared" si="0"/>
        <v>14</v>
      </c>
      <c r="B15" t="s">
        <v>247</v>
      </c>
      <c r="C15" s="19" t="s">
        <v>56</v>
      </c>
      <c r="D15" s="19" t="s">
        <v>60</v>
      </c>
      <c r="E15" s="19">
        <v>2</v>
      </c>
    </row>
    <row r="16" x14ac:dyDescent="0.35">
      <c r="A16">
        <f t="shared" si="0"/>
        <v>15</v>
      </c>
      <c r="B16" t="s">
        <v>247</v>
      </c>
      <c r="C16" s="19" t="s">
        <v>44</v>
      </c>
      <c r="D16" s="19" t="s">
        <v>37</v>
      </c>
      <c r="E16" s="19">
        <v>1</v>
      </c>
    </row>
    <row r="17" x14ac:dyDescent="0.35">
      <c r="A17">
        <f t="shared" si="0"/>
        <v>16</v>
      </c>
      <c r="B17" t="s">
        <v>247</v>
      </c>
      <c r="C17" s="19" t="s">
        <v>44</v>
      </c>
      <c r="D17" s="19" t="s">
        <v>430</v>
      </c>
      <c r="E17" s="19">
        <v>2</v>
      </c>
    </row>
    <row r="18" x14ac:dyDescent="0.35">
      <c r="A18">
        <f t="shared" si="0"/>
        <v>17</v>
      </c>
      <c r="B18" t="s">
        <v>247</v>
      </c>
      <c r="C18" s="19" t="s">
        <v>44</v>
      </c>
      <c r="D18" s="19" t="s">
        <v>60</v>
      </c>
      <c r="E18" s="19">
        <v>2</v>
      </c>
    </row>
    <row r="19" x14ac:dyDescent="0.35">
      <c r="A19">
        <f t="shared" si="0"/>
        <v>18</v>
      </c>
      <c r="B19" t="s">
        <v>247</v>
      </c>
      <c r="C19" s="19" t="s">
        <v>41</v>
      </c>
      <c r="D19" s="19" t="s">
        <v>37</v>
      </c>
      <c r="E19" s="19">
        <v>1</v>
      </c>
    </row>
    <row r="20" x14ac:dyDescent="0.35">
      <c r="A20">
        <f t="shared" si="0"/>
        <v>19</v>
      </c>
      <c r="B20" t="s">
        <v>247</v>
      </c>
      <c r="C20" s="19" t="s">
        <v>41</v>
      </c>
      <c r="D20" s="19" t="s">
        <v>430</v>
      </c>
      <c r="E20" s="19">
        <v>2</v>
      </c>
    </row>
    <row r="21" x14ac:dyDescent="0.35">
      <c r="A21">
        <f t="shared" si="0"/>
        <v>20</v>
      </c>
      <c r="B21" t="s">
        <v>247</v>
      </c>
      <c r="C21" s="19" t="s">
        <v>41</v>
      </c>
      <c r="D21" s="19" t="s">
        <v>60</v>
      </c>
      <c r="E21" s="19">
        <v>2</v>
      </c>
    </row>
    <row r="22" x14ac:dyDescent="0.35">
      <c r="A22">
        <f t="shared" si="0"/>
        <v>21</v>
      </c>
      <c r="B22" t="s">
        <v>247</v>
      </c>
      <c r="C22" s="19" t="s">
        <v>65</v>
      </c>
      <c r="D22" s="19" t="s">
        <v>37</v>
      </c>
      <c r="E22" s="19">
        <v>1</v>
      </c>
    </row>
    <row r="23" x14ac:dyDescent="0.35">
      <c r="A23">
        <f t="shared" si="0"/>
        <v>22</v>
      </c>
      <c r="B23" t="s">
        <v>247</v>
      </c>
      <c r="C23" s="19" t="s">
        <v>65</v>
      </c>
      <c r="D23" s="19" t="s">
        <v>430</v>
      </c>
      <c r="E23" s="19">
        <v>2</v>
      </c>
    </row>
    <row r="24" x14ac:dyDescent="0.35">
      <c r="A24">
        <f t="shared" si="0"/>
        <v>23</v>
      </c>
      <c r="B24" t="s">
        <v>247</v>
      </c>
      <c r="C24" s="19" t="s">
        <v>65</v>
      </c>
      <c r="D24" s="19" t="s">
        <v>60</v>
      </c>
      <c r="E24" s="19">
        <v>2</v>
      </c>
    </row>
    <row r="25" x14ac:dyDescent="0.35">
      <c r="A25">
        <f t="shared" si="0"/>
        <v>24</v>
      </c>
      <c r="B25" t="s">
        <v>247</v>
      </c>
      <c r="C25" s="19" t="s">
        <v>1039</v>
      </c>
      <c r="D25" s="19" t="s">
        <v>37</v>
      </c>
      <c r="E25" s="19">
        <v>1</v>
      </c>
    </row>
    <row r="26" x14ac:dyDescent="0.35">
      <c r="A26">
        <f t="shared" si="0"/>
        <v>25</v>
      </c>
      <c r="B26" t="s">
        <v>247</v>
      </c>
      <c r="C26" s="19" t="s">
        <v>1039</v>
      </c>
      <c r="D26" s="19" t="s">
        <v>430</v>
      </c>
      <c r="E26" s="19">
        <v>2</v>
      </c>
    </row>
    <row r="27" x14ac:dyDescent="0.35">
      <c r="A27">
        <f t="shared" si="0"/>
        <v>26</v>
      </c>
      <c r="B27" t="s">
        <v>247</v>
      </c>
      <c r="C27" s="19" t="s">
        <v>1039</v>
      </c>
      <c r="D27" s="19" t="s">
        <v>60</v>
      </c>
      <c r="E27" s="19">
        <v>2</v>
      </c>
    </row>
    <row r="28" x14ac:dyDescent="0.35">
      <c r="A28">
        <f t="shared" si="0"/>
        <v>27</v>
      </c>
      <c r="B28" t="s">
        <v>247</v>
      </c>
      <c r="C28" s="19" t="s">
        <v>23</v>
      </c>
      <c r="D28" s="19" t="s">
        <v>37</v>
      </c>
      <c r="E28" s="19">
        <v>1</v>
      </c>
    </row>
    <row r="29" x14ac:dyDescent="0.35">
      <c r="A29">
        <f t="shared" si="0"/>
        <v>28</v>
      </c>
      <c r="B29" t="s">
        <v>247</v>
      </c>
      <c r="C29" s="19" t="s">
        <v>23</v>
      </c>
      <c r="D29" s="19" t="s">
        <v>430</v>
      </c>
      <c r="E29" s="19">
        <v>2</v>
      </c>
    </row>
    <row r="30" x14ac:dyDescent="0.35">
      <c r="A30">
        <f t="shared" si="0"/>
        <v>29</v>
      </c>
      <c r="B30" t="s">
        <v>247</v>
      </c>
      <c r="C30" s="19" t="s">
        <v>23</v>
      </c>
      <c r="D30" s="19" t="s">
        <v>60</v>
      </c>
      <c r="E30" s="19">
        <v>2</v>
      </c>
    </row>
  </sheetData>
  <pageMargins left="0.7" right="0.7" top="0.75" bottom="0.75" header="0.3" footer="0.3"/>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2" ma:contentTypeDescription="Crear nuevo documento." ma:contentTypeScope="" ma:versionID="f031da45812bb81645562bafa3e27792">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997341155ac57a7f96d45d03b878e5a8"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F247058-F464-4576-85DB-4D3805486100}">
  <ds:schemaRefs>
    <ds:schemaRef ds:uri="http://schemas.microsoft.com/sharepoint/v3/contenttype/forms"/>
  </ds:schemaRefs>
</ds:datastoreItem>
</file>

<file path=customXml/itemProps2.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customXml/itemProps3.xml><?xml version="1.0" encoding="utf-8"?>
<ds:datastoreItem xmlns:ds="http://schemas.openxmlformats.org/officeDocument/2006/customXml" ds:itemID="{14086CA2-01AE-4131-BB04-31C09DFCB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APOYO Consultoría</cp:lastModifiedBy>
  <cp:revision/>
  <dcterms:created xsi:type="dcterms:W3CDTF">2025-08-04T18:00:18Z</dcterms:created>
  <dcterms:modified xsi:type="dcterms:W3CDTF">2026-06-24T22:35:21Z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