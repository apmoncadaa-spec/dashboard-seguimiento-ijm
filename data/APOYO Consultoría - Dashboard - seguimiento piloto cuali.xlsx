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xr2:uid="{00000000-000D-0000-FFFF-FFFF00000000}"/>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1">'Dashboard - Entrevistas'!$A$1:$V$995</definedName>
    <definedName name="_xlnm._FilterDatabase" localSheetId="11" hidden="1">'Dashboard - Reunión'!$A$1:$U$996</definedName>
    <definedName name="_xlnm._FilterDatabase" localSheetId="8" hidden="1">'Dashboard - Reunión(0)'!$A$1:$R$31</definedName>
    <definedName name="_xlnm._FilterDatabase" localSheetId="3" hidden="1">Entrevistas!$A$1:$Z$22</definedName>
    <definedName name="_xlnm._FilterDatabase" localSheetId="12" hidden="1">Meta!$A$1:$E$30</definedName>
    <definedName name="_xlnm._FilterDatabase" localSheetId="4" hidden="1">'Reunión de validación'!$A$1:$T$31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6" l="1"/>
  <c r="A4" i="16" s="1"/>
  <c r="A5" i="16" s="1"/>
  <c r="A6" i="16" s="1"/>
  <c r="A7" i="16" s="1"/>
  <c r="A8" i="16" s="1"/>
  <c r="A9" i="16" s="1"/>
  <c r="A10" i="16" s="1"/>
  <c r="A11" i="16" s="1"/>
  <c r="A12" i="16" s="1"/>
  <c r="A13" i="16" s="1"/>
  <c r="A14" i="16" s="1"/>
  <c r="A15" i="16" s="1"/>
  <c r="A16" i="16" s="1"/>
  <c r="A17" i="16" s="1"/>
  <c r="A18" i="16" s="1"/>
  <c r="A19" i="16" s="1"/>
  <c r="A20" i="16" s="1"/>
  <c r="A21" i="16" s="1"/>
  <c r="A22" i="16" s="1"/>
  <c r="A23" i="16" s="1"/>
  <c r="A24" i="16" s="1"/>
  <c r="A25" i="16" s="1"/>
  <c r="A26" i="16" s="1"/>
  <c r="A27" i="16" s="1"/>
  <c r="A28" i="16" s="1"/>
  <c r="A29" i="16" s="1"/>
  <c r="A30" i="16" s="1"/>
  <c r="U996" i="20"/>
  <c r="T996" i="20"/>
  <c r="R996" i="20"/>
  <c r="Q996" i="20"/>
  <c r="U995" i="20"/>
  <c r="T995" i="20"/>
  <c r="R995" i="20"/>
  <c r="Q995" i="20"/>
  <c r="P2" i="20" a="1"/>
  <c r="O2" i="20" a="1"/>
  <c r="N2" i="20" a="1"/>
  <c r="M2" i="20" a="1"/>
  <c r="L2" i="20" a="1"/>
  <c r="K2" i="20" a="1"/>
  <c r="J2" i="20" a="1"/>
  <c r="I2" i="20" a="1"/>
  <c r="H2" i="20" a="1"/>
  <c r="G2" i="20" a="1"/>
  <c r="F2" i="20" a="1"/>
  <c r="E2" i="20" a="1"/>
  <c r="D2" i="20" a="1"/>
  <c r="C2" i="20" a="1"/>
  <c r="B2" i="20" a="1"/>
  <c r="A2" i="20" a="1"/>
  <c r="U600" i="22"/>
  <c r="T600" i="22"/>
  <c r="S600" i="22"/>
  <c r="R600" i="22"/>
  <c r="U599" i="22"/>
  <c r="T599" i="22"/>
  <c r="S599" i="22"/>
  <c r="R599" i="22"/>
  <c r="U598" i="22"/>
  <c r="T598" i="22"/>
  <c r="S598" i="22"/>
  <c r="R598" i="22"/>
  <c r="U597" i="22"/>
  <c r="T597" i="22"/>
  <c r="S597" i="22"/>
  <c r="R597" i="22"/>
  <c r="U596" i="22"/>
  <c r="T596" i="22"/>
  <c r="S596" i="22"/>
  <c r="R596" i="22"/>
  <c r="U595" i="22"/>
  <c r="T595" i="22"/>
  <c r="S595" i="22"/>
  <c r="R595" i="22"/>
  <c r="U594" i="22"/>
  <c r="T594" i="22"/>
  <c r="S594" i="22"/>
  <c r="R594" i="22"/>
  <c r="U593" i="22"/>
  <c r="T593" i="22"/>
  <c r="S593" i="22"/>
  <c r="R593" i="22"/>
  <c r="U592" i="22"/>
  <c r="T592" i="22"/>
  <c r="S592" i="22"/>
  <c r="R592" i="22"/>
  <c r="U591" i="22"/>
  <c r="T591" i="22"/>
  <c r="S591" i="22"/>
  <c r="R591" i="22"/>
  <c r="U590" i="22"/>
  <c r="T590" i="22"/>
  <c r="S590" i="22"/>
  <c r="R590" i="22"/>
  <c r="U589" i="22"/>
  <c r="T589" i="22"/>
  <c r="S589" i="22"/>
  <c r="R589" i="22"/>
  <c r="U588" i="22"/>
  <c r="T588" i="22"/>
  <c r="S588" i="22"/>
  <c r="R588" i="22"/>
  <c r="U587" i="22"/>
  <c r="T587" i="22"/>
  <c r="S587" i="22"/>
  <c r="R587" i="22"/>
  <c r="U586" i="22"/>
  <c r="T586" i="22"/>
  <c r="S586" i="22"/>
  <c r="R586" i="22"/>
  <c r="U585" i="22"/>
  <c r="T585" i="22"/>
  <c r="S585" i="22"/>
  <c r="R585" i="22"/>
  <c r="U584" i="22"/>
  <c r="T584" i="22"/>
  <c r="S584" i="22"/>
  <c r="R584" i="22"/>
  <c r="U583" i="22"/>
  <c r="T583" i="22"/>
  <c r="S583" i="22"/>
  <c r="R583" i="22"/>
  <c r="U582" i="22"/>
  <c r="T582" i="22"/>
  <c r="S582" i="22"/>
  <c r="R582" i="22"/>
  <c r="U581" i="22"/>
  <c r="T581" i="22"/>
  <c r="S581" i="22"/>
  <c r="R581" i="22"/>
  <c r="U580" i="22"/>
  <c r="T580" i="22"/>
  <c r="S580" i="22"/>
  <c r="R580" i="22"/>
  <c r="U579" i="22"/>
  <c r="T579" i="22"/>
  <c r="S579" i="22"/>
  <c r="R579" i="22"/>
  <c r="U578" i="22"/>
  <c r="T578" i="22"/>
  <c r="S578" i="22"/>
  <c r="R578" i="22"/>
  <c r="U577" i="22"/>
  <c r="T577" i="22"/>
  <c r="S577" i="22"/>
  <c r="R577" i="22"/>
  <c r="U576" i="22"/>
  <c r="T576" i="22"/>
  <c r="S576" i="22"/>
  <c r="R576" i="22"/>
  <c r="U575" i="22"/>
  <c r="T575" i="22"/>
  <c r="S575" i="22"/>
  <c r="R575" i="22"/>
  <c r="U574" i="22"/>
  <c r="T574" i="22"/>
  <c r="S574" i="22"/>
  <c r="R574" i="22"/>
  <c r="U573" i="22"/>
  <c r="T573" i="22"/>
  <c r="S573" i="22"/>
  <c r="R573" i="22"/>
  <c r="U572" i="22"/>
  <c r="T572" i="22"/>
  <c r="S572" i="22"/>
  <c r="R572" i="22"/>
  <c r="U571" i="22"/>
  <c r="T571" i="22"/>
  <c r="S571" i="22"/>
  <c r="R571" i="22"/>
  <c r="U570" i="22"/>
  <c r="T570" i="22"/>
  <c r="S570" i="22"/>
  <c r="R570" i="22"/>
  <c r="Q570" i="22"/>
  <c r="U569" i="22"/>
  <c r="T569" i="22"/>
  <c r="S569" i="22"/>
  <c r="R569" i="22"/>
  <c r="Q569" i="22"/>
  <c r="U568" i="22"/>
  <c r="T568" i="22"/>
  <c r="S568" i="22"/>
  <c r="R568" i="22"/>
  <c r="Q568" i="22"/>
  <c r="U567" i="22"/>
  <c r="T567" i="22"/>
  <c r="S567" i="22"/>
  <c r="R567" i="22"/>
  <c r="Q567" i="22"/>
  <c r="U566" i="22"/>
  <c r="T566" i="22"/>
  <c r="S566" i="22"/>
  <c r="R566" i="22"/>
  <c r="Q566" i="22"/>
  <c r="U565" i="22"/>
  <c r="T565" i="22"/>
  <c r="S565" i="22"/>
  <c r="R565" i="22"/>
  <c r="Q565" i="22"/>
  <c r="U564" i="22"/>
  <c r="T564" i="22"/>
  <c r="S564" i="22"/>
  <c r="R564" i="22"/>
  <c r="Q564" i="22"/>
  <c r="U563" i="22"/>
  <c r="T563" i="22"/>
  <c r="S563" i="22"/>
  <c r="R563" i="22"/>
  <c r="Q563" i="22"/>
  <c r="U562" i="22"/>
  <c r="T562" i="22"/>
  <c r="S562" i="22"/>
  <c r="R562" i="22"/>
  <c r="Q562" i="22"/>
  <c r="U561" i="22"/>
  <c r="T561" i="22"/>
  <c r="S561" i="22"/>
  <c r="R561" i="22"/>
  <c r="Q561" i="22"/>
  <c r="U560" i="22"/>
  <c r="T560" i="22"/>
  <c r="S560" i="22"/>
  <c r="R560" i="22"/>
  <c r="Q560" i="22"/>
  <c r="U559" i="22"/>
  <c r="T559" i="22"/>
  <c r="S559" i="22"/>
  <c r="R559" i="22"/>
  <c r="Q559" i="22"/>
  <c r="U558" i="22"/>
  <c r="T558" i="22"/>
  <c r="S558" i="22"/>
  <c r="R558" i="22"/>
  <c r="Q558" i="22"/>
  <c r="U557" i="22"/>
  <c r="T557" i="22"/>
  <c r="S557" i="22"/>
  <c r="R557" i="22"/>
  <c r="Q557" i="22"/>
  <c r="U556" i="22"/>
  <c r="T556" i="22"/>
  <c r="S556" i="22"/>
  <c r="R556" i="22"/>
  <c r="Q556" i="22"/>
  <c r="U555" i="22"/>
  <c r="T555" i="22"/>
  <c r="S555" i="22"/>
  <c r="R555" i="22"/>
  <c r="Q555" i="22"/>
  <c r="U554" i="22"/>
  <c r="T554" i="22"/>
  <c r="S554" i="22"/>
  <c r="R554" i="22"/>
  <c r="Q554" i="22"/>
  <c r="U553" i="22"/>
  <c r="T553" i="22"/>
  <c r="S553" i="22"/>
  <c r="R553" i="22"/>
  <c r="Q553" i="22"/>
  <c r="U552" i="22"/>
  <c r="T552" i="22"/>
  <c r="S552" i="22"/>
  <c r="R552" i="22"/>
  <c r="Q552" i="22"/>
  <c r="U551" i="22"/>
  <c r="T551" i="22"/>
  <c r="S551" i="22"/>
  <c r="R551" i="22"/>
  <c r="Q551" i="22"/>
  <c r="U550" i="22"/>
  <c r="T550" i="22"/>
  <c r="S550" i="22"/>
  <c r="R550" i="22"/>
  <c r="Q550" i="22"/>
  <c r="U549" i="22"/>
  <c r="T549" i="22"/>
  <c r="S549" i="22"/>
  <c r="R549" i="22"/>
  <c r="Q549" i="22"/>
  <c r="U548" i="22"/>
  <c r="T548" i="22"/>
  <c r="S548" i="22"/>
  <c r="R548" i="22"/>
  <c r="Q548" i="22"/>
  <c r="U547" i="22"/>
  <c r="T547" i="22"/>
  <c r="S547" i="22"/>
  <c r="R547" i="22"/>
  <c r="Q547" i="22"/>
  <c r="U546" i="22"/>
  <c r="T546" i="22"/>
  <c r="S546" i="22"/>
  <c r="R546" i="22"/>
  <c r="Q546" i="22"/>
  <c r="U545" i="22"/>
  <c r="T545" i="22"/>
  <c r="S545" i="22"/>
  <c r="R545" i="22"/>
  <c r="Q545" i="22"/>
  <c r="U544" i="22"/>
  <c r="T544" i="22"/>
  <c r="S544" i="22"/>
  <c r="R544" i="22"/>
  <c r="Q544" i="22"/>
  <c r="U543" i="22"/>
  <c r="T543" i="22"/>
  <c r="S543" i="22"/>
  <c r="R543" i="22"/>
  <c r="Q543" i="22"/>
  <c r="U542" i="22"/>
  <c r="T542" i="22"/>
  <c r="S542" i="22"/>
  <c r="R542" i="22"/>
  <c r="Q542" i="22"/>
  <c r="U541" i="22"/>
  <c r="T541" i="22"/>
  <c r="S541" i="22"/>
  <c r="R541" i="22"/>
  <c r="Q541" i="22"/>
  <c r="U540" i="22"/>
  <c r="T540" i="22"/>
  <c r="S540" i="22"/>
  <c r="R540" i="22"/>
  <c r="Q540" i="22"/>
  <c r="U539" i="22"/>
  <c r="T539" i="22"/>
  <c r="S539" i="22"/>
  <c r="R539" i="22"/>
  <c r="Q539" i="22"/>
  <c r="U538" i="22"/>
  <c r="T538" i="22"/>
  <c r="S538" i="22"/>
  <c r="R538" i="22"/>
  <c r="Q538" i="22"/>
  <c r="U537" i="22"/>
  <c r="T537" i="22"/>
  <c r="S537" i="22"/>
  <c r="R537" i="22"/>
  <c r="Q537" i="22"/>
  <c r="U536" i="22"/>
  <c r="T536" i="22"/>
  <c r="S536" i="22"/>
  <c r="R536" i="22"/>
  <c r="Q536" i="22"/>
  <c r="U535" i="22"/>
  <c r="T535" i="22"/>
  <c r="S535" i="22"/>
  <c r="R535" i="22"/>
  <c r="Q535" i="22"/>
  <c r="U534" i="22"/>
  <c r="T534" i="22"/>
  <c r="S534" i="22"/>
  <c r="R534" i="22"/>
  <c r="Q534" i="22"/>
  <c r="U533" i="22"/>
  <c r="T533" i="22"/>
  <c r="S533" i="22"/>
  <c r="R533" i="22"/>
  <c r="Q533" i="22"/>
  <c r="U532" i="22"/>
  <c r="T532" i="22"/>
  <c r="S532" i="22"/>
  <c r="R532" i="22"/>
  <c r="Q532" i="22"/>
  <c r="U531" i="22"/>
  <c r="T531" i="22"/>
  <c r="S531" i="22"/>
  <c r="R531" i="22"/>
  <c r="Q531" i="22"/>
  <c r="U530" i="22"/>
  <c r="T530" i="22"/>
  <c r="S530" i="22"/>
  <c r="R530" i="22"/>
  <c r="Q530" i="22"/>
  <c r="U529" i="22"/>
  <c r="T529" i="22"/>
  <c r="S529" i="22"/>
  <c r="R529" i="22"/>
  <c r="Q529" i="22"/>
  <c r="U528" i="22"/>
  <c r="T528" i="22"/>
  <c r="S528" i="22"/>
  <c r="R528" i="22"/>
  <c r="Q528" i="22"/>
  <c r="U527" i="22"/>
  <c r="T527" i="22"/>
  <c r="S527" i="22"/>
  <c r="R527" i="22"/>
  <c r="Q527" i="22"/>
  <c r="U526" i="22"/>
  <c r="T526" i="22"/>
  <c r="S526" i="22"/>
  <c r="R526" i="22"/>
  <c r="Q526" i="22"/>
  <c r="U525" i="22"/>
  <c r="T525" i="22"/>
  <c r="S525" i="22"/>
  <c r="R525" i="22"/>
  <c r="Q525" i="22"/>
  <c r="U524" i="22"/>
  <c r="T524" i="22"/>
  <c r="S524" i="22"/>
  <c r="R524" i="22"/>
  <c r="Q524" i="22"/>
  <c r="U523" i="22"/>
  <c r="T523" i="22"/>
  <c r="S523" i="22"/>
  <c r="R523" i="22"/>
  <c r="Q523" i="22"/>
  <c r="U522" i="22"/>
  <c r="T522" i="22"/>
  <c r="S522" i="22"/>
  <c r="R522" i="22"/>
  <c r="Q522" i="22"/>
  <c r="U521" i="22"/>
  <c r="T521" i="22"/>
  <c r="S521" i="22"/>
  <c r="R521" i="22"/>
  <c r="Q521" i="22"/>
  <c r="U520" i="22"/>
  <c r="T520" i="22"/>
  <c r="S520" i="22"/>
  <c r="R520" i="22"/>
  <c r="Q520" i="22"/>
  <c r="U519" i="22"/>
  <c r="T519" i="22"/>
  <c r="S519" i="22"/>
  <c r="R519" i="22"/>
  <c r="Q519" i="22"/>
  <c r="U518" i="22"/>
  <c r="T518" i="22"/>
  <c r="S518" i="22"/>
  <c r="R518" i="22"/>
  <c r="Q518" i="22"/>
  <c r="U517" i="22"/>
  <c r="T517" i="22"/>
  <c r="S517" i="22"/>
  <c r="R517" i="22"/>
  <c r="Q517" i="22"/>
  <c r="U516" i="22"/>
  <c r="T516" i="22"/>
  <c r="S516" i="22"/>
  <c r="R516" i="22"/>
  <c r="Q516" i="22"/>
  <c r="U515" i="22"/>
  <c r="T515" i="22"/>
  <c r="S515" i="22"/>
  <c r="R515" i="22"/>
  <c r="Q515" i="22"/>
  <c r="U514" i="22"/>
  <c r="T514" i="22"/>
  <c r="S514" i="22"/>
  <c r="R514" i="22"/>
  <c r="Q514" i="22"/>
  <c r="U513" i="22"/>
  <c r="T513" i="22"/>
  <c r="S513" i="22"/>
  <c r="R513" i="22"/>
  <c r="Q513" i="22"/>
  <c r="U512" i="22"/>
  <c r="T512" i="22"/>
  <c r="S512" i="22"/>
  <c r="R512" i="22"/>
  <c r="Q512" i="22"/>
  <c r="U511" i="22"/>
  <c r="T511" i="22"/>
  <c r="S511" i="22"/>
  <c r="R511" i="22"/>
  <c r="Q511" i="22"/>
  <c r="U510" i="22"/>
  <c r="T510" i="22"/>
  <c r="S510" i="22"/>
  <c r="R510" i="22"/>
  <c r="Q510" i="22"/>
  <c r="U509" i="22"/>
  <c r="T509" i="22"/>
  <c r="S509" i="22"/>
  <c r="R509" i="22"/>
  <c r="Q509" i="22"/>
  <c r="U508" i="22"/>
  <c r="T508" i="22"/>
  <c r="S508" i="22"/>
  <c r="R508" i="22"/>
  <c r="Q508" i="22"/>
  <c r="U507" i="22"/>
  <c r="T507" i="22"/>
  <c r="S507" i="22"/>
  <c r="R507" i="22"/>
  <c r="Q507" i="22"/>
  <c r="U506" i="22"/>
  <c r="T506" i="22"/>
  <c r="S506" i="22"/>
  <c r="R506" i="22"/>
  <c r="Q506" i="22"/>
  <c r="U505" i="22"/>
  <c r="T505" i="22"/>
  <c r="S505" i="22"/>
  <c r="R505" i="22"/>
  <c r="Q505" i="22"/>
  <c r="U504" i="22"/>
  <c r="T504" i="22"/>
  <c r="S504" i="22"/>
  <c r="R504" i="22"/>
  <c r="Q504" i="22"/>
  <c r="U503" i="22"/>
  <c r="T503" i="22"/>
  <c r="S503" i="22"/>
  <c r="R503" i="22"/>
  <c r="Q503" i="22"/>
  <c r="U502" i="22"/>
  <c r="T502" i="22"/>
  <c r="S502" i="22"/>
  <c r="R502" i="22"/>
  <c r="Q502" i="22"/>
  <c r="U501" i="22"/>
  <c r="T501" i="22"/>
  <c r="S501" i="22"/>
  <c r="R501" i="22"/>
  <c r="Q501" i="22"/>
  <c r="U500" i="22"/>
  <c r="T500" i="22"/>
  <c r="S500" i="22"/>
  <c r="R500" i="22"/>
  <c r="Q500" i="22"/>
  <c r="U499" i="22"/>
  <c r="T499" i="22"/>
  <c r="S499" i="22"/>
  <c r="R499" i="22"/>
  <c r="Q499" i="22"/>
  <c r="U498" i="22"/>
  <c r="T498" i="22"/>
  <c r="S498" i="22"/>
  <c r="R498" i="22"/>
  <c r="Q498" i="22"/>
  <c r="U497" i="22"/>
  <c r="T497" i="22"/>
  <c r="S497" i="22"/>
  <c r="R497" i="22"/>
  <c r="Q497" i="22"/>
  <c r="U496" i="22"/>
  <c r="T496" i="22"/>
  <c r="S496" i="22"/>
  <c r="R496" i="22"/>
  <c r="Q496" i="22"/>
  <c r="U495" i="22"/>
  <c r="T495" i="22"/>
  <c r="S495" i="22"/>
  <c r="R495" i="22"/>
  <c r="Q495" i="22"/>
  <c r="U494" i="22"/>
  <c r="T494" i="22"/>
  <c r="S494" i="22"/>
  <c r="R494" i="22"/>
  <c r="Q494" i="22"/>
  <c r="U493" i="22"/>
  <c r="T493" i="22"/>
  <c r="S493" i="22"/>
  <c r="R493" i="22"/>
  <c r="Q493" i="22"/>
  <c r="U492" i="22"/>
  <c r="T492" i="22"/>
  <c r="S492" i="22"/>
  <c r="R492" i="22"/>
  <c r="Q492" i="22"/>
  <c r="U491" i="22"/>
  <c r="T491" i="22"/>
  <c r="S491" i="22"/>
  <c r="R491" i="22"/>
  <c r="Q491" i="22"/>
  <c r="U490" i="22"/>
  <c r="T490" i="22"/>
  <c r="S490" i="22"/>
  <c r="R490" i="22"/>
  <c r="Q490" i="22"/>
  <c r="U489" i="22"/>
  <c r="T489" i="22"/>
  <c r="S489" i="22"/>
  <c r="R489" i="22"/>
  <c r="Q489" i="22"/>
  <c r="U488" i="22"/>
  <c r="T488" i="22"/>
  <c r="S488" i="22"/>
  <c r="R488" i="22"/>
  <c r="Q488" i="22"/>
  <c r="U487" i="22"/>
  <c r="T487" i="22"/>
  <c r="S487" i="22"/>
  <c r="R487" i="22"/>
  <c r="Q487" i="22"/>
  <c r="U486" i="22"/>
  <c r="T486" i="22"/>
  <c r="S486" i="22"/>
  <c r="R486" i="22"/>
  <c r="Q486" i="22"/>
  <c r="U485" i="22"/>
  <c r="T485" i="22"/>
  <c r="S485" i="22"/>
  <c r="R485" i="22"/>
  <c r="Q485" i="22"/>
  <c r="U484" i="22"/>
  <c r="T484" i="22"/>
  <c r="S484" i="22"/>
  <c r="R484" i="22"/>
  <c r="Q484" i="22"/>
  <c r="U483" i="22"/>
  <c r="T483" i="22"/>
  <c r="S483" i="22"/>
  <c r="R483" i="22"/>
  <c r="Q483" i="22"/>
  <c r="U482" i="22"/>
  <c r="T482" i="22"/>
  <c r="S482" i="22"/>
  <c r="R482" i="22"/>
  <c r="Q482" i="22"/>
  <c r="U481" i="22"/>
  <c r="T481" i="22"/>
  <c r="S481" i="22"/>
  <c r="R481" i="22"/>
  <c r="Q481" i="22"/>
  <c r="U480" i="22"/>
  <c r="T480" i="22"/>
  <c r="S480" i="22"/>
  <c r="R480" i="22"/>
  <c r="Q480" i="22"/>
  <c r="U479" i="22"/>
  <c r="T479" i="22"/>
  <c r="S479" i="22"/>
  <c r="R479" i="22"/>
  <c r="Q479" i="22"/>
  <c r="U478" i="22"/>
  <c r="T478" i="22"/>
  <c r="S478" i="22"/>
  <c r="R478" i="22"/>
  <c r="Q478" i="22"/>
  <c r="U477" i="22"/>
  <c r="T477" i="22"/>
  <c r="S477" i="22"/>
  <c r="R477" i="22"/>
  <c r="Q477" i="22"/>
  <c r="U476" i="22"/>
  <c r="T476" i="22"/>
  <c r="S476" i="22"/>
  <c r="R476" i="22"/>
  <c r="Q476" i="22"/>
  <c r="U475" i="22"/>
  <c r="T475" i="22"/>
  <c r="S475" i="22"/>
  <c r="R475" i="22"/>
  <c r="Q475" i="22"/>
  <c r="U474" i="22"/>
  <c r="T474" i="22"/>
  <c r="S474" i="22"/>
  <c r="R474" i="22"/>
  <c r="Q474" i="22"/>
  <c r="U473" i="22"/>
  <c r="T473" i="22"/>
  <c r="S473" i="22"/>
  <c r="R473" i="22"/>
  <c r="Q473" i="22"/>
  <c r="U472" i="22"/>
  <c r="T472" i="22"/>
  <c r="S472" i="22"/>
  <c r="R472" i="22"/>
  <c r="Q472" i="22"/>
  <c r="U471" i="22"/>
  <c r="T471" i="22"/>
  <c r="S471" i="22"/>
  <c r="R471" i="22"/>
  <c r="Q471" i="22"/>
  <c r="U470" i="22"/>
  <c r="T470" i="22"/>
  <c r="S470" i="22"/>
  <c r="R470" i="22"/>
  <c r="Q470" i="22"/>
  <c r="U469" i="22"/>
  <c r="T469" i="22"/>
  <c r="S469" i="22"/>
  <c r="R469" i="22"/>
  <c r="Q469" i="22"/>
  <c r="U468" i="22"/>
  <c r="T468" i="22"/>
  <c r="S468" i="22"/>
  <c r="R468" i="22"/>
  <c r="Q468" i="22"/>
  <c r="U467" i="22"/>
  <c r="T467" i="22"/>
  <c r="S467" i="22"/>
  <c r="R467" i="22"/>
  <c r="Q467" i="22"/>
  <c r="U466" i="22"/>
  <c r="T466" i="22"/>
  <c r="S466" i="22"/>
  <c r="R466" i="22"/>
  <c r="Q466" i="22"/>
  <c r="U465" i="22"/>
  <c r="T465" i="22"/>
  <c r="S465" i="22"/>
  <c r="R465" i="22"/>
  <c r="Q465" i="22"/>
  <c r="U464" i="22"/>
  <c r="T464" i="22"/>
  <c r="S464" i="22"/>
  <c r="R464" i="22"/>
  <c r="Q464" i="22"/>
  <c r="U463" i="22"/>
  <c r="T463" i="22"/>
  <c r="S463" i="22"/>
  <c r="R463" i="22"/>
  <c r="Q463" i="22"/>
  <c r="U462" i="22"/>
  <c r="T462" i="22"/>
  <c r="S462" i="22"/>
  <c r="R462" i="22"/>
  <c r="Q462" i="22"/>
  <c r="U461" i="22"/>
  <c r="T461" i="22"/>
  <c r="S461" i="22"/>
  <c r="R461" i="22"/>
  <c r="P2" i="22" a="1"/>
  <c r="O2" i="22" a="1"/>
  <c r="N2" i="22" a="1"/>
  <c r="M2" i="22" a="1"/>
  <c r="L2" i="22" a="1"/>
  <c r="K2" i="22" a="1"/>
  <c r="J2" i="22" a="1"/>
  <c r="I2" i="22" a="1"/>
  <c r="H2" i="22" a="1"/>
  <c r="G2" i="22" a="1"/>
  <c r="F2" i="22" a="1"/>
  <c r="E2" i="22" a="1"/>
  <c r="D2" i="22" a="1"/>
  <c r="C2" i="22" a="1"/>
  <c r="B2" i="22" a="1"/>
  <c r="A2" i="22" a="1"/>
  <c r="V995" i="19"/>
  <c r="U995" i="19"/>
  <c r="T995" i="19"/>
  <c r="S995" i="19"/>
  <c r="V994" i="19"/>
  <c r="U994" i="19"/>
  <c r="T994" i="19"/>
  <c r="S994" i="19"/>
  <c r="V993" i="19"/>
  <c r="U993" i="19"/>
  <c r="T993" i="19"/>
  <c r="S993" i="19"/>
  <c r="V992" i="19"/>
  <c r="U992" i="19"/>
  <c r="T992" i="19"/>
  <c r="S992" i="19"/>
  <c r="V991" i="19"/>
  <c r="U991" i="19"/>
  <c r="T991" i="19"/>
  <c r="S991" i="19"/>
  <c r="V990" i="19"/>
  <c r="U990" i="19"/>
  <c r="T990" i="19"/>
  <c r="S990" i="19"/>
  <c r="V989" i="19"/>
  <c r="U989" i="19"/>
  <c r="T989" i="19"/>
  <c r="S989" i="19"/>
  <c r="V988" i="19"/>
  <c r="U988" i="19"/>
  <c r="T988" i="19"/>
  <c r="S988" i="19"/>
  <c r="V987" i="19"/>
  <c r="U987" i="19"/>
  <c r="T987" i="19"/>
  <c r="S987" i="19"/>
  <c r="V986" i="19"/>
  <c r="U986" i="19"/>
  <c r="T986" i="19"/>
  <c r="S986" i="19"/>
  <c r="V985" i="19"/>
  <c r="U985" i="19"/>
  <c r="T985" i="19"/>
  <c r="S985" i="19"/>
  <c r="V984" i="19"/>
  <c r="U984" i="19"/>
  <c r="T984" i="19"/>
  <c r="S984" i="19"/>
  <c r="V983" i="19"/>
  <c r="U983" i="19"/>
  <c r="T983" i="19"/>
  <c r="S983" i="19"/>
  <c r="V982" i="19"/>
  <c r="U982" i="19"/>
  <c r="T982" i="19"/>
  <c r="S982" i="19"/>
  <c r="V981" i="19"/>
  <c r="U981" i="19"/>
  <c r="T981" i="19"/>
  <c r="S981" i="19"/>
  <c r="V980" i="19"/>
  <c r="U980" i="19"/>
  <c r="T980" i="19"/>
  <c r="S980" i="19"/>
  <c r="V979" i="19"/>
  <c r="U979" i="19"/>
  <c r="T979" i="19"/>
  <c r="S979" i="19"/>
  <c r="V978" i="19"/>
  <c r="U978" i="19"/>
  <c r="T978" i="19"/>
  <c r="S978" i="19"/>
  <c r="V977" i="19"/>
  <c r="U977" i="19"/>
  <c r="T977" i="19"/>
  <c r="S977" i="19"/>
  <c r="V976" i="19"/>
  <c r="U976" i="19"/>
  <c r="T976" i="19"/>
  <c r="S976" i="19"/>
  <c r="V975" i="19"/>
  <c r="U975" i="19"/>
  <c r="T975" i="19"/>
  <c r="S975" i="19"/>
  <c r="V974" i="19"/>
  <c r="U974" i="19"/>
  <c r="T974" i="19"/>
  <c r="S974" i="19"/>
  <c r="V973" i="19"/>
  <c r="U973" i="19"/>
  <c r="T973" i="19"/>
  <c r="S973" i="19"/>
  <c r="V972" i="19"/>
  <c r="U972" i="19"/>
  <c r="T972" i="19"/>
  <c r="S972" i="19"/>
  <c r="V971" i="19"/>
  <c r="U971" i="19"/>
  <c r="T971" i="19"/>
  <c r="S971" i="19"/>
  <c r="V970" i="19"/>
  <c r="U970" i="19"/>
  <c r="T970" i="19"/>
  <c r="S970" i="19"/>
  <c r="V969" i="19"/>
  <c r="U969" i="19"/>
  <c r="T969" i="19"/>
  <c r="S969" i="19"/>
  <c r="V968" i="19"/>
  <c r="U968" i="19"/>
  <c r="T968" i="19"/>
  <c r="S968" i="19"/>
  <c r="V967" i="19"/>
  <c r="U967" i="19"/>
  <c r="T967" i="19"/>
  <c r="S967" i="19"/>
  <c r="V966" i="19"/>
  <c r="U966" i="19"/>
  <c r="T966" i="19"/>
  <c r="S966" i="19"/>
  <c r="V965" i="19"/>
  <c r="U965" i="19"/>
  <c r="T965" i="19"/>
  <c r="S965" i="19"/>
  <c r="V964" i="19"/>
  <c r="U964" i="19"/>
  <c r="T964" i="19"/>
  <c r="S964" i="19"/>
  <c r="V963" i="19"/>
  <c r="U963" i="19"/>
  <c r="T963" i="19"/>
  <c r="S963" i="19"/>
  <c r="V962" i="19"/>
  <c r="U962" i="19"/>
  <c r="T962" i="19"/>
  <c r="S962" i="19"/>
  <c r="V961" i="19"/>
  <c r="U961" i="19"/>
  <c r="T961" i="19"/>
  <c r="S961" i="19"/>
  <c r="V960" i="19"/>
  <c r="U960" i="19"/>
  <c r="T960" i="19"/>
  <c r="S960" i="19"/>
  <c r="V959" i="19"/>
  <c r="U959" i="19"/>
  <c r="T959" i="19"/>
  <c r="S959" i="19"/>
  <c r="V958" i="19"/>
  <c r="U958" i="19"/>
  <c r="T958" i="19"/>
  <c r="S958" i="19"/>
  <c r="V957" i="19"/>
  <c r="U957" i="19"/>
  <c r="T957" i="19"/>
  <c r="S957" i="19"/>
  <c r="V956" i="19"/>
  <c r="U956" i="19"/>
  <c r="T956" i="19"/>
  <c r="S956" i="19"/>
  <c r="V955" i="19"/>
  <c r="U955" i="19"/>
  <c r="T955" i="19"/>
  <c r="S955" i="19"/>
  <c r="V954" i="19"/>
  <c r="U954" i="19"/>
  <c r="T954" i="19"/>
  <c r="S954" i="19"/>
  <c r="V953" i="19"/>
  <c r="U953" i="19"/>
  <c r="T953" i="19"/>
  <c r="S953" i="19"/>
  <c r="V952" i="19"/>
  <c r="U952" i="19"/>
  <c r="T952" i="19"/>
  <c r="S952" i="19"/>
  <c r="V951" i="19"/>
  <c r="U951" i="19"/>
  <c r="T951" i="19"/>
  <c r="S951" i="19"/>
  <c r="V950" i="19"/>
  <c r="U950" i="19"/>
  <c r="T950" i="19"/>
  <c r="S950" i="19"/>
  <c r="V949" i="19"/>
  <c r="U949" i="19"/>
  <c r="T949" i="19"/>
  <c r="S949" i="19"/>
  <c r="V948" i="19"/>
  <c r="U948" i="19"/>
  <c r="T948" i="19"/>
  <c r="S948" i="19"/>
  <c r="V947" i="19"/>
  <c r="U947" i="19"/>
  <c r="T947" i="19"/>
  <c r="S947" i="19"/>
  <c r="V946" i="19"/>
  <c r="U946" i="19"/>
  <c r="T946" i="19"/>
  <c r="S946" i="19"/>
  <c r="V945" i="19"/>
  <c r="U945" i="19"/>
  <c r="T945" i="19"/>
  <c r="S945" i="19"/>
  <c r="V944" i="19"/>
  <c r="U944" i="19"/>
  <c r="T944" i="19"/>
  <c r="S944" i="19"/>
  <c r="V943" i="19"/>
  <c r="U943" i="19"/>
  <c r="T943" i="19"/>
  <c r="S943" i="19"/>
  <c r="V942" i="19"/>
  <c r="U942" i="19"/>
  <c r="T942" i="19"/>
  <c r="S942" i="19"/>
  <c r="V941" i="19"/>
  <c r="U941" i="19"/>
  <c r="T941" i="19"/>
  <c r="S941" i="19"/>
  <c r="V940" i="19"/>
  <c r="U940" i="19"/>
  <c r="T940" i="19"/>
  <c r="S940" i="19"/>
  <c r="V939" i="19"/>
  <c r="U939" i="19"/>
  <c r="T939" i="19"/>
  <c r="S939" i="19"/>
  <c r="V938" i="19"/>
  <c r="U938" i="19"/>
  <c r="T938" i="19"/>
  <c r="S938" i="19"/>
  <c r="V937" i="19"/>
  <c r="U937" i="19"/>
  <c r="T937" i="19"/>
  <c r="S937" i="19"/>
  <c r="V936" i="19"/>
  <c r="U936" i="19"/>
  <c r="T936" i="19"/>
  <c r="S936" i="19"/>
  <c r="V935" i="19"/>
  <c r="U935" i="19"/>
  <c r="T935" i="19"/>
  <c r="S935" i="19"/>
  <c r="V934" i="19"/>
  <c r="U934" i="19"/>
  <c r="T934" i="19"/>
  <c r="S934" i="19"/>
  <c r="V933" i="19"/>
  <c r="U933" i="19"/>
  <c r="T933" i="19"/>
  <c r="S933" i="19"/>
  <c r="V932" i="19"/>
  <c r="U932" i="19"/>
  <c r="T932" i="19"/>
  <c r="S932" i="19"/>
  <c r="V931" i="19"/>
  <c r="U931" i="19"/>
  <c r="T931" i="19"/>
  <c r="S931" i="19"/>
  <c r="V930" i="19"/>
  <c r="U930" i="19"/>
  <c r="T930" i="19"/>
  <c r="S930" i="19"/>
  <c r="V929" i="19"/>
  <c r="U929" i="19"/>
  <c r="T929" i="19"/>
  <c r="S929" i="19"/>
  <c r="V928" i="19"/>
  <c r="U928" i="19"/>
  <c r="T928" i="19"/>
  <c r="S928" i="19"/>
  <c r="V927" i="19"/>
  <c r="U927" i="19"/>
  <c r="T927" i="19"/>
  <c r="S927" i="19"/>
  <c r="V926" i="19"/>
  <c r="U926" i="19"/>
  <c r="T926" i="19"/>
  <c r="S926" i="19"/>
  <c r="V925" i="19"/>
  <c r="U925" i="19"/>
  <c r="T925" i="19"/>
  <c r="S925" i="19"/>
  <c r="V924" i="19"/>
  <c r="U924" i="19"/>
  <c r="T924" i="19"/>
  <c r="S924" i="19"/>
  <c r="V923" i="19"/>
  <c r="U923" i="19"/>
  <c r="T923" i="19"/>
  <c r="S923" i="19"/>
  <c r="R923" i="19"/>
  <c r="V922" i="19"/>
  <c r="U922" i="19"/>
  <c r="T922" i="19"/>
  <c r="S922" i="19"/>
  <c r="R922" i="19"/>
  <c r="V921" i="19"/>
  <c r="U921" i="19"/>
  <c r="T921" i="19"/>
  <c r="S921" i="19"/>
  <c r="R921" i="19"/>
  <c r="V920" i="19"/>
  <c r="U920" i="19"/>
  <c r="T920" i="19"/>
  <c r="S920" i="19"/>
  <c r="R920" i="19"/>
  <c r="V919" i="19"/>
  <c r="U919" i="19"/>
  <c r="T919" i="19"/>
  <c r="S919" i="19"/>
  <c r="R919" i="19"/>
  <c r="V918" i="19"/>
  <c r="U918" i="19"/>
  <c r="T918" i="19"/>
  <c r="S918" i="19"/>
  <c r="R918" i="19"/>
  <c r="V917" i="19"/>
  <c r="U917" i="19"/>
  <c r="T917" i="19"/>
  <c r="S917" i="19"/>
  <c r="R917" i="19"/>
  <c r="V916" i="19"/>
  <c r="U916" i="19"/>
  <c r="T916" i="19"/>
  <c r="S916" i="19"/>
  <c r="R916" i="19"/>
  <c r="V915" i="19"/>
  <c r="U915" i="19"/>
  <c r="T915" i="19"/>
  <c r="S915" i="19"/>
  <c r="R915" i="19"/>
  <c r="V914" i="19"/>
  <c r="U914" i="19"/>
  <c r="T914" i="19"/>
  <c r="S914" i="19"/>
  <c r="R914" i="19"/>
  <c r="V913" i="19"/>
  <c r="U913" i="19"/>
  <c r="T913" i="19"/>
  <c r="S913" i="19"/>
  <c r="R913" i="19"/>
  <c r="V912" i="19"/>
  <c r="U912" i="19"/>
  <c r="T912" i="19"/>
  <c r="S912" i="19"/>
  <c r="R912" i="19"/>
  <c r="V911" i="19"/>
  <c r="U911" i="19"/>
  <c r="T911" i="19"/>
  <c r="S911" i="19"/>
  <c r="R911" i="19"/>
  <c r="V910" i="19"/>
  <c r="U910" i="19"/>
  <c r="T910" i="19"/>
  <c r="S910" i="19"/>
  <c r="R910" i="19"/>
  <c r="V909" i="19"/>
  <c r="U909" i="19"/>
  <c r="T909" i="19"/>
  <c r="S909" i="19"/>
  <c r="R909" i="19"/>
  <c r="V908" i="19"/>
  <c r="U908" i="19"/>
  <c r="T908" i="19"/>
  <c r="S908" i="19"/>
  <c r="R908" i="19"/>
  <c r="V907" i="19"/>
  <c r="U907" i="19"/>
  <c r="T907" i="19"/>
  <c r="S907" i="19"/>
  <c r="R907" i="19"/>
  <c r="V906" i="19"/>
  <c r="U906" i="19"/>
  <c r="T906" i="19"/>
  <c r="S906" i="19"/>
  <c r="R906" i="19"/>
  <c r="V905" i="19"/>
  <c r="U905" i="19"/>
  <c r="T905" i="19"/>
  <c r="S905" i="19"/>
  <c r="R905" i="19"/>
  <c r="V904" i="19"/>
  <c r="U904" i="19"/>
  <c r="T904" i="19"/>
  <c r="S904" i="19"/>
  <c r="R904" i="19"/>
  <c r="V903" i="19"/>
  <c r="U903" i="19"/>
  <c r="T903" i="19"/>
  <c r="S903" i="19"/>
  <c r="R903" i="19"/>
  <c r="V902" i="19"/>
  <c r="U902" i="19"/>
  <c r="T902" i="19"/>
  <c r="S902" i="19"/>
  <c r="R902" i="19"/>
  <c r="V901" i="19"/>
  <c r="U901" i="19"/>
  <c r="T901" i="19"/>
  <c r="S901" i="19"/>
  <c r="R901" i="19"/>
  <c r="V900" i="19"/>
  <c r="U900" i="19"/>
  <c r="T900" i="19"/>
  <c r="S900" i="19"/>
  <c r="R900" i="19"/>
  <c r="V899" i="19"/>
  <c r="U899" i="19"/>
  <c r="T899" i="19"/>
  <c r="S899" i="19"/>
  <c r="R899" i="19"/>
  <c r="V898" i="19"/>
  <c r="U898" i="19"/>
  <c r="T898" i="19"/>
  <c r="S898" i="19"/>
  <c r="R898" i="19"/>
  <c r="V897" i="19"/>
  <c r="U897" i="19"/>
  <c r="T897" i="19"/>
  <c r="S897" i="19"/>
  <c r="R897" i="19"/>
  <c r="V896" i="19"/>
  <c r="U896" i="19"/>
  <c r="T896" i="19"/>
  <c r="S896" i="19"/>
  <c r="R896" i="19"/>
  <c r="V895" i="19"/>
  <c r="U895" i="19"/>
  <c r="T895" i="19"/>
  <c r="S895" i="19"/>
  <c r="R895" i="19"/>
  <c r="V894" i="19"/>
  <c r="U894" i="19"/>
  <c r="T894" i="19"/>
  <c r="S894" i="19"/>
  <c r="R894" i="19"/>
  <c r="V893" i="19"/>
  <c r="U893" i="19"/>
  <c r="T893" i="19"/>
  <c r="S893" i="19"/>
  <c r="R893" i="19"/>
  <c r="V892" i="19"/>
  <c r="U892" i="19"/>
  <c r="T892" i="19"/>
  <c r="S892" i="19"/>
  <c r="R892" i="19"/>
  <c r="V891" i="19"/>
  <c r="U891" i="19"/>
  <c r="Q2" i="19" a="1"/>
  <c r="P2" i="19" a="1"/>
  <c r="O2" i="19" a="1"/>
  <c r="N2" i="19" a="1"/>
  <c r="M2" i="19" a="1"/>
  <c r="L2" i="19" a="1"/>
  <c r="K2" i="19" a="1"/>
  <c r="J2" i="19" a="1"/>
  <c r="I2" i="19" a="1"/>
  <c r="H2" i="19" a="1"/>
  <c r="G2" i="19" a="1"/>
  <c r="F2" i="19" a="1"/>
  <c r="E2" i="19" a="1"/>
  <c r="D2" i="19" a="1"/>
  <c r="C2" i="19" a="1"/>
  <c r="B2" i="19" a="1"/>
  <c r="A2" i="19" a="1"/>
  <c r="O31" i="15"/>
  <c r="N31" i="15"/>
  <c r="Q31" i="15" s="1"/>
  <c r="M31" i="15"/>
  <c r="L31" i="15"/>
  <c r="R31" i="15" s="1"/>
  <c r="K31" i="15"/>
  <c r="J31" i="15"/>
  <c r="I31" i="15"/>
  <c r="H31" i="15"/>
  <c r="G31" i="15"/>
  <c r="F31" i="15"/>
  <c r="E31" i="15"/>
  <c r="D31" i="15"/>
  <c r="C31" i="15"/>
  <c r="B31" i="15"/>
  <c r="O30" i="15"/>
  <c r="N30" i="15"/>
  <c r="Q30" i="15" s="1"/>
  <c r="M30" i="15"/>
  <c r="L30" i="15"/>
  <c r="R30" i="15" s="1"/>
  <c r="K30" i="15"/>
  <c r="J30" i="15"/>
  <c r="I30" i="15"/>
  <c r="H30" i="15"/>
  <c r="G30" i="15"/>
  <c r="F30" i="15"/>
  <c r="E30" i="15"/>
  <c r="D30" i="15"/>
  <c r="C30" i="15"/>
  <c r="B30" i="15"/>
  <c r="O29" i="15"/>
  <c r="N29" i="15"/>
  <c r="Q29" i="15" s="1"/>
  <c r="M29" i="15"/>
  <c r="L29" i="15"/>
  <c r="R29" i="15" s="1"/>
  <c r="K29" i="15"/>
  <c r="J29" i="15"/>
  <c r="I29" i="15"/>
  <c r="H29" i="15"/>
  <c r="G29" i="15"/>
  <c r="F29" i="15"/>
  <c r="E29" i="15"/>
  <c r="D29" i="15"/>
  <c r="C29" i="15"/>
  <c r="B29" i="15"/>
  <c r="O28" i="15"/>
  <c r="N28" i="15"/>
  <c r="Q28" i="15" s="1"/>
  <c r="M28" i="15"/>
  <c r="L28" i="15"/>
  <c r="R28" i="15" s="1"/>
  <c r="K28" i="15"/>
  <c r="J28" i="15"/>
  <c r="I28" i="15"/>
  <c r="H28" i="15"/>
  <c r="G28" i="15"/>
  <c r="F28" i="15"/>
  <c r="E28" i="15"/>
  <c r="D28" i="15"/>
  <c r="C28" i="15"/>
  <c r="B28" i="15"/>
  <c r="O27" i="15"/>
  <c r="N27" i="15"/>
  <c r="Q27" i="15" s="1"/>
  <c r="M27" i="15"/>
  <c r="L27" i="15"/>
  <c r="R27" i="15" s="1"/>
  <c r="K27" i="15"/>
  <c r="J27" i="15"/>
  <c r="I27" i="15"/>
  <c r="H27" i="15"/>
  <c r="G27" i="15"/>
  <c r="F27" i="15"/>
  <c r="E27" i="15"/>
  <c r="D27" i="15"/>
  <c r="C27" i="15"/>
  <c r="B27" i="15"/>
  <c r="O26" i="15"/>
  <c r="N26" i="15"/>
  <c r="Q26" i="15" s="1"/>
  <c r="M26" i="15"/>
  <c r="L26" i="15"/>
  <c r="R26" i="15" s="1"/>
  <c r="K26" i="15"/>
  <c r="J26" i="15"/>
  <c r="I26" i="15"/>
  <c r="H26" i="15"/>
  <c r="G26" i="15"/>
  <c r="F26" i="15"/>
  <c r="E26" i="15"/>
  <c r="D26" i="15"/>
  <c r="C26" i="15"/>
  <c r="B26" i="15"/>
  <c r="O25" i="15"/>
  <c r="N25" i="15"/>
  <c r="Q25" i="15" s="1"/>
  <c r="M25" i="15"/>
  <c r="L25" i="15"/>
  <c r="R25" i="15" s="1"/>
  <c r="K25" i="15"/>
  <c r="J25" i="15"/>
  <c r="I25" i="15"/>
  <c r="H25" i="15"/>
  <c r="G25" i="15"/>
  <c r="F25" i="15"/>
  <c r="E25" i="15"/>
  <c r="D25" i="15"/>
  <c r="C25" i="15"/>
  <c r="B25" i="15"/>
  <c r="O24" i="15"/>
  <c r="N24" i="15"/>
  <c r="Q24" i="15" s="1"/>
  <c r="M24" i="15"/>
  <c r="L24" i="15"/>
  <c r="R24" i="15" s="1"/>
  <c r="K24" i="15"/>
  <c r="J24" i="15"/>
  <c r="I24" i="15"/>
  <c r="H24" i="15"/>
  <c r="G24" i="15"/>
  <c r="F24" i="15"/>
  <c r="E24" i="15"/>
  <c r="D24" i="15"/>
  <c r="C24" i="15"/>
  <c r="B24" i="15"/>
  <c r="O23" i="15"/>
  <c r="N23" i="15"/>
  <c r="Q23" i="15" s="1"/>
  <c r="M23" i="15"/>
  <c r="L23" i="15"/>
  <c r="R23" i="15" s="1"/>
  <c r="K23" i="15"/>
  <c r="J23" i="15"/>
  <c r="I23" i="15"/>
  <c r="H23" i="15"/>
  <c r="G23" i="15"/>
  <c r="F23" i="15"/>
  <c r="E23" i="15"/>
  <c r="D23" i="15"/>
  <c r="C23" i="15"/>
  <c r="B23" i="15"/>
  <c r="O22" i="15"/>
  <c r="N22" i="15"/>
  <c r="Q22" i="15" s="1"/>
  <c r="M22" i="15"/>
  <c r="L22" i="15"/>
  <c r="R22" i="15" s="1"/>
  <c r="K22" i="15"/>
  <c r="J22" i="15"/>
  <c r="I22" i="15"/>
  <c r="H22" i="15"/>
  <c r="G22" i="15"/>
  <c r="F22" i="15"/>
  <c r="E22" i="15"/>
  <c r="D22" i="15"/>
  <c r="C22" i="15"/>
  <c r="B22" i="15"/>
  <c r="O21" i="15"/>
  <c r="N21" i="15"/>
  <c r="Q21" i="15" s="1"/>
  <c r="M21" i="15"/>
  <c r="L21" i="15"/>
  <c r="R21" i="15" s="1"/>
  <c r="K21" i="15"/>
  <c r="J21" i="15"/>
  <c r="I21" i="15"/>
  <c r="H21" i="15"/>
  <c r="G21" i="15"/>
  <c r="F21" i="15"/>
  <c r="E21" i="15"/>
  <c r="D21" i="15"/>
  <c r="C21" i="15"/>
  <c r="B21" i="15"/>
  <c r="O20" i="15"/>
  <c r="N20" i="15"/>
  <c r="Q20" i="15" s="1"/>
  <c r="M20" i="15"/>
  <c r="L20" i="15"/>
  <c r="R20" i="15" s="1"/>
  <c r="K20" i="15"/>
  <c r="J20" i="15"/>
  <c r="I20" i="15"/>
  <c r="H20" i="15"/>
  <c r="G20" i="15"/>
  <c r="F20" i="15"/>
  <c r="E20" i="15"/>
  <c r="D20" i="15"/>
  <c r="C20" i="15"/>
  <c r="B20" i="15"/>
  <c r="O19" i="15"/>
  <c r="N19" i="15"/>
  <c r="Q19" i="15" s="1"/>
  <c r="M19" i="15"/>
  <c r="L19" i="15"/>
  <c r="R19" i="15" s="1"/>
  <c r="K19" i="15"/>
  <c r="J19" i="15"/>
  <c r="I19" i="15"/>
  <c r="H19" i="15"/>
  <c r="G19" i="15"/>
  <c r="F19" i="15"/>
  <c r="E19" i="15"/>
  <c r="D19" i="15"/>
  <c r="C19" i="15"/>
  <c r="B19" i="15"/>
  <c r="O18" i="15"/>
  <c r="N18" i="15"/>
  <c r="Q18" i="15" s="1"/>
  <c r="M18" i="15"/>
  <c r="L18" i="15"/>
  <c r="R18" i="15" s="1"/>
  <c r="K18" i="15"/>
  <c r="J18" i="15"/>
  <c r="I18" i="15"/>
  <c r="H18" i="15"/>
  <c r="G18" i="15"/>
  <c r="F18" i="15"/>
  <c r="E18" i="15"/>
  <c r="D18" i="15"/>
  <c r="C18" i="15"/>
  <c r="B18" i="15"/>
  <c r="O17" i="15"/>
  <c r="N17" i="15"/>
  <c r="Q17" i="15" s="1"/>
  <c r="M17" i="15"/>
  <c r="L17" i="15"/>
  <c r="R17" i="15" s="1"/>
  <c r="K17" i="15"/>
  <c r="J17" i="15"/>
  <c r="I17" i="15"/>
  <c r="H17" i="15"/>
  <c r="G17" i="15"/>
  <c r="F17" i="15"/>
  <c r="E17" i="15"/>
  <c r="D17" i="15"/>
  <c r="C17" i="15"/>
  <c r="B17" i="15"/>
  <c r="R16" i="15"/>
  <c r="Q16" i="15"/>
  <c r="O16" i="15"/>
  <c r="N16" i="15"/>
  <c r="M16" i="15"/>
  <c r="L16" i="15"/>
  <c r="K16" i="15"/>
  <c r="J16" i="15"/>
  <c r="I16" i="15"/>
  <c r="H16" i="15"/>
  <c r="G16" i="15"/>
  <c r="F16" i="15"/>
  <c r="E16" i="15"/>
  <c r="D16" i="15"/>
  <c r="C16" i="15"/>
  <c r="B16" i="15"/>
  <c r="O15" i="15"/>
  <c r="N15" i="15"/>
  <c r="Q15" i="15" s="1"/>
  <c r="M15" i="15"/>
  <c r="L15" i="15"/>
  <c r="R15" i="15" s="1"/>
  <c r="K15" i="15"/>
  <c r="J15" i="15"/>
  <c r="I15" i="15"/>
  <c r="H15" i="15"/>
  <c r="G15" i="15"/>
  <c r="F15" i="15"/>
  <c r="E15" i="15"/>
  <c r="D15" i="15"/>
  <c r="C15" i="15"/>
  <c r="B15" i="15"/>
  <c r="O14" i="15"/>
  <c r="N14" i="15"/>
  <c r="Q14" i="15" s="1"/>
  <c r="M14" i="15"/>
  <c r="L14" i="15"/>
  <c r="R14" i="15" s="1"/>
  <c r="K14" i="15"/>
  <c r="J14" i="15"/>
  <c r="I14" i="15"/>
  <c r="H14" i="15"/>
  <c r="G14" i="15"/>
  <c r="F14" i="15"/>
  <c r="E14" i="15"/>
  <c r="D14" i="15"/>
  <c r="C14" i="15"/>
  <c r="B14" i="15"/>
  <c r="O13" i="15"/>
  <c r="N13" i="15"/>
  <c r="Q13" i="15" s="1"/>
  <c r="M13" i="15"/>
  <c r="L13" i="15"/>
  <c r="R13" i="15" s="1"/>
  <c r="K13" i="15"/>
  <c r="J13" i="15"/>
  <c r="I13" i="15"/>
  <c r="H13" i="15"/>
  <c r="G13" i="15"/>
  <c r="F13" i="15"/>
  <c r="E13" i="15"/>
  <c r="D13" i="15"/>
  <c r="C13" i="15"/>
  <c r="B13" i="15"/>
  <c r="O12" i="15"/>
  <c r="N12" i="15"/>
  <c r="Q12" i="15" s="1"/>
  <c r="M12" i="15"/>
  <c r="L12" i="15"/>
  <c r="R12" i="15" s="1"/>
  <c r="K12" i="15"/>
  <c r="J12" i="15"/>
  <c r="I12" i="15"/>
  <c r="H12" i="15"/>
  <c r="G12" i="15"/>
  <c r="F12" i="15"/>
  <c r="E12" i="15"/>
  <c r="D12" i="15"/>
  <c r="C12" i="15"/>
  <c r="B12" i="15"/>
  <c r="O11" i="15"/>
  <c r="N11" i="15"/>
  <c r="Q11" i="15" s="1"/>
  <c r="M11" i="15"/>
  <c r="L11" i="15"/>
  <c r="R11" i="15" s="1"/>
  <c r="K11" i="15"/>
  <c r="J11" i="15"/>
  <c r="I11" i="15"/>
  <c r="H11" i="15"/>
  <c r="G11" i="15"/>
  <c r="F11" i="15"/>
  <c r="E11" i="15"/>
  <c r="D11" i="15"/>
  <c r="C11" i="15"/>
  <c r="B11" i="15"/>
  <c r="O10" i="15"/>
  <c r="N10" i="15"/>
  <c r="Q10" i="15" s="1"/>
  <c r="M10" i="15"/>
  <c r="L10" i="15"/>
  <c r="R10" i="15" s="1"/>
  <c r="K10" i="15"/>
  <c r="J10" i="15"/>
  <c r="I10" i="15"/>
  <c r="H10" i="15"/>
  <c r="G10" i="15"/>
  <c r="F10" i="15"/>
  <c r="E10" i="15"/>
  <c r="D10" i="15"/>
  <c r="C10" i="15"/>
  <c r="B10" i="15"/>
  <c r="O9" i="15"/>
  <c r="N9" i="15"/>
  <c r="Q9" i="15" s="1"/>
  <c r="M9" i="15"/>
  <c r="L9" i="15"/>
  <c r="R9" i="15" s="1"/>
  <c r="K9" i="15"/>
  <c r="J9" i="15"/>
  <c r="I9" i="15"/>
  <c r="H9" i="15"/>
  <c r="G9" i="15"/>
  <c r="F9" i="15"/>
  <c r="E9" i="15"/>
  <c r="D9" i="15"/>
  <c r="C9" i="15"/>
  <c r="B9" i="15"/>
  <c r="O8" i="15"/>
  <c r="N8" i="15"/>
  <c r="Q8" i="15" s="1"/>
  <c r="M8" i="15"/>
  <c r="L8" i="15"/>
  <c r="R8" i="15" s="1"/>
  <c r="K8" i="15"/>
  <c r="J8" i="15"/>
  <c r="I8" i="15"/>
  <c r="H8" i="15"/>
  <c r="G8" i="15"/>
  <c r="F8" i="15"/>
  <c r="E8" i="15"/>
  <c r="D8" i="15"/>
  <c r="C8" i="15"/>
  <c r="B8" i="15"/>
  <c r="O7" i="15"/>
  <c r="N7" i="15"/>
  <c r="Q7" i="15" s="1"/>
  <c r="M7" i="15"/>
  <c r="L7" i="15"/>
  <c r="R7" i="15" s="1"/>
  <c r="K7" i="15"/>
  <c r="J7" i="15"/>
  <c r="I7" i="15"/>
  <c r="H7" i="15"/>
  <c r="G7" i="15"/>
  <c r="F7" i="15"/>
  <c r="E7" i="15"/>
  <c r="D7" i="15"/>
  <c r="C7" i="15"/>
  <c r="B7" i="15"/>
  <c r="O6" i="15"/>
  <c r="N6" i="15"/>
  <c r="Q6" i="15" s="1"/>
  <c r="M6" i="15"/>
  <c r="L6" i="15"/>
  <c r="R6" i="15" s="1"/>
  <c r="K6" i="15"/>
  <c r="J6" i="15"/>
  <c r="I6" i="15"/>
  <c r="H6" i="15"/>
  <c r="G6" i="15"/>
  <c r="F6" i="15"/>
  <c r="E6" i="15"/>
  <c r="D6" i="15"/>
  <c r="C6" i="15"/>
  <c r="B6" i="15"/>
  <c r="O5" i="15"/>
  <c r="N5" i="15"/>
  <c r="Q5" i="15" s="1"/>
  <c r="M5" i="15"/>
  <c r="L5" i="15"/>
  <c r="R5" i="15" s="1"/>
  <c r="K5" i="15"/>
  <c r="J5" i="15"/>
  <c r="I5" i="15"/>
  <c r="H5" i="15"/>
  <c r="G5" i="15"/>
  <c r="F5" i="15"/>
  <c r="E5" i="15"/>
  <c r="D5" i="15"/>
  <c r="C5" i="15"/>
  <c r="B5" i="15"/>
  <c r="O4" i="15"/>
  <c r="N4" i="15"/>
  <c r="Q4" i="15" s="1"/>
  <c r="M4" i="15"/>
  <c r="L4" i="15"/>
  <c r="R4" i="15" s="1"/>
  <c r="K4" i="15"/>
  <c r="J4" i="15"/>
  <c r="I4" i="15"/>
  <c r="H4" i="15"/>
  <c r="G4" i="15"/>
  <c r="F4" i="15"/>
  <c r="E4" i="15"/>
  <c r="D4" i="15"/>
  <c r="C4" i="15"/>
  <c r="B4" i="15"/>
  <c r="O3" i="15"/>
  <c r="N3" i="15"/>
  <c r="Q3" i="15" s="1"/>
  <c r="M3" i="15"/>
  <c r="L3" i="15"/>
  <c r="R3" i="15" s="1"/>
  <c r="K3" i="15"/>
  <c r="J3" i="15"/>
  <c r="I3" i="15"/>
  <c r="H3" i="15"/>
  <c r="G3" i="15"/>
  <c r="F3" i="15"/>
  <c r="E3" i="15"/>
  <c r="D3" i="15"/>
  <c r="C3" i="15"/>
  <c r="B3" i="15"/>
  <c r="O2" i="15"/>
  <c r="N2" i="15"/>
  <c r="Q2" i="15" s="1"/>
  <c r="M2" i="15"/>
  <c r="L2" i="15"/>
  <c r="R2" i="15" s="1"/>
  <c r="K2" i="15"/>
  <c r="J2" i="15"/>
  <c r="I2" i="15"/>
  <c r="H2" i="15"/>
  <c r="G2" i="15"/>
  <c r="F2" i="15"/>
  <c r="E2" i="15"/>
  <c r="D2" i="15"/>
  <c r="C2" i="15"/>
  <c r="B2" i="15"/>
  <c r="A2" i="15"/>
  <c r="T22" i="14"/>
  <c r="S22" i="14"/>
  <c r="R22" i="14"/>
  <c r="Q22" i="14"/>
  <c r="P22" i="14"/>
  <c r="O22" i="14"/>
  <c r="N22" i="14"/>
  <c r="M22" i="14"/>
  <c r="L22" i="14"/>
  <c r="K22" i="14"/>
  <c r="J22" i="14"/>
  <c r="I22" i="14"/>
  <c r="U22" i="14" s="1"/>
  <c r="H22" i="14"/>
  <c r="G22" i="14"/>
  <c r="F22" i="14"/>
  <c r="E22" i="14"/>
  <c r="D22" i="14"/>
  <c r="C22" i="14"/>
  <c r="B22" i="14"/>
  <c r="T21" i="14"/>
  <c r="S21" i="14"/>
  <c r="R21" i="14"/>
  <c r="Q21" i="14"/>
  <c r="P21" i="14"/>
  <c r="O21" i="14"/>
  <c r="N21" i="14"/>
  <c r="M21" i="14"/>
  <c r="L21" i="14"/>
  <c r="K21" i="14"/>
  <c r="J21" i="14"/>
  <c r="I21" i="14"/>
  <c r="U21" i="14" s="1"/>
  <c r="H21" i="14"/>
  <c r="G21" i="14"/>
  <c r="F21" i="14"/>
  <c r="E21" i="14"/>
  <c r="D21" i="14"/>
  <c r="C21" i="14"/>
  <c r="B21" i="14"/>
  <c r="T20" i="14"/>
  <c r="S20" i="14"/>
  <c r="R20" i="14"/>
  <c r="Q20" i="14"/>
  <c r="P20" i="14"/>
  <c r="O20" i="14"/>
  <c r="N20" i="14"/>
  <c r="M20" i="14"/>
  <c r="L20" i="14"/>
  <c r="K20" i="14"/>
  <c r="J20" i="14"/>
  <c r="I20" i="14"/>
  <c r="U20" i="14" s="1"/>
  <c r="H20" i="14"/>
  <c r="G20" i="14"/>
  <c r="F20" i="14"/>
  <c r="E20" i="14"/>
  <c r="D20" i="14"/>
  <c r="C20" i="14"/>
  <c r="B20" i="14"/>
  <c r="T19" i="14"/>
  <c r="S19" i="14"/>
  <c r="R19" i="14"/>
  <c r="Q19" i="14"/>
  <c r="P19" i="14"/>
  <c r="O19" i="14"/>
  <c r="N19" i="14"/>
  <c r="M19" i="14"/>
  <c r="L19" i="14"/>
  <c r="K19" i="14"/>
  <c r="J19" i="14"/>
  <c r="I19" i="14"/>
  <c r="U19" i="14" s="1"/>
  <c r="H19" i="14"/>
  <c r="G19" i="14"/>
  <c r="F19" i="14"/>
  <c r="E19" i="14"/>
  <c r="D19" i="14"/>
  <c r="C19" i="14"/>
  <c r="B19" i="14"/>
  <c r="T18" i="14"/>
  <c r="S18" i="14"/>
  <c r="R18" i="14"/>
  <c r="Q18" i="14"/>
  <c r="P18" i="14"/>
  <c r="O18" i="14"/>
  <c r="N18" i="14"/>
  <c r="M18" i="14"/>
  <c r="L18" i="14"/>
  <c r="K18" i="14"/>
  <c r="J18" i="14"/>
  <c r="I18" i="14"/>
  <c r="U18" i="14" s="1"/>
  <c r="H18" i="14"/>
  <c r="G18" i="14"/>
  <c r="F18" i="14"/>
  <c r="E18" i="14"/>
  <c r="D18" i="14"/>
  <c r="C18" i="14"/>
  <c r="B18" i="14"/>
  <c r="T17" i="14"/>
  <c r="S17" i="14"/>
  <c r="R17" i="14"/>
  <c r="Q17" i="14"/>
  <c r="P17" i="14"/>
  <c r="O17" i="14"/>
  <c r="N17" i="14"/>
  <c r="M17" i="14"/>
  <c r="L17" i="14"/>
  <c r="K17" i="14"/>
  <c r="J17" i="14"/>
  <c r="I17" i="14"/>
  <c r="U17" i="14" s="1"/>
  <c r="H17" i="14"/>
  <c r="G17" i="14"/>
  <c r="F17" i="14"/>
  <c r="E17" i="14"/>
  <c r="D17" i="14"/>
  <c r="C17" i="14"/>
  <c r="B17" i="14"/>
  <c r="T16" i="14"/>
  <c r="S16" i="14"/>
  <c r="R16" i="14"/>
  <c r="Q16" i="14"/>
  <c r="P16" i="14"/>
  <c r="O16" i="14"/>
  <c r="N16" i="14"/>
  <c r="M16" i="14"/>
  <c r="L16" i="14"/>
  <c r="K16" i="14"/>
  <c r="J16" i="14"/>
  <c r="I16" i="14"/>
  <c r="U16" i="14" s="1"/>
  <c r="H16" i="14"/>
  <c r="G16" i="14"/>
  <c r="F16" i="14"/>
  <c r="E16" i="14"/>
  <c r="D16" i="14"/>
  <c r="C16" i="14"/>
  <c r="B16" i="14"/>
  <c r="T15" i="14"/>
  <c r="S15" i="14"/>
  <c r="R15" i="14"/>
  <c r="Q15" i="14"/>
  <c r="P15" i="14"/>
  <c r="O15" i="14"/>
  <c r="N15" i="14"/>
  <c r="M15" i="14"/>
  <c r="L15" i="14"/>
  <c r="K15" i="14"/>
  <c r="J15" i="14"/>
  <c r="I15" i="14"/>
  <c r="U15" i="14" s="1"/>
  <c r="H15" i="14"/>
  <c r="G15" i="14"/>
  <c r="F15" i="14"/>
  <c r="E15" i="14"/>
  <c r="D15" i="14"/>
  <c r="C15" i="14"/>
  <c r="B15" i="14"/>
  <c r="T14" i="14"/>
  <c r="S14" i="14"/>
  <c r="R14" i="14"/>
  <c r="Q14" i="14"/>
  <c r="P14" i="14"/>
  <c r="O14" i="14"/>
  <c r="N14" i="14"/>
  <c r="M14" i="14"/>
  <c r="L14" i="14"/>
  <c r="K14" i="14"/>
  <c r="J14" i="14"/>
  <c r="I14" i="14"/>
  <c r="U14" i="14" s="1"/>
  <c r="H14" i="14"/>
  <c r="G14" i="14"/>
  <c r="F14" i="14"/>
  <c r="E14" i="14"/>
  <c r="D14" i="14"/>
  <c r="C14" i="14"/>
  <c r="B14" i="14"/>
  <c r="T13" i="14"/>
  <c r="S13" i="14"/>
  <c r="R13" i="14"/>
  <c r="Q13" i="14"/>
  <c r="P13" i="14"/>
  <c r="O13" i="14"/>
  <c r="N13" i="14"/>
  <c r="M13" i="14"/>
  <c r="L13" i="14"/>
  <c r="K13" i="14"/>
  <c r="J13" i="14"/>
  <c r="I13" i="14"/>
  <c r="U13" i="14" s="1"/>
  <c r="H13" i="14"/>
  <c r="G13" i="14"/>
  <c r="F13" i="14"/>
  <c r="E13" i="14"/>
  <c r="D13" i="14"/>
  <c r="C13" i="14"/>
  <c r="B13" i="14"/>
  <c r="T12" i="14"/>
  <c r="S12" i="14"/>
  <c r="R12" i="14"/>
  <c r="Q12" i="14"/>
  <c r="P12" i="14"/>
  <c r="O12" i="14"/>
  <c r="N12" i="14"/>
  <c r="M12" i="14"/>
  <c r="L12" i="14"/>
  <c r="K12" i="14"/>
  <c r="J12" i="14"/>
  <c r="I12" i="14"/>
  <c r="U12" i="14" s="1"/>
  <c r="H12" i="14"/>
  <c r="G12" i="14"/>
  <c r="F12" i="14"/>
  <c r="E12" i="14"/>
  <c r="D12" i="14"/>
  <c r="C12" i="14"/>
  <c r="B12" i="14"/>
  <c r="T11" i="14"/>
  <c r="S11" i="14"/>
  <c r="R11" i="14"/>
  <c r="Q11" i="14"/>
  <c r="P11" i="14"/>
  <c r="O11" i="14"/>
  <c r="N11" i="14"/>
  <c r="M11" i="14"/>
  <c r="L11" i="14"/>
  <c r="K11" i="14"/>
  <c r="J11" i="14"/>
  <c r="I11" i="14"/>
  <c r="U11" i="14" s="1"/>
  <c r="H11" i="14"/>
  <c r="G11" i="14"/>
  <c r="F11" i="14"/>
  <c r="E11" i="14"/>
  <c r="D11" i="14"/>
  <c r="C11" i="14"/>
  <c r="B11" i="14"/>
  <c r="T10" i="14"/>
  <c r="S10" i="14"/>
  <c r="R10" i="14"/>
  <c r="Q10" i="14"/>
  <c r="P10" i="14"/>
  <c r="O10" i="14"/>
  <c r="N10" i="14"/>
  <c r="M10" i="14"/>
  <c r="L10" i="14"/>
  <c r="K10" i="14"/>
  <c r="J10" i="14"/>
  <c r="I10" i="14"/>
  <c r="U10" i="14" s="1"/>
  <c r="H10" i="14"/>
  <c r="G10" i="14"/>
  <c r="F10" i="14"/>
  <c r="E10" i="14"/>
  <c r="D10" i="14"/>
  <c r="C10" i="14"/>
  <c r="B10" i="14"/>
  <c r="T9" i="14"/>
  <c r="S9" i="14"/>
  <c r="R9" i="14"/>
  <c r="Q9" i="14"/>
  <c r="P9" i="14"/>
  <c r="O9" i="14"/>
  <c r="N9" i="14"/>
  <c r="M9" i="14"/>
  <c r="L9" i="14"/>
  <c r="K9" i="14"/>
  <c r="J9" i="14"/>
  <c r="I9" i="14"/>
  <c r="U9" i="14" s="1"/>
  <c r="H9" i="14"/>
  <c r="G9" i="14"/>
  <c r="F9" i="14"/>
  <c r="E9" i="14"/>
  <c r="D9" i="14"/>
  <c r="C9" i="14"/>
  <c r="B9" i="14"/>
  <c r="T8" i="14"/>
  <c r="S8" i="14"/>
  <c r="R8" i="14"/>
  <c r="Q8" i="14"/>
  <c r="P8" i="14"/>
  <c r="O8" i="14"/>
  <c r="N8" i="14"/>
  <c r="M8" i="14"/>
  <c r="L8" i="14"/>
  <c r="K8" i="14"/>
  <c r="J8" i="14"/>
  <c r="I8" i="14"/>
  <c r="U8" i="14" s="1"/>
  <c r="H8" i="14"/>
  <c r="G8" i="14"/>
  <c r="F8" i="14"/>
  <c r="E8" i="14"/>
  <c r="D8" i="14"/>
  <c r="C8" i="14"/>
  <c r="B8" i="14"/>
  <c r="T7" i="14"/>
  <c r="S7" i="14"/>
  <c r="R7" i="14"/>
  <c r="Q7" i="14"/>
  <c r="P7" i="14"/>
  <c r="O7" i="14"/>
  <c r="N7" i="14"/>
  <c r="M7" i="14"/>
  <c r="L7" i="14"/>
  <c r="K7" i="14"/>
  <c r="J7" i="14"/>
  <c r="I7" i="14"/>
  <c r="U7" i="14" s="1"/>
  <c r="H7" i="14"/>
  <c r="G7" i="14"/>
  <c r="F7" i="14"/>
  <c r="E7" i="14"/>
  <c r="D7" i="14"/>
  <c r="C7" i="14"/>
  <c r="B7" i="14"/>
  <c r="T6" i="14"/>
  <c r="S6" i="14"/>
  <c r="R6" i="14"/>
  <c r="Q6" i="14"/>
  <c r="P6" i="14"/>
  <c r="O6" i="14"/>
  <c r="N6" i="14"/>
  <c r="M6" i="14"/>
  <c r="L6" i="14"/>
  <c r="K6" i="14"/>
  <c r="J6" i="14"/>
  <c r="I6" i="14"/>
  <c r="U6" i="14" s="1"/>
  <c r="H6" i="14"/>
  <c r="G6" i="14"/>
  <c r="F6" i="14"/>
  <c r="E6" i="14"/>
  <c r="D6" i="14"/>
  <c r="C6" i="14"/>
  <c r="B6" i="14"/>
  <c r="T5" i="14"/>
  <c r="S5" i="14"/>
  <c r="R5" i="14"/>
  <c r="Q5" i="14"/>
  <c r="P5" i="14"/>
  <c r="O5" i="14"/>
  <c r="N5" i="14"/>
  <c r="M5" i="14"/>
  <c r="L5" i="14"/>
  <c r="K5" i="14"/>
  <c r="J5" i="14"/>
  <c r="I5" i="14"/>
  <c r="U5" i="14" s="1"/>
  <c r="H5" i="14"/>
  <c r="G5" i="14"/>
  <c r="F5" i="14"/>
  <c r="E5" i="14"/>
  <c r="D5" i="14"/>
  <c r="C5" i="14"/>
  <c r="B5" i="14"/>
  <c r="T4" i="14"/>
  <c r="S4" i="14"/>
  <c r="R4" i="14"/>
  <c r="Q4" i="14"/>
  <c r="P4" i="14"/>
  <c r="O4" i="14"/>
  <c r="N4" i="14"/>
  <c r="M4" i="14"/>
  <c r="L4" i="14"/>
  <c r="K4" i="14"/>
  <c r="J4" i="14"/>
  <c r="I4" i="14"/>
  <c r="U4" i="14" s="1"/>
  <c r="H4" i="14"/>
  <c r="G4" i="14"/>
  <c r="F4" i="14"/>
  <c r="E4" i="14"/>
  <c r="D4" i="14"/>
  <c r="C4" i="14"/>
  <c r="B4" i="14"/>
  <c r="T3" i="14"/>
  <c r="S3" i="14"/>
  <c r="R3" i="14"/>
  <c r="Q3" i="14"/>
  <c r="P3" i="14"/>
  <c r="O3" i="14"/>
  <c r="N3" i="14"/>
  <c r="M3" i="14"/>
  <c r="L3" i="14"/>
  <c r="K3" i="14"/>
  <c r="J3" i="14"/>
  <c r="I3" i="14"/>
  <c r="U3" i="14" s="1"/>
  <c r="H3" i="14"/>
  <c r="G3" i="14"/>
  <c r="F3" i="14"/>
  <c r="E3" i="14"/>
  <c r="D3" i="14"/>
  <c r="C3" i="14"/>
  <c r="B3" i="14"/>
  <c r="T2" i="14"/>
  <c r="S2" i="14"/>
  <c r="R2" i="14"/>
  <c r="Q2" i="14"/>
  <c r="P2" i="14"/>
  <c r="O2" i="14"/>
  <c r="N2" i="14"/>
  <c r="M2" i="14"/>
  <c r="L2" i="14"/>
  <c r="K2" i="14"/>
  <c r="J2" i="14"/>
  <c r="I2" i="14"/>
  <c r="U2" i="14" s="1"/>
  <c r="H2" i="14"/>
  <c r="G2" i="14"/>
  <c r="F2" i="14"/>
  <c r="E2" i="14"/>
  <c r="D2" i="14"/>
  <c r="C2" i="14"/>
  <c r="B2" i="14"/>
  <c r="A2" i="14"/>
  <c r="A3" i="11"/>
  <c r="A3" i="10"/>
  <c r="T175" i="20" l="1"/>
  <c r="T994" i="20"/>
  <c r="T239" i="20"/>
  <c r="T298" i="20"/>
  <c r="T490" i="20"/>
  <c r="T993" i="20"/>
  <c r="T911" i="20"/>
  <c r="T302" i="20"/>
  <c r="T681" i="20"/>
  <c r="T992" i="20"/>
  <c r="T907" i="20"/>
  <c r="T303" i="20"/>
  <c r="T680" i="20"/>
  <c r="T991" i="20"/>
  <c r="T271" i="20"/>
  <c r="T304" i="20"/>
  <c r="T176" i="20"/>
  <c r="T990" i="20"/>
  <c r="T678" i="20"/>
  <c r="T307" i="20"/>
  <c r="T896" i="20"/>
  <c r="T989" i="20"/>
  <c r="T677" i="20"/>
  <c r="T312" i="20"/>
  <c r="T426" i="20"/>
  <c r="T988" i="20"/>
  <c r="T676" i="20"/>
  <c r="T319" i="20"/>
  <c r="T912" i="20"/>
  <c r="T987" i="20"/>
  <c r="T675" i="20"/>
  <c r="T321" i="20"/>
  <c r="T898" i="20"/>
  <c r="T986" i="20"/>
  <c r="T674" i="20"/>
  <c r="T323" i="20"/>
  <c r="T489" i="20"/>
  <c r="T985" i="20"/>
  <c r="T287" i="20"/>
  <c r="T325" i="20"/>
  <c r="T908" i="20"/>
  <c r="T984" i="20"/>
  <c r="T177" i="20"/>
  <c r="T327" i="20"/>
  <c r="T607" i="20"/>
  <c r="T983" i="20"/>
  <c r="T890" i="20"/>
  <c r="T328" i="20"/>
  <c r="T240" i="20"/>
  <c r="T982" i="20"/>
  <c r="T895" i="20"/>
  <c r="T329" i="20"/>
  <c r="T488" i="20"/>
  <c r="T981" i="20"/>
  <c r="T603" i="20"/>
  <c r="T330" i="20"/>
  <c r="T889" i="20"/>
  <c r="T980" i="20"/>
  <c r="T394" i="20"/>
  <c r="T331" i="20"/>
  <c r="T179" i="20"/>
  <c r="T979" i="20"/>
  <c r="T600" i="20"/>
  <c r="T332" i="20"/>
  <c r="T425" i="20"/>
  <c r="T978" i="20"/>
  <c r="T598" i="20"/>
  <c r="T333" i="20"/>
  <c r="T487" i="20"/>
  <c r="T977" i="20"/>
  <c r="T295" i="20"/>
  <c r="T334" i="20"/>
  <c r="T178" i="20"/>
  <c r="T976" i="20"/>
  <c r="T241" i="20"/>
  <c r="T335" i="20"/>
  <c r="T486" i="20"/>
  <c r="T975" i="20"/>
  <c r="T272" i="20"/>
  <c r="T336" i="20"/>
  <c r="T2" i="20"/>
  <c r="T974" i="20"/>
  <c r="T180" i="20"/>
  <c r="T337" i="20"/>
  <c r="T594" i="20"/>
  <c r="T973" i="20"/>
  <c r="T424" i="20"/>
  <c r="T338" i="20"/>
  <c r="T485" i="20"/>
  <c r="T972" i="20"/>
  <c r="T3" i="20"/>
  <c r="T339" i="20"/>
  <c r="T378" i="20"/>
  <c r="T971" i="20"/>
  <c r="T181" i="20"/>
  <c r="T340" i="20"/>
  <c r="T4" i="20"/>
  <c r="T970" i="20"/>
  <c r="T242" i="20"/>
  <c r="T341" i="20"/>
  <c r="T589" i="20"/>
  <c r="T969" i="20"/>
  <c r="T484" i="20"/>
  <c r="T342" i="20"/>
  <c r="T5" i="20"/>
  <c r="T968" i="20"/>
  <c r="T393" i="20"/>
  <c r="T343" i="20"/>
  <c r="T182" i="20"/>
  <c r="T967" i="20"/>
  <c r="T423" i="20"/>
  <c r="T344" i="20"/>
  <c r="T585" i="20"/>
  <c r="T966" i="20"/>
  <c r="T483" i="20"/>
  <c r="T345" i="20"/>
  <c r="T884" i="20"/>
  <c r="T965" i="20"/>
  <c r="T583" i="20"/>
  <c r="T346" i="20"/>
  <c r="T6" i="20"/>
  <c r="T964" i="20"/>
  <c r="T582" i="20"/>
  <c r="T347" i="20"/>
  <c r="T7" i="20"/>
  <c r="T963" i="20"/>
  <c r="T183" i="20"/>
  <c r="T348" i="20"/>
  <c r="T243" i="20"/>
  <c r="T962" i="20"/>
  <c r="T482" i="20"/>
  <c r="T349" i="20"/>
  <c r="T273" i="20"/>
  <c r="T961" i="20"/>
  <c r="T184" i="20"/>
  <c r="T350" i="20"/>
  <c r="T422" i="20"/>
  <c r="T960" i="20"/>
  <c r="T481" i="20"/>
  <c r="T351" i="20"/>
  <c r="T288" i="20"/>
  <c r="T959" i="20"/>
  <c r="T185" i="20"/>
  <c r="T352" i="20"/>
  <c r="T244" i="20"/>
  <c r="T958" i="20"/>
  <c r="T8" i="20"/>
  <c r="T355" i="20"/>
  <c r="T480" i="20"/>
  <c r="T957" i="20"/>
  <c r="T574" i="20"/>
  <c r="T356" i="20"/>
  <c r="T9" i="20"/>
  <c r="T956" i="20"/>
  <c r="T392" i="20"/>
  <c r="T357" i="20"/>
  <c r="T572" i="20"/>
  <c r="T955" i="20"/>
  <c r="T10" i="20"/>
  <c r="T532" i="20"/>
  <c r="T186" i="20"/>
  <c r="T954" i="20"/>
  <c r="T421" i="20"/>
  <c r="T534" i="20"/>
  <c r="T479" i="20"/>
  <c r="T568" i="20"/>
  <c r="T535" i="20"/>
  <c r="T567" i="20"/>
  <c r="T952" i="20"/>
  <c r="T370" i="20"/>
  <c r="T536" i="20"/>
  <c r="T187" i="20"/>
  <c r="T565" i="20"/>
  <c r="T564" i="20"/>
  <c r="T540" i="20"/>
  <c r="T949" i="20"/>
  <c r="T563" i="20"/>
  <c r="T245" i="20"/>
  <c r="T541" i="20"/>
  <c r="T947" i="20"/>
  <c r="T542" i="20"/>
  <c r="T946" i="20"/>
  <c r="T561" i="20"/>
  <c r="T11" i="20"/>
  <c r="T478" i="20"/>
  <c r="T274" i="20"/>
  <c r="T188" i="20"/>
  <c r="T558" i="20"/>
  <c r="T545" i="20"/>
  <c r="T12" i="20"/>
  <c r="T546" i="20"/>
  <c r="T941" i="20"/>
  <c r="T420" i="20"/>
  <c r="T477" i="20"/>
  <c r="T377" i="20"/>
  <c r="T189" i="20"/>
  <c r="T547" i="20"/>
  <c r="T938" i="20"/>
  <c r="T246" i="20"/>
  <c r="T476" i="20"/>
  <c r="T391" i="20"/>
  <c r="T548" i="20"/>
  <c r="T935" i="20"/>
  <c r="T552" i="20"/>
  <c r="T934" i="20"/>
  <c r="T13" i="20"/>
  <c r="T555" i="20"/>
  <c r="T190" i="20"/>
  <c r="T933" i="20"/>
  <c r="T559" i="20"/>
  <c r="T932" i="20"/>
  <c r="T551" i="20"/>
  <c r="T931" i="20"/>
  <c r="T14" i="20"/>
  <c r="T419" i="20"/>
  <c r="T475" i="20"/>
  <c r="T560" i="20"/>
  <c r="T929" i="20"/>
  <c r="T562" i="20"/>
  <c r="T361" i="20"/>
  <c r="T191" i="20"/>
  <c r="T247" i="20"/>
  <c r="T927" i="20"/>
  <c r="T566" i="20"/>
  <c r="T926" i="20"/>
  <c r="T570" i="20"/>
  <c r="T925" i="20"/>
  <c r="T573" i="20"/>
  <c r="T924" i="20"/>
  <c r="T576" i="20"/>
  <c r="T923" i="20"/>
  <c r="T577" i="20"/>
  <c r="T474" i="20"/>
  <c r="T578" i="20"/>
  <c r="T15" i="20"/>
  <c r="T275" i="20"/>
  <c r="T920" i="20"/>
  <c r="T579" i="20"/>
  <c r="T919" i="20"/>
  <c r="T580" i="20"/>
  <c r="T918" i="20"/>
  <c r="T581" i="20"/>
  <c r="T324" i="20"/>
  <c r="T192" i="20"/>
  <c r="T16" i="20"/>
  <c r="T322" i="20"/>
  <c r="T915" i="20"/>
  <c r="T584" i="20"/>
  <c r="T914" i="20"/>
  <c r="T587" i="20"/>
  <c r="T17" i="20"/>
  <c r="T913" i="20"/>
  <c r="T418" i="20"/>
  <c r="T588" i="20"/>
  <c r="T473" i="20"/>
  <c r="T318" i="20"/>
  <c r="T317" i="20"/>
  <c r="T316" i="20"/>
  <c r="T289" i="20"/>
  <c r="T314" i="20"/>
  <c r="T591" i="20"/>
  <c r="T18" i="20"/>
  <c r="T193" i="20"/>
  <c r="T19" i="20"/>
  <c r="T248" i="20"/>
  <c r="T472" i="20"/>
  <c r="T390" i="20"/>
  <c r="T906" i="20"/>
  <c r="T20" i="20"/>
  <c r="T592" i="20"/>
  <c r="T308" i="20"/>
  <c r="T905" i="20"/>
  <c r="T21" i="20"/>
  <c r="T599" i="20"/>
  <c r="T22" i="20"/>
  <c r="T904" i="20"/>
  <c r="T23" i="20"/>
  <c r="T602" i="20"/>
  <c r="T903" i="20"/>
  <c r="T605" i="20"/>
  <c r="T902" i="20"/>
  <c r="T608" i="20"/>
  <c r="T901" i="20"/>
  <c r="T610" i="20"/>
  <c r="T900" i="20"/>
  <c r="T614" i="20"/>
  <c r="T194" i="20"/>
  <c r="T417" i="20"/>
  <c r="T24" i="20"/>
  <c r="T471" i="20"/>
  <c r="T888" i="20"/>
  <c r="T25" i="20"/>
  <c r="T195" i="20"/>
  <c r="T300" i="20"/>
  <c r="T249" i="20"/>
  <c r="T470" i="20"/>
  <c r="T894" i="20"/>
  <c r="T615" i="20"/>
  <c r="T893" i="20"/>
  <c r="T616" i="20"/>
  <c r="T892" i="20"/>
  <c r="T276" i="20"/>
  <c r="T196" i="20"/>
  <c r="T26" i="20"/>
  <c r="T416" i="20"/>
  <c r="T469" i="20"/>
  <c r="T376" i="20"/>
  <c r="T123" i="20"/>
  <c r="T197" i="20"/>
  <c r="T250" i="20"/>
  <c r="T468" i="20"/>
  <c r="T120" i="20"/>
  <c r="T886" i="20"/>
  <c r="T27" i="20"/>
  <c r="T28" i="20"/>
  <c r="T879" i="20"/>
  <c r="T118" i="20"/>
  <c r="T389" i="20"/>
  <c r="T198" i="20"/>
  <c r="T415" i="20"/>
  <c r="T29" i="20"/>
  <c r="T617" i="20"/>
  <c r="T875" i="20"/>
  <c r="T627" i="20"/>
  <c r="T114" i="20"/>
  <c r="T467" i="20"/>
  <c r="T113" i="20"/>
  <c r="T366" i="20"/>
  <c r="T199" i="20"/>
  <c r="T251" i="20"/>
  <c r="T111" i="20"/>
  <c r="T30" i="20"/>
  <c r="T466" i="20"/>
  <c r="T31" i="20"/>
  <c r="T277" i="20"/>
  <c r="T200" i="20"/>
  <c r="T414" i="20"/>
  <c r="T465" i="20"/>
  <c r="T867" i="20"/>
  <c r="T106" i="20"/>
  <c r="T628" i="20"/>
  <c r="T290" i="20"/>
  <c r="T866" i="20"/>
  <c r="T32" i="20"/>
  <c r="T629" i="20"/>
  <c r="T201" i="20"/>
  <c r="T865" i="20"/>
  <c r="T105" i="20"/>
  <c r="T630" i="20"/>
  <c r="T252" i="20"/>
  <c r="T33" i="20"/>
  <c r="T464" i="20"/>
  <c r="T104" i="20"/>
  <c r="T388" i="20"/>
  <c r="T862" i="20"/>
  <c r="T631" i="20"/>
  <c r="T861" i="20"/>
  <c r="T632" i="20"/>
  <c r="T860" i="20"/>
  <c r="T633" i="20"/>
  <c r="T34" i="20"/>
  <c r="T202" i="20"/>
  <c r="T103" i="20"/>
  <c r="T413" i="20"/>
  <c r="T634" i="20"/>
  <c r="T856" i="20"/>
  <c r="T35" i="20"/>
  <c r="T463" i="20"/>
  <c r="T102" i="20"/>
  <c r="T369" i="20"/>
  <c r="T36" i="20"/>
  <c r="T635" i="20"/>
  <c r="T853" i="20"/>
  <c r="T639" i="20"/>
  <c r="T203" i="20"/>
  <c r="T640" i="20"/>
  <c r="T851" i="20"/>
  <c r="T641" i="20"/>
  <c r="T850" i="20"/>
  <c r="T642" i="20"/>
  <c r="T849" i="20"/>
  <c r="T643" i="20"/>
  <c r="T848" i="20"/>
  <c r="T644" i="20"/>
  <c r="T101" i="20"/>
  <c r="T847" i="20"/>
  <c r="T253" i="20"/>
  <c r="T37" i="20"/>
  <c r="T462" i="20"/>
  <c r="T107" i="20"/>
  <c r="T845" i="20"/>
  <c r="T108" i="20"/>
  <c r="T844" i="20"/>
  <c r="T100" i="20"/>
  <c r="T278" i="20"/>
  <c r="T109" i="20"/>
  <c r="T842" i="20"/>
  <c r="T38" i="20"/>
  <c r="T110" i="20"/>
  <c r="T204" i="20"/>
  <c r="T841" i="20"/>
  <c r="T99" i="20"/>
  <c r="T112" i="20"/>
  <c r="T840" i="20"/>
  <c r="T116" i="20"/>
  <c r="T839" i="20"/>
  <c r="T119" i="20"/>
  <c r="T838" i="20"/>
  <c r="T122" i="20"/>
  <c r="T837" i="20"/>
  <c r="T124" i="20"/>
  <c r="T836" i="20"/>
  <c r="T412" i="20"/>
  <c r="T299" i="20"/>
  <c r="T834" i="20"/>
  <c r="T39" i="20"/>
  <c r="T461" i="20"/>
  <c r="T98" i="20"/>
  <c r="T375" i="20"/>
  <c r="T832" i="20"/>
  <c r="T301" i="20"/>
  <c r="T831" i="20"/>
  <c r="T305" i="20"/>
  <c r="T40" i="20"/>
  <c r="T205" i="20"/>
  <c r="T97" i="20"/>
  <c r="T254" i="20"/>
  <c r="T41" i="20"/>
  <c r="T306" i="20"/>
  <c r="T827" i="20"/>
  <c r="T309" i="20"/>
  <c r="T826" i="20"/>
  <c r="T310" i="20"/>
  <c r="T825" i="20"/>
  <c r="T311" i="20"/>
  <c r="T824" i="20"/>
  <c r="T313" i="20"/>
  <c r="T823" i="20"/>
  <c r="T315" i="20"/>
  <c r="T822" i="20"/>
  <c r="T320" i="20"/>
  <c r="T821" i="20"/>
  <c r="T326" i="20"/>
  <c r="T820" i="20"/>
  <c r="T353" i="20"/>
  <c r="T460" i="20"/>
  <c r="T96" i="20"/>
  <c r="T387" i="20"/>
  <c r="T42" i="20"/>
  <c r="T206" i="20"/>
  <c r="T95" i="20"/>
  <c r="T411" i="20"/>
  <c r="T43" i="20"/>
  <c r="T459" i="20"/>
  <c r="T354" i="20"/>
  <c r="T94" i="20"/>
  <c r="T358" i="20"/>
  <c r="T813" i="20"/>
  <c r="T362" i="20"/>
  <c r="T44" i="20"/>
  <c r="T812" i="20"/>
  <c r="T359" i="20"/>
  <c r="T811" i="20"/>
  <c r="T207" i="20"/>
  <c r="T810" i="20"/>
  <c r="T360" i="20"/>
  <c r="T809" i="20"/>
  <c r="T93" i="20"/>
  <c r="T533" i="20"/>
  <c r="T255" i="20"/>
  <c r="T808" i="20"/>
  <c r="T537" i="20"/>
  <c r="T45" i="20"/>
  <c r="T807" i="20"/>
  <c r="T458" i="20"/>
  <c r="T538" i="20"/>
  <c r="T806" i="20"/>
  <c r="T539" i="20"/>
  <c r="T805" i="20"/>
  <c r="T543" i="20"/>
  <c r="T804" i="20"/>
  <c r="T544" i="20"/>
  <c r="T803" i="20"/>
  <c r="T549" i="20"/>
  <c r="T802" i="20"/>
  <c r="T550" i="20"/>
  <c r="T92" i="20"/>
  <c r="T279" i="20"/>
  <c r="T46" i="20"/>
  <c r="T208" i="20"/>
  <c r="T91" i="20"/>
  <c r="T553" i="20"/>
  <c r="T798" i="20"/>
  <c r="T410" i="20"/>
  <c r="T47" i="20"/>
  <c r="T457" i="20"/>
  <c r="T90" i="20"/>
  <c r="T291" i="20"/>
  <c r="T48" i="20"/>
  <c r="T209" i="20"/>
  <c r="T89" i="20"/>
  <c r="T256" i="20"/>
  <c r="T49" i="20"/>
  <c r="T456" i="20"/>
  <c r="T88" i="20"/>
  <c r="T792" i="20"/>
  <c r="T554" i="20"/>
  <c r="T791" i="20"/>
  <c r="T556" i="20"/>
  <c r="T790" i="20"/>
  <c r="T557" i="20"/>
  <c r="T789" i="20"/>
  <c r="T569" i="20"/>
  <c r="T788" i="20"/>
  <c r="T386" i="20"/>
  <c r="T50" i="20"/>
  <c r="T571" i="20"/>
  <c r="T786" i="20"/>
  <c r="T575" i="20"/>
  <c r="T210" i="20"/>
  <c r="T785" i="20"/>
  <c r="T87" i="20"/>
  <c r="T409" i="20"/>
  <c r="T51" i="20"/>
  <c r="T586" i="20"/>
  <c r="T783" i="20"/>
  <c r="T590" i="20"/>
  <c r="T782" i="20"/>
  <c r="T593" i="20"/>
  <c r="T781" i="20"/>
  <c r="T455" i="20"/>
  <c r="T86" i="20"/>
  <c r="T780" i="20"/>
  <c r="T595" i="20"/>
  <c r="T779" i="20"/>
  <c r="T887" i="20"/>
  <c r="T52" i="20"/>
  <c r="T211" i="20"/>
  <c r="T85" i="20"/>
  <c r="T257" i="20"/>
  <c r="T53" i="20"/>
  <c r="T454" i="20"/>
  <c r="T84" i="20"/>
  <c r="T775" i="20"/>
  <c r="T596" i="20"/>
  <c r="T774" i="20"/>
  <c r="T597" i="20"/>
  <c r="T280" i="20"/>
  <c r="T54" i="20"/>
  <c r="T212" i="20"/>
  <c r="T83" i="20"/>
  <c r="T601" i="20"/>
  <c r="T771" i="20"/>
  <c r="T604" i="20"/>
  <c r="T408" i="20"/>
  <c r="T770" i="20"/>
  <c r="T55" i="20"/>
  <c r="T606" i="20"/>
  <c r="T453" i="20"/>
  <c r="T769" i="20"/>
  <c r="T82" i="20"/>
  <c r="T609" i="20"/>
  <c r="T374" i="20"/>
  <c r="T768" i="20"/>
  <c r="T56" i="20"/>
  <c r="T611" i="20"/>
  <c r="T213" i="20"/>
  <c r="T612" i="20"/>
  <c r="T688" i="20"/>
  <c r="T81" i="20"/>
  <c r="T687" i="20"/>
  <c r="T613" i="20"/>
  <c r="T686" i="20"/>
  <c r="T618" i="20"/>
  <c r="T258" i="20"/>
  <c r="T57" i="20"/>
  <c r="T452" i="20"/>
  <c r="T80" i="20"/>
  <c r="T619" i="20"/>
  <c r="T683" i="20"/>
  <c r="T620" i="20"/>
  <c r="T682" i="20"/>
  <c r="T385" i="20"/>
  <c r="T58" i="20"/>
  <c r="T214" i="20"/>
  <c r="T79" i="20"/>
  <c r="T621" i="20"/>
  <c r="T679" i="20"/>
  <c r="T622" i="20"/>
  <c r="T125" i="20"/>
  <c r="T407" i="20"/>
  <c r="T78" i="20"/>
  <c r="T623" i="20"/>
  <c r="T451" i="20"/>
  <c r="T126" i="20"/>
  <c r="T77" i="20"/>
  <c r="T61" i="20"/>
  <c r="T127" i="20"/>
  <c r="T76" i="20"/>
  <c r="T624" i="20"/>
  <c r="T215" i="20"/>
  <c r="T673" i="20"/>
  <c r="T75" i="20"/>
  <c r="T625" i="20"/>
  <c r="T128" i="20"/>
  <c r="T672" i="20"/>
  <c r="T74" i="20"/>
  <c r="T626" i="20"/>
  <c r="T259" i="20"/>
  <c r="T671" i="20"/>
  <c r="T450" i="20"/>
  <c r="T636" i="20"/>
  <c r="T281" i="20"/>
  <c r="T670" i="20"/>
  <c r="T216" i="20"/>
  <c r="T637" i="20"/>
  <c r="T406" i="20"/>
  <c r="T669" i="20"/>
  <c r="T449" i="20"/>
  <c r="T638" i="20"/>
  <c r="T129" i="20"/>
  <c r="T668" i="20"/>
  <c r="T70" i="20"/>
  <c r="T645" i="20"/>
  <c r="T130" i="20"/>
  <c r="T667" i="20"/>
  <c r="T69" i="20"/>
  <c r="T646" i="20"/>
  <c r="T131" i="20"/>
  <c r="T666" i="20"/>
  <c r="T68" i="20"/>
  <c r="T647" i="20"/>
  <c r="T292" i="20"/>
  <c r="T665" i="20"/>
  <c r="T217" i="20"/>
  <c r="T648" i="20"/>
  <c r="T132" i="20"/>
  <c r="T664" i="20"/>
  <c r="T66" i="20"/>
  <c r="T649" i="20"/>
  <c r="T133" i="20"/>
  <c r="T663" i="20"/>
  <c r="T260" i="20"/>
  <c r="T650" i="20"/>
  <c r="T64" i="20"/>
  <c r="T662" i="20"/>
  <c r="T448" i="20"/>
  <c r="T651" i="20"/>
  <c r="T384" i="20"/>
  <c r="T661" i="20"/>
  <c r="T218" i="20"/>
  <c r="T652" i="20"/>
  <c r="T134" i="20"/>
  <c r="T660" i="20"/>
  <c r="T405" i="20"/>
  <c r="T653" i="20"/>
  <c r="T447" i="20"/>
  <c r="T59" i="20"/>
  <c r="T767" i="20"/>
  <c r="T531" i="20"/>
  <c r="T654" i="20"/>
  <c r="T368" i="20"/>
  <c r="T766" i="20"/>
  <c r="T135" i="20"/>
  <c r="T655" i="20"/>
  <c r="T219" i="20"/>
  <c r="T765" i="20"/>
  <c r="T530" i="20"/>
  <c r="T656" i="20"/>
  <c r="T261" i="20"/>
  <c r="T764" i="20"/>
  <c r="T136" i="20"/>
  <c r="T657" i="20"/>
  <c r="T446" i="20"/>
  <c r="T763" i="20"/>
  <c r="T529" i="20"/>
  <c r="T658" i="20"/>
  <c r="T282" i="20"/>
  <c r="T762" i="20"/>
  <c r="T137" i="20"/>
  <c r="T659" i="20"/>
  <c r="T220" i="20"/>
  <c r="T761" i="20"/>
  <c r="T528" i="20"/>
  <c r="T772" i="20"/>
  <c r="T404" i="20"/>
  <c r="T760" i="20"/>
  <c r="T138" i="20"/>
  <c r="T773" i="20"/>
  <c r="T445" i="20"/>
  <c r="T759" i="20"/>
  <c r="T527" i="20"/>
  <c r="T776" i="20"/>
  <c r="T373" i="20"/>
  <c r="T758" i="20"/>
  <c r="T139" i="20"/>
  <c r="T777" i="20"/>
  <c r="T221" i="20"/>
  <c r="T757" i="20"/>
  <c r="T526" i="20"/>
  <c r="T778" i="20"/>
  <c r="T262" i="20"/>
  <c r="T756" i="20"/>
  <c r="T140" i="20"/>
  <c r="T784" i="20"/>
  <c r="T444" i="20"/>
  <c r="T755" i="20"/>
  <c r="T525" i="20"/>
  <c r="T787" i="20"/>
  <c r="T383" i="20"/>
  <c r="T754" i="20"/>
  <c r="T141" i="20"/>
  <c r="T793" i="20"/>
  <c r="T222" i="20"/>
  <c r="T753" i="20"/>
  <c r="T524" i="20"/>
  <c r="T795" i="20"/>
  <c r="T403" i="20"/>
  <c r="T752" i="20"/>
  <c r="T142" i="20"/>
  <c r="T796" i="20"/>
  <c r="T443" i="20"/>
  <c r="T751" i="20"/>
  <c r="T523" i="20"/>
  <c r="T797" i="20"/>
  <c r="T364" i="20"/>
  <c r="T750" i="20"/>
  <c r="T143" i="20"/>
  <c r="T799" i="20"/>
  <c r="T223" i="20"/>
  <c r="T749" i="20"/>
  <c r="T522" i="20"/>
  <c r="T800" i="20"/>
  <c r="T263" i="20"/>
  <c r="T748" i="20"/>
  <c r="T144" i="20"/>
  <c r="T801" i="20"/>
  <c r="T442" i="20"/>
  <c r="T747" i="20"/>
  <c r="T521" i="20"/>
  <c r="T814" i="20"/>
  <c r="T283" i="20"/>
  <c r="T746" i="20"/>
  <c r="T145" i="20"/>
  <c r="T815" i="20"/>
  <c r="T224" i="20"/>
  <c r="T745" i="20"/>
  <c r="T520" i="20"/>
  <c r="T816" i="20"/>
  <c r="T402" i="20"/>
  <c r="T744" i="20"/>
  <c r="T146" i="20"/>
  <c r="T817" i="20"/>
  <c r="T441" i="20"/>
  <c r="T743" i="20"/>
  <c r="T519" i="20"/>
  <c r="T818" i="20"/>
  <c r="T293" i="20"/>
  <c r="T742" i="20"/>
  <c r="T147" i="20"/>
  <c r="T819" i="20"/>
  <c r="T225" i="20"/>
  <c r="T741" i="20"/>
  <c r="T518" i="20"/>
  <c r="T828" i="20"/>
  <c r="T264" i="20"/>
  <c r="T740" i="20"/>
  <c r="T148" i="20"/>
  <c r="T829" i="20"/>
  <c r="T440" i="20"/>
  <c r="T739" i="20"/>
  <c r="T517" i="20"/>
  <c r="T830" i="20"/>
  <c r="T382" i="20"/>
  <c r="T738" i="20"/>
  <c r="T149" i="20"/>
  <c r="T833" i="20"/>
  <c r="T226" i="20"/>
  <c r="T737" i="20"/>
  <c r="T516" i="20"/>
  <c r="T835" i="20"/>
  <c r="T401" i="20"/>
  <c r="T736" i="20"/>
  <c r="T150" i="20"/>
  <c r="T843" i="20"/>
  <c r="T439" i="20"/>
  <c r="T735" i="20"/>
  <c r="T515" i="20"/>
  <c r="T846" i="20"/>
  <c r="T885" i="20"/>
  <c r="T734" i="20"/>
  <c r="T151" i="20"/>
  <c r="T852" i="20"/>
  <c r="T227" i="20"/>
  <c r="T733" i="20"/>
  <c r="T514" i="20"/>
  <c r="T854" i="20"/>
  <c r="T265" i="20"/>
  <c r="T732" i="20"/>
  <c r="T152" i="20"/>
  <c r="T855" i="20"/>
  <c r="T438" i="20"/>
  <c r="T731" i="20"/>
  <c r="T513" i="20"/>
  <c r="T857" i="20"/>
  <c r="T284" i="20"/>
  <c r="T730" i="20"/>
  <c r="T153" i="20"/>
  <c r="T858" i="20"/>
  <c r="T228" i="20"/>
  <c r="T729" i="20"/>
  <c r="T512" i="20"/>
  <c r="T859" i="20"/>
  <c r="T400" i="20"/>
  <c r="T728" i="20"/>
  <c r="T154" i="20"/>
  <c r="T863" i="20"/>
  <c r="T437" i="20"/>
  <c r="T727" i="20"/>
  <c r="T511" i="20"/>
  <c r="T864" i="20"/>
  <c r="T372" i="20"/>
  <c r="T726" i="20"/>
  <c r="T155" i="20"/>
  <c r="T868" i="20"/>
  <c r="T229" i="20"/>
  <c r="T725" i="20"/>
  <c r="T510" i="20"/>
  <c r="T869" i="20"/>
  <c r="T266" i="20"/>
  <c r="T724" i="20"/>
  <c r="T156" i="20"/>
  <c r="T870" i="20"/>
  <c r="T436" i="20"/>
  <c r="T723" i="20"/>
  <c r="T509" i="20"/>
  <c r="T871" i="20"/>
  <c r="T381" i="20"/>
  <c r="T722" i="20"/>
  <c r="T157" i="20"/>
  <c r="T872" i="20"/>
  <c r="T230" i="20"/>
  <c r="T721" i="20"/>
  <c r="T508" i="20"/>
  <c r="T873" i="20"/>
  <c r="T399" i="20"/>
  <c r="T720" i="20"/>
  <c r="T158" i="20"/>
  <c r="T874" i="20"/>
  <c r="T435" i="20"/>
  <c r="T719" i="20"/>
  <c r="T507" i="20"/>
  <c r="T876" i="20"/>
  <c r="T365" i="20"/>
  <c r="T718" i="20"/>
  <c r="T159" i="20"/>
  <c r="T877" i="20"/>
  <c r="T231" i="20"/>
  <c r="T717" i="20"/>
  <c r="T506" i="20"/>
  <c r="T878" i="20"/>
  <c r="T267" i="20"/>
  <c r="T716" i="20"/>
  <c r="T160" i="20"/>
  <c r="T880" i="20"/>
  <c r="T434" i="20"/>
  <c r="T715" i="20"/>
  <c r="T505" i="20"/>
  <c r="T881" i="20"/>
  <c r="T285" i="20"/>
  <c r="T714" i="20"/>
  <c r="T161" i="20"/>
  <c r="T882" i="20"/>
  <c r="T232" i="20"/>
  <c r="T713" i="20"/>
  <c r="T504" i="20"/>
  <c r="T883" i="20"/>
  <c r="T398" i="20"/>
  <c r="T712" i="20"/>
  <c r="T162" i="20"/>
  <c r="T937" i="20"/>
  <c r="T433" i="20"/>
  <c r="T711" i="20"/>
  <c r="T503" i="20"/>
  <c r="T940" i="20"/>
  <c r="T294" i="20"/>
  <c r="T710" i="20"/>
  <c r="T163" i="20"/>
  <c r="T950" i="20"/>
  <c r="T233" i="20"/>
  <c r="T709" i="20"/>
  <c r="T502" i="20"/>
  <c r="T942" i="20"/>
  <c r="T268" i="20"/>
  <c r="T708" i="20"/>
  <c r="T164" i="20"/>
  <c r="T944" i="20"/>
  <c r="T432" i="20"/>
  <c r="T707" i="20"/>
  <c r="T501" i="20"/>
  <c r="T936" i="20"/>
  <c r="T380" i="20"/>
  <c r="T706" i="20"/>
  <c r="T165" i="20"/>
  <c r="T948" i="20"/>
  <c r="T234" i="20"/>
  <c r="T705" i="20"/>
  <c r="T500" i="20"/>
  <c r="T939" i="20"/>
  <c r="T397" i="20"/>
  <c r="T704" i="20"/>
  <c r="T166" i="20"/>
  <c r="T951" i="20"/>
  <c r="T431" i="20"/>
  <c r="T703" i="20"/>
  <c r="T499" i="20"/>
  <c r="T945" i="20"/>
  <c r="T367" i="20"/>
  <c r="T702" i="20"/>
  <c r="T167" i="20"/>
  <c r="T943" i="20"/>
  <c r="T235" i="20"/>
  <c r="T701" i="20"/>
  <c r="T498" i="20"/>
  <c r="T953" i="20"/>
  <c r="T269" i="20"/>
  <c r="T700" i="20"/>
  <c r="T168" i="20"/>
  <c r="T930" i="20"/>
  <c r="T430" i="20"/>
  <c r="T699" i="20"/>
  <c r="T497" i="20"/>
  <c r="T928" i="20"/>
  <c r="T286" i="20"/>
  <c r="T698" i="20"/>
  <c r="T169" i="20"/>
  <c r="T922" i="20"/>
  <c r="T236" i="20"/>
  <c r="T697" i="20"/>
  <c r="T496" i="20"/>
  <c r="T921" i="20"/>
  <c r="T396" i="20"/>
  <c r="T696" i="20"/>
  <c r="T170" i="20"/>
  <c r="T60" i="20"/>
  <c r="T429" i="20"/>
  <c r="T695" i="20"/>
  <c r="T495" i="20"/>
  <c r="T917" i="20"/>
  <c r="T371" i="20"/>
  <c r="T694" i="20"/>
  <c r="T171" i="20"/>
  <c r="T916" i="20"/>
  <c r="T237" i="20"/>
  <c r="T693" i="20"/>
  <c r="T494" i="20"/>
  <c r="T909" i="20"/>
  <c r="T270" i="20"/>
  <c r="T692" i="20"/>
  <c r="T172" i="20"/>
  <c r="T910" i="20"/>
  <c r="T428" i="20"/>
  <c r="T691" i="20"/>
  <c r="T493" i="20"/>
  <c r="T897" i="20"/>
  <c r="T379" i="20"/>
  <c r="T690" i="20"/>
  <c r="T173" i="20"/>
  <c r="T899" i="20"/>
  <c r="T689" i="20"/>
  <c r="T238" i="20"/>
  <c r="T492" i="20"/>
  <c r="T395" i="20"/>
  <c r="T794" i="20"/>
  <c r="T174" i="20"/>
  <c r="T427" i="20"/>
  <c r="T491" i="20"/>
  <c r="T685" i="20"/>
  <c r="T891" i="20"/>
  <c r="T684" i="20"/>
  <c r="T363" i="20"/>
  <c r="T297" i="20"/>
  <c r="T296" i="20"/>
  <c r="T121" i="20"/>
  <c r="T117" i="20"/>
  <c r="T115" i="20"/>
  <c r="T73" i="20"/>
  <c r="T72" i="20"/>
  <c r="T71" i="20"/>
  <c r="T67" i="20"/>
  <c r="T65" i="20"/>
  <c r="T63" i="20"/>
  <c r="T62" i="20"/>
  <c r="U988" i="20"/>
  <c r="R988" i="20"/>
  <c r="U987" i="20"/>
  <c r="R987" i="20"/>
  <c r="U986" i="20"/>
  <c r="R986" i="20"/>
  <c r="U985" i="20"/>
  <c r="R985" i="20"/>
  <c r="U984" i="20"/>
  <c r="R984" i="20"/>
  <c r="U983" i="20"/>
  <c r="R983" i="20"/>
  <c r="U982" i="20"/>
  <c r="R982" i="20"/>
  <c r="U981" i="20"/>
  <c r="R981" i="20"/>
  <c r="U980" i="20"/>
  <c r="R980" i="20"/>
  <c r="U979" i="20"/>
  <c r="R979" i="20"/>
  <c r="U978" i="20"/>
  <c r="R978" i="20"/>
  <c r="U977" i="20"/>
  <c r="R977" i="20"/>
  <c r="U976" i="20"/>
  <c r="R976" i="20"/>
  <c r="U975" i="20"/>
  <c r="R975" i="20"/>
  <c r="U974" i="20"/>
  <c r="R974" i="20"/>
  <c r="U973" i="20"/>
  <c r="R973" i="20"/>
  <c r="U972" i="20"/>
  <c r="R972" i="20"/>
  <c r="U971" i="20"/>
  <c r="R971" i="20"/>
  <c r="U970" i="20"/>
  <c r="R970" i="20"/>
  <c r="U969" i="20"/>
  <c r="R969" i="20"/>
  <c r="U968" i="20"/>
  <c r="R968" i="20"/>
  <c r="U967" i="20"/>
  <c r="R967" i="20"/>
  <c r="U966" i="20"/>
  <c r="R966" i="20"/>
  <c r="U965" i="20"/>
  <c r="R965" i="20"/>
  <c r="U964" i="20"/>
  <c r="R964" i="20"/>
  <c r="U963" i="20"/>
  <c r="R963" i="20"/>
  <c r="U962" i="20"/>
  <c r="R962" i="20"/>
  <c r="U961" i="20"/>
  <c r="R961" i="20"/>
  <c r="U960" i="20"/>
  <c r="R960" i="20"/>
  <c r="U959" i="20"/>
  <c r="R959" i="20"/>
  <c r="U958" i="20"/>
  <c r="R958" i="20"/>
  <c r="U957" i="20"/>
  <c r="R957" i="20"/>
  <c r="U956" i="20"/>
  <c r="R956" i="20"/>
  <c r="U955" i="20"/>
  <c r="R955" i="20"/>
  <c r="U954" i="20"/>
  <c r="R954" i="20"/>
  <c r="U953" i="20"/>
  <c r="R953" i="20"/>
  <c r="U952" i="20"/>
  <c r="R952" i="20"/>
  <c r="U951" i="20"/>
  <c r="R951" i="20"/>
  <c r="U950" i="20"/>
  <c r="U948" i="20"/>
  <c r="R948" i="20"/>
  <c r="U945" i="20"/>
  <c r="R945" i="20"/>
  <c r="U944" i="20"/>
  <c r="R944" i="20"/>
  <c r="U943" i="20"/>
  <c r="R943" i="20"/>
  <c r="R942" i="20"/>
  <c r="U940" i="20"/>
  <c r="R940" i="20"/>
  <c r="U939" i="20"/>
  <c r="R939" i="20"/>
  <c r="U937" i="20"/>
  <c r="R937" i="20"/>
  <c r="U936" i="20"/>
  <c r="R934" i="20"/>
  <c r="U933" i="20"/>
  <c r="U931" i="20"/>
  <c r="R931" i="20"/>
  <c r="U930" i="20"/>
  <c r="R930" i="20"/>
  <c r="U928" i="20"/>
  <c r="R928" i="20"/>
  <c r="U927" i="20"/>
  <c r="R922" i="20"/>
  <c r="U921" i="20"/>
  <c r="R921" i="20"/>
  <c r="R917" i="20"/>
  <c r="U916" i="20"/>
  <c r="R916" i="20"/>
  <c r="U915" i="20"/>
  <c r="U913" i="20"/>
  <c r="R913" i="20"/>
  <c r="U912" i="20"/>
  <c r="R912" i="20"/>
  <c r="U911" i="20"/>
  <c r="R911" i="20"/>
  <c r="U910" i="20"/>
  <c r="R910" i="20"/>
  <c r="U909" i="20"/>
  <c r="R909" i="20"/>
  <c r="U908" i="20"/>
  <c r="R908" i="20"/>
  <c r="U907" i="20"/>
  <c r="R907" i="20"/>
  <c r="R906" i="20"/>
  <c r="U905" i="20"/>
  <c r="R905" i="20"/>
  <c r="U904" i="20"/>
  <c r="R904" i="20"/>
  <c r="R899" i="20"/>
  <c r="U898" i="20"/>
  <c r="R898" i="20"/>
  <c r="U897" i="20"/>
  <c r="R897" i="20"/>
  <c r="U896" i="20"/>
  <c r="R896" i="20"/>
  <c r="U895" i="20"/>
  <c r="R895" i="20"/>
  <c r="U894" i="20"/>
  <c r="U891" i="20"/>
  <c r="R891" i="20"/>
  <c r="U890" i="20"/>
  <c r="R890" i="20"/>
  <c r="U889" i="20"/>
  <c r="R889" i="20"/>
  <c r="U888" i="20"/>
  <c r="R888" i="20"/>
  <c r="U887" i="20"/>
  <c r="R887" i="20"/>
  <c r="U886" i="20"/>
  <c r="R886" i="20"/>
  <c r="U885" i="20"/>
  <c r="U878" i="20"/>
  <c r="R878" i="20"/>
  <c r="U877" i="20"/>
  <c r="R877" i="20"/>
  <c r="U876" i="20"/>
  <c r="R874" i="20"/>
  <c r="U873" i="20"/>
  <c r="R873" i="20"/>
  <c r="U872" i="20"/>
  <c r="R872" i="20"/>
  <c r="U871" i="20"/>
  <c r="R871" i="20"/>
  <c r="U870" i="20"/>
  <c r="R870" i="20"/>
  <c r="U869" i="20"/>
  <c r="R869" i="20"/>
  <c r="U868" i="20"/>
  <c r="R868" i="20"/>
  <c r="U867" i="20"/>
  <c r="R867" i="20"/>
  <c r="U866" i="20"/>
  <c r="R866" i="20"/>
  <c r="U865" i="20"/>
  <c r="R865" i="20"/>
  <c r="U864" i="20"/>
  <c r="R864" i="20"/>
  <c r="U863" i="20"/>
  <c r="R863" i="20"/>
  <c r="U862" i="20"/>
  <c r="R859" i="20"/>
  <c r="U858" i="20"/>
  <c r="R858" i="20"/>
  <c r="U857" i="20"/>
  <c r="R856" i="20"/>
  <c r="U855" i="20"/>
  <c r="R855" i="20"/>
  <c r="U854" i="20"/>
  <c r="R854" i="20"/>
  <c r="R852" i="20"/>
  <c r="U847" i="20"/>
  <c r="R847" i="20"/>
  <c r="U846" i="20"/>
  <c r="R846" i="20"/>
  <c r="U843" i="20"/>
  <c r="R843" i="20"/>
  <c r="R842" i="20"/>
  <c r="U841" i="20"/>
  <c r="R841" i="20"/>
  <c r="U835" i="20"/>
  <c r="R834" i="20"/>
  <c r="U833" i="20"/>
  <c r="R833" i="20"/>
  <c r="U832" i="20"/>
  <c r="R830" i="20"/>
  <c r="U829" i="20"/>
  <c r="R829" i="20"/>
  <c r="U828" i="20"/>
  <c r="R828" i="20"/>
  <c r="R819" i="20"/>
  <c r="U818" i="20"/>
  <c r="R818" i="20"/>
  <c r="U817" i="20"/>
  <c r="R817" i="20"/>
  <c r="U816" i="20"/>
  <c r="R816" i="20"/>
  <c r="U815" i="20"/>
  <c r="R815" i="20"/>
  <c r="R814" i="20"/>
  <c r="R813" i="20"/>
  <c r="U812" i="20"/>
  <c r="U810" i="20"/>
  <c r="R809" i="20"/>
  <c r="U808" i="20"/>
  <c r="U807" i="20"/>
  <c r="R807" i="20"/>
  <c r="U801" i="20"/>
  <c r="R801" i="20"/>
  <c r="U800" i="20"/>
  <c r="R800" i="20"/>
  <c r="U799" i="20"/>
  <c r="R798" i="20"/>
  <c r="U797" i="20"/>
  <c r="R797" i="20"/>
  <c r="U796" i="20"/>
  <c r="R796" i="20"/>
  <c r="U795" i="20"/>
  <c r="R795" i="20"/>
  <c r="U794" i="20"/>
  <c r="R794" i="20"/>
  <c r="U793" i="20"/>
  <c r="R793" i="20"/>
  <c r="U792" i="20"/>
  <c r="U787" i="20"/>
  <c r="R787" i="20"/>
  <c r="U785" i="20"/>
  <c r="R785" i="20"/>
  <c r="U784" i="20"/>
  <c r="R784" i="20"/>
  <c r="R781" i="20"/>
  <c r="U780" i="20"/>
  <c r="R779" i="20"/>
  <c r="U778" i="20"/>
  <c r="R778" i="20"/>
  <c r="U777" i="20"/>
  <c r="R777" i="20"/>
  <c r="U776" i="20"/>
  <c r="R776" i="20"/>
  <c r="U775" i="20"/>
  <c r="U773" i="20"/>
  <c r="R773" i="20"/>
  <c r="U772" i="20"/>
  <c r="R772" i="20"/>
  <c r="U770" i="20"/>
  <c r="R770" i="20"/>
  <c r="U769" i="20"/>
  <c r="R769" i="20"/>
  <c r="U768" i="20"/>
  <c r="R768" i="20"/>
  <c r="U689" i="20"/>
  <c r="U687" i="20"/>
  <c r="U685" i="20"/>
  <c r="R685" i="20"/>
  <c r="U684" i="20"/>
  <c r="R684" i="20"/>
  <c r="U681" i="20"/>
  <c r="R681" i="20"/>
  <c r="U680" i="20"/>
  <c r="R680" i="20"/>
  <c r="U678" i="20"/>
  <c r="R678" i="20"/>
  <c r="U677" i="20"/>
  <c r="U676" i="20"/>
  <c r="R676" i="20"/>
  <c r="U675" i="20"/>
  <c r="R675" i="20"/>
  <c r="U674" i="20"/>
  <c r="R674" i="20"/>
  <c r="U673" i="20"/>
  <c r="R673" i="20"/>
  <c r="U672" i="20"/>
  <c r="R672" i="20"/>
  <c r="U671" i="20"/>
  <c r="R671" i="20"/>
  <c r="U670" i="20"/>
  <c r="R670" i="20"/>
  <c r="U669" i="20"/>
  <c r="R669" i="20"/>
  <c r="U668" i="20"/>
  <c r="R668" i="20"/>
  <c r="U667" i="20"/>
  <c r="R667" i="20"/>
  <c r="U666" i="20"/>
  <c r="R666" i="20"/>
  <c r="U665" i="20"/>
  <c r="R665" i="20"/>
  <c r="U664" i="20"/>
  <c r="R664" i="20"/>
  <c r="U663" i="20"/>
  <c r="R663" i="20"/>
  <c r="U662" i="20"/>
  <c r="R662" i="20"/>
  <c r="U661" i="20"/>
  <c r="R661" i="20"/>
  <c r="U660" i="20"/>
  <c r="R660" i="20"/>
  <c r="R884" i="20"/>
  <c r="U767" i="20"/>
  <c r="R767" i="20"/>
  <c r="U766" i="20"/>
  <c r="R766" i="20"/>
  <c r="U765" i="20"/>
  <c r="R765" i="20"/>
  <c r="U764" i="20"/>
  <c r="R764" i="20"/>
  <c r="U763" i="20"/>
  <c r="R763" i="20"/>
  <c r="U762" i="20"/>
  <c r="R762" i="20"/>
  <c r="U761" i="20"/>
  <c r="R761" i="20"/>
  <c r="U760" i="20"/>
  <c r="R760" i="20"/>
  <c r="U759" i="20"/>
  <c r="R759" i="20"/>
  <c r="U758" i="20"/>
  <c r="R758" i="20"/>
  <c r="U757" i="20"/>
  <c r="R757" i="20"/>
  <c r="U756" i="20"/>
  <c r="R756" i="20"/>
  <c r="U755" i="20"/>
  <c r="R755" i="20"/>
  <c r="U754" i="20"/>
  <c r="R754" i="20"/>
  <c r="U753" i="20"/>
  <c r="R753" i="20"/>
  <c r="U752" i="20"/>
  <c r="R752" i="20"/>
  <c r="U751" i="20"/>
  <c r="R751" i="20"/>
  <c r="U750" i="20"/>
  <c r="R750" i="20"/>
  <c r="U749" i="20"/>
  <c r="R749" i="20"/>
  <c r="U748" i="20"/>
  <c r="R748" i="20"/>
  <c r="U747" i="20"/>
  <c r="R747" i="20"/>
  <c r="U746" i="20"/>
  <c r="R746" i="20"/>
  <c r="U745" i="20"/>
  <c r="R745" i="20"/>
  <c r="U744" i="20"/>
  <c r="R744" i="20"/>
  <c r="U743" i="20"/>
  <c r="R743" i="20"/>
  <c r="U742" i="20"/>
  <c r="R742" i="20"/>
  <c r="U741" i="20"/>
  <c r="R741" i="20"/>
  <c r="U740" i="20"/>
  <c r="R740" i="20"/>
  <c r="U739" i="20"/>
  <c r="R739" i="20"/>
  <c r="U738" i="20"/>
  <c r="R738" i="20"/>
  <c r="U737" i="20"/>
  <c r="R737" i="20"/>
  <c r="U736" i="20"/>
  <c r="R736" i="20"/>
  <c r="U735" i="20"/>
  <c r="R735" i="20"/>
  <c r="U734" i="20"/>
  <c r="R734" i="20"/>
  <c r="U733" i="20"/>
  <c r="R733" i="20"/>
  <c r="U732" i="20"/>
  <c r="R732" i="20"/>
  <c r="U731" i="20"/>
  <c r="R731" i="20"/>
  <c r="U730" i="20"/>
  <c r="R730" i="20"/>
  <c r="U729" i="20"/>
  <c r="R729" i="20"/>
  <c r="U728" i="20"/>
  <c r="R728" i="20"/>
  <c r="U727" i="20"/>
  <c r="R727" i="20"/>
  <c r="U726" i="20"/>
  <c r="R726" i="20"/>
  <c r="U725" i="20"/>
  <c r="R725" i="20"/>
  <c r="U724" i="20"/>
  <c r="R724" i="20"/>
  <c r="U723" i="20"/>
  <c r="R723" i="20"/>
  <c r="U722" i="20"/>
  <c r="R722" i="20"/>
  <c r="U721" i="20"/>
  <c r="R721" i="20"/>
  <c r="U720" i="20"/>
  <c r="R720" i="20"/>
  <c r="U719" i="20"/>
  <c r="R719" i="20"/>
  <c r="U718" i="20"/>
  <c r="R718" i="20"/>
  <c r="U717" i="20"/>
  <c r="R717" i="20"/>
  <c r="U716" i="20"/>
  <c r="R716" i="20"/>
  <c r="U715" i="20"/>
  <c r="R715" i="20"/>
  <c r="U714" i="20"/>
  <c r="R714" i="20"/>
  <c r="U713" i="20"/>
  <c r="R713" i="20"/>
  <c r="U712" i="20"/>
  <c r="R712" i="20"/>
  <c r="U711" i="20"/>
  <c r="R711" i="20"/>
  <c r="U710" i="20"/>
  <c r="R710" i="20"/>
  <c r="U709" i="20"/>
  <c r="R709" i="20"/>
  <c r="U708" i="20"/>
  <c r="R708" i="20"/>
  <c r="U707" i="20"/>
  <c r="R707" i="20"/>
  <c r="U706" i="20"/>
  <c r="R706" i="20"/>
  <c r="U705" i="20"/>
  <c r="R705" i="20"/>
  <c r="U704" i="20"/>
  <c r="R704" i="20"/>
  <c r="U703" i="20"/>
  <c r="R703" i="20"/>
  <c r="U702" i="20"/>
  <c r="R702" i="20"/>
  <c r="U701" i="20"/>
  <c r="R701" i="20"/>
  <c r="U700" i="20"/>
  <c r="R700" i="20"/>
  <c r="U699" i="20"/>
  <c r="R699" i="20"/>
  <c r="U698" i="20"/>
  <c r="R698" i="20"/>
  <c r="U697" i="20"/>
  <c r="R697" i="20"/>
  <c r="U696" i="20"/>
  <c r="R696" i="20"/>
  <c r="U695" i="20"/>
  <c r="R695" i="20"/>
  <c r="U694" i="20"/>
  <c r="R694" i="20"/>
  <c r="U693" i="20"/>
  <c r="R693" i="20"/>
  <c r="U692" i="20"/>
  <c r="R692" i="20"/>
  <c r="U691" i="20"/>
  <c r="R691" i="20"/>
  <c r="U690" i="20"/>
  <c r="R690" i="20"/>
  <c r="R689" i="20"/>
  <c r="U688" i="20"/>
  <c r="R688" i="20"/>
  <c r="R687" i="20"/>
  <c r="U686" i="20"/>
  <c r="R686" i="20"/>
  <c r="U683" i="20"/>
  <c r="R683" i="20"/>
  <c r="U682" i="20"/>
  <c r="R682" i="20"/>
  <c r="U679" i="20"/>
  <c r="R679" i="20"/>
  <c r="R677" i="20"/>
  <c r="U610" i="20"/>
  <c r="U609" i="20"/>
  <c r="R608" i="20"/>
  <c r="U605" i="20"/>
  <c r="R604" i="20"/>
  <c r="R602" i="20"/>
  <c r="R601" i="20"/>
  <c r="U599" i="20"/>
  <c r="U597" i="20"/>
  <c r="R597" i="20"/>
  <c r="U596" i="20"/>
  <c r="R596" i="20"/>
  <c r="U595" i="20"/>
  <c r="R595" i="20"/>
  <c r="U594" i="20"/>
  <c r="U593" i="20"/>
  <c r="R593" i="20"/>
  <c r="R592" i="20"/>
  <c r="U591" i="20"/>
  <c r="R590" i="20"/>
  <c r="U588" i="20"/>
  <c r="R587" i="20"/>
  <c r="U586" i="20"/>
  <c r="R586" i="20"/>
  <c r="U584" i="20"/>
  <c r="U583" i="20"/>
  <c r="R581" i="20"/>
  <c r="U580" i="20"/>
  <c r="R580" i="20"/>
  <c r="U579" i="20"/>
  <c r="R579" i="20"/>
  <c r="U578" i="20"/>
  <c r="R578" i="20"/>
  <c r="U577" i="20"/>
  <c r="R577" i="20"/>
  <c r="U576" i="20"/>
  <c r="R575" i="20"/>
  <c r="R573" i="20"/>
  <c r="U570" i="20"/>
  <c r="U569" i="20"/>
  <c r="R569" i="20"/>
  <c r="U566" i="20"/>
  <c r="R566" i="20"/>
  <c r="R562" i="20"/>
  <c r="R560" i="20"/>
  <c r="U559" i="20"/>
  <c r="R559" i="20"/>
  <c r="U556" i="20"/>
  <c r="R556" i="20"/>
  <c r="U555" i="20"/>
  <c r="R555" i="20"/>
  <c r="U554" i="20"/>
  <c r="R554" i="20"/>
  <c r="U553" i="20"/>
  <c r="R552" i="20"/>
  <c r="R550" i="20"/>
  <c r="R331" i="20"/>
  <c r="U328" i="20"/>
  <c r="U327" i="20"/>
  <c r="R327" i="20"/>
  <c r="U326" i="20"/>
  <c r="R325" i="20"/>
  <c r="U323" i="20"/>
  <c r="U320" i="20"/>
  <c r="R319" i="20"/>
  <c r="R315" i="20"/>
  <c r="R312" i="20"/>
  <c r="U310" i="20"/>
  <c r="R310" i="20"/>
  <c r="U309" i="20"/>
  <c r="R305" i="20"/>
  <c r="U304" i="20"/>
  <c r="R303" i="20"/>
  <c r="U302" i="20"/>
  <c r="R301" i="20"/>
  <c r="R299" i="20"/>
  <c r="U298" i="20"/>
  <c r="R298" i="20"/>
  <c r="U297" i="20"/>
  <c r="R296" i="20"/>
  <c r="U295" i="20"/>
  <c r="R124" i="20"/>
  <c r="U122" i="20"/>
  <c r="U121" i="20"/>
  <c r="R121" i="20"/>
  <c r="U117" i="20"/>
  <c r="R117" i="20"/>
  <c r="U116" i="20"/>
  <c r="U113" i="20"/>
  <c r="U112" i="20"/>
  <c r="R112" i="20"/>
  <c r="U111" i="20"/>
  <c r="U109" i="20"/>
  <c r="R108" i="20"/>
  <c r="U107" i="20"/>
  <c r="R107" i="20"/>
  <c r="U106" i="20"/>
  <c r="R106" i="20"/>
  <c r="U105" i="20"/>
  <c r="R105" i="20"/>
  <c r="U104" i="20"/>
  <c r="R104" i="20"/>
  <c r="U103" i="20"/>
  <c r="R103" i="20"/>
  <c r="U102" i="20"/>
  <c r="R102" i="20"/>
  <c r="U101" i="20"/>
  <c r="R101" i="20"/>
  <c r="U100" i="20"/>
  <c r="R100" i="20"/>
  <c r="U99" i="20"/>
  <c r="R99" i="20"/>
  <c r="U98" i="20"/>
  <c r="R98" i="20"/>
  <c r="U97" i="20"/>
  <c r="R97" i="20"/>
  <c r="U96" i="20"/>
  <c r="R96" i="20"/>
  <c r="U95" i="20"/>
  <c r="R95" i="20"/>
  <c r="U94" i="20"/>
  <c r="R94" i="20"/>
  <c r="U93" i="20"/>
  <c r="R93" i="20"/>
  <c r="U92" i="20"/>
  <c r="R92" i="20"/>
  <c r="U91" i="20"/>
  <c r="R91" i="20"/>
  <c r="U90" i="20"/>
  <c r="R90" i="20"/>
  <c r="U89" i="20"/>
  <c r="R89" i="20"/>
  <c r="U88" i="20"/>
  <c r="R88" i="20"/>
  <c r="U87" i="20"/>
  <c r="R87" i="20"/>
  <c r="U86" i="20"/>
  <c r="R86" i="20"/>
  <c r="U85" i="20"/>
  <c r="R85" i="20"/>
  <c r="U84" i="20"/>
  <c r="R84" i="20"/>
  <c r="U83" i="20"/>
  <c r="R83" i="20"/>
  <c r="U82" i="20"/>
  <c r="R82" i="20"/>
  <c r="U81" i="20"/>
  <c r="R81" i="20"/>
  <c r="U80" i="20"/>
  <c r="R80" i="20"/>
  <c r="U79" i="20"/>
  <c r="U78" i="20"/>
  <c r="R78" i="20"/>
  <c r="R77" i="20"/>
  <c r="U75" i="20"/>
  <c r="U73" i="20"/>
  <c r="R73" i="20"/>
  <c r="U72" i="20"/>
  <c r="R72" i="20"/>
  <c r="U71" i="20"/>
  <c r="R71" i="20"/>
  <c r="U67" i="20"/>
  <c r="R67" i="20"/>
  <c r="R65" i="20"/>
  <c r="U63" i="20"/>
  <c r="R62" i="20"/>
  <c r="U61" i="20"/>
  <c r="R60" i="20"/>
  <c r="U59" i="20"/>
  <c r="R531" i="20"/>
  <c r="U530" i="20"/>
  <c r="R530" i="20"/>
  <c r="U529" i="20"/>
  <c r="R529" i="20"/>
  <c r="U528" i="20"/>
  <c r="R528" i="20"/>
  <c r="U527" i="20"/>
  <c r="R527" i="20"/>
  <c r="U526" i="20"/>
  <c r="R526" i="20"/>
  <c r="U525" i="20"/>
  <c r="R525" i="20"/>
  <c r="U524" i="20"/>
  <c r="R524" i="20"/>
  <c r="U523" i="20"/>
  <c r="R523" i="20"/>
  <c r="U522" i="20"/>
  <c r="R522" i="20"/>
  <c r="U521" i="20"/>
  <c r="R521" i="20"/>
  <c r="U520" i="20"/>
  <c r="R520" i="20"/>
  <c r="U519" i="20"/>
  <c r="R519" i="20"/>
  <c r="U518" i="20"/>
  <c r="R518" i="20"/>
  <c r="U517" i="20"/>
  <c r="R517" i="20"/>
  <c r="U516" i="20"/>
  <c r="R516" i="20"/>
  <c r="U515" i="20"/>
  <c r="R515" i="20"/>
  <c r="U514" i="20"/>
  <c r="R514" i="20"/>
  <c r="U513" i="20"/>
  <c r="R513" i="20"/>
  <c r="U512" i="20"/>
  <c r="R512" i="20"/>
  <c r="U511" i="20"/>
  <c r="R511" i="20"/>
  <c r="U510" i="20"/>
  <c r="R510" i="20"/>
  <c r="U509" i="20"/>
  <c r="R509" i="20"/>
  <c r="U508" i="20"/>
  <c r="R508" i="20"/>
  <c r="U507" i="20"/>
  <c r="R507" i="20"/>
  <c r="U506" i="20"/>
  <c r="R506" i="20"/>
  <c r="U505" i="20"/>
  <c r="R505" i="20"/>
  <c r="U504" i="20"/>
  <c r="R504" i="20"/>
  <c r="U503" i="20"/>
  <c r="R503" i="20"/>
  <c r="U502" i="20"/>
  <c r="R502" i="20"/>
  <c r="U501" i="20"/>
  <c r="R501" i="20"/>
  <c r="U500" i="20"/>
  <c r="R500" i="20"/>
  <c r="U499" i="20"/>
  <c r="R499" i="20"/>
  <c r="U498" i="20"/>
  <c r="R498" i="20"/>
  <c r="U497" i="20"/>
  <c r="R497" i="20"/>
  <c r="U496" i="20"/>
  <c r="R496" i="20"/>
  <c r="U495" i="20"/>
  <c r="R495" i="20"/>
  <c r="U494" i="20"/>
  <c r="R494" i="20"/>
  <c r="U493" i="20"/>
  <c r="R493" i="20"/>
  <c r="U492" i="20"/>
  <c r="R492" i="20"/>
  <c r="U491" i="20"/>
  <c r="R491" i="20"/>
  <c r="U490" i="20"/>
  <c r="R490" i="20"/>
  <c r="U489" i="20"/>
  <c r="R489" i="20"/>
  <c r="U488" i="20"/>
  <c r="R488" i="20"/>
  <c r="U487" i="20"/>
  <c r="R487" i="20"/>
  <c r="U486" i="20"/>
  <c r="R486" i="20"/>
  <c r="U485" i="20"/>
  <c r="R485" i="20"/>
  <c r="U484" i="20"/>
  <c r="R484" i="20"/>
  <c r="U483" i="20"/>
  <c r="R483" i="20"/>
  <c r="U482" i="20"/>
  <c r="R482" i="20"/>
  <c r="U481" i="20"/>
  <c r="R481" i="20"/>
  <c r="U480" i="20"/>
  <c r="R480" i="20"/>
  <c r="U479" i="20"/>
  <c r="R479" i="20"/>
  <c r="U478" i="20"/>
  <c r="R478" i="20"/>
  <c r="U477" i="20"/>
  <c r="R477" i="20"/>
  <c r="U476" i="20"/>
  <c r="R476" i="20"/>
  <c r="U475" i="20"/>
  <c r="R475" i="20"/>
  <c r="U474" i="20"/>
  <c r="R474" i="20"/>
  <c r="U473" i="20"/>
  <c r="R473" i="20"/>
  <c r="U472" i="20"/>
  <c r="R472" i="20"/>
  <c r="U471" i="20"/>
  <c r="R471" i="20"/>
  <c r="U470" i="20"/>
  <c r="R470" i="20"/>
  <c r="U469" i="20"/>
  <c r="R469" i="20"/>
  <c r="U468" i="20"/>
  <c r="R468" i="20"/>
  <c r="U467" i="20"/>
  <c r="R467" i="20"/>
  <c r="U466" i="20"/>
  <c r="R466" i="20"/>
  <c r="U465" i="20"/>
  <c r="R465" i="20"/>
  <c r="U464" i="20"/>
  <c r="R464" i="20"/>
  <c r="U463" i="20"/>
  <c r="R463" i="20"/>
  <c r="U462" i="20"/>
  <c r="R462" i="20"/>
  <c r="U461" i="20"/>
  <c r="R461" i="20"/>
  <c r="U460" i="20"/>
  <c r="R460" i="20"/>
  <c r="U459" i="20"/>
  <c r="R459" i="20"/>
  <c r="U458" i="20"/>
  <c r="R458" i="20"/>
  <c r="U457" i="20"/>
  <c r="R457" i="20"/>
  <c r="U456" i="20"/>
  <c r="R456" i="20"/>
  <c r="U455" i="20"/>
  <c r="R455" i="20"/>
  <c r="U454" i="20"/>
  <c r="R454" i="20"/>
  <c r="U453" i="20"/>
  <c r="R453" i="20"/>
  <c r="U452" i="20"/>
  <c r="R452" i="20"/>
  <c r="U451" i="20"/>
  <c r="R451" i="20"/>
  <c r="U450" i="20"/>
  <c r="R450" i="20"/>
  <c r="U449" i="20"/>
  <c r="R449" i="20"/>
  <c r="U448" i="20"/>
  <c r="R448" i="20"/>
  <c r="U447" i="20"/>
  <c r="R447" i="20"/>
  <c r="U446" i="20"/>
  <c r="R446" i="20"/>
  <c r="U445" i="20"/>
  <c r="R445" i="20"/>
  <c r="U444" i="20"/>
  <c r="R444" i="20"/>
  <c r="U443" i="20"/>
  <c r="R443" i="20"/>
  <c r="U442" i="20"/>
  <c r="R442" i="20"/>
  <c r="U441" i="20"/>
  <c r="R441" i="20"/>
  <c r="U440" i="20"/>
  <c r="R440" i="20"/>
  <c r="U439" i="20"/>
  <c r="R439" i="20"/>
  <c r="U438" i="20"/>
  <c r="R438" i="20"/>
  <c r="U437" i="20"/>
  <c r="R437" i="20"/>
  <c r="U436" i="20"/>
  <c r="R436" i="20"/>
  <c r="U435" i="20"/>
  <c r="R435" i="20"/>
  <c r="U434" i="20"/>
  <c r="R434" i="20"/>
  <c r="U433" i="20"/>
  <c r="R433" i="20"/>
  <c r="U432" i="20"/>
  <c r="R432" i="20"/>
  <c r="U431" i="20"/>
  <c r="R431" i="20"/>
  <c r="U430" i="20"/>
  <c r="R430" i="20"/>
  <c r="U429" i="20"/>
  <c r="R429" i="20"/>
  <c r="U428" i="20"/>
  <c r="R428" i="20"/>
  <c r="U427" i="20"/>
  <c r="R427" i="20"/>
  <c r="U426" i="20"/>
  <c r="R426" i="20"/>
  <c r="U425" i="20"/>
  <c r="R425" i="20"/>
  <c r="U424" i="20"/>
  <c r="R424" i="20"/>
  <c r="U423" i="20"/>
  <c r="R423" i="20"/>
  <c r="U422" i="20"/>
  <c r="R422" i="20"/>
  <c r="U421" i="20"/>
  <c r="R421" i="20"/>
  <c r="U420" i="20"/>
  <c r="R420" i="20"/>
  <c r="U419" i="20"/>
  <c r="R419" i="20"/>
  <c r="U418" i="20"/>
  <c r="R418" i="20"/>
  <c r="U417" i="20"/>
  <c r="R417" i="20"/>
  <c r="U416" i="20"/>
  <c r="R416" i="20"/>
  <c r="U415" i="20"/>
  <c r="R415" i="20"/>
  <c r="U414" i="20"/>
  <c r="R414" i="20"/>
  <c r="U413" i="20"/>
  <c r="R413" i="20"/>
  <c r="U412" i="20"/>
  <c r="R412" i="20"/>
  <c r="U411" i="20"/>
  <c r="R411" i="20"/>
  <c r="U410" i="20"/>
  <c r="R410" i="20"/>
  <c r="U409" i="20"/>
  <c r="R409" i="20"/>
  <c r="U408" i="20"/>
  <c r="R408" i="20"/>
  <c r="U407" i="20"/>
  <c r="R407" i="20"/>
  <c r="U406" i="20"/>
  <c r="R406" i="20"/>
  <c r="U405" i="20"/>
  <c r="R405" i="20"/>
  <c r="U404" i="20"/>
  <c r="R404" i="20"/>
  <c r="U403" i="20"/>
  <c r="R403" i="20"/>
  <c r="U402" i="20"/>
  <c r="R402" i="20"/>
  <c r="U401" i="20"/>
  <c r="R401" i="20"/>
  <c r="U400" i="20"/>
  <c r="R400" i="20"/>
  <c r="U399" i="20"/>
  <c r="R399" i="20"/>
  <c r="U398" i="20"/>
  <c r="R398" i="20"/>
  <c r="U397" i="20"/>
  <c r="R397" i="20"/>
  <c r="U396" i="20"/>
  <c r="R396" i="20"/>
  <c r="U395" i="20"/>
  <c r="R395" i="20"/>
  <c r="U394" i="20"/>
  <c r="R394" i="20"/>
  <c r="U393" i="20"/>
  <c r="R393" i="20"/>
  <c r="U392" i="20"/>
  <c r="R392" i="20"/>
  <c r="U391" i="20"/>
  <c r="R391" i="20"/>
  <c r="U390" i="20"/>
  <c r="R390" i="20"/>
  <c r="U389" i="20"/>
  <c r="R389" i="20"/>
  <c r="U388" i="20"/>
  <c r="R388" i="20"/>
  <c r="U387" i="20"/>
  <c r="R387" i="20"/>
  <c r="U386" i="20"/>
  <c r="R386" i="20"/>
  <c r="U385" i="20"/>
  <c r="R385" i="20"/>
  <c r="U384" i="20"/>
  <c r="R384" i="20"/>
  <c r="U383" i="20"/>
  <c r="R383" i="20"/>
  <c r="U382" i="20"/>
  <c r="R382" i="20"/>
  <c r="U381" i="20"/>
  <c r="R381" i="20"/>
  <c r="U380" i="20"/>
  <c r="R380" i="20"/>
  <c r="U379" i="20"/>
  <c r="R379" i="20"/>
  <c r="U378" i="20"/>
  <c r="R378" i="20"/>
  <c r="U377" i="20"/>
  <c r="R377" i="20"/>
  <c r="U376" i="20"/>
  <c r="R376" i="20"/>
  <c r="U375" i="20"/>
  <c r="R375" i="20"/>
  <c r="U374" i="20"/>
  <c r="R374" i="20"/>
  <c r="U373" i="20"/>
  <c r="R373" i="20"/>
  <c r="U372" i="20"/>
  <c r="R372" i="20"/>
  <c r="U371" i="20"/>
  <c r="R371" i="20"/>
  <c r="U370" i="20"/>
  <c r="R370" i="20"/>
  <c r="U369" i="20"/>
  <c r="R369" i="20"/>
  <c r="U368" i="20"/>
  <c r="R368" i="20"/>
  <c r="U367" i="20"/>
  <c r="R367" i="20"/>
  <c r="U366" i="20"/>
  <c r="R366" i="20"/>
  <c r="U365" i="20"/>
  <c r="R365" i="20"/>
  <c r="U364" i="20"/>
  <c r="R364" i="20"/>
  <c r="U363" i="20"/>
  <c r="R363" i="20"/>
  <c r="R919" i="20"/>
  <c r="U362" i="20"/>
  <c r="R362" i="20"/>
  <c r="U361" i="20"/>
  <c r="R361" i="20"/>
  <c r="R66" i="20"/>
  <c r="U64" i="20"/>
  <c r="R63" i="20"/>
  <c r="U62" i="20"/>
  <c r="U60" i="20"/>
  <c r="U884" i="20"/>
  <c r="R885" i="20"/>
  <c r="R295" i="20"/>
  <c r="U294" i="20"/>
  <c r="R294" i="20"/>
  <c r="U293" i="20"/>
  <c r="R293" i="20"/>
  <c r="U292" i="20"/>
  <c r="R292" i="20"/>
  <c r="U291" i="20"/>
  <c r="R291" i="20"/>
  <c r="U290" i="20"/>
  <c r="R290" i="20"/>
  <c r="U289" i="20"/>
  <c r="R289" i="20"/>
  <c r="U288" i="20"/>
  <c r="R288" i="20"/>
  <c r="U287" i="20"/>
  <c r="R287" i="20"/>
  <c r="U286" i="20"/>
  <c r="R286" i="20"/>
  <c r="U285" i="20"/>
  <c r="R285" i="20"/>
  <c r="U284" i="20"/>
  <c r="R284" i="20"/>
  <c r="U283" i="20"/>
  <c r="R283" i="20"/>
  <c r="U282" i="20"/>
  <c r="R282" i="20"/>
  <c r="U281" i="20"/>
  <c r="R281" i="20"/>
  <c r="U280" i="20"/>
  <c r="R280" i="20"/>
  <c r="U279" i="20"/>
  <c r="R279" i="20"/>
  <c r="U278" i="20"/>
  <c r="R278" i="20"/>
  <c r="U277" i="20"/>
  <c r="R277" i="20"/>
  <c r="U276" i="20"/>
  <c r="R276" i="20"/>
  <c r="U275" i="20"/>
  <c r="R275" i="20"/>
  <c r="U274" i="20"/>
  <c r="R274" i="20"/>
  <c r="U273" i="20"/>
  <c r="R273" i="20"/>
  <c r="U272" i="20"/>
  <c r="R272" i="20"/>
  <c r="U271" i="20"/>
  <c r="R271" i="20"/>
  <c r="U270" i="20"/>
  <c r="R270" i="20"/>
  <c r="U269" i="20"/>
  <c r="R269" i="20"/>
  <c r="U268" i="20"/>
  <c r="R268" i="20"/>
  <c r="U267" i="20"/>
  <c r="R267" i="20"/>
  <c r="U266" i="20"/>
  <c r="R266" i="20"/>
  <c r="U265" i="20"/>
  <c r="R265" i="20"/>
  <c r="U264" i="20"/>
  <c r="R264" i="20"/>
  <c r="U263" i="20"/>
  <c r="R263" i="20"/>
  <c r="U262" i="20"/>
  <c r="R262" i="20"/>
  <c r="U261" i="20"/>
  <c r="R261" i="20"/>
  <c r="U260" i="20"/>
  <c r="R260" i="20"/>
  <c r="U259" i="20"/>
  <c r="R259" i="20"/>
  <c r="U258" i="20"/>
  <c r="R258" i="20"/>
  <c r="U257" i="20"/>
  <c r="R257" i="20"/>
  <c r="U256" i="20"/>
  <c r="R256" i="20"/>
  <c r="U255" i="20"/>
  <c r="R255" i="20"/>
  <c r="U254" i="20"/>
  <c r="R254" i="20"/>
  <c r="U253" i="20"/>
  <c r="R253" i="20"/>
  <c r="U252" i="20"/>
  <c r="R252" i="20"/>
  <c r="U251" i="20"/>
  <c r="R251" i="20"/>
  <c r="U250" i="20"/>
  <c r="R250" i="20"/>
  <c r="U249" i="20"/>
  <c r="R249" i="20"/>
  <c r="U248" i="20"/>
  <c r="R248" i="20"/>
  <c r="U247" i="20"/>
  <c r="R247" i="20"/>
  <c r="U246" i="20"/>
  <c r="R246" i="20"/>
  <c r="U245" i="20"/>
  <c r="R245" i="20"/>
  <c r="U244" i="20"/>
  <c r="R244" i="20"/>
  <c r="U243" i="20"/>
  <c r="R243" i="20"/>
  <c r="U242" i="20"/>
  <c r="R242" i="20"/>
  <c r="U241" i="20"/>
  <c r="R241" i="20"/>
  <c r="U240" i="20"/>
  <c r="R240" i="20"/>
  <c r="U239" i="20"/>
  <c r="R239" i="20"/>
  <c r="U238" i="20"/>
  <c r="R238" i="20"/>
  <c r="U237" i="20"/>
  <c r="R237" i="20"/>
  <c r="U236" i="20"/>
  <c r="R236" i="20"/>
  <c r="U235" i="20"/>
  <c r="R235" i="20"/>
  <c r="U234" i="20"/>
  <c r="R234" i="20"/>
  <c r="U233" i="20"/>
  <c r="R233" i="20"/>
  <c r="U232" i="20"/>
  <c r="R232" i="20"/>
  <c r="U231" i="20"/>
  <c r="R231" i="20"/>
  <c r="U230" i="20"/>
  <c r="R230" i="20"/>
  <c r="U229" i="20"/>
  <c r="R229" i="20"/>
  <c r="U228" i="20"/>
  <c r="R228" i="20"/>
  <c r="U227" i="20"/>
  <c r="R227" i="20"/>
  <c r="U226" i="20"/>
  <c r="R226" i="20"/>
  <c r="U225" i="20"/>
  <c r="R225" i="20"/>
  <c r="U224" i="20"/>
  <c r="R224" i="20"/>
  <c r="U223" i="20"/>
  <c r="R223" i="20"/>
  <c r="U222" i="20"/>
  <c r="R222" i="20"/>
  <c r="U221" i="20"/>
  <c r="R221" i="20"/>
  <c r="U220" i="20"/>
  <c r="R220" i="20"/>
  <c r="U219" i="20"/>
  <c r="R219" i="20"/>
  <c r="U218" i="20"/>
  <c r="R218" i="20"/>
  <c r="U217" i="20"/>
  <c r="R217" i="20"/>
  <c r="U216" i="20"/>
  <c r="R216" i="20"/>
  <c r="U215" i="20"/>
  <c r="R215" i="20"/>
  <c r="U214" i="20"/>
  <c r="R214" i="20"/>
  <c r="U213" i="20"/>
  <c r="R213" i="20"/>
  <c r="U212" i="20"/>
  <c r="R212" i="20"/>
  <c r="U211" i="20"/>
  <c r="R211" i="20"/>
  <c r="U210" i="20"/>
  <c r="R210" i="20"/>
  <c r="U209" i="20"/>
  <c r="R209" i="20"/>
  <c r="U208" i="20"/>
  <c r="R208" i="20"/>
  <c r="U207" i="20"/>
  <c r="R207" i="20"/>
  <c r="U206" i="20"/>
  <c r="R206" i="20"/>
  <c r="U205" i="20"/>
  <c r="R205" i="20"/>
  <c r="U204" i="20"/>
  <c r="R204" i="20"/>
  <c r="U203" i="20"/>
  <c r="R203" i="20"/>
  <c r="U202" i="20"/>
  <c r="R202" i="20"/>
  <c r="U201" i="20"/>
  <c r="R201" i="20"/>
  <c r="U200" i="20"/>
  <c r="R200" i="20"/>
  <c r="U199" i="20"/>
  <c r="R199" i="20"/>
  <c r="U198" i="20"/>
  <c r="R198" i="20"/>
  <c r="U197" i="20"/>
  <c r="R197" i="20"/>
  <c r="U196" i="20"/>
  <c r="R196" i="20"/>
  <c r="U195" i="20"/>
  <c r="R195" i="20"/>
  <c r="U194" i="20"/>
  <c r="R194" i="20"/>
  <c r="U193" i="20"/>
  <c r="R193" i="20"/>
  <c r="U192" i="20"/>
  <c r="R192" i="20"/>
  <c r="U191" i="20"/>
  <c r="R191" i="20"/>
  <c r="U190" i="20"/>
  <c r="R190" i="20"/>
  <c r="U189" i="20"/>
  <c r="R189" i="20"/>
  <c r="U188" i="20"/>
  <c r="R188" i="20"/>
  <c r="U187" i="20"/>
  <c r="R187" i="20"/>
  <c r="U186" i="20"/>
  <c r="R186" i="20"/>
  <c r="U185" i="20"/>
  <c r="R185" i="20"/>
  <c r="U184" i="20"/>
  <c r="R184" i="20"/>
  <c r="U183" i="20"/>
  <c r="R183" i="20"/>
  <c r="U182" i="20"/>
  <c r="R182" i="20"/>
  <c r="U181" i="20"/>
  <c r="R181" i="20"/>
  <c r="U180" i="20"/>
  <c r="R180" i="20"/>
  <c r="U179" i="20"/>
  <c r="R179" i="20"/>
  <c r="U178" i="20"/>
  <c r="R178" i="20"/>
  <c r="U177" i="20"/>
  <c r="R177" i="20"/>
  <c r="U176" i="20"/>
  <c r="R176" i="20"/>
  <c r="U175" i="20"/>
  <c r="R175" i="20"/>
  <c r="U174" i="20"/>
  <c r="R174" i="20"/>
  <c r="U173" i="20"/>
  <c r="R173" i="20"/>
  <c r="U172" i="20"/>
  <c r="R172" i="20"/>
  <c r="U171" i="20"/>
  <c r="R171" i="20"/>
  <c r="U170" i="20"/>
  <c r="R170" i="20"/>
  <c r="U169" i="20"/>
  <c r="R169" i="20"/>
  <c r="U168" i="20"/>
  <c r="R168" i="20"/>
  <c r="U167" i="20"/>
  <c r="R167" i="20"/>
  <c r="U166" i="20"/>
  <c r="R166" i="20"/>
  <c r="U165" i="20"/>
  <c r="R165" i="20"/>
  <c r="U164" i="20"/>
  <c r="R164" i="20"/>
  <c r="U163" i="20"/>
  <c r="R163" i="20"/>
  <c r="U162" i="20"/>
  <c r="R162" i="20"/>
  <c r="U161" i="20"/>
  <c r="R161" i="20"/>
  <c r="U160" i="20"/>
  <c r="R160" i="20"/>
  <c r="U159" i="20"/>
  <c r="R159" i="20"/>
  <c r="U158" i="20"/>
  <c r="R158" i="20"/>
  <c r="U157" i="20"/>
  <c r="R157" i="20"/>
  <c r="U156" i="20"/>
  <c r="R156" i="20"/>
  <c r="U155" i="20"/>
  <c r="R155" i="20"/>
  <c r="U154" i="20"/>
  <c r="R154" i="20"/>
  <c r="U153" i="20"/>
  <c r="R153" i="20"/>
  <c r="U152" i="20"/>
  <c r="R152" i="20"/>
  <c r="U151" i="20"/>
  <c r="R151" i="20"/>
  <c r="U150" i="20"/>
  <c r="R150" i="20"/>
  <c r="U149" i="20"/>
  <c r="R149" i="20"/>
  <c r="U148" i="20"/>
  <c r="R148" i="20"/>
  <c r="U147" i="20"/>
  <c r="R147" i="20"/>
  <c r="U146" i="20"/>
  <c r="R146" i="20"/>
  <c r="U145" i="20"/>
  <c r="R145" i="20"/>
  <c r="U144" i="20"/>
  <c r="R144" i="20"/>
  <c r="U143" i="20"/>
  <c r="R143" i="20"/>
  <c r="U142" i="20"/>
  <c r="R142" i="20"/>
  <c r="U141" i="20"/>
  <c r="R141" i="20"/>
  <c r="U140" i="20"/>
  <c r="R140" i="20"/>
  <c r="U139" i="20"/>
  <c r="R139" i="20"/>
  <c r="U138" i="20"/>
  <c r="R138" i="20"/>
  <c r="U137" i="20"/>
  <c r="R137" i="20"/>
  <c r="U136" i="20"/>
  <c r="R136" i="20"/>
  <c r="U135" i="20"/>
  <c r="R135" i="20"/>
  <c r="U134" i="20"/>
  <c r="R134" i="20"/>
  <c r="U133" i="20"/>
  <c r="R133" i="20"/>
  <c r="U132" i="20"/>
  <c r="R132" i="20"/>
  <c r="U131" i="20"/>
  <c r="R131" i="20"/>
  <c r="U130" i="20"/>
  <c r="R130" i="20"/>
  <c r="U129" i="20"/>
  <c r="R129" i="20"/>
  <c r="U128" i="20"/>
  <c r="R128" i="20"/>
  <c r="U127" i="20"/>
  <c r="R127" i="20"/>
  <c r="U126" i="20"/>
  <c r="R126" i="20"/>
  <c r="U125" i="20"/>
  <c r="R125" i="20"/>
  <c r="R59" i="20"/>
  <c r="U58" i="20"/>
  <c r="R58" i="20"/>
  <c r="U57" i="20"/>
  <c r="R57" i="20"/>
  <c r="U56" i="20"/>
  <c r="R56" i="20"/>
  <c r="U55" i="20"/>
  <c r="R55" i="20"/>
  <c r="U54" i="20"/>
  <c r="R54" i="20"/>
  <c r="U53" i="20"/>
  <c r="R53" i="20"/>
  <c r="U52" i="20"/>
  <c r="R52" i="20"/>
  <c r="U51" i="20"/>
  <c r="R51" i="20"/>
  <c r="U50" i="20"/>
  <c r="R50" i="20"/>
  <c r="U49" i="20"/>
  <c r="R49" i="20"/>
  <c r="U48" i="20"/>
  <c r="R48" i="20"/>
  <c r="U47" i="20"/>
  <c r="R47" i="20"/>
  <c r="U46" i="20"/>
  <c r="R46" i="20"/>
  <c r="U45" i="20"/>
  <c r="R45" i="20"/>
  <c r="U44" i="20"/>
  <c r="R44" i="20"/>
  <c r="U43" i="20"/>
  <c r="R43" i="20"/>
  <c r="U42" i="20"/>
  <c r="R42" i="20"/>
  <c r="U41" i="20"/>
  <c r="R41" i="20"/>
  <c r="U40" i="20"/>
  <c r="R40" i="20"/>
  <c r="U39" i="20"/>
  <c r="R39" i="20"/>
  <c r="U38" i="20"/>
  <c r="R38" i="20"/>
  <c r="U37" i="20"/>
  <c r="R37" i="20"/>
  <c r="U36" i="20"/>
  <c r="R36" i="20"/>
  <c r="U35" i="20"/>
  <c r="R35" i="20"/>
  <c r="U34" i="20"/>
  <c r="R34" i="20"/>
  <c r="U33" i="20"/>
  <c r="R33" i="20"/>
  <c r="U32" i="20"/>
  <c r="R32" i="20"/>
  <c r="U31" i="20"/>
  <c r="R31" i="20"/>
  <c r="U30" i="20"/>
  <c r="R30" i="20"/>
  <c r="U29" i="20"/>
  <c r="R29" i="20"/>
  <c r="U28" i="20"/>
  <c r="R28" i="20"/>
  <c r="U27" i="20"/>
  <c r="R27" i="20"/>
  <c r="U26" i="20"/>
  <c r="R26" i="20"/>
  <c r="U25" i="20"/>
  <c r="R25" i="20"/>
  <c r="U24" i="20"/>
  <c r="R24" i="20"/>
  <c r="U23" i="20"/>
  <c r="R23" i="20"/>
  <c r="U22" i="20"/>
  <c r="R22" i="20"/>
  <c r="U21" i="20"/>
  <c r="R21" i="20"/>
  <c r="U20" i="20"/>
  <c r="R20" i="20"/>
  <c r="U19" i="20"/>
  <c r="R19" i="20"/>
  <c r="U18" i="20"/>
  <c r="R18" i="20"/>
  <c r="U17" i="20"/>
  <c r="R17" i="20"/>
  <c r="U16" i="20"/>
  <c r="R16" i="20"/>
  <c r="U15" i="20"/>
  <c r="R15" i="20"/>
  <c r="U14" i="20"/>
  <c r="R14" i="20"/>
  <c r="U13" i="20"/>
  <c r="R13" i="20"/>
  <c r="U12" i="20"/>
  <c r="R12" i="20"/>
  <c r="U11" i="20"/>
  <c r="R11" i="20"/>
  <c r="U10" i="20"/>
  <c r="R10" i="20"/>
  <c r="U9" i="20"/>
  <c r="R9" i="20"/>
  <c r="U8" i="20"/>
  <c r="R8" i="20"/>
  <c r="U7" i="20"/>
  <c r="R7" i="20"/>
  <c r="U6" i="20"/>
  <c r="R6" i="20"/>
  <c r="U5" i="20"/>
  <c r="R5" i="20"/>
  <c r="U4" i="20"/>
  <c r="R4" i="20"/>
  <c r="U3" i="20"/>
  <c r="R3" i="20"/>
  <c r="U2" i="20"/>
  <c r="R2" i="20"/>
  <c r="R915" i="20"/>
  <c r="U900" i="20"/>
  <c r="U914" i="20"/>
  <c r="R903" i="20"/>
  <c r="R914" i="20"/>
  <c r="R900" i="20"/>
  <c r="R892" i="20"/>
  <c r="U902" i="20"/>
  <c r="U893" i="20"/>
  <c r="U899" i="20"/>
  <c r="R902" i="20"/>
  <c r="U892" i="20"/>
  <c r="U901" i="20"/>
  <c r="U906" i="20"/>
  <c r="R901" i="20"/>
  <c r="R894" i="20"/>
  <c r="R893" i="20"/>
  <c r="U903" i="20"/>
  <c r="U917" i="20"/>
  <c r="R918" i="20"/>
  <c r="U918" i="20"/>
  <c r="U919" i="20"/>
  <c r="R920" i="20"/>
  <c r="U920" i="20"/>
  <c r="U922" i="20"/>
  <c r="R923" i="20"/>
  <c r="U923" i="20"/>
  <c r="R924" i="20"/>
  <c r="U924" i="20"/>
  <c r="R925" i="20"/>
  <c r="U925" i="20"/>
  <c r="R926" i="20"/>
  <c r="U926" i="20"/>
  <c r="R927" i="20"/>
  <c r="R929" i="20"/>
  <c r="U929" i="20"/>
  <c r="R932" i="20"/>
  <c r="U932" i="20"/>
  <c r="U942" i="20"/>
  <c r="R933" i="20"/>
  <c r="U934" i="20"/>
  <c r="U947" i="20"/>
  <c r="R938" i="20"/>
  <c r="R935" i="20"/>
  <c r="R941" i="20"/>
  <c r="U946" i="20"/>
  <c r="U935" i="20"/>
  <c r="U938" i="20"/>
  <c r="R950" i="20"/>
  <c r="U941" i="20"/>
  <c r="R936" i="20"/>
  <c r="U949" i="20"/>
  <c r="R947" i="20"/>
  <c r="R949" i="20"/>
  <c r="R946" i="20"/>
  <c r="U883" i="20"/>
  <c r="R883" i="20"/>
  <c r="U882" i="20"/>
  <c r="R882" i="20"/>
  <c r="U881" i="20"/>
  <c r="R881" i="20"/>
  <c r="U880" i="20"/>
  <c r="R880" i="20"/>
  <c r="U879" i="20"/>
  <c r="R879" i="20"/>
  <c r="R876" i="20"/>
  <c r="U875" i="20"/>
  <c r="R875" i="20"/>
  <c r="U874" i="20"/>
  <c r="R862" i="20"/>
  <c r="U861" i="20"/>
  <c r="R861" i="20"/>
  <c r="U860" i="20"/>
  <c r="R860" i="20"/>
  <c r="U859" i="20"/>
  <c r="R857" i="20"/>
  <c r="U856" i="20"/>
  <c r="U853" i="20"/>
  <c r="R853" i="20"/>
  <c r="U852" i="20"/>
  <c r="U851" i="20"/>
  <c r="R851" i="20"/>
  <c r="U850" i="20"/>
  <c r="R850" i="20"/>
  <c r="U849" i="20"/>
  <c r="R849" i="20"/>
  <c r="U848" i="20"/>
  <c r="R848" i="20"/>
  <c r="U845" i="20"/>
  <c r="R845" i="20"/>
  <c r="U844" i="20"/>
  <c r="R844" i="20"/>
  <c r="U842" i="20"/>
  <c r="U840" i="20"/>
  <c r="R840" i="20"/>
  <c r="U839" i="20"/>
  <c r="R839" i="20"/>
  <c r="U838" i="20"/>
  <c r="R838" i="20"/>
  <c r="U837" i="20"/>
  <c r="R837" i="20"/>
  <c r="U836" i="20"/>
  <c r="R836" i="20"/>
  <c r="R835" i="20"/>
  <c r="U834" i="20"/>
  <c r="R832" i="20"/>
  <c r="U831" i="20"/>
  <c r="R831" i="20"/>
  <c r="U830" i="20"/>
  <c r="U827" i="20"/>
  <c r="R827" i="20"/>
  <c r="U826" i="20"/>
  <c r="R826" i="20"/>
  <c r="U825" i="20"/>
  <c r="R825" i="20"/>
  <c r="U824" i="20"/>
  <c r="R824" i="20"/>
  <c r="U823" i="20"/>
  <c r="R823" i="20"/>
  <c r="U822" i="20"/>
  <c r="R822" i="20"/>
  <c r="U821" i="20"/>
  <c r="R821" i="20"/>
  <c r="U820" i="20"/>
  <c r="R820" i="20"/>
  <c r="U819" i="20"/>
  <c r="U814" i="20"/>
  <c r="U813" i="20"/>
  <c r="R812" i="20"/>
  <c r="U811" i="20"/>
  <c r="R811" i="20"/>
  <c r="R810" i="20"/>
  <c r="U809" i="20"/>
  <c r="R808" i="20"/>
  <c r="U806" i="20"/>
  <c r="R806" i="20"/>
  <c r="U805" i="20"/>
  <c r="R805" i="20"/>
  <c r="U804" i="20"/>
  <c r="R804" i="20"/>
  <c r="U803" i="20"/>
  <c r="R803" i="20"/>
  <c r="U802" i="20"/>
  <c r="R802" i="20"/>
  <c r="R799" i="20"/>
  <c r="U798" i="20"/>
  <c r="R792" i="20"/>
  <c r="U791" i="20"/>
  <c r="R791" i="20"/>
  <c r="U790" i="20"/>
  <c r="R790" i="20"/>
  <c r="U789" i="20"/>
  <c r="R789" i="20"/>
  <c r="U788" i="20"/>
  <c r="R788" i="20"/>
  <c r="U786" i="20"/>
  <c r="R786" i="20"/>
  <c r="U783" i="20"/>
  <c r="R783" i="20"/>
  <c r="U782" i="20"/>
  <c r="R782" i="20"/>
  <c r="U781" i="20"/>
  <c r="R780" i="20"/>
  <c r="U779" i="20"/>
  <c r="R775" i="20"/>
  <c r="U774" i="20"/>
  <c r="R774" i="20"/>
  <c r="U771" i="20"/>
  <c r="R771" i="20"/>
  <c r="U659" i="20"/>
  <c r="R659" i="20"/>
  <c r="U658" i="20"/>
  <c r="R658" i="20"/>
  <c r="U657" i="20"/>
  <c r="R657" i="20"/>
  <c r="U656" i="20"/>
  <c r="R656" i="20"/>
  <c r="U655" i="20"/>
  <c r="R655" i="20"/>
  <c r="U654" i="20"/>
  <c r="R654" i="20"/>
  <c r="U653" i="20"/>
  <c r="R653" i="20"/>
  <c r="U652" i="20"/>
  <c r="R652" i="20"/>
  <c r="U651" i="20"/>
  <c r="R651" i="20"/>
  <c r="U650" i="20"/>
  <c r="U649" i="20"/>
  <c r="R649" i="20"/>
  <c r="U648" i="20"/>
  <c r="R648" i="20"/>
  <c r="U647" i="20"/>
  <c r="R647" i="20"/>
  <c r="R646" i="20"/>
  <c r="U644" i="20"/>
  <c r="R644" i="20"/>
  <c r="U643" i="20"/>
  <c r="R643" i="20"/>
  <c r="U642" i="20"/>
  <c r="R642" i="20"/>
  <c r="U641" i="20"/>
  <c r="R641" i="20"/>
  <c r="U640" i="20"/>
  <c r="R640" i="20"/>
  <c r="U639" i="20"/>
  <c r="R639" i="20"/>
  <c r="U638" i="20"/>
  <c r="U637" i="20"/>
  <c r="U635" i="20"/>
  <c r="R635" i="20"/>
  <c r="U634" i="20"/>
  <c r="R634" i="20"/>
  <c r="U633" i="20"/>
  <c r="R633" i="20"/>
  <c r="U632" i="20"/>
  <c r="R632" i="20"/>
  <c r="U631" i="20"/>
  <c r="R631" i="20"/>
  <c r="U630" i="20"/>
  <c r="R630" i="20"/>
  <c r="U629" i="20"/>
  <c r="R629" i="20"/>
  <c r="U628" i="20"/>
  <c r="R628" i="20"/>
  <c r="U627" i="20"/>
  <c r="R627" i="20"/>
  <c r="R626" i="20"/>
  <c r="U618" i="20"/>
  <c r="R618" i="20"/>
  <c r="U617" i="20"/>
  <c r="R617" i="20"/>
  <c r="U616" i="20"/>
  <c r="R616" i="20"/>
  <c r="U615" i="20"/>
  <c r="R615" i="20"/>
  <c r="U614" i="20"/>
  <c r="R614" i="20"/>
  <c r="U613" i="20"/>
  <c r="U608" i="20"/>
  <c r="R605" i="20"/>
  <c r="U603" i="20"/>
  <c r="U602" i="20"/>
  <c r="U600" i="20"/>
  <c r="R599" i="20"/>
  <c r="U598" i="20"/>
  <c r="R594" i="20"/>
  <c r="U592" i="20"/>
  <c r="R591" i="20"/>
  <c r="U589" i="20"/>
  <c r="R588" i="20"/>
  <c r="U587" i="20"/>
  <c r="U585" i="20"/>
  <c r="R584" i="20"/>
  <c r="R576" i="20"/>
  <c r="U573" i="20"/>
  <c r="U572" i="20"/>
  <c r="R572" i="20"/>
  <c r="R570" i="20"/>
  <c r="U568" i="20"/>
  <c r="R563" i="20"/>
  <c r="U562" i="20"/>
  <c r="R561" i="20"/>
  <c r="U560" i="20"/>
  <c r="U558" i="20"/>
  <c r="R558" i="20"/>
  <c r="R557" i="20"/>
  <c r="U552" i="20"/>
  <c r="R551" i="20"/>
  <c r="U549" i="20"/>
  <c r="R548" i="20"/>
  <c r="U547" i="20"/>
  <c r="R547" i="20"/>
  <c r="U546" i="20"/>
  <c r="R546" i="20"/>
  <c r="U545" i="20"/>
  <c r="R545" i="20"/>
  <c r="U541" i="20"/>
  <c r="R541" i="20"/>
  <c r="U540" i="20"/>
  <c r="R540" i="20"/>
  <c r="U538" i="20"/>
  <c r="R538" i="20"/>
  <c r="U537" i="20"/>
  <c r="R537" i="20"/>
  <c r="U536" i="20"/>
  <c r="R536" i="20"/>
  <c r="U535" i="20"/>
  <c r="R535" i="20"/>
  <c r="U534" i="20"/>
  <c r="R534" i="20"/>
  <c r="U533" i="20"/>
  <c r="R532" i="20"/>
  <c r="U356" i="20"/>
  <c r="R356" i="20"/>
  <c r="U355" i="20"/>
  <c r="R355" i="20"/>
  <c r="R353" i="20"/>
  <c r="U352" i="20"/>
  <c r="R352" i="20"/>
  <c r="U351" i="20"/>
  <c r="R351" i="20"/>
  <c r="R350" i="20"/>
  <c r="U349" i="20"/>
  <c r="R349" i="20"/>
  <c r="U348" i="20"/>
  <c r="R348" i="20"/>
  <c r="U347" i="20"/>
  <c r="R347" i="20"/>
  <c r="U346" i="20"/>
  <c r="R346" i="20"/>
  <c r="U325" i="20"/>
  <c r="U324" i="20"/>
  <c r="R323" i="20"/>
  <c r="U322" i="20"/>
  <c r="R322" i="20"/>
  <c r="R321" i="20"/>
  <c r="U319" i="20"/>
  <c r="R317" i="20"/>
  <c r="U316" i="20"/>
  <c r="U314" i="20"/>
  <c r="U313" i="20"/>
  <c r="U312" i="20"/>
  <c r="U307" i="20"/>
  <c r="R307" i="20"/>
  <c r="R304" i="20"/>
  <c r="U303" i="20"/>
  <c r="R302" i="20"/>
  <c r="U301" i="20"/>
  <c r="U299" i="20"/>
  <c r="R297" i="20"/>
  <c r="U296" i="20"/>
  <c r="U123" i="20"/>
  <c r="R123" i="20"/>
  <c r="R122" i="20"/>
  <c r="R120" i="20"/>
  <c r="U115" i="20"/>
  <c r="R115" i="20"/>
  <c r="U114" i="20"/>
  <c r="R114" i="20"/>
  <c r="R113" i="20"/>
  <c r="R111" i="20"/>
  <c r="U110" i="20"/>
  <c r="R110" i="20"/>
  <c r="R109" i="20"/>
  <c r="U108" i="20"/>
  <c r="R650" i="20"/>
  <c r="U646" i="20"/>
  <c r="U645" i="20"/>
  <c r="R645" i="20"/>
  <c r="R638" i="20"/>
  <c r="R637" i="20"/>
  <c r="U636" i="20"/>
  <c r="R636" i="20"/>
  <c r="U626" i="20"/>
  <c r="U625" i="20"/>
  <c r="R625" i="20"/>
  <c r="U624" i="20"/>
  <c r="R624" i="20"/>
  <c r="U623" i="20"/>
  <c r="R623" i="20"/>
  <c r="U622" i="20"/>
  <c r="R622" i="20"/>
  <c r="U621" i="20"/>
  <c r="R621" i="20"/>
  <c r="U620" i="20"/>
  <c r="R620" i="20"/>
  <c r="U619" i="20"/>
  <c r="R619" i="20"/>
  <c r="R613" i="20"/>
  <c r="U612" i="20"/>
  <c r="R612" i="20"/>
  <c r="U611" i="20"/>
  <c r="R611" i="20"/>
  <c r="R610" i="20"/>
  <c r="R609" i="20"/>
  <c r="U607" i="20"/>
  <c r="R607" i="20"/>
  <c r="U606" i="20"/>
  <c r="R606" i="20"/>
  <c r="U604" i="20"/>
  <c r="R603" i="20"/>
  <c r="U601" i="20"/>
  <c r="R600" i="20"/>
  <c r="R598" i="20"/>
  <c r="U590" i="20"/>
  <c r="R589" i="20"/>
  <c r="R585" i="20"/>
  <c r="R583" i="20"/>
  <c r="U582" i="20"/>
  <c r="R582" i="20"/>
  <c r="U581" i="20"/>
  <c r="U575" i="20"/>
  <c r="U574" i="20"/>
  <c r="R574" i="20"/>
  <c r="U571" i="20"/>
  <c r="R571" i="20"/>
  <c r="R568" i="20"/>
  <c r="U567" i="20"/>
  <c r="R567" i="20"/>
  <c r="U565" i="20"/>
  <c r="R565" i="20"/>
  <c r="U564" i="20"/>
  <c r="R564" i="20"/>
  <c r="U563" i="20"/>
  <c r="U561" i="20"/>
  <c r="U557" i="20"/>
  <c r="R553" i="20"/>
  <c r="U551" i="20"/>
  <c r="U550" i="20"/>
  <c r="R549" i="20"/>
  <c r="U548" i="20"/>
  <c r="U544" i="20"/>
  <c r="R544" i="20"/>
  <c r="U543" i="20"/>
  <c r="R543" i="20"/>
  <c r="U542" i="20"/>
  <c r="R542" i="20"/>
  <c r="U539" i="20"/>
  <c r="R539" i="20"/>
  <c r="R533" i="20"/>
  <c r="U532" i="20"/>
  <c r="U531" i="20"/>
  <c r="U360" i="20"/>
  <c r="R360" i="20"/>
  <c r="U359" i="20"/>
  <c r="R359" i="20"/>
  <c r="U358" i="20"/>
  <c r="R358" i="20"/>
  <c r="U357" i="20"/>
  <c r="R357" i="20"/>
  <c r="U354" i="20"/>
  <c r="R354" i="20"/>
  <c r="U353" i="20"/>
  <c r="U350" i="20"/>
  <c r="U345" i="20"/>
  <c r="R345" i="20"/>
  <c r="U344" i="20"/>
  <c r="R344" i="20"/>
  <c r="U343" i="20"/>
  <c r="R343" i="20"/>
  <c r="U342" i="20"/>
  <c r="R342" i="20"/>
  <c r="U341" i="20"/>
  <c r="R341" i="20"/>
  <c r="U340" i="20"/>
  <c r="R340" i="20"/>
  <c r="U339" i="20"/>
  <c r="R339" i="20"/>
  <c r="U338" i="20"/>
  <c r="R338" i="20"/>
  <c r="U337" i="20"/>
  <c r="R337" i="20"/>
  <c r="U336" i="20"/>
  <c r="R336" i="20"/>
  <c r="U335" i="20"/>
  <c r="R335" i="20"/>
  <c r="U334" i="20"/>
  <c r="R334" i="20"/>
  <c r="U333" i="20"/>
  <c r="R333" i="20"/>
  <c r="U332" i="20"/>
  <c r="R332" i="20"/>
  <c r="U331" i="20"/>
  <c r="U330" i="20"/>
  <c r="R330" i="20"/>
  <c r="U329" i="20"/>
  <c r="R329" i="20"/>
  <c r="R328" i="20"/>
  <c r="R326" i="20"/>
  <c r="R324" i="20"/>
  <c r="U321" i="20"/>
  <c r="R320" i="20"/>
  <c r="U318" i="20"/>
  <c r="R318" i="20"/>
  <c r="U317" i="20"/>
  <c r="R316" i="20"/>
  <c r="U315" i="20"/>
  <c r="R314" i="20"/>
  <c r="R313" i="20"/>
  <c r="U311" i="20"/>
  <c r="R311" i="20"/>
  <c r="R309" i="20"/>
  <c r="U308" i="20"/>
  <c r="R308" i="20"/>
  <c r="U306" i="20"/>
  <c r="R306" i="20"/>
  <c r="U305" i="20"/>
  <c r="U300" i="20"/>
  <c r="R300" i="20"/>
  <c r="U994" i="20"/>
  <c r="R994" i="20"/>
  <c r="U124" i="20"/>
  <c r="U993" i="20"/>
  <c r="U120" i="20"/>
  <c r="U119" i="20"/>
  <c r="R119" i="20"/>
  <c r="U118" i="20"/>
  <c r="R118" i="20"/>
  <c r="R993" i="20"/>
  <c r="R116" i="20"/>
  <c r="U992" i="20"/>
  <c r="R79" i="20"/>
  <c r="U77" i="20"/>
  <c r="U76" i="20"/>
  <c r="R76" i="20"/>
  <c r="R75" i="20"/>
  <c r="U74" i="20"/>
  <c r="R74" i="20"/>
  <c r="R992" i="20"/>
  <c r="U991" i="20"/>
  <c r="R991" i="20"/>
  <c r="U70" i="20"/>
  <c r="R70" i="20"/>
  <c r="U69" i="20"/>
  <c r="R69" i="20"/>
  <c r="U68" i="20"/>
  <c r="R68" i="20"/>
  <c r="U990" i="20"/>
  <c r="U66" i="20"/>
  <c r="U65" i="20"/>
  <c r="R990" i="20"/>
  <c r="R64" i="20"/>
  <c r="U989" i="20"/>
  <c r="R989" i="20"/>
  <c r="R61" i="20"/>
  <c r="Q696" i="20"/>
  <c r="Q242" i="20"/>
  <c r="Q180" i="20"/>
  <c r="Q370" i="20"/>
  <c r="Q921" i="20"/>
  <c r="Q697" i="20"/>
  <c r="Q698" i="20"/>
  <c r="Q488" i="20"/>
  <c r="Q425" i="20"/>
  <c r="Q179" i="20"/>
  <c r="Q394" i="20"/>
  <c r="Q363" i="20"/>
  <c r="Q241" i="20"/>
  <c r="Q178" i="20"/>
  <c r="Q288" i="20"/>
  <c r="Q489" i="20"/>
  <c r="Q426" i="20"/>
  <c r="Q928" i="20"/>
  <c r="Q699" i="20"/>
  <c r="Q177" i="20"/>
  <c r="Q272" i="20"/>
  <c r="Q700" i="20"/>
  <c r="Q931" i="20"/>
  <c r="Q932" i="20"/>
  <c r="Q490" i="20"/>
  <c r="Q240" i="20"/>
  <c r="Q176" i="20"/>
  <c r="Q945" i="20"/>
  <c r="Q889" i="20"/>
  <c r="Q701" i="20"/>
  <c r="Q951" i="20"/>
  <c r="Q938" i="20"/>
  <c r="Q941" i="20"/>
  <c r="Q491" i="20"/>
  <c r="Q427" i="20"/>
  <c r="Q702" i="20"/>
  <c r="Q949" i="20"/>
  <c r="Q175" i="20"/>
  <c r="Q395" i="20"/>
  <c r="Q703" i="20"/>
  <c r="Q492" i="20"/>
  <c r="Q239" i="20"/>
  <c r="Q704" i="20"/>
  <c r="Q174" i="20"/>
  <c r="Q379" i="20"/>
  <c r="Q944" i="20"/>
  <c r="Q493" i="20"/>
  <c r="Q428" i="20"/>
  <c r="Q173" i="20"/>
  <c r="Q271" i="20"/>
  <c r="Q705" i="20"/>
  <c r="Q946" i="20"/>
  <c r="Q706" i="20"/>
  <c r="Q707" i="20"/>
  <c r="Q708" i="20"/>
  <c r="Q709" i="20"/>
  <c r="Q940" i="20"/>
  <c r="Q494" i="20"/>
  <c r="Q937" i="20"/>
  <c r="Q710" i="20"/>
  <c r="Q238" i="20"/>
  <c r="Q172" i="20"/>
  <c r="Q711" i="20"/>
  <c r="Q712" i="20"/>
  <c r="Q884" i="20"/>
  <c r="Q371" i="20"/>
  <c r="Q713" i="20"/>
  <c r="Q495" i="20"/>
  <c r="Q883" i="20"/>
  <c r="Q429" i="20"/>
  <c r="Q714" i="20"/>
  <c r="Q171" i="20"/>
  <c r="Q882" i="20"/>
  <c r="Q396" i="20"/>
  <c r="Q715" i="20"/>
  <c r="Q496" i="20"/>
  <c r="Q881" i="20"/>
  <c r="Q237" i="20"/>
  <c r="Q716" i="20"/>
  <c r="Q170" i="20"/>
  <c r="Q880" i="20"/>
  <c r="Q287" i="20"/>
  <c r="Q497" i="20"/>
  <c r="Q879" i="20"/>
  <c r="Q717" i="20"/>
  <c r="Q878" i="20"/>
  <c r="Q718" i="20"/>
  <c r="Q877" i="20"/>
  <c r="Q719" i="20"/>
  <c r="Q430" i="20"/>
  <c r="Q169" i="20"/>
  <c r="Q270" i="20"/>
  <c r="Q498" i="20"/>
  <c r="Q720" i="20"/>
  <c r="Q874" i="20"/>
  <c r="Q721" i="20"/>
  <c r="Q873" i="20"/>
  <c r="Q722" i="20"/>
  <c r="Q872" i="20"/>
  <c r="Q723" i="20"/>
  <c r="Q871" i="20"/>
  <c r="Q724" i="20"/>
  <c r="Q870" i="20"/>
  <c r="Q725" i="20"/>
  <c r="Q869" i="20"/>
  <c r="Q726" i="20"/>
  <c r="Q868" i="20"/>
  <c r="Q727" i="20"/>
  <c r="Q864" i="20"/>
  <c r="Q728" i="20"/>
  <c r="Q863" i="20"/>
  <c r="Q236" i="20"/>
  <c r="Q168" i="20"/>
  <c r="Q362" i="20"/>
  <c r="Q499" i="20"/>
  <c r="Q431" i="20"/>
  <c r="Q167" i="20"/>
  <c r="Q729" i="20"/>
  <c r="Q859" i="20"/>
  <c r="Q730" i="20"/>
  <c r="Q858" i="20"/>
  <c r="Q731" i="20"/>
  <c r="Q397" i="20"/>
  <c r="Q500" i="20"/>
  <c r="Q856" i="20"/>
  <c r="Q732" i="20"/>
  <c r="Q855" i="20"/>
  <c r="Q733" i="20"/>
  <c r="Q235" i="20"/>
  <c r="Q166" i="20"/>
  <c r="Q380" i="20"/>
  <c r="Q734" i="20"/>
  <c r="Q501" i="20"/>
  <c r="Q432" i="20"/>
  <c r="Q165" i="20"/>
  <c r="Q269" i="20"/>
  <c r="Q502" i="20"/>
  <c r="Q234" i="20"/>
  <c r="Q164" i="20"/>
  <c r="Q295" i="20"/>
  <c r="Q847" i="20"/>
  <c r="Q735" i="20"/>
  <c r="Q503" i="20"/>
  <c r="Q433" i="20"/>
  <c r="Q163" i="20"/>
  <c r="Q398" i="20"/>
  <c r="Q844" i="20"/>
  <c r="Q736" i="20"/>
  <c r="Q504" i="20"/>
  <c r="Q233" i="20"/>
  <c r="Q162" i="20"/>
  <c r="Q286" i="20"/>
  <c r="Q505" i="20"/>
  <c r="Q434" i="20"/>
  <c r="Q161" i="20"/>
  <c r="Q268" i="20"/>
  <c r="Q506" i="20"/>
  <c r="Q232" i="20"/>
  <c r="Q160" i="20"/>
  <c r="Q836" i="20"/>
  <c r="Q737" i="20"/>
  <c r="Q361" i="20"/>
  <c r="Q507" i="20"/>
  <c r="Q834" i="20"/>
  <c r="Q738" i="20"/>
  <c r="Q833" i="20"/>
  <c r="Q435" i="20"/>
  <c r="Q159" i="20"/>
  <c r="Q399" i="20"/>
  <c r="Q508" i="20"/>
  <c r="Q739" i="20"/>
  <c r="Q830" i="20"/>
  <c r="Q740" i="20"/>
  <c r="Q829" i="20"/>
  <c r="Q741" i="20"/>
  <c r="Q231" i="20"/>
  <c r="Q158" i="20"/>
  <c r="Q381" i="20"/>
  <c r="Q509" i="20"/>
  <c r="Q436" i="20"/>
  <c r="Q157" i="20"/>
  <c r="Q267" i="20"/>
  <c r="Q510" i="20"/>
  <c r="Q230" i="20"/>
  <c r="Q156" i="20"/>
  <c r="Q372" i="20"/>
  <c r="Q511" i="20"/>
  <c r="Q437" i="20"/>
  <c r="Q155" i="20"/>
  <c r="Q400" i="20"/>
  <c r="Q512" i="20"/>
  <c r="Q229" i="20"/>
  <c r="Q742" i="20"/>
  <c r="Q819" i="20"/>
  <c r="Q743" i="20"/>
  <c r="Q818" i="20"/>
  <c r="Q744" i="20"/>
  <c r="Q817" i="20"/>
  <c r="Q745" i="20"/>
  <c r="Q816" i="20"/>
  <c r="Q746" i="20"/>
  <c r="Q154" i="20"/>
  <c r="Q747" i="20"/>
  <c r="Q285" i="20"/>
  <c r="Q813" i="20"/>
  <c r="Q513" i="20"/>
  <c r="Q438" i="20"/>
  <c r="Q153" i="20"/>
  <c r="Q811" i="20"/>
  <c r="Q266" i="20"/>
  <c r="Q514" i="20"/>
  <c r="Q228" i="20"/>
  <c r="Q152" i="20"/>
  <c r="Q366" i="20"/>
  <c r="Q515" i="20"/>
  <c r="Q439" i="20"/>
  <c r="Q151" i="20"/>
  <c r="Q401" i="20"/>
  <c r="Q516" i="20"/>
  <c r="Q227" i="20"/>
  <c r="Q150" i="20"/>
  <c r="Q382" i="20"/>
  <c r="Q748" i="20"/>
  <c r="Q801" i="20"/>
  <c r="Q749" i="20"/>
  <c r="Q800" i="20"/>
  <c r="Q750" i="20"/>
  <c r="Q517" i="20"/>
  <c r="Q440" i="20"/>
  <c r="Q798" i="20"/>
  <c r="Q751" i="20"/>
  <c r="Q797" i="20"/>
  <c r="Q752" i="20"/>
  <c r="Q796" i="20"/>
  <c r="Q753" i="20"/>
  <c r="Q795" i="20"/>
  <c r="Q794" i="20"/>
  <c r="Q754" i="20"/>
  <c r="Q793" i="20"/>
  <c r="Q149" i="20"/>
  <c r="Q265" i="20"/>
  <c r="Q518" i="20"/>
  <c r="Q226" i="20"/>
  <c r="Q148" i="20"/>
  <c r="Q294" i="20"/>
  <c r="Q519" i="20"/>
  <c r="Q441" i="20"/>
  <c r="Q147" i="20"/>
  <c r="Q788" i="20"/>
  <c r="Q755" i="20"/>
  <c r="Q402" i="20"/>
  <c r="Q520" i="20"/>
  <c r="Q785" i="20"/>
  <c r="Q756" i="20"/>
  <c r="Q225" i="20"/>
  <c r="Q146" i="20"/>
  <c r="Q284" i="20"/>
  <c r="Q521" i="20"/>
  <c r="Q442" i="20"/>
  <c r="Q781" i="20"/>
  <c r="Q145" i="20"/>
  <c r="Q264" i="20"/>
  <c r="Q779" i="20"/>
  <c r="Q757" i="20"/>
  <c r="Q778" i="20"/>
  <c r="Q758" i="20"/>
  <c r="Q777" i="20"/>
  <c r="Q759" i="20"/>
  <c r="Q776" i="20"/>
  <c r="Q522" i="20"/>
  <c r="Q224" i="20"/>
  <c r="Q144" i="20"/>
  <c r="Q760" i="20"/>
  <c r="Q773" i="20"/>
  <c r="Q761" i="20"/>
  <c r="Q364" i="20"/>
  <c r="Q523" i="20"/>
  <c r="Q443" i="20"/>
  <c r="Q762" i="20"/>
  <c r="Q143" i="20"/>
  <c r="Q659" i="20"/>
  <c r="Q403" i="20"/>
  <c r="Q763" i="20"/>
  <c r="Q524" i="20"/>
  <c r="Q658" i="20"/>
  <c r="Q223" i="20"/>
  <c r="Q764" i="20"/>
  <c r="Q142" i="20"/>
  <c r="Q657" i="20"/>
  <c r="Q383" i="20"/>
  <c r="Q765" i="20"/>
  <c r="Q525" i="20"/>
  <c r="Q656" i="20"/>
  <c r="Q444" i="20"/>
  <c r="Q766" i="20"/>
  <c r="Q141" i="20"/>
  <c r="Q655" i="20"/>
  <c r="Q263" i="20"/>
  <c r="Q767" i="20"/>
  <c r="Q526" i="20"/>
  <c r="Q654" i="20"/>
  <c r="Q222" i="20"/>
  <c r="Q660" i="20"/>
  <c r="Q140" i="20"/>
  <c r="Q653" i="20"/>
  <c r="Q373" i="20"/>
  <c r="Q661" i="20"/>
  <c r="Q527" i="20"/>
  <c r="Q652" i="20"/>
  <c r="Q445" i="20"/>
  <c r="Q662" i="20"/>
  <c r="Q139" i="20"/>
  <c r="Q651" i="20"/>
  <c r="Q404" i="20"/>
  <c r="Q663" i="20"/>
  <c r="Q650" i="20"/>
  <c r="Q528" i="20"/>
  <c r="Q664" i="20"/>
  <c r="Q221" i="20"/>
  <c r="Q649" i="20"/>
  <c r="Q138" i="20"/>
  <c r="Q665" i="20"/>
  <c r="Q283" i="20"/>
  <c r="Q648" i="20"/>
  <c r="Q529" i="20"/>
  <c r="Q666" i="20"/>
  <c r="Q446" i="20"/>
  <c r="Q647" i="20"/>
  <c r="Q667" i="20"/>
  <c r="Q137" i="20"/>
  <c r="Q646" i="20"/>
  <c r="Q668" i="20"/>
  <c r="Q645" i="20"/>
  <c r="Q262" i="20"/>
  <c r="Q530" i="20"/>
  <c r="Q644" i="20"/>
  <c r="Q220" i="20"/>
  <c r="Q136" i="20"/>
  <c r="Q60" i="20"/>
  <c r="Q531" i="20"/>
  <c r="Q447" i="20"/>
  <c r="Q135" i="20"/>
  <c r="Q405" i="20"/>
  <c r="Q61" i="20"/>
  <c r="Q219" i="20"/>
  <c r="Q134" i="20"/>
  <c r="Q384" i="20"/>
  <c r="Q669" i="20"/>
  <c r="Q638" i="20"/>
  <c r="Q66" i="20"/>
  <c r="Q670" i="20"/>
  <c r="Q637" i="20"/>
  <c r="Q671" i="20"/>
  <c r="Q448" i="20"/>
  <c r="Q133" i="20"/>
  <c r="Q261" i="20"/>
  <c r="Q67" i="20"/>
  <c r="Q218" i="20"/>
  <c r="Q132" i="20"/>
  <c r="Q293" i="20"/>
  <c r="Q69" i="20"/>
  <c r="Q449" i="20"/>
  <c r="Q131" i="20"/>
  <c r="Q406" i="20"/>
  <c r="Q70" i="20"/>
  <c r="Q217" i="20"/>
  <c r="Q130" i="20"/>
  <c r="Q282" i="20"/>
  <c r="Q71" i="20"/>
  <c r="Q450" i="20"/>
  <c r="Q129" i="20"/>
  <c r="Q627" i="20"/>
  <c r="Q672" i="20"/>
  <c r="Q260" i="20"/>
  <c r="Q626" i="20"/>
  <c r="Q673" i="20"/>
  <c r="Q625" i="20"/>
  <c r="Q674" i="20"/>
  <c r="Q624" i="20"/>
  <c r="Q677" i="20"/>
  <c r="Q623" i="20"/>
  <c r="Q679" i="20"/>
  <c r="Q622" i="20"/>
  <c r="Q680" i="20"/>
  <c r="Q621" i="20"/>
  <c r="Q683" i="20"/>
  <c r="Q620" i="20"/>
  <c r="Q684" i="20"/>
  <c r="Q75" i="20"/>
  <c r="Q686" i="20"/>
  <c r="Q216" i="20"/>
  <c r="Q128" i="20"/>
  <c r="Q367" i="20"/>
  <c r="Q77" i="20"/>
  <c r="Q451" i="20"/>
  <c r="Q127" i="20"/>
  <c r="Q407" i="20"/>
  <c r="Q78" i="20"/>
  <c r="Q215" i="20"/>
  <c r="Q126" i="20"/>
  <c r="Q687" i="20"/>
  <c r="Q613" i="20"/>
  <c r="Q689" i="20"/>
  <c r="Q612" i="20"/>
  <c r="Q768" i="20"/>
  <c r="Q611" i="20"/>
  <c r="Q610" i="20"/>
  <c r="Q769" i="20"/>
  <c r="Q385" i="20"/>
  <c r="Q608" i="20"/>
  <c r="Q770" i="20"/>
  <c r="Q606" i="20"/>
  <c r="Q79" i="20"/>
  <c r="Q771" i="20"/>
  <c r="Q452" i="20"/>
  <c r="Q125" i="20"/>
  <c r="Q602" i="20"/>
  <c r="Q772" i="20"/>
  <c r="Q259" i="20"/>
  <c r="Q600" i="20"/>
  <c r="Q59" i="20"/>
  <c r="Q214" i="20"/>
  <c r="Q598" i="20"/>
  <c r="Q774" i="20"/>
  <c r="Q597" i="20"/>
  <c r="Q775" i="20"/>
  <c r="Q596" i="20"/>
  <c r="Q780" i="20"/>
  <c r="Q80" i="20"/>
  <c r="Q594" i="20"/>
  <c r="Q782" i="20"/>
  <c r="Q374" i="20"/>
  <c r="Q592" i="20"/>
  <c r="Q58" i="20"/>
  <c r="Q783" i="20"/>
  <c r="Q453" i="20"/>
  <c r="Q589" i="20"/>
  <c r="Q81" i="20"/>
  <c r="Q408" i="20"/>
  <c r="Q587" i="20"/>
  <c r="Q784" i="20"/>
  <c r="Q57" i="20"/>
  <c r="Q585" i="20"/>
  <c r="Q213" i="20"/>
  <c r="Q82" i="20"/>
  <c r="Q786" i="20"/>
  <c r="Q575" i="20"/>
  <c r="Q281" i="20"/>
  <c r="Q56" i="20"/>
  <c r="Q454" i="20"/>
  <c r="Q787" i="20"/>
  <c r="Q83" i="20"/>
  <c r="Q789" i="20"/>
  <c r="Q258" i="20"/>
  <c r="Q568" i="20"/>
  <c r="Q567" i="20"/>
  <c r="Q566" i="20"/>
  <c r="Q565" i="20"/>
  <c r="Q564" i="20"/>
  <c r="Q55" i="20"/>
  <c r="Q212" i="20"/>
  <c r="Q562" i="20"/>
  <c r="Q84" i="20"/>
  <c r="Q365" i="20"/>
  <c r="Q560" i="20"/>
  <c r="Q54" i="20"/>
  <c r="Q455" i="20"/>
  <c r="Q790" i="20"/>
  <c r="Q85" i="20"/>
  <c r="Q791" i="20"/>
  <c r="Q556" i="20"/>
  <c r="Q792" i="20"/>
  <c r="Q799" i="20"/>
  <c r="Q409" i="20"/>
  <c r="Q552" i="20"/>
  <c r="Q53" i="20"/>
  <c r="Q802" i="20"/>
  <c r="Q211" i="20"/>
  <c r="Q803" i="20"/>
  <c r="Q549" i="20"/>
  <c r="Q86" i="20"/>
  <c r="Q386" i="20"/>
  <c r="Q52" i="20"/>
  <c r="Q456" i="20"/>
  <c r="Q87" i="20"/>
  <c r="Q257" i="20"/>
  <c r="Q51" i="20"/>
  <c r="Q545" i="20"/>
  <c r="Q804" i="20"/>
  <c r="Q544" i="20"/>
  <c r="Q805" i="20"/>
  <c r="Q543" i="20"/>
  <c r="Q210" i="20"/>
  <c r="Q88" i="20"/>
  <c r="Q292" i="20"/>
  <c r="Q50" i="20"/>
  <c r="Q487" i="20"/>
  <c r="Q806" i="20"/>
  <c r="Q457" i="20"/>
  <c r="Q807" i="20"/>
  <c r="Q89" i="20"/>
  <c r="Q538" i="20"/>
  <c r="Q410" i="20"/>
  <c r="Q808" i="20"/>
  <c r="Q49" i="20"/>
  <c r="Q537" i="20"/>
  <c r="Q209" i="20"/>
  <c r="Q90" i="20"/>
  <c r="Q280" i="20"/>
  <c r="Q48" i="20"/>
  <c r="Q458" i="20"/>
  <c r="Q91" i="20"/>
  <c r="Q256" i="20"/>
  <c r="Q809" i="20"/>
  <c r="Q533" i="20"/>
  <c r="Q47" i="20"/>
  <c r="Q532" i="20"/>
  <c r="Q810" i="20"/>
  <c r="Q360" i="20"/>
  <c r="Q812" i="20"/>
  <c r="Q359" i="20"/>
  <c r="Q814" i="20"/>
  <c r="Q358" i="20"/>
  <c r="Q208" i="20"/>
  <c r="Q92" i="20"/>
  <c r="Q885" i="20"/>
  <c r="Q46" i="20"/>
  <c r="Q355" i="20"/>
  <c r="Q815" i="20"/>
  <c r="Q354" i="20"/>
  <c r="Q820" i="20"/>
  <c r="Q459" i="20"/>
  <c r="Q93" i="20"/>
  <c r="Q411" i="20"/>
  <c r="Q45" i="20"/>
  <c r="Q207" i="20"/>
  <c r="Q94" i="20"/>
  <c r="Q387" i="20"/>
  <c r="Q44" i="20"/>
  <c r="Q460" i="20"/>
  <c r="Q95" i="20"/>
  <c r="Q255" i="20"/>
  <c r="Q43" i="20"/>
  <c r="Q206" i="20"/>
  <c r="Q96" i="20"/>
  <c r="Q327" i="20"/>
  <c r="Q821" i="20"/>
  <c r="Q375" i="20"/>
  <c r="Q42" i="20"/>
  <c r="Q324" i="20"/>
  <c r="Q461" i="20"/>
  <c r="Q97" i="20"/>
  <c r="Q412" i="20"/>
  <c r="Q41" i="20"/>
  <c r="Q321" i="20"/>
  <c r="Q822" i="20"/>
  <c r="Q205" i="20"/>
  <c r="Q319" i="20"/>
  <c r="Q318" i="20"/>
  <c r="Q98" i="20"/>
  <c r="Q279" i="20"/>
  <c r="Q316" i="20"/>
  <c r="Q823" i="20"/>
  <c r="Q40" i="20"/>
  <c r="Q462" i="20"/>
  <c r="Q824" i="20"/>
  <c r="Q99" i="20"/>
  <c r="Q825" i="20"/>
  <c r="Q826" i="20"/>
  <c r="Q827" i="20"/>
  <c r="Q254" i="20"/>
  <c r="Q39" i="20"/>
  <c r="Q828" i="20"/>
  <c r="Q831" i="20"/>
  <c r="Q204" i="20"/>
  <c r="Q100" i="20"/>
  <c r="Q303" i="20"/>
  <c r="Q64" i="20"/>
  <c r="Q38" i="20"/>
  <c r="Q832" i="20"/>
  <c r="Q301" i="20"/>
  <c r="Q463" i="20"/>
  <c r="Q835" i="20"/>
  <c r="Q298" i="20"/>
  <c r="Q101" i="20"/>
  <c r="Q413" i="20"/>
  <c r="Q296" i="20"/>
  <c r="Q837" i="20"/>
  <c r="Q37" i="20"/>
  <c r="Q203" i="20"/>
  <c r="Q838" i="20"/>
  <c r="Q102" i="20"/>
  <c r="Q121" i="20"/>
  <c r="Q388" i="20"/>
  <c r="Q839" i="20"/>
  <c r="Q118" i="20"/>
  <c r="Q840" i="20"/>
  <c r="Q36" i="20"/>
  <c r="Q464" i="20"/>
  <c r="Q103" i="20"/>
  <c r="Q253" i="20"/>
  <c r="Q114" i="20"/>
  <c r="Q35" i="20"/>
  <c r="Q113" i="20"/>
  <c r="Q841" i="20"/>
  <c r="Q112" i="20"/>
  <c r="Q202" i="20"/>
  <c r="Q104" i="20"/>
  <c r="Q842" i="20"/>
  <c r="Q291" i="20"/>
  <c r="Q110" i="20"/>
  <c r="Q843" i="20"/>
  <c r="Q34" i="20"/>
  <c r="Q465" i="20"/>
  <c r="Q845" i="20"/>
  <c r="Q108" i="20"/>
  <c r="Q846" i="20"/>
  <c r="Q107" i="20"/>
  <c r="Q105" i="20"/>
  <c r="Q414" i="20"/>
  <c r="Q33" i="20"/>
  <c r="Q201" i="20"/>
  <c r="Q848" i="20"/>
  <c r="Q849" i="20"/>
  <c r="Q643" i="20"/>
  <c r="Q850" i="20"/>
  <c r="Q642" i="20"/>
  <c r="Q851" i="20"/>
  <c r="Q641" i="20"/>
  <c r="Q852" i="20"/>
  <c r="Q640" i="20"/>
  <c r="Q853" i="20"/>
  <c r="Q639" i="20"/>
  <c r="Q106" i="20"/>
  <c r="Q278" i="20"/>
  <c r="Q32" i="20"/>
  <c r="Q466" i="20"/>
  <c r="Q636" i="20"/>
  <c r="Q854" i="20"/>
  <c r="Q635" i="20"/>
  <c r="Q857" i="20"/>
  <c r="Q634" i="20"/>
  <c r="Q860" i="20"/>
  <c r="Q633" i="20"/>
  <c r="Q861" i="20"/>
  <c r="Q632" i="20"/>
  <c r="Q862" i="20"/>
  <c r="Q631" i="20"/>
  <c r="Q865" i="20"/>
  <c r="Q630" i="20"/>
  <c r="Q866" i="20"/>
  <c r="Q629" i="20"/>
  <c r="Q867" i="20"/>
  <c r="Q628" i="20"/>
  <c r="Q875" i="20"/>
  <c r="Q109" i="20"/>
  <c r="Q252" i="20"/>
  <c r="Q31" i="20"/>
  <c r="Q200" i="20"/>
  <c r="Q111" i="20"/>
  <c r="Q368" i="20"/>
  <c r="Q30" i="20"/>
  <c r="Q467" i="20"/>
  <c r="Q116" i="20"/>
  <c r="Q415" i="20"/>
  <c r="Q29" i="20"/>
  <c r="Q199" i="20"/>
  <c r="Q119" i="20"/>
  <c r="Q389" i="20"/>
  <c r="Q28" i="20"/>
  <c r="Q619" i="20"/>
  <c r="Q618" i="20"/>
  <c r="Q876" i="20"/>
  <c r="Q617" i="20"/>
  <c r="Q893" i="20"/>
  <c r="Q616" i="20"/>
  <c r="Q894" i="20"/>
  <c r="Q615" i="20"/>
  <c r="Q900" i="20"/>
  <c r="Q614" i="20"/>
  <c r="Q468" i="20"/>
  <c r="Q120" i="20"/>
  <c r="Q251" i="20"/>
  <c r="Q27" i="20"/>
  <c r="Q198" i="20"/>
  <c r="Q901" i="20"/>
  <c r="Q297" i="20"/>
  <c r="Q376" i="20"/>
  <c r="Q902" i="20"/>
  <c r="Q26" i="20"/>
  <c r="Q469" i="20"/>
  <c r="Q302" i="20"/>
  <c r="Q416" i="20"/>
  <c r="Q903" i="20"/>
  <c r="Q25" i="20"/>
  <c r="Q604" i="20"/>
  <c r="Q197" i="20"/>
  <c r="Q904" i="20"/>
  <c r="Q304" i="20"/>
  <c r="Q601" i="20"/>
  <c r="Q277" i="20"/>
  <c r="Q905" i="20"/>
  <c r="Q599" i="20"/>
  <c r="Q24" i="20"/>
  <c r="Q906" i="20"/>
  <c r="Q910" i="20"/>
  <c r="Q470" i="20"/>
  <c r="Q590" i="20"/>
  <c r="Q306" i="20"/>
  <c r="Q913" i="20"/>
  <c r="Q914" i="20"/>
  <c r="Q586" i="20"/>
  <c r="Q250" i="20"/>
  <c r="Q915" i="20"/>
  <c r="Q584" i="20"/>
  <c r="Q23" i="20"/>
  <c r="Q196" i="20"/>
  <c r="Q307" i="20"/>
  <c r="Q886" i="20"/>
  <c r="Q918" i="20"/>
  <c r="Q581" i="20"/>
  <c r="Q919" i="20"/>
  <c r="Q580" i="20"/>
  <c r="Q920" i="20"/>
  <c r="Q579" i="20"/>
  <c r="Q922" i="20"/>
  <c r="Q578" i="20"/>
  <c r="Q923" i="20"/>
  <c r="Q577" i="20"/>
  <c r="Q924" i="20"/>
  <c r="Q22" i="20"/>
  <c r="Q471" i="20"/>
  <c r="Q308" i="20"/>
  <c r="Q925" i="20"/>
  <c r="Q573" i="20"/>
  <c r="Q417" i="20"/>
  <c r="Q21" i="20"/>
  <c r="Q571" i="20"/>
  <c r="Q926" i="20"/>
  <c r="Q570" i="20"/>
  <c r="Q569" i="20"/>
  <c r="Q195" i="20"/>
  <c r="Q309" i="20"/>
  <c r="Q390" i="20"/>
  <c r="Q927" i="20"/>
  <c r="Q20" i="20"/>
  <c r="Q472" i="20"/>
  <c r="Q312" i="20"/>
  <c r="Q249" i="20"/>
  <c r="Q19" i="20"/>
  <c r="Q563" i="20"/>
  <c r="Q929" i="20"/>
  <c r="Q194" i="20"/>
  <c r="Q930" i="20"/>
  <c r="Q933" i="20"/>
  <c r="Q559" i="20"/>
  <c r="Q314" i="20"/>
  <c r="Q557" i="20"/>
  <c r="Q934" i="20"/>
  <c r="Q555" i="20"/>
  <c r="Q554" i="20"/>
  <c r="Q290" i="20"/>
  <c r="Q935" i="20"/>
  <c r="Q18" i="20"/>
  <c r="Q473" i="20"/>
  <c r="Q550" i="20"/>
  <c r="Q322" i="20"/>
  <c r="Q418" i="20"/>
  <c r="Q936" i="20"/>
  <c r="Q548" i="20"/>
  <c r="Q939" i="20"/>
  <c r="Q547" i="20"/>
  <c r="Q942" i="20"/>
  <c r="Q546" i="20"/>
  <c r="Q943" i="20"/>
  <c r="Q17" i="20"/>
  <c r="Q193" i="20"/>
  <c r="Q323" i="20"/>
  <c r="Q276" i="20"/>
  <c r="Q16" i="20"/>
  <c r="Q947" i="20"/>
  <c r="Q474" i="20"/>
  <c r="Q542" i="20"/>
  <c r="Q948" i="20"/>
  <c r="Q541" i="20"/>
  <c r="Q950" i="20"/>
  <c r="Q326" i="20"/>
  <c r="Q248" i="20"/>
  <c r="Q539" i="20"/>
  <c r="Q952" i="20"/>
  <c r="Q536" i="20"/>
  <c r="Q953" i="20"/>
  <c r="Q535" i="20"/>
  <c r="Q954" i="20"/>
  <c r="Q534" i="20"/>
  <c r="Q15" i="20"/>
  <c r="Q192" i="20"/>
  <c r="Q955" i="20"/>
  <c r="Q551" i="20"/>
  <c r="Q887" i="20"/>
  <c r="Q14" i="20"/>
  <c r="Q475" i="20"/>
  <c r="Q553" i="20"/>
  <c r="Q419" i="20"/>
  <c r="Q13" i="20"/>
  <c r="Q191" i="20"/>
  <c r="Q956" i="20"/>
  <c r="Q558" i="20"/>
  <c r="Q357" i="20"/>
  <c r="Q957" i="20"/>
  <c r="Q356" i="20"/>
  <c r="Q958" i="20"/>
  <c r="Q391" i="20"/>
  <c r="Q12" i="20"/>
  <c r="Q476" i="20"/>
  <c r="Q353" i="20"/>
  <c r="Q959" i="20"/>
  <c r="Q352" i="20"/>
  <c r="Q960" i="20"/>
  <c r="Q351" i="20"/>
  <c r="Q561" i="20"/>
  <c r="Q961" i="20"/>
  <c r="Q350" i="20"/>
  <c r="Q962" i="20"/>
  <c r="Q349" i="20"/>
  <c r="Q963" i="20"/>
  <c r="Q348" i="20"/>
  <c r="Q964" i="20"/>
  <c r="Q347" i="20"/>
  <c r="Q965" i="20"/>
  <c r="Q346" i="20"/>
  <c r="Q247" i="20"/>
  <c r="Q966" i="20"/>
  <c r="Q11" i="20"/>
  <c r="Q345" i="20"/>
  <c r="Q190" i="20"/>
  <c r="Q967" i="20"/>
  <c r="Q572" i="20"/>
  <c r="Q344" i="20"/>
  <c r="Q377" i="20"/>
  <c r="Q968" i="20"/>
  <c r="Q10" i="20"/>
  <c r="Q343" i="20"/>
  <c r="Q477" i="20"/>
  <c r="Q969" i="20"/>
  <c r="Q574" i="20"/>
  <c r="Q342" i="20"/>
  <c r="Q420" i="20"/>
  <c r="Q970" i="20"/>
  <c r="Q9" i="20"/>
  <c r="Q341" i="20"/>
  <c r="Q189" i="20"/>
  <c r="Q971" i="20"/>
  <c r="Q576" i="20"/>
  <c r="Q340" i="20"/>
  <c r="Q275" i="20"/>
  <c r="Q972" i="20"/>
  <c r="Q8" i="20"/>
  <c r="Q339" i="20"/>
  <c r="Q478" i="20"/>
  <c r="Q973" i="20"/>
  <c r="Q582" i="20"/>
  <c r="Q338" i="20"/>
  <c r="Q246" i="20"/>
  <c r="Q974" i="20"/>
  <c r="Q7" i="20"/>
  <c r="Q337" i="20"/>
  <c r="Q188" i="20"/>
  <c r="Q975" i="20"/>
  <c r="Q583" i="20"/>
  <c r="Q336" i="20"/>
  <c r="Q369" i="20"/>
  <c r="Q976" i="20"/>
  <c r="Q6" i="20"/>
  <c r="Q335" i="20"/>
  <c r="Q479" i="20"/>
  <c r="Q977" i="20"/>
  <c r="Q588" i="20"/>
  <c r="Q334" i="20"/>
  <c r="Q421" i="20"/>
  <c r="Q978" i="20"/>
  <c r="Q5" i="20"/>
  <c r="Q333" i="20"/>
  <c r="Q187" i="20"/>
  <c r="Q979" i="20"/>
  <c r="Q591" i="20"/>
  <c r="Q332" i="20"/>
  <c r="Q392" i="20"/>
  <c r="Q980" i="20"/>
  <c r="Q331" i="20"/>
  <c r="Q4" i="20"/>
  <c r="Q981" i="20"/>
  <c r="Q480" i="20"/>
  <c r="Q330" i="20"/>
  <c r="Q593" i="20"/>
  <c r="Q982" i="20"/>
  <c r="Q245" i="20"/>
  <c r="Q329" i="20"/>
  <c r="Q983" i="20"/>
  <c r="Q3" i="20"/>
  <c r="Q328" i="20"/>
  <c r="Q984" i="20"/>
  <c r="Q186" i="20"/>
  <c r="Q985" i="20"/>
  <c r="Q325" i="20"/>
  <c r="Q595" i="20"/>
  <c r="Q986" i="20"/>
  <c r="Q289" i="20"/>
  <c r="Q987" i="20"/>
  <c r="Q2" i="20"/>
  <c r="Q320" i="20"/>
  <c r="Q988" i="20"/>
  <c r="Q603" i="20"/>
  <c r="Q481" i="20"/>
  <c r="Q909" i="20"/>
  <c r="Q317" i="20"/>
  <c r="Q897" i="20"/>
  <c r="Q422" i="20"/>
  <c r="Q315" i="20"/>
  <c r="Q605" i="20"/>
  <c r="Q185" i="20"/>
  <c r="Q313" i="20"/>
  <c r="Q989" i="20"/>
  <c r="Q607" i="20"/>
  <c r="Q609" i="20"/>
  <c r="Q311" i="20"/>
  <c r="Q310" i="20"/>
  <c r="Q274" i="20"/>
  <c r="Q675" i="20"/>
  <c r="Q482" i="20"/>
  <c r="Q990" i="20"/>
  <c r="Q892" i="20"/>
  <c r="Q244" i="20"/>
  <c r="Q908" i="20"/>
  <c r="Q305" i="20"/>
  <c r="Q991" i="20"/>
  <c r="Q992" i="20"/>
  <c r="Q993" i="20"/>
  <c r="Q184" i="20"/>
  <c r="Q676" i="20"/>
  <c r="Q300" i="20"/>
  <c r="Q299" i="20"/>
  <c r="Q994" i="20"/>
  <c r="Q888" i="20"/>
  <c r="Q678" i="20"/>
  <c r="Q483" i="20"/>
  <c r="Q124" i="20"/>
  <c r="Q123" i="20"/>
  <c r="Q122" i="20"/>
  <c r="Q681" i="20"/>
  <c r="Q912" i="20"/>
  <c r="Q898" i="20"/>
  <c r="Q423" i="20"/>
  <c r="Q183" i="20"/>
  <c r="Q895" i="20"/>
  <c r="Q682" i="20"/>
  <c r="Q117" i="20"/>
  <c r="Q907" i="20"/>
  <c r="Q685" i="20"/>
  <c r="Q115" i="20"/>
  <c r="Q393" i="20"/>
  <c r="Q896" i="20"/>
  <c r="Q911" i="20"/>
  <c r="Q484" i="20"/>
  <c r="Q76" i="20"/>
  <c r="Q688" i="20"/>
  <c r="Q690" i="20"/>
  <c r="Q691" i="20"/>
  <c r="Q74" i="20"/>
  <c r="Q692" i="20"/>
  <c r="Q73" i="20"/>
  <c r="Q890" i="20"/>
  <c r="Q72" i="20"/>
  <c r="Q891" i="20"/>
  <c r="Q243" i="20"/>
  <c r="Q182" i="20"/>
  <c r="Q693" i="20"/>
  <c r="Q378" i="20"/>
  <c r="Q899" i="20"/>
  <c r="Q485" i="20"/>
  <c r="Q68" i="20"/>
  <c r="Q424" i="20"/>
  <c r="Q916" i="20"/>
  <c r="Q694" i="20"/>
  <c r="Q917" i="20"/>
  <c r="Q65" i="20"/>
  <c r="Q695" i="20"/>
  <c r="Q181" i="20"/>
  <c r="Q63" i="20"/>
  <c r="Q273" i="20"/>
  <c r="Q62" i="20"/>
  <c r="Q486" i="20"/>
  <c r="Q540" i="20"/>
  <c r="U117" i="22"/>
  <c r="R117" i="22"/>
  <c r="U116" i="22"/>
  <c r="S116" i="22"/>
  <c r="S115" i="22"/>
  <c r="R114" i="22"/>
  <c r="U113" i="22"/>
  <c r="S113" i="22"/>
  <c r="T112" i="22"/>
  <c r="R112" i="22"/>
  <c r="U111" i="22"/>
  <c r="T111" i="22"/>
  <c r="R111" i="22"/>
  <c r="S110" i="22"/>
  <c r="T109" i="22"/>
  <c r="R109" i="22"/>
  <c r="U108" i="22"/>
  <c r="T108" i="22"/>
  <c r="R108" i="22"/>
  <c r="U107" i="22"/>
  <c r="S107" i="22"/>
  <c r="R107" i="22"/>
  <c r="U106" i="22"/>
  <c r="T106" i="22"/>
  <c r="R106" i="22"/>
  <c r="T105" i="22"/>
  <c r="R105" i="22"/>
  <c r="U104" i="22"/>
  <c r="R104" i="22"/>
  <c r="U103" i="22"/>
  <c r="S103" i="22"/>
  <c r="T102" i="22"/>
  <c r="R102" i="22"/>
  <c r="U101" i="22"/>
  <c r="R101" i="22"/>
  <c r="U100" i="22"/>
  <c r="T100" i="22"/>
  <c r="S100" i="22"/>
  <c r="U99" i="22"/>
  <c r="T99" i="22"/>
  <c r="S99" i="22"/>
  <c r="R99" i="22"/>
  <c r="U98" i="22"/>
  <c r="T98" i="22"/>
  <c r="S98" i="22"/>
  <c r="R98" i="22"/>
  <c r="U97" i="22"/>
  <c r="T97" i="22"/>
  <c r="S97" i="22"/>
  <c r="R97" i="22"/>
  <c r="U96" i="22"/>
  <c r="T96" i="22"/>
  <c r="S96" i="22"/>
  <c r="U95" i="22"/>
  <c r="S95" i="22"/>
  <c r="T94" i="22"/>
  <c r="R94" i="22"/>
  <c r="U93" i="22"/>
  <c r="T93" i="22"/>
  <c r="S93" i="22"/>
  <c r="T92" i="22"/>
  <c r="R92" i="22"/>
  <c r="U91" i="22"/>
  <c r="S91" i="22"/>
  <c r="T90" i="22"/>
  <c r="R90" i="22"/>
  <c r="U89" i="22"/>
  <c r="S89" i="22"/>
  <c r="T88" i="22"/>
  <c r="R88" i="22"/>
  <c r="U87" i="22"/>
  <c r="S87" i="22"/>
  <c r="T86" i="22"/>
  <c r="T85" i="22"/>
  <c r="R85" i="22"/>
  <c r="U84" i="22"/>
  <c r="S84" i="22"/>
  <c r="T83" i="22"/>
  <c r="R272" i="22"/>
  <c r="U271" i="22"/>
  <c r="T271" i="22"/>
  <c r="S271" i="22"/>
  <c r="R271" i="22"/>
  <c r="U270" i="22"/>
  <c r="T270" i="22"/>
  <c r="S270" i="22"/>
  <c r="R270" i="22"/>
  <c r="U269" i="22"/>
  <c r="T269" i="22"/>
  <c r="S269" i="22"/>
  <c r="R269" i="22"/>
  <c r="U268" i="22"/>
  <c r="T268" i="22"/>
  <c r="S268" i="22"/>
  <c r="R268" i="22"/>
  <c r="U267" i="22"/>
  <c r="T267" i="22"/>
  <c r="S267" i="22"/>
  <c r="R267" i="22"/>
  <c r="U266" i="22"/>
  <c r="T266" i="22"/>
  <c r="S266" i="22"/>
  <c r="R266" i="22"/>
  <c r="U265" i="22"/>
  <c r="T265" i="22"/>
  <c r="S265" i="22"/>
  <c r="R265" i="22"/>
  <c r="U264" i="22"/>
  <c r="T264" i="22"/>
  <c r="S264" i="22"/>
  <c r="R264" i="22"/>
  <c r="U263" i="22"/>
  <c r="T263" i="22"/>
  <c r="S263" i="22"/>
  <c r="R263" i="22"/>
  <c r="U262" i="22"/>
  <c r="T262" i="22"/>
  <c r="S262" i="22"/>
  <c r="R262" i="22"/>
  <c r="U261" i="22"/>
  <c r="T261" i="22"/>
  <c r="S261" i="22"/>
  <c r="R261" i="22"/>
  <c r="U260" i="22"/>
  <c r="T260" i="22"/>
  <c r="S260" i="22"/>
  <c r="R260" i="22"/>
  <c r="U259" i="22"/>
  <c r="T259" i="22"/>
  <c r="S259" i="22"/>
  <c r="R259" i="22"/>
  <c r="U258" i="22"/>
  <c r="T258" i="22"/>
  <c r="S258" i="22"/>
  <c r="R258" i="22"/>
  <c r="U257" i="22"/>
  <c r="T257" i="22"/>
  <c r="S257" i="22"/>
  <c r="R257" i="22"/>
  <c r="U256" i="22"/>
  <c r="T256" i="22"/>
  <c r="S256" i="22"/>
  <c r="R256" i="22"/>
  <c r="U255" i="22"/>
  <c r="T255" i="22"/>
  <c r="S255" i="22"/>
  <c r="R255" i="22"/>
  <c r="U254" i="22"/>
  <c r="T254" i="22"/>
  <c r="S254" i="22"/>
  <c r="R254" i="22"/>
  <c r="U253" i="22"/>
  <c r="T253" i="22"/>
  <c r="S253" i="22"/>
  <c r="R253" i="22"/>
  <c r="U252" i="22"/>
  <c r="T252" i="22"/>
  <c r="S252" i="22"/>
  <c r="R252" i="22"/>
  <c r="U251" i="22"/>
  <c r="T251" i="22"/>
  <c r="S251" i="22"/>
  <c r="R251" i="22"/>
  <c r="U250" i="22"/>
  <c r="T250" i="22"/>
  <c r="S250" i="22"/>
  <c r="R250" i="22"/>
  <c r="U249" i="22"/>
  <c r="T249" i="22"/>
  <c r="S249" i="22"/>
  <c r="R249" i="22"/>
  <c r="U248" i="22"/>
  <c r="T248" i="22"/>
  <c r="S248" i="22"/>
  <c r="R248" i="22"/>
  <c r="U247" i="22"/>
  <c r="T247" i="22"/>
  <c r="S247" i="22"/>
  <c r="R247" i="22"/>
  <c r="U246" i="22"/>
  <c r="T246" i="22"/>
  <c r="S246" i="22"/>
  <c r="R246" i="22"/>
  <c r="U245" i="22"/>
  <c r="T245" i="22"/>
  <c r="S245" i="22"/>
  <c r="R245" i="22"/>
  <c r="U244" i="22"/>
  <c r="T244" i="22"/>
  <c r="S244" i="22"/>
  <c r="R244" i="22"/>
  <c r="U243" i="22"/>
  <c r="T243" i="22"/>
  <c r="S243" i="22"/>
  <c r="R243" i="22"/>
  <c r="U242" i="22"/>
  <c r="T242" i="22"/>
  <c r="S242" i="22"/>
  <c r="R242" i="22"/>
  <c r="U241" i="22"/>
  <c r="T241" i="22"/>
  <c r="S241" i="22"/>
  <c r="R241" i="22"/>
  <c r="U240" i="22"/>
  <c r="T240" i="22"/>
  <c r="S240" i="22"/>
  <c r="R240" i="22"/>
  <c r="U239" i="22"/>
  <c r="T239" i="22"/>
  <c r="S239" i="22"/>
  <c r="R239" i="22"/>
  <c r="U238" i="22"/>
  <c r="T238" i="22"/>
  <c r="S238" i="22"/>
  <c r="R238" i="22"/>
  <c r="U237" i="22"/>
  <c r="T237" i="22"/>
  <c r="S237" i="22"/>
  <c r="R237" i="22"/>
  <c r="U236" i="22"/>
  <c r="T236" i="22"/>
  <c r="S236" i="22"/>
  <c r="R236" i="22"/>
  <c r="U235" i="22"/>
  <c r="T235" i="22"/>
  <c r="S235" i="22"/>
  <c r="R235" i="22"/>
  <c r="U234" i="22"/>
  <c r="T234" i="22"/>
  <c r="S234" i="22"/>
  <c r="R234" i="22"/>
  <c r="U233" i="22"/>
  <c r="T233" i="22"/>
  <c r="S233" i="22"/>
  <c r="R233" i="22"/>
  <c r="U232" i="22"/>
  <c r="T232" i="22"/>
  <c r="S232" i="22"/>
  <c r="R232" i="22"/>
  <c r="U231" i="22"/>
  <c r="T231" i="22"/>
  <c r="S231" i="22"/>
  <c r="R231" i="22"/>
  <c r="U230" i="22"/>
  <c r="T230" i="22"/>
  <c r="S230" i="22"/>
  <c r="R230" i="22"/>
  <c r="U229" i="22"/>
  <c r="T229" i="22"/>
  <c r="S229" i="22"/>
  <c r="R229" i="22"/>
  <c r="U228" i="22"/>
  <c r="T228" i="22"/>
  <c r="S228" i="22"/>
  <c r="R228" i="22"/>
  <c r="U227" i="22"/>
  <c r="T227" i="22"/>
  <c r="S227" i="22"/>
  <c r="R227" i="22"/>
  <c r="U226" i="22"/>
  <c r="T226" i="22"/>
  <c r="S226" i="22"/>
  <c r="R226" i="22"/>
  <c r="U225" i="22"/>
  <c r="T225" i="22"/>
  <c r="S225" i="22"/>
  <c r="R225" i="22"/>
  <c r="U224" i="22"/>
  <c r="T224" i="22"/>
  <c r="S224" i="22"/>
  <c r="R224" i="22"/>
  <c r="U223" i="22"/>
  <c r="T223" i="22"/>
  <c r="S223" i="22"/>
  <c r="R223" i="22"/>
  <c r="U222" i="22"/>
  <c r="T222" i="22"/>
  <c r="S222" i="22"/>
  <c r="R222" i="22"/>
  <c r="U221" i="22"/>
  <c r="T221" i="22"/>
  <c r="S221" i="22"/>
  <c r="R221" i="22"/>
  <c r="U220" i="22"/>
  <c r="T220" i="22"/>
  <c r="S220" i="22"/>
  <c r="R220" i="22"/>
  <c r="U219" i="22"/>
  <c r="T219" i="22"/>
  <c r="S219" i="22"/>
  <c r="R219" i="22"/>
  <c r="U218" i="22"/>
  <c r="T218" i="22"/>
  <c r="S218" i="22"/>
  <c r="R218" i="22"/>
  <c r="U217" i="22"/>
  <c r="T217" i="22"/>
  <c r="S217" i="22"/>
  <c r="R217" i="22"/>
  <c r="U216" i="22"/>
  <c r="T216" i="22"/>
  <c r="S216" i="22"/>
  <c r="R216" i="22"/>
  <c r="U215" i="22"/>
  <c r="T215" i="22"/>
  <c r="S215" i="22"/>
  <c r="R215" i="22"/>
  <c r="U214" i="22"/>
  <c r="T214" i="22"/>
  <c r="S214" i="22"/>
  <c r="R214" i="22"/>
  <c r="U213" i="22"/>
  <c r="T213" i="22"/>
  <c r="S213" i="22"/>
  <c r="R213" i="22"/>
  <c r="U212" i="22"/>
  <c r="T212" i="22"/>
  <c r="S212" i="22"/>
  <c r="R212" i="22"/>
  <c r="U211" i="22"/>
  <c r="T211" i="22"/>
  <c r="S211" i="22"/>
  <c r="R211" i="22"/>
  <c r="U210" i="22"/>
  <c r="T210" i="22"/>
  <c r="S210" i="22"/>
  <c r="R210" i="22"/>
  <c r="U209" i="22"/>
  <c r="T209" i="22"/>
  <c r="S209" i="22"/>
  <c r="R209" i="22"/>
  <c r="U208" i="22"/>
  <c r="T208" i="22"/>
  <c r="S208" i="22"/>
  <c r="R208" i="22"/>
  <c r="U207" i="22"/>
  <c r="T207" i="22"/>
  <c r="S207" i="22"/>
  <c r="R207" i="22"/>
  <c r="U206" i="22"/>
  <c r="T206" i="22"/>
  <c r="S206" i="22"/>
  <c r="R206" i="22"/>
  <c r="U205" i="22"/>
  <c r="T205" i="22"/>
  <c r="S205" i="22"/>
  <c r="R205" i="22"/>
  <c r="U204" i="22"/>
  <c r="T204" i="22"/>
  <c r="S204" i="22"/>
  <c r="R204" i="22"/>
  <c r="S167" i="22"/>
  <c r="T166" i="22"/>
  <c r="U165" i="22"/>
  <c r="R165" i="22"/>
  <c r="S164" i="22"/>
  <c r="U163" i="22"/>
  <c r="S163" i="22"/>
  <c r="T162" i="22"/>
  <c r="R162" i="22"/>
  <c r="U161" i="22"/>
  <c r="S161" i="22"/>
  <c r="T160" i="22"/>
  <c r="S159" i="22"/>
  <c r="U158" i="22"/>
  <c r="R158" i="22"/>
  <c r="T157" i="22"/>
  <c r="R157" i="22"/>
  <c r="U156" i="22"/>
  <c r="S156" i="22"/>
  <c r="S155" i="22"/>
  <c r="T154" i="22"/>
  <c r="R154" i="22"/>
  <c r="U153" i="22"/>
  <c r="S153" i="22"/>
  <c r="T152" i="22"/>
  <c r="R152" i="22"/>
  <c r="U151" i="22"/>
  <c r="S151" i="22"/>
  <c r="S150" i="22"/>
  <c r="U149" i="22"/>
  <c r="S149" i="22"/>
  <c r="T148" i="22"/>
  <c r="R148" i="22"/>
  <c r="U147" i="22"/>
  <c r="S147" i="22"/>
  <c r="T146" i="22"/>
  <c r="R146" i="22"/>
  <c r="U145" i="22"/>
  <c r="S145" i="22"/>
  <c r="U144" i="22"/>
  <c r="T144" i="22"/>
  <c r="S144" i="22"/>
  <c r="R144" i="22"/>
  <c r="U143" i="22"/>
  <c r="T143" i="22"/>
  <c r="S143" i="22"/>
  <c r="R143" i="22"/>
  <c r="U142" i="22"/>
  <c r="T142" i="22"/>
  <c r="S142" i="22"/>
  <c r="R142" i="22"/>
  <c r="U141" i="22"/>
  <c r="T141" i="22"/>
  <c r="R141" i="22"/>
  <c r="T140" i="22"/>
  <c r="R140" i="22"/>
  <c r="U139" i="22"/>
  <c r="R139" i="22"/>
  <c r="T138" i="22"/>
  <c r="T137" i="22"/>
  <c r="R137" i="22"/>
  <c r="U136" i="22"/>
  <c r="S136" i="22"/>
  <c r="R135" i="22"/>
  <c r="U134" i="22"/>
  <c r="S134" i="22"/>
  <c r="T133" i="22"/>
  <c r="R133" i="22"/>
  <c r="T132" i="22"/>
  <c r="R132" i="22"/>
  <c r="U131" i="22"/>
  <c r="T131" i="22"/>
  <c r="R131" i="22"/>
  <c r="U130" i="22"/>
  <c r="S130" i="22"/>
  <c r="U129" i="22"/>
  <c r="T129" i="22"/>
  <c r="R129" i="22"/>
  <c r="T128" i="22"/>
  <c r="R128" i="22"/>
  <c r="U127" i="22"/>
  <c r="S127" i="22"/>
  <c r="T126" i="22"/>
  <c r="R126" i="22"/>
  <c r="U125" i="22"/>
  <c r="S125" i="22"/>
  <c r="S124" i="22"/>
  <c r="T123" i="22"/>
  <c r="R123" i="22"/>
  <c r="T122" i="22"/>
  <c r="R122" i="22"/>
  <c r="U121" i="22"/>
  <c r="S121" i="22"/>
  <c r="T120" i="22"/>
  <c r="R120" i="22"/>
  <c r="U119" i="22"/>
  <c r="S119" i="22"/>
  <c r="S118" i="22"/>
  <c r="T117" i="22"/>
  <c r="S117" i="22"/>
  <c r="T116" i="22"/>
  <c r="R116" i="22"/>
  <c r="U115" i="22"/>
  <c r="T115" i="22"/>
  <c r="R115" i="22"/>
  <c r="U114" i="22"/>
  <c r="T114" i="22"/>
  <c r="S114" i="22"/>
  <c r="T113" i="22"/>
  <c r="R113" i="22"/>
  <c r="U112" i="22"/>
  <c r="S112" i="22"/>
  <c r="S111" i="22"/>
  <c r="U110" i="22"/>
  <c r="T110" i="22"/>
  <c r="R110" i="22"/>
  <c r="U109" i="22"/>
  <c r="S109" i="22"/>
  <c r="S108" i="22"/>
  <c r="T107" i="22"/>
  <c r="S106" i="22"/>
  <c r="U105" i="22"/>
  <c r="S105" i="22"/>
  <c r="T104" i="22"/>
  <c r="S104" i="22"/>
  <c r="T103" i="22"/>
  <c r="R103" i="22"/>
  <c r="U102" i="22"/>
  <c r="S102" i="22"/>
  <c r="T101" i="22"/>
  <c r="S101" i="22"/>
  <c r="R100" i="22"/>
  <c r="R96" i="22"/>
  <c r="T95" i="22"/>
  <c r="R95" i="22"/>
  <c r="U94" i="22"/>
  <c r="S94" i="22"/>
  <c r="R93" i="22"/>
  <c r="U92" i="22"/>
  <c r="S92" i="22"/>
  <c r="T91" i="22"/>
  <c r="R91" i="22"/>
  <c r="U90" i="22"/>
  <c r="S90" i="22"/>
  <c r="T89" i="22"/>
  <c r="R89" i="22"/>
  <c r="U88" i="22"/>
  <c r="S88" i="22"/>
  <c r="T87" i="22"/>
  <c r="R87" i="22"/>
  <c r="U86" i="22"/>
  <c r="S86" i="22"/>
  <c r="R86" i="22"/>
  <c r="U85" i="22"/>
  <c r="S85" i="22"/>
  <c r="T84" i="22"/>
  <c r="R84" i="22"/>
  <c r="U83" i="22"/>
  <c r="S83" i="22"/>
  <c r="U460" i="22"/>
  <c r="T460" i="22"/>
  <c r="S460" i="22"/>
  <c r="R460" i="22"/>
  <c r="U459" i="22"/>
  <c r="T459" i="22"/>
  <c r="S459" i="22"/>
  <c r="R459" i="22"/>
  <c r="U458" i="22"/>
  <c r="T458" i="22"/>
  <c r="S458" i="22"/>
  <c r="R458" i="22"/>
  <c r="U457" i="22"/>
  <c r="T457" i="22"/>
  <c r="S457" i="22"/>
  <c r="R457" i="22"/>
  <c r="U456" i="22"/>
  <c r="T456" i="22"/>
  <c r="R83" i="22"/>
  <c r="U82" i="22"/>
  <c r="T82" i="22"/>
  <c r="S82" i="22"/>
  <c r="R82" i="22"/>
  <c r="U81" i="22"/>
  <c r="T81" i="22"/>
  <c r="S81" i="22"/>
  <c r="R81" i="22"/>
  <c r="U80" i="22"/>
  <c r="T80" i="22"/>
  <c r="S80" i="22"/>
  <c r="R80" i="22"/>
  <c r="U79" i="22"/>
  <c r="T79" i="22"/>
  <c r="S79" i="22"/>
  <c r="R79" i="22"/>
  <c r="U78" i="22"/>
  <c r="T78" i="22"/>
  <c r="S78" i="22"/>
  <c r="R78" i="22"/>
  <c r="U77" i="22"/>
  <c r="T77" i="22"/>
  <c r="S77" i="22"/>
  <c r="R77" i="22"/>
  <c r="U76" i="22"/>
  <c r="T76" i="22"/>
  <c r="S76" i="22"/>
  <c r="R76" i="22"/>
  <c r="U75" i="22"/>
  <c r="T75" i="22"/>
  <c r="S75" i="22"/>
  <c r="R75" i="22"/>
  <c r="U74" i="22"/>
  <c r="T74" i="22"/>
  <c r="S74" i="22"/>
  <c r="R74" i="22"/>
  <c r="U73" i="22"/>
  <c r="T73" i="22"/>
  <c r="S73" i="22"/>
  <c r="R73" i="22"/>
  <c r="U72" i="22"/>
  <c r="T72" i="22"/>
  <c r="S72" i="22"/>
  <c r="R72" i="22"/>
  <c r="U71" i="22"/>
  <c r="T71" i="22"/>
  <c r="S71" i="22"/>
  <c r="R71" i="22"/>
  <c r="U70" i="22"/>
  <c r="T70" i="22"/>
  <c r="S70" i="22"/>
  <c r="R70" i="22"/>
  <c r="U69" i="22"/>
  <c r="T69" i="22"/>
  <c r="S69" i="22"/>
  <c r="R69" i="22"/>
  <c r="U68" i="22"/>
  <c r="T68" i="22"/>
  <c r="S68" i="22"/>
  <c r="R68" i="22"/>
  <c r="U67" i="22"/>
  <c r="T67" i="22"/>
  <c r="S67" i="22"/>
  <c r="R67" i="22"/>
  <c r="U66" i="22"/>
  <c r="T66" i="22"/>
  <c r="S66" i="22"/>
  <c r="R66" i="22"/>
  <c r="U65" i="22"/>
  <c r="T65" i="22"/>
  <c r="S65" i="22"/>
  <c r="R65" i="22"/>
  <c r="U64" i="22"/>
  <c r="T64" i="22"/>
  <c r="S64" i="22"/>
  <c r="R64" i="22"/>
  <c r="U63" i="22"/>
  <c r="T63" i="22"/>
  <c r="S63" i="22"/>
  <c r="R63" i="22"/>
  <c r="U62" i="22"/>
  <c r="T62" i="22"/>
  <c r="S62" i="22"/>
  <c r="R62" i="22"/>
  <c r="U61" i="22"/>
  <c r="T61" i="22"/>
  <c r="S61" i="22"/>
  <c r="R61" i="22"/>
  <c r="U60" i="22"/>
  <c r="T60" i="22"/>
  <c r="S60" i="22"/>
  <c r="R60" i="22"/>
  <c r="U59" i="22"/>
  <c r="T59" i="22"/>
  <c r="S59" i="22"/>
  <c r="R59" i="22"/>
  <c r="U58" i="22"/>
  <c r="T58" i="22"/>
  <c r="S58" i="22"/>
  <c r="R58" i="22"/>
  <c r="U57" i="22"/>
  <c r="T57" i="22"/>
  <c r="S57" i="22"/>
  <c r="R57" i="22"/>
  <c r="U56" i="22"/>
  <c r="T56" i="22"/>
  <c r="S56" i="22"/>
  <c r="R56" i="22"/>
  <c r="U55" i="22"/>
  <c r="T55" i="22"/>
  <c r="S55" i="22"/>
  <c r="R55" i="22"/>
  <c r="U54" i="22"/>
  <c r="T54" i="22"/>
  <c r="S54" i="22"/>
  <c r="R54" i="22"/>
  <c r="U53" i="22"/>
  <c r="T53" i="22"/>
  <c r="S53" i="22"/>
  <c r="R53" i="22"/>
  <c r="U52" i="22"/>
  <c r="T52" i="22"/>
  <c r="S52" i="22"/>
  <c r="R52" i="22"/>
  <c r="U51" i="22"/>
  <c r="T51" i="22"/>
  <c r="S51" i="22"/>
  <c r="R51" i="22"/>
  <c r="U50" i="22"/>
  <c r="T50" i="22"/>
  <c r="S50" i="22"/>
  <c r="R50" i="22"/>
  <c r="U49" i="22"/>
  <c r="T49" i="22"/>
  <c r="S49" i="22"/>
  <c r="R49" i="22"/>
  <c r="U48" i="22"/>
  <c r="T48" i="22"/>
  <c r="S48" i="22"/>
  <c r="R48" i="22"/>
  <c r="U47" i="22"/>
  <c r="T47" i="22"/>
  <c r="S47" i="22"/>
  <c r="R47" i="22"/>
  <c r="U46" i="22"/>
  <c r="T46" i="22"/>
  <c r="S46" i="22"/>
  <c r="R46" i="22"/>
  <c r="U45" i="22"/>
  <c r="T45" i="22"/>
  <c r="S45" i="22"/>
  <c r="R45" i="22"/>
  <c r="U44" i="22"/>
  <c r="T44" i="22"/>
  <c r="S44" i="22"/>
  <c r="R44" i="22"/>
  <c r="U43" i="22"/>
  <c r="T43" i="22"/>
  <c r="S43" i="22"/>
  <c r="R43" i="22"/>
  <c r="U42" i="22"/>
  <c r="T42" i="22"/>
  <c r="S42" i="22"/>
  <c r="R42" i="22"/>
  <c r="U41" i="22"/>
  <c r="T41" i="22"/>
  <c r="S41" i="22"/>
  <c r="R41" i="22"/>
  <c r="U40" i="22"/>
  <c r="T40" i="22"/>
  <c r="S40" i="22"/>
  <c r="R40" i="22"/>
  <c r="U39" i="22"/>
  <c r="T39" i="22"/>
  <c r="S39" i="22"/>
  <c r="R39" i="22"/>
  <c r="U38" i="22"/>
  <c r="T38" i="22"/>
  <c r="S38" i="22"/>
  <c r="R38" i="22"/>
  <c r="U37" i="22"/>
  <c r="T37" i="22"/>
  <c r="S37" i="22"/>
  <c r="R37" i="22"/>
  <c r="U36" i="22"/>
  <c r="T36" i="22"/>
  <c r="S36" i="22"/>
  <c r="R36" i="22"/>
  <c r="U35" i="22"/>
  <c r="T35" i="22"/>
  <c r="S35" i="22"/>
  <c r="R35" i="22"/>
  <c r="U34" i="22"/>
  <c r="T34" i="22"/>
  <c r="S34" i="22"/>
  <c r="R34" i="22"/>
  <c r="U33" i="22"/>
  <c r="T33" i="22"/>
  <c r="S33" i="22"/>
  <c r="R33" i="22"/>
  <c r="U32" i="22"/>
  <c r="T32" i="22"/>
  <c r="S32" i="22"/>
  <c r="R32" i="22"/>
  <c r="U31" i="22"/>
  <c r="T31" i="22"/>
  <c r="S31" i="22"/>
  <c r="R31" i="22"/>
  <c r="U30" i="22"/>
  <c r="T30" i="22"/>
  <c r="S30" i="22"/>
  <c r="R30" i="22"/>
  <c r="U29" i="22"/>
  <c r="T29" i="22"/>
  <c r="S29" i="22"/>
  <c r="R29" i="22"/>
  <c r="U28" i="22"/>
  <c r="T28" i="22"/>
  <c r="S28" i="22"/>
  <c r="R28" i="22"/>
  <c r="U27" i="22"/>
  <c r="T27" i="22"/>
  <c r="S27" i="22"/>
  <c r="R27" i="22"/>
  <c r="U26" i="22"/>
  <c r="T26" i="22"/>
  <c r="S26" i="22"/>
  <c r="R26" i="22"/>
  <c r="U25" i="22"/>
  <c r="T25" i="22"/>
  <c r="S25" i="22"/>
  <c r="R25" i="22"/>
  <c r="U24" i="22"/>
  <c r="T24" i="22"/>
  <c r="S24" i="22"/>
  <c r="R24" i="22"/>
  <c r="U23" i="22"/>
  <c r="T23" i="22"/>
  <c r="S23" i="22"/>
  <c r="R23" i="22"/>
  <c r="U22" i="22"/>
  <c r="T22" i="22"/>
  <c r="S22" i="22"/>
  <c r="R22" i="22"/>
  <c r="U21" i="22"/>
  <c r="T21" i="22"/>
  <c r="S21" i="22"/>
  <c r="R21" i="22"/>
  <c r="U20" i="22"/>
  <c r="T20" i="22"/>
  <c r="S20" i="22"/>
  <c r="R20" i="22"/>
  <c r="U19" i="22"/>
  <c r="T19" i="22"/>
  <c r="S19" i="22"/>
  <c r="R19" i="22"/>
  <c r="U18" i="22"/>
  <c r="T18" i="22"/>
  <c r="S18" i="22"/>
  <c r="R18" i="22"/>
  <c r="U17" i="22"/>
  <c r="T17" i="22"/>
  <c r="S17" i="22"/>
  <c r="R17" i="22"/>
  <c r="U16" i="22"/>
  <c r="T16" i="22"/>
  <c r="S16" i="22"/>
  <c r="R16" i="22"/>
  <c r="U15" i="22"/>
  <c r="T15" i="22"/>
  <c r="S15" i="22"/>
  <c r="R15" i="22"/>
  <c r="U14" i="22"/>
  <c r="T14" i="22"/>
  <c r="S14" i="22"/>
  <c r="R14" i="22"/>
  <c r="U13" i="22"/>
  <c r="T13" i="22"/>
  <c r="S13" i="22"/>
  <c r="R13" i="22"/>
  <c r="U12" i="22"/>
  <c r="T12" i="22"/>
  <c r="S12" i="22"/>
  <c r="R12" i="22"/>
  <c r="U11" i="22"/>
  <c r="T11" i="22"/>
  <c r="S11" i="22"/>
  <c r="R11" i="22"/>
  <c r="U10" i="22"/>
  <c r="T10" i="22"/>
  <c r="S10" i="22"/>
  <c r="R10" i="22"/>
  <c r="U9" i="22"/>
  <c r="T9" i="22"/>
  <c r="S9" i="22"/>
  <c r="R9" i="22"/>
  <c r="U8" i="22"/>
  <c r="T8" i="22"/>
  <c r="S8" i="22"/>
  <c r="R8" i="22"/>
  <c r="U7" i="22"/>
  <c r="T7" i="22"/>
  <c r="S7" i="22"/>
  <c r="R7" i="22"/>
  <c r="U6" i="22"/>
  <c r="T6" i="22"/>
  <c r="S6" i="22"/>
  <c r="R6" i="22"/>
  <c r="U5" i="22"/>
  <c r="T5" i="22"/>
  <c r="S5" i="22"/>
  <c r="R5" i="22"/>
  <c r="U4" i="22"/>
  <c r="T4" i="22"/>
  <c r="S4" i="22"/>
  <c r="R4" i="22"/>
  <c r="U3" i="22"/>
  <c r="T3" i="22"/>
  <c r="S3" i="22"/>
  <c r="R3" i="22"/>
  <c r="U2" i="22"/>
  <c r="T2" i="22"/>
  <c r="S2" i="22"/>
  <c r="R2" i="22"/>
  <c r="S456" i="22"/>
  <c r="R456" i="22"/>
  <c r="U455" i="22"/>
  <c r="T455" i="22"/>
  <c r="S455" i="22"/>
  <c r="R455" i="22"/>
  <c r="U454" i="22"/>
  <c r="T454" i="22"/>
  <c r="S454" i="22"/>
  <c r="R454" i="22"/>
  <c r="U453" i="22"/>
  <c r="T453" i="22"/>
  <c r="S453" i="22"/>
  <c r="R453" i="22"/>
  <c r="U452" i="22"/>
  <c r="T452" i="22"/>
  <c r="S452" i="22"/>
  <c r="R452" i="22"/>
  <c r="U451" i="22"/>
  <c r="T451" i="22"/>
  <c r="S451" i="22"/>
  <c r="R451" i="22"/>
  <c r="U450" i="22"/>
  <c r="T450" i="22"/>
  <c r="S450" i="22"/>
  <c r="R450" i="22"/>
  <c r="U449" i="22"/>
  <c r="T449" i="22"/>
  <c r="S449" i="22"/>
  <c r="R449" i="22"/>
  <c r="U448" i="22"/>
  <c r="T448" i="22"/>
  <c r="S448" i="22"/>
  <c r="R448" i="22"/>
  <c r="U447" i="22"/>
  <c r="T447" i="22"/>
  <c r="S447" i="22"/>
  <c r="R447" i="22"/>
  <c r="U446" i="22"/>
  <c r="T446" i="22"/>
  <c r="S446" i="22"/>
  <c r="R446" i="22"/>
  <c r="U445" i="22"/>
  <c r="T445" i="22"/>
  <c r="S445" i="22"/>
  <c r="R445" i="22"/>
  <c r="U444" i="22"/>
  <c r="T444" i="22"/>
  <c r="S444" i="22"/>
  <c r="R444" i="22"/>
  <c r="U443" i="22"/>
  <c r="T443" i="22"/>
  <c r="S443" i="22"/>
  <c r="R443" i="22"/>
  <c r="U442" i="22"/>
  <c r="T442" i="22"/>
  <c r="S442" i="22"/>
  <c r="R442" i="22"/>
  <c r="U441" i="22"/>
  <c r="T441" i="22"/>
  <c r="S441" i="22"/>
  <c r="R441" i="22"/>
  <c r="U440" i="22"/>
  <c r="T440" i="22"/>
  <c r="S440" i="22"/>
  <c r="R440" i="22"/>
  <c r="U439" i="22"/>
  <c r="T439" i="22"/>
  <c r="S439" i="22"/>
  <c r="R439" i="22"/>
  <c r="U438" i="22"/>
  <c r="T438" i="22"/>
  <c r="S438" i="22"/>
  <c r="R438" i="22"/>
  <c r="U437" i="22"/>
  <c r="T437" i="22"/>
  <c r="S437" i="22"/>
  <c r="R437" i="22"/>
  <c r="U436" i="22"/>
  <c r="T436" i="22"/>
  <c r="S436" i="22"/>
  <c r="R436" i="22"/>
  <c r="U435" i="22"/>
  <c r="T435" i="22"/>
  <c r="S435" i="22"/>
  <c r="R435" i="22"/>
  <c r="U434" i="22"/>
  <c r="T434" i="22"/>
  <c r="S434" i="22"/>
  <c r="R434" i="22"/>
  <c r="U433" i="22"/>
  <c r="T433" i="22"/>
  <c r="S433" i="22"/>
  <c r="R433" i="22"/>
  <c r="U432" i="22"/>
  <c r="T432" i="22"/>
  <c r="S432" i="22"/>
  <c r="R432" i="22"/>
  <c r="U431" i="22"/>
  <c r="T431" i="22"/>
  <c r="S431" i="22"/>
  <c r="R431" i="22"/>
  <c r="U430" i="22"/>
  <c r="T430" i="22"/>
  <c r="S430" i="22"/>
  <c r="R430" i="22"/>
  <c r="U429" i="22"/>
  <c r="T429" i="22"/>
  <c r="S429" i="22"/>
  <c r="R429" i="22"/>
  <c r="U428" i="22"/>
  <c r="T428" i="22"/>
  <c r="S428" i="22"/>
  <c r="R428" i="22"/>
  <c r="U427" i="22"/>
  <c r="T427" i="22"/>
  <c r="S427" i="22"/>
  <c r="R427" i="22"/>
  <c r="U426" i="22"/>
  <c r="T426" i="22"/>
  <c r="S426" i="22"/>
  <c r="R426" i="22"/>
  <c r="U425" i="22"/>
  <c r="T425" i="22"/>
  <c r="S425" i="22"/>
  <c r="R425" i="22"/>
  <c r="U424" i="22"/>
  <c r="T424" i="22"/>
  <c r="S424" i="22"/>
  <c r="R424" i="22"/>
  <c r="U423" i="22"/>
  <c r="T423" i="22"/>
  <c r="S423" i="22"/>
  <c r="R423" i="22"/>
  <c r="U422" i="22"/>
  <c r="T422" i="22"/>
  <c r="S422" i="22"/>
  <c r="R422" i="22"/>
  <c r="U421" i="22"/>
  <c r="T421" i="22"/>
  <c r="S421" i="22"/>
  <c r="R421" i="22"/>
  <c r="U420" i="22"/>
  <c r="T420" i="22"/>
  <c r="S420" i="22"/>
  <c r="R420" i="22"/>
  <c r="U419" i="22"/>
  <c r="T419" i="22"/>
  <c r="S419" i="22"/>
  <c r="R419" i="22"/>
  <c r="U418" i="22"/>
  <c r="T418" i="22"/>
  <c r="S418" i="22"/>
  <c r="R418" i="22"/>
  <c r="U417" i="22"/>
  <c r="T417" i="22"/>
  <c r="S417" i="22"/>
  <c r="R417" i="22"/>
  <c r="U416" i="22"/>
  <c r="T416" i="22"/>
  <c r="S416" i="22"/>
  <c r="R416" i="22"/>
  <c r="U415" i="22"/>
  <c r="T415" i="22"/>
  <c r="S415" i="22"/>
  <c r="R415" i="22"/>
  <c r="U414" i="22"/>
  <c r="T414" i="22"/>
  <c r="S414" i="22"/>
  <c r="R414" i="22"/>
  <c r="U413" i="22"/>
  <c r="T413" i="22"/>
  <c r="S413" i="22"/>
  <c r="R413" i="22"/>
  <c r="U412" i="22"/>
  <c r="T412" i="22"/>
  <c r="S412" i="22"/>
  <c r="R412" i="22"/>
  <c r="U411" i="22"/>
  <c r="T411" i="22"/>
  <c r="S411" i="22"/>
  <c r="R411" i="22"/>
  <c r="U410" i="22"/>
  <c r="T410" i="22"/>
  <c r="S410" i="22"/>
  <c r="R410" i="22"/>
  <c r="U409" i="22"/>
  <c r="T409" i="22"/>
  <c r="S409" i="22"/>
  <c r="R409" i="22"/>
  <c r="U408" i="22"/>
  <c r="T408" i="22"/>
  <c r="S408" i="22"/>
  <c r="R408" i="22"/>
  <c r="U407" i="22"/>
  <c r="T407" i="22"/>
  <c r="S407" i="22"/>
  <c r="R407" i="22"/>
  <c r="U406" i="22"/>
  <c r="T406" i="22"/>
  <c r="S406" i="22"/>
  <c r="R406" i="22"/>
  <c r="U405" i="22"/>
  <c r="T405" i="22"/>
  <c r="S405" i="22"/>
  <c r="R405" i="22"/>
  <c r="U404" i="22"/>
  <c r="T404" i="22"/>
  <c r="S404" i="22"/>
  <c r="R404" i="22"/>
  <c r="U403" i="22"/>
  <c r="T403" i="22"/>
  <c r="S403" i="22"/>
  <c r="R403" i="22"/>
  <c r="U402" i="22"/>
  <c r="T402" i="22"/>
  <c r="S402" i="22"/>
  <c r="R402" i="22"/>
  <c r="U401" i="22"/>
  <c r="T401" i="22"/>
  <c r="S401" i="22"/>
  <c r="R401" i="22"/>
  <c r="U400" i="22"/>
  <c r="T400" i="22"/>
  <c r="S400" i="22"/>
  <c r="T135" i="22"/>
  <c r="R400" i="22"/>
  <c r="U399" i="22"/>
  <c r="T399" i="22"/>
  <c r="S399" i="22"/>
  <c r="R399" i="22"/>
  <c r="U398" i="22"/>
  <c r="T398" i="22"/>
  <c r="S398" i="22"/>
  <c r="R398" i="22"/>
  <c r="U397" i="22"/>
  <c r="T397" i="22"/>
  <c r="S397" i="22"/>
  <c r="R397" i="22"/>
  <c r="U396" i="22"/>
  <c r="T396" i="22"/>
  <c r="S396" i="22"/>
  <c r="R396" i="22"/>
  <c r="U395" i="22"/>
  <c r="T395" i="22"/>
  <c r="S395" i="22"/>
  <c r="R395" i="22"/>
  <c r="U394" i="22"/>
  <c r="T394" i="22"/>
  <c r="S394" i="22"/>
  <c r="R394" i="22"/>
  <c r="U393" i="22"/>
  <c r="T393" i="22"/>
  <c r="S393" i="22"/>
  <c r="R393" i="22"/>
  <c r="U392" i="22"/>
  <c r="T392" i="22"/>
  <c r="S392" i="22"/>
  <c r="R392" i="22"/>
  <c r="U391" i="22"/>
  <c r="T391" i="22"/>
  <c r="S391" i="22"/>
  <c r="R391" i="22"/>
  <c r="U390" i="22"/>
  <c r="T390" i="22"/>
  <c r="S390" i="22"/>
  <c r="R390" i="22"/>
  <c r="U389" i="22"/>
  <c r="T389" i="22"/>
  <c r="S389" i="22"/>
  <c r="R389" i="22"/>
  <c r="U388" i="22"/>
  <c r="T388" i="22"/>
  <c r="S388" i="22"/>
  <c r="R388" i="22"/>
  <c r="U387" i="22"/>
  <c r="T387" i="22"/>
  <c r="S387" i="22"/>
  <c r="R387" i="22"/>
  <c r="U386" i="22"/>
  <c r="T386" i="22"/>
  <c r="S386" i="22"/>
  <c r="R386" i="22"/>
  <c r="U385" i="22"/>
  <c r="T385" i="22"/>
  <c r="S385" i="22"/>
  <c r="R385" i="22"/>
  <c r="U384" i="22"/>
  <c r="T384" i="22"/>
  <c r="S384" i="22"/>
  <c r="R384" i="22"/>
  <c r="U383" i="22"/>
  <c r="T383" i="22"/>
  <c r="S383" i="22"/>
  <c r="R383" i="22"/>
  <c r="U382" i="22"/>
  <c r="T382" i="22"/>
  <c r="S382" i="22"/>
  <c r="R382" i="22"/>
  <c r="U381" i="22"/>
  <c r="T381" i="22"/>
  <c r="S381" i="22"/>
  <c r="R381" i="22"/>
  <c r="U380" i="22"/>
  <c r="T380" i="22"/>
  <c r="S380" i="22"/>
  <c r="R380" i="22"/>
  <c r="U379" i="22"/>
  <c r="T379" i="22"/>
  <c r="S379" i="22"/>
  <c r="R379" i="22"/>
  <c r="U378" i="22"/>
  <c r="T378" i="22"/>
  <c r="S378" i="22"/>
  <c r="R378" i="22"/>
  <c r="U377" i="22"/>
  <c r="T377" i="22"/>
  <c r="S377" i="22"/>
  <c r="R377" i="22"/>
  <c r="U376" i="22"/>
  <c r="T376" i="22"/>
  <c r="S376" i="22"/>
  <c r="R376" i="22"/>
  <c r="U375" i="22"/>
  <c r="T375" i="22"/>
  <c r="S375" i="22"/>
  <c r="R375" i="22"/>
  <c r="U374" i="22"/>
  <c r="T374" i="22"/>
  <c r="S374" i="22"/>
  <c r="R374" i="22"/>
  <c r="U373" i="22"/>
  <c r="T373" i="22"/>
  <c r="S373" i="22"/>
  <c r="R373" i="22"/>
  <c r="U372" i="22"/>
  <c r="T372" i="22"/>
  <c r="S372" i="22"/>
  <c r="R372" i="22"/>
  <c r="U371" i="22"/>
  <c r="T371" i="22"/>
  <c r="S371" i="22"/>
  <c r="R371" i="22"/>
  <c r="U370" i="22"/>
  <c r="T370" i="22"/>
  <c r="S370" i="22"/>
  <c r="R370" i="22"/>
  <c r="U369" i="22"/>
  <c r="T369" i="22"/>
  <c r="S369" i="22"/>
  <c r="R369" i="22"/>
  <c r="U368" i="22"/>
  <c r="T368" i="22"/>
  <c r="S368" i="22"/>
  <c r="R368" i="22"/>
  <c r="U367" i="22"/>
  <c r="T367" i="22"/>
  <c r="S367" i="22"/>
  <c r="R367" i="22"/>
  <c r="U366" i="22"/>
  <c r="T366" i="22"/>
  <c r="S366" i="22"/>
  <c r="R366" i="22"/>
  <c r="U365" i="22"/>
  <c r="T365" i="22"/>
  <c r="S365" i="22"/>
  <c r="R365" i="22"/>
  <c r="U364" i="22"/>
  <c r="T364" i="22"/>
  <c r="S364" i="22"/>
  <c r="R364" i="22"/>
  <c r="U363" i="22"/>
  <c r="T363" i="22"/>
  <c r="S363" i="22"/>
  <c r="R363" i="22"/>
  <c r="U362" i="22"/>
  <c r="T362" i="22"/>
  <c r="S362" i="22"/>
  <c r="R362" i="22"/>
  <c r="U361" i="22"/>
  <c r="T361" i="22"/>
  <c r="S361" i="22"/>
  <c r="R361" i="22"/>
  <c r="U360" i="22"/>
  <c r="T360" i="22"/>
  <c r="S360" i="22"/>
  <c r="R360" i="22"/>
  <c r="U359" i="22"/>
  <c r="T359" i="22"/>
  <c r="S359" i="22"/>
  <c r="R359" i="22"/>
  <c r="U358" i="22"/>
  <c r="T358" i="22"/>
  <c r="S358" i="22"/>
  <c r="R358" i="22"/>
  <c r="U357" i="22"/>
  <c r="T357" i="22"/>
  <c r="S357" i="22"/>
  <c r="R357" i="22"/>
  <c r="U356" i="22"/>
  <c r="T356" i="22"/>
  <c r="S356" i="22"/>
  <c r="R356" i="22"/>
  <c r="U355" i="22"/>
  <c r="T355" i="22"/>
  <c r="S355" i="22"/>
  <c r="R355" i="22"/>
  <c r="U354" i="22"/>
  <c r="T354" i="22"/>
  <c r="S354" i="22"/>
  <c r="R354" i="22"/>
  <c r="U353" i="22"/>
  <c r="T353" i="22"/>
  <c r="S353" i="22"/>
  <c r="R353" i="22"/>
  <c r="U352" i="22"/>
  <c r="T352" i="22"/>
  <c r="S352" i="22"/>
  <c r="R352" i="22"/>
  <c r="U351" i="22"/>
  <c r="T351" i="22"/>
  <c r="S351" i="22"/>
  <c r="R351" i="22"/>
  <c r="U350" i="22"/>
  <c r="T350" i="22"/>
  <c r="S350" i="22"/>
  <c r="R350" i="22"/>
  <c r="U349" i="22"/>
  <c r="T349" i="22"/>
  <c r="S349" i="22"/>
  <c r="R349" i="22"/>
  <c r="U348" i="22"/>
  <c r="T348" i="22"/>
  <c r="S348" i="22"/>
  <c r="R348" i="22"/>
  <c r="U347" i="22"/>
  <c r="T347" i="22"/>
  <c r="S347" i="22"/>
  <c r="R347" i="22"/>
  <c r="U346" i="22"/>
  <c r="T346" i="22"/>
  <c r="S346" i="22"/>
  <c r="R346" i="22"/>
  <c r="U345" i="22"/>
  <c r="T345" i="22"/>
  <c r="S345" i="22"/>
  <c r="R345" i="22"/>
  <c r="U344" i="22"/>
  <c r="T344" i="22"/>
  <c r="S344" i="22"/>
  <c r="R344" i="22"/>
  <c r="U343" i="22"/>
  <c r="T343" i="22"/>
  <c r="S343" i="22"/>
  <c r="R343" i="22"/>
  <c r="U342" i="22"/>
  <c r="T342" i="22"/>
  <c r="S342" i="22"/>
  <c r="R342" i="22"/>
  <c r="U341" i="22"/>
  <c r="T341" i="22"/>
  <c r="S341" i="22"/>
  <c r="R341" i="22"/>
  <c r="U340" i="22"/>
  <c r="T340" i="22"/>
  <c r="S340" i="22"/>
  <c r="R340" i="22"/>
  <c r="U339" i="22"/>
  <c r="T339" i="22"/>
  <c r="S339" i="22"/>
  <c r="R339" i="22"/>
  <c r="U338" i="22"/>
  <c r="T338" i="22"/>
  <c r="S338" i="22"/>
  <c r="R338" i="22"/>
  <c r="U337" i="22"/>
  <c r="T337" i="22"/>
  <c r="S337" i="22"/>
  <c r="R337" i="22"/>
  <c r="U336" i="22"/>
  <c r="T336" i="22"/>
  <c r="S336" i="22"/>
  <c r="R336" i="22"/>
  <c r="U335" i="22"/>
  <c r="T335" i="22"/>
  <c r="S335" i="22"/>
  <c r="R335" i="22"/>
  <c r="U334" i="22"/>
  <c r="T334" i="22"/>
  <c r="S334" i="22"/>
  <c r="R334" i="22"/>
  <c r="U333" i="22"/>
  <c r="T333" i="22"/>
  <c r="S333" i="22"/>
  <c r="R333" i="22"/>
  <c r="U332" i="22"/>
  <c r="T332" i="22"/>
  <c r="S332" i="22"/>
  <c r="R332" i="22"/>
  <c r="U331" i="22"/>
  <c r="T331" i="22"/>
  <c r="S331" i="22"/>
  <c r="R331" i="22"/>
  <c r="U330" i="22"/>
  <c r="T330" i="22"/>
  <c r="S330" i="22"/>
  <c r="R330" i="22"/>
  <c r="U329" i="22"/>
  <c r="T329" i="22"/>
  <c r="S329" i="22"/>
  <c r="R329" i="22"/>
  <c r="U328" i="22"/>
  <c r="T328" i="22"/>
  <c r="S328" i="22"/>
  <c r="R328" i="22"/>
  <c r="U327" i="22"/>
  <c r="T327" i="22"/>
  <c r="S327" i="22"/>
  <c r="R327" i="22"/>
  <c r="U326" i="22"/>
  <c r="T326" i="22"/>
  <c r="S326" i="22"/>
  <c r="R326" i="22"/>
  <c r="U325" i="22"/>
  <c r="T325" i="22"/>
  <c r="S325" i="22"/>
  <c r="R325" i="22"/>
  <c r="U324" i="22"/>
  <c r="T324" i="22"/>
  <c r="S324" i="22"/>
  <c r="R324" i="22"/>
  <c r="U323" i="22"/>
  <c r="T323" i="22"/>
  <c r="S323" i="22"/>
  <c r="R323" i="22"/>
  <c r="U322" i="22"/>
  <c r="T322" i="22"/>
  <c r="S322" i="22"/>
  <c r="R322" i="22"/>
  <c r="U321" i="22"/>
  <c r="T321" i="22"/>
  <c r="S321" i="22"/>
  <c r="R321" i="22"/>
  <c r="U320" i="22"/>
  <c r="T320" i="22"/>
  <c r="S320" i="22"/>
  <c r="R320" i="22"/>
  <c r="U319" i="22"/>
  <c r="T319" i="22"/>
  <c r="S319" i="22"/>
  <c r="R319" i="22"/>
  <c r="U318" i="22"/>
  <c r="T318" i="22"/>
  <c r="S318" i="22"/>
  <c r="R318" i="22"/>
  <c r="U317" i="22"/>
  <c r="T317" i="22"/>
  <c r="S317" i="22"/>
  <c r="R317" i="22"/>
  <c r="U316" i="22"/>
  <c r="T316" i="22"/>
  <c r="S316" i="22"/>
  <c r="R316" i="22"/>
  <c r="U315" i="22"/>
  <c r="T315" i="22"/>
  <c r="S315" i="22"/>
  <c r="R315" i="22"/>
  <c r="U314" i="22"/>
  <c r="T314" i="22"/>
  <c r="S314" i="22"/>
  <c r="R314" i="22"/>
  <c r="U313" i="22"/>
  <c r="T313" i="22"/>
  <c r="S313" i="22"/>
  <c r="R313" i="22"/>
  <c r="U312" i="22"/>
  <c r="T312" i="22"/>
  <c r="S312" i="22"/>
  <c r="R312" i="22"/>
  <c r="U311" i="22"/>
  <c r="T311" i="22"/>
  <c r="S311" i="22"/>
  <c r="R311" i="22"/>
  <c r="U310" i="22"/>
  <c r="T310" i="22"/>
  <c r="S310" i="22"/>
  <c r="R310" i="22"/>
  <c r="U309" i="22"/>
  <c r="T309" i="22"/>
  <c r="S309" i="22"/>
  <c r="R309" i="22"/>
  <c r="U308" i="22"/>
  <c r="T308" i="22"/>
  <c r="S308" i="22"/>
  <c r="R308" i="22"/>
  <c r="U307" i="22"/>
  <c r="T307" i="22"/>
  <c r="S307" i="22"/>
  <c r="R307" i="22"/>
  <c r="U306" i="22"/>
  <c r="T306" i="22"/>
  <c r="S306" i="22"/>
  <c r="R306" i="22"/>
  <c r="U305" i="22"/>
  <c r="T305" i="22"/>
  <c r="S305" i="22"/>
  <c r="R305" i="22"/>
  <c r="U304" i="22"/>
  <c r="T304" i="22"/>
  <c r="S304" i="22"/>
  <c r="R304" i="22"/>
  <c r="U303" i="22"/>
  <c r="T303" i="22"/>
  <c r="S303" i="22"/>
  <c r="R303" i="22"/>
  <c r="U302" i="22"/>
  <c r="T302" i="22"/>
  <c r="S302" i="22"/>
  <c r="R302" i="22"/>
  <c r="U301" i="22"/>
  <c r="T301" i="22"/>
  <c r="S301" i="22"/>
  <c r="R301" i="22"/>
  <c r="U300" i="22"/>
  <c r="T300" i="22"/>
  <c r="S300" i="22"/>
  <c r="R300" i="22"/>
  <c r="U299" i="22"/>
  <c r="T299" i="22"/>
  <c r="S299" i="22"/>
  <c r="R299" i="22"/>
  <c r="U298" i="22"/>
  <c r="T298" i="22"/>
  <c r="S298" i="22"/>
  <c r="R298" i="22"/>
  <c r="U297" i="22"/>
  <c r="T297" i="22"/>
  <c r="S297" i="22"/>
  <c r="R297" i="22"/>
  <c r="U296" i="22"/>
  <c r="T296" i="22"/>
  <c r="S296" i="22"/>
  <c r="R296" i="22"/>
  <c r="U295" i="22"/>
  <c r="T295" i="22"/>
  <c r="S295" i="22"/>
  <c r="R295" i="22"/>
  <c r="U294" i="22"/>
  <c r="T294" i="22"/>
  <c r="S294" i="22"/>
  <c r="R294" i="22"/>
  <c r="U293" i="22"/>
  <c r="T293" i="22"/>
  <c r="S293" i="22"/>
  <c r="R293" i="22"/>
  <c r="U292" i="22"/>
  <c r="T292" i="22"/>
  <c r="S292" i="22"/>
  <c r="R292" i="22"/>
  <c r="U291" i="22"/>
  <c r="T291" i="22"/>
  <c r="S291" i="22"/>
  <c r="R291" i="22"/>
  <c r="U290" i="22"/>
  <c r="T290" i="22"/>
  <c r="S290" i="22"/>
  <c r="R290" i="22"/>
  <c r="U289" i="22"/>
  <c r="T289" i="22"/>
  <c r="S289" i="22"/>
  <c r="R289" i="22"/>
  <c r="U288" i="22"/>
  <c r="T288" i="22"/>
  <c r="S288" i="22"/>
  <c r="R288" i="22"/>
  <c r="U287" i="22"/>
  <c r="T287" i="22"/>
  <c r="S287" i="22"/>
  <c r="R287" i="22"/>
  <c r="U286" i="22"/>
  <c r="T286" i="22"/>
  <c r="S286" i="22"/>
  <c r="R286" i="22"/>
  <c r="U285" i="22"/>
  <c r="T285" i="22"/>
  <c r="S285" i="22"/>
  <c r="R285" i="22"/>
  <c r="U284" i="22"/>
  <c r="T284" i="22"/>
  <c r="S284" i="22"/>
  <c r="R284" i="22"/>
  <c r="U283" i="22"/>
  <c r="T283" i="22"/>
  <c r="S283" i="22"/>
  <c r="R283" i="22"/>
  <c r="U282" i="22"/>
  <c r="T282" i="22"/>
  <c r="S282" i="22"/>
  <c r="R282" i="22"/>
  <c r="U281" i="22"/>
  <c r="T281" i="22"/>
  <c r="S281" i="22"/>
  <c r="R281" i="22"/>
  <c r="U280" i="22"/>
  <c r="T280" i="22"/>
  <c r="S280" i="22"/>
  <c r="R280" i="22"/>
  <c r="U279" i="22"/>
  <c r="T279" i="22"/>
  <c r="S279" i="22"/>
  <c r="R279" i="22"/>
  <c r="U278" i="22"/>
  <c r="T278" i="22"/>
  <c r="S278" i="22"/>
  <c r="R278" i="22"/>
  <c r="U277" i="22"/>
  <c r="T277" i="22"/>
  <c r="S277" i="22"/>
  <c r="R277" i="22"/>
  <c r="U276" i="22"/>
  <c r="T276" i="22"/>
  <c r="S276" i="22"/>
  <c r="R276" i="22"/>
  <c r="U275" i="22"/>
  <c r="T275" i="22"/>
  <c r="S275" i="22"/>
  <c r="R275" i="22"/>
  <c r="U274" i="22"/>
  <c r="T274" i="22"/>
  <c r="S274" i="22"/>
  <c r="R274" i="22"/>
  <c r="U273" i="22"/>
  <c r="T273" i="22"/>
  <c r="S273" i="22"/>
  <c r="R273" i="22"/>
  <c r="U272" i="22"/>
  <c r="T272" i="22"/>
  <c r="S272" i="22"/>
  <c r="U203" i="22"/>
  <c r="T203" i="22"/>
  <c r="S203" i="22"/>
  <c r="R203" i="22"/>
  <c r="U202" i="22"/>
  <c r="T202" i="22"/>
  <c r="S202" i="22"/>
  <c r="R202" i="22"/>
  <c r="U201" i="22"/>
  <c r="T201" i="22"/>
  <c r="S201" i="22"/>
  <c r="R201" i="22"/>
  <c r="U200" i="22"/>
  <c r="T200" i="22"/>
  <c r="S200" i="22"/>
  <c r="R200" i="22"/>
  <c r="U199" i="22"/>
  <c r="T199" i="22"/>
  <c r="S199" i="22"/>
  <c r="R199" i="22"/>
  <c r="U198" i="22"/>
  <c r="T198" i="22"/>
  <c r="S198" i="22"/>
  <c r="R198" i="22"/>
  <c r="U197" i="22"/>
  <c r="T197" i="22"/>
  <c r="S197" i="22"/>
  <c r="R197" i="22"/>
  <c r="U196" i="22"/>
  <c r="T196" i="22"/>
  <c r="S196" i="22"/>
  <c r="R196" i="22"/>
  <c r="U195" i="22"/>
  <c r="T195" i="22"/>
  <c r="S195" i="22"/>
  <c r="R195" i="22"/>
  <c r="U194" i="22"/>
  <c r="T194" i="22"/>
  <c r="S194" i="22"/>
  <c r="R194" i="22"/>
  <c r="U193" i="22"/>
  <c r="T193" i="22"/>
  <c r="S193" i="22"/>
  <c r="R193" i="22"/>
  <c r="U192" i="22"/>
  <c r="T192" i="22"/>
  <c r="S192" i="22"/>
  <c r="R192" i="22"/>
  <c r="U191" i="22"/>
  <c r="T191" i="22"/>
  <c r="S191" i="22"/>
  <c r="R191" i="22"/>
  <c r="U190" i="22"/>
  <c r="T190" i="22"/>
  <c r="S190" i="22"/>
  <c r="R190" i="22"/>
  <c r="U189" i="22"/>
  <c r="T189" i="22"/>
  <c r="S189" i="22"/>
  <c r="R189" i="22"/>
  <c r="U188" i="22"/>
  <c r="T188" i="22"/>
  <c r="S188" i="22"/>
  <c r="R188" i="22"/>
  <c r="U187" i="22"/>
  <c r="T187" i="22"/>
  <c r="S187" i="22"/>
  <c r="R187" i="22"/>
  <c r="U186" i="22"/>
  <c r="T186" i="22"/>
  <c r="S186" i="22"/>
  <c r="R186" i="22"/>
  <c r="U185" i="22"/>
  <c r="T185" i="22"/>
  <c r="S185" i="22"/>
  <c r="R185" i="22"/>
  <c r="U184" i="22"/>
  <c r="T184" i="22"/>
  <c r="S184" i="22"/>
  <c r="R184" i="22"/>
  <c r="U183" i="22"/>
  <c r="T183" i="22"/>
  <c r="S183" i="22"/>
  <c r="R183" i="22"/>
  <c r="U182" i="22"/>
  <c r="T182" i="22"/>
  <c r="S182" i="22"/>
  <c r="R182" i="22"/>
  <c r="U181" i="22"/>
  <c r="T181" i="22"/>
  <c r="S181" i="22"/>
  <c r="R181" i="22"/>
  <c r="U180" i="22"/>
  <c r="T180" i="22"/>
  <c r="S180" i="22"/>
  <c r="R180" i="22"/>
  <c r="U179" i="22"/>
  <c r="T179" i="22"/>
  <c r="S179" i="22"/>
  <c r="R179" i="22"/>
  <c r="U178" i="22"/>
  <c r="T178" i="22"/>
  <c r="S178" i="22"/>
  <c r="R178" i="22"/>
  <c r="U177" i="22"/>
  <c r="T177" i="22"/>
  <c r="S177" i="22"/>
  <c r="R177" i="22"/>
  <c r="U176" i="22"/>
  <c r="T176" i="22"/>
  <c r="S176" i="22"/>
  <c r="R176" i="22"/>
  <c r="U175" i="22"/>
  <c r="T175" i="22"/>
  <c r="S175" i="22"/>
  <c r="R175" i="22"/>
  <c r="U174" i="22"/>
  <c r="T174" i="22"/>
  <c r="S174" i="22"/>
  <c r="R174" i="22"/>
  <c r="U173" i="22"/>
  <c r="T173" i="22"/>
  <c r="S173" i="22"/>
  <c r="R173" i="22"/>
  <c r="U172" i="22"/>
  <c r="T172" i="22"/>
  <c r="S172" i="22"/>
  <c r="R172" i="22"/>
  <c r="U171" i="22"/>
  <c r="T171" i="22"/>
  <c r="S171" i="22"/>
  <c r="R171" i="22"/>
  <c r="U170" i="22"/>
  <c r="T170" i="22"/>
  <c r="S170" i="22"/>
  <c r="R170" i="22"/>
  <c r="U169" i="22"/>
  <c r="T169" i="22"/>
  <c r="S169" i="22"/>
  <c r="R169" i="22"/>
  <c r="U168" i="22"/>
  <c r="T168" i="22"/>
  <c r="S168" i="22"/>
  <c r="R168" i="22"/>
  <c r="U167" i="22"/>
  <c r="T167" i="22"/>
  <c r="R167" i="22"/>
  <c r="U166" i="22"/>
  <c r="S166" i="22"/>
  <c r="R166" i="22"/>
  <c r="T165" i="22"/>
  <c r="S165" i="22"/>
  <c r="U164" i="22"/>
  <c r="T164" i="22"/>
  <c r="R164" i="22"/>
  <c r="T163" i="22"/>
  <c r="R163" i="22"/>
  <c r="U162" i="22"/>
  <c r="S162" i="22"/>
  <c r="T161" i="22"/>
  <c r="R161" i="22"/>
  <c r="U160" i="22"/>
  <c r="S160" i="22"/>
  <c r="R160" i="22"/>
  <c r="U159" i="22"/>
  <c r="T159" i="22"/>
  <c r="R159" i="22"/>
  <c r="T158" i="22"/>
  <c r="S158" i="22"/>
  <c r="U157" i="22"/>
  <c r="S157" i="22"/>
  <c r="T156" i="22"/>
  <c r="R156" i="22"/>
  <c r="U155" i="22"/>
  <c r="T155" i="22"/>
  <c r="R155" i="22"/>
  <c r="U154" i="22"/>
  <c r="S154" i="22"/>
  <c r="T153" i="22"/>
  <c r="R153" i="22"/>
  <c r="U152" i="22"/>
  <c r="S152" i="22"/>
  <c r="T151" i="22"/>
  <c r="R151" i="22"/>
  <c r="U150" i="22"/>
  <c r="T150" i="22"/>
  <c r="R150" i="22"/>
  <c r="T149" i="22"/>
  <c r="R149" i="22"/>
  <c r="U148" i="22"/>
  <c r="S148" i="22"/>
  <c r="T147" i="22"/>
  <c r="R147" i="22"/>
  <c r="U146" i="22"/>
  <c r="S146" i="22"/>
  <c r="T145" i="22"/>
  <c r="R145" i="22"/>
  <c r="S141" i="22"/>
  <c r="U140" i="22"/>
  <c r="S140" i="22"/>
  <c r="T139" i="22"/>
  <c r="S139" i="22"/>
  <c r="U138" i="22"/>
  <c r="S138" i="22"/>
  <c r="R138" i="22"/>
  <c r="U137" i="22"/>
  <c r="S137" i="22"/>
  <c r="T136" i="22"/>
  <c r="R136" i="22"/>
  <c r="U135" i="22"/>
  <c r="S135" i="22"/>
  <c r="T134" i="22"/>
  <c r="R134" i="22"/>
  <c r="U133" i="22"/>
  <c r="S133" i="22"/>
  <c r="U132" i="22"/>
  <c r="S132" i="22"/>
  <c r="S131" i="22"/>
  <c r="T130" i="22"/>
  <c r="R130" i="22"/>
  <c r="S129" i="22"/>
  <c r="U128" i="22"/>
  <c r="S128" i="22"/>
  <c r="T127" i="22"/>
  <c r="R127" i="22"/>
  <c r="U126" i="22"/>
  <c r="S126" i="22"/>
  <c r="T125" i="22"/>
  <c r="R125" i="22"/>
  <c r="U124" i="22"/>
  <c r="T124" i="22"/>
  <c r="R124" i="22"/>
  <c r="U123" i="22"/>
  <c r="S123" i="22"/>
  <c r="U122" i="22"/>
  <c r="S122" i="22"/>
  <c r="T121" i="22"/>
  <c r="R121" i="22"/>
  <c r="U120" i="22"/>
  <c r="S120" i="22"/>
  <c r="T119" i="22"/>
  <c r="R119" i="22"/>
  <c r="U118" i="22"/>
  <c r="T118" i="22"/>
  <c r="R118" i="22"/>
  <c r="Q372" i="22"/>
  <c r="Q81" i="22"/>
  <c r="Q178" i="22"/>
  <c r="Q388" i="22"/>
  <c r="Q231" i="22"/>
  <c r="Q280" i="22"/>
  <c r="Q80" i="22"/>
  <c r="Q103" i="22"/>
  <c r="Q329" i="22"/>
  <c r="Q307" i="22"/>
  <c r="Q230" i="22"/>
  <c r="Q79" i="22"/>
  <c r="Q177" i="22"/>
  <c r="Q409" i="22"/>
  <c r="Q398" i="22"/>
  <c r="Q279" i="22"/>
  <c r="Q78" i="22"/>
  <c r="Q229" i="22"/>
  <c r="Q346" i="22"/>
  <c r="Q176" i="22"/>
  <c r="Q360" i="22"/>
  <c r="Q77" i="22"/>
  <c r="Q306" i="22"/>
  <c r="Q228" i="22"/>
  <c r="Q328" i="22"/>
  <c r="Q99" i="22"/>
  <c r="Q76" i="22"/>
  <c r="Q278" i="22"/>
  <c r="Q175" i="22"/>
  <c r="Q227" i="22"/>
  <c r="Q407" i="22"/>
  <c r="Q75" i="22"/>
  <c r="Q371" i="22"/>
  <c r="Q98" i="22"/>
  <c r="Q380" i="22"/>
  <c r="Q226" i="22"/>
  <c r="Q74" i="22"/>
  <c r="Q305" i="22"/>
  <c r="Q174" i="22"/>
  <c r="Q277" i="22"/>
  <c r="Q97" i="22"/>
  <c r="Q73" i="22"/>
  <c r="Q225" i="22"/>
  <c r="Q345" i="22"/>
  <c r="Q327" i="22"/>
  <c r="Q393" i="22"/>
  <c r="Q72" i="22"/>
  <c r="Q96" i="22"/>
  <c r="Q224" i="22"/>
  <c r="Q173" i="22"/>
  <c r="Q359" i="22"/>
  <c r="Q71" i="22"/>
  <c r="Q95" i="22"/>
  <c r="Q276" i="22"/>
  <c r="Q223" i="22"/>
  <c r="Q304" i="22"/>
  <c r="Q70" i="22"/>
  <c r="Q387" i="22"/>
  <c r="Q172" i="22"/>
  <c r="Q414" i="22"/>
  <c r="Q222" i="22"/>
  <c r="Q69" i="22"/>
  <c r="Q93" i="22"/>
  <c r="Q326" i="22"/>
  <c r="Q275" i="22"/>
  <c r="Q344" i="22"/>
  <c r="Q68" i="22"/>
  <c r="Q221" i="22"/>
  <c r="Q171" i="22"/>
  <c r="Q91" i="22"/>
  <c r="Q303" i="22"/>
  <c r="Q67" i="22"/>
  <c r="Q370" i="22"/>
  <c r="Q220" i="22"/>
  <c r="Q416" i="22"/>
  <c r="Q274" i="22"/>
  <c r="Q66" i="22"/>
  <c r="Q89" i="22"/>
  <c r="Q170" i="22"/>
  <c r="Q219" i="22"/>
  <c r="Q358" i="22"/>
  <c r="Q65" i="22"/>
  <c r="Q325" i="22"/>
  <c r="Q302" i="22"/>
  <c r="Q87" i="22"/>
  <c r="Q218" i="22"/>
  <c r="Q64" i="22"/>
  <c r="Q379" i="22"/>
  <c r="Q86" i="22"/>
  <c r="Q169" i="22"/>
  <c r="Q273" i="22"/>
  <c r="Q63" i="22"/>
  <c r="Q217" i="22"/>
  <c r="Q343" i="22"/>
  <c r="Q401" i="22"/>
  <c r="Q84" i="22"/>
  <c r="Q62" i="22"/>
  <c r="Q397" i="22"/>
  <c r="Q216" i="22"/>
  <c r="Q417" i="22"/>
  <c r="Q418" i="22"/>
  <c r="Q61" i="22"/>
  <c r="Q419" i="22"/>
  <c r="Q420" i="22"/>
  <c r="Q215" i="22"/>
  <c r="Q421" i="22"/>
  <c r="Q60" i="22"/>
  <c r="Q422" i="22"/>
  <c r="Q423" i="22"/>
  <c r="Q424" i="22"/>
  <c r="Q214" i="22"/>
  <c r="Q59" i="22"/>
  <c r="Q425" i="22"/>
  <c r="Q426" i="22"/>
  <c r="Q427" i="22"/>
  <c r="Q428" i="22"/>
  <c r="Q58" i="22"/>
  <c r="Q213" i="22"/>
  <c r="Q429" i="22"/>
  <c r="Q430" i="22"/>
  <c r="Q431" i="22"/>
  <c r="Q57" i="22"/>
  <c r="Q432" i="22"/>
  <c r="Q212" i="22"/>
  <c r="Q433" i="22"/>
  <c r="Q434" i="22"/>
  <c r="Q56" i="22"/>
  <c r="Q435" i="22"/>
  <c r="Q436" i="22"/>
  <c r="Q211" i="22"/>
  <c r="Q437" i="22"/>
  <c r="Q55" i="22"/>
  <c r="Q438" i="22"/>
  <c r="Q439" i="22"/>
  <c r="Q440" i="22"/>
  <c r="Q210" i="22"/>
  <c r="Q54" i="22"/>
  <c r="Q441" i="22"/>
  <c r="Q442" i="22"/>
  <c r="Q443" i="22"/>
  <c r="Q444" i="22"/>
  <c r="Q53" i="22"/>
  <c r="Q209" i="22"/>
  <c r="Q445" i="22"/>
  <c r="Q446" i="22"/>
  <c r="Q168" i="22"/>
  <c r="Q52" i="22"/>
  <c r="Q272" i="22"/>
  <c r="Q208" i="22"/>
  <c r="Q301" i="22"/>
  <c r="Q324" i="22"/>
  <c r="Q51" i="22"/>
  <c r="Q369" i="22"/>
  <c r="Q167" i="22"/>
  <c r="Q207" i="22"/>
  <c r="Q271" i="22"/>
  <c r="Q50" i="22"/>
  <c r="Q357" i="22"/>
  <c r="Q203" i="22"/>
  <c r="Q342" i="22"/>
  <c r="Q206" i="22"/>
  <c r="Q49" i="22"/>
  <c r="Q166" i="22"/>
  <c r="Q270" i="22"/>
  <c r="Q300" i="22"/>
  <c r="Q386" i="22"/>
  <c r="Q48" i="22"/>
  <c r="Q205" i="22"/>
  <c r="Q165" i="22"/>
  <c r="Q323" i="22"/>
  <c r="Q269" i="22"/>
  <c r="Q47" i="22"/>
  <c r="Q202" i="22"/>
  <c r="Q204" i="22"/>
  <c r="Q392" i="22"/>
  <c r="Q164" i="22"/>
  <c r="Q46" i="22"/>
  <c r="Q378" i="22"/>
  <c r="Q268" i="22"/>
  <c r="Q299" i="22"/>
  <c r="Q163" i="22"/>
  <c r="Q45" i="22"/>
  <c r="Q404" i="22"/>
  <c r="Q201" i="22"/>
  <c r="Q267" i="22"/>
  <c r="Q162" i="22"/>
  <c r="Q44" i="22"/>
  <c r="Q341" i="22"/>
  <c r="Q161" i="22"/>
  <c r="Q322" i="22"/>
  <c r="Q160" i="22"/>
  <c r="Q43" i="22"/>
  <c r="Q356" i="22"/>
  <c r="Q266" i="22"/>
  <c r="Q298" i="22"/>
  <c r="Q200" i="22"/>
  <c r="Q42" i="22"/>
  <c r="Q368" i="22"/>
  <c r="Q410" i="22"/>
  <c r="Q265" i="22"/>
  <c r="Q156" i="22"/>
  <c r="Q41" i="22"/>
  <c r="Q413" i="22"/>
  <c r="Q155" i="22"/>
  <c r="Q159" i="22"/>
  <c r="Q321" i="22"/>
  <c r="Q40" i="22"/>
  <c r="Q199" i="22"/>
  <c r="Q264" i="22"/>
  <c r="Q153" i="22"/>
  <c r="Q158" i="22"/>
  <c r="Q39" i="22"/>
  <c r="Q297" i="22"/>
  <c r="Q340" i="22"/>
  <c r="Q157" i="22"/>
  <c r="Q263" i="22"/>
  <c r="Q38" i="22"/>
  <c r="Q385" i="22"/>
  <c r="Q355" i="22"/>
  <c r="Q149" i="22"/>
  <c r="Q198" i="22"/>
  <c r="Q37" i="22"/>
  <c r="Q377" i="22"/>
  <c r="Q262" i="22"/>
  <c r="Q296" i="22"/>
  <c r="Q147" i="22"/>
  <c r="Q36" i="22"/>
  <c r="Q320" i="22"/>
  <c r="Q367" i="22"/>
  <c r="Q154" i="22"/>
  <c r="Q261" i="22"/>
  <c r="Q35" i="22"/>
  <c r="Q145" i="22"/>
  <c r="Q197" i="22"/>
  <c r="Q339" i="22"/>
  <c r="Q406" i="22"/>
  <c r="Q34" i="22"/>
  <c r="Q295" i="22"/>
  <c r="Q144" i="22"/>
  <c r="Q260" i="22"/>
  <c r="Q152" i="22"/>
  <c r="Q33" i="22"/>
  <c r="Q391" i="22"/>
  <c r="Q196" i="22"/>
  <c r="Q143" i="22"/>
  <c r="Q151" i="22"/>
  <c r="Q32" i="22"/>
  <c r="Q259" i="22"/>
  <c r="Q319" i="22"/>
  <c r="Q354" i="22"/>
  <c r="Q396" i="22"/>
  <c r="Q31" i="22"/>
  <c r="Q150" i="22"/>
  <c r="Q258" i="22"/>
  <c r="Q141" i="22"/>
  <c r="Q294" i="22"/>
  <c r="Q30" i="22"/>
  <c r="Q195" i="22"/>
  <c r="Q338" i="22"/>
  <c r="Q400" i="22"/>
  <c r="Q257" i="22"/>
  <c r="Q29" i="22"/>
  <c r="Q138" i="22"/>
  <c r="Q148" i="22"/>
  <c r="Q318" i="22"/>
  <c r="Q366" i="22"/>
  <c r="Q28" i="22"/>
  <c r="Q194" i="22"/>
  <c r="Q136" i="22"/>
  <c r="Q447" i="22"/>
  <c r="Q256" i="22"/>
  <c r="Q27" i="22"/>
  <c r="Q293" i="22"/>
  <c r="Q146" i="22"/>
  <c r="Q134" i="22"/>
  <c r="Q376" i="22"/>
  <c r="Q26" i="22"/>
  <c r="Q353" i="22"/>
  <c r="Q133" i="22"/>
  <c r="Q255" i="22"/>
  <c r="Q142" i="22"/>
  <c r="Q25" i="22"/>
  <c r="Q337" i="22"/>
  <c r="Q193" i="22"/>
  <c r="Q317" i="22"/>
  <c r="Q254" i="22"/>
  <c r="Q24" i="22"/>
  <c r="Q140" i="22"/>
  <c r="Q292" i="22"/>
  <c r="Q384" i="22"/>
  <c r="Q139" i="22"/>
  <c r="Q23" i="22"/>
  <c r="Q129" i="22"/>
  <c r="Q253" i="22"/>
  <c r="Q408" i="22"/>
  <c r="Q192" i="22"/>
  <c r="Q22" i="22"/>
  <c r="Q403" i="22"/>
  <c r="Q127" i="22"/>
  <c r="Q365" i="22"/>
  <c r="Q252" i="22"/>
  <c r="Q21" i="22"/>
  <c r="Q291" i="22"/>
  <c r="Q137" i="22"/>
  <c r="Q125" i="22"/>
  <c r="Q316" i="22"/>
  <c r="Q20" i="22"/>
  <c r="Q124" i="22"/>
  <c r="Q191" i="22"/>
  <c r="Q251" i="22"/>
  <c r="Q123" i="22"/>
  <c r="Q19" i="22"/>
  <c r="Q336" i="22"/>
  <c r="Q352" i="22"/>
  <c r="Q135" i="22"/>
  <c r="Q390" i="22"/>
  <c r="Q18" i="22"/>
  <c r="Q121" i="22"/>
  <c r="Q250" i="22"/>
  <c r="Q290" i="22"/>
  <c r="Q190" i="22"/>
  <c r="Q17" i="22"/>
  <c r="Q375" i="22"/>
  <c r="Q119" i="22"/>
  <c r="Q315" i="22"/>
  <c r="Q118" i="22"/>
  <c r="Q16" i="22"/>
  <c r="Q249" i="22"/>
  <c r="Q411" i="22"/>
  <c r="Q117" i="22"/>
  <c r="Q132" i="22"/>
  <c r="Q15" i="22"/>
  <c r="Q335" i="22"/>
  <c r="Q131" i="22"/>
  <c r="Q248" i="22"/>
  <c r="Q189" i="22"/>
  <c r="Q14" i="22"/>
  <c r="Q289" i="22"/>
  <c r="Q130" i="22"/>
  <c r="Q383" i="22"/>
  <c r="Q114" i="22"/>
  <c r="Q13" i="22"/>
  <c r="Q247" i="22"/>
  <c r="Q351" i="22"/>
  <c r="Q314" i="22"/>
  <c r="Q128" i="22"/>
  <c r="Q12" i="22"/>
  <c r="Q112" i="22"/>
  <c r="Q188" i="22"/>
  <c r="Q246" i="22"/>
  <c r="Q364" i="22"/>
  <c r="Q11" i="22"/>
  <c r="Q288" i="22"/>
  <c r="Q395" i="22"/>
  <c r="Q126" i="22"/>
  <c r="Q109" i="22"/>
  <c r="Q10" i="22"/>
  <c r="Q245" i="22"/>
  <c r="Q108" i="22"/>
  <c r="Q334" i="22"/>
  <c r="Q107" i="22"/>
  <c r="Q9" i="22"/>
  <c r="Q187" i="22"/>
  <c r="Q412" i="22"/>
  <c r="Q313" i="22"/>
  <c r="Q105" i="22"/>
  <c r="Q8" i="22"/>
  <c r="Q244" i="22"/>
  <c r="Q287" i="22"/>
  <c r="Q104" i="22"/>
  <c r="Q374" i="22"/>
  <c r="Q7" i="22"/>
  <c r="Q186" i="22"/>
  <c r="Q350" i="22"/>
  <c r="Q243" i="22"/>
  <c r="Q102" i="22"/>
  <c r="Q6" i="22"/>
  <c r="Q399" i="22"/>
  <c r="Q122" i="22"/>
  <c r="Q101" i="22"/>
  <c r="Q333" i="22"/>
  <c r="Q5" i="22"/>
  <c r="Q100" i="22"/>
  <c r="Q286" i="22"/>
  <c r="Q242" i="22"/>
  <c r="Q185" i="22"/>
  <c r="Q4" i="22"/>
  <c r="Q312" i="22"/>
  <c r="Q120" i="22"/>
  <c r="Q94" i="22"/>
  <c r="Q363" i="22"/>
  <c r="Q3" i="22"/>
  <c r="Q241" i="22"/>
  <c r="Q389" i="22"/>
  <c r="Q92" i="22"/>
  <c r="Q382" i="22"/>
  <c r="Q2" i="22"/>
  <c r="Q184" i="22"/>
  <c r="Q285" i="22"/>
  <c r="Q240" i="22"/>
  <c r="Q90" i="22"/>
  <c r="Q349" i="22"/>
  <c r="Q311" i="22"/>
  <c r="Q332" i="22"/>
  <c r="Q183" i="22"/>
  <c r="Q88" i="22"/>
  <c r="Q239" i="22"/>
  <c r="Q116" i="22"/>
  <c r="Q415" i="22"/>
  <c r="Q115" i="22"/>
  <c r="Q284" i="22"/>
  <c r="Q238" i="22"/>
  <c r="Q373" i="22"/>
  <c r="Q85" i="22"/>
  <c r="Q362" i="22"/>
  <c r="Q113" i="22"/>
  <c r="Q182" i="22"/>
  <c r="Q237" i="22"/>
  <c r="Q448" i="22"/>
  <c r="Q449" i="22"/>
  <c r="Q450" i="22"/>
  <c r="Q451" i="22"/>
  <c r="Q452" i="22"/>
  <c r="Q453" i="22"/>
  <c r="Q454" i="22"/>
  <c r="Q455" i="22"/>
  <c r="Q456" i="22"/>
  <c r="Q457" i="22"/>
  <c r="Q458" i="22"/>
  <c r="Q459" i="22"/>
  <c r="Q460" i="22"/>
  <c r="Q461" i="22"/>
  <c r="Q310" i="22"/>
  <c r="Q405" i="22"/>
  <c r="Q283" i="22"/>
  <c r="Q331" i="22"/>
  <c r="Q236" i="22"/>
  <c r="Q111" i="22"/>
  <c r="Q181" i="22"/>
  <c r="Q110" i="22"/>
  <c r="Q348" i="22"/>
  <c r="Q235" i="22"/>
  <c r="Q394" i="22"/>
  <c r="Q309" i="22"/>
  <c r="Q282" i="22"/>
  <c r="Q180" i="22"/>
  <c r="Q234" i="22"/>
  <c r="Q402" i="22"/>
  <c r="Q381" i="22"/>
  <c r="Q330" i="22"/>
  <c r="Q361" i="22"/>
  <c r="Q83" i="22"/>
  <c r="Q233" i="22"/>
  <c r="Q179" i="22"/>
  <c r="Q281" i="22"/>
  <c r="Q106" i="22"/>
  <c r="Q82" i="22"/>
  <c r="Q308" i="22"/>
  <c r="Q232" i="22"/>
  <c r="Q347" i="22"/>
  <c r="Q600" i="22"/>
  <c r="Q599" i="22"/>
  <c r="Q598" i="22"/>
  <c r="Q597" i="22"/>
  <c r="Q596" i="22"/>
  <c r="Q595" i="22"/>
  <c r="Q594" i="22"/>
  <c r="Q593" i="22"/>
  <c r="Q592" i="22"/>
  <c r="Q591" i="22"/>
  <c r="Q590" i="22"/>
  <c r="Q589" i="22"/>
  <c r="Q588" i="22"/>
  <c r="Q587" i="22"/>
  <c r="Q586" i="22"/>
  <c r="Q585" i="22"/>
  <c r="Q584" i="22"/>
  <c r="Q583" i="22"/>
  <c r="Q582" i="22"/>
  <c r="Q581" i="22"/>
  <c r="Q580" i="22"/>
  <c r="Q579" i="22"/>
  <c r="Q578" i="22"/>
  <c r="Q577" i="22"/>
  <c r="Q576" i="22"/>
  <c r="Q575" i="22"/>
  <c r="Q574" i="22"/>
  <c r="Q573" i="22"/>
  <c r="Q572" i="22"/>
  <c r="Q571" i="22"/>
  <c r="U651" i="19"/>
  <c r="T651" i="19"/>
  <c r="S651" i="19"/>
  <c r="V650" i="19"/>
  <c r="U650" i="19"/>
  <c r="T650" i="19"/>
  <c r="S650" i="19"/>
  <c r="V649" i="19"/>
  <c r="U649" i="19"/>
  <c r="T649" i="19"/>
  <c r="S649" i="19"/>
  <c r="V648" i="19"/>
  <c r="U648" i="19"/>
  <c r="T648" i="19"/>
  <c r="S648" i="19"/>
  <c r="V647" i="19"/>
  <c r="U647" i="19"/>
  <c r="T647" i="19"/>
  <c r="S647" i="19"/>
  <c r="V646" i="19"/>
  <c r="U646" i="19"/>
  <c r="T646" i="19"/>
  <c r="S646" i="19"/>
  <c r="V645" i="19"/>
  <c r="U645" i="19"/>
  <c r="T645" i="19"/>
  <c r="S645" i="19"/>
  <c r="V644" i="19"/>
  <c r="U644" i="19"/>
  <c r="T644" i="19"/>
  <c r="S644" i="19"/>
  <c r="V643" i="19"/>
  <c r="U643" i="19"/>
  <c r="T643" i="19"/>
  <c r="S643" i="19"/>
  <c r="V642" i="19"/>
  <c r="U642" i="19"/>
  <c r="T642" i="19"/>
  <c r="S642" i="19"/>
  <c r="V641" i="19"/>
  <c r="U641" i="19"/>
  <c r="T641" i="19"/>
  <c r="S641" i="19"/>
  <c r="V640" i="19"/>
  <c r="U640" i="19"/>
  <c r="T640" i="19"/>
  <c r="S640" i="19"/>
  <c r="V639" i="19"/>
  <c r="U639" i="19"/>
  <c r="T639" i="19"/>
  <c r="S639" i="19"/>
  <c r="V638" i="19"/>
  <c r="U638" i="19"/>
  <c r="T638" i="19"/>
  <c r="S638" i="19"/>
  <c r="V637" i="19"/>
  <c r="U637" i="19"/>
  <c r="T637" i="19"/>
  <c r="S637" i="19"/>
  <c r="V636" i="19"/>
  <c r="U636" i="19"/>
  <c r="T636" i="19"/>
  <c r="S636" i="19"/>
  <c r="V635" i="19"/>
  <c r="U635" i="19"/>
  <c r="T635" i="19"/>
  <c r="S635" i="19"/>
  <c r="V634" i="19"/>
  <c r="U634" i="19"/>
  <c r="T634" i="19"/>
  <c r="S634" i="19"/>
  <c r="V633" i="19"/>
  <c r="U633" i="19"/>
  <c r="T633" i="19"/>
  <c r="S633" i="19"/>
  <c r="V632" i="19"/>
  <c r="U632" i="19"/>
  <c r="T632" i="19"/>
  <c r="S632" i="19"/>
  <c r="V631" i="19"/>
  <c r="U631" i="19"/>
  <c r="T631" i="19"/>
  <c r="S631" i="19"/>
  <c r="V630" i="19"/>
  <c r="U630" i="19"/>
  <c r="T630" i="19"/>
  <c r="S630" i="19"/>
  <c r="V629" i="19"/>
  <c r="U629" i="19"/>
  <c r="T629" i="19"/>
  <c r="S629" i="19"/>
  <c r="V628" i="19"/>
  <c r="U628" i="19"/>
  <c r="T628" i="19"/>
  <c r="S628" i="19"/>
  <c r="V627" i="19"/>
  <c r="U627" i="19"/>
  <c r="T627" i="19"/>
  <c r="S627" i="19"/>
  <c r="V626" i="19"/>
  <c r="U626" i="19"/>
  <c r="T626" i="19"/>
  <c r="S626" i="19"/>
  <c r="V625" i="19"/>
  <c r="U625" i="19"/>
  <c r="T625" i="19"/>
  <c r="S625" i="19"/>
  <c r="V624" i="19"/>
  <c r="U624" i="19"/>
  <c r="T624" i="19"/>
  <c r="S624" i="19"/>
  <c r="V623" i="19"/>
  <c r="U623" i="19"/>
  <c r="T623" i="19"/>
  <c r="S623" i="19"/>
  <c r="V622" i="19"/>
  <c r="U622" i="19"/>
  <c r="T622" i="19"/>
  <c r="S622" i="19"/>
  <c r="V621" i="19"/>
  <c r="U621" i="19"/>
  <c r="T621" i="19"/>
  <c r="S621" i="19"/>
  <c r="V620" i="19"/>
  <c r="U620" i="19"/>
  <c r="T620" i="19"/>
  <c r="S620" i="19"/>
  <c r="V619" i="19"/>
  <c r="U619" i="19"/>
  <c r="T619" i="19"/>
  <c r="S619" i="19"/>
  <c r="V618" i="19"/>
  <c r="U618" i="19"/>
  <c r="T618" i="19"/>
  <c r="S618" i="19"/>
  <c r="V617" i="19"/>
  <c r="U617" i="19"/>
  <c r="T617" i="19"/>
  <c r="S617" i="19"/>
  <c r="V616" i="19"/>
  <c r="U616" i="19"/>
  <c r="T616" i="19"/>
  <c r="S616" i="19"/>
  <c r="V615" i="19"/>
  <c r="U615" i="19"/>
  <c r="T615" i="19"/>
  <c r="S615" i="19"/>
  <c r="V614" i="19"/>
  <c r="U614" i="19"/>
  <c r="T614" i="19"/>
  <c r="S614" i="19"/>
  <c r="V613" i="19"/>
  <c r="U613" i="19"/>
  <c r="T613" i="19"/>
  <c r="S613" i="19"/>
  <c r="V612" i="19"/>
  <c r="U612" i="19"/>
  <c r="T612" i="19"/>
  <c r="S612" i="19"/>
  <c r="V611" i="19"/>
  <c r="U611" i="19"/>
  <c r="T611" i="19"/>
  <c r="S611" i="19"/>
  <c r="V610" i="19"/>
  <c r="U610" i="19"/>
  <c r="T610" i="19"/>
  <c r="S610" i="19"/>
  <c r="V609" i="19"/>
  <c r="U609" i="19"/>
  <c r="T609" i="19"/>
  <c r="S609" i="19"/>
  <c r="V608" i="19"/>
  <c r="U608" i="19"/>
  <c r="T608" i="19"/>
  <c r="S608" i="19"/>
  <c r="V607" i="19"/>
  <c r="U607" i="19"/>
  <c r="T607" i="19"/>
  <c r="S607" i="19"/>
  <c r="V606" i="19"/>
  <c r="U606" i="19"/>
  <c r="T606" i="19"/>
  <c r="S606" i="19"/>
  <c r="V605" i="19"/>
  <c r="U605" i="19"/>
  <c r="T605" i="19"/>
  <c r="S605" i="19"/>
  <c r="V604" i="19"/>
  <c r="U604" i="19"/>
  <c r="T604" i="19"/>
  <c r="S604" i="19"/>
  <c r="V603" i="19"/>
  <c r="U603" i="19"/>
  <c r="T603" i="19"/>
  <c r="S603" i="19"/>
  <c r="V602" i="19"/>
  <c r="U602" i="19"/>
  <c r="T602" i="19"/>
  <c r="S602" i="19"/>
  <c r="V601" i="19"/>
  <c r="U601" i="19"/>
  <c r="T601" i="19"/>
  <c r="S601" i="19"/>
  <c r="V600" i="19"/>
  <c r="U600" i="19"/>
  <c r="T600" i="19"/>
  <c r="S600" i="19"/>
  <c r="V599" i="19"/>
  <c r="U599" i="19"/>
  <c r="T599" i="19"/>
  <c r="S599" i="19"/>
  <c r="V598" i="19"/>
  <c r="U598" i="19"/>
  <c r="T598" i="19"/>
  <c r="S598" i="19"/>
  <c r="V597" i="19"/>
  <c r="U597" i="19"/>
  <c r="T597" i="19"/>
  <c r="S597" i="19"/>
  <c r="V596" i="19"/>
  <c r="U596" i="19"/>
  <c r="T596" i="19"/>
  <c r="S596" i="19"/>
  <c r="V595" i="19"/>
  <c r="U595" i="19"/>
  <c r="T595" i="19"/>
  <c r="S595" i="19"/>
  <c r="V594" i="19"/>
  <c r="U594" i="19"/>
  <c r="T594" i="19"/>
  <c r="S594" i="19"/>
  <c r="V593" i="19"/>
  <c r="U593" i="19"/>
  <c r="T593" i="19"/>
  <c r="S593" i="19"/>
  <c r="V592" i="19"/>
  <c r="U592" i="19"/>
  <c r="T592" i="19"/>
  <c r="S592" i="19"/>
  <c r="V591" i="19"/>
  <c r="U591" i="19"/>
  <c r="T591" i="19"/>
  <c r="S591" i="19"/>
  <c r="V590" i="19"/>
  <c r="U590" i="19"/>
  <c r="T590" i="19"/>
  <c r="S590" i="19"/>
  <c r="V589" i="19"/>
  <c r="U589" i="19"/>
  <c r="T589" i="19"/>
  <c r="S589" i="19"/>
  <c r="V588" i="19"/>
  <c r="U588" i="19"/>
  <c r="T588" i="19"/>
  <c r="S588" i="19"/>
  <c r="V587" i="19"/>
  <c r="U587" i="19"/>
  <c r="T587" i="19"/>
  <c r="S587" i="19"/>
  <c r="V586" i="19"/>
  <c r="U586" i="19"/>
  <c r="T586" i="19"/>
  <c r="S586" i="19"/>
  <c r="V585" i="19"/>
  <c r="U585" i="19"/>
  <c r="T585" i="19"/>
  <c r="S585" i="19"/>
  <c r="V584" i="19"/>
  <c r="U584" i="19"/>
  <c r="T584" i="19"/>
  <c r="S584" i="19"/>
  <c r="V583" i="19"/>
  <c r="U583" i="19"/>
  <c r="T583" i="19"/>
  <c r="S583" i="19"/>
  <c r="V582" i="19"/>
  <c r="U582" i="19"/>
  <c r="T582" i="19"/>
  <c r="S582" i="19"/>
  <c r="V581" i="19"/>
  <c r="U581" i="19"/>
  <c r="T581" i="19"/>
  <c r="S581" i="19"/>
  <c r="V580" i="19"/>
  <c r="U580" i="19"/>
  <c r="T580" i="19"/>
  <c r="S580" i="19"/>
  <c r="V579" i="19"/>
  <c r="U579" i="19"/>
  <c r="T579" i="19"/>
  <c r="S579" i="19"/>
  <c r="V578" i="19"/>
  <c r="U578" i="19"/>
  <c r="S578" i="19"/>
  <c r="V577" i="19"/>
  <c r="U577" i="19"/>
  <c r="T577" i="19"/>
  <c r="S577" i="19"/>
  <c r="V576" i="19"/>
  <c r="U576" i="19"/>
  <c r="T576" i="19"/>
  <c r="S576" i="19"/>
  <c r="V575" i="19"/>
  <c r="U575" i="19"/>
  <c r="T575" i="19"/>
  <c r="S575" i="19"/>
  <c r="V574" i="19"/>
  <c r="U574" i="19"/>
  <c r="T574" i="19"/>
  <c r="S574" i="19"/>
  <c r="V573" i="19"/>
  <c r="U573" i="19"/>
  <c r="T573" i="19"/>
  <c r="S573" i="19"/>
  <c r="V572" i="19"/>
  <c r="U572" i="19"/>
  <c r="T572" i="19"/>
  <c r="S572" i="19"/>
  <c r="V571" i="19"/>
  <c r="U571" i="19"/>
  <c r="T571" i="19"/>
  <c r="S571" i="19"/>
  <c r="V570" i="19"/>
  <c r="U570" i="19"/>
  <c r="T570" i="19"/>
  <c r="S570" i="19"/>
  <c r="V569" i="19"/>
  <c r="U569" i="19"/>
  <c r="T569" i="19"/>
  <c r="S569" i="19"/>
  <c r="V568" i="19"/>
  <c r="U568" i="19"/>
  <c r="T568" i="19"/>
  <c r="S568" i="19"/>
  <c r="V567" i="19"/>
  <c r="U567" i="19"/>
  <c r="T567" i="19"/>
  <c r="S567" i="19"/>
  <c r="V566" i="19"/>
  <c r="U566" i="19"/>
  <c r="T566" i="19"/>
  <c r="S566" i="19"/>
  <c r="V565" i="19"/>
  <c r="U565" i="19"/>
  <c r="T565" i="19"/>
  <c r="S565" i="19"/>
  <c r="V564" i="19"/>
  <c r="U564" i="19"/>
  <c r="T564" i="19"/>
  <c r="S564" i="19"/>
  <c r="V563" i="19"/>
  <c r="U563" i="19"/>
  <c r="T563" i="19"/>
  <c r="S563" i="19"/>
  <c r="V562" i="19"/>
  <c r="U562" i="19"/>
  <c r="T562" i="19"/>
  <c r="S562" i="19"/>
  <c r="V561" i="19"/>
  <c r="U561" i="19"/>
  <c r="T561" i="19"/>
  <c r="S561" i="19"/>
  <c r="V560" i="19"/>
  <c r="U560" i="19"/>
  <c r="T560" i="19"/>
  <c r="S560" i="19"/>
  <c r="V559" i="19"/>
  <c r="U559" i="19"/>
  <c r="T559" i="19"/>
  <c r="S559" i="19"/>
  <c r="V558" i="19"/>
  <c r="U558" i="19"/>
  <c r="T558" i="19"/>
  <c r="S558" i="19"/>
  <c r="V557" i="19"/>
  <c r="U557" i="19"/>
  <c r="T557" i="19"/>
  <c r="S557" i="19"/>
  <c r="V556" i="19"/>
  <c r="U556" i="19"/>
  <c r="T556" i="19"/>
  <c r="S556" i="19"/>
  <c r="V555" i="19"/>
  <c r="U555" i="19"/>
  <c r="T555" i="19"/>
  <c r="S555" i="19"/>
  <c r="V554" i="19"/>
  <c r="U554" i="19"/>
  <c r="T554" i="19"/>
  <c r="S554" i="19"/>
  <c r="V553" i="19"/>
  <c r="U553" i="19"/>
  <c r="T553" i="19"/>
  <c r="S553" i="19"/>
  <c r="V552" i="19"/>
  <c r="U552" i="19"/>
  <c r="T552" i="19"/>
  <c r="S552" i="19"/>
  <c r="V551" i="19"/>
  <c r="U551" i="19"/>
  <c r="T551" i="19"/>
  <c r="S551" i="19"/>
  <c r="V550" i="19"/>
  <c r="U550" i="19"/>
  <c r="T550" i="19"/>
  <c r="S550" i="19"/>
  <c r="V549" i="19"/>
  <c r="U549" i="19"/>
  <c r="T549" i="19"/>
  <c r="S549" i="19"/>
  <c r="V548" i="19"/>
  <c r="U548" i="19"/>
  <c r="T548" i="19"/>
  <c r="S548" i="19"/>
  <c r="V547" i="19"/>
  <c r="U547" i="19"/>
  <c r="T547" i="19"/>
  <c r="S547" i="19"/>
  <c r="V546" i="19"/>
  <c r="U546" i="19"/>
  <c r="T546" i="19"/>
  <c r="S546" i="19"/>
  <c r="V545" i="19"/>
  <c r="U545" i="19"/>
  <c r="T545" i="19"/>
  <c r="S545" i="19"/>
  <c r="V544" i="19"/>
  <c r="U544" i="19"/>
  <c r="T544" i="19"/>
  <c r="S544" i="19"/>
  <c r="V543" i="19"/>
  <c r="U543" i="19"/>
  <c r="T543" i="19"/>
  <c r="S543" i="19"/>
  <c r="V542" i="19"/>
  <c r="U542" i="19"/>
  <c r="T542" i="19"/>
  <c r="S542" i="19"/>
  <c r="V541" i="19"/>
  <c r="U541" i="19"/>
  <c r="T541" i="19"/>
  <c r="S541" i="19"/>
  <c r="V540" i="19"/>
  <c r="U540" i="19"/>
  <c r="T540" i="19"/>
  <c r="S540" i="19"/>
  <c r="V539" i="19"/>
  <c r="U539" i="19"/>
  <c r="T539" i="19"/>
  <c r="S539" i="19"/>
  <c r="V538" i="19"/>
  <c r="U538" i="19"/>
  <c r="T538" i="19"/>
  <c r="S538" i="19"/>
  <c r="V537" i="19"/>
  <c r="U537" i="19"/>
  <c r="T537" i="19"/>
  <c r="S537" i="19"/>
  <c r="V536" i="19"/>
  <c r="U536" i="19"/>
  <c r="T536" i="19"/>
  <c r="S536" i="19"/>
  <c r="V535" i="19"/>
  <c r="U535" i="19"/>
  <c r="T535" i="19"/>
  <c r="S535" i="19"/>
  <c r="V534" i="19"/>
  <c r="U534" i="19"/>
  <c r="T534" i="19"/>
  <c r="S534" i="19"/>
  <c r="V533" i="19"/>
  <c r="U533" i="19"/>
  <c r="T533" i="19"/>
  <c r="S533" i="19"/>
  <c r="V532" i="19"/>
  <c r="U532" i="19"/>
  <c r="T532" i="19"/>
  <c r="S532" i="19"/>
  <c r="V531" i="19"/>
  <c r="U531" i="19"/>
  <c r="T531" i="19"/>
  <c r="S531" i="19"/>
  <c r="V530" i="19"/>
  <c r="U530" i="19"/>
  <c r="T530" i="19"/>
  <c r="S530" i="19"/>
  <c r="V529" i="19"/>
  <c r="U529" i="19"/>
  <c r="T529" i="19"/>
  <c r="S529" i="19"/>
  <c r="V528" i="19"/>
  <c r="U528" i="19"/>
  <c r="T528" i="19"/>
  <c r="S528" i="19"/>
  <c r="V527" i="19"/>
  <c r="U527" i="19"/>
  <c r="T527" i="19"/>
  <c r="S527" i="19"/>
  <c r="V526" i="19"/>
  <c r="U526" i="19"/>
  <c r="T526" i="19"/>
  <c r="S526" i="19"/>
  <c r="V525" i="19"/>
  <c r="U525" i="19"/>
  <c r="T525" i="19"/>
  <c r="S525" i="19"/>
  <c r="V524" i="19"/>
  <c r="U524" i="19"/>
  <c r="T524" i="19"/>
  <c r="S524" i="19"/>
  <c r="V523" i="19"/>
  <c r="U523" i="19"/>
  <c r="T523" i="19"/>
  <c r="S523" i="19"/>
  <c r="V522" i="19"/>
  <c r="U522" i="19"/>
  <c r="T522" i="19"/>
  <c r="S522" i="19"/>
  <c r="V521" i="19"/>
  <c r="U521" i="19"/>
  <c r="T521" i="19"/>
  <c r="S521" i="19"/>
  <c r="V520" i="19"/>
  <c r="U520" i="19"/>
  <c r="T520" i="19"/>
  <c r="S520" i="19"/>
  <c r="V519" i="19"/>
  <c r="U519" i="19"/>
  <c r="T519" i="19"/>
  <c r="S519" i="19"/>
  <c r="V518" i="19"/>
  <c r="U518" i="19"/>
  <c r="T518" i="19"/>
  <c r="S518" i="19"/>
  <c r="V517" i="19"/>
  <c r="U517" i="19"/>
  <c r="T517" i="19"/>
  <c r="S517" i="19"/>
  <c r="V516" i="19"/>
  <c r="U516" i="19"/>
  <c r="T516" i="19"/>
  <c r="S516" i="19"/>
  <c r="V515" i="19"/>
  <c r="U515" i="19"/>
  <c r="T515" i="19"/>
  <c r="S515" i="19"/>
  <c r="V514" i="19"/>
  <c r="U514" i="19"/>
  <c r="T514" i="19"/>
  <c r="S514" i="19"/>
  <c r="V513" i="19"/>
  <c r="V376" i="19"/>
  <c r="U376" i="19"/>
  <c r="T376" i="19"/>
  <c r="S376" i="19"/>
  <c r="V375" i="19"/>
  <c r="U375" i="19"/>
  <c r="T375" i="19"/>
  <c r="S375" i="19"/>
  <c r="V374" i="19"/>
  <c r="U374" i="19"/>
  <c r="T374" i="19"/>
  <c r="S374" i="19"/>
  <c r="V373" i="19"/>
  <c r="U373" i="19"/>
  <c r="T373" i="19"/>
  <c r="S373" i="19"/>
  <c r="V372" i="19"/>
  <c r="U372" i="19"/>
  <c r="T372" i="19"/>
  <c r="S372" i="19"/>
  <c r="V371" i="19"/>
  <c r="U371" i="19"/>
  <c r="T371" i="19"/>
  <c r="S371" i="19"/>
  <c r="V370" i="19"/>
  <c r="U370" i="19"/>
  <c r="T370" i="19"/>
  <c r="S370" i="19"/>
  <c r="V369" i="19"/>
  <c r="U369" i="19"/>
  <c r="T369" i="19"/>
  <c r="S369" i="19"/>
  <c r="V368" i="19"/>
  <c r="U368" i="19"/>
  <c r="T368" i="19"/>
  <c r="S368" i="19"/>
  <c r="V367" i="19"/>
  <c r="U367" i="19"/>
  <c r="T367" i="19"/>
  <c r="S367" i="19"/>
  <c r="V366" i="19"/>
  <c r="U366" i="19"/>
  <c r="T366" i="19"/>
  <c r="S366" i="19"/>
  <c r="V365" i="19"/>
  <c r="U365" i="19"/>
  <c r="T365" i="19"/>
  <c r="S365" i="19"/>
  <c r="V364" i="19"/>
  <c r="U364" i="19"/>
  <c r="T364" i="19"/>
  <c r="S364" i="19"/>
  <c r="V363" i="19"/>
  <c r="U363" i="19"/>
  <c r="T363" i="19"/>
  <c r="S363" i="19"/>
  <c r="V362" i="19"/>
  <c r="U362" i="19"/>
  <c r="T362" i="19"/>
  <c r="S362" i="19"/>
  <c r="V361" i="19"/>
  <c r="U361" i="19"/>
  <c r="T361" i="19"/>
  <c r="S361" i="19"/>
  <c r="V360" i="19"/>
  <c r="U360" i="19"/>
  <c r="T360" i="19"/>
  <c r="S360" i="19"/>
  <c r="V359" i="19"/>
  <c r="U359" i="19"/>
  <c r="T359" i="19"/>
  <c r="S359" i="19"/>
  <c r="V358" i="19"/>
  <c r="U358" i="19"/>
  <c r="T358" i="19"/>
  <c r="S358" i="19"/>
  <c r="V357" i="19"/>
  <c r="U357" i="19"/>
  <c r="T357" i="19"/>
  <c r="S357" i="19"/>
  <c r="V356" i="19"/>
  <c r="U356" i="19"/>
  <c r="T356" i="19"/>
  <c r="S356" i="19"/>
  <c r="V355" i="19"/>
  <c r="U355" i="19"/>
  <c r="T355" i="19"/>
  <c r="S355" i="19"/>
  <c r="V354" i="19"/>
  <c r="U354" i="19"/>
  <c r="T354" i="19"/>
  <c r="S354" i="19"/>
  <c r="V353" i="19"/>
  <c r="U353" i="19"/>
  <c r="T353" i="19"/>
  <c r="S353" i="19"/>
  <c r="V352" i="19"/>
  <c r="U352" i="19"/>
  <c r="T352" i="19"/>
  <c r="S352" i="19"/>
  <c r="V351" i="19"/>
  <c r="U351" i="19"/>
  <c r="T351" i="19"/>
  <c r="S351" i="19"/>
  <c r="V350" i="19"/>
  <c r="U350" i="19"/>
  <c r="T350" i="19"/>
  <c r="S350" i="19"/>
  <c r="V349" i="19"/>
  <c r="U349" i="19"/>
  <c r="T349" i="19"/>
  <c r="S349" i="19"/>
  <c r="V348" i="19"/>
  <c r="U348" i="19"/>
  <c r="T348" i="19"/>
  <c r="S348" i="19"/>
  <c r="V347" i="19"/>
  <c r="U347" i="19"/>
  <c r="T347" i="19"/>
  <c r="S347" i="19"/>
  <c r="V346" i="19"/>
  <c r="U346" i="19"/>
  <c r="T346" i="19"/>
  <c r="S346" i="19"/>
  <c r="V345" i="19"/>
  <c r="U345" i="19"/>
  <c r="T345" i="19"/>
  <c r="S345" i="19"/>
  <c r="V344" i="19"/>
  <c r="U344" i="19"/>
  <c r="T344" i="19"/>
  <c r="S344" i="19"/>
  <c r="V343" i="19"/>
  <c r="U343" i="19"/>
  <c r="T343" i="19"/>
  <c r="S343" i="19"/>
  <c r="V342" i="19"/>
  <c r="U342" i="19"/>
  <c r="T342" i="19"/>
  <c r="S342" i="19"/>
  <c r="V341" i="19"/>
  <c r="U341" i="19"/>
  <c r="T341" i="19"/>
  <c r="S341" i="19"/>
  <c r="V340" i="19"/>
  <c r="U340" i="19"/>
  <c r="T340" i="19"/>
  <c r="S340" i="19"/>
  <c r="V339" i="19"/>
  <c r="U339" i="19"/>
  <c r="T339" i="19"/>
  <c r="S339" i="19"/>
  <c r="V338" i="19"/>
  <c r="U338" i="19"/>
  <c r="T338" i="19"/>
  <c r="S338" i="19"/>
  <c r="V337" i="19"/>
  <c r="U337" i="19"/>
  <c r="T337" i="19"/>
  <c r="S337" i="19"/>
  <c r="V336" i="19"/>
  <c r="U336" i="19"/>
  <c r="T336" i="19"/>
  <c r="S336" i="19"/>
  <c r="V335" i="19"/>
  <c r="U335" i="19"/>
  <c r="T335" i="19"/>
  <c r="S335" i="19"/>
  <c r="V334" i="19"/>
  <c r="U334" i="19"/>
  <c r="T334" i="19"/>
  <c r="S334" i="19"/>
  <c r="V333" i="19"/>
  <c r="U333" i="19"/>
  <c r="T333" i="19"/>
  <c r="S333" i="19"/>
  <c r="V332" i="19"/>
  <c r="U332" i="19"/>
  <c r="T332" i="19"/>
  <c r="S332" i="19"/>
  <c r="V331" i="19"/>
  <c r="U331" i="19"/>
  <c r="T331" i="19"/>
  <c r="S331" i="19"/>
  <c r="V330" i="19"/>
  <c r="U330" i="19"/>
  <c r="T330" i="19"/>
  <c r="S330" i="19"/>
  <c r="V329" i="19"/>
  <c r="U329" i="19"/>
  <c r="T329" i="19"/>
  <c r="S329" i="19"/>
  <c r="V328" i="19"/>
  <c r="U328" i="19"/>
  <c r="T328" i="19"/>
  <c r="S328" i="19"/>
  <c r="V327" i="19"/>
  <c r="U327" i="19"/>
  <c r="T327" i="19"/>
  <c r="S327" i="19"/>
  <c r="V326" i="19"/>
  <c r="U326" i="19"/>
  <c r="T326" i="19"/>
  <c r="S326" i="19"/>
  <c r="V325" i="19"/>
  <c r="U325" i="19"/>
  <c r="T325" i="19"/>
  <c r="S325" i="19"/>
  <c r="U513" i="19"/>
  <c r="T513" i="19"/>
  <c r="S513" i="19"/>
  <c r="V512" i="19"/>
  <c r="U512" i="19"/>
  <c r="T512" i="19"/>
  <c r="S512" i="19"/>
  <c r="V511" i="19"/>
  <c r="U511" i="19"/>
  <c r="T511" i="19"/>
  <c r="S511" i="19"/>
  <c r="V510" i="19"/>
  <c r="U510" i="19"/>
  <c r="T510" i="19"/>
  <c r="S510" i="19"/>
  <c r="V509" i="19"/>
  <c r="U509" i="19"/>
  <c r="T509" i="19"/>
  <c r="S509" i="19"/>
  <c r="V508" i="19"/>
  <c r="U508" i="19"/>
  <c r="T508" i="19"/>
  <c r="S508" i="19"/>
  <c r="V507" i="19"/>
  <c r="U507" i="19"/>
  <c r="T507" i="19"/>
  <c r="S507" i="19"/>
  <c r="V506" i="19"/>
  <c r="U506" i="19"/>
  <c r="T506" i="19"/>
  <c r="S506" i="19"/>
  <c r="V505" i="19"/>
  <c r="U505" i="19"/>
  <c r="T505" i="19"/>
  <c r="S505" i="19"/>
  <c r="V504" i="19"/>
  <c r="U504" i="19"/>
  <c r="T504" i="19"/>
  <c r="S504" i="19"/>
  <c r="V503" i="19"/>
  <c r="U503" i="19"/>
  <c r="T503" i="19"/>
  <c r="S503" i="19"/>
  <c r="V502" i="19"/>
  <c r="U502" i="19"/>
  <c r="T502" i="19"/>
  <c r="S502" i="19"/>
  <c r="V501" i="19"/>
  <c r="U501" i="19"/>
  <c r="T501" i="19"/>
  <c r="S501" i="19"/>
  <c r="V500" i="19"/>
  <c r="U500" i="19"/>
  <c r="T500" i="19"/>
  <c r="S500" i="19"/>
  <c r="V499" i="19"/>
  <c r="U499" i="19"/>
  <c r="T499" i="19"/>
  <c r="S499" i="19"/>
  <c r="V498" i="19"/>
  <c r="U498" i="19"/>
  <c r="T498" i="19"/>
  <c r="S498" i="19"/>
  <c r="V497" i="19"/>
  <c r="U497" i="19"/>
  <c r="T497" i="19"/>
  <c r="S497" i="19"/>
  <c r="V496" i="19"/>
  <c r="U496" i="19"/>
  <c r="T496" i="19"/>
  <c r="S496" i="19"/>
  <c r="V495" i="19"/>
  <c r="U495" i="19"/>
  <c r="T495" i="19"/>
  <c r="S495" i="19"/>
  <c r="V494" i="19"/>
  <c r="U494" i="19"/>
  <c r="T494" i="19"/>
  <c r="S494" i="19"/>
  <c r="V493" i="19"/>
  <c r="U493" i="19"/>
  <c r="T493" i="19"/>
  <c r="S493" i="19"/>
  <c r="V492" i="19"/>
  <c r="U492" i="19"/>
  <c r="T492" i="19"/>
  <c r="S492" i="19"/>
  <c r="V491" i="19"/>
  <c r="U491" i="19"/>
  <c r="T491" i="19"/>
  <c r="S491" i="19"/>
  <c r="V490" i="19"/>
  <c r="U490" i="19"/>
  <c r="T490" i="19"/>
  <c r="S490" i="19"/>
  <c r="V489" i="19"/>
  <c r="U489" i="19"/>
  <c r="T489" i="19"/>
  <c r="S489" i="19"/>
  <c r="V488" i="19"/>
  <c r="U488" i="19"/>
  <c r="T488" i="19"/>
  <c r="S488" i="19"/>
  <c r="V487" i="19"/>
  <c r="U487" i="19"/>
  <c r="T487" i="19"/>
  <c r="S487" i="19"/>
  <c r="V486" i="19"/>
  <c r="U486" i="19"/>
  <c r="T486" i="19"/>
  <c r="S486" i="19"/>
  <c r="V485" i="19"/>
  <c r="U485" i="19"/>
  <c r="T485" i="19"/>
  <c r="S485" i="19"/>
  <c r="V484" i="19"/>
  <c r="U484" i="19"/>
  <c r="T484" i="19"/>
  <c r="S484" i="19"/>
  <c r="V483" i="19"/>
  <c r="U483" i="19"/>
  <c r="T483" i="19"/>
  <c r="S483" i="19"/>
  <c r="V482" i="19"/>
  <c r="U482" i="19"/>
  <c r="T482" i="19"/>
  <c r="S482" i="19"/>
  <c r="V481" i="19"/>
  <c r="U481" i="19"/>
  <c r="T481" i="19"/>
  <c r="S481" i="19"/>
  <c r="V480" i="19"/>
  <c r="U480" i="19"/>
  <c r="T480" i="19"/>
  <c r="S480" i="19"/>
  <c r="V479" i="19"/>
  <c r="U479" i="19"/>
  <c r="T479" i="19"/>
  <c r="S479" i="19"/>
  <c r="V478" i="19"/>
  <c r="U478" i="19"/>
  <c r="T478" i="19"/>
  <c r="S478" i="19"/>
  <c r="V477" i="19"/>
  <c r="U477" i="19"/>
  <c r="T477" i="19"/>
  <c r="S477" i="19"/>
  <c r="V476" i="19"/>
  <c r="U476" i="19"/>
  <c r="T476" i="19"/>
  <c r="S476" i="19"/>
  <c r="V475" i="19"/>
  <c r="U475" i="19"/>
  <c r="T475" i="19"/>
  <c r="S475" i="19"/>
  <c r="V474" i="19"/>
  <c r="U474" i="19"/>
  <c r="T474" i="19"/>
  <c r="S474" i="19"/>
  <c r="V473" i="19"/>
  <c r="U473" i="19"/>
  <c r="T473" i="19"/>
  <c r="S473" i="19"/>
  <c r="V472" i="19"/>
  <c r="U472" i="19"/>
  <c r="T472" i="19"/>
  <c r="S472" i="19"/>
  <c r="V471" i="19"/>
  <c r="U471" i="19"/>
  <c r="T471" i="19"/>
  <c r="S471" i="19"/>
  <c r="V470" i="19"/>
  <c r="U470" i="19"/>
  <c r="T470" i="19"/>
  <c r="S470" i="19"/>
  <c r="V469" i="19"/>
  <c r="U469" i="19"/>
  <c r="T469" i="19"/>
  <c r="S469" i="19"/>
  <c r="V468" i="19"/>
  <c r="U468" i="19"/>
  <c r="T468" i="19"/>
  <c r="S468" i="19"/>
  <c r="V467" i="19"/>
  <c r="U467" i="19"/>
  <c r="T467" i="19"/>
  <c r="S467" i="19"/>
  <c r="V466" i="19"/>
  <c r="U466" i="19"/>
  <c r="T466" i="19"/>
  <c r="S466" i="19"/>
  <c r="V465" i="19"/>
  <c r="U465" i="19"/>
  <c r="T465" i="19"/>
  <c r="S465" i="19"/>
  <c r="V464" i="19"/>
  <c r="U464" i="19"/>
  <c r="T464" i="19"/>
  <c r="S464" i="19"/>
  <c r="V463" i="19"/>
  <c r="U463" i="19"/>
  <c r="T463" i="19"/>
  <c r="S463" i="19"/>
  <c r="V462" i="19"/>
  <c r="U462" i="19"/>
  <c r="T462" i="19"/>
  <c r="S462" i="19"/>
  <c r="V461" i="19"/>
  <c r="U461" i="19"/>
  <c r="T461" i="19"/>
  <c r="S461" i="19"/>
  <c r="V460" i="19"/>
  <c r="U460" i="19"/>
  <c r="T460" i="19"/>
  <c r="S460" i="19"/>
  <c r="V459" i="19"/>
  <c r="U459" i="19"/>
  <c r="T459" i="19"/>
  <c r="S459" i="19"/>
  <c r="V458" i="19"/>
  <c r="U458" i="19"/>
  <c r="T458" i="19"/>
  <c r="S458" i="19"/>
  <c r="V457" i="19"/>
  <c r="U457" i="19"/>
  <c r="T457" i="19"/>
  <c r="S457" i="19"/>
  <c r="V456" i="19"/>
  <c r="U456" i="19"/>
  <c r="T456" i="19"/>
  <c r="S456" i="19"/>
  <c r="V455" i="19"/>
  <c r="U455" i="19"/>
  <c r="T455" i="19"/>
  <c r="S455" i="19"/>
  <c r="V454" i="19"/>
  <c r="U454" i="19"/>
  <c r="T454" i="19"/>
  <c r="S454" i="19"/>
  <c r="V453" i="19"/>
  <c r="U453" i="19"/>
  <c r="T453" i="19"/>
  <c r="S453" i="19"/>
  <c r="V452" i="19"/>
  <c r="U452" i="19"/>
  <c r="T452" i="19"/>
  <c r="S452" i="19"/>
  <c r="V451" i="19"/>
  <c r="U451" i="19"/>
  <c r="T451" i="19"/>
  <c r="S451" i="19"/>
  <c r="V450" i="19"/>
  <c r="U450" i="19"/>
  <c r="T450" i="19"/>
  <c r="S450" i="19"/>
  <c r="V449" i="19"/>
  <c r="U449" i="19"/>
  <c r="T449" i="19"/>
  <c r="S449" i="19"/>
  <c r="V448" i="19"/>
  <c r="U448" i="19"/>
  <c r="T448" i="19"/>
  <c r="S448" i="19"/>
  <c r="V447" i="19"/>
  <c r="U447" i="19"/>
  <c r="T447" i="19"/>
  <c r="S447" i="19"/>
  <c r="V446" i="19"/>
  <c r="U446" i="19"/>
  <c r="T446" i="19"/>
  <c r="S446" i="19"/>
  <c r="V445" i="19"/>
  <c r="U445" i="19"/>
  <c r="T445" i="19"/>
  <c r="S445" i="19"/>
  <c r="V444" i="19"/>
  <c r="U444" i="19"/>
  <c r="T444" i="19"/>
  <c r="S444" i="19"/>
  <c r="V443" i="19"/>
  <c r="U443" i="19"/>
  <c r="T443" i="19"/>
  <c r="S443" i="19"/>
  <c r="V442" i="19"/>
  <c r="U442" i="19"/>
  <c r="T442" i="19"/>
  <c r="S442" i="19"/>
  <c r="V441" i="19"/>
  <c r="U441" i="19"/>
  <c r="T441" i="19"/>
  <c r="S441" i="19"/>
  <c r="V440" i="19"/>
  <c r="U440" i="19"/>
  <c r="T440" i="19"/>
  <c r="S440" i="19"/>
  <c r="V439" i="19"/>
  <c r="U439" i="19"/>
  <c r="T439" i="19"/>
  <c r="S439" i="19"/>
  <c r="V438" i="19"/>
  <c r="U438" i="19"/>
  <c r="T438" i="19"/>
  <c r="S438" i="19"/>
  <c r="V437" i="19"/>
  <c r="U437" i="19"/>
  <c r="T437" i="19"/>
  <c r="S437" i="19"/>
  <c r="V436" i="19"/>
  <c r="U436" i="19"/>
  <c r="T436" i="19"/>
  <c r="S436" i="19"/>
  <c r="V435" i="19"/>
  <c r="U435" i="19"/>
  <c r="T435" i="19"/>
  <c r="S435" i="19"/>
  <c r="V434" i="19"/>
  <c r="U434" i="19"/>
  <c r="T434" i="19"/>
  <c r="S434" i="19"/>
  <c r="V433" i="19"/>
  <c r="U433" i="19"/>
  <c r="T433" i="19"/>
  <c r="S433" i="19"/>
  <c r="V432" i="19"/>
  <c r="U432" i="19"/>
  <c r="T432" i="19"/>
  <c r="S432" i="19"/>
  <c r="V431" i="19"/>
  <c r="U431" i="19"/>
  <c r="T431" i="19"/>
  <c r="S431" i="19"/>
  <c r="V430" i="19"/>
  <c r="U430" i="19"/>
  <c r="T430" i="19"/>
  <c r="S430" i="19"/>
  <c r="V429" i="19"/>
  <c r="U429" i="19"/>
  <c r="T429" i="19"/>
  <c r="S429" i="19"/>
  <c r="V428" i="19"/>
  <c r="U428" i="19"/>
  <c r="T428" i="19"/>
  <c r="S428" i="19"/>
  <c r="V427" i="19"/>
  <c r="U427" i="19"/>
  <c r="T427" i="19"/>
  <c r="S427" i="19"/>
  <c r="V426" i="19"/>
  <c r="U426" i="19"/>
  <c r="T426" i="19"/>
  <c r="S426" i="19"/>
  <c r="V425" i="19"/>
  <c r="U425" i="19"/>
  <c r="T425" i="19"/>
  <c r="S425" i="19"/>
  <c r="V424" i="19"/>
  <c r="U424" i="19"/>
  <c r="T424" i="19"/>
  <c r="S424" i="19"/>
  <c r="V423" i="19"/>
  <c r="U423" i="19"/>
  <c r="T423" i="19"/>
  <c r="S423" i="19"/>
  <c r="V422" i="19"/>
  <c r="U422" i="19"/>
  <c r="T422" i="19"/>
  <c r="S422" i="19"/>
  <c r="V421" i="19"/>
  <c r="U421" i="19"/>
  <c r="T421" i="19"/>
  <c r="S421" i="19"/>
  <c r="V420" i="19"/>
  <c r="U420" i="19"/>
  <c r="T420" i="19"/>
  <c r="S420" i="19"/>
  <c r="V419" i="19"/>
  <c r="U419" i="19"/>
  <c r="T419" i="19"/>
  <c r="S419" i="19"/>
  <c r="V418" i="19"/>
  <c r="U418" i="19"/>
  <c r="T418" i="19"/>
  <c r="S418" i="19"/>
  <c r="V417" i="19"/>
  <c r="U417" i="19"/>
  <c r="T417" i="19"/>
  <c r="S417" i="19"/>
  <c r="V416" i="19"/>
  <c r="U416" i="19"/>
  <c r="T416" i="19"/>
  <c r="S416" i="19"/>
  <c r="V415" i="19"/>
  <c r="U415" i="19"/>
  <c r="T415" i="19"/>
  <c r="S415" i="19"/>
  <c r="V414" i="19"/>
  <c r="U414" i="19"/>
  <c r="T414" i="19"/>
  <c r="S414" i="19"/>
  <c r="V413" i="19"/>
  <c r="U413" i="19"/>
  <c r="T413" i="19"/>
  <c r="S413" i="19"/>
  <c r="V412" i="19"/>
  <c r="U412" i="19"/>
  <c r="T412" i="19"/>
  <c r="S412" i="19"/>
  <c r="V411" i="19"/>
  <c r="U411" i="19"/>
  <c r="T411" i="19"/>
  <c r="S411" i="19"/>
  <c r="V410" i="19"/>
  <c r="U410" i="19"/>
  <c r="T410" i="19"/>
  <c r="S410" i="19"/>
  <c r="V409" i="19"/>
  <c r="U409" i="19"/>
  <c r="T409" i="19"/>
  <c r="S409" i="19"/>
  <c r="V408" i="19"/>
  <c r="U408" i="19"/>
  <c r="T408" i="19"/>
  <c r="S408" i="19"/>
  <c r="V407" i="19"/>
  <c r="U407" i="19"/>
  <c r="T407" i="19"/>
  <c r="S407" i="19"/>
  <c r="V406" i="19"/>
  <c r="U406" i="19"/>
  <c r="T406" i="19"/>
  <c r="S406" i="19"/>
  <c r="V405" i="19"/>
  <c r="U405" i="19"/>
  <c r="T405" i="19"/>
  <c r="S405" i="19"/>
  <c r="V404" i="19"/>
  <c r="U404" i="19"/>
  <c r="T404" i="19"/>
  <c r="S404" i="19"/>
  <c r="V403" i="19"/>
  <c r="U403" i="19"/>
  <c r="T403" i="19"/>
  <c r="S403" i="19"/>
  <c r="V402" i="19"/>
  <c r="U402" i="19"/>
  <c r="T402" i="19"/>
  <c r="S402" i="19"/>
  <c r="V401" i="19"/>
  <c r="U401" i="19"/>
  <c r="T401" i="19"/>
  <c r="S401" i="19"/>
  <c r="V400" i="19"/>
  <c r="U400" i="19"/>
  <c r="T400" i="19"/>
  <c r="S400" i="19"/>
  <c r="V399" i="19"/>
  <c r="U399" i="19"/>
  <c r="T399" i="19"/>
  <c r="S399" i="19"/>
  <c r="V398" i="19"/>
  <c r="U398" i="19"/>
  <c r="T398" i="19"/>
  <c r="S398" i="19"/>
  <c r="V397" i="19"/>
  <c r="U397" i="19"/>
  <c r="T397" i="19"/>
  <c r="S397" i="19"/>
  <c r="V396" i="19"/>
  <c r="U396" i="19"/>
  <c r="T396" i="19"/>
  <c r="S396" i="19"/>
  <c r="V395" i="19"/>
  <c r="U395" i="19"/>
  <c r="T395" i="19"/>
  <c r="S395" i="19"/>
  <c r="V394" i="19"/>
  <c r="U394" i="19"/>
  <c r="T394" i="19"/>
  <c r="S394" i="19"/>
  <c r="V393" i="19"/>
  <c r="U393" i="19"/>
  <c r="T393" i="19"/>
  <c r="S393" i="19"/>
  <c r="V392" i="19"/>
  <c r="U392" i="19"/>
  <c r="T392" i="19"/>
  <c r="S392" i="19"/>
  <c r="V391" i="19"/>
  <c r="U391" i="19"/>
  <c r="T391" i="19"/>
  <c r="S391" i="19"/>
  <c r="V390" i="19"/>
  <c r="U390" i="19"/>
  <c r="T390" i="19"/>
  <c r="S390" i="19"/>
  <c r="V389" i="19"/>
  <c r="U389" i="19"/>
  <c r="T389" i="19"/>
  <c r="S389" i="19"/>
  <c r="V388" i="19"/>
  <c r="U388" i="19"/>
  <c r="T388" i="19"/>
  <c r="S388" i="19"/>
  <c r="V387" i="19"/>
  <c r="U387" i="19"/>
  <c r="T387" i="19"/>
  <c r="S387" i="19"/>
  <c r="V386" i="19"/>
  <c r="U386" i="19"/>
  <c r="T386" i="19"/>
  <c r="S386" i="19"/>
  <c r="V385" i="19"/>
  <c r="U385" i="19"/>
  <c r="T385" i="19"/>
  <c r="S385" i="19"/>
  <c r="V384" i="19"/>
  <c r="U384" i="19"/>
  <c r="T384" i="19"/>
  <c r="S384" i="19"/>
  <c r="V383" i="19"/>
  <c r="U383" i="19"/>
  <c r="T383" i="19"/>
  <c r="S383" i="19"/>
  <c r="V382" i="19"/>
  <c r="U382" i="19"/>
  <c r="T382" i="19"/>
  <c r="S382" i="19"/>
  <c r="V381" i="19"/>
  <c r="U381" i="19"/>
  <c r="T381" i="19"/>
  <c r="S381" i="19"/>
  <c r="V380" i="19"/>
  <c r="U380" i="19"/>
  <c r="T380" i="19"/>
  <c r="S380" i="19"/>
  <c r="V379" i="19"/>
  <c r="U379" i="19"/>
  <c r="T379" i="19"/>
  <c r="S379" i="19"/>
  <c r="V378" i="19"/>
  <c r="U378" i="19"/>
  <c r="T378" i="19"/>
  <c r="S378" i="19"/>
  <c r="V377" i="19"/>
  <c r="U377" i="19"/>
  <c r="T377" i="19"/>
  <c r="S377" i="19"/>
  <c r="V324" i="19"/>
  <c r="U324" i="19"/>
  <c r="T324" i="19"/>
  <c r="S324" i="19"/>
  <c r="V323" i="19"/>
  <c r="U323" i="19"/>
  <c r="T323" i="19"/>
  <c r="S323" i="19"/>
  <c r="V322" i="19"/>
  <c r="U322" i="19"/>
  <c r="T322" i="19"/>
  <c r="S322" i="19"/>
  <c r="V321" i="19"/>
  <c r="U321" i="19"/>
  <c r="T321" i="19"/>
  <c r="S321" i="19"/>
  <c r="V320" i="19"/>
  <c r="U320" i="19"/>
  <c r="T320" i="19"/>
  <c r="S320" i="19"/>
  <c r="V319" i="19"/>
  <c r="U319" i="19"/>
  <c r="T319" i="19"/>
  <c r="S319" i="19"/>
  <c r="V318" i="19"/>
  <c r="U318" i="19"/>
  <c r="T318" i="19"/>
  <c r="S318" i="19"/>
  <c r="V317" i="19"/>
  <c r="U317" i="19"/>
  <c r="T317" i="19"/>
  <c r="S317" i="19"/>
  <c r="V316" i="19"/>
  <c r="U316" i="19"/>
  <c r="T316" i="19"/>
  <c r="S316" i="19"/>
  <c r="V315" i="19"/>
  <c r="U315" i="19"/>
  <c r="T315" i="19"/>
  <c r="S315" i="19"/>
  <c r="V314" i="19"/>
  <c r="U314" i="19"/>
  <c r="T314" i="19"/>
  <c r="S314" i="19"/>
  <c r="V313" i="19"/>
  <c r="U313" i="19"/>
  <c r="T313" i="19"/>
  <c r="S313" i="19"/>
  <c r="V312" i="19"/>
  <c r="U312" i="19"/>
  <c r="T312" i="19"/>
  <c r="S312" i="19"/>
  <c r="V311" i="19"/>
  <c r="U311" i="19"/>
  <c r="T311" i="19"/>
  <c r="S311" i="19"/>
  <c r="V310" i="19"/>
  <c r="U310" i="19"/>
  <c r="T310" i="19"/>
  <c r="S310" i="19"/>
  <c r="V309" i="19"/>
  <c r="U309" i="19"/>
  <c r="T309" i="19"/>
  <c r="S309" i="19"/>
  <c r="V308" i="19"/>
  <c r="U308" i="19"/>
  <c r="T308" i="19"/>
  <c r="S308" i="19"/>
  <c r="V307" i="19"/>
  <c r="U307" i="19"/>
  <c r="T307" i="19"/>
  <c r="S307" i="19"/>
  <c r="V306" i="19"/>
  <c r="U306" i="19"/>
  <c r="T306" i="19"/>
  <c r="S306" i="19"/>
  <c r="V305" i="19"/>
  <c r="U305" i="19"/>
  <c r="T305" i="19"/>
  <c r="S305" i="19"/>
  <c r="V304" i="19"/>
  <c r="U304" i="19"/>
  <c r="T304" i="19"/>
  <c r="S304" i="19"/>
  <c r="V303" i="19"/>
  <c r="U303" i="19"/>
  <c r="T303" i="19"/>
  <c r="S303" i="19"/>
  <c r="V302" i="19"/>
  <c r="U302" i="19"/>
  <c r="T302" i="19"/>
  <c r="S302" i="19"/>
  <c r="V301" i="19"/>
  <c r="U301" i="19"/>
  <c r="T301" i="19"/>
  <c r="S301" i="19"/>
  <c r="V300" i="19"/>
  <c r="U300" i="19"/>
  <c r="T300" i="19"/>
  <c r="S300" i="19"/>
  <c r="V299" i="19"/>
  <c r="U299" i="19"/>
  <c r="T299" i="19"/>
  <c r="S299" i="19"/>
  <c r="V298" i="19"/>
  <c r="U298" i="19"/>
  <c r="T298" i="19"/>
  <c r="S298" i="19"/>
  <c r="V297" i="19"/>
  <c r="U297" i="19"/>
  <c r="T297" i="19"/>
  <c r="S297" i="19"/>
  <c r="V296" i="19"/>
  <c r="U296" i="19"/>
  <c r="T296" i="19"/>
  <c r="S296" i="19"/>
  <c r="V295" i="19"/>
  <c r="U295" i="19"/>
  <c r="T295" i="19"/>
  <c r="S295" i="19"/>
  <c r="V294" i="19"/>
  <c r="U294" i="19"/>
  <c r="T294" i="19"/>
  <c r="S294" i="19"/>
  <c r="V293" i="19"/>
  <c r="U293" i="19"/>
  <c r="T293" i="19"/>
  <c r="S293" i="19"/>
  <c r="V292" i="19"/>
  <c r="U292" i="19"/>
  <c r="T292" i="19"/>
  <c r="S292" i="19"/>
  <c r="V291" i="19"/>
  <c r="U291" i="19"/>
  <c r="T291" i="19"/>
  <c r="S291" i="19"/>
  <c r="V290" i="19"/>
  <c r="U290" i="19"/>
  <c r="T290" i="19"/>
  <c r="S290" i="19"/>
  <c r="V289" i="19"/>
  <c r="U289" i="19"/>
  <c r="T289" i="19"/>
  <c r="S289" i="19"/>
  <c r="V288" i="19"/>
  <c r="U288" i="19"/>
  <c r="T288" i="19"/>
  <c r="S288" i="19"/>
  <c r="V287" i="19"/>
  <c r="U287" i="19"/>
  <c r="T287" i="19"/>
  <c r="S287" i="19"/>
  <c r="V286" i="19"/>
  <c r="U286" i="19"/>
  <c r="T286" i="19"/>
  <c r="S286" i="19"/>
  <c r="V285" i="19"/>
  <c r="U285" i="19"/>
  <c r="T285" i="19"/>
  <c r="S285" i="19"/>
  <c r="V284" i="19"/>
  <c r="U284" i="19"/>
  <c r="T284" i="19"/>
  <c r="S284" i="19"/>
  <c r="V283" i="19"/>
  <c r="U283" i="19"/>
  <c r="T283" i="19"/>
  <c r="S283" i="19"/>
  <c r="V282" i="19"/>
  <c r="U282" i="19"/>
  <c r="T282" i="19"/>
  <c r="S282" i="19"/>
  <c r="V281" i="19"/>
  <c r="U281" i="19"/>
  <c r="T281" i="19"/>
  <c r="S281" i="19"/>
  <c r="V280" i="19"/>
  <c r="U280" i="19"/>
  <c r="T280" i="19"/>
  <c r="S280" i="19"/>
  <c r="V279" i="19"/>
  <c r="U279" i="19"/>
  <c r="T279" i="19"/>
  <c r="S279" i="19"/>
  <c r="V278" i="19"/>
  <c r="U278" i="19"/>
  <c r="T278" i="19"/>
  <c r="S278" i="19"/>
  <c r="V277" i="19"/>
  <c r="U277" i="19"/>
  <c r="T277" i="19"/>
  <c r="S277" i="19"/>
  <c r="V276" i="19"/>
  <c r="U276" i="19"/>
  <c r="T276" i="19"/>
  <c r="S276" i="19"/>
  <c r="V275" i="19"/>
  <c r="U275" i="19"/>
  <c r="T275" i="19"/>
  <c r="S275" i="19"/>
  <c r="V274" i="19"/>
  <c r="U274" i="19"/>
  <c r="T274" i="19"/>
  <c r="S274" i="19"/>
  <c r="V273" i="19"/>
  <c r="U273" i="19"/>
  <c r="T273" i="19"/>
  <c r="S273" i="19"/>
  <c r="V272" i="19"/>
  <c r="U272" i="19"/>
  <c r="T272" i="19"/>
  <c r="S272" i="19"/>
  <c r="V271" i="19"/>
  <c r="U271" i="19"/>
  <c r="T271" i="19"/>
  <c r="S271" i="19"/>
  <c r="V270" i="19"/>
  <c r="U270" i="19"/>
  <c r="T270" i="19"/>
  <c r="S270" i="19"/>
  <c r="V269" i="19"/>
  <c r="U269" i="19"/>
  <c r="T269" i="19"/>
  <c r="S269" i="19"/>
  <c r="V268" i="19"/>
  <c r="U268" i="19"/>
  <c r="T268" i="19"/>
  <c r="S268" i="19"/>
  <c r="V267" i="19"/>
  <c r="U267" i="19"/>
  <c r="T267" i="19"/>
  <c r="S267" i="19"/>
  <c r="V266" i="19"/>
  <c r="U266" i="19"/>
  <c r="T266" i="19"/>
  <c r="S266" i="19"/>
  <c r="V265" i="19"/>
  <c r="U265" i="19"/>
  <c r="T265" i="19"/>
  <c r="S265" i="19"/>
  <c r="V264" i="19"/>
  <c r="U264" i="19"/>
  <c r="T264" i="19"/>
  <c r="S264" i="19"/>
  <c r="V263" i="19"/>
  <c r="U263" i="19"/>
  <c r="T263" i="19"/>
  <c r="S263" i="19"/>
  <c r="V262" i="19"/>
  <c r="U262" i="19"/>
  <c r="T262" i="19"/>
  <c r="S262" i="19"/>
  <c r="V261" i="19"/>
  <c r="U261" i="19"/>
  <c r="T261" i="19"/>
  <c r="S261" i="19"/>
  <c r="V260" i="19"/>
  <c r="U260" i="19"/>
  <c r="T260" i="19"/>
  <c r="S260" i="19"/>
  <c r="V259" i="19"/>
  <c r="U259" i="19"/>
  <c r="T259" i="19"/>
  <c r="S259" i="19"/>
  <c r="V258" i="19"/>
  <c r="U258" i="19"/>
  <c r="T258" i="19"/>
  <c r="S258" i="19"/>
  <c r="V257" i="19"/>
  <c r="U257" i="19"/>
  <c r="T257" i="19"/>
  <c r="S257" i="19"/>
  <c r="V256" i="19"/>
  <c r="U256" i="19"/>
  <c r="T256" i="19"/>
  <c r="S256" i="19"/>
  <c r="V255" i="19"/>
  <c r="U255" i="19"/>
  <c r="T255" i="19"/>
  <c r="S255" i="19"/>
  <c r="V254" i="19"/>
  <c r="U254" i="19"/>
  <c r="T254" i="19"/>
  <c r="S254" i="19"/>
  <c r="V253" i="19"/>
  <c r="U253" i="19"/>
  <c r="T253" i="19"/>
  <c r="S253" i="19"/>
  <c r="V252" i="19"/>
  <c r="U252" i="19"/>
  <c r="T252" i="19"/>
  <c r="S252" i="19"/>
  <c r="V251" i="19"/>
  <c r="U251" i="19"/>
  <c r="T251" i="19"/>
  <c r="S251" i="19"/>
  <c r="V250" i="19"/>
  <c r="U250" i="19"/>
  <c r="T250" i="19"/>
  <c r="S250" i="19"/>
  <c r="V249" i="19"/>
  <c r="U249" i="19"/>
  <c r="T249" i="19"/>
  <c r="S249" i="19"/>
  <c r="V248" i="19"/>
  <c r="U248" i="19"/>
  <c r="T248" i="19"/>
  <c r="S248" i="19"/>
  <c r="V247" i="19"/>
  <c r="U247" i="19"/>
  <c r="T247" i="19"/>
  <c r="S247" i="19"/>
  <c r="V246" i="19"/>
  <c r="U246" i="19"/>
  <c r="T246" i="19"/>
  <c r="S246" i="19"/>
  <c r="V245" i="19"/>
  <c r="U245" i="19"/>
  <c r="T245" i="19"/>
  <c r="S245" i="19"/>
  <c r="V244" i="19"/>
  <c r="U244" i="19"/>
  <c r="T244" i="19"/>
  <c r="S244" i="19"/>
  <c r="V243" i="19"/>
  <c r="U243" i="19"/>
  <c r="T243" i="19"/>
  <c r="S243" i="19"/>
  <c r="V242" i="19"/>
  <c r="U242" i="19"/>
  <c r="T242" i="19"/>
  <c r="S242" i="19"/>
  <c r="V241" i="19"/>
  <c r="U241" i="19"/>
  <c r="T241" i="19"/>
  <c r="S241" i="19"/>
  <c r="V240" i="19"/>
  <c r="U240" i="19"/>
  <c r="T240" i="19"/>
  <c r="S240" i="19"/>
  <c r="V239" i="19"/>
  <c r="U239" i="19"/>
  <c r="T239" i="19"/>
  <c r="S239" i="19"/>
  <c r="V238" i="19"/>
  <c r="U238" i="19"/>
  <c r="T238" i="19"/>
  <c r="S238" i="19"/>
  <c r="V237" i="19"/>
  <c r="U237" i="19"/>
  <c r="T237" i="19"/>
  <c r="S237" i="19"/>
  <c r="V236" i="19"/>
  <c r="U236" i="19"/>
  <c r="T236" i="19"/>
  <c r="S236" i="19"/>
  <c r="V235" i="19"/>
  <c r="U235" i="19"/>
  <c r="T235" i="19"/>
  <c r="S235" i="19"/>
  <c r="V234" i="19"/>
  <c r="U234" i="19"/>
  <c r="T234" i="19"/>
  <c r="S234" i="19"/>
  <c r="V233" i="19"/>
  <c r="U233" i="19"/>
  <c r="T233" i="19"/>
  <c r="S233" i="19"/>
  <c r="V232" i="19"/>
  <c r="U232" i="19"/>
  <c r="T232" i="19"/>
  <c r="S232" i="19"/>
  <c r="V231" i="19"/>
  <c r="U231" i="19"/>
  <c r="T231" i="19"/>
  <c r="S231" i="19"/>
  <c r="V230" i="19"/>
  <c r="U230" i="19"/>
  <c r="T230" i="19"/>
  <c r="S230" i="19"/>
  <c r="V229" i="19"/>
  <c r="U229" i="19"/>
  <c r="T229" i="19"/>
  <c r="S229" i="19"/>
  <c r="V228" i="19"/>
  <c r="U228" i="19"/>
  <c r="T228" i="19"/>
  <c r="S228" i="19"/>
  <c r="V227" i="19"/>
  <c r="U227" i="19"/>
  <c r="T227" i="19"/>
  <c r="S227" i="19"/>
  <c r="V226" i="19"/>
  <c r="U226" i="19"/>
  <c r="T226" i="19"/>
  <c r="S226" i="19"/>
  <c r="V225" i="19"/>
  <c r="U225" i="19"/>
  <c r="T225" i="19"/>
  <c r="S225" i="19"/>
  <c r="V224" i="19"/>
  <c r="U224" i="19"/>
  <c r="T224" i="19"/>
  <c r="S224" i="19"/>
  <c r="V223" i="19"/>
  <c r="U223" i="19"/>
  <c r="T223" i="19"/>
  <c r="S223" i="19"/>
  <c r="V222" i="19"/>
  <c r="U222" i="19"/>
  <c r="T222" i="19"/>
  <c r="S222" i="19"/>
  <c r="V221" i="19"/>
  <c r="U221" i="19"/>
  <c r="T221" i="19"/>
  <c r="S221" i="19"/>
  <c r="V220" i="19"/>
  <c r="U220" i="19"/>
  <c r="T220" i="19"/>
  <c r="S220" i="19"/>
  <c r="V219" i="19"/>
  <c r="U219" i="19"/>
  <c r="T219" i="19"/>
  <c r="S219" i="19"/>
  <c r="V218" i="19"/>
  <c r="U218" i="19"/>
  <c r="T218" i="19"/>
  <c r="S218" i="19"/>
  <c r="V217" i="19"/>
  <c r="U217" i="19"/>
  <c r="T217" i="19"/>
  <c r="S217" i="19"/>
  <c r="V216" i="19"/>
  <c r="U216" i="19"/>
  <c r="T216" i="19"/>
  <c r="S216" i="19"/>
  <c r="V215" i="19"/>
  <c r="U215" i="19"/>
  <c r="T215" i="19"/>
  <c r="S215" i="19"/>
  <c r="V214" i="19"/>
  <c r="U214" i="19"/>
  <c r="T214" i="19"/>
  <c r="S214" i="19"/>
  <c r="V213" i="19"/>
  <c r="U213" i="19"/>
  <c r="T213" i="19"/>
  <c r="S213" i="19"/>
  <c r="V212" i="19"/>
  <c r="U212" i="19"/>
  <c r="T212" i="19"/>
  <c r="S212" i="19"/>
  <c r="V211" i="19"/>
  <c r="U211" i="19"/>
  <c r="T211" i="19"/>
  <c r="S211" i="19"/>
  <c r="V210" i="19"/>
  <c r="U210" i="19"/>
  <c r="T210" i="19"/>
  <c r="S210" i="19"/>
  <c r="V209" i="19"/>
  <c r="U209" i="19"/>
  <c r="T209" i="19"/>
  <c r="S209" i="19"/>
  <c r="V208" i="19"/>
  <c r="U208" i="19"/>
  <c r="T208" i="19"/>
  <c r="S208" i="19"/>
  <c r="V207" i="19"/>
  <c r="U207" i="19"/>
  <c r="T207" i="19"/>
  <c r="S207" i="19"/>
  <c r="V206" i="19"/>
  <c r="U206" i="19"/>
  <c r="T206" i="19"/>
  <c r="S206" i="19"/>
  <c r="V205" i="19"/>
  <c r="U205" i="19"/>
  <c r="T205" i="19"/>
  <c r="S205" i="19"/>
  <c r="V204" i="19"/>
  <c r="U204" i="19"/>
  <c r="T204" i="19"/>
  <c r="S204" i="19"/>
  <c r="V203" i="19"/>
  <c r="U203" i="19"/>
  <c r="T203" i="19"/>
  <c r="S203" i="19"/>
  <c r="V202" i="19"/>
  <c r="U202" i="19"/>
  <c r="T202" i="19"/>
  <c r="S202" i="19"/>
  <c r="V201" i="19"/>
  <c r="U201" i="19"/>
  <c r="T201" i="19"/>
  <c r="S201" i="19"/>
  <c r="V200" i="19"/>
  <c r="U200" i="19"/>
  <c r="T200" i="19"/>
  <c r="S200" i="19"/>
  <c r="V199" i="19"/>
  <c r="U199" i="19"/>
  <c r="T199" i="19"/>
  <c r="S199" i="19"/>
  <c r="V198" i="19"/>
  <c r="U198" i="19"/>
  <c r="T198" i="19"/>
  <c r="S198" i="19"/>
  <c r="V197" i="19"/>
  <c r="U197" i="19"/>
  <c r="T197" i="19"/>
  <c r="S197" i="19"/>
  <c r="V196" i="19"/>
  <c r="U196" i="19"/>
  <c r="T196" i="19"/>
  <c r="S196" i="19"/>
  <c r="V195" i="19"/>
  <c r="U195" i="19"/>
  <c r="T195" i="19"/>
  <c r="S195" i="19"/>
  <c r="V194" i="19"/>
  <c r="U194" i="19"/>
  <c r="T194" i="19"/>
  <c r="S194" i="19"/>
  <c r="V193" i="19"/>
  <c r="U193" i="19"/>
  <c r="T193" i="19"/>
  <c r="S193" i="19"/>
  <c r="V192" i="19"/>
  <c r="U192" i="19"/>
  <c r="T192" i="19"/>
  <c r="S192" i="19"/>
  <c r="V191" i="19"/>
  <c r="U191" i="19"/>
  <c r="T191" i="19"/>
  <c r="S191" i="19"/>
  <c r="V190" i="19"/>
  <c r="U190" i="19"/>
  <c r="T190" i="19"/>
  <c r="S190" i="19"/>
  <c r="V189" i="19"/>
  <c r="U189" i="19"/>
  <c r="T189" i="19"/>
  <c r="S189" i="19"/>
  <c r="V188" i="19"/>
  <c r="U188" i="19"/>
  <c r="T188" i="19"/>
  <c r="S188" i="19"/>
  <c r="V187" i="19"/>
  <c r="U187" i="19"/>
  <c r="T187" i="19"/>
  <c r="S187" i="19"/>
  <c r="V186" i="19"/>
  <c r="U186" i="19"/>
  <c r="T186" i="19"/>
  <c r="S186" i="19"/>
  <c r="V185" i="19"/>
  <c r="U185" i="19"/>
  <c r="T185" i="19"/>
  <c r="S185" i="19"/>
  <c r="V184" i="19"/>
  <c r="U184" i="19"/>
  <c r="T184" i="19"/>
  <c r="S184" i="19"/>
  <c r="V183" i="19"/>
  <c r="U183" i="19"/>
  <c r="T183" i="19"/>
  <c r="S183" i="19"/>
  <c r="V182" i="19"/>
  <c r="U182" i="19"/>
  <c r="T182" i="19"/>
  <c r="S182" i="19"/>
  <c r="V181" i="19"/>
  <c r="U181" i="19"/>
  <c r="T181" i="19"/>
  <c r="S181" i="19"/>
  <c r="V180" i="19"/>
  <c r="U180" i="19"/>
  <c r="T180" i="19"/>
  <c r="S180" i="19"/>
  <c r="V179" i="19"/>
  <c r="U179" i="19"/>
  <c r="T179" i="19"/>
  <c r="S179" i="19"/>
  <c r="V178" i="19"/>
  <c r="U178" i="19"/>
  <c r="T178" i="19"/>
  <c r="S178" i="19"/>
  <c r="V177" i="19"/>
  <c r="U177" i="19"/>
  <c r="T177" i="19"/>
  <c r="S177" i="19"/>
  <c r="V176" i="19"/>
  <c r="U176" i="19"/>
  <c r="T176" i="19"/>
  <c r="S176" i="19"/>
  <c r="V175" i="19"/>
  <c r="U175" i="19"/>
  <c r="T175" i="19"/>
  <c r="S175" i="19"/>
  <c r="V174" i="19"/>
  <c r="U174" i="19"/>
  <c r="T174" i="19"/>
  <c r="S174" i="19"/>
  <c r="V173" i="19"/>
  <c r="U173" i="19"/>
  <c r="T173" i="19"/>
  <c r="S173" i="19"/>
  <c r="V172" i="19"/>
  <c r="U172" i="19"/>
  <c r="T172" i="19"/>
  <c r="S172" i="19"/>
  <c r="V171" i="19"/>
  <c r="U171" i="19"/>
  <c r="T171" i="19"/>
  <c r="S171" i="19"/>
  <c r="V170" i="19"/>
  <c r="U170" i="19"/>
  <c r="T170" i="19"/>
  <c r="S170" i="19"/>
  <c r="V169" i="19"/>
  <c r="U169" i="19"/>
  <c r="T169" i="19"/>
  <c r="S169" i="19"/>
  <c r="V168" i="19"/>
  <c r="U168" i="19"/>
  <c r="T168" i="19"/>
  <c r="S168" i="19"/>
  <c r="V167" i="19"/>
  <c r="U167" i="19"/>
  <c r="T167" i="19"/>
  <c r="S167" i="19"/>
  <c r="V166" i="19"/>
  <c r="U166" i="19"/>
  <c r="T166" i="19"/>
  <c r="S166" i="19"/>
  <c r="V165" i="19"/>
  <c r="U165" i="19"/>
  <c r="T165" i="19"/>
  <c r="S165" i="19"/>
  <c r="V164" i="19"/>
  <c r="U164" i="19"/>
  <c r="T164" i="19"/>
  <c r="S164" i="19"/>
  <c r="V163" i="19"/>
  <c r="U163" i="19"/>
  <c r="T163" i="19"/>
  <c r="S163" i="19"/>
  <c r="V162" i="19"/>
  <c r="U162" i="19"/>
  <c r="T162" i="19"/>
  <c r="S162" i="19"/>
  <c r="V161" i="19"/>
  <c r="U161" i="19"/>
  <c r="T161" i="19"/>
  <c r="S161" i="19"/>
  <c r="V160" i="19"/>
  <c r="U160" i="19"/>
  <c r="T160" i="19"/>
  <c r="S160" i="19"/>
  <c r="V159" i="19"/>
  <c r="U159" i="19"/>
  <c r="T159" i="19"/>
  <c r="S159" i="19"/>
  <c r="V158" i="19"/>
  <c r="U158" i="19"/>
  <c r="T158" i="19"/>
  <c r="S158" i="19"/>
  <c r="V157" i="19"/>
  <c r="U157" i="19"/>
  <c r="T157" i="19"/>
  <c r="S157" i="19"/>
  <c r="V156" i="19"/>
  <c r="U156" i="19"/>
  <c r="T156" i="19"/>
  <c r="S156" i="19"/>
  <c r="V155" i="19"/>
  <c r="U155" i="19"/>
  <c r="T155" i="19"/>
  <c r="S155" i="19"/>
  <c r="V154" i="19"/>
  <c r="U154" i="19"/>
  <c r="T154" i="19"/>
  <c r="S154" i="19"/>
  <c r="V153" i="19"/>
  <c r="U153" i="19"/>
  <c r="T153" i="19"/>
  <c r="S153" i="19"/>
  <c r="V152" i="19"/>
  <c r="U152" i="19"/>
  <c r="T152" i="19"/>
  <c r="S152" i="19"/>
  <c r="V151" i="19"/>
  <c r="U151" i="19"/>
  <c r="T151" i="19"/>
  <c r="S151" i="19"/>
  <c r="V150" i="19"/>
  <c r="U150" i="19"/>
  <c r="T150" i="19"/>
  <c r="S150" i="19"/>
  <c r="V149" i="19"/>
  <c r="U149" i="19"/>
  <c r="T149" i="19"/>
  <c r="S149" i="19"/>
  <c r="V148" i="19"/>
  <c r="U148" i="19"/>
  <c r="T148" i="19"/>
  <c r="S148" i="19"/>
  <c r="V147" i="19"/>
  <c r="U147" i="19"/>
  <c r="T147" i="19"/>
  <c r="S147" i="19"/>
  <c r="V146" i="19"/>
  <c r="U146" i="19"/>
  <c r="T146" i="19"/>
  <c r="S146" i="19"/>
  <c r="V145" i="19"/>
  <c r="U145" i="19"/>
  <c r="T145" i="19"/>
  <c r="S145" i="19"/>
  <c r="V144" i="19"/>
  <c r="U144" i="19"/>
  <c r="T144" i="19"/>
  <c r="S144" i="19"/>
  <c r="V143" i="19"/>
  <c r="U143" i="19"/>
  <c r="T143" i="19"/>
  <c r="S143" i="19"/>
  <c r="V142" i="19"/>
  <c r="U142" i="19"/>
  <c r="T142" i="19"/>
  <c r="S142" i="19"/>
  <c r="V141" i="19"/>
  <c r="U141" i="19"/>
  <c r="T141" i="19"/>
  <c r="S141" i="19"/>
  <c r="V140" i="19"/>
  <c r="U140" i="19"/>
  <c r="T140" i="19"/>
  <c r="S140" i="19"/>
  <c r="V139" i="19"/>
  <c r="U139" i="19"/>
  <c r="T139" i="19"/>
  <c r="S139" i="19"/>
  <c r="V138" i="19"/>
  <c r="U138" i="19"/>
  <c r="T138" i="19"/>
  <c r="S138" i="19"/>
  <c r="V137" i="19"/>
  <c r="U137" i="19"/>
  <c r="T137" i="19"/>
  <c r="S137" i="19"/>
  <c r="V136" i="19"/>
  <c r="U136" i="19"/>
  <c r="T136" i="19"/>
  <c r="S136" i="19"/>
  <c r="T67" i="19"/>
  <c r="S67" i="19"/>
  <c r="V66" i="19"/>
  <c r="U66" i="19"/>
  <c r="T66" i="19"/>
  <c r="S66" i="19"/>
  <c r="V65" i="19"/>
  <c r="U65" i="19"/>
  <c r="T65" i="19"/>
  <c r="S65" i="19"/>
  <c r="V64" i="19"/>
  <c r="U64" i="19"/>
  <c r="T64" i="19"/>
  <c r="S64" i="19"/>
  <c r="V63" i="19"/>
  <c r="U63" i="19"/>
  <c r="T63" i="19"/>
  <c r="S63" i="19"/>
  <c r="V62" i="19"/>
  <c r="U62" i="19"/>
  <c r="T62" i="19"/>
  <c r="S62" i="19"/>
  <c r="V61" i="19"/>
  <c r="U61" i="19"/>
  <c r="T61" i="19"/>
  <c r="S61" i="19"/>
  <c r="V60" i="19"/>
  <c r="T60" i="19"/>
  <c r="S60" i="19"/>
  <c r="U59" i="19"/>
  <c r="T59" i="19"/>
  <c r="V58" i="19"/>
  <c r="U58" i="19"/>
  <c r="T58" i="19"/>
  <c r="U57" i="19"/>
  <c r="T57" i="19"/>
  <c r="U56" i="19"/>
  <c r="T56" i="19"/>
  <c r="U55" i="19"/>
  <c r="S55" i="19"/>
  <c r="V54" i="19"/>
  <c r="U54" i="19"/>
  <c r="S54" i="19"/>
  <c r="V53" i="19"/>
  <c r="U53" i="19"/>
  <c r="T53" i="19"/>
  <c r="S53" i="19"/>
  <c r="T52" i="19"/>
  <c r="S52" i="19"/>
  <c r="V51" i="19"/>
  <c r="T51" i="19"/>
  <c r="V50" i="19"/>
  <c r="U50" i="19"/>
  <c r="S50" i="19"/>
  <c r="U49" i="19"/>
  <c r="S49" i="19"/>
  <c r="V48" i="19"/>
  <c r="T48" i="19"/>
  <c r="U47" i="19"/>
  <c r="V46" i="19"/>
  <c r="U46" i="19"/>
  <c r="S46" i="19"/>
  <c r="V45" i="19"/>
  <c r="T45" i="19"/>
  <c r="U44" i="19"/>
  <c r="S44" i="19"/>
  <c r="V43" i="19"/>
  <c r="U43" i="19"/>
  <c r="S43" i="19"/>
  <c r="V42" i="19"/>
  <c r="U42" i="19"/>
  <c r="S42" i="19"/>
  <c r="V41" i="19"/>
  <c r="S41" i="19"/>
  <c r="U40" i="19"/>
  <c r="S40" i="19"/>
  <c r="V39" i="19"/>
  <c r="S39" i="19"/>
  <c r="V38" i="19"/>
  <c r="U38" i="19"/>
  <c r="S38" i="19"/>
  <c r="V36" i="19"/>
  <c r="T36" i="19"/>
  <c r="T35" i="19"/>
  <c r="U34" i="19"/>
  <c r="S34" i="19"/>
  <c r="V33" i="19"/>
  <c r="U33" i="19"/>
  <c r="T33" i="19"/>
  <c r="V32" i="19"/>
  <c r="U31" i="19"/>
  <c r="T31" i="19"/>
  <c r="U30" i="19"/>
  <c r="S30" i="19"/>
  <c r="V29" i="19"/>
  <c r="T29" i="19"/>
  <c r="T28" i="19"/>
  <c r="U27" i="19"/>
  <c r="S27" i="19"/>
  <c r="V26" i="19"/>
  <c r="U25" i="19"/>
  <c r="S25" i="19"/>
  <c r="V24" i="19"/>
  <c r="T24" i="19"/>
  <c r="U23" i="19"/>
  <c r="S23" i="19"/>
  <c r="V22" i="19"/>
  <c r="U22" i="19"/>
  <c r="S22" i="19"/>
  <c r="V21" i="19"/>
  <c r="T21" i="19"/>
  <c r="S21" i="19"/>
  <c r="V20" i="19"/>
  <c r="T20" i="19"/>
  <c r="U19" i="19"/>
  <c r="V18" i="19"/>
  <c r="U18" i="19"/>
  <c r="T18" i="19"/>
  <c r="S18" i="19"/>
  <c r="T17" i="19"/>
  <c r="U16" i="19"/>
  <c r="S16" i="19"/>
  <c r="U15" i="19"/>
  <c r="T15" i="19"/>
  <c r="U14" i="19"/>
  <c r="U13" i="19"/>
  <c r="S13" i="19"/>
  <c r="V12" i="19"/>
  <c r="T12" i="19"/>
  <c r="V10" i="19"/>
  <c r="U10" i="19"/>
  <c r="T10" i="19"/>
  <c r="S10" i="19"/>
  <c r="V9" i="19"/>
  <c r="U9" i="19"/>
  <c r="S9" i="19"/>
  <c r="U8" i="19"/>
  <c r="S8" i="19"/>
  <c r="V7" i="19"/>
  <c r="U7" i="19"/>
  <c r="T7" i="19"/>
  <c r="S7" i="19"/>
  <c r="V6" i="19"/>
  <c r="T6" i="19"/>
  <c r="S6" i="19"/>
  <c r="V5" i="19"/>
  <c r="T5" i="19"/>
  <c r="T4" i="19"/>
  <c r="V3" i="19"/>
  <c r="U3" i="19"/>
  <c r="S3" i="19"/>
  <c r="U2" i="19"/>
  <c r="S2" i="19"/>
  <c r="V135" i="19"/>
  <c r="U135" i="19"/>
  <c r="T135" i="19"/>
  <c r="S135" i="19"/>
  <c r="V134" i="19"/>
  <c r="U134" i="19"/>
  <c r="T134" i="19"/>
  <c r="S134" i="19"/>
  <c r="V133" i="19"/>
  <c r="U133" i="19"/>
  <c r="T133" i="19"/>
  <c r="S133" i="19"/>
  <c r="V132" i="19"/>
  <c r="U132" i="19"/>
  <c r="T132" i="19"/>
  <c r="S132" i="19"/>
  <c r="V131" i="19"/>
  <c r="U131" i="19"/>
  <c r="T131" i="19"/>
  <c r="S131" i="19"/>
  <c r="V130" i="19"/>
  <c r="U130" i="19"/>
  <c r="T130" i="19"/>
  <c r="S130" i="19"/>
  <c r="V129" i="19"/>
  <c r="U129" i="19"/>
  <c r="T129" i="19"/>
  <c r="S129" i="19"/>
  <c r="V128" i="19"/>
  <c r="U128" i="19"/>
  <c r="T128" i="19"/>
  <c r="S128" i="19"/>
  <c r="V127" i="19"/>
  <c r="U127" i="19"/>
  <c r="T127" i="19"/>
  <c r="S127" i="19"/>
  <c r="V126" i="19"/>
  <c r="U126" i="19"/>
  <c r="T126" i="19"/>
  <c r="S126" i="19"/>
  <c r="V125" i="19"/>
  <c r="U125" i="19"/>
  <c r="T125" i="19"/>
  <c r="S125" i="19"/>
  <c r="V124" i="19"/>
  <c r="U124" i="19"/>
  <c r="T124" i="19"/>
  <c r="S124" i="19"/>
  <c r="V123" i="19"/>
  <c r="U123" i="19"/>
  <c r="T123" i="19"/>
  <c r="S123" i="19"/>
  <c r="V122" i="19"/>
  <c r="U122" i="19"/>
  <c r="T122" i="19"/>
  <c r="S122" i="19"/>
  <c r="V121" i="19"/>
  <c r="U121" i="19"/>
  <c r="T121" i="19"/>
  <c r="S121" i="19"/>
  <c r="V120" i="19"/>
  <c r="U120" i="19"/>
  <c r="T120" i="19"/>
  <c r="S120" i="19"/>
  <c r="V119" i="19"/>
  <c r="U119" i="19"/>
  <c r="T119" i="19"/>
  <c r="S119" i="19"/>
  <c r="V118" i="19"/>
  <c r="U118" i="19"/>
  <c r="T118" i="19"/>
  <c r="S118" i="19"/>
  <c r="V117" i="19"/>
  <c r="U117" i="19"/>
  <c r="T117" i="19"/>
  <c r="S117" i="19"/>
  <c r="V116" i="19"/>
  <c r="U116" i="19"/>
  <c r="T116" i="19"/>
  <c r="S116" i="19"/>
  <c r="V115" i="19"/>
  <c r="U115" i="19"/>
  <c r="T115" i="19"/>
  <c r="S115" i="19"/>
  <c r="V114" i="19"/>
  <c r="U114" i="19"/>
  <c r="T114" i="19"/>
  <c r="S114" i="19"/>
  <c r="V113" i="19"/>
  <c r="U113" i="19"/>
  <c r="T113" i="19"/>
  <c r="S113" i="19"/>
  <c r="V112" i="19"/>
  <c r="U112" i="19"/>
  <c r="T112" i="19"/>
  <c r="S112" i="19"/>
  <c r="V111" i="19"/>
  <c r="U111" i="19"/>
  <c r="T111" i="19"/>
  <c r="S111" i="19"/>
  <c r="V110" i="19"/>
  <c r="U110" i="19"/>
  <c r="T110" i="19"/>
  <c r="S110" i="19"/>
  <c r="V109" i="19"/>
  <c r="U109" i="19"/>
  <c r="T109" i="19"/>
  <c r="S109" i="19"/>
  <c r="V108" i="19"/>
  <c r="U108" i="19"/>
  <c r="T108" i="19"/>
  <c r="S108" i="19"/>
  <c r="V107" i="19"/>
  <c r="U107" i="19"/>
  <c r="T107" i="19"/>
  <c r="S107" i="19"/>
  <c r="V106" i="19"/>
  <c r="U106" i="19"/>
  <c r="T106" i="19"/>
  <c r="S106" i="19"/>
  <c r="V105" i="19"/>
  <c r="U105" i="19"/>
  <c r="T105" i="19"/>
  <c r="S105" i="19"/>
  <c r="V104" i="19"/>
  <c r="U104" i="19"/>
  <c r="T104" i="19"/>
  <c r="S104" i="19"/>
  <c r="V103" i="19"/>
  <c r="U103" i="19"/>
  <c r="T103" i="19"/>
  <c r="S103" i="19"/>
  <c r="V102" i="19"/>
  <c r="U102" i="19"/>
  <c r="T102" i="19"/>
  <c r="S102" i="19"/>
  <c r="V101" i="19"/>
  <c r="U101" i="19"/>
  <c r="T101" i="19"/>
  <c r="S101" i="19"/>
  <c r="V100" i="19"/>
  <c r="U100" i="19"/>
  <c r="T100" i="19"/>
  <c r="S100" i="19"/>
  <c r="V99" i="19"/>
  <c r="U99" i="19"/>
  <c r="T99" i="19"/>
  <c r="S99" i="19"/>
  <c r="V98" i="19"/>
  <c r="U98" i="19"/>
  <c r="T98" i="19"/>
  <c r="S98" i="19"/>
  <c r="V97" i="19"/>
  <c r="U97" i="19"/>
  <c r="T97" i="19"/>
  <c r="S97" i="19"/>
  <c r="V96" i="19"/>
  <c r="U96" i="19"/>
  <c r="T96" i="19"/>
  <c r="S96" i="19"/>
  <c r="V95" i="19"/>
  <c r="U95" i="19"/>
  <c r="T95" i="19"/>
  <c r="S95" i="19"/>
  <c r="V94" i="19"/>
  <c r="U94" i="19"/>
  <c r="T94" i="19"/>
  <c r="S94" i="19"/>
  <c r="V93" i="19"/>
  <c r="U93" i="19"/>
  <c r="T93" i="19"/>
  <c r="S93" i="19"/>
  <c r="V92" i="19"/>
  <c r="U92" i="19"/>
  <c r="T92" i="19"/>
  <c r="S92" i="19"/>
  <c r="V91" i="19"/>
  <c r="U91" i="19"/>
  <c r="T91" i="19"/>
  <c r="S91" i="19"/>
  <c r="V90" i="19"/>
  <c r="U90" i="19"/>
  <c r="T90" i="19"/>
  <c r="S90" i="19"/>
  <c r="V89" i="19"/>
  <c r="U89" i="19"/>
  <c r="T89" i="19"/>
  <c r="S89" i="19"/>
  <c r="V88" i="19"/>
  <c r="U88" i="19"/>
  <c r="T88" i="19"/>
  <c r="S88" i="19"/>
  <c r="V87" i="19"/>
  <c r="U87" i="19"/>
  <c r="T87" i="19"/>
  <c r="S87" i="19"/>
  <c r="V86" i="19"/>
  <c r="U86" i="19"/>
  <c r="T86" i="19"/>
  <c r="S86" i="19"/>
  <c r="V85" i="19"/>
  <c r="U85" i="19"/>
  <c r="T85" i="19"/>
  <c r="S85" i="19"/>
  <c r="V84" i="19"/>
  <c r="U84" i="19"/>
  <c r="T84" i="19"/>
  <c r="S84" i="19"/>
  <c r="V83" i="19"/>
  <c r="U83" i="19"/>
  <c r="T83" i="19"/>
  <c r="S83" i="19"/>
  <c r="V82" i="19"/>
  <c r="U82" i="19"/>
  <c r="T82" i="19"/>
  <c r="S82" i="19"/>
  <c r="V81" i="19"/>
  <c r="U81" i="19"/>
  <c r="T81" i="19"/>
  <c r="S81" i="19"/>
  <c r="V80" i="19"/>
  <c r="U80" i="19"/>
  <c r="T80" i="19"/>
  <c r="S80" i="19"/>
  <c r="V79" i="19"/>
  <c r="U79" i="19"/>
  <c r="T79" i="19"/>
  <c r="S79" i="19"/>
  <c r="V78" i="19"/>
  <c r="U78" i="19"/>
  <c r="T78" i="19"/>
  <c r="S78" i="19"/>
  <c r="V77" i="19"/>
  <c r="U77" i="19"/>
  <c r="T77" i="19"/>
  <c r="S77" i="19"/>
  <c r="V76" i="19"/>
  <c r="U76" i="19"/>
  <c r="T76" i="19"/>
  <c r="S76" i="19"/>
  <c r="V75" i="19"/>
  <c r="U75" i="19"/>
  <c r="T75" i="19"/>
  <c r="S75" i="19"/>
  <c r="V74" i="19"/>
  <c r="U74" i="19"/>
  <c r="T74" i="19"/>
  <c r="S74" i="19"/>
  <c r="V73" i="19"/>
  <c r="U73" i="19"/>
  <c r="T73" i="19"/>
  <c r="S73" i="19"/>
  <c r="V72" i="19"/>
  <c r="U72" i="19"/>
  <c r="T72" i="19"/>
  <c r="S72" i="19"/>
  <c r="V71" i="19"/>
  <c r="U71" i="19"/>
  <c r="T71" i="19"/>
  <c r="S71" i="19"/>
  <c r="V70" i="19"/>
  <c r="U70" i="19"/>
  <c r="T70" i="19"/>
  <c r="S70" i="19"/>
  <c r="V69" i="19"/>
  <c r="U69" i="19"/>
  <c r="T69" i="19"/>
  <c r="S69" i="19"/>
  <c r="V68" i="19"/>
  <c r="U68" i="19"/>
  <c r="T68" i="19"/>
  <c r="S68" i="19"/>
  <c r="V67" i="19"/>
  <c r="U67" i="19"/>
  <c r="U60" i="19"/>
  <c r="V59" i="19"/>
  <c r="S59" i="19"/>
  <c r="S58" i="19"/>
  <c r="V57" i="19"/>
  <c r="S57" i="19"/>
  <c r="V56" i="19"/>
  <c r="S56" i="19"/>
  <c r="V55" i="19"/>
  <c r="T55" i="19"/>
  <c r="T54" i="19"/>
  <c r="V52" i="19"/>
  <c r="U52" i="19"/>
  <c r="U51" i="19"/>
  <c r="S51" i="19"/>
  <c r="T50" i="19"/>
  <c r="V49" i="19"/>
  <c r="T49" i="19"/>
  <c r="U48" i="19"/>
  <c r="S48" i="19"/>
  <c r="V47" i="19"/>
  <c r="T47" i="19"/>
  <c r="S47" i="19"/>
  <c r="T46" i="19"/>
  <c r="U45" i="19"/>
  <c r="S45" i="19"/>
  <c r="V44" i="19"/>
  <c r="T44" i="19"/>
  <c r="T43" i="19"/>
  <c r="T42" i="19"/>
  <c r="U41" i="19"/>
  <c r="T41" i="19"/>
  <c r="V40" i="19"/>
  <c r="T40" i="19"/>
  <c r="U39" i="19"/>
  <c r="T39" i="19"/>
  <c r="T38" i="19"/>
  <c r="V37" i="19"/>
  <c r="U37" i="19"/>
  <c r="T37" i="19"/>
  <c r="S37" i="19"/>
  <c r="U36" i="19"/>
  <c r="S36" i="19"/>
  <c r="V35" i="19"/>
  <c r="U35" i="19"/>
  <c r="S35" i="19"/>
  <c r="V34" i="19"/>
  <c r="T34" i="19"/>
  <c r="S33" i="19"/>
  <c r="U32" i="19"/>
  <c r="T32" i="19"/>
  <c r="S32" i="19"/>
  <c r="V31" i="19"/>
  <c r="S31" i="19"/>
  <c r="V30" i="19"/>
  <c r="T30" i="19"/>
  <c r="U29" i="19"/>
  <c r="S29" i="19"/>
  <c r="V28" i="19"/>
  <c r="U28" i="19"/>
  <c r="S28" i="19"/>
  <c r="V27" i="19"/>
  <c r="T27" i="19"/>
  <c r="U26" i="19"/>
  <c r="T26" i="19"/>
  <c r="S26" i="19"/>
  <c r="V25" i="19"/>
  <c r="T25" i="19"/>
  <c r="U24" i="19"/>
  <c r="S24" i="19"/>
  <c r="V23" i="19"/>
  <c r="T23" i="19"/>
  <c r="T22" i="19"/>
  <c r="U21" i="19"/>
  <c r="U20" i="19"/>
  <c r="S20" i="19"/>
  <c r="V19" i="19"/>
  <c r="T19" i="19"/>
  <c r="S19" i="19"/>
  <c r="V17" i="19"/>
  <c r="U17" i="19"/>
  <c r="S17" i="19"/>
  <c r="V16" i="19"/>
  <c r="T16" i="19"/>
  <c r="V15" i="19"/>
  <c r="S15" i="19"/>
  <c r="V14" i="19"/>
  <c r="T14" i="19"/>
  <c r="S14" i="19"/>
  <c r="V13" i="19"/>
  <c r="T13" i="19"/>
  <c r="U12" i="19"/>
  <c r="S12" i="19"/>
  <c r="V11" i="19"/>
  <c r="U11" i="19"/>
  <c r="T11" i="19"/>
  <c r="S11" i="19"/>
  <c r="T9" i="19"/>
  <c r="V8" i="19"/>
  <c r="T8" i="19"/>
  <c r="U6" i="19"/>
  <c r="U5" i="19"/>
  <c r="S5" i="19"/>
  <c r="V4" i="19"/>
  <c r="U4" i="19"/>
  <c r="S4" i="19"/>
  <c r="T3" i="19"/>
  <c r="V2" i="19"/>
  <c r="T2" i="19"/>
  <c r="T891" i="19"/>
  <c r="S891" i="19"/>
  <c r="V890" i="19"/>
  <c r="U890" i="19"/>
  <c r="T890" i="19"/>
  <c r="S890" i="19"/>
  <c r="V889" i="19"/>
  <c r="U889" i="19"/>
  <c r="T889" i="19"/>
  <c r="S889" i="19"/>
  <c r="V888" i="19"/>
  <c r="U888" i="19"/>
  <c r="T888" i="19"/>
  <c r="S888" i="19"/>
  <c r="V887" i="19"/>
  <c r="U887" i="19"/>
  <c r="T887" i="19"/>
  <c r="S887" i="19"/>
  <c r="V886" i="19"/>
  <c r="U886" i="19"/>
  <c r="T886" i="19"/>
  <c r="S886" i="19"/>
  <c r="V885" i="19"/>
  <c r="U885" i="19"/>
  <c r="T885" i="19"/>
  <c r="S885" i="19"/>
  <c r="V884" i="19"/>
  <c r="U884" i="19"/>
  <c r="T884" i="19"/>
  <c r="S884" i="19"/>
  <c r="V883" i="19"/>
  <c r="U883" i="19"/>
  <c r="T883" i="19"/>
  <c r="S883" i="19"/>
  <c r="V882" i="19"/>
  <c r="U882" i="19"/>
  <c r="T882" i="19"/>
  <c r="S882" i="19"/>
  <c r="V881" i="19"/>
  <c r="U881" i="19"/>
  <c r="T881" i="19"/>
  <c r="S881" i="19"/>
  <c r="V880" i="19"/>
  <c r="U880" i="19"/>
  <c r="T880" i="19"/>
  <c r="S880" i="19"/>
  <c r="V879" i="19"/>
  <c r="U879" i="19"/>
  <c r="T879" i="19"/>
  <c r="S879" i="19"/>
  <c r="V878" i="19"/>
  <c r="U878" i="19"/>
  <c r="T878" i="19"/>
  <c r="S878" i="19"/>
  <c r="V877" i="19"/>
  <c r="U877" i="19"/>
  <c r="T877" i="19"/>
  <c r="S877" i="19"/>
  <c r="V876" i="19"/>
  <c r="U876" i="19"/>
  <c r="T876" i="19"/>
  <c r="S876" i="19"/>
  <c r="V875" i="19"/>
  <c r="U875" i="19"/>
  <c r="T875" i="19"/>
  <c r="S875" i="19"/>
  <c r="V874" i="19"/>
  <c r="U874" i="19"/>
  <c r="T874" i="19"/>
  <c r="S874" i="19"/>
  <c r="V873" i="19"/>
  <c r="U873" i="19"/>
  <c r="T873" i="19"/>
  <c r="S873" i="19"/>
  <c r="V872" i="19"/>
  <c r="U872" i="19"/>
  <c r="T872" i="19"/>
  <c r="S872" i="19"/>
  <c r="V871" i="19"/>
  <c r="U871" i="19"/>
  <c r="T871" i="19"/>
  <c r="S871" i="19"/>
  <c r="V870" i="19"/>
  <c r="U870" i="19"/>
  <c r="T870" i="19"/>
  <c r="S870" i="19"/>
  <c r="V869" i="19"/>
  <c r="U869" i="19"/>
  <c r="T869" i="19"/>
  <c r="S869" i="19"/>
  <c r="V868" i="19"/>
  <c r="U868" i="19"/>
  <c r="T868" i="19"/>
  <c r="S868" i="19"/>
  <c r="V867" i="19"/>
  <c r="U867" i="19"/>
  <c r="T867" i="19"/>
  <c r="S867" i="19"/>
  <c r="V866" i="19"/>
  <c r="U866" i="19"/>
  <c r="T866" i="19"/>
  <c r="S866" i="19"/>
  <c r="V865" i="19"/>
  <c r="U865" i="19"/>
  <c r="T865" i="19"/>
  <c r="S865" i="19"/>
  <c r="V864" i="19"/>
  <c r="U864" i="19"/>
  <c r="T864" i="19"/>
  <c r="S864" i="19"/>
  <c r="V863" i="19"/>
  <c r="U863" i="19"/>
  <c r="T863" i="19"/>
  <c r="S863" i="19"/>
  <c r="V862" i="19"/>
  <c r="U862" i="19"/>
  <c r="T862" i="19"/>
  <c r="S862" i="19"/>
  <c r="V861" i="19"/>
  <c r="U861" i="19"/>
  <c r="T861" i="19"/>
  <c r="S861" i="19"/>
  <c r="V860" i="19"/>
  <c r="U860" i="19"/>
  <c r="T860" i="19"/>
  <c r="S860" i="19"/>
  <c r="V859" i="19"/>
  <c r="U859" i="19"/>
  <c r="T859" i="19"/>
  <c r="S859" i="19"/>
  <c r="V858" i="19"/>
  <c r="U858" i="19"/>
  <c r="T858" i="19"/>
  <c r="S858" i="19"/>
  <c r="V857" i="19"/>
  <c r="U857" i="19"/>
  <c r="T857" i="19"/>
  <c r="S857" i="19"/>
  <c r="V856" i="19"/>
  <c r="U856" i="19"/>
  <c r="T856" i="19"/>
  <c r="S856" i="19"/>
  <c r="V855" i="19"/>
  <c r="U855" i="19"/>
  <c r="T855" i="19"/>
  <c r="S855" i="19"/>
  <c r="V854" i="19"/>
  <c r="U854" i="19"/>
  <c r="T854" i="19"/>
  <c r="S854" i="19"/>
  <c r="V853" i="19"/>
  <c r="U853" i="19"/>
  <c r="T853" i="19"/>
  <c r="S853" i="19"/>
  <c r="T578" i="19"/>
  <c r="V852" i="19"/>
  <c r="U852" i="19"/>
  <c r="T852" i="19"/>
  <c r="S852" i="19"/>
  <c r="V851" i="19"/>
  <c r="U851" i="19"/>
  <c r="T851" i="19"/>
  <c r="S851" i="19"/>
  <c r="V850" i="19"/>
  <c r="U850" i="19"/>
  <c r="T850" i="19"/>
  <c r="S850" i="19"/>
  <c r="V849" i="19"/>
  <c r="U849" i="19"/>
  <c r="T849" i="19"/>
  <c r="S849" i="19"/>
  <c r="V848" i="19"/>
  <c r="U848" i="19"/>
  <c r="T848" i="19"/>
  <c r="S848" i="19"/>
  <c r="V847" i="19"/>
  <c r="U847" i="19"/>
  <c r="T847" i="19"/>
  <c r="S847" i="19"/>
  <c r="V846" i="19"/>
  <c r="U846" i="19"/>
  <c r="T846" i="19"/>
  <c r="S846" i="19"/>
  <c r="V845" i="19"/>
  <c r="U845" i="19"/>
  <c r="T845" i="19"/>
  <c r="S845" i="19"/>
  <c r="V844" i="19"/>
  <c r="U844" i="19"/>
  <c r="T844" i="19"/>
  <c r="S844" i="19"/>
  <c r="V843" i="19"/>
  <c r="U843" i="19"/>
  <c r="T843" i="19"/>
  <c r="S843" i="19"/>
  <c r="V842" i="19"/>
  <c r="U842" i="19"/>
  <c r="T842" i="19"/>
  <c r="S842" i="19"/>
  <c r="V841" i="19"/>
  <c r="U841" i="19"/>
  <c r="T841" i="19"/>
  <c r="S841" i="19"/>
  <c r="V840" i="19"/>
  <c r="U840" i="19"/>
  <c r="T840" i="19"/>
  <c r="S840" i="19"/>
  <c r="V839" i="19"/>
  <c r="U839" i="19"/>
  <c r="T839" i="19"/>
  <c r="S839" i="19"/>
  <c r="V838" i="19"/>
  <c r="U838" i="19"/>
  <c r="T838" i="19"/>
  <c r="S838" i="19"/>
  <c r="V837" i="19"/>
  <c r="U837" i="19"/>
  <c r="T837" i="19"/>
  <c r="S837" i="19"/>
  <c r="V836" i="19"/>
  <c r="U836" i="19"/>
  <c r="T836" i="19"/>
  <c r="S836" i="19"/>
  <c r="V835" i="19"/>
  <c r="U835" i="19"/>
  <c r="T835" i="19"/>
  <c r="S835" i="19"/>
  <c r="V834" i="19"/>
  <c r="U834" i="19"/>
  <c r="T834" i="19"/>
  <c r="S834" i="19"/>
  <c r="V833" i="19"/>
  <c r="U833" i="19"/>
  <c r="T833" i="19"/>
  <c r="S833" i="19"/>
  <c r="V832" i="19"/>
  <c r="U832" i="19"/>
  <c r="T832" i="19"/>
  <c r="S832" i="19"/>
  <c r="V831" i="19"/>
  <c r="U831" i="19"/>
  <c r="T831" i="19"/>
  <c r="S831" i="19"/>
  <c r="V830" i="19"/>
  <c r="U830" i="19"/>
  <c r="T830" i="19"/>
  <c r="S830" i="19"/>
  <c r="V829" i="19"/>
  <c r="U829" i="19"/>
  <c r="T829" i="19"/>
  <c r="S829" i="19"/>
  <c r="V828" i="19"/>
  <c r="U828" i="19"/>
  <c r="T828" i="19"/>
  <c r="S828" i="19"/>
  <c r="V827" i="19"/>
  <c r="U827" i="19"/>
  <c r="T827" i="19"/>
  <c r="S827" i="19"/>
  <c r="V826" i="19"/>
  <c r="U826" i="19"/>
  <c r="T826" i="19"/>
  <c r="S826" i="19"/>
  <c r="V825" i="19"/>
  <c r="U825" i="19"/>
  <c r="T825" i="19"/>
  <c r="S825" i="19"/>
  <c r="V824" i="19"/>
  <c r="U824" i="19"/>
  <c r="T824" i="19"/>
  <c r="S824" i="19"/>
  <c r="V823" i="19"/>
  <c r="U823" i="19"/>
  <c r="T823" i="19"/>
  <c r="S823" i="19"/>
  <c r="V822" i="19"/>
  <c r="U822" i="19"/>
  <c r="T822" i="19"/>
  <c r="S822" i="19"/>
  <c r="V821" i="19"/>
  <c r="U821" i="19"/>
  <c r="T821" i="19"/>
  <c r="S821" i="19"/>
  <c r="V820" i="19"/>
  <c r="U820" i="19"/>
  <c r="T820" i="19"/>
  <c r="S820" i="19"/>
  <c r="V819" i="19"/>
  <c r="U819" i="19"/>
  <c r="T819" i="19"/>
  <c r="S819" i="19"/>
  <c r="V818" i="19"/>
  <c r="U818" i="19"/>
  <c r="T818" i="19"/>
  <c r="S818" i="19"/>
  <c r="V817" i="19"/>
  <c r="U817" i="19"/>
  <c r="T817" i="19"/>
  <c r="S817" i="19"/>
  <c r="V816" i="19"/>
  <c r="U816" i="19"/>
  <c r="T816" i="19"/>
  <c r="S816" i="19"/>
  <c r="V815" i="19"/>
  <c r="U815" i="19"/>
  <c r="T815" i="19"/>
  <c r="S815" i="19"/>
  <c r="V814" i="19"/>
  <c r="U814" i="19"/>
  <c r="T814" i="19"/>
  <c r="S814" i="19"/>
  <c r="V813" i="19"/>
  <c r="U813" i="19"/>
  <c r="T813" i="19"/>
  <c r="S813" i="19"/>
  <c r="V812" i="19"/>
  <c r="U812" i="19"/>
  <c r="T812" i="19"/>
  <c r="S812" i="19"/>
  <c r="V811" i="19"/>
  <c r="U811" i="19"/>
  <c r="T811" i="19"/>
  <c r="S811" i="19"/>
  <c r="V810" i="19"/>
  <c r="U810" i="19"/>
  <c r="T810" i="19"/>
  <c r="S810" i="19"/>
  <c r="V809" i="19"/>
  <c r="U809" i="19"/>
  <c r="T809" i="19"/>
  <c r="S809" i="19"/>
  <c r="V808" i="19"/>
  <c r="U808" i="19"/>
  <c r="T808" i="19"/>
  <c r="S808" i="19"/>
  <c r="V807" i="19"/>
  <c r="U807" i="19"/>
  <c r="T807" i="19"/>
  <c r="S807" i="19"/>
  <c r="V806" i="19"/>
  <c r="U806" i="19"/>
  <c r="T806" i="19"/>
  <c r="S806" i="19"/>
  <c r="V805" i="19"/>
  <c r="U805" i="19"/>
  <c r="T805" i="19"/>
  <c r="S805" i="19"/>
  <c r="V804" i="19"/>
  <c r="U804" i="19"/>
  <c r="T804" i="19"/>
  <c r="S804" i="19"/>
  <c r="V803" i="19"/>
  <c r="U803" i="19"/>
  <c r="T803" i="19"/>
  <c r="S803" i="19"/>
  <c r="V802" i="19"/>
  <c r="U802" i="19"/>
  <c r="T802" i="19"/>
  <c r="S802" i="19"/>
  <c r="V801" i="19"/>
  <c r="U801" i="19"/>
  <c r="T801" i="19"/>
  <c r="S801" i="19"/>
  <c r="V800" i="19"/>
  <c r="U800" i="19"/>
  <c r="T800" i="19"/>
  <c r="S800" i="19"/>
  <c r="V799" i="19"/>
  <c r="U799" i="19"/>
  <c r="T799" i="19"/>
  <c r="S799" i="19"/>
  <c r="V798" i="19"/>
  <c r="U798" i="19"/>
  <c r="T798" i="19"/>
  <c r="S798" i="19"/>
  <c r="V797" i="19"/>
  <c r="U797" i="19"/>
  <c r="T797" i="19"/>
  <c r="S797" i="19"/>
  <c r="V796" i="19"/>
  <c r="U796" i="19"/>
  <c r="T796" i="19"/>
  <c r="S796" i="19"/>
  <c r="V795" i="19"/>
  <c r="U795" i="19"/>
  <c r="T795" i="19"/>
  <c r="S795" i="19"/>
  <c r="V794" i="19"/>
  <c r="U794" i="19"/>
  <c r="T794" i="19"/>
  <c r="S794" i="19"/>
  <c r="V793" i="19"/>
  <c r="U793" i="19"/>
  <c r="T793" i="19"/>
  <c r="S793" i="19"/>
  <c r="V792" i="19"/>
  <c r="U792" i="19"/>
  <c r="T792" i="19"/>
  <c r="S792" i="19"/>
  <c r="V791" i="19"/>
  <c r="U791" i="19"/>
  <c r="T791" i="19"/>
  <c r="S791" i="19"/>
  <c r="V790" i="19"/>
  <c r="U790" i="19"/>
  <c r="T790" i="19"/>
  <c r="S790" i="19"/>
  <c r="V789" i="19"/>
  <c r="U789" i="19"/>
  <c r="T789" i="19"/>
  <c r="S789" i="19"/>
  <c r="V788" i="19"/>
  <c r="U788" i="19"/>
  <c r="T788" i="19"/>
  <c r="S788" i="19"/>
  <c r="V787" i="19"/>
  <c r="U787" i="19"/>
  <c r="T787" i="19"/>
  <c r="S787" i="19"/>
  <c r="V786" i="19"/>
  <c r="U786" i="19"/>
  <c r="T786" i="19"/>
  <c r="S786" i="19"/>
  <c r="V785" i="19"/>
  <c r="U785" i="19"/>
  <c r="T785" i="19"/>
  <c r="S785" i="19"/>
  <c r="V784" i="19"/>
  <c r="U784" i="19"/>
  <c r="T784" i="19"/>
  <c r="S784" i="19"/>
  <c r="V783" i="19"/>
  <c r="U783" i="19"/>
  <c r="T783" i="19"/>
  <c r="S783" i="19"/>
  <c r="V782" i="19"/>
  <c r="U782" i="19"/>
  <c r="T782" i="19"/>
  <c r="S782" i="19"/>
  <c r="V781" i="19"/>
  <c r="U781" i="19"/>
  <c r="T781" i="19"/>
  <c r="S781" i="19"/>
  <c r="V780" i="19"/>
  <c r="U780" i="19"/>
  <c r="T780" i="19"/>
  <c r="S780" i="19"/>
  <c r="V779" i="19"/>
  <c r="U779" i="19"/>
  <c r="T779" i="19"/>
  <c r="S779" i="19"/>
  <c r="V778" i="19"/>
  <c r="U778" i="19"/>
  <c r="T778" i="19"/>
  <c r="S778" i="19"/>
  <c r="V777" i="19"/>
  <c r="U777" i="19"/>
  <c r="T777" i="19"/>
  <c r="S777" i="19"/>
  <c r="V776" i="19"/>
  <c r="U776" i="19"/>
  <c r="T776" i="19"/>
  <c r="S776" i="19"/>
  <c r="V775" i="19"/>
  <c r="U775" i="19"/>
  <c r="T775" i="19"/>
  <c r="S775" i="19"/>
  <c r="V774" i="19"/>
  <c r="U774" i="19"/>
  <c r="T774" i="19"/>
  <c r="S774" i="19"/>
  <c r="V773" i="19"/>
  <c r="U773" i="19"/>
  <c r="T773" i="19"/>
  <c r="S773" i="19"/>
  <c r="V772" i="19"/>
  <c r="U772" i="19"/>
  <c r="T772" i="19"/>
  <c r="S772" i="19"/>
  <c r="V771" i="19"/>
  <c r="U771" i="19"/>
  <c r="T771" i="19"/>
  <c r="S771" i="19"/>
  <c r="V770" i="19"/>
  <c r="U770" i="19"/>
  <c r="T770" i="19"/>
  <c r="S770" i="19"/>
  <c r="V769" i="19"/>
  <c r="U769" i="19"/>
  <c r="T769" i="19"/>
  <c r="S769" i="19"/>
  <c r="V768" i="19"/>
  <c r="U768" i="19"/>
  <c r="T768" i="19"/>
  <c r="S768" i="19"/>
  <c r="V767" i="19"/>
  <c r="U767" i="19"/>
  <c r="T767" i="19"/>
  <c r="S767" i="19"/>
  <c r="V766" i="19"/>
  <c r="U766" i="19"/>
  <c r="T766" i="19"/>
  <c r="S766" i="19"/>
  <c r="V765" i="19"/>
  <c r="U765" i="19"/>
  <c r="T765" i="19"/>
  <c r="S765" i="19"/>
  <c r="V764" i="19"/>
  <c r="U764" i="19"/>
  <c r="T764" i="19"/>
  <c r="S764" i="19"/>
  <c r="V763" i="19"/>
  <c r="U763" i="19"/>
  <c r="T763" i="19"/>
  <c r="S763" i="19"/>
  <c r="V762" i="19"/>
  <c r="U762" i="19"/>
  <c r="T762" i="19"/>
  <c r="S762" i="19"/>
  <c r="V761" i="19"/>
  <c r="U761" i="19"/>
  <c r="T761" i="19"/>
  <c r="S761" i="19"/>
  <c r="V760" i="19"/>
  <c r="U760" i="19"/>
  <c r="T760" i="19"/>
  <c r="S760" i="19"/>
  <c r="V759" i="19"/>
  <c r="U759" i="19"/>
  <c r="T759" i="19"/>
  <c r="S759" i="19"/>
  <c r="V758" i="19"/>
  <c r="U758" i="19"/>
  <c r="T758" i="19"/>
  <c r="S758" i="19"/>
  <c r="V757" i="19"/>
  <c r="U757" i="19"/>
  <c r="T757" i="19"/>
  <c r="S757" i="19"/>
  <c r="V756" i="19"/>
  <c r="U756" i="19"/>
  <c r="T756" i="19"/>
  <c r="S756" i="19"/>
  <c r="V755" i="19"/>
  <c r="U755" i="19"/>
  <c r="T755" i="19"/>
  <c r="S755" i="19"/>
  <c r="V754" i="19"/>
  <c r="U754" i="19"/>
  <c r="T754" i="19"/>
  <c r="S754" i="19"/>
  <c r="V753" i="19"/>
  <c r="U753" i="19"/>
  <c r="T753" i="19"/>
  <c r="S753" i="19"/>
  <c r="V752" i="19"/>
  <c r="U752" i="19"/>
  <c r="T752" i="19"/>
  <c r="S752" i="19"/>
  <c r="V751" i="19"/>
  <c r="U751" i="19"/>
  <c r="T751" i="19"/>
  <c r="S751" i="19"/>
  <c r="V750" i="19"/>
  <c r="U750" i="19"/>
  <c r="T750" i="19"/>
  <c r="S750" i="19"/>
  <c r="V749" i="19"/>
  <c r="U749" i="19"/>
  <c r="T749" i="19"/>
  <c r="S749" i="19"/>
  <c r="V748" i="19"/>
  <c r="U748" i="19"/>
  <c r="T748" i="19"/>
  <c r="S748" i="19"/>
  <c r="V747" i="19"/>
  <c r="U747" i="19"/>
  <c r="T747" i="19"/>
  <c r="S747" i="19"/>
  <c r="V746" i="19"/>
  <c r="U746" i="19"/>
  <c r="T746" i="19"/>
  <c r="S746" i="19"/>
  <c r="V745" i="19"/>
  <c r="U745" i="19"/>
  <c r="T745" i="19"/>
  <c r="S745" i="19"/>
  <c r="V744" i="19"/>
  <c r="U744" i="19"/>
  <c r="T744" i="19"/>
  <c r="S744" i="19"/>
  <c r="V743" i="19"/>
  <c r="U743" i="19"/>
  <c r="T743" i="19"/>
  <c r="S743" i="19"/>
  <c r="V742" i="19"/>
  <c r="U742" i="19"/>
  <c r="T742" i="19"/>
  <c r="S742" i="19"/>
  <c r="V741" i="19"/>
  <c r="U741" i="19"/>
  <c r="T741" i="19"/>
  <c r="S741" i="19"/>
  <c r="V740" i="19"/>
  <c r="U740" i="19"/>
  <c r="T740" i="19"/>
  <c r="S740" i="19"/>
  <c r="V739" i="19"/>
  <c r="U739" i="19"/>
  <c r="T739" i="19"/>
  <c r="S739" i="19"/>
  <c r="V738" i="19"/>
  <c r="U738" i="19"/>
  <c r="T738" i="19"/>
  <c r="S738" i="19"/>
  <c r="V737" i="19"/>
  <c r="U737" i="19"/>
  <c r="T737" i="19"/>
  <c r="S737" i="19"/>
  <c r="V736" i="19"/>
  <c r="U736" i="19"/>
  <c r="T736" i="19"/>
  <c r="S736" i="19"/>
  <c r="V735" i="19"/>
  <c r="U735" i="19"/>
  <c r="T735" i="19"/>
  <c r="S735" i="19"/>
  <c r="V734" i="19"/>
  <c r="U734" i="19"/>
  <c r="T734" i="19"/>
  <c r="S734" i="19"/>
  <c r="V733" i="19"/>
  <c r="U733" i="19"/>
  <c r="T733" i="19"/>
  <c r="S733" i="19"/>
  <c r="V732" i="19"/>
  <c r="U732" i="19"/>
  <c r="T732" i="19"/>
  <c r="S732" i="19"/>
  <c r="V731" i="19"/>
  <c r="U731" i="19"/>
  <c r="T731" i="19"/>
  <c r="S731" i="19"/>
  <c r="V730" i="19"/>
  <c r="U730" i="19"/>
  <c r="T730" i="19"/>
  <c r="S730" i="19"/>
  <c r="V729" i="19"/>
  <c r="U729" i="19"/>
  <c r="T729" i="19"/>
  <c r="S729" i="19"/>
  <c r="V728" i="19"/>
  <c r="U728" i="19"/>
  <c r="T728" i="19"/>
  <c r="S728" i="19"/>
  <c r="V727" i="19"/>
  <c r="U727" i="19"/>
  <c r="T727" i="19"/>
  <c r="S727" i="19"/>
  <c r="V726" i="19"/>
  <c r="U726" i="19"/>
  <c r="T726" i="19"/>
  <c r="S726" i="19"/>
  <c r="V725" i="19"/>
  <c r="U725" i="19"/>
  <c r="T725" i="19"/>
  <c r="S725" i="19"/>
  <c r="V724" i="19"/>
  <c r="U724" i="19"/>
  <c r="T724" i="19"/>
  <c r="S724" i="19"/>
  <c r="V723" i="19"/>
  <c r="U723" i="19"/>
  <c r="T723" i="19"/>
  <c r="S723" i="19"/>
  <c r="V722" i="19"/>
  <c r="U722" i="19"/>
  <c r="T722" i="19"/>
  <c r="S722" i="19"/>
  <c r="V721" i="19"/>
  <c r="U721" i="19"/>
  <c r="T721" i="19"/>
  <c r="S721" i="19"/>
  <c r="V720" i="19"/>
  <c r="U720" i="19"/>
  <c r="T720" i="19"/>
  <c r="S720" i="19"/>
  <c r="V719" i="19"/>
  <c r="U719" i="19"/>
  <c r="T719" i="19"/>
  <c r="S719" i="19"/>
  <c r="V718" i="19"/>
  <c r="U718" i="19"/>
  <c r="T718" i="19"/>
  <c r="S718" i="19"/>
  <c r="V717" i="19"/>
  <c r="U717" i="19"/>
  <c r="T717" i="19"/>
  <c r="S717" i="19"/>
  <c r="V716" i="19"/>
  <c r="U716" i="19"/>
  <c r="T716" i="19"/>
  <c r="S716" i="19"/>
  <c r="V715" i="19"/>
  <c r="U715" i="19"/>
  <c r="T715" i="19"/>
  <c r="S715" i="19"/>
  <c r="V714" i="19"/>
  <c r="U714" i="19"/>
  <c r="T714" i="19"/>
  <c r="S714" i="19"/>
  <c r="V713" i="19"/>
  <c r="U713" i="19"/>
  <c r="T713" i="19"/>
  <c r="S713" i="19"/>
  <c r="V712" i="19"/>
  <c r="U712" i="19"/>
  <c r="T712" i="19"/>
  <c r="S712" i="19"/>
  <c r="V711" i="19"/>
  <c r="U711" i="19"/>
  <c r="T711" i="19"/>
  <c r="S711" i="19"/>
  <c r="V710" i="19"/>
  <c r="U710" i="19"/>
  <c r="T710" i="19"/>
  <c r="S710" i="19"/>
  <c r="V709" i="19"/>
  <c r="U709" i="19"/>
  <c r="T709" i="19"/>
  <c r="S709" i="19"/>
  <c r="V708" i="19"/>
  <c r="U708" i="19"/>
  <c r="T708" i="19"/>
  <c r="S708" i="19"/>
  <c r="V707" i="19"/>
  <c r="U707" i="19"/>
  <c r="T707" i="19"/>
  <c r="S707" i="19"/>
  <c r="V706" i="19"/>
  <c r="U706" i="19"/>
  <c r="T706" i="19"/>
  <c r="S706" i="19"/>
  <c r="V705" i="19"/>
  <c r="U705" i="19"/>
  <c r="T705" i="19"/>
  <c r="S705" i="19"/>
  <c r="V704" i="19"/>
  <c r="U704" i="19"/>
  <c r="T704" i="19"/>
  <c r="S704" i="19"/>
  <c r="V703" i="19"/>
  <c r="U703" i="19"/>
  <c r="T703" i="19"/>
  <c r="S703" i="19"/>
  <c r="V702" i="19"/>
  <c r="U702" i="19"/>
  <c r="T702" i="19"/>
  <c r="S702" i="19"/>
  <c r="V701" i="19"/>
  <c r="U701" i="19"/>
  <c r="T701" i="19"/>
  <c r="S701" i="19"/>
  <c r="V700" i="19"/>
  <c r="U700" i="19"/>
  <c r="T700" i="19"/>
  <c r="S700" i="19"/>
  <c r="V699" i="19"/>
  <c r="U699" i="19"/>
  <c r="T699" i="19"/>
  <c r="S699" i="19"/>
  <c r="V698" i="19"/>
  <c r="U698" i="19"/>
  <c r="T698" i="19"/>
  <c r="S698" i="19"/>
  <c r="V697" i="19"/>
  <c r="U697" i="19"/>
  <c r="T697" i="19"/>
  <c r="S697" i="19"/>
  <c r="V696" i="19"/>
  <c r="U696" i="19"/>
  <c r="T696" i="19"/>
  <c r="S696" i="19"/>
  <c r="V695" i="19"/>
  <c r="U695" i="19"/>
  <c r="T695" i="19"/>
  <c r="S695" i="19"/>
  <c r="V694" i="19"/>
  <c r="U694" i="19"/>
  <c r="T694" i="19"/>
  <c r="S694" i="19"/>
  <c r="V693" i="19"/>
  <c r="U693" i="19"/>
  <c r="T693" i="19"/>
  <c r="S693" i="19"/>
  <c r="V692" i="19"/>
  <c r="U692" i="19"/>
  <c r="T692" i="19"/>
  <c r="S692" i="19"/>
  <c r="V691" i="19"/>
  <c r="U691" i="19"/>
  <c r="T691" i="19"/>
  <c r="S691" i="19"/>
  <c r="V690" i="19"/>
  <c r="U690" i="19"/>
  <c r="T690" i="19"/>
  <c r="S690" i="19"/>
  <c r="V689" i="19"/>
  <c r="U689" i="19"/>
  <c r="T689" i="19"/>
  <c r="S689" i="19"/>
  <c r="V688" i="19"/>
  <c r="U688" i="19"/>
  <c r="T688" i="19"/>
  <c r="S688" i="19"/>
  <c r="V687" i="19"/>
  <c r="U687" i="19"/>
  <c r="T687" i="19"/>
  <c r="S687" i="19"/>
  <c r="V686" i="19"/>
  <c r="U686" i="19"/>
  <c r="T686" i="19"/>
  <c r="S686" i="19"/>
  <c r="V685" i="19"/>
  <c r="U685" i="19"/>
  <c r="T685" i="19"/>
  <c r="S685" i="19"/>
  <c r="V684" i="19"/>
  <c r="U684" i="19"/>
  <c r="T684" i="19"/>
  <c r="S684" i="19"/>
  <c r="V683" i="19"/>
  <c r="U683" i="19"/>
  <c r="T683" i="19"/>
  <c r="S683" i="19"/>
  <c r="V682" i="19"/>
  <c r="U682" i="19"/>
  <c r="T682" i="19"/>
  <c r="S682" i="19"/>
  <c r="V681" i="19"/>
  <c r="U681" i="19"/>
  <c r="T681" i="19"/>
  <c r="S681" i="19"/>
  <c r="V680" i="19"/>
  <c r="U680" i="19"/>
  <c r="T680" i="19"/>
  <c r="S680" i="19"/>
  <c r="V679" i="19"/>
  <c r="U679" i="19"/>
  <c r="T679" i="19"/>
  <c r="S679" i="19"/>
  <c r="V678" i="19"/>
  <c r="U678" i="19"/>
  <c r="T678" i="19"/>
  <c r="S678" i="19"/>
  <c r="V677" i="19"/>
  <c r="U677" i="19"/>
  <c r="T677" i="19"/>
  <c r="S677" i="19"/>
  <c r="V676" i="19"/>
  <c r="U676" i="19"/>
  <c r="T676" i="19"/>
  <c r="S676" i="19"/>
  <c r="V675" i="19"/>
  <c r="U675" i="19"/>
  <c r="T675" i="19"/>
  <c r="S675" i="19"/>
  <c r="V674" i="19"/>
  <c r="U674" i="19"/>
  <c r="T674" i="19"/>
  <c r="S674" i="19"/>
  <c r="V673" i="19"/>
  <c r="U673" i="19"/>
  <c r="T673" i="19"/>
  <c r="S673" i="19"/>
  <c r="V672" i="19"/>
  <c r="U672" i="19"/>
  <c r="T672" i="19"/>
  <c r="S672" i="19"/>
  <c r="V671" i="19"/>
  <c r="U671" i="19"/>
  <c r="T671" i="19"/>
  <c r="S671" i="19"/>
  <c r="V670" i="19"/>
  <c r="U670" i="19"/>
  <c r="T670" i="19"/>
  <c r="S670" i="19"/>
  <c r="V669" i="19"/>
  <c r="U669" i="19"/>
  <c r="T669" i="19"/>
  <c r="S669" i="19"/>
  <c r="V668" i="19"/>
  <c r="U668" i="19"/>
  <c r="T668" i="19"/>
  <c r="S668" i="19"/>
  <c r="V667" i="19"/>
  <c r="U667" i="19"/>
  <c r="T667" i="19"/>
  <c r="S667" i="19"/>
  <c r="V666" i="19"/>
  <c r="U666" i="19"/>
  <c r="T666" i="19"/>
  <c r="S666" i="19"/>
  <c r="V665" i="19"/>
  <c r="U665" i="19"/>
  <c r="T665" i="19"/>
  <c r="S665" i="19"/>
  <c r="V664" i="19"/>
  <c r="U664" i="19"/>
  <c r="T664" i="19"/>
  <c r="S664" i="19"/>
  <c r="V663" i="19"/>
  <c r="U663" i="19"/>
  <c r="T663" i="19"/>
  <c r="S663" i="19"/>
  <c r="V662" i="19"/>
  <c r="U662" i="19"/>
  <c r="T662" i="19"/>
  <c r="S662" i="19"/>
  <c r="V661" i="19"/>
  <c r="U661" i="19"/>
  <c r="T661" i="19"/>
  <c r="S661" i="19"/>
  <c r="V660" i="19"/>
  <c r="U660" i="19"/>
  <c r="T660" i="19"/>
  <c r="S660" i="19"/>
  <c r="V659" i="19"/>
  <c r="U659" i="19"/>
  <c r="T659" i="19"/>
  <c r="S659" i="19"/>
  <c r="V658" i="19"/>
  <c r="U658" i="19"/>
  <c r="T658" i="19"/>
  <c r="S658" i="19"/>
  <c r="V657" i="19"/>
  <c r="U657" i="19"/>
  <c r="T657" i="19"/>
  <c r="S657" i="19"/>
  <c r="V656" i="19"/>
  <c r="U656" i="19"/>
  <c r="T656" i="19"/>
  <c r="S656" i="19"/>
  <c r="V655" i="19"/>
  <c r="U655" i="19"/>
  <c r="T655" i="19"/>
  <c r="S655" i="19"/>
  <c r="V654" i="19"/>
  <c r="U654" i="19"/>
  <c r="T654" i="19"/>
  <c r="S654" i="19"/>
  <c r="V653" i="19"/>
  <c r="U653" i="19"/>
  <c r="T653" i="19"/>
  <c r="S653" i="19"/>
  <c r="V652" i="19"/>
  <c r="U652" i="19"/>
  <c r="T652" i="19"/>
  <c r="S652" i="19"/>
  <c r="V651" i="19"/>
  <c r="R967" i="19"/>
  <c r="R634" i="19"/>
  <c r="R27" i="19"/>
  <c r="R477" i="19"/>
  <c r="R374" i="19"/>
  <c r="R182" i="19"/>
  <c r="R763" i="19"/>
  <c r="R317" i="19"/>
  <c r="R25" i="19"/>
  <c r="R579" i="19"/>
  <c r="R829" i="19"/>
  <c r="R181" i="19"/>
  <c r="R476" i="19"/>
  <c r="R23" i="19"/>
  <c r="R795" i="19"/>
  <c r="R22" i="19"/>
  <c r="R316" i="19"/>
  <c r="R21" i="19"/>
  <c r="R373" i="19"/>
  <c r="R180" i="19"/>
  <c r="R853" i="19"/>
  <c r="R677" i="19"/>
  <c r="R475" i="19"/>
  <c r="R315" i="19"/>
  <c r="R179" i="19"/>
  <c r="R578" i="19"/>
  <c r="R633" i="19"/>
  <c r="R372" i="19"/>
  <c r="R712" i="19"/>
  <c r="R178" i="19"/>
  <c r="R314" i="19"/>
  <c r="R474" i="19"/>
  <c r="R740" i="19"/>
  <c r="R823" i="19"/>
  <c r="R177" i="19"/>
  <c r="R13" i="19"/>
  <c r="R577" i="19"/>
  <c r="R313" i="19"/>
  <c r="R854" i="19"/>
  <c r="R855" i="19"/>
  <c r="R856" i="19"/>
  <c r="R857" i="19"/>
  <c r="R858" i="19"/>
  <c r="R859" i="19"/>
  <c r="R860" i="19"/>
  <c r="R861" i="19"/>
  <c r="R862" i="19"/>
  <c r="R863" i="19"/>
  <c r="R864" i="19"/>
  <c r="R865" i="19"/>
  <c r="R866" i="19"/>
  <c r="R867" i="19"/>
  <c r="R868" i="19"/>
  <c r="R869" i="19"/>
  <c r="R870" i="19"/>
  <c r="R871" i="19"/>
  <c r="R872" i="19"/>
  <c r="R873" i="19"/>
  <c r="R874" i="19"/>
  <c r="R875" i="19"/>
  <c r="R876" i="19"/>
  <c r="R877" i="19"/>
  <c r="R878" i="19"/>
  <c r="R879" i="19"/>
  <c r="R880" i="19"/>
  <c r="R881" i="19"/>
  <c r="R882" i="19"/>
  <c r="R883" i="19"/>
  <c r="R884" i="19"/>
  <c r="R885" i="19"/>
  <c r="R886" i="19"/>
  <c r="R887" i="19"/>
  <c r="R888" i="19"/>
  <c r="R889" i="19"/>
  <c r="R890" i="19"/>
  <c r="R891" i="19"/>
  <c r="R928" i="19"/>
  <c r="R932" i="19"/>
  <c r="R934" i="19"/>
  <c r="R938" i="19"/>
  <c r="R939" i="19"/>
  <c r="R940" i="19"/>
  <c r="R946" i="19"/>
  <c r="R952" i="19"/>
  <c r="R954" i="19"/>
  <c r="R957" i="19"/>
  <c r="R960" i="19"/>
  <c r="R961" i="19"/>
  <c r="R963" i="19"/>
  <c r="R971" i="19"/>
  <c r="R995" i="19"/>
  <c r="R371" i="19"/>
  <c r="R473" i="19"/>
  <c r="R176" i="19"/>
  <c r="R850" i="19"/>
  <c r="R11" i="19"/>
  <c r="R632" i="19"/>
  <c r="R930" i="19"/>
  <c r="R931" i="19"/>
  <c r="R935" i="19"/>
  <c r="R941" i="19"/>
  <c r="R942" i="19"/>
  <c r="R945" i="19"/>
  <c r="R948" i="19"/>
  <c r="R950" i="19"/>
  <c r="R953" i="19"/>
  <c r="R958" i="19"/>
  <c r="R965" i="19"/>
  <c r="R966" i="19"/>
  <c r="R968" i="19"/>
  <c r="R969" i="19"/>
  <c r="R970" i="19"/>
  <c r="R973" i="19"/>
  <c r="R974" i="19"/>
  <c r="R976" i="19"/>
  <c r="R977" i="19"/>
  <c r="R981" i="19"/>
  <c r="R982" i="19"/>
  <c r="R983" i="19"/>
  <c r="R984" i="19"/>
  <c r="R985" i="19"/>
  <c r="R991" i="19"/>
  <c r="R993" i="19"/>
  <c r="R9" i="19"/>
  <c r="R312" i="19"/>
  <c r="R676" i="19"/>
  <c r="R8" i="19"/>
  <c r="R7" i="19"/>
  <c r="R175" i="19"/>
  <c r="R6" i="19"/>
  <c r="R762" i="19"/>
  <c r="R472" i="19"/>
  <c r="R370" i="19"/>
  <c r="R311" i="19"/>
  <c r="R924" i="19"/>
  <c r="R927" i="19"/>
  <c r="R947" i="19"/>
  <c r="R951" i="19"/>
  <c r="R956" i="19"/>
  <c r="R962" i="19"/>
  <c r="R964" i="19"/>
  <c r="R150" i="19"/>
  <c r="R972" i="19"/>
  <c r="R975" i="19"/>
  <c r="R978" i="19"/>
  <c r="R979" i="19"/>
  <c r="R980" i="19"/>
  <c r="R986" i="19"/>
  <c r="R987" i="19"/>
  <c r="R988" i="19"/>
  <c r="R989" i="19"/>
  <c r="R990" i="19"/>
  <c r="R992" i="19"/>
  <c r="R174" i="19"/>
  <c r="R925" i="19"/>
  <c r="R926" i="19"/>
  <c r="R929" i="19"/>
  <c r="R933" i="19"/>
  <c r="R936" i="19"/>
  <c r="R937" i="19"/>
  <c r="R943" i="19"/>
  <c r="R944" i="19"/>
  <c r="R949" i="19"/>
  <c r="R955" i="19"/>
  <c r="R959" i="19"/>
  <c r="R994" i="19"/>
  <c r="R471" i="19"/>
  <c r="R173" i="19"/>
  <c r="R310" i="19"/>
  <c r="R631" i="19"/>
  <c r="R369" i="19"/>
  <c r="R739" i="19"/>
  <c r="R172" i="19"/>
  <c r="R575" i="19"/>
  <c r="R309" i="19"/>
  <c r="R470" i="19"/>
  <c r="R675" i="19"/>
  <c r="R171" i="19"/>
  <c r="R806" i="19"/>
  <c r="R368" i="19"/>
  <c r="R308" i="19"/>
  <c r="R852" i="19"/>
  <c r="R170" i="19"/>
  <c r="R469" i="19"/>
  <c r="R630" i="19"/>
  <c r="R574" i="19"/>
  <c r="R307" i="19"/>
  <c r="R169" i="19"/>
  <c r="R710" i="19"/>
  <c r="R367" i="19"/>
  <c r="R468" i="19"/>
  <c r="R794" i="19"/>
  <c r="R168" i="19"/>
  <c r="R306" i="19"/>
  <c r="R674" i="19"/>
  <c r="R761" i="19"/>
  <c r="R573" i="19"/>
  <c r="R167" i="19"/>
  <c r="R467" i="19"/>
  <c r="R305" i="19"/>
  <c r="R366" i="19"/>
  <c r="R629" i="19"/>
  <c r="R166" i="19"/>
  <c r="R738" i="19"/>
  <c r="R815" i="19"/>
  <c r="R304" i="19"/>
  <c r="R466" i="19"/>
  <c r="R165" i="19"/>
  <c r="R709" i="19"/>
  <c r="R365" i="19"/>
  <c r="R572" i="19"/>
  <c r="R303" i="19"/>
  <c r="R164" i="19"/>
  <c r="R673" i="19"/>
  <c r="R465" i="19"/>
  <c r="R628" i="19"/>
  <c r="R779" i="19"/>
  <c r="R163" i="19"/>
  <c r="R302" i="19"/>
  <c r="R364" i="19"/>
  <c r="R837" i="19"/>
  <c r="R464" i="19"/>
  <c r="R162" i="19"/>
  <c r="R571" i="19"/>
  <c r="R301" i="19"/>
  <c r="R833" i="19"/>
  <c r="R737" i="19"/>
  <c r="R161" i="19"/>
  <c r="R363" i="19"/>
  <c r="R463" i="19"/>
  <c r="R300" i="19"/>
  <c r="R627" i="19"/>
  <c r="R160" i="19"/>
  <c r="R672" i="19"/>
  <c r="R570" i="19"/>
  <c r="R708" i="19"/>
  <c r="R299" i="19"/>
  <c r="R159" i="19"/>
  <c r="R462" i="19"/>
  <c r="R362" i="19"/>
  <c r="R760" i="19"/>
  <c r="R805" i="19"/>
  <c r="R158" i="19"/>
  <c r="R298" i="19"/>
  <c r="R626" i="19"/>
  <c r="R461" i="19"/>
  <c r="R569" i="19"/>
  <c r="R157" i="19"/>
  <c r="R361" i="19"/>
  <c r="R297" i="19"/>
  <c r="R793" i="19"/>
  <c r="R671" i="19"/>
  <c r="R156" i="19"/>
  <c r="R460" i="19"/>
  <c r="R778" i="19"/>
  <c r="R296" i="19"/>
  <c r="R707" i="19"/>
  <c r="R155" i="19"/>
  <c r="R360" i="19"/>
  <c r="R568" i="19"/>
  <c r="R459" i="19"/>
  <c r="R295" i="19"/>
  <c r="R154" i="19"/>
  <c r="R625" i="19"/>
  <c r="R736" i="19"/>
  <c r="R822" i="19"/>
  <c r="R359" i="19"/>
  <c r="R153" i="19"/>
  <c r="R294" i="19"/>
  <c r="R458" i="19"/>
  <c r="R670" i="19"/>
  <c r="R567" i="19"/>
  <c r="R152" i="19"/>
  <c r="R759" i="19"/>
  <c r="R293" i="19"/>
  <c r="R624" i="19"/>
  <c r="R457" i="19"/>
  <c r="R151" i="19"/>
  <c r="R358" i="19"/>
  <c r="R828" i="19"/>
  <c r="R292" i="19"/>
  <c r="R706" i="19"/>
  <c r="R4" i="19"/>
  <c r="R566" i="19"/>
  <c r="R456" i="19"/>
  <c r="R814" i="19"/>
  <c r="R291" i="19"/>
  <c r="R149" i="19"/>
  <c r="R357" i="19"/>
  <c r="R669" i="19"/>
  <c r="R623" i="19"/>
  <c r="R455" i="19"/>
  <c r="R148" i="19"/>
  <c r="R290" i="19"/>
  <c r="R735" i="19"/>
  <c r="R565" i="19"/>
  <c r="R356" i="19"/>
  <c r="R147" i="19"/>
  <c r="R840" i="19"/>
  <c r="R289" i="19"/>
  <c r="R454" i="19"/>
  <c r="R777" i="19"/>
  <c r="R146" i="19"/>
  <c r="R705" i="19"/>
  <c r="R622" i="19"/>
  <c r="R288" i="19"/>
  <c r="R355" i="19"/>
  <c r="R145" i="19"/>
  <c r="R453" i="19"/>
  <c r="R564" i="19"/>
  <c r="R668" i="19"/>
  <c r="R287" i="19"/>
  <c r="R144" i="19"/>
  <c r="R758" i="19"/>
  <c r="R792" i="19"/>
  <c r="R452" i="19"/>
  <c r="R354" i="19"/>
  <c r="R143" i="19"/>
  <c r="R286" i="19"/>
  <c r="R734" i="19"/>
  <c r="R563" i="19"/>
  <c r="R621" i="19"/>
  <c r="R142" i="19"/>
  <c r="R451" i="19"/>
  <c r="R285" i="19"/>
  <c r="R804" i="19"/>
  <c r="R353" i="19"/>
  <c r="R141" i="19"/>
  <c r="R667" i="19"/>
  <c r="R704" i="19"/>
  <c r="R284" i="19"/>
  <c r="R450" i="19"/>
  <c r="R140" i="19"/>
  <c r="R562" i="19"/>
  <c r="R846" i="19"/>
  <c r="R352" i="19"/>
  <c r="R283" i="19"/>
  <c r="R139" i="19"/>
  <c r="R620" i="19"/>
  <c r="R449" i="19"/>
  <c r="R849" i="19"/>
  <c r="R757" i="19"/>
  <c r="R138" i="19"/>
  <c r="R282" i="19"/>
  <c r="R561" i="19"/>
  <c r="R351" i="19"/>
  <c r="R448" i="19"/>
  <c r="R137" i="19"/>
  <c r="R666" i="19"/>
  <c r="R281" i="19"/>
  <c r="R733" i="19"/>
  <c r="R619" i="19"/>
  <c r="R136" i="19"/>
  <c r="R703" i="19"/>
  <c r="R447" i="19"/>
  <c r="R67" i="19"/>
  <c r="R280" i="19"/>
  <c r="R350" i="19"/>
  <c r="R560" i="19"/>
  <c r="R776" i="19"/>
  <c r="R66" i="19"/>
  <c r="R821" i="19"/>
  <c r="R279" i="19"/>
  <c r="R446" i="19"/>
  <c r="R665" i="19"/>
  <c r="R65" i="19"/>
  <c r="R349" i="19"/>
  <c r="R618" i="19"/>
  <c r="R278" i="19"/>
  <c r="R559" i="19"/>
  <c r="R64" i="19"/>
  <c r="R445" i="19"/>
  <c r="R791" i="19"/>
  <c r="R813" i="19"/>
  <c r="R277" i="19"/>
  <c r="R63" i="19"/>
  <c r="R348" i="19"/>
  <c r="R702" i="19"/>
  <c r="R444" i="19"/>
  <c r="R732" i="19"/>
  <c r="R62" i="19"/>
  <c r="R276" i="19"/>
  <c r="R558" i="19"/>
  <c r="R617" i="19"/>
  <c r="R347" i="19"/>
  <c r="R61" i="19"/>
  <c r="R443" i="19"/>
  <c r="R275" i="19"/>
  <c r="R664" i="19"/>
  <c r="R60" i="19"/>
  <c r="R756" i="19"/>
  <c r="R803" i="19"/>
  <c r="R59" i="19"/>
  <c r="R557" i="19"/>
  <c r="R274" i="19"/>
  <c r="R442" i="19"/>
  <c r="R58" i="19"/>
  <c r="R346" i="19"/>
  <c r="R775" i="19"/>
  <c r="R57" i="19"/>
  <c r="R616" i="19"/>
  <c r="R273" i="19"/>
  <c r="R56" i="19"/>
  <c r="R701" i="19"/>
  <c r="R441" i="19"/>
  <c r="R663" i="19"/>
  <c r="R345" i="19"/>
  <c r="R272" i="19"/>
  <c r="R556" i="19"/>
  <c r="R842" i="19"/>
  <c r="R440" i="19"/>
  <c r="R731" i="19"/>
  <c r="R53" i="19"/>
  <c r="R271" i="19"/>
  <c r="R615" i="19"/>
  <c r="R344" i="19"/>
  <c r="R827" i="19"/>
  <c r="R51" i="19"/>
  <c r="R439" i="19"/>
  <c r="R270" i="19"/>
  <c r="R555" i="19"/>
  <c r="R50" i="19"/>
  <c r="R755" i="19"/>
  <c r="R662" i="19"/>
  <c r="R49" i="19"/>
  <c r="R343" i="19"/>
  <c r="R269" i="19"/>
  <c r="R48" i="19"/>
  <c r="R438" i="19"/>
  <c r="R700" i="19"/>
  <c r="R614" i="19"/>
  <c r="R554" i="19"/>
  <c r="R46" i="19"/>
  <c r="R268" i="19"/>
  <c r="R790" i="19"/>
  <c r="R45" i="19"/>
  <c r="R437" i="19"/>
  <c r="R342" i="19"/>
  <c r="R832" i="19"/>
  <c r="R267" i="19"/>
  <c r="R730" i="19"/>
  <c r="R661" i="19"/>
  <c r="R436" i="19"/>
  <c r="R553" i="19"/>
  <c r="R266" i="19"/>
  <c r="R341" i="19"/>
  <c r="R613" i="19"/>
  <c r="R774" i="19"/>
  <c r="R435" i="19"/>
  <c r="R265" i="19"/>
  <c r="R699" i="19"/>
  <c r="R836" i="19"/>
  <c r="R340" i="19"/>
  <c r="R38" i="19"/>
  <c r="R552" i="19"/>
  <c r="R264" i="19"/>
  <c r="R36" i="19"/>
  <c r="R434" i="19"/>
  <c r="R35" i="19"/>
  <c r="R754" i="19"/>
  <c r="R612" i="19"/>
  <c r="R660" i="19"/>
  <c r="R263" i="19"/>
  <c r="R339" i="19"/>
  <c r="R33" i="19"/>
  <c r="R433" i="19"/>
  <c r="R32" i="19"/>
  <c r="R802" i="19"/>
  <c r="R551" i="19"/>
  <c r="R31" i="19"/>
  <c r="R262" i="19"/>
  <c r="R729" i="19"/>
  <c r="R698" i="19"/>
  <c r="R432" i="19"/>
  <c r="R29" i="19"/>
  <c r="R338" i="19"/>
  <c r="R28" i="19"/>
  <c r="R261" i="19"/>
  <c r="R611" i="19"/>
  <c r="R812" i="19"/>
  <c r="R26" i="19"/>
  <c r="R550" i="19"/>
  <c r="R431" i="19"/>
  <c r="R260" i="19"/>
  <c r="R659" i="19"/>
  <c r="R24" i="19"/>
  <c r="R337" i="19"/>
  <c r="R789" i="19"/>
  <c r="R773" i="19"/>
  <c r="R259" i="19"/>
  <c r="R430" i="19"/>
  <c r="R610" i="19"/>
  <c r="R549" i="19"/>
  <c r="R336" i="19"/>
  <c r="R258" i="19"/>
  <c r="R753" i="19"/>
  <c r="R20" i="19"/>
  <c r="R429" i="19"/>
  <c r="R19" i="19"/>
  <c r="R697" i="19"/>
  <c r="R658" i="19"/>
  <c r="R257" i="19"/>
  <c r="R728" i="19"/>
  <c r="R18" i="19"/>
  <c r="R335" i="19"/>
  <c r="R17" i="19"/>
  <c r="R428" i="19"/>
  <c r="R548" i="19"/>
  <c r="R16" i="19"/>
  <c r="R256" i="19"/>
  <c r="R609" i="19"/>
  <c r="R15" i="19"/>
  <c r="R820" i="19"/>
  <c r="R14" i="19"/>
  <c r="R844" i="19"/>
  <c r="R427" i="19"/>
  <c r="R255" i="19"/>
  <c r="R334" i="19"/>
  <c r="R12" i="19"/>
  <c r="R839" i="19"/>
  <c r="R547" i="19"/>
  <c r="R657" i="19"/>
  <c r="R254" i="19"/>
  <c r="R10" i="19"/>
  <c r="R426" i="19"/>
  <c r="R608" i="19"/>
  <c r="R333" i="19"/>
  <c r="R696" i="19"/>
  <c r="R253" i="19"/>
  <c r="R801" i="19"/>
  <c r="R425" i="19"/>
  <c r="R546" i="19"/>
  <c r="R727" i="19"/>
  <c r="R252" i="19"/>
  <c r="R332" i="19"/>
  <c r="R752" i="19"/>
  <c r="R424" i="19"/>
  <c r="R607" i="19"/>
  <c r="R5" i="19"/>
  <c r="R251" i="19"/>
  <c r="R656" i="19"/>
  <c r="R545" i="19"/>
  <c r="R331" i="19"/>
  <c r="R3" i="19"/>
  <c r="R423" i="19"/>
  <c r="R250" i="19"/>
  <c r="R576" i="19"/>
  <c r="R711" i="19"/>
  <c r="R780" i="19"/>
  <c r="R2" i="19"/>
  <c r="R772" i="19"/>
  <c r="R695" i="19"/>
  <c r="R788" i="19"/>
  <c r="R606" i="19"/>
  <c r="R135" i="19"/>
  <c r="R249" i="19"/>
  <c r="R422" i="19"/>
  <c r="R330" i="19"/>
  <c r="R544" i="19"/>
  <c r="R134" i="19"/>
  <c r="R826" i="19"/>
  <c r="R248" i="19"/>
  <c r="R655" i="19"/>
  <c r="R421" i="19"/>
  <c r="R133" i="19"/>
  <c r="R726" i="19"/>
  <c r="R329" i="19"/>
  <c r="R247" i="19"/>
  <c r="R811" i="19"/>
  <c r="R132" i="19"/>
  <c r="R543" i="19"/>
  <c r="R420" i="19"/>
  <c r="R605" i="19"/>
  <c r="R246" i="19"/>
  <c r="R131" i="19"/>
  <c r="R694" i="19"/>
  <c r="R328" i="19"/>
  <c r="R751" i="19"/>
  <c r="R419" i="19"/>
  <c r="R130" i="19"/>
  <c r="R245" i="19"/>
  <c r="R654" i="19"/>
  <c r="R542" i="19"/>
  <c r="R847" i="19"/>
  <c r="R129" i="19"/>
  <c r="R327" i="19"/>
  <c r="R244" i="19"/>
  <c r="R418" i="19"/>
  <c r="R604" i="19"/>
  <c r="R128" i="19"/>
  <c r="R771" i="19"/>
  <c r="R725" i="19"/>
  <c r="R243" i="19"/>
  <c r="R541" i="19"/>
  <c r="R127" i="19"/>
  <c r="R417" i="19"/>
  <c r="R326" i="19"/>
  <c r="R693" i="19"/>
  <c r="R242" i="19"/>
  <c r="R126" i="19"/>
  <c r="R653" i="19"/>
  <c r="R603" i="19"/>
  <c r="R416" i="19"/>
  <c r="R819" i="19"/>
  <c r="R125" i="19"/>
  <c r="R241" i="19"/>
  <c r="R325" i="19"/>
  <c r="R540" i="19"/>
  <c r="R787" i="19"/>
  <c r="R124" i="19"/>
  <c r="R415" i="19"/>
  <c r="R240" i="19"/>
  <c r="R750" i="19"/>
  <c r="R513" i="19"/>
  <c r="R123" i="19"/>
  <c r="R800" i="19"/>
  <c r="R602" i="19"/>
  <c r="R239" i="19"/>
  <c r="R414" i="19"/>
  <c r="R122" i="19"/>
  <c r="R539" i="19"/>
  <c r="R652" i="19"/>
  <c r="R512" i="19"/>
  <c r="R238" i="19"/>
  <c r="R121" i="19"/>
  <c r="R692" i="19"/>
  <c r="R413" i="19"/>
  <c r="R724" i="19"/>
  <c r="R831" i="19"/>
  <c r="R120" i="19"/>
  <c r="R237" i="19"/>
  <c r="R538" i="19"/>
  <c r="R511" i="19"/>
  <c r="R412" i="19"/>
  <c r="R119" i="19"/>
  <c r="R601" i="19"/>
  <c r="R236" i="19"/>
  <c r="R770" i="19"/>
  <c r="R651" i="19"/>
  <c r="R118" i="19"/>
  <c r="R848" i="19"/>
  <c r="R411" i="19"/>
  <c r="R235" i="19"/>
  <c r="R510" i="19"/>
  <c r="R117" i="19"/>
  <c r="R537" i="19"/>
  <c r="R691" i="19"/>
  <c r="R600" i="19"/>
  <c r="R234" i="19"/>
  <c r="R116" i="19"/>
  <c r="R410" i="19"/>
  <c r="R749" i="19"/>
  <c r="R509" i="19"/>
  <c r="R723" i="19"/>
  <c r="R115" i="19"/>
  <c r="R233" i="19"/>
  <c r="R536" i="19"/>
  <c r="R409" i="19"/>
  <c r="R650" i="19"/>
  <c r="R114" i="19"/>
  <c r="R810" i="19"/>
  <c r="R232" i="19"/>
  <c r="R508" i="19"/>
  <c r="R599" i="19"/>
  <c r="R113" i="19"/>
  <c r="R408" i="19"/>
  <c r="R786" i="19"/>
  <c r="R231" i="19"/>
  <c r="R535" i="19"/>
  <c r="R112" i="19"/>
  <c r="R690" i="19"/>
  <c r="R507" i="19"/>
  <c r="R407" i="19"/>
  <c r="R230" i="19"/>
  <c r="R111" i="19"/>
  <c r="R835" i="19"/>
  <c r="R649" i="19"/>
  <c r="R598" i="19"/>
  <c r="R534" i="19"/>
  <c r="R110" i="19"/>
  <c r="R229" i="19"/>
  <c r="R406" i="19"/>
  <c r="R506" i="19"/>
  <c r="R769" i="19"/>
  <c r="R109" i="19"/>
  <c r="R722" i="19"/>
  <c r="R228" i="19"/>
  <c r="R748" i="19"/>
  <c r="R405" i="19"/>
  <c r="R108" i="19"/>
  <c r="R689" i="19"/>
  <c r="R505" i="19"/>
  <c r="R227" i="19"/>
  <c r="R533" i="19"/>
  <c r="R107" i="19"/>
  <c r="R597" i="19"/>
  <c r="R404" i="19"/>
  <c r="R648" i="19"/>
  <c r="R226" i="19"/>
  <c r="R106" i="19"/>
  <c r="R799" i="19"/>
  <c r="R504" i="19"/>
  <c r="R825" i="19"/>
  <c r="R403" i="19"/>
  <c r="R105" i="19"/>
  <c r="R225" i="19"/>
  <c r="R532" i="19"/>
  <c r="R818" i="19"/>
  <c r="R596" i="19"/>
  <c r="R104" i="19"/>
  <c r="R503" i="19"/>
  <c r="R224" i="19"/>
  <c r="R402" i="19"/>
  <c r="R721" i="19"/>
  <c r="R103" i="19"/>
  <c r="R647" i="19"/>
  <c r="R531" i="19"/>
  <c r="R223" i="19"/>
  <c r="R688" i="19"/>
  <c r="R102" i="19"/>
  <c r="R401" i="19"/>
  <c r="R502" i="19"/>
  <c r="R785" i="19"/>
  <c r="R222" i="19"/>
  <c r="R101" i="19"/>
  <c r="R595" i="19"/>
  <c r="R747" i="19"/>
  <c r="R400" i="19"/>
  <c r="R530" i="19"/>
  <c r="R100" i="19"/>
  <c r="R221" i="19"/>
  <c r="R501" i="19"/>
  <c r="R768" i="19"/>
  <c r="R646" i="19"/>
  <c r="R99" i="19"/>
  <c r="R399" i="19"/>
  <c r="R220" i="19"/>
  <c r="R851" i="19"/>
  <c r="R594" i="19"/>
  <c r="R98" i="19"/>
  <c r="R500" i="19"/>
  <c r="R529" i="19"/>
  <c r="R219" i="19"/>
  <c r="R398" i="19"/>
  <c r="R97" i="19"/>
  <c r="R687" i="19"/>
  <c r="R720" i="19"/>
  <c r="R809" i="19"/>
  <c r="R218" i="19"/>
  <c r="R96" i="19"/>
  <c r="R499" i="19"/>
  <c r="R397" i="19"/>
  <c r="R645" i="19"/>
  <c r="R528" i="19"/>
  <c r="R95" i="19"/>
  <c r="R217" i="19"/>
  <c r="R593" i="19"/>
  <c r="R798" i="19"/>
  <c r="R396" i="19"/>
  <c r="R94" i="19"/>
  <c r="R498" i="19"/>
  <c r="R216" i="19"/>
  <c r="R746" i="19"/>
  <c r="R686" i="19"/>
  <c r="R93" i="19"/>
  <c r="R527" i="19"/>
  <c r="R395" i="19"/>
  <c r="R215" i="19"/>
  <c r="R841" i="19"/>
  <c r="R92" i="19"/>
  <c r="R497" i="19"/>
  <c r="R592" i="19"/>
  <c r="R644" i="19"/>
  <c r="R214" i="19"/>
  <c r="R91" i="19"/>
  <c r="R394" i="19"/>
  <c r="R719" i="19"/>
  <c r="R526" i="19"/>
  <c r="R496" i="19"/>
  <c r="R90" i="19"/>
  <c r="R213" i="19"/>
  <c r="R767" i="19"/>
  <c r="R393" i="19"/>
  <c r="R784" i="19"/>
  <c r="R89" i="19"/>
  <c r="R591" i="19"/>
  <c r="R212" i="19"/>
  <c r="R685" i="19"/>
  <c r="R495" i="19"/>
  <c r="R88" i="19"/>
  <c r="R392" i="19"/>
  <c r="R525" i="19"/>
  <c r="R211" i="19"/>
  <c r="R643" i="19"/>
  <c r="R87" i="19"/>
  <c r="R830" i="19"/>
  <c r="R745" i="19"/>
  <c r="R391" i="19"/>
  <c r="R210" i="19"/>
  <c r="R86" i="19"/>
  <c r="R494" i="19"/>
  <c r="R590" i="19"/>
  <c r="R524" i="19"/>
  <c r="R718" i="19"/>
  <c r="R85" i="19"/>
  <c r="R209" i="19"/>
  <c r="R390" i="19"/>
  <c r="R838" i="19"/>
  <c r="R493" i="19"/>
  <c r="R84" i="19"/>
  <c r="R642" i="19"/>
  <c r="R208" i="19"/>
  <c r="R684" i="19"/>
  <c r="R389" i="19"/>
  <c r="R83" i="19"/>
  <c r="R523" i="19"/>
  <c r="R589" i="19"/>
  <c r="R207" i="19"/>
  <c r="R492" i="19"/>
  <c r="R82" i="19"/>
  <c r="R817" i="19"/>
  <c r="R388" i="19"/>
  <c r="R766" i="19"/>
  <c r="R206" i="19"/>
  <c r="R81" i="19"/>
  <c r="R797" i="19"/>
  <c r="R522" i="19"/>
  <c r="R491" i="19"/>
  <c r="R387" i="19"/>
  <c r="R80" i="19"/>
  <c r="R205" i="19"/>
  <c r="R641" i="19"/>
  <c r="R588" i="19"/>
  <c r="R717" i="19"/>
  <c r="R79" i="19"/>
  <c r="R683" i="19"/>
  <c r="R204" i="19"/>
  <c r="R386" i="19"/>
  <c r="R490" i="19"/>
  <c r="R78" i="19"/>
  <c r="R521" i="19"/>
  <c r="R744" i="19"/>
  <c r="R203" i="19"/>
  <c r="R783" i="19"/>
  <c r="R77" i="19"/>
  <c r="R385" i="19"/>
  <c r="R587" i="19"/>
  <c r="R489" i="19"/>
  <c r="R202" i="19"/>
  <c r="R76" i="19"/>
  <c r="R640" i="19"/>
  <c r="R520" i="19"/>
  <c r="R384" i="19"/>
  <c r="R808" i="19"/>
  <c r="R75" i="19"/>
  <c r="R201" i="19"/>
  <c r="R824" i="19"/>
  <c r="R488" i="19"/>
  <c r="R682" i="19"/>
  <c r="R74" i="19"/>
  <c r="R383" i="19"/>
  <c r="R200" i="19"/>
  <c r="R586" i="19"/>
  <c r="R519" i="19"/>
  <c r="R73" i="19"/>
  <c r="R716" i="19"/>
  <c r="R487" i="19"/>
  <c r="R199" i="19"/>
  <c r="R382" i="19"/>
  <c r="R72" i="19"/>
  <c r="R639" i="19"/>
  <c r="R765" i="19"/>
  <c r="R743" i="19"/>
  <c r="R198" i="19"/>
  <c r="R71" i="19"/>
  <c r="R518" i="19"/>
  <c r="R381" i="19"/>
  <c r="R486" i="19"/>
  <c r="R585" i="19"/>
  <c r="R70" i="19"/>
  <c r="R197" i="19"/>
  <c r="R845" i="19"/>
  <c r="R681" i="19"/>
  <c r="R380" i="19"/>
  <c r="R69" i="19"/>
  <c r="R638" i="19"/>
  <c r="R196" i="19"/>
  <c r="R485" i="19"/>
  <c r="R517" i="19"/>
  <c r="R68" i="19"/>
  <c r="R834" i="19"/>
  <c r="R379" i="19"/>
  <c r="R195" i="19"/>
  <c r="R584" i="19"/>
  <c r="R715" i="19"/>
  <c r="R484" i="19"/>
  <c r="R782" i="19"/>
  <c r="R194" i="19"/>
  <c r="R378" i="19"/>
  <c r="R516" i="19"/>
  <c r="R796" i="19"/>
  <c r="R637" i="19"/>
  <c r="R55" i="19"/>
  <c r="R193" i="19"/>
  <c r="R54" i="19"/>
  <c r="R483" i="19"/>
  <c r="R52" i="19"/>
  <c r="R192" i="19"/>
  <c r="R583" i="19"/>
  <c r="R680" i="19"/>
  <c r="R191" i="19"/>
  <c r="R515" i="19"/>
  <c r="R742" i="19"/>
  <c r="R47" i="19"/>
  <c r="R324" i="19"/>
  <c r="R482" i="19"/>
  <c r="R190" i="19"/>
  <c r="R764" i="19"/>
  <c r="R714" i="19"/>
  <c r="R44" i="19"/>
  <c r="R582" i="19"/>
  <c r="R43" i="19"/>
  <c r="R323" i="19"/>
  <c r="R42" i="19"/>
  <c r="R189" i="19"/>
  <c r="R514" i="19"/>
  <c r="R41" i="19"/>
  <c r="R481" i="19"/>
  <c r="R636" i="19"/>
  <c r="R40" i="19"/>
  <c r="R377" i="19"/>
  <c r="R188" i="19"/>
  <c r="R39" i="19"/>
  <c r="R322" i="19"/>
  <c r="R843" i="19"/>
  <c r="R679" i="19"/>
  <c r="R480" i="19"/>
  <c r="R187" i="19"/>
  <c r="R37" i="19"/>
  <c r="R807" i="19"/>
  <c r="R321" i="19"/>
  <c r="R581" i="19"/>
  <c r="R376" i="19"/>
  <c r="R186" i="19"/>
  <c r="R816" i="19"/>
  <c r="R479" i="19"/>
  <c r="R34" i="19"/>
  <c r="R320" i="19"/>
  <c r="R635" i="19"/>
  <c r="R185" i="19"/>
  <c r="R741" i="19"/>
  <c r="R713" i="19"/>
  <c r="R375" i="19"/>
  <c r="R319" i="19"/>
  <c r="R184" i="19"/>
  <c r="R30" i="19"/>
  <c r="R478" i="19"/>
  <c r="R580" i="19"/>
  <c r="R678" i="19"/>
  <c r="R781" i="19"/>
  <c r="R183" i="19"/>
  <c r="R318" i="19"/>
  <c r="Y22" i="14"/>
  <c r="X22" i="14"/>
  <c r="W22" i="14"/>
  <c r="V22" i="14"/>
  <c r="Y21" i="14"/>
  <c r="X21" i="14"/>
  <c r="V21" i="14"/>
  <c r="W21" i="14"/>
  <c r="W20" i="14"/>
  <c r="Y20" i="14"/>
  <c r="V20" i="14"/>
  <c r="X20" i="14"/>
  <c r="X19" i="14"/>
  <c r="Y19" i="14"/>
  <c r="W19" i="14"/>
  <c r="V19" i="14"/>
  <c r="Y18" i="14"/>
  <c r="X18" i="14"/>
  <c r="W18" i="14"/>
  <c r="V18" i="14"/>
  <c r="Y17" i="14"/>
  <c r="X17" i="14"/>
  <c r="W17" i="14"/>
  <c r="V17" i="14"/>
  <c r="W16" i="14"/>
  <c r="V16" i="14"/>
  <c r="Y16" i="14"/>
  <c r="X16" i="14"/>
  <c r="Y15" i="14"/>
  <c r="V15" i="14"/>
  <c r="W15" i="14"/>
  <c r="X15" i="14"/>
  <c r="V14" i="14"/>
  <c r="W14" i="14"/>
  <c r="X14" i="14"/>
  <c r="Y14" i="14"/>
  <c r="V13" i="14"/>
  <c r="W13" i="14"/>
  <c r="X13" i="14"/>
  <c r="Y13" i="14"/>
  <c r="X12" i="14"/>
  <c r="Y12" i="14"/>
  <c r="W12" i="14"/>
  <c r="V12" i="14"/>
  <c r="Y11" i="14"/>
  <c r="V11" i="14"/>
  <c r="W11" i="14"/>
  <c r="X11" i="14"/>
  <c r="V10" i="14"/>
  <c r="W10" i="14"/>
  <c r="X10" i="14"/>
  <c r="Y10" i="14"/>
  <c r="X9" i="14"/>
  <c r="V9" i="14"/>
  <c r="W9" i="14"/>
  <c r="Y9" i="14"/>
  <c r="X8" i="14"/>
  <c r="Y8" i="14"/>
  <c r="W8" i="14"/>
  <c r="V8" i="14"/>
  <c r="W7" i="14"/>
  <c r="V7" i="14"/>
  <c r="Y7" i="14"/>
  <c r="X7" i="14"/>
  <c r="V6" i="14"/>
  <c r="Y6" i="14"/>
  <c r="X6" i="14"/>
  <c r="W6" i="14"/>
  <c r="Y5" i="14"/>
  <c r="X5" i="14"/>
  <c r="W5" i="14"/>
  <c r="V5" i="14"/>
  <c r="X4" i="14"/>
  <c r="V4" i="14"/>
  <c r="Y4" i="14"/>
  <c r="W4" i="14"/>
  <c r="V3" i="14"/>
  <c r="W3" i="14"/>
  <c r="X3" i="14"/>
  <c r="Y3" i="14"/>
  <c r="Y2" i="14"/>
  <c r="X2" i="14"/>
  <c r="V2" i="14"/>
  <c r="W2" i="14"/>
  <c r="A4" i="11"/>
  <c r="A3" i="15"/>
  <c r="A3" i="14"/>
  <c r="A4" i="10"/>
  <c r="A5" i="11" l="1"/>
  <c r="A4" i="15"/>
  <c r="A5" i="10"/>
  <c r="A4" i="14"/>
  <c r="A6" i="11" l="1"/>
  <c r="A5" i="15"/>
  <c r="A6" i="10"/>
  <c r="A5" i="14"/>
  <c r="A7" i="11" l="1"/>
  <c r="A6" i="15"/>
  <c r="A7" i="10"/>
  <c r="A6" i="14"/>
  <c r="A8" i="11" l="1"/>
  <c r="A7" i="15"/>
  <c r="A8" i="10"/>
  <c r="A7" i="14"/>
  <c r="A9" i="11" l="1"/>
  <c r="A8" i="15"/>
  <c r="A9" i="10"/>
  <c r="A8" i="14"/>
  <c r="A10" i="11" l="1"/>
  <c r="A9" i="15"/>
  <c r="A10" i="10"/>
  <c r="A9" i="14"/>
  <c r="A11" i="11" l="1"/>
  <c r="A10" i="15"/>
  <c r="A11" i="10"/>
  <c r="A10" i="14"/>
  <c r="A12" i="11" l="1"/>
  <c r="A11" i="15"/>
  <c r="A12" i="10"/>
  <c r="A11" i="14"/>
  <c r="A13" i="11" l="1"/>
  <c r="A12" i="15"/>
  <c r="A13" i="10"/>
  <c r="A12" i="14"/>
  <c r="A14" i="11" l="1"/>
  <c r="A13" i="15"/>
  <c r="A14" i="10"/>
  <c r="A13" i="14"/>
  <c r="A15" i="11" l="1"/>
  <c r="A14" i="15"/>
  <c r="A15" i="10"/>
  <c r="A14" i="14"/>
  <c r="A16" i="11" l="1"/>
  <c r="A15" i="15"/>
  <c r="A16" i="10"/>
  <c r="A15" i="14"/>
  <c r="A17" i="11" l="1"/>
  <c r="A16" i="15"/>
  <c r="A17" i="10"/>
  <c r="A16" i="14"/>
  <c r="A18" i="11" l="1"/>
  <c r="A17" i="15"/>
  <c r="A18" i="10"/>
  <c r="A17" i="14"/>
  <c r="A19" i="11" l="1"/>
  <c r="A18" i="15"/>
  <c r="A19" i="10"/>
  <c r="A18" i="14"/>
  <c r="A20" i="11" l="1"/>
  <c r="A19" i="15"/>
  <c r="A20" i="10"/>
  <c r="A19" i="14"/>
  <c r="A21" i="11" l="1"/>
  <c r="A20" i="15"/>
  <c r="A21" i="10"/>
  <c r="A20" i="14"/>
  <c r="A22" i="11" l="1"/>
  <c r="A21" i="15"/>
  <c r="A22" i="10"/>
  <c r="A22" i="14" s="1"/>
  <c r="A21" i="14"/>
  <c r="A23" i="11" l="1"/>
  <c r="A22" i="15"/>
  <c r="A24" i="11" l="1"/>
  <c r="A23" i="15"/>
  <c r="A25" i="11" l="1"/>
  <c r="A24" i="15"/>
  <c r="A26" i="11" l="1"/>
  <c r="A25" i="15"/>
  <c r="A27" i="11" l="1"/>
  <c r="A26" i="15"/>
  <c r="A28" i="11" l="1"/>
  <c r="A27" i="15"/>
  <c r="A29" i="11" l="1"/>
  <c r="A28" i="15"/>
  <c r="A30" i="11" l="1"/>
  <c r="A29" i="15"/>
  <c r="A31" i="11" l="1"/>
  <c r="A31" i="15" s="1"/>
  <c r="A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shapeId="0" xr:uid="{00000000-0006-0000-01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shapeId="0" xr:uid="{00000000-0006-0000-0100-000002000000}">
      <text>
        <r>
          <rPr>
            <sz val="11"/>
            <color theme="1"/>
            <rFont val="Aptos Narrow"/>
            <family val="2"/>
            <scheme val="minor"/>
          </rPr>
          <t>Usuario desconocido:
15-05</t>
        </r>
      </text>
    </comment>
    <comment ref="E18" authorId="2" shapeId="0" xr:uid="{00000000-0006-0000-01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shapeId="0" xr:uid="{00000000-0006-0000-0100-000004000000}">
      <text>
        <r>
          <rPr>
            <sz val="11"/>
            <color theme="1"/>
            <rFont val="Aptos Narrow"/>
            <family val="2"/>
            <scheme val="minor"/>
          </rPr>
          <t>Usuario desconocido:
15-05</t>
        </r>
      </text>
    </comment>
    <comment ref="E19" authorId="3" shapeId="0" xr:uid="{00000000-0006-0000-0100-000005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shapeId="0" xr:uid="{00000000-0006-0000-0100-000006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shapeId="0" xr:uid="{00000000-0006-0000-0100-000007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shapeId="0" xr:uid="{00000000-0006-0000-0100-000008000000}">
      <text>
        <r>
          <rPr>
            <sz val="11"/>
            <color theme="1"/>
            <rFont val="Aptos Narrow"/>
            <family val="2"/>
            <scheme val="minor"/>
          </rPr>
          <t>Usuario desconocido:
14-may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tc={7E8D7FCC-49A0-4E05-B3D9-A030207166B8}</author>
    <author>tc={D3A0CC08-C2D9-45E4-BCCA-9E8F56518034}</author>
    <author>tc={88973129-DE01-4849-80F6-A05D7CED341B}</author>
  </authors>
  <commentList>
    <comment ref="S10" authorId="0" shapeId="0" xr:uid="{00000000-0006-0000-0300-000001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shapeId="0" xr:uid="{00000000-0006-0000-0300-000002000000}">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shapeId="0" xr:uid="{00000000-0006-0000-0300-00000300000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<sst xmlns="http://schemas.openxmlformats.org/spreadsheetml/2006/main" count="28498" uniqueCount="2423">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</sst>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8601"/>
        <bgColor indexed="64"/>
      </patternFill>
    </fill>
    <fill>
      <patternFill patternType="solid">
        <fgColor theme="4" tint="-0.24994659260841701"/>
        <bgColor indexed="64"/>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3" fillId="0" borderId="0" applyNumberFormat="0" applyFill="0" applyBorder="0" applyAlignment="0" applyProtection="0"/>
  </cellStyleXfs>
  <cellXfs count="26">
    <xf numFmtId="0" fontId="0" fillId="0" borderId="0" xfId="0"/>
    <xf numFmtId="0" fontId="1" fillId="0" borderId="0" xfId="0" applyFont="1"/>
    <xf numFmtId="14" fontId="1" fillId="0" borderId="0" xfId="0" applyNumberFormat="1" applyFont="1"/>
    <xf numFmtId="0" fontId="2" fillId="2" borderId="0" xfId="0" applyFont="1" applyFill="1"/>
    <xf numFmtId="15" fontId="2" fillId="2" borderId="0" xfId="0" applyNumberFormat="1" applyFont="1" applyFill="1"/>
    <xf numFmtId="0" fontId="1" fillId="0" borderId="0" xfId="0" applyFont="1" applyAlignment="1">
      <alignment horizontal="left"/>
    </xf>
    <xf numFmtId="0" fontId="3" fillId="0" borderId="0" xfId="1"/>
    <xf numFmtId="0" fontId="2" fillId="3" borderId="0" xfId="0" applyFont="1" applyFill="1"/>
    <xf numFmtId="0" fontId="3" fillId="0" borderId="0" xfId="1" applyFill="1" applyAlignment="1">
      <alignment horizontal="left"/>
    </xf>
    <xf numFmtId="0" fontId="4" fillId="0" borderId="0" xfId="0" applyFont="1"/>
    <xf numFmtId="0" fontId="1" fillId="0" borderId="0" xfId="0" applyFont="1" applyAlignment="1">
      <alignment horizontal="right"/>
    </xf>
    <xf numFmtId="0" fontId="5" fillId="0" borderId="0" xfId="0" applyFont="1" applyAlignment="1">
      <alignment vertical="center"/>
    </xf>
    <xf numFmtId="0" fontId="5" fillId="0" borderId="0" xfId="0" applyFont="1" applyAlignment="1">
      <alignment horizontal="center" vertical="center"/>
    </xf>
    <xf numFmtId="0" fontId="5" fillId="0" borderId="0" xfId="0" applyFont="1" applyAlignment="1">
      <alignment horizontal="left" vertical="center"/>
    </xf>
    <xf numFmtId="0" fontId="2" fillId="2" borderId="0" xfId="0" applyFont="1" applyFill="1" applyAlignment="1">
      <alignment horizontal="center"/>
    </xf>
    <xf numFmtId="0" fontId="1" fillId="0" borderId="0" xfId="0" applyFont="1" applyAlignment="1">
      <alignment horizontal="center"/>
    </xf>
    <xf numFmtId="14" fontId="0" fillId="0" borderId="0" xfId="0" applyNumberFormat="1"/>
    <xf numFmtId="14" fontId="2" fillId="2" borderId="0" xfId="0" applyNumberFormat="1" applyFont="1" applyFill="1" applyAlignment="1">
      <alignment horizontal="center"/>
    </xf>
    <xf numFmtId="14" fontId="2" fillId="2" borderId="0" xfId="0" applyNumberFormat="1" applyFont="1" applyFill="1"/>
    <xf numFmtId="0" fontId="0" fillId="0" borderId="0" xfId="0" applyAlignment="1">
      <alignment horizontal="center" vertical="center"/>
    </xf>
    <xf numFmtId="0" fontId="0" fillId="0" borderId="0" xfId="0" quotePrefix="1" applyAlignment="1">
      <alignment horizontal="center" vertical="center"/>
    </xf>
    <xf numFmtId="0" fontId="0" fillId="0" borderId="0" xfId="0" applyAlignment="1">
      <alignment horizontal="center"/>
    </xf>
    <xf numFmtId="0" fontId="2" fillId="2" borderId="0" xfId="0" applyFont="1" applyFill="1" applyAlignment="1">
      <alignment horizontal="left"/>
    </xf>
    <xf numFmtId="0" fontId="0" fillId="0" borderId="0" xfId="0" applyAlignment="1">
      <alignment horizontal="left"/>
    </xf>
    <xf numFmtId="0" fontId="13" fillId="0" borderId="0" xfId="0" applyFont="1" applyAlignment="1">
      <alignment vertical="center"/>
    </xf>
    <xf numFmtId="0" fontId="0" fillId="0" borderId="0" xfId="0" quotePrefix="1"/>
  </cellXfs>
  <cellStyles count="3">
    <cellStyle name="Hipervínculo" xfId="1" builtinId="8"/>
    <cellStyle name="Hyperlink" xfId="2" xr:uid="{00000000-0005-0000-0000-000001000000}"/>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instagram.com/adrianaleoncantella/?hl=es" TargetMode="External"/><Relationship Id="rId117" Type="http://schemas.openxmlformats.org/officeDocument/2006/relationships/hyperlink" Target="mailto:lourdeshuanca@yahoo.es%0a51(1)%20424-1611" TargetMode="External"/><Relationship Id="rId21" Type="http://schemas.openxmlformats.org/officeDocument/2006/relationships/hyperlink" Target="https://www.linkedin.com/in/juana-avellaneda-c-b29b70b5/" TargetMode="External"/><Relationship Id="rId42" Type="http://schemas.openxmlformats.org/officeDocument/2006/relationships/hyperlink" Target="mailto:sintabues.org@gmail.com" TargetMode="External"/><Relationship Id="rId47" Type="http://schemas.openxmlformats.org/officeDocument/2006/relationships/hyperlink" Target="mailto:servicedesk@pj.gob.pe" TargetMode="External"/><Relationship Id="rId63" Type="http://schemas.openxmlformats.org/officeDocument/2006/relationships/hyperlink" Target="https://www.linkedin.com/in/catasubirana/" TargetMode="External"/><Relationship Id="rId68" Type="http://schemas.openxmlformats.org/officeDocument/2006/relationships/hyperlink" Target="mailto:susana.trazamos@hotmail.com%0a" TargetMode="External"/><Relationship Id="rId84" Type="http://schemas.openxmlformats.org/officeDocument/2006/relationships/hyperlink" Target="mailto:nora.dd73@gmail.com" TargetMode="External"/><Relationship Id="rId89" Type="http://schemas.openxmlformats.org/officeDocument/2006/relationships/hyperlink" Target="mailto:dreayac@gmail.com%0a(066)%20311395" TargetMode="External"/><Relationship Id="rId112" Type="http://schemas.openxmlformats.org/officeDocument/2006/relationships/hyperlink" Target="mailto:bcama@pj.gob.pe%0a914025498" TargetMode="External"/><Relationship Id="rId16" Type="http://schemas.openxmlformats.org/officeDocument/2006/relationships/hyperlink" Target="https://www.instagram.com/pasosfirmes_peru/%20%20asociacionpasosfirmes@gmail.com" TargetMode="External"/><Relationship Id="rId107" Type="http://schemas.openxmlformats.org/officeDocument/2006/relationships/hyperlink" Target="mailto:mtorrico@pj.gob.pe%0a914024867" TargetMode="External"/><Relationship Id="rId11" Type="http://schemas.openxmlformats.org/officeDocument/2006/relationships/hyperlink" Target="mailto:info@appv.pe" TargetMode="External"/><Relationship Id="rId32" Type="http://schemas.openxmlformats.org/officeDocument/2006/relationships/hyperlink" Target="mailto:arebaza@mpfn.gob.pe" TargetMode="External"/><Relationship Id="rId37" Type="http://schemas.openxmlformats.org/officeDocument/2006/relationships/hyperlink" Target="mailto:mesadepartesdigital@mimp.gob.pe" TargetMode="External"/><Relationship Id="rId53" Type="http://schemas.openxmlformats.org/officeDocument/2006/relationships/hyperlink" Target="mailto:peru.office@unfpa.org%20/%20(+511)%20226%201026" TargetMode="External"/><Relationship Id="rId58" Type="http://schemas.openxmlformats.org/officeDocument/2006/relationships/hyperlink" Target="mailto:orpio-baseregional_aidesep@hotmail.com%20/%20(065)%20227345" TargetMode="External"/><Relationship Id="rId74" Type="http://schemas.openxmlformats.org/officeDocument/2006/relationships/hyperlink" Target="mailto:mavila@proetica.org.pe" TargetMode="External"/><Relationship Id="rId79" Type="http://schemas.openxmlformats.org/officeDocument/2006/relationships/hyperlink" Target="mailto:caballero@unfpa.org.pe" TargetMode="External"/><Relationship Id="rId102" Type="http://schemas.openxmlformats.org/officeDocument/2006/relationships/hyperlink" Target="https://www.linkedin.com/in/gisella-milagros-godier-del-castillo-ba20b05b/" TargetMode="External"/><Relationship Id="rId5" Type="http://schemas.openxmlformats.org/officeDocument/2006/relationships/hyperlink" Target="mailto:cenann.cep@iglesiacatolica.org.pe" TargetMode="External"/><Relationship Id="rId90" Type="http://schemas.openxmlformats.org/officeDocument/2006/relationships/hyperlink" Target="mailto:jortiza@pj.gob.pe%0a(066)%20490066" TargetMode="External"/><Relationship Id="rId95" Type="http://schemas.openxmlformats.org/officeDocument/2006/relationships/hyperlink" Target="mailto:wilfredocaillahua1984@gmail.com%0a999%20024%20608" TargetMode="External"/><Relationship Id="rId22" Type="http://schemas.openxmlformats.org/officeDocument/2006/relationships/hyperlink" Target="https://www.linkedin.com/in/paola-ugaz-8b352a52/?originalSubdomain=pe" TargetMode="External"/><Relationship Id="rId27" Type="http://schemas.openxmlformats.org/officeDocument/2006/relationships/hyperlink" Target="mailto:pverano@gruporpp.com.pe" TargetMode="External"/><Relationship Id="rId43" Type="http://schemas.openxmlformats.org/officeDocument/2006/relationships/hyperlink" Target="mailto:psotelo@mimp.gob.pe" TargetMode="External"/><Relationship Id="rId48" Type="http://schemas.openxmlformats.org/officeDocument/2006/relationships/hyperlink" Target="mailto:redmicaelas.pe@gmail.com/" TargetMode="External"/><Relationship Id="rId64" Type="http://schemas.openxmlformats.org/officeDocument/2006/relationships/hyperlink" Target="mailto:prensa@contranoticia.pe" TargetMode="External"/><Relationship Id="rId69" Type="http://schemas.openxmlformats.org/officeDocument/2006/relationships/hyperlink" Target="mailto:presidencia@amep.org.pe" TargetMode="External"/><Relationship Id="rId113" Type="http://schemas.openxmlformats.org/officeDocument/2006/relationships/hyperlink" Target="mailto:rquispey@pj.gob.pe%0a914025402" TargetMode="External"/><Relationship Id="rId118" Type="http://schemas.openxmlformats.org/officeDocument/2006/relationships/hyperlink" Target="mailto:cepesju@cepesju.org%0a+51%20(1)%20471%2035%2087%0a+51%20999%20952%20504" TargetMode="External"/><Relationship Id="rId80" Type="http://schemas.openxmlformats.org/officeDocument/2006/relationships/hyperlink" Target="mailto:consultoriolegal@accionporigualdad.com" TargetMode="External"/><Relationship Id="rId85" Type="http://schemas.openxmlformats.org/officeDocument/2006/relationships/hyperlink" Target="mailto:kcorimanya@regionloreto.gob.pe" TargetMode="External"/><Relationship Id="rId12" Type="http://schemas.openxmlformats.org/officeDocument/2006/relationships/hyperlink" Target="mailto:myc@demus.org.pe" TargetMode="External"/><Relationship Id="rId17" Type="http://schemas.openxmlformats.org/officeDocument/2006/relationships/hyperlink" Target="https://www.linkedin.com/in/sofiacarrillozegarra/" TargetMode="External"/><Relationship Id="rId33" Type="http://schemas.openxmlformats.org/officeDocument/2006/relationships/hyperlink" Target="mailto:servicedesk@pj.gob.pe." TargetMode="External"/><Relationship Id="rId38" Type="http://schemas.openxmlformats.org/officeDocument/2006/relationships/hyperlink" Target="mailto:car.barcoiris@gmail.com%20%20cel%20949605237" TargetMode="External"/><Relationship Id="rId59" Type="http://schemas.openxmlformats.org/officeDocument/2006/relationships/hyperlink" Target="mailto:orauo347@gmail.com" TargetMode="External"/><Relationship Id="rId103" Type="http://schemas.openxmlformats.org/officeDocument/2006/relationships/hyperlink" Target="mailto:lmendoza@migraciones.gob.pe(01)%20200%201000%20/%20Anexo%201250" TargetMode="External"/><Relationship Id="rId108" Type="http://schemas.openxmlformats.org/officeDocument/2006/relationships/hyperlink" Target="mailto:esalazarp@pj.gob.pe%0a914025484" TargetMode="External"/><Relationship Id="rId54" Type="http://schemas.openxmlformats.org/officeDocument/2006/relationships/hyperlink" Target="mailto:registry.pe@undp.org" TargetMode="External"/><Relationship Id="rId70" Type="http://schemas.openxmlformats.org/officeDocument/2006/relationships/hyperlink" Target="mailto:Kanttuperu@yahoo.es" TargetMode="External"/><Relationship Id="rId75" Type="http://schemas.openxmlformats.org/officeDocument/2006/relationships/hyperlink" Target="mailto:rednacionalpj@gmail.com%20" TargetMode="External"/><Relationship Id="rId91" Type="http://schemas.openxmlformats.org/officeDocument/2006/relationships/hyperlink" Target="mailto:pjfs.ayacucho@mpfn.gob.pe%0a(066)314450" TargetMode="External"/><Relationship Id="rId96" Type="http://schemas.openxmlformats.org/officeDocument/2006/relationships/hyperlink" Target="mailto:fredy_301@hotmail.com%0a927292606" TargetMode="External"/><Relationship Id="rId1" Type="http://schemas.openxmlformats.org/officeDocument/2006/relationships/hyperlink" Target="https://www.linkedin.com/in/elena-portilla-odlianitskaya/" TargetMode="External"/><Relationship Id="rId6" Type="http://schemas.openxmlformats.org/officeDocument/2006/relationships/hyperlink" Target="https://www.linkedin.com/in/eliana-revollar-a%C3%B1a%C3%B1os-18b46b225/?originalSubdomain=pe" TargetMode="External"/><Relationship Id="rId23" Type="http://schemas.openxmlformats.org/officeDocument/2006/relationships/hyperlink" Target="https://www.linkedin.com/in/gianfranco-huaman/" TargetMode="External"/><Relationship Id="rId28" Type="http://schemas.openxmlformats.org/officeDocument/2006/relationships/hyperlink" Target="https://www.linkedin.com/in/roc%C3%ADo-romero-benites-457031115/" TargetMode="External"/><Relationship Id="rId49" Type="http://schemas.openxmlformats.org/officeDocument/2006/relationships/hyperlink" Target="mailto:mesadepartes.fpedv.maynas@gmail.com" TargetMode="External"/><Relationship Id="rId114" Type="http://schemas.openxmlformats.org/officeDocument/2006/relationships/hyperlink" Target="mailto:sefajardo@pj.gob.pe%0a914025587" TargetMode="External"/><Relationship Id="rId119" Type="http://schemas.openxmlformats.org/officeDocument/2006/relationships/hyperlink" Target="mailto:cepesju@cepesju.org%0a+51%20(1)%20471%2035%2087%0a+51%20999%20952%20504" TargetMode="External"/><Relationship Id="rId10" Type="http://schemas.openxmlformats.org/officeDocument/2006/relationships/hyperlink" Target="mailto:consejodemujeresawajunwampis@gmail.com" TargetMode="External"/><Relationship Id="rId31" Type="http://schemas.openxmlformats.org/officeDocument/2006/relationships/hyperlink" Target="mailto:ariana.lira@comercio.com.pe" TargetMode="External"/><Relationship Id="rId44" Type="http://schemas.openxmlformats.org/officeDocument/2006/relationships/hyperlink" Target="mailto:wayrawarmikuna@gmail.com%20" TargetMode="External"/><Relationship Id="rId52" Type="http://schemas.openxmlformats.org/officeDocument/2006/relationships/hyperlink" Target="mailto:kvelasco@pucp.edu.pe" TargetMode="External"/><Relationship Id="rId60" Type="http://schemas.openxmlformats.org/officeDocument/2006/relationships/hyperlink" Target="mailto:convocaperiodismo@convoca.pe" TargetMode="External"/><Relationship Id="rId65" Type="http://schemas.openxmlformats.org/officeDocument/2006/relationships/hyperlink" Target="mailto:feconau1@gmail.com%0a(061)%20625262" TargetMode="External"/><Relationship Id="rId73" Type="http://schemas.openxmlformats.org/officeDocument/2006/relationships/hyperlink" Target="mailto:k.allca@pucp.edu.pe" TargetMode="External"/><Relationship Id="rId78" Type="http://schemas.openxmlformats.org/officeDocument/2006/relationships/hyperlink" Target="mailto:miguel.levano@oxfam.org" TargetMode="External"/><Relationship Id="rId81" Type="http://schemas.openxmlformats.org/officeDocument/2006/relationships/hyperlink" Target="mailto:metacalidaddevida@hotmail.com%0a(066)%20302683" TargetMode="External"/><Relationship Id="rId86" Type="http://schemas.openxmlformats.org/officeDocument/2006/relationships/hyperlink" Target="mailto:inimab@muniventanilla.gob.pe%0a(01)%209040387" TargetMode="External"/><Relationship Id="rId94" Type="http://schemas.openxmlformats.org/officeDocument/2006/relationships/hyperlink" Target="mailto:930480207pomalopezpatricia@hotmail.com" TargetMode="External"/><Relationship Id="rId99" Type="http://schemas.openxmlformats.org/officeDocument/2006/relationships/hyperlink" Target="mailto:alcaldia@munipadreabad.gob.pe" TargetMode="External"/><Relationship Id="rId101" Type="http://schemas.openxmlformats.org/officeDocument/2006/relationships/hyperlink" Target="mailto:hlima@pj.gob.pe" TargetMode="External"/><Relationship Id="rId4" Type="http://schemas.openxmlformats.org/officeDocument/2006/relationships/hyperlink" Target="https://www.linkedin.com/in/flavia-martinez-tarazona-6b67b714a/" TargetMode="External"/><Relationship Id="rId9" Type="http://schemas.openxmlformats.org/officeDocument/2006/relationships/hyperlink" Target="mailto:memebun@fordesarequipa.org" TargetMode="External"/><Relationship Id="rId13" Type="http://schemas.openxmlformats.org/officeDocument/2006/relationships/hyperlink" Target="mailto:ccabanillas@pj.gob.pe" TargetMode="External"/><Relationship Id="rId18" Type="http://schemas.openxmlformats.org/officeDocument/2006/relationships/hyperlink" Target="https://www.linkedin.com/in/lorena-alvarez-46b9a795/" TargetMode="External"/><Relationship Id="rId39" Type="http://schemas.openxmlformats.org/officeDocument/2006/relationships/hyperlink" Target="mailto:cvilela@jne.gob.pe" TargetMode="External"/><Relationship Id="rId109" Type="http://schemas.openxmlformats.org/officeDocument/2006/relationships/hyperlink" Target="mailto:cnaupap@pj.gob.pe%0a914025235" TargetMode="External"/><Relationship Id="rId34" Type="http://schemas.openxmlformats.org/officeDocument/2006/relationships/hyperlink" Target="mailto:servicedesk@pj.gob.pe." TargetMode="External"/><Relationship Id="rId50" Type="http://schemas.openxmlformats.org/officeDocument/2006/relationships/hyperlink" Target="mailto:mesadepartes.fpedv.maynas@gmail.com" TargetMode="External"/><Relationship Id="rId55" Type="http://schemas.openxmlformats.org/officeDocument/2006/relationships/hyperlink" Target="mailto:unodc-peru@un.org" TargetMode="External"/><Relationship Id="rId76" Type="http://schemas.openxmlformats.org/officeDocument/2006/relationships/hyperlink" Target="mailto:taepunmsm@gmail.com" TargetMode="External"/><Relationship Id="rId97" Type="http://schemas.openxmlformats.org/officeDocument/2006/relationships/hyperlink" Target="mailto:mpvasquez@cultura.gob.pe(01)%20714%200102%20/%20Anexo%207061" TargetMode="External"/><Relationship Id="rId104" Type="http://schemas.openxmlformats.org/officeDocument/2006/relationships/hyperlink" Target="mailto:kcochachi@pj.gob.pe%0a914025481" TargetMode="External"/><Relationship Id="rId7" Type="http://schemas.openxmlformats.org/officeDocument/2006/relationships/hyperlink" Target="mailto:echagua@pj.gob.pe" TargetMode="External"/><Relationship Id="rId71" Type="http://schemas.openxmlformats.org/officeDocument/2006/relationships/hyperlink" Target="mailto:cavera@minedu.gob.pe" TargetMode="External"/><Relationship Id="rId92" Type="http://schemas.openxmlformats.org/officeDocument/2006/relationships/hyperlink" Target="mailto:wvega@defensoria.gob.pe%0a(066)%20311256" TargetMode="External"/><Relationship Id="rId2" Type="http://schemas.openxmlformats.org/officeDocument/2006/relationships/hyperlink" Target="https://www.linkedin.com/in/alejandra-saffon-26761671/?originalSubdomain=co/%20928974196" TargetMode="External"/><Relationship Id="rId29" Type="http://schemas.openxmlformats.org/officeDocument/2006/relationships/hyperlink" Target="mailto:pedroluisramos91@gmail.com" TargetMode="External"/><Relationship Id="rId24" Type="http://schemas.openxmlformats.org/officeDocument/2006/relationships/hyperlink" Target="https://x.com/gloriaziegler" TargetMode="External"/><Relationship Id="rId40" Type="http://schemas.openxmlformats.org/officeDocument/2006/relationships/hyperlink" Target="mailto:rjoyo@pj.gob.pe" TargetMode="External"/><Relationship Id="rId45" Type="http://schemas.openxmlformats.org/officeDocument/2006/relationships/hyperlink" Target="mailto:direccionejecutiva@tarpurisunchis.org" TargetMode="External"/><Relationship Id="rId66" Type="http://schemas.openxmlformats.org/officeDocument/2006/relationships/hyperlink" Target="mailto:fenamad@fenamad.com.pe%0a%0a(082)%20572499" TargetMode="External"/><Relationship Id="rId87" Type="http://schemas.openxmlformats.org/officeDocument/2006/relationships/hyperlink" Target="mailto:lagama@aurora.gob.pe%0a(066)%20314963" TargetMode="External"/><Relationship Id="rId110" Type="http://schemas.openxmlformats.org/officeDocument/2006/relationships/hyperlink" Target="mailto:ncabreral@pj.gob.pe%0a914025168" TargetMode="External"/><Relationship Id="rId115" Type="http://schemas.openxmlformats.org/officeDocument/2006/relationships/hyperlink" Target="mailto:hvalverdee@pj.gob.pe%0a914025352" TargetMode="External"/><Relationship Id="rId61" Type="http://schemas.openxmlformats.org/officeDocument/2006/relationships/hyperlink" Target="https://www.linkedin.com/in/est%C3%A9fany-luj%C3%A1n-quispe-a874b765/" TargetMode="External"/><Relationship Id="rId82" Type="http://schemas.openxmlformats.org/officeDocument/2006/relationships/hyperlink" Target="mailto:metacalidaddevida@hotmail.com%0a(066)%20302683" TargetMode="External"/><Relationship Id="rId19" Type="http://schemas.openxmlformats.org/officeDocument/2006/relationships/hyperlink" Target="https://x.com/fabiolatorres?lang=es" TargetMode="External"/><Relationship Id="rId14" Type="http://schemas.openxmlformats.org/officeDocument/2006/relationships/hyperlink" Target="mailto:divpna.ciecomas@policia.gob.pe" TargetMode="External"/><Relationship Id="rId30" Type="http://schemas.openxmlformats.org/officeDocument/2006/relationships/hyperlink" Target="https://x.com/Pam_mdf/%20pamela.hb2007@gmail.com%20pamela.huerta@almargen-media.com" TargetMode="External"/><Relationship Id="rId35" Type="http://schemas.openxmlformats.org/officeDocument/2006/relationships/hyperlink" Target="https://sgd.minjus.gob.pe/sgd-virtual/public/ciudadano/ciudadanoMain.xhtml" TargetMode="External"/><Relationship Id="rId56" Type="http://schemas.openxmlformats.org/officeDocument/2006/relationships/hyperlink" Target="mailto:oce.peru@aecid.es%20/%20(+51-1)%20202%207000" TargetMode="External"/><Relationship Id="rId77" Type="http://schemas.openxmlformats.org/officeDocument/2006/relationships/hyperlink" Target="mailto:carmen.espinoza@manuela.org.p" TargetMode="External"/><Relationship Id="rId100" Type="http://schemas.openxmlformats.org/officeDocument/2006/relationships/hyperlink" Target="mailto:kchamoly@defensoria.gob.pe%0a061%20578633%0a061%20577934" TargetMode="External"/><Relationship Id="rId105" Type="http://schemas.openxmlformats.org/officeDocument/2006/relationships/hyperlink" Target="mailto:cnajarr@pj.gob.pe%0a914025420" TargetMode="External"/><Relationship Id="rId8" Type="http://schemas.openxmlformats.org/officeDocument/2006/relationships/hyperlink" Target="mailto:alfroja.pe@gmail.com" TargetMode="External"/><Relationship Id="rId51" Type="http://schemas.openxmlformats.org/officeDocument/2006/relationships/hyperlink" Target="mailto:rcs-peru@un.org%20/%20(+51-1)%20625%209000" TargetMode="External"/><Relationship Id="rId72" Type="http://schemas.openxmlformats.org/officeDocument/2006/relationships/hyperlink" Target="mailto:marielenarm@gmail.com" TargetMode="External"/><Relationship Id="rId93" Type="http://schemas.openxmlformats.org/officeDocument/2006/relationships/hyperlink" Target="mailto:oficodcc.unidcc.ayacucho@policia.gob.pe%0a066-%20316769" TargetMode="External"/><Relationship Id="rId98" Type="http://schemas.openxmlformats.org/officeDocument/2006/relationships/hyperlink" Target="mailto:alcaldia@municportillo.gob.pe061%20575241%20/%20Anexo%20102061%20591412" TargetMode="External"/><Relationship Id="rId3" Type="http://schemas.openxmlformats.org/officeDocument/2006/relationships/hyperlink" Target="https://www.facebook.com/ongmujeresuniendoesfuerzos" TargetMode="External"/><Relationship Id="rId25" Type="http://schemas.openxmlformats.org/officeDocument/2006/relationships/hyperlink" Target="https://x.com/fiomontano" TargetMode="External"/><Relationship Id="rId46" Type="http://schemas.openxmlformats.org/officeDocument/2006/relationships/hyperlink" Target="mailto:servicedesk@pj.gob.pe." TargetMode="External"/><Relationship Id="rId67" Type="http://schemas.openxmlformats.org/officeDocument/2006/relationships/hyperlink" Target="mailto:chavez@dvv-international.edu.pe" TargetMode="External"/><Relationship Id="rId116" Type="http://schemas.openxmlformats.org/officeDocument/2006/relationships/hyperlink" Target="mailto:elopezj@pj.gob.pe%0a914025306" TargetMode="External"/><Relationship Id="rId20" Type="http://schemas.openxmlformats.org/officeDocument/2006/relationships/hyperlink" Target="https://www.linkedin.com/in/claudiacisneros/" TargetMode="External"/><Relationship Id="rId41" Type="http://schemas.openxmlformats.org/officeDocument/2006/relationships/hyperlink" Target="mailto:alanyasantacruz@loscachorros.nl" TargetMode="External"/><Relationship Id="rId62" Type="http://schemas.openxmlformats.org/officeDocument/2006/relationships/hyperlink" Target="https://www.linkedin.com/in/catasubirana/" TargetMode="External"/><Relationship Id="rId83" Type="http://schemas.openxmlformats.org/officeDocument/2006/relationships/hyperlink" Target="mailto:gerencia.desarrollosocial@regionucayali.gob.pe" TargetMode="External"/><Relationship Id="rId88" Type="http://schemas.openxmlformats.org/officeDocument/2006/relationships/hyperlink" Target="mailto:jtinco@saludayacucho.gob.pe%0a(01)%205192000" TargetMode="External"/><Relationship Id="rId111" Type="http://schemas.openxmlformats.org/officeDocument/2006/relationships/hyperlink" Target="mailto:rquispes@pj.gob.pe%0a914025532" TargetMode="External"/><Relationship Id="rId15" Type="http://schemas.openxmlformats.org/officeDocument/2006/relationships/hyperlink" Target="mailto:mesaucayali@mesadeconcertacion.org.pe" TargetMode="External"/><Relationship Id="rId36" Type="http://schemas.openxmlformats.org/officeDocument/2006/relationships/hyperlink" Target="mailto:alejandra.alayza@oxfam.org%0a'+51%20984753054%20" TargetMode="External"/><Relationship Id="rId57" Type="http://schemas.openxmlformats.org/officeDocument/2006/relationships/hyperlink" Target="mailto:tmunoznajar@elcomercio.pe" TargetMode="External"/><Relationship Id="rId106" Type="http://schemas.openxmlformats.org/officeDocument/2006/relationships/hyperlink" Target="mailto:hleont@pj.gob.pe%0a91402540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aisanjuanb@gmail.com" TargetMode="External"/><Relationship Id="rId13" Type="http://schemas.openxmlformats.org/officeDocument/2006/relationships/hyperlink" Target="mailto:madresmigrantesextranjerasperu@gmail.com" TargetMode="External"/><Relationship Id="rId18" Type="http://schemas.openxmlformats.org/officeDocument/2006/relationships/hyperlink" Target="mailto:coord.peru@apurimac.it" TargetMode="External"/><Relationship Id="rId26" Type="http://schemas.openxmlformats.org/officeDocument/2006/relationships/hyperlink" Target="mailto:car.sricardo@inabif.gob.pe" TargetMode="External"/><Relationship Id="rId3" Type="http://schemas.openxmlformats.org/officeDocument/2006/relationships/hyperlink" Target="https://www.linkedin.com/in/intikilla-eutrop%C3%ADa-delgado-castro-9a585934/" TargetMode="External"/><Relationship Id="rId21" Type="http://schemas.openxmlformats.org/officeDocument/2006/relationships/hyperlink" Target="mailto:lizmelendez@flora.org.pe%0a" TargetMode="External"/><Relationship Id="rId7" Type="http://schemas.openxmlformats.org/officeDocument/2006/relationships/hyperlink" Target="mailto:vpomalaya@mpfn.gob.pe;%20victoriapomalaya@gmail.com" TargetMode="External"/><Relationship Id="rId12" Type="http://schemas.openxmlformats.org/officeDocument/2006/relationships/hyperlink" Target="mailto:redinterquorum@gmail.com" TargetMode="External"/><Relationship Id="rId17" Type="http://schemas.openxmlformats.org/officeDocument/2006/relationships/hyperlink" Target="mailto:illontop@minjus.gob.pe,%20milagrosllontopv@gmail.com" TargetMode="External"/><Relationship Id="rId25" Type="http://schemas.openxmlformats.org/officeDocument/2006/relationships/hyperlink" Target="mailto:susana.trazamos@hotmail.com%0a" TargetMode="External"/><Relationship Id="rId2" Type="http://schemas.openxmlformats.org/officeDocument/2006/relationships/hyperlink" Target="mailto:info@appv.pe" TargetMode="External"/><Relationship Id="rId16" Type="http://schemas.openxmlformats.org/officeDocument/2006/relationships/hyperlink" Target="mailto:hellen.ku@aurora.gob.pe" TargetMode="External"/><Relationship Id="rId20" Type="http://schemas.openxmlformats.org/officeDocument/2006/relationships/hyperlink" Target="mailto:gianina@quintaola.org" TargetMode="External"/><Relationship Id="rId29" Type="http://schemas.openxmlformats.org/officeDocument/2006/relationships/vmlDrawing" Target="../drawings/vmlDrawing1.vml"/><Relationship Id="rId1" Type="http://schemas.openxmlformats.org/officeDocument/2006/relationships/hyperlink" Target="https://www.linkedin.com/in/sofia-blamey-andrusco-7520096b/?locale=fr_FR" TargetMode="External"/><Relationship Id="rId6" Type="http://schemas.openxmlformats.org/officeDocument/2006/relationships/hyperlink" Target="https://sistemas.mininter.gob.pe/mesadepartesdigital/" TargetMode="External"/><Relationship Id="rId11" Type="http://schemas.openxmlformats.org/officeDocument/2006/relationships/hyperlink" Target="mailto:magaly.blas.b@upch.pe" TargetMode="External"/><Relationship Id="rId24" Type="http://schemas.openxmlformats.org/officeDocument/2006/relationships/hyperlink" Target="mailto:chavez@dvv-international.edu.pe" TargetMode="External"/><Relationship Id="rId5" Type="http://schemas.openxmlformats.org/officeDocument/2006/relationships/hyperlink" Target="mailto:zoila.cabanillas@waminam.gob.pe%0a994581446" TargetMode="External"/><Relationship Id="rId15" Type="http://schemas.openxmlformats.org/officeDocument/2006/relationships/hyperlink" Target="mailto:familiasunidasporjusticia@gmail.com" TargetMode="External"/><Relationship Id="rId23" Type="http://schemas.openxmlformats.org/officeDocument/2006/relationships/hyperlink" Target="mailto:susana.osorio@savethechildren.org" TargetMode="External"/><Relationship Id="rId28" Type="http://schemas.openxmlformats.org/officeDocument/2006/relationships/hyperlink" Target="mailto:msaravia@proetica.org.pe" TargetMode="External"/><Relationship Id="rId10" Type="http://schemas.openxmlformats.org/officeDocument/2006/relationships/hyperlink" Target="mailto:lourdes.febres@accionporlosninos.org.pe" TargetMode="External"/><Relationship Id="rId19" Type="http://schemas.openxmlformats.org/officeDocument/2006/relationships/hyperlink" Target="mailto:car.gracia@inabif.gob.pe" TargetMode="External"/><Relationship Id="rId31" Type="http://schemas.microsoft.com/office/2017/10/relationships/threadedComment" Target="../threadedComments/threadedComment1.xml"/><Relationship Id="rId4" Type="http://schemas.openxmlformats.org/officeDocument/2006/relationships/hyperlink" Target="https://www.linkedin.com/in/rosario-cosar-5b3538119/" TargetMode="External"/><Relationship Id="rId9" Type="http://schemas.openxmlformats.org/officeDocument/2006/relationships/hyperlink" Target="mailto:car.sricardo@inabif.gob.pe" TargetMode="External"/><Relationship Id="rId14" Type="http://schemas.openxmlformats.org/officeDocument/2006/relationships/hyperlink" Target="mailto:arlettecontreras@agendamujer.com" TargetMode="External"/><Relationship Id="rId22" Type="http://schemas.openxmlformats.org/officeDocument/2006/relationships/hyperlink" Target="mailto:mariapia.molero@unwomen.org" TargetMode="External"/><Relationship Id="rId27" Type="http://schemas.openxmlformats.org/officeDocument/2006/relationships/hyperlink" Target="mailto:Antonella.Rojas@savethechildren.org;%20diana.rodriguez@savethechildren.org" TargetMode="External"/><Relationship Id="rId30"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mailto:arebaza@mpfn.gob.pe" TargetMode="Externa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hyperlink" Target="mailto:kolivera@aurora.gob.pe"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55"/>
  <sheetViews>
    <sheetView tabSelected="1"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1"/>
    <col min="3" max="3" width="13.453125" style="12" customWidth="1"/>
    <col min="4" max="4" width="27.453125" style="11" customWidth="1"/>
    <col min="5" max="5" width="36.453125" style="11" customWidth="1"/>
    <col min="6" max="6" width="28.453125" style="12" customWidth="1"/>
    <col min="7" max="8" width="27.1796875" style="12" customWidth="1"/>
    <col min="9" max="9" width="20.81640625" style="12" customWidth="1"/>
    <col min="10" max="11" width="36.453125" style="12" customWidth="1"/>
    <col min="12" max="12" width="22.1796875" style="12" customWidth="1"/>
    <col min="13" max="13" width="21.81640625" style="12" customWidth="1"/>
    <col min="14" max="14" width="25.54296875" style="13" customWidth="1"/>
    <col min="15" max="15" width="23.453125" style="11" customWidth="1"/>
    <col min="16" max="16" width="40.54296875" style="11" customWidth="1"/>
    <col min="17" max="17" width="21.1796875" style="11" customWidth="1"/>
    <col min="18" max="18" width="11.453125" style="11" customWidth="1"/>
    <col min="19" max="19" width="10.1796875" style="11" customWidth="1"/>
    <col min="20" max="20" width="13.453125" style="11" customWidth="1"/>
    <col min="21" max="21" width="18" style="11" customWidth="1"/>
    <col min="22" max="24" width="14.453125" style="11" customWidth="1"/>
    <col min="25" max="27" width="15" style="11" customWidth="1"/>
    <col min="28" max="29" width="18.453125" style="11" customWidth="1"/>
    <col min="30" max="30" width="13.81640625" style="11" customWidth="1"/>
    <col min="31" max="16384" width="10.81640625" style="11"/>
  </cols>
  <sheetData>
    <row r="1" spans="2:31" x14ac:dyDescent="0.35">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spans="2:31" x14ac:dyDescent="0.35">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spans="2:31" x14ac:dyDescent="0.35">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spans="2:31" x14ac:dyDescent="0.35">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spans="2:31" x14ac:dyDescent="0.3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spans="2:31" x14ac:dyDescent="0.35">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spans="2:31" x14ac:dyDescent="0.35">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spans="2:31" x14ac:dyDescent="0.35">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spans="2:31" x14ac:dyDescent="0.35">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spans="2:31" x14ac:dyDescent="0.35">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spans="2:31" x14ac:dyDescent="0.35">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spans="2:31" x14ac:dyDescent="0.35">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spans="2:31" x14ac:dyDescent="0.35">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spans="2:31" x14ac:dyDescent="0.35">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spans="2:31" x14ac:dyDescent="0.3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spans="2:31" x14ac:dyDescent="0.35">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spans="2:31" x14ac:dyDescent="0.35">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spans="2:31" x14ac:dyDescent="0.35">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spans="2:31" x14ac:dyDescent="0.35">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spans="2:31" x14ac:dyDescent="0.35">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spans="2:31" x14ac:dyDescent="0.35">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spans="2:31" x14ac:dyDescent="0.35">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spans="2:31" x14ac:dyDescent="0.35">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spans="2:31" x14ac:dyDescent="0.35">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spans="2:31" x14ac:dyDescent="0.3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spans="2:31" x14ac:dyDescent="0.35">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spans="2:31" x14ac:dyDescent="0.35">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spans="2:31" x14ac:dyDescent="0.35">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spans="2:31" x14ac:dyDescent="0.35">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spans="2:31" x14ac:dyDescent="0.35">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spans="2:31" x14ac:dyDescent="0.35">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spans="2:31" x14ac:dyDescent="0.35">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spans="2:31" x14ac:dyDescent="0.35">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spans="2:31" x14ac:dyDescent="0.35">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spans="2:31" x14ac:dyDescent="0.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spans="2:31" x14ac:dyDescent="0.35">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spans="2:31" x14ac:dyDescent="0.35">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spans="2:31" x14ac:dyDescent="0.35">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spans="2:31" x14ac:dyDescent="0.35">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spans="2:31" x14ac:dyDescent="0.35">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spans="2:31" x14ac:dyDescent="0.35">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spans="2:31" x14ac:dyDescent="0.35">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spans="2:31" x14ac:dyDescent="0.35">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spans="2:31" x14ac:dyDescent="0.35">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spans="2:31" x14ac:dyDescent="0.3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spans="2:31" x14ac:dyDescent="0.35">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spans="2:31" x14ac:dyDescent="0.35">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spans="2:31" x14ac:dyDescent="0.35">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spans="2:31" x14ac:dyDescent="0.35">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spans="2:31" x14ac:dyDescent="0.35">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spans="2:31" x14ac:dyDescent="0.35">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spans="2:31" x14ac:dyDescent="0.35">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spans="2:31" x14ac:dyDescent="0.35">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spans="2:31" x14ac:dyDescent="0.35">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spans="2:31" x14ac:dyDescent="0.3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spans="2:31" x14ac:dyDescent="0.35">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spans="2:31" x14ac:dyDescent="0.35">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spans="2:31" x14ac:dyDescent="0.35">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spans="2:31" x14ac:dyDescent="0.35">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spans="2:31" x14ac:dyDescent="0.35">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spans="2:31" x14ac:dyDescent="0.35">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spans="2:31" x14ac:dyDescent="0.35">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spans="2:31" x14ac:dyDescent="0.35">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spans="2:31" x14ac:dyDescent="0.35">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spans="2:31" x14ac:dyDescent="0.3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spans="2:31" x14ac:dyDescent="0.35">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spans="2:31" x14ac:dyDescent="0.35">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spans="2:31" x14ac:dyDescent="0.35">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spans="2:31" x14ac:dyDescent="0.35">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spans="2:31" x14ac:dyDescent="0.35">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spans="2:31" x14ac:dyDescent="0.35">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spans="2:31" x14ac:dyDescent="0.35">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spans="2:31" x14ac:dyDescent="0.35">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spans="2:31" x14ac:dyDescent="0.35">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spans="2:31" x14ac:dyDescent="0.3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spans="2:31" x14ac:dyDescent="0.35">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spans="2:31" x14ac:dyDescent="0.35">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spans="2:31" x14ac:dyDescent="0.35">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spans="2:31" x14ac:dyDescent="0.35">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spans="2:31" x14ac:dyDescent="0.35">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spans="2:31" x14ac:dyDescent="0.35">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spans="2:31" x14ac:dyDescent="0.35">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spans="2:31" x14ac:dyDescent="0.35">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spans="2:31" x14ac:dyDescent="0.35">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spans="2:31" x14ac:dyDescent="0.3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spans="2:31" x14ac:dyDescent="0.35">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spans="2:31" x14ac:dyDescent="0.35">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spans="2:31" x14ac:dyDescent="0.35">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spans="2:31" x14ac:dyDescent="0.35">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spans="2:31" x14ac:dyDescent="0.35">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spans="2:31" x14ac:dyDescent="0.35">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spans="2:31" x14ac:dyDescent="0.35">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spans="2:31" x14ac:dyDescent="0.35">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spans="2:31" x14ac:dyDescent="0.35">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spans="2:31" x14ac:dyDescent="0.3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spans="2:31" x14ac:dyDescent="0.35">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spans="2:31" x14ac:dyDescent="0.35">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spans="2:31" x14ac:dyDescent="0.35">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spans="2:31" x14ac:dyDescent="0.35">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spans="2:31" x14ac:dyDescent="0.35">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spans="2:31" x14ac:dyDescent="0.35">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spans="2:31" x14ac:dyDescent="0.35">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spans="2:31" x14ac:dyDescent="0.35">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spans="2:31" x14ac:dyDescent="0.35">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spans="2:31" x14ac:dyDescent="0.3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spans="2:31" x14ac:dyDescent="0.35">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spans="2:31" x14ac:dyDescent="0.35">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spans="2:31" x14ac:dyDescent="0.35">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spans="2:31" x14ac:dyDescent="0.35">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spans="2:31" x14ac:dyDescent="0.35">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spans="2:31" x14ac:dyDescent="0.35">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spans="2:31" x14ac:dyDescent="0.35">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spans="2:31" x14ac:dyDescent="0.35">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spans="2:31" x14ac:dyDescent="0.35">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spans="2:31" x14ac:dyDescent="0.3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spans="2:31" x14ac:dyDescent="0.35">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spans="2:31" x14ac:dyDescent="0.35">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spans="2:31" x14ac:dyDescent="0.35">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spans="2:31" x14ac:dyDescent="0.35">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spans="2:31" x14ac:dyDescent="0.35">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spans="2:31" x14ac:dyDescent="0.35">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spans="2:31" x14ac:dyDescent="0.35">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spans="2:31" x14ac:dyDescent="0.35">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spans="2:31" x14ac:dyDescent="0.35">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spans="2:31" x14ac:dyDescent="0.3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spans="2:31" x14ac:dyDescent="0.35">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spans="2:31" x14ac:dyDescent="0.35">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spans="2:31" x14ac:dyDescent="0.35">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spans="2:31" x14ac:dyDescent="0.35">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spans="2:31" x14ac:dyDescent="0.35">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spans="2:31" x14ac:dyDescent="0.35">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spans="2:31" x14ac:dyDescent="0.35">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spans="2:31" x14ac:dyDescent="0.35">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spans="2:31" x14ac:dyDescent="0.35">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spans="2:31" x14ac:dyDescent="0.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spans="2:31" x14ac:dyDescent="0.35">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spans="2:31" x14ac:dyDescent="0.35">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spans="2:31" x14ac:dyDescent="0.35">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spans="2:31" x14ac:dyDescent="0.35">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spans="2:31" x14ac:dyDescent="0.35">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spans="2:31" x14ac:dyDescent="0.35">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spans="2:31" x14ac:dyDescent="0.35">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spans="2:31" x14ac:dyDescent="0.35">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spans="2:31" x14ac:dyDescent="0.35">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spans="2:31" x14ac:dyDescent="0.3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spans="2:31" x14ac:dyDescent="0.35">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spans="2:31" x14ac:dyDescent="0.35">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spans="2:31" x14ac:dyDescent="0.35">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spans="2:31" x14ac:dyDescent="0.35">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spans="2:31" x14ac:dyDescent="0.35">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spans="2:31" x14ac:dyDescent="0.35">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spans="2:31" x14ac:dyDescent="0.35">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spans="2:31" x14ac:dyDescent="0.35">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spans="2:31" x14ac:dyDescent="0.35">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spans="2:31" x14ac:dyDescent="0.3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spans="2:31" x14ac:dyDescent="0.35">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spans="2:31" x14ac:dyDescent="0.35">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spans="2:31" x14ac:dyDescent="0.35">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spans="2:31" x14ac:dyDescent="0.35">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spans="2:31" x14ac:dyDescent="0.35">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spans="2:31" x14ac:dyDescent="0.35">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spans="2:31" x14ac:dyDescent="0.35">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spans="2:31" x14ac:dyDescent="0.35">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spans="2:31" x14ac:dyDescent="0.35">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spans="2:31" x14ac:dyDescent="0.3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spans="2:31" x14ac:dyDescent="0.35">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spans="2:31" x14ac:dyDescent="0.35">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spans="2:31" x14ac:dyDescent="0.35">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spans="2:31" x14ac:dyDescent="0.35">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spans="2:31" x14ac:dyDescent="0.35">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spans="2:31" x14ac:dyDescent="0.35">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spans="2:31" x14ac:dyDescent="0.35">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spans="2:31" x14ac:dyDescent="0.35">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spans="2:31" x14ac:dyDescent="0.35">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spans="2:31" x14ac:dyDescent="0.3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spans="2:31" x14ac:dyDescent="0.35">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spans="2:31" x14ac:dyDescent="0.35">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spans="2:31" x14ac:dyDescent="0.35">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spans="2:31" x14ac:dyDescent="0.35">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spans="2:31" x14ac:dyDescent="0.35">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spans="2:31" x14ac:dyDescent="0.35">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spans="2:31" x14ac:dyDescent="0.35">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spans="2:31" x14ac:dyDescent="0.35">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spans="2:31" x14ac:dyDescent="0.35">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spans="2:31" x14ac:dyDescent="0.3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spans="2:31" x14ac:dyDescent="0.35">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spans="2:31" x14ac:dyDescent="0.35">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spans="2:31" x14ac:dyDescent="0.35">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spans="2:31" x14ac:dyDescent="0.35">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spans="2:31" x14ac:dyDescent="0.35">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spans="2:31" x14ac:dyDescent="0.35">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spans="2:31" x14ac:dyDescent="0.35">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spans="2:31" x14ac:dyDescent="0.35">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spans="2:31" x14ac:dyDescent="0.35">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spans="2:31" x14ac:dyDescent="0.3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spans="2:31" x14ac:dyDescent="0.35">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spans="2:31" x14ac:dyDescent="0.35">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spans="2:31" x14ac:dyDescent="0.35">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spans="2:31" x14ac:dyDescent="0.35">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spans="2:31" x14ac:dyDescent="0.35">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spans="2:31" x14ac:dyDescent="0.35">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spans="2:31" x14ac:dyDescent="0.35">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spans="2:31" x14ac:dyDescent="0.35">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spans="2:31" x14ac:dyDescent="0.35">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spans="2:31" x14ac:dyDescent="0.3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spans="2:31" x14ac:dyDescent="0.35">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spans="2:31" x14ac:dyDescent="0.35">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spans="2:31" x14ac:dyDescent="0.35">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spans="2:31" x14ac:dyDescent="0.35">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spans="2:31" x14ac:dyDescent="0.35">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spans="2:31" x14ac:dyDescent="0.35">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spans="2:31" x14ac:dyDescent="0.35">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spans="2:31" x14ac:dyDescent="0.35">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spans="2:31" x14ac:dyDescent="0.35">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spans="2:31" x14ac:dyDescent="0.3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spans="2:31" x14ac:dyDescent="0.35">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spans="2:31" x14ac:dyDescent="0.35">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spans="2:31" x14ac:dyDescent="0.35">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spans="2:31" x14ac:dyDescent="0.35">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spans="2:31" x14ac:dyDescent="0.35">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spans="2:31" x14ac:dyDescent="0.35">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spans="2:31" x14ac:dyDescent="0.35">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spans="2:31" x14ac:dyDescent="0.35">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spans="2:31" x14ac:dyDescent="0.35">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spans="2:31" x14ac:dyDescent="0.3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spans="2:31" x14ac:dyDescent="0.35">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spans="2:31" x14ac:dyDescent="0.35">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spans="2:31" x14ac:dyDescent="0.35">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spans="2:31" x14ac:dyDescent="0.35">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spans="2:31" x14ac:dyDescent="0.35">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spans="2:31" x14ac:dyDescent="0.35">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spans="2:31" x14ac:dyDescent="0.35">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spans="2:31" x14ac:dyDescent="0.35">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spans="2:31" x14ac:dyDescent="0.35">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spans="2:31" x14ac:dyDescent="0.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spans="2:31" x14ac:dyDescent="0.35">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spans="2:31" x14ac:dyDescent="0.35">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spans="2:31" x14ac:dyDescent="0.35">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spans="2:31" x14ac:dyDescent="0.35">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spans="2:31" x14ac:dyDescent="0.35">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spans="2:31" x14ac:dyDescent="0.35">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spans="2:31" x14ac:dyDescent="0.35">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spans="2:31" x14ac:dyDescent="0.35">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spans="2:31" x14ac:dyDescent="0.35">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spans="2:31" x14ac:dyDescent="0.3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spans="2:31" x14ac:dyDescent="0.35">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spans="2:31" x14ac:dyDescent="0.35">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spans="2:31" x14ac:dyDescent="0.35">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spans="2:31" x14ac:dyDescent="0.35">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spans="2:31" x14ac:dyDescent="0.35">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spans="2:31" x14ac:dyDescent="0.35">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spans="2:31" x14ac:dyDescent="0.35">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spans="2:31" x14ac:dyDescent="0.35">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spans="2:31" x14ac:dyDescent="0.35">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spans="2:31" x14ac:dyDescent="0.3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spans="2:31" x14ac:dyDescent="0.35">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spans="2:31" x14ac:dyDescent="0.35">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spans="2:31" x14ac:dyDescent="0.35">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spans="2:31" x14ac:dyDescent="0.35">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spans="2:31" x14ac:dyDescent="0.35">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spans="2:31" x14ac:dyDescent="0.35">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spans="2:31" x14ac:dyDescent="0.35">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spans="2:31" x14ac:dyDescent="0.35">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spans="2:31" x14ac:dyDescent="0.35">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spans="2:31" x14ac:dyDescent="0.3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spans="2:31" x14ac:dyDescent="0.35">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spans="2:31" x14ac:dyDescent="0.35">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spans="2:31" x14ac:dyDescent="0.35">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spans="2:31" x14ac:dyDescent="0.35">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spans="2:31" x14ac:dyDescent="0.35">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spans="2:31" x14ac:dyDescent="0.35">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spans="2:31" x14ac:dyDescent="0.35">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spans="2:31" x14ac:dyDescent="0.35">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spans="2:31" x14ac:dyDescent="0.35">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spans="2:31" x14ac:dyDescent="0.3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spans="2:31" x14ac:dyDescent="0.35">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spans="2:31" x14ac:dyDescent="0.35">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spans="2:31" x14ac:dyDescent="0.35">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spans="2:31" x14ac:dyDescent="0.35">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spans="2:31" x14ac:dyDescent="0.35">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spans="2:31" x14ac:dyDescent="0.35">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spans="2:31" x14ac:dyDescent="0.35">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spans="2:31" x14ac:dyDescent="0.35">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spans="2:31" x14ac:dyDescent="0.35">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spans="2:31" x14ac:dyDescent="0.3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spans="2:31" x14ac:dyDescent="0.35">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spans="2:31" x14ac:dyDescent="0.35">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spans="2:31" x14ac:dyDescent="0.35">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spans="2:31" x14ac:dyDescent="0.35">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spans="2:31" x14ac:dyDescent="0.35">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spans="2:31" x14ac:dyDescent="0.35">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spans="2:31" x14ac:dyDescent="0.35">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spans="2:31" x14ac:dyDescent="0.35">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spans="2:31" x14ac:dyDescent="0.35">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spans="2:31" x14ac:dyDescent="0.3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spans="2:31" x14ac:dyDescent="0.35">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spans="2:31" x14ac:dyDescent="0.35">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spans="2:31" x14ac:dyDescent="0.35">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spans="2:31" x14ac:dyDescent="0.35">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spans="2:31" x14ac:dyDescent="0.35">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spans="2:31" x14ac:dyDescent="0.35">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spans="2:31" x14ac:dyDescent="0.35">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spans="2:31" x14ac:dyDescent="0.35">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spans="2:31" x14ac:dyDescent="0.35">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spans="2:31" x14ac:dyDescent="0.3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spans="2:31" x14ac:dyDescent="0.35">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spans="2:31" x14ac:dyDescent="0.35">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spans="2:31" x14ac:dyDescent="0.35">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spans="2:31" x14ac:dyDescent="0.35">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spans="2:31" x14ac:dyDescent="0.35">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spans="2:31" x14ac:dyDescent="0.35">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spans="2:31" x14ac:dyDescent="0.35">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spans="2:31" x14ac:dyDescent="0.35">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spans="2:31" x14ac:dyDescent="0.35">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spans="2:31" x14ac:dyDescent="0.3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spans="2:31" x14ac:dyDescent="0.35">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spans="2:31" x14ac:dyDescent="0.35">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spans="2:31" x14ac:dyDescent="0.35">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spans="2:31" x14ac:dyDescent="0.35">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spans="2:31" x14ac:dyDescent="0.35">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spans="2:31" x14ac:dyDescent="0.35">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spans="2:31" x14ac:dyDescent="0.35">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spans="2:31" x14ac:dyDescent="0.35">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spans="2:31" x14ac:dyDescent="0.35">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spans="2:31" x14ac:dyDescent="0.3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spans="2:31" x14ac:dyDescent="0.35">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spans="2:31" x14ac:dyDescent="0.35">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spans="2:31" x14ac:dyDescent="0.35">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spans="2:31" x14ac:dyDescent="0.35">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spans="2:31" x14ac:dyDescent="0.35">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spans="2:31" x14ac:dyDescent="0.35">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spans="2:31" x14ac:dyDescent="0.35">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spans="2:31" x14ac:dyDescent="0.35">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spans="2:31" x14ac:dyDescent="0.35">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spans="2:31" x14ac:dyDescent="0.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spans="2:31" x14ac:dyDescent="0.35">
      <c r="B336" s="24" t="s">
        <v>416</v>
      </c>
      <c r="C336" s="12" t="s">
        <v>2038</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2313</v>
      </c>
      <c r="W336" s="11" t="s">
        <v>992</v>
      </c>
      <c r="X336" s="11" t="s">
        <v>992</v>
      </c>
      <c r="Y336" s="11" t="s">
        <v>992</v>
      </c>
      <c r="Z336" s="11" t="s">
        <v>992</v>
      </c>
      <c r="AA336" s="11" t="s">
        <v>992</v>
      </c>
      <c r="AB336" s="11" t="s">
        <v>992</v>
      </c>
      <c r="AC336" s="11" t="s">
        <v>992</v>
      </c>
      <c r="AD336" s="11" t="s">
        <v>992</v>
      </c>
      <c r="AE336" s="11" t="s">
        <v>993</v>
      </c>
    </row>
    <row r="337" spans="2:31" x14ac:dyDescent="0.35">
      <c r="B337" s="24" t="s">
        <v>416</v>
      </c>
      <c r="C337" s="12" t="s">
        <v>2039</v>
      </c>
      <c r="D337" s="11" t="s">
        <v>1042</v>
      </c>
      <c r="E337" s="11" t="s">
        <v>661</v>
      </c>
      <c r="F337" s="12" t="s">
        <v>416</v>
      </c>
      <c r="G337" s="12" t="s">
        <v>246</v>
      </c>
      <c r="H337" s="12" t="s">
        <v>246</v>
      </c>
      <c r="I337" s="12" t="s">
        <v>430</v>
      </c>
      <c r="J337" s="12" t="s">
        <v>71</v>
      </c>
      <c r="K337" s="12" t="s">
        <v>1569</v>
      </c>
      <c r="L337" s="12" t="s">
        <v>247</v>
      </c>
      <c r="M337" s="12" t="s">
        <v>992</v>
      </c>
      <c r="N337" s="13" t="s">
        <v>1081</v>
      </c>
      <c r="O337" s="11" t="s">
        <v>118</v>
      </c>
      <c r="P337" s="11" t="s">
        <v>323</v>
      </c>
      <c r="Q337" s="11" t="s">
        <v>125</v>
      </c>
      <c r="R337" s="11" t="s">
        <v>150</v>
      </c>
      <c r="S337" s="11" t="s">
        <v>125</v>
      </c>
      <c r="T337" s="11" t="s">
        <v>125</v>
      </c>
      <c r="U337" s="11" t="s">
        <v>1014</v>
      </c>
      <c r="V337" s="11" t="s">
        <v>2313</v>
      </c>
      <c r="W337" s="11" t="s">
        <v>992</v>
      </c>
      <c r="X337" s="11" t="s">
        <v>992</v>
      </c>
      <c r="Y337" s="11" t="s">
        <v>992</v>
      </c>
      <c r="Z337" s="11" t="s">
        <v>2371</v>
      </c>
      <c r="AA337" s="11" t="s">
        <v>2371</v>
      </c>
      <c r="AB337" s="11" t="s">
        <v>30</v>
      </c>
      <c r="AC337" s="11" t="s">
        <v>1332</v>
      </c>
      <c r="AD337" s="11" t="s">
        <v>992</v>
      </c>
      <c r="AE337" s="11" t="s">
        <v>993</v>
      </c>
    </row>
    <row r="338" spans="2:31" x14ac:dyDescent="0.35">
      <c r="B338" s="24" t="s">
        <v>308</v>
      </c>
      <c r="C338" s="12" t="s">
        <v>2040</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1768</v>
      </c>
    </row>
    <row r="339" spans="2:31" x14ac:dyDescent="0.35">
      <c r="B339" s="24" t="s">
        <v>314</v>
      </c>
      <c r="C339" s="12" t="s">
        <v>2041</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spans="2:31" x14ac:dyDescent="0.35">
      <c r="B340" s="24" t="s">
        <v>49</v>
      </c>
      <c r="C340" s="12" t="s">
        <v>2042</v>
      </c>
      <c r="D340" s="11" t="s">
        <v>1043</v>
      </c>
      <c r="E340" s="11" t="s">
        <v>1063</v>
      </c>
      <c r="F340" s="12" t="s">
        <v>49</v>
      </c>
      <c r="G340" s="12" t="s">
        <v>246</v>
      </c>
      <c r="H340" s="12" t="s">
        <v>246</v>
      </c>
      <c r="I340" s="12" t="s">
        <v>2412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2313</v>
      </c>
      <c r="W340" s="11" t="s">
        <v>992</v>
      </c>
      <c r="X340" s="11" t="s">
        <v>992</v>
      </c>
      <c r="Y340" s="11" t="s">
        <v>992</v>
      </c>
      <c r="Z340" s="11" t="s">
        <v>992</v>
      </c>
      <c r="AA340" s="11" t="s">
        <v>992</v>
      </c>
      <c r="AB340" s="11" t="s">
        <v>992</v>
      </c>
      <c r="AC340" s="11" t="s">
        <v>992</v>
      </c>
      <c r="AD340" s="11" t="s">
        <v>992</v>
      </c>
      <c r="AE340" s="11" t="s">
        <v>993</v>
      </c>
    </row>
    <row r="341" spans="2:31" x14ac:dyDescent="0.35">
      <c r="B341" s="24" t="s">
        <v>49</v>
      </c>
      <c r="C341" s="12" t="s">
        <v>2043</v>
      </c>
      <c r="D341" s="11" t="s">
        <v>1044</v>
      </c>
      <c r="E341" s="11" t="s">
        <v>282</v>
      </c>
      <c r="F341" s="12" t="s">
        <v>49</v>
      </c>
      <c r="G341" s="12" t="s">
        <v>246</v>
      </c>
      <c r="H341" s="12" t="s">
        <v>246</v>
      </c>
      <c r="I341" s="12" t="s">
        <v>2412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spans="2:31" x14ac:dyDescent="0.35">
      <c r="B342" s="24" t="s">
        <v>311</v>
      </c>
      <c r="C342" s="12" t="s">
        <v>2044</v>
      </c>
      <c r="D342" s="11" t="s">
        <v>1045</v>
      </c>
      <c r="E342" s="11" t="s">
        <v>1064</v>
      </c>
      <c r="F342" s="12" t="s">
        <v>311</v>
      </c>
      <c r="G342" s="12" t="s">
        <v>246</v>
      </c>
      <c r="H342" s="12" t="s">
        <v>246</v>
      </c>
      <c r="I342" s="12" t="s">
        <v>2412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2316</v>
      </c>
      <c r="W342" s="11" t="s">
        <v>992</v>
      </c>
      <c r="X342" s="11" t="s">
        <v>992</v>
      </c>
      <c r="Y342" s="11" t="s">
        <v>2341</v>
      </c>
      <c r="Z342" s="11" t="s">
        <v>2372</v>
      </c>
      <c r="AA342" s="11" t="s">
        <v>2372</v>
      </c>
      <c r="AB342" s="11" t="s">
        <v>30</v>
      </c>
      <c r="AC342" s="11" t="s">
        <v>1342</v>
      </c>
      <c r="AD342" s="11" t="s">
        <v>992</v>
      </c>
      <c r="AE342" s="11" t="s">
        <v>993</v>
      </c>
    </row>
    <row r="343" spans="2:31" x14ac:dyDescent="0.35">
      <c r="B343" s="24" t="s">
        <v>283</v>
      </c>
      <c r="C343" s="12" t="s">
        <v>2045</v>
      </c>
      <c r="D343" s="11" t="s">
        <v>1046</v>
      </c>
      <c r="E343" s="11" t="s">
        <v>1301</v>
      </c>
      <c r="F343" s="12" t="s">
        <v>283</v>
      </c>
      <c r="G343" s="12" t="s">
        <v>246</v>
      </c>
      <c r="H343" s="12" t="s">
        <v>246</v>
      </c>
      <c r="I343" s="12" t="s">
        <v>2412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2313</v>
      </c>
      <c r="W343" s="11" t="s">
        <v>992</v>
      </c>
      <c r="X343" s="11" t="s">
        <v>992</v>
      </c>
      <c r="Y343" s="11" t="s">
        <v>992</v>
      </c>
      <c r="Z343" s="11" t="s">
        <v>992</v>
      </c>
      <c r="AA343" s="11" t="s">
        <v>992</v>
      </c>
      <c r="AB343" s="11" t="s">
        <v>992</v>
      </c>
      <c r="AC343" s="11" t="s">
        <v>992</v>
      </c>
      <c r="AD343" s="11" t="s">
        <v>992</v>
      </c>
      <c r="AE343" s="11" t="s">
        <v>993</v>
      </c>
    </row>
    <row r="344" spans="2:31" x14ac:dyDescent="0.35">
      <c r="B344" s="24" t="s">
        <v>49</v>
      </c>
      <c r="C344" s="12" t="s">
        <v>2046</v>
      </c>
      <c r="D344" s="11" t="s">
        <v>1047</v>
      </c>
      <c r="E344" s="11" t="s">
        <v>1065</v>
      </c>
      <c r="F344" s="12" t="s">
        <v>49</v>
      </c>
      <c r="G344" s="12" t="s">
        <v>246</v>
      </c>
      <c r="H344" s="12" t="s">
        <v>246</v>
      </c>
      <c r="I344" s="12" t="s">
        <v>2412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spans="2:31" x14ac:dyDescent="0.35">
      <c r="B345" s="24" t="s">
        <v>49</v>
      </c>
      <c r="C345" s="12" t="s">
        <v>2047</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2313</v>
      </c>
      <c r="W345" s="11" t="s">
        <v>992</v>
      </c>
      <c r="X345" s="11" t="s">
        <v>992</v>
      </c>
      <c r="Y345" s="11" t="s">
        <v>992</v>
      </c>
      <c r="Z345" s="11" t="s">
        <v>992</v>
      </c>
      <c r="AA345" s="11" t="s">
        <v>992</v>
      </c>
      <c r="AB345" s="11" t="s">
        <v>992</v>
      </c>
      <c r="AC345" s="11" t="s">
        <v>992</v>
      </c>
      <c r="AD345" s="11" t="s">
        <v>992</v>
      </c>
      <c r="AE345" s="11" t="s">
        <v>993</v>
      </c>
    </row>
    <row r="346" spans="2:31" x14ac:dyDescent="0.35">
      <c r="B346" s="24" t="s">
        <v>314</v>
      </c>
      <c r="C346" s="12" t="s">
        <v>2048</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spans="2:31" x14ac:dyDescent="0.35">
      <c r="B347" s="24" t="s">
        <v>283</v>
      </c>
      <c r="C347" s="12" t="s">
        <v>2049</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spans="2:31" x14ac:dyDescent="0.35">
      <c r="B348" s="24" t="s">
        <v>49</v>
      </c>
      <c r="C348" s="12" t="s">
        <v>2050</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spans="2:31" x14ac:dyDescent="0.35">
      <c r="B349" s="24" t="s">
        <v>49</v>
      </c>
      <c r="C349" s="12" t="s">
        <v>2051</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1768</v>
      </c>
    </row>
    <row r="350" spans="2:31" x14ac:dyDescent="0.35">
      <c r="B350" s="24" t="s">
        <v>49</v>
      </c>
      <c r="C350" s="12" t="s">
        <v>2052</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spans="2:31" x14ac:dyDescent="0.35">
      <c r="B351" s="24" t="s">
        <v>49</v>
      </c>
      <c r="C351" s="12" t="s">
        <v>2053</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2317</v>
      </c>
      <c r="W351" s="11" t="s">
        <v>992</v>
      </c>
      <c r="X351" s="11" t="s">
        <v>992</v>
      </c>
      <c r="Y351" s="11" t="s">
        <v>992</v>
      </c>
      <c r="Z351" s="11" t="s">
        <v>2373</v>
      </c>
      <c r="AA351" s="11" t="s">
        <v>2373</v>
      </c>
      <c r="AB351" s="11" t="s">
        <v>30</v>
      </c>
      <c r="AC351" s="11" t="s">
        <v>1329</v>
      </c>
      <c r="AD351" s="11" t="s">
        <v>1302</v>
      </c>
      <c r="AE351" s="11" t="s">
        <v>993</v>
      </c>
    </row>
    <row r="352" spans="2:31" x14ac:dyDescent="0.35">
      <c r="B352" s="24" t="s">
        <v>49</v>
      </c>
      <c r="C352" s="12" t="s">
        <v>2054</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2313</v>
      </c>
      <c r="W352" s="11" t="s">
        <v>992</v>
      </c>
      <c r="X352" s="11" t="s">
        <v>992</v>
      </c>
      <c r="Y352" s="11" t="s">
        <v>992</v>
      </c>
      <c r="Z352" s="11" t="s">
        <v>992</v>
      </c>
      <c r="AA352" s="11" t="s">
        <v>992</v>
      </c>
      <c r="AB352" s="11" t="s">
        <v>992</v>
      </c>
      <c r="AC352" s="11" t="s">
        <v>992</v>
      </c>
      <c r="AD352" s="11" t="s">
        <v>992</v>
      </c>
      <c r="AE352" s="11" t="s">
        <v>993</v>
      </c>
    </row>
    <row r="353" spans="2:31" x14ac:dyDescent="0.35">
      <c r="B353" s="24" t="s">
        <v>283</v>
      </c>
      <c r="C353" s="12" t="s">
        <v>2055</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2313</v>
      </c>
      <c r="W353" s="11" t="s">
        <v>2335</v>
      </c>
      <c r="X353" s="11" t="s">
        <v>992</v>
      </c>
      <c r="Y353" s="11" t="s">
        <v>992</v>
      </c>
      <c r="Z353" s="11" t="s">
        <v>992</v>
      </c>
      <c r="AA353" s="11" t="s">
        <v>992</v>
      </c>
      <c r="AB353" s="11" t="s">
        <v>992</v>
      </c>
      <c r="AC353" s="11" t="s">
        <v>992</v>
      </c>
      <c r="AD353" s="11" t="s">
        <v>1303</v>
      </c>
      <c r="AE353" s="11" t="s">
        <v>993</v>
      </c>
    </row>
    <row r="354" spans="2:31" x14ac:dyDescent="0.35">
      <c r="B354" s="24" t="s">
        <v>49</v>
      </c>
      <c r="C354" s="12" t="s">
        <v>2056</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1768</v>
      </c>
    </row>
    <row r="355" spans="2:31" x14ac:dyDescent="0.35">
      <c r="B355" s="24" t="s">
        <v>49</v>
      </c>
      <c r="C355" s="12" t="s">
        <v>2057</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2313</v>
      </c>
      <c r="W355" s="11" t="s">
        <v>992</v>
      </c>
      <c r="X355" s="11" t="s">
        <v>992</v>
      </c>
      <c r="Y355" s="11" t="s">
        <v>992</v>
      </c>
      <c r="Z355" s="11" t="s">
        <v>992</v>
      </c>
      <c r="AA355" s="11" t="s">
        <v>992</v>
      </c>
      <c r="AB355" s="11" t="s">
        <v>992</v>
      </c>
      <c r="AC355" s="11" t="s">
        <v>992</v>
      </c>
      <c r="AD355" s="11" t="s">
        <v>992</v>
      </c>
      <c r="AE355" s="11" t="s">
        <v>993</v>
      </c>
    </row>
    <row r="356" spans="2:31" x14ac:dyDescent="0.35">
      <c r="B356" s="24" t="s">
        <v>295</v>
      </c>
      <c r="C356" s="12" t="s">
        <v>2058</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spans="2:31" x14ac:dyDescent="0.35">
      <c r="B357" s="24" t="s">
        <v>49</v>
      </c>
      <c r="C357" s="12" t="s">
        <v>2059</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2313</v>
      </c>
      <c r="W357" s="11" t="s">
        <v>992</v>
      </c>
      <c r="X357" s="11" t="s">
        <v>992</v>
      </c>
      <c r="Y357" s="11" t="s">
        <v>992</v>
      </c>
      <c r="Z357" s="11" t="s">
        <v>2374</v>
      </c>
      <c r="AA357" s="11" t="s">
        <v>2374</v>
      </c>
      <c r="AB357" s="11" t="s">
        <v>30</v>
      </c>
      <c r="AC357" s="11" t="s">
        <v>1351</v>
      </c>
      <c r="AD357" s="11" t="s">
        <v>992</v>
      </c>
      <c r="AE357" s="11" t="s">
        <v>993</v>
      </c>
    </row>
    <row r="358" spans="2:31" x14ac:dyDescent="0.35">
      <c r="B358" s="24" t="s">
        <v>49</v>
      </c>
      <c r="C358" s="12" t="s">
        <v>2060</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2313</v>
      </c>
      <c r="W358" s="11" t="s">
        <v>992</v>
      </c>
      <c r="X358" s="11" t="s">
        <v>992</v>
      </c>
      <c r="Y358" s="11" t="s">
        <v>992</v>
      </c>
      <c r="Z358" s="11" t="s">
        <v>992</v>
      </c>
      <c r="AA358" s="11" t="s">
        <v>992</v>
      </c>
      <c r="AB358" s="11" t="s">
        <v>992</v>
      </c>
      <c r="AC358" s="11" t="s">
        <v>992</v>
      </c>
      <c r="AD358" s="11" t="s">
        <v>992</v>
      </c>
      <c r="AE358" s="11" t="s">
        <v>993</v>
      </c>
    </row>
    <row r="359" spans="2:31" x14ac:dyDescent="0.35">
      <c r="B359" s="24" t="s">
        <v>49</v>
      </c>
      <c r="C359" s="12" t="s">
        <v>2061</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spans="2:31" x14ac:dyDescent="0.35">
      <c r="B360" s="24" t="s">
        <v>49</v>
      </c>
      <c r="C360" s="12" t="s">
        <v>2062</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spans="2:31" x14ac:dyDescent="0.35">
      <c r="B361" s="24" t="s">
        <v>49</v>
      </c>
      <c r="C361" s="12" t="s">
        <v>2063</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spans="2:31" x14ac:dyDescent="0.35">
      <c r="B362" s="24" t="s">
        <v>49</v>
      </c>
      <c r="C362" s="12" t="s">
        <v>2064</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2314</v>
      </c>
      <c r="W362" s="11" t="s">
        <v>992</v>
      </c>
      <c r="X362" s="11" t="s">
        <v>992</v>
      </c>
      <c r="Y362" s="11" t="s">
        <v>992</v>
      </c>
      <c r="Z362" s="11" t="s">
        <v>992</v>
      </c>
      <c r="AA362" s="11" t="s">
        <v>992</v>
      </c>
      <c r="AB362" s="11" t="s">
        <v>992</v>
      </c>
      <c r="AC362" s="11" t="s">
        <v>992</v>
      </c>
      <c r="AD362" s="11" t="s">
        <v>992</v>
      </c>
      <c r="AE362" s="11" t="s">
        <v>993</v>
      </c>
    </row>
    <row r="363" spans="2:31" x14ac:dyDescent="0.35">
      <c r="B363" s="24" t="s">
        <v>49</v>
      </c>
      <c r="C363" s="12" t="s">
        <v>2065</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2318</v>
      </c>
      <c r="W363" s="11" t="s">
        <v>992</v>
      </c>
      <c r="X363" s="11" t="s">
        <v>992</v>
      </c>
      <c r="Y363" s="11" t="s">
        <v>992</v>
      </c>
      <c r="Z363" s="11" t="s">
        <v>992</v>
      </c>
      <c r="AA363" s="11" t="s">
        <v>992</v>
      </c>
      <c r="AB363" s="11" t="s">
        <v>992</v>
      </c>
      <c r="AC363" s="11" t="s">
        <v>992</v>
      </c>
      <c r="AD363" s="11" t="s">
        <v>992</v>
      </c>
      <c r="AE363" s="11" t="s">
        <v>993</v>
      </c>
    </row>
    <row r="364" spans="2:31" x14ac:dyDescent="0.35">
      <c r="B364" s="24" t="s">
        <v>49</v>
      </c>
      <c r="C364" s="12" t="s">
        <v>2066</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1768</v>
      </c>
    </row>
    <row r="365" spans="2:31" x14ac:dyDescent="0.35">
      <c r="B365" s="24" t="s">
        <v>49</v>
      </c>
      <c r="C365" s="12" t="s">
        <v>2067</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2318</v>
      </c>
      <c r="W365" s="11" t="s">
        <v>992</v>
      </c>
      <c r="X365" s="11" t="s">
        <v>992</v>
      </c>
      <c r="Y365" s="11" t="s">
        <v>992</v>
      </c>
      <c r="Z365" s="11" t="s">
        <v>992</v>
      </c>
      <c r="AA365" s="11" t="s">
        <v>992</v>
      </c>
      <c r="AB365" s="11" t="s">
        <v>992</v>
      </c>
      <c r="AC365" s="11" t="s">
        <v>992</v>
      </c>
      <c r="AD365" s="11" t="s">
        <v>992</v>
      </c>
      <c r="AE365" s="11" t="s">
        <v>993</v>
      </c>
    </row>
    <row r="366" spans="2:31" x14ac:dyDescent="0.35">
      <c r="B366" s="24" t="s">
        <v>49</v>
      </c>
      <c r="C366" s="12" t="s">
        <v>2068</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2375</v>
      </c>
      <c r="AA366" s="11" t="s">
        <v>2375</v>
      </c>
      <c r="AB366" s="11" t="s">
        <v>30</v>
      </c>
      <c r="AC366" s="11" t="s">
        <v>1789</v>
      </c>
      <c r="AD366" s="11" t="s">
        <v>992</v>
      </c>
      <c r="AE366" s="11" t="s">
        <v>993</v>
      </c>
    </row>
    <row r="367" spans="2:31" x14ac:dyDescent="0.35">
      <c r="B367" s="24" t="s">
        <v>49</v>
      </c>
      <c r="C367" s="12" t="s">
        <v>2069</v>
      </c>
      <c r="D367" s="11" t="s">
        <v>1274</v>
      </c>
      <c r="E367" s="11" t="s">
        <v>80</v>
      </c>
      <c r="F367" s="12" t="s">
        <v>49</v>
      </c>
      <c r="G367" s="12" t="s">
        <v>246</v>
      </c>
      <c r="H367" s="12" t="s">
        <v>246</v>
      </c>
      <c r="I367" s="12" t="s">
        <v>2412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2376</v>
      </c>
      <c r="AA367" s="11" t="s">
        <v>2376</v>
      </c>
      <c r="AB367" s="11" t="s">
        <v>30</v>
      </c>
      <c r="AC367" s="11" t="s">
        <v>1370</v>
      </c>
      <c r="AD367" s="11" t="s">
        <v>992</v>
      </c>
      <c r="AE367" s="11" t="s">
        <v>993</v>
      </c>
    </row>
    <row r="368" spans="2:31" x14ac:dyDescent="0.35">
      <c r="B368" s="24" t="s">
        <v>49</v>
      </c>
      <c r="C368" s="12" t="s">
        <v>2070</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2358</v>
      </c>
      <c r="AA368" s="11" t="s">
        <v>2358</v>
      </c>
      <c r="AB368" s="11" t="s">
        <v>30</v>
      </c>
      <c r="AC368" s="11" t="s">
        <v>1339</v>
      </c>
      <c r="AD368" s="11" t="s">
        <v>992</v>
      </c>
      <c r="AE368" s="11" t="s">
        <v>993</v>
      </c>
    </row>
    <row r="369" spans="2:31" x14ac:dyDescent="0.35">
      <c r="B369" s="24" t="s">
        <v>49</v>
      </c>
      <c r="C369" s="12" t="s">
        <v>2071</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2313</v>
      </c>
      <c r="W369" s="11" t="s">
        <v>992</v>
      </c>
      <c r="X369" s="11" t="s">
        <v>992</v>
      </c>
      <c r="Y369" s="11" t="s">
        <v>992</v>
      </c>
      <c r="Z369" s="11" t="s">
        <v>992</v>
      </c>
      <c r="AA369" s="11" t="s">
        <v>992</v>
      </c>
      <c r="AB369" s="11" t="s">
        <v>992</v>
      </c>
      <c r="AC369" s="11" t="s">
        <v>992</v>
      </c>
      <c r="AD369" s="11" t="s">
        <v>992</v>
      </c>
      <c r="AE369" s="11" t="s">
        <v>993</v>
      </c>
    </row>
    <row r="370" spans="2:31" x14ac:dyDescent="0.35">
      <c r="B370" s="24" t="s">
        <v>278</v>
      </c>
      <c r="C370" s="12" t="s">
        <v>2072</v>
      </c>
      <c r="D370" s="11" t="s">
        <v>1306</v>
      </c>
      <c r="E370" s="11" t="s">
        <v>245</v>
      </c>
      <c r="F370" s="12" t="s">
        <v>278</v>
      </c>
      <c r="G370" s="12" t="s">
        <v>246</v>
      </c>
      <c r="H370" s="12" t="s">
        <v>246</v>
      </c>
      <c r="I370" s="12" t="s">
        <v>2412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2319</v>
      </c>
      <c r="W370" s="11" t="s">
        <v>992</v>
      </c>
      <c r="X370" s="11" t="s">
        <v>992</v>
      </c>
      <c r="Y370" s="11" t="s">
        <v>2342</v>
      </c>
      <c r="Z370" s="11" t="s">
        <v>2377</v>
      </c>
      <c r="AA370" s="11" t="s">
        <v>2377</v>
      </c>
      <c r="AB370" s="11" t="s">
        <v>30</v>
      </c>
      <c r="AC370" s="11" t="s">
        <v>1779</v>
      </c>
      <c r="AD370" s="11" t="s">
        <v>1404</v>
      </c>
      <c r="AE370" s="11" t="s">
        <v>993</v>
      </c>
    </row>
    <row r="371" spans="2:31" x14ac:dyDescent="0.35">
      <c r="B371" s="24" t="s">
        <v>49</v>
      </c>
      <c r="C371" s="12" t="s">
        <v>2073</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2378</v>
      </c>
      <c r="AA371" s="11" t="s">
        <v>2378</v>
      </c>
      <c r="AB371" s="11" t="s">
        <v>30</v>
      </c>
      <c r="AC371" s="11" t="s">
        <v>1343</v>
      </c>
      <c r="AD371" s="11" t="s">
        <v>992</v>
      </c>
      <c r="AE371" s="11" t="s">
        <v>993</v>
      </c>
    </row>
    <row r="372" spans="2:31" x14ac:dyDescent="0.35">
      <c r="B372" s="24" t="s">
        <v>49</v>
      </c>
      <c r="C372" s="12" t="s">
        <v>2074</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1359</v>
      </c>
      <c r="AD372" s="11" t="s">
        <v>992</v>
      </c>
      <c r="AE372" s="11" t="s">
        <v>993</v>
      </c>
    </row>
    <row r="373" spans="2:31" x14ac:dyDescent="0.35">
      <c r="B373" s="24" t="s">
        <v>49</v>
      </c>
      <c r="C373" s="12" t="s">
        <v>2075</v>
      </c>
      <c r="D373" s="11" t="s">
        <v>1399</v>
      </c>
      <c r="E373" s="11" t="s">
        <v>1401</v>
      </c>
      <c r="F373" s="12" t="s">
        <v>49</v>
      </c>
      <c r="G373" s="12" t="s">
        <v>992</v>
      </c>
      <c r="H373" s="12" t="s">
        <v>992</v>
      </c>
      <c r="I373" s="12" t="s">
        <v>2412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2379</v>
      </c>
      <c r="AA373" s="11" t="s">
        <v>2379</v>
      </c>
      <c r="AB373" s="11" t="s">
        <v>30</v>
      </c>
      <c r="AC373" s="11" t="s">
        <v>1343</v>
      </c>
      <c r="AD373" s="11" t="s">
        <v>992</v>
      </c>
      <c r="AE373" s="11" t="s">
        <v>993</v>
      </c>
    </row>
    <row r="374" spans="2:31" x14ac:dyDescent="0.35">
      <c r="B374" s="24" t="s">
        <v>314</v>
      </c>
      <c r="C374" s="12" t="s">
        <v>2076</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2320</v>
      </c>
      <c r="W374" s="11" t="s">
        <v>992</v>
      </c>
      <c r="X374" s="11" t="s">
        <v>992</v>
      </c>
      <c r="Y374" s="11" t="s">
        <v>992</v>
      </c>
      <c r="Z374" s="11" t="s">
        <v>2380</v>
      </c>
      <c r="AA374" s="11" t="s">
        <v>2380</v>
      </c>
      <c r="AB374" s="11" t="s">
        <v>30</v>
      </c>
      <c r="AC374" s="11" t="s">
        <v>1344</v>
      </c>
      <c r="AD374" s="11" t="s">
        <v>1405</v>
      </c>
      <c r="AE374" s="11" t="s">
        <v>993</v>
      </c>
    </row>
    <row r="375" spans="2:31" x14ac:dyDescent="0.35">
      <c r="B375" s="24" t="s">
        <v>295</v>
      </c>
      <c r="C375" s="12" t="s">
        <v>2077</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2381</v>
      </c>
      <c r="AA375" s="11" t="s">
        <v>2381</v>
      </c>
      <c r="AB375" s="11" t="s">
        <v>30</v>
      </c>
      <c r="AC375" s="11" t="s">
        <v>1348</v>
      </c>
      <c r="AD375" s="11" t="s">
        <v>992</v>
      </c>
      <c r="AE375" s="11" t="s">
        <v>993</v>
      </c>
    </row>
    <row r="376" spans="2:31" x14ac:dyDescent="0.35">
      <c r="B376" s="24" t="s">
        <v>283</v>
      </c>
      <c r="C376" s="12" t="s">
        <v>2078</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2370</v>
      </c>
      <c r="AA376" s="11" t="s">
        <v>2370</v>
      </c>
      <c r="AB376" s="11" t="s">
        <v>30</v>
      </c>
      <c r="AC376" s="11" t="s">
        <v>1343</v>
      </c>
      <c r="AD376" s="11" t="s">
        <v>992</v>
      </c>
      <c r="AE376" s="11" t="s">
        <v>993</v>
      </c>
    </row>
    <row r="377" spans="2:31" x14ac:dyDescent="0.35">
      <c r="B377" s="24" t="s">
        <v>295</v>
      </c>
      <c r="C377" s="12" t="s">
        <v>2079</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2382</v>
      </c>
      <c r="AA377" s="11" t="s">
        <v>2382</v>
      </c>
      <c r="AB377" s="11" t="s">
        <v>30</v>
      </c>
      <c r="AC377" s="11" t="s">
        <v>1791</v>
      </c>
      <c r="AD377" s="11" t="s">
        <v>992</v>
      </c>
      <c r="AE377" s="11" t="s">
        <v>993</v>
      </c>
    </row>
    <row r="378" spans="2:31" x14ac:dyDescent="0.35">
      <c r="B378" s="24" t="s">
        <v>283</v>
      </c>
      <c r="C378" s="12" t="s">
        <v>2080</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2383</v>
      </c>
      <c r="AA378" s="11" t="s">
        <v>2383</v>
      </c>
      <c r="AB378" s="11" t="s">
        <v>30</v>
      </c>
      <c r="AC378" s="11" t="s">
        <v>1352</v>
      </c>
      <c r="AD378" s="11" t="s">
        <v>992</v>
      </c>
      <c r="AE378" s="11" t="s">
        <v>993</v>
      </c>
    </row>
    <row r="379" spans="2:31" x14ac:dyDescent="0.35">
      <c r="B379" s="24" t="s">
        <v>314</v>
      </c>
      <c r="C379" s="12" t="s">
        <v>2081</v>
      </c>
      <c r="D379" s="11" t="s">
        <v>1570</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2384</v>
      </c>
      <c r="AA379" s="11" t="s">
        <v>2384</v>
      </c>
      <c r="AB379" s="11" t="s">
        <v>30</v>
      </c>
      <c r="AC379" s="11" t="s">
        <v>1337</v>
      </c>
      <c r="AD379" s="11" t="s">
        <v>992</v>
      </c>
      <c r="AE379" s="11" t="s">
        <v>993</v>
      </c>
    </row>
    <row r="380" spans="2:31" x14ac:dyDescent="0.35">
      <c r="B380" s="24" t="s">
        <v>283</v>
      </c>
      <c r="C380" s="12" t="s">
        <v>2082</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2385</v>
      </c>
      <c r="AA380" s="11" t="s">
        <v>2385</v>
      </c>
      <c r="AB380" s="11" t="s">
        <v>30</v>
      </c>
      <c r="AC380" s="11" t="s">
        <v>1341</v>
      </c>
      <c r="AD380" s="11" t="s">
        <v>1555</v>
      </c>
      <c r="AE380" s="11" t="s">
        <v>993</v>
      </c>
    </row>
    <row r="381" spans="2:31" x14ac:dyDescent="0.35">
      <c r="B381" s="24" t="s">
        <v>278</v>
      </c>
      <c r="C381" s="12" t="s">
        <v>2083</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1768</v>
      </c>
    </row>
    <row r="382" spans="2:31" x14ac:dyDescent="0.35">
      <c r="B382" s="24" t="s">
        <v>278</v>
      </c>
      <c r="C382" s="12" t="s">
        <v>2084</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spans="2:31" x14ac:dyDescent="0.35">
      <c r="B383" s="24" t="s">
        <v>291</v>
      </c>
      <c r="C383" s="12" t="s">
        <v>2085</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spans="2:31" x14ac:dyDescent="0.35">
      <c r="B384" s="24" t="s">
        <v>308</v>
      </c>
      <c r="C384" s="12" t="s">
        <v>2086</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spans="2:31" x14ac:dyDescent="0.35">
      <c r="B385" s="24" t="s">
        <v>49</v>
      </c>
      <c r="C385" s="12" t="s">
        <v>2087</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spans="2:31" x14ac:dyDescent="0.35">
      <c r="B386" s="24" t="s">
        <v>295</v>
      </c>
      <c r="C386" s="12" t="s">
        <v>2088</v>
      </c>
      <c r="D386" s="11" t="s">
        <v>1431</v>
      </c>
      <c r="E386" s="11" t="s">
        <v>1444</v>
      </c>
      <c r="F386" s="12" t="s">
        <v>295</v>
      </c>
      <c r="G386" s="12" t="s">
        <v>246</v>
      </c>
      <c r="H386" s="12" t="s">
        <v>246</v>
      </c>
      <c r="I386" s="12" t="s">
        <v>60</v>
      </c>
      <c r="J386" s="12" t="s">
        <v>1030</v>
      </c>
      <c r="K386" s="12" t="s">
        <v>118</v>
      </c>
      <c r="L386" s="12" t="s">
        <v>247</v>
      </c>
      <c r="M386" s="12" t="s">
        <v>992</v>
      </c>
      <c r="N386" s="13" t="s">
        <v>2288</v>
      </c>
      <c r="O386" s="11" t="s">
        <v>992</v>
      </c>
      <c r="P386" s="11" t="s">
        <v>992</v>
      </c>
      <c r="Q386" s="11" t="s">
        <v>992</v>
      </c>
      <c r="R386" s="11" t="s">
        <v>992</v>
      </c>
      <c r="S386" s="11" t="s">
        <v>992</v>
      </c>
      <c r="T386" s="11" t="s">
        <v>992</v>
      </c>
      <c r="U386" s="11" t="s">
        <v>992</v>
      </c>
      <c r="V386" s="11" t="s">
        <v>2321</v>
      </c>
      <c r="W386" s="11" t="s">
        <v>992</v>
      </c>
      <c r="X386" s="11" t="s">
        <v>992</v>
      </c>
      <c r="Y386" s="11" t="s">
        <v>992</v>
      </c>
      <c r="Z386" s="11" t="s">
        <v>992</v>
      </c>
      <c r="AA386" s="11" t="s">
        <v>992</v>
      </c>
      <c r="AB386" s="11" t="s">
        <v>992</v>
      </c>
      <c r="AC386" s="11" t="s">
        <v>992</v>
      </c>
      <c r="AD386" s="11" t="s">
        <v>992</v>
      </c>
      <c r="AE386" s="11" t="s">
        <v>1768</v>
      </c>
    </row>
    <row r="387" spans="2:31" x14ac:dyDescent="0.35">
      <c r="B387" s="24" t="s">
        <v>295</v>
      </c>
      <c r="C387" s="12" t="s">
        <v>2089</v>
      </c>
      <c r="D387" s="11" t="s">
        <v>1432</v>
      </c>
      <c r="E387" s="11" t="s">
        <v>1444</v>
      </c>
      <c r="F387" s="12" t="s">
        <v>295</v>
      </c>
      <c r="G387" s="12" t="s">
        <v>246</v>
      </c>
      <c r="H387" s="12" t="s">
        <v>246</v>
      </c>
      <c r="I387" s="12" t="s">
        <v>60</v>
      </c>
      <c r="J387" s="12" t="s">
        <v>1030</v>
      </c>
      <c r="K387" s="12" t="s">
        <v>118</v>
      </c>
      <c r="L387" s="12" t="s">
        <v>247</v>
      </c>
      <c r="M387" s="12" t="s">
        <v>992</v>
      </c>
      <c r="N387" s="13" t="s">
        <v>2289</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1768</v>
      </c>
    </row>
    <row r="388" spans="2:31" x14ac:dyDescent="0.35">
      <c r="B388" s="24" t="s">
        <v>278</v>
      </c>
      <c r="C388" s="12" t="s">
        <v>2090</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1014</v>
      </c>
      <c r="V388" s="11" t="s">
        <v>2322</v>
      </c>
      <c r="W388" s="11" t="s">
        <v>992</v>
      </c>
      <c r="X388" s="11" t="s">
        <v>992</v>
      </c>
      <c r="Y388" s="11" t="s">
        <v>992</v>
      </c>
      <c r="Z388" s="11" t="s">
        <v>2386</v>
      </c>
      <c r="AA388" s="11" t="s">
        <v>2386</v>
      </c>
      <c r="AB388" s="11" t="s">
        <v>30</v>
      </c>
      <c r="AC388" s="11" t="s">
        <v>992</v>
      </c>
      <c r="AD388" s="11" t="s">
        <v>992</v>
      </c>
      <c r="AE388" s="11" t="s">
        <v>993</v>
      </c>
    </row>
    <row r="389" spans="2:31" x14ac:dyDescent="0.35">
      <c r="B389" s="24" t="s">
        <v>278</v>
      </c>
      <c r="C389" s="12" t="s">
        <v>2091</v>
      </c>
      <c r="D389" s="11" t="s">
        <v>1434</v>
      </c>
      <c r="E389" s="11" t="s">
        <v>1571</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2321</v>
      </c>
      <c r="W389" s="11" t="s">
        <v>992</v>
      </c>
      <c r="X389" s="11" t="s">
        <v>992</v>
      </c>
      <c r="Y389" s="11" t="s">
        <v>992</v>
      </c>
      <c r="Z389" s="11" t="s">
        <v>2346</v>
      </c>
      <c r="AA389" s="11" t="s">
        <v>2346</v>
      </c>
      <c r="AB389" s="11" t="s">
        <v>30</v>
      </c>
      <c r="AC389" s="11" t="s">
        <v>1336</v>
      </c>
      <c r="AD389" s="11" t="s">
        <v>992</v>
      </c>
      <c r="AE389" s="11" t="s">
        <v>993</v>
      </c>
    </row>
    <row r="390" spans="2:31" x14ac:dyDescent="0.35">
      <c r="B390" s="24" t="s">
        <v>283</v>
      </c>
      <c r="C390" s="12" t="s">
        <v>2092</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1768</v>
      </c>
    </row>
    <row r="391" spans="2:31" x14ac:dyDescent="0.35">
      <c r="B391" s="24" t="s">
        <v>283</v>
      </c>
      <c r="C391" s="12" t="s">
        <v>2093</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spans="2:31" x14ac:dyDescent="0.35">
      <c r="B392" s="24" t="s">
        <v>311</v>
      </c>
      <c r="C392" s="12" t="s">
        <v>2094</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2321</v>
      </c>
      <c r="W392" s="11" t="s">
        <v>992</v>
      </c>
      <c r="X392" s="11" t="s">
        <v>992</v>
      </c>
      <c r="Y392" s="11" t="s">
        <v>992</v>
      </c>
      <c r="Z392" s="11" t="s">
        <v>992</v>
      </c>
      <c r="AA392" s="11" t="s">
        <v>992</v>
      </c>
      <c r="AB392" s="11" t="s">
        <v>992</v>
      </c>
      <c r="AC392" s="11" t="s">
        <v>992</v>
      </c>
      <c r="AD392" s="11" t="s">
        <v>992</v>
      </c>
      <c r="AE392" s="11" t="s">
        <v>1768</v>
      </c>
    </row>
    <row r="393" spans="2:31" x14ac:dyDescent="0.35">
      <c r="B393" s="24" t="s">
        <v>311</v>
      </c>
      <c r="C393" s="12" t="s">
        <v>2095</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1768</v>
      </c>
    </row>
    <row r="394" spans="2:31" x14ac:dyDescent="0.35">
      <c r="B394" s="24" t="s">
        <v>314</v>
      </c>
      <c r="C394" s="12" t="s">
        <v>2096</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spans="2:31" x14ac:dyDescent="0.35">
      <c r="B395" s="24" t="s">
        <v>416</v>
      </c>
      <c r="C395" s="12" t="s">
        <v>2097</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spans="2:31" x14ac:dyDescent="0.35">
      <c r="B396" s="24" t="s">
        <v>291</v>
      </c>
      <c r="C396" s="12" t="s">
        <v>2098</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2323</v>
      </c>
      <c r="W396" s="11" t="s">
        <v>992</v>
      </c>
      <c r="X396" s="11" t="s">
        <v>992</v>
      </c>
      <c r="Y396" s="11" t="s">
        <v>2343</v>
      </c>
      <c r="Z396" s="11" t="s">
        <v>2387</v>
      </c>
      <c r="AA396" s="11" t="s">
        <v>2387</v>
      </c>
      <c r="AB396" s="11" t="s">
        <v>30</v>
      </c>
      <c r="AC396" s="11" t="s">
        <v>1336</v>
      </c>
      <c r="AD396" s="11" t="s">
        <v>992</v>
      </c>
      <c r="AE396" s="11" t="s">
        <v>993</v>
      </c>
    </row>
    <row r="397" spans="2:31" x14ac:dyDescent="0.35">
      <c r="B397" s="24" t="s">
        <v>278</v>
      </c>
      <c r="C397" s="12" t="s">
        <v>2099</v>
      </c>
      <c r="D397" s="11" t="s">
        <v>1459</v>
      </c>
      <c r="E397" s="11" t="s">
        <v>1572</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2323</v>
      </c>
      <c r="W397" s="11" t="s">
        <v>992</v>
      </c>
      <c r="X397" s="11" t="s">
        <v>992</v>
      </c>
      <c r="Y397" s="11" t="s">
        <v>2344</v>
      </c>
      <c r="Z397" s="11" t="s">
        <v>2388</v>
      </c>
      <c r="AA397" s="11" t="s">
        <v>2388</v>
      </c>
      <c r="AB397" s="11" t="s">
        <v>30</v>
      </c>
      <c r="AC397" s="11" t="s">
        <v>1333</v>
      </c>
      <c r="AD397" s="11" t="s">
        <v>992</v>
      </c>
      <c r="AE397" s="11" t="s">
        <v>993</v>
      </c>
    </row>
    <row r="398" spans="2:31" x14ac:dyDescent="0.35">
      <c r="B398" s="24" t="s">
        <v>311</v>
      </c>
      <c r="C398" s="12" t="s">
        <v>2100</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2323</v>
      </c>
      <c r="W398" s="11" t="s">
        <v>992</v>
      </c>
      <c r="X398" s="11" t="s">
        <v>992</v>
      </c>
      <c r="Y398" s="11" t="s">
        <v>2345</v>
      </c>
      <c r="Z398" s="11" t="s">
        <v>2345</v>
      </c>
      <c r="AA398" s="11" t="s">
        <v>2345</v>
      </c>
      <c r="AB398" s="11" t="s">
        <v>30</v>
      </c>
      <c r="AC398" s="11" t="s">
        <v>1340</v>
      </c>
      <c r="AD398" s="11" t="s">
        <v>1568</v>
      </c>
      <c r="AE398" s="11" t="s">
        <v>993</v>
      </c>
    </row>
    <row r="399" spans="2:31" x14ac:dyDescent="0.35">
      <c r="B399" s="24" t="s">
        <v>308</v>
      </c>
      <c r="C399" s="12" t="s">
        <v>2101</v>
      </c>
      <c r="D399" s="11" t="s">
        <v>1437</v>
      </c>
      <c r="E399" s="11" t="s">
        <v>905</v>
      </c>
      <c r="F399" s="12" t="s">
        <v>308</v>
      </c>
      <c r="G399" s="12" t="s">
        <v>246</v>
      </c>
      <c r="H399" s="12" t="s">
        <v>246</v>
      </c>
      <c r="I399" s="12" t="s">
        <v>111</v>
      </c>
      <c r="J399" s="12" t="s">
        <v>1031</v>
      </c>
      <c r="K399" s="12" t="s">
        <v>118</v>
      </c>
      <c r="L399" s="12" t="s">
        <v>247</v>
      </c>
      <c r="M399" s="12" t="s">
        <v>992</v>
      </c>
      <c r="N399" s="13" t="s">
        <v>1573</v>
      </c>
      <c r="O399" s="11" t="s">
        <v>992</v>
      </c>
      <c r="P399" s="11" t="s">
        <v>992</v>
      </c>
      <c r="Q399" s="11" t="s">
        <v>126</v>
      </c>
      <c r="R399" s="11" t="s">
        <v>143</v>
      </c>
      <c r="S399" s="11" t="s">
        <v>992</v>
      </c>
      <c r="T399" s="11" t="s">
        <v>125</v>
      </c>
      <c r="U399" s="11" t="s">
        <v>1014</v>
      </c>
      <c r="V399" s="11" t="s">
        <v>2323</v>
      </c>
      <c r="W399" s="11" t="s">
        <v>992</v>
      </c>
      <c r="X399" s="11" t="s">
        <v>992</v>
      </c>
      <c r="Y399" s="11" t="s">
        <v>2346</v>
      </c>
      <c r="Z399" s="11" t="s">
        <v>2346</v>
      </c>
      <c r="AA399" s="11" t="s">
        <v>2346</v>
      </c>
      <c r="AB399" s="11" t="s">
        <v>30</v>
      </c>
      <c r="AC399" s="11" t="s">
        <v>1341</v>
      </c>
      <c r="AD399" s="11" t="s">
        <v>992</v>
      </c>
      <c r="AE399" s="11" t="s">
        <v>993</v>
      </c>
    </row>
    <row r="400" spans="2:31" x14ac:dyDescent="0.35">
      <c r="B400" s="24" t="s">
        <v>308</v>
      </c>
      <c r="C400" s="12" t="s">
        <v>2102</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2323</v>
      </c>
      <c r="W400" s="11" t="s">
        <v>992</v>
      </c>
      <c r="X400" s="11" t="s">
        <v>992</v>
      </c>
      <c r="Y400" s="11" t="s">
        <v>992</v>
      </c>
      <c r="Z400" s="11" t="s">
        <v>992</v>
      </c>
      <c r="AA400" s="11" t="s">
        <v>992</v>
      </c>
      <c r="AB400" s="11" t="s">
        <v>992</v>
      </c>
      <c r="AC400" s="11" t="s">
        <v>992</v>
      </c>
      <c r="AD400" s="11" t="s">
        <v>992</v>
      </c>
      <c r="AE400" s="11" t="s">
        <v>993</v>
      </c>
    </row>
    <row r="401" spans="2:31" x14ac:dyDescent="0.35">
      <c r="B401" s="24" t="s">
        <v>314</v>
      </c>
      <c r="C401" s="12" t="s">
        <v>2103</v>
      </c>
      <c r="D401" s="11" t="s">
        <v>1574</v>
      </c>
      <c r="E401" s="11" t="s">
        <v>1575</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2323</v>
      </c>
      <c r="W401" s="11" t="s">
        <v>992</v>
      </c>
      <c r="X401" s="11" t="s">
        <v>992</v>
      </c>
      <c r="Y401" s="11" t="s">
        <v>2347</v>
      </c>
      <c r="Z401" s="11" t="s">
        <v>2347</v>
      </c>
      <c r="AA401" s="11" t="s">
        <v>2347</v>
      </c>
      <c r="AB401" s="11" t="s">
        <v>30</v>
      </c>
      <c r="AC401" s="11" t="s">
        <v>1352</v>
      </c>
      <c r="AD401" s="11" t="s">
        <v>992</v>
      </c>
      <c r="AE401" s="11" t="s">
        <v>993</v>
      </c>
    </row>
    <row r="402" spans="2:31" x14ac:dyDescent="0.35">
      <c r="B402" s="24" t="s">
        <v>283</v>
      </c>
      <c r="C402" s="12" t="s">
        <v>2104</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2323</v>
      </c>
      <c r="W402" s="11" t="s">
        <v>992</v>
      </c>
      <c r="X402" s="11" t="s">
        <v>992</v>
      </c>
      <c r="Y402" s="11" t="s">
        <v>2348</v>
      </c>
      <c r="Z402" s="11" t="s">
        <v>2348</v>
      </c>
      <c r="AA402" s="11" t="s">
        <v>2348</v>
      </c>
      <c r="AB402" s="11" t="s">
        <v>30</v>
      </c>
      <c r="AC402" s="11" t="s">
        <v>1344</v>
      </c>
      <c r="AD402" s="11" t="s">
        <v>1556</v>
      </c>
      <c r="AE402" s="11" t="s">
        <v>993</v>
      </c>
    </row>
    <row r="403" spans="2:31" x14ac:dyDescent="0.35">
      <c r="B403" s="24" t="s">
        <v>283</v>
      </c>
      <c r="C403" s="12" t="s">
        <v>2105</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2323</v>
      </c>
      <c r="W403" s="11" t="s">
        <v>992</v>
      </c>
      <c r="X403" s="11" t="s">
        <v>992</v>
      </c>
      <c r="Y403" s="11" t="s">
        <v>992</v>
      </c>
      <c r="Z403" s="11" t="s">
        <v>992</v>
      </c>
      <c r="AA403" s="11" t="s">
        <v>992</v>
      </c>
      <c r="AB403" s="11" t="s">
        <v>992</v>
      </c>
      <c r="AC403" s="11" t="s">
        <v>992</v>
      </c>
      <c r="AD403" s="11" t="s">
        <v>992</v>
      </c>
      <c r="AE403" s="11" t="s">
        <v>993</v>
      </c>
    </row>
    <row r="404" spans="2:31" x14ac:dyDescent="0.35">
      <c r="B404" s="24" t="s">
        <v>992</v>
      </c>
      <c r="C404" s="12" t="s">
        <v>2106</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2324</v>
      </c>
      <c r="W404" s="11" t="s">
        <v>2323</v>
      </c>
      <c r="X404" s="11" t="s">
        <v>992</v>
      </c>
      <c r="Y404" s="11" t="s">
        <v>2349</v>
      </c>
      <c r="Z404" s="11" t="s">
        <v>992</v>
      </c>
      <c r="AA404" s="11" t="s">
        <v>992</v>
      </c>
      <c r="AB404" s="11" t="s">
        <v>30</v>
      </c>
      <c r="AC404" s="11" t="s">
        <v>992</v>
      </c>
      <c r="AD404" s="11" t="s">
        <v>1557</v>
      </c>
      <c r="AE404" s="11" t="s">
        <v>993</v>
      </c>
    </row>
    <row r="405" spans="2:31" x14ac:dyDescent="0.35">
      <c r="B405" s="24" t="s">
        <v>308</v>
      </c>
      <c r="C405" s="12" t="s">
        <v>2107</v>
      </c>
      <c r="D405" s="11" t="s">
        <v>1461</v>
      </c>
      <c r="E405" s="11" t="s">
        <v>1508</v>
      </c>
      <c r="F405" s="12" t="s">
        <v>308</v>
      </c>
      <c r="G405" s="12" t="s">
        <v>246</v>
      </c>
      <c r="H405" s="12" t="s">
        <v>246</v>
      </c>
      <c r="I405" s="12" t="s">
        <v>37</v>
      </c>
      <c r="J405" s="12" t="s">
        <v>1015</v>
      </c>
      <c r="K405" s="12" t="s">
        <v>1016</v>
      </c>
      <c r="L405" s="12" t="s">
        <v>247</v>
      </c>
      <c r="M405" s="12" t="s">
        <v>992</v>
      </c>
      <c r="N405" s="13" t="s">
        <v>1677</v>
      </c>
      <c r="O405" s="11" t="s">
        <v>992</v>
      </c>
      <c r="P405" s="11" t="s">
        <v>992</v>
      </c>
      <c r="Q405" s="11" t="s">
        <v>992</v>
      </c>
      <c r="R405" s="11" t="s">
        <v>992</v>
      </c>
      <c r="S405" s="11" t="s">
        <v>992</v>
      </c>
      <c r="T405" s="11" t="s">
        <v>125</v>
      </c>
      <c r="U405" s="11" t="s">
        <v>1014</v>
      </c>
      <c r="V405" s="11" t="s">
        <v>992</v>
      </c>
      <c r="W405" s="11" t="s">
        <v>992</v>
      </c>
      <c r="X405" s="11" t="s">
        <v>992</v>
      </c>
      <c r="Y405" s="11" t="s">
        <v>992</v>
      </c>
      <c r="Z405" s="11" t="s">
        <v>2389</v>
      </c>
      <c r="AA405" s="11" t="s">
        <v>2389</v>
      </c>
      <c r="AB405" s="11" t="s">
        <v>30</v>
      </c>
      <c r="AC405" s="11" t="s">
        <v>1340</v>
      </c>
      <c r="AD405" s="11" t="s">
        <v>992</v>
      </c>
      <c r="AE405" s="11" t="s">
        <v>993</v>
      </c>
    </row>
    <row r="406" spans="2:31" x14ac:dyDescent="0.35">
      <c r="B406" s="24" t="s">
        <v>278</v>
      </c>
      <c r="C406" s="12" t="s">
        <v>2108</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1768</v>
      </c>
    </row>
    <row r="407" spans="2:31" x14ac:dyDescent="0.35">
      <c r="B407" s="24" t="s">
        <v>278</v>
      </c>
      <c r="C407" s="12" t="s">
        <v>2109</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spans="2:31" x14ac:dyDescent="0.35">
      <c r="B408" s="24" t="s">
        <v>278</v>
      </c>
      <c r="C408" s="12" t="s">
        <v>2110</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spans="2:31" x14ac:dyDescent="0.35">
      <c r="B409" s="24" t="s">
        <v>278</v>
      </c>
      <c r="C409" s="12" t="s">
        <v>2111</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spans="2:31" x14ac:dyDescent="0.35">
      <c r="B410" s="24" t="s">
        <v>278</v>
      </c>
      <c r="C410" s="12" t="s">
        <v>2112</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spans="2:31" x14ac:dyDescent="0.35">
      <c r="B411" s="24" t="s">
        <v>278</v>
      </c>
      <c r="C411" s="12" t="s">
        <v>2113</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spans="2:31" x14ac:dyDescent="0.35">
      <c r="B412" s="24" t="s">
        <v>278</v>
      </c>
      <c r="C412" s="12" t="s">
        <v>2114</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spans="2:31" x14ac:dyDescent="0.35">
      <c r="B413" s="24" t="s">
        <v>278</v>
      </c>
      <c r="C413" s="12" t="s">
        <v>2115</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spans="2:31" x14ac:dyDescent="0.35">
      <c r="B414" s="24" t="s">
        <v>278</v>
      </c>
      <c r="C414" s="12" t="s">
        <v>2116</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spans="2:31" x14ac:dyDescent="0.35">
      <c r="B415" s="24" t="s">
        <v>278</v>
      </c>
      <c r="C415" s="12" t="s">
        <v>2117</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spans="2:31" x14ac:dyDescent="0.35">
      <c r="B416" s="24" t="s">
        <v>278</v>
      </c>
      <c r="C416" s="12" t="s">
        <v>2118</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spans="2:31" x14ac:dyDescent="0.35">
      <c r="B417" s="24" t="s">
        <v>278</v>
      </c>
      <c r="C417" s="12" t="s">
        <v>2119</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spans="2:31" x14ac:dyDescent="0.35">
      <c r="B418" s="24" t="s">
        <v>278</v>
      </c>
      <c r="C418" s="12" t="s">
        <v>2120</v>
      </c>
      <c r="D418" s="11" t="s">
        <v>1474</v>
      </c>
      <c r="E418" s="11" t="s">
        <v>1510</v>
      </c>
      <c r="F418" s="12" t="s">
        <v>278</v>
      </c>
      <c r="G418" s="12" t="s">
        <v>246</v>
      </c>
      <c r="H418" s="12" t="s">
        <v>246</v>
      </c>
      <c r="I418" s="12" t="s">
        <v>430</v>
      </c>
      <c r="J418" s="12" t="s">
        <v>71</v>
      </c>
      <c r="K418" s="12" t="s">
        <v>1569</v>
      </c>
      <c r="L418" s="12" t="s">
        <v>247</v>
      </c>
      <c r="M418" s="12" t="s">
        <v>992</v>
      </c>
      <c r="N418" s="13" t="s">
        <v>1534</v>
      </c>
      <c r="O418" s="11" t="s">
        <v>992</v>
      </c>
      <c r="P418" s="11" t="s">
        <v>992</v>
      </c>
      <c r="Q418" s="11" t="s">
        <v>992</v>
      </c>
      <c r="R418" s="11" t="s">
        <v>992</v>
      </c>
      <c r="S418" s="11" t="s">
        <v>992</v>
      </c>
      <c r="T418" s="11" t="s">
        <v>992</v>
      </c>
      <c r="U418" s="11" t="s">
        <v>38</v>
      </c>
      <c r="V418" s="11" t="s">
        <v>992</v>
      </c>
      <c r="W418" s="11" t="s">
        <v>992</v>
      </c>
      <c r="X418" s="11" t="s">
        <v>992</v>
      </c>
      <c r="Y418" s="11" t="s">
        <v>992</v>
      </c>
      <c r="Z418" s="11" t="s">
        <v>992</v>
      </c>
      <c r="AA418" s="11" t="s">
        <v>992</v>
      </c>
      <c r="AB418" s="11" t="s">
        <v>992</v>
      </c>
      <c r="AC418" s="11" t="s">
        <v>992</v>
      </c>
      <c r="AD418" s="11" t="s">
        <v>1766</v>
      </c>
      <c r="AE418" s="11" t="s">
        <v>993</v>
      </c>
    </row>
    <row r="419" spans="2:31" x14ac:dyDescent="0.35">
      <c r="B419" s="24" t="s">
        <v>278</v>
      </c>
      <c r="C419" s="12" t="s">
        <v>2121</v>
      </c>
      <c r="D419" s="11" t="s">
        <v>1475</v>
      </c>
      <c r="E419" s="11" t="s">
        <v>1510</v>
      </c>
      <c r="F419" s="12" t="s">
        <v>278</v>
      </c>
      <c r="G419" s="12" t="s">
        <v>246</v>
      </c>
      <c r="H419" s="12" t="s">
        <v>246</v>
      </c>
      <c r="I419" s="12" t="s">
        <v>430</v>
      </c>
      <c r="J419" s="12" t="s">
        <v>71</v>
      </c>
      <c r="K419" s="12" t="s">
        <v>1569</v>
      </c>
      <c r="L419" s="12" t="s">
        <v>247</v>
      </c>
      <c r="M419" s="12" t="s">
        <v>992</v>
      </c>
      <c r="N419" s="13" t="s">
        <v>1535</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spans="2:31" x14ac:dyDescent="0.35">
      <c r="B420" s="24" t="s">
        <v>278</v>
      </c>
      <c r="C420" s="12" t="s">
        <v>2122</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1768</v>
      </c>
    </row>
    <row r="421" spans="2:31" x14ac:dyDescent="0.35">
      <c r="B421" s="24" t="s">
        <v>278</v>
      </c>
      <c r="C421" s="12" t="s">
        <v>2123</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spans="2:31" x14ac:dyDescent="0.35">
      <c r="B422" s="24" t="s">
        <v>291</v>
      </c>
      <c r="C422" s="12" t="s">
        <v>2124</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spans="2:31" x14ac:dyDescent="0.35">
      <c r="B423" s="24" t="s">
        <v>291</v>
      </c>
      <c r="C423" s="12" t="s">
        <v>2125</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spans="2:31" x14ac:dyDescent="0.35">
      <c r="B424" s="24" t="s">
        <v>291</v>
      </c>
      <c r="C424" s="12" t="s">
        <v>2126</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spans="2:31" x14ac:dyDescent="0.35">
      <c r="B425" s="24" t="s">
        <v>291</v>
      </c>
      <c r="C425" s="12" t="s">
        <v>2127</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spans="2:31" x14ac:dyDescent="0.35">
      <c r="B426" s="24" t="s">
        <v>291</v>
      </c>
      <c r="C426" s="12" t="s">
        <v>2128</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spans="2:31" x14ac:dyDescent="0.35">
      <c r="B427" s="24" t="s">
        <v>291</v>
      </c>
      <c r="C427" s="12" t="s">
        <v>2129</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spans="2:31" x14ac:dyDescent="0.35">
      <c r="B428" s="24" t="s">
        <v>291</v>
      </c>
      <c r="C428" s="12" t="s">
        <v>2130</v>
      </c>
      <c r="D428" s="11" t="s">
        <v>1484</v>
      </c>
      <c r="E428" s="11" t="s">
        <v>1510</v>
      </c>
      <c r="F428" s="12" t="s">
        <v>291</v>
      </c>
      <c r="G428" s="12" t="s">
        <v>246</v>
      </c>
      <c r="H428" s="12" t="s">
        <v>246</v>
      </c>
      <c r="I428" s="12" t="s">
        <v>430</v>
      </c>
      <c r="J428" s="12" t="s">
        <v>71</v>
      </c>
      <c r="K428" s="12" t="s">
        <v>1569</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spans="2:31" x14ac:dyDescent="0.35">
      <c r="B429" s="24" t="s">
        <v>291</v>
      </c>
      <c r="C429" s="12" t="s">
        <v>2131</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spans="2:31" x14ac:dyDescent="0.35">
      <c r="B430" s="24" t="s">
        <v>308</v>
      </c>
      <c r="C430" s="12" t="s">
        <v>2132</v>
      </c>
      <c r="D430" s="11" t="s">
        <v>1486</v>
      </c>
      <c r="E430" s="11" t="s">
        <v>1510</v>
      </c>
      <c r="F430" s="12" t="s">
        <v>308</v>
      </c>
      <c r="G430" s="12" t="s">
        <v>246</v>
      </c>
      <c r="H430" s="12" t="s">
        <v>246</v>
      </c>
      <c r="I430" s="12" t="s">
        <v>430</v>
      </c>
      <c r="J430" s="12" t="s">
        <v>71</v>
      </c>
      <c r="K430" s="12" t="s">
        <v>1569</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spans="2:31" x14ac:dyDescent="0.35">
      <c r="B431" s="24" t="s">
        <v>308</v>
      </c>
      <c r="C431" s="12" t="s">
        <v>2133</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spans="2:31" x14ac:dyDescent="0.35">
      <c r="B432" s="24" t="s">
        <v>308</v>
      </c>
      <c r="C432" s="12" t="s">
        <v>2134</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spans="2:31" x14ac:dyDescent="0.35">
      <c r="B433" s="24" t="s">
        <v>308</v>
      </c>
      <c r="C433" s="12" t="s">
        <v>2135</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spans="2:31" x14ac:dyDescent="0.35">
      <c r="B434" s="24" t="s">
        <v>308</v>
      </c>
      <c r="C434" s="12" t="s">
        <v>2136</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spans="2:31" x14ac:dyDescent="0.35">
      <c r="B435" s="24" t="s">
        <v>308</v>
      </c>
      <c r="C435" s="12" t="s">
        <v>2137</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spans="2:31" x14ac:dyDescent="0.35">
      <c r="B436" s="24" t="s">
        <v>308</v>
      </c>
      <c r="C436" s="12" t="s">
        <v>2138</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spans="2:31" x14ac:dyDescent="0.35">
      <c r="B437" s="24" t="s">
        <v>308</v>
      </c>
      <c r="C437" s="12" t="s">
        <v>2139</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spans="2:31" x14ac:dyDescent="0.35">
      <c r="B438" s="24" t="s">
        <v>295</v>
      </c>
      <c r="C438" s="12" t="s">
        <v>2140</v>
      </c>
      <c r="D438" s="11" t="s">
        <v>1493</v>
      </c>
      <c r="E438" s="11" t="s">
        <v>1444</v>
      </c>
      <c r="F438" s="12" t="s">
        <v>295</v>
      </c>
      <c r="G438" s="12" t="s">
        <v>246</v>
      </c>
      <c r="H438" s="12" t="s">
        <v>246</v>
      </c>
      <c r="I438" s="12" t="s">
        <v>60</v>
      </c>
      <c r="J438" s="12" t="s">
        <v>1030</v>
      </c>
      <c r="K438" s="12" t="s">
        <v>118</v>
      </c>
      <c r="L438" s="12" t="s">
        <v>247</v>
      </c>
      <c r="M438" s="12" t="s">
        <v>992</v>
      </c>
      <c r="N438" s="13" t="s">
        <v>2290</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spans="2:31" x14ac:dyDescent="0.35">
      <c r="B439" s="24" t="s">
        <v>295</v>
      </c>
      <c r="C439" s="12" t="s">
        <v>2141</v>
      </c>
      <c r="D439" s="11" t="s">
        <v>1494</v>
      </c>
      <c r="E439" s="11" t="s">
        <v>1444</v>
      </c>
      <c r="F439" s="12" t="s">
        <v>295</v>
      </c>
      <c r="G439" s="12" t="s">
        <v>246</v>
      </c>
      <c r="H439" s="12" t="s">
        <v>246</v>
      </c>
      <c r="I439" s="12" t="s">
        <v>60</v>
      </c>
      <c r="J439" s="12" t="s">
        <v>1030</v>
      </c>
      <c r="K439" s="12" t="s">
        <v>118</v>
      </c>
      <c r="L439" s="12" t="s">
        <v>247</v>
      </c>
      <c r="M439" s="12" t="s">
        <v>992</v>
      </c>
      <c r="N439" s="13" t="s">
        <v>2291</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spans="2:31" x14ac:dyDescent="0.35">
      <c r="B440" s="24" t="s">
        <v>295</v>
      </c>
      <c r="C440" s="12" t="s">
        <v>2142</v>
      </c>
      <c r="D440" s="11" t="s">
        <v>1495</v>
      </c>
      <c r="E440" s="11" t="s">
        <v>1444</v>
      </c>
      <c r="F440" s="12" t="s">
        <v>295</v>
      </c>
      <c r="G440" s="12" t="s">
        <v>246</v>
      </c>
      <c r="H440" s="12" t="s">
        <v>246</v>
      </c>
      <c r="I440" s="12" t="s">
        <v>60</v>
      </c>
      <c r="J440" s="12" t="s">
        <v>1030</v>
      </c>
      <c r="K440" s="12" t="s">
        <v>118</v>
      </c>
      <c r="L440" s="12" t="s">
        <v>247</v>
      </c>
      <c r="M440" s="12" t="s">
        <v>992</v>
      </c>
      <c r="N440" s="13" t="s">
        <v>2292</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spans="2:31" x14ac:dyDescent="0.35">
      <c r="B441" s="24" t="s">
        <v>295</v>
      </c>
      <c r="C441" s="12" t="s">
        <v>2143</v>
      </c>
      <c r="D441" s="11" t="s">
        <v>1496</v>
      </c>
      <c r="E441" s="11" t="s">
        <v>1444</v>
      </c>
      <c r="F441" s="12" t="s">
        <v>295</v>
      </c>
      <c r="G441" s="12" t="s">
        <v>246</v>
      </c>
      <c r="H441" s="12" t="s">
        <v>246</v>
      </c>
      <c r="I441" s="12" t="s">
        <v>60</v>
      </c>
      <c r="J441" s="12" t="s">
        <v>1030</v>
      </c>
      <c r="K441" s="12" t="s">
        <v>118</v>
      </c>
      <c r="L441" s="12" t="s">
        <v>247</v>
      </c>
      <c r="M441" s="12" t="s">
        <v>992</v>
      </c>
      <c r="N441" s="13" t="s">
        <v>2293</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spans="2:31" x14ac:dyDescent="0.35">
      <c r="B442" s="24" t="s">
        <v>295</v>
      </c>
      <c r="C442" s="12" t="s">
        <v>2144</v>
      </c>
      <c r="D442" s="11" t="s">
        <v>1497</v>
      </c>
      <c r="E442" s="11" t="s">
        <v>1444</v>
      </c>
      <c r="F442" s="12" t="s">
        <v>295</v>
      </c>
      <c r="G442" s="12" t="s">
        <v>246</v>
      </c>
      <c r="H442" s="12" t="s">
        <v>246</v>
      </c>
      <c r="I442" s="12" t="s">
        <v>60</v>
      </c>
      <c r="J442" s="12" t="s">
        <v>1030</v>
      </c>
      <c r="K442" s="12" t="s">
        <v>118</v>
      </c>
      <c r="L442" s="12" t="s">
        <v>247</v>
      </c>
      <c r="M442" s="12" t="s">
        <v>992</v>
      </c>
      <c r="N442" s="13" t="s">
        <v>2294</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spans="2:31" x14ac:dyDescent="0.35">
      <c r="B443" s="24" t="s">
        <v>295</v>
      </c>
      <c r="C443" s="12" t="s">
        <v>2145</v>
      </c>
      <c r="D443" s="11" t="s">
        <v>1498</v>
      </c>
      <c r="E443" s="11" t="s">
        <v>1444</v>
      </c>
      <c r="F443" s="12" t="s">
        <v>295</v>
      </c>
      <c r="G443" s="12" t="s">
        <v>246</v>
      </c>
      <c r="H443" s="12" t="s">
        <v>246</v>
      </c>
      <c r="I443" s="12" t="s">
        <v>60</v>
      </c>
      <c r="J443" s="12" t="s">
        <v>1030</v>
      </c>
      <c r="K443" s="12" t="s">
        <v>118</v>
      </c>
      <c r="L443" s="12" t="s">
        <v>247</v>
      </c>
      <c r="M443" s="12" t="s">
        <v>992</v>
      </c>
      <c r="N443" s="13" t="s">
        <v>2295</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spans="2:31" x14ac:dyDescent="0.35">
      <c r="B444" s="24" t="s">
        <v>295</v>
      </c>
      <c r="C444" s="12" t="s">
        <v>2146</v>
      </c>
      <c r="D444" s="11" t="s">
        <v>1499</v>
      </c>
      <c r="E444" s="11" t="s">
        <v>429</v>
      </c>
      <c r="F444" s="12" t="s">
        <v>295</v>
      </c>
      <c r="G444" s="12" t="s">
        <v>246</v>
      </c>
      <c r="H444" s="12" t="s">
        <v>246</v>
      </c>
      <c r="I444" s="12" t="s">
        <v>430</v>
      </c>
      <c r="J444" s="12" t="s">
        <v>20</v>
      </c>
      <c r="K444" s="12" t="s">
        <v>1022</v>
      </c>
      <c r="L444" s="12" t="s">
        <v>247</v>
      </c>
      <c r="M444" s="12" t="s">
        <v>992</v>
      </c>
      <c r="N444" s="13" t="s">
        <v>2296</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spans="2:31" x14ac:dyDescent="0.35">
      <c r="B445" s="24" t="s">
        <v>311</v>
      </c>
      <c r="C445" s="12" t="s">
        <v>2147</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spans="2:31" x14ac:dyDescent="0.35">
      <c r="B446" s="24" t="s">
        <v>283</v>
      </c>
      <c r="C446" s="12" t="s">
        <v>2148</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1768</v>
      </c>
    </row>
    <row r="447" spans="2:31" x14ac:dyDescent="0.35">
      <c r="B447" s="24" t="s">
        <v>278</v>
      </c>
      <c r="C447" s="12" t="s">
        <v>2149</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spans="2:31" x14ac:dyDescent="0.35">
      <c r="B448" s="24" t="s">
        <v>283</v>
      </c>
      <c r="C448" s="12" t="s">
        <v>2150</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2347</v>
      </c>
      <c r="AA448" s="11" t="s">
        <v>2347</v>
      </c>
      <c r="AB448" s="11" t="s">
        <v>30</v>
      </c>
      <c r="AC448" s="11" t="s">
        <v>1336</v>
      </c>
      <c r="AD448" s="11" t="s">
        <v>1567</v>
      </c>
      <c r="AE448" s="11" t="s">
        <v>993</v>
      </c>
    </row>
    <row r="449" spans="2:31" x14ac:dyDescent="0.35">
      <c r="B449" s="24" t="s">
        <v>278</v>
      </c>
      <c r="C449" s="12" t="s">
        <v>2151</v>
      </c>
      <c r="D449" s="11" t="s">
        <v>1576</v>
      </c>
      <c r="E449" s="11" t="s">
        <v>1509</v>
      </c>
      <c r="F449" s="12" t="s">
        <v>278</v>
      </c>
      <c r="G449" s="12" t="s">
        <v>246</v>
      </c>
      <c r="H449" s="12" t="s">
        <v>246</v>
      </c>
      <c r="I449" s="12" t="s">
        <v>430</v>
      </c>
      <c r="J449" s="12" t="s">
        <v>90</v>
      </c>
      <c r="K449" s="12" t="s">
        <v>1022</v>
      </c>
      <c r="L449" s="12" t="s">
        <v>247</v>
      </c>
      <c r="M449" s="12" t="s">
        <v>992</v>
      </c>
      <c r="N449" s="13" t="s">
        <v>1577</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1768</v>
      </c>
    </row>
    <row r="450" spans="2:31" x14ac:dyDescent="0.35">
      <c r="B450" s="24" t="s">
        <v>278</v>
      </c>
      <c r="C450" s="12" t="s">
        <v>2152</v>
      </c>
      <c r="D450" s="11" t="s">
        <v>1578</v>
      </c>
      <c r="E450" s="11" t="s">
        <v>1571</v>
      </c>
      <c r="F450" s="12" t="s">
        <v>278</v>
      </c>
      <c r="G450" s="12" t="s">
        <v>246</v>
      </c>
      <c r="H450" s="12" t="s">
        <v>246</v>
      </c>
      <c r="I450" s="12" t="s">
        <v>60</v>
      </c>
      <c r="J450" s="12" t="s">
        <v>1030</v>
      </c>
      <c r="K450" s="12" t="s">
        <v>118</v>
      </c>
      <c r="L450" s="12" t="s">
        <v>247</v>
      </c>
      <c r="M450" s="12" t="s">
        <v>992</v>
      </c>
      <c r="N450" s="13" t="s">
        <v>1579</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spans="2:31" x14ac:dyDescent="0.35">
      <c r="B451" s="24" t="s">
        <v>278</v>
      </c>
      <c r="C451" s="12" t="s">
        <v>2153</v>
      </c>
      <c r="D451" s="11" t="s">
        <v>1580</v>
      </c>
      <c r="E451" s="11" t="s">
        <v>1571</v>
      </c>
      <c r="F451" s="12" t="s">
        <v>278</v>
      </c>
      <c r="G451" s="12" t="s">
        <v>246</v>
      </c>
      <c r="H451" s="12" t="s">
        <v>246</v>
      </c>
      <c r="I451" s="12" t="s">
        <v>60</v>
      </c>
      <c r="J451" s="12" t="s">
        <v>1030</v>
      </c>
      <c r="K451" s="12" t="s">
        <v>118</v>
      </c>
      <c r="L451" s="12" t="s">
        <v>247</v>
      </c>
      <c r="M451" s="12" t="s">
        <v>992</v>
      </c>
      <c r="N451" s="13" t="s">
        <v>1581</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spans="2:31" x14ac:dyDescent="0.35">
      <c r="B452" s="24" t="s">
        <v>278</v>
      </c>
      <c r="C452" s="12" t="s">
        <v>2154</v>
      </c>
      <c r="D452" s="11" t="s">
        <v>1582</v>
      </c>
      <c r="E452" s="11" t="s">
        <v>1571</v>
      </c>
      <c r="F452" s="12" t="s">
        <v>278</v>
      </c>
      <c r="G452" s="12" t="s">
        <v>246</v>
      </c>
      <c r="H452" s="12" t="s">
        <v>246</v>
      </c>
      <c r="I452" s="12" t="s">
        <v>60</v>
      </c>
      <c r="J452" s="12" t="s">
        <v>1030</v>
      </c>
      <c r="K452" s="12" t="s">
        <v>118</v>
      </c>
      <c r="L452" s="12" t="s">
        <v>247</v>
      </c>
      <c r="M452" s="12" t="s">
        <v>992</v>
      </c>
      <c r="N452" s="13" t="s">
        <v>1583</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spans="2:31" x14ac:dyDescent="0.35">
      <c r="B453" s="24" t="s">
        <v>278</v>
      </c>
      <c r="C453" s="12" t="s">
        <v>2155</v>
      </c>
      <c r="D453" s="11" t="s">
        <v>1584</v>
      </c>
      <c r="E453" s="11" t="s">
        <v>1571</v>
      </c>
      <c r="F453" s="12" t="s">
        <v>278</v>
      </c>
      <c r="G453" s="12" t="s">
        <v>246</v>
      </c>
      <c r="H453" s="12" t="s">
        <v>246</v>
      </c>
      <c r="I453" s="12" t="s">
        <v>60</v>
      </c>
      <c r="J453" s="12" t="s">
        <v>1030</v>
      </c>
      <c r="K453" s="12" t="s">
        <v>118</v>
      </c>
      <c r="L453" s="12" t="s">
        <v>247</v>
      </c>
      <c r="M453" s="12" t="s">
        <v>992</v>
      </c>
      <c r="N453" s="13" t="s">
        <v>1585</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spans="2:31" x14ac:dyDescent="0.35">
      <c r="B454" s="24" t="s">
        <v>278</v>
      </c>
      <c r="C454" s="12" t="s">
        <v>2156</v>
      </c>
      <c r="D454" s="11" t="s">
        <v>1586</v>
      </c>
      <c r="E454" s="11" t="s">
        <v>1571</v>
      </c>
      <c r="F454" s="12" t="s">
        <v>278</v>
      </c>
      <c r="G454" s="12" t="s">
        <v>246</v>
      </c>
      <c r="H454" s="12" t="s">
        <v>246</v>
      </c>
      <c r="I454" s="12" t="s">
        <v>60</v>
      </c>
      <c r="J454" s="12" t="s">
        <v>1030</v>
      </c>
      <c r="K454" s="12" t="s">
        <v>118</v>
      </c>
      <c r="L454" s="12" t="s">
        <v>247</v>
      </c>
      <c r="M454" s="12" t="s">
        <v>992</v>
      </c>
      <c r="N454" s="13" t="s">
        <v>1587</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spans="2:31" x14ac:dyDescent="0.35">
      <c r="B455" s="24" t="s">
        <v>278</v>
      </c>
      <c r="C455" s="12" t="s">
        <v>2157</v>
      </c>
      <c r="D455" s="11" t="s">
        <v>1588</v>
      </c>
      <c r="E455" s="11" t="s">
        <v>661</v>
      </c>
      <c r="F455" s="12" t="s">
        <v>278</v>
      </c>
      <c r="G455" s="12" t="s">
        <v>246</v>
      </c>
      <c r="H455" s="12" t="s">
        <v>246</v>
      </c>
      <c r="I455" s="12" t="s">
        <v>430</v>
      </c>
      <c r="J455" s="12" t="s">
        <v>71</v>
      </c>
      <c r="K455" s="12" t="s">
        <v>1569</v>
      </c>
      <c r="L455" s="12" t="s">
        <v>247</v>
      </c>
      <c r="M455" s="12" t="s">
        <v>992</v>
      </c>
      <c r="N455" s="13" t="s">
        <v>1589</v>
      </c>
      <c r="O455" s="11" t="s">
        <v>992</v>
      </c>
      <c r="P455" s="11" t="s">
        <v>992</v>
      </c>
      <c r="Q455" s="11" t="s">
        <v>992</v>
      </c>
      <c r="R455" s="11" t="s">
        <v>992</v>
      </c>
      <c r="S455" s="11" t="s">
        <v>992</v>
      </c>
      <c r="T455" s="11" t="s">
        <v>992</v>
      </c>
      <c r="U455" s="11" t="s">
        <v>131</v>
      </c>
      <c r="V455" s="11" t="s">
        <v>992</v>
      </c>
      <c r="W455" s="11" t="s">
        <v>992</v>
      </c>
      <c r="X455" s="11" t="s">
        <v>992</v>
      </c>
      <c r="Y455" s="11" t="s">
        <v>992</v>
      </c>
      <c r="Z455" s="11" t="s">
        <v>992</v>
      </c>
      <c r="AA455" s="11" t="s">
        <v>992</v>
      </c>
      <c r="AB455" s="11" t="s">
        <v>992</v>
      </c>
      <c r="AC455" s="11" t="s">
        <v>992</v>
      </c>
      <c r="AD455" s="11" t="s">
        <v>992</v>
      </c>
      <c r="AE455" s="11" t="s">
        <v>993</v>
      </c>
    </row>
    <row r="456" spans="2:31" x14ac:dyDescent="0.35">
      <c r="B456" s="24" t="s">
        <v>278</v>
      </c>
      <c r="C456" s="12" t="s">
        <v>2158</v>
      </c>
      <c r="D456" s="11" t="s">
        <v>1590</v>
      </c>
      <c r="E456" s="11" t="s">
        <v>661</v>
      </c>
      <c r="F456" s="12" t="s">
        <v>278</v>
      </c>
      <c r="G456" s="12" t="s">
        <v>246</v>
      </c>
      <c r="H456" s="12" t="s">
        <v>246</v>
      </c>
      <c r="I456" s="12" t="s">
        <v>430</v>
      </c>
      <c r="J456" s="12" t="s">
        <v>71</v>
      </c>
      <c r="K456" s="12" t="s">
        <v>1569</v>
      </c>
      <c r="L456" s="12" t="s">
        <v>247</v>
      </c>
      <c r="M456" s="12" t="s">
        <v>992</v>
      </c>
      <c r="N456" s="13" t="s">
        <v>1591</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1768</v>
      </c>
    </row>
    <row r="457" spans="2:31" x14ac:dyDescent="0.35">
      <c r="B457" s="24" t="s">
        <v>278</v>
      </c>
      <c r="C457" s="12" t="s">
        <v>2159</v>
      </c>
      <c r="D457" s="11" t="s">
        <v>1592</v>
      </c>
      <c r="E457" s="11" t="s">
        <v>1509</v>
      </c>
      <c r="F457" s="12" t="s">
        <v>278</v>
      </c>
      <c r="G457" s="12" t="s">
        <v>246</v>
      </c>
      <c r="H457" s="12" t="s">
        <v>246</v>
      </c>
      <c r="I457" s="12" t="s">
        <v>430</v>
      </c>
      <c r="J457" s="12" t="s">
        <v>90</v>
      </c>
      <c r="K457" s="12" t="s">
        <v>1022</v>
      </c>
      <c r="L457" s="12" t="s">
        <v>247</v>
      </c>
      <c r="M457" s="12" t="s">
        <v>992</v>
      </c>
      <c r="N457" s="13" t="s">
        <v>1593</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spans="2:31" x14ac:dyDescent="0.35">
      <c r="B458" s="24" t="s">
        <v>278</v>
      </c>
      <c r="C458" s="12" t="s">
        <v>2160</v>
      </c>
      <c r="D458" s="11" t="s">
        <v>1594</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spans="2:31" x14ac:dyDescent="0.35">
      <c r="B459" s="24" t="s">
        <v>278</v>
      </c>
      <c r="C459" s="12" t="s">
        <v>2161</v>
      </c>
      <c r="D459" s="11" t="s">
        <v>1595</v>
      </c>
      <c r="E459" s="11" t="s">
        <v>1571</v>
      </c>
      <c r="F459" s="12" t="s">
        <v>278</v>
      </c>
      <c r="G459" s="12" t="s">
        <v>246</v>
      </c>
      <c r="H459" s="12" t="s">
        <v>246</v>
      </c>
      <c r="I459" s="12" t="s">
        <v>60</v>
      </c>
      <c r="J459" s="12" t="s">
        <v>1030</v>
      </c>
      <c r="K459" s="12" t="s">
        <v>118</v>
      </c>
      <c r="L459" s="12" t="s">
        <v>247</v>
      </c>
      <c r="M459" s="12" t="s">
        <v>992</v>
      </c>
      <c r="N459" s="13" t="s">
        <v>2297</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spans="2:31" x14ac:dyDescent="0.35">
      <c r="B460" s="24" t="s">
        <v>278</v>
      </c>
      <c r="C460" s="12" t="s">
        <v>2162</v>
      </c>
      <c r="D460" s="11" t="s">
        <v>1596</v>
      </c>
      <c r="E460" s="11" t="s">
        <v>93</v>
      </c>
      <c r="F460" s="12" t="s">
        <v>278</v>
      </c>
      <c r="G460" s="12" t="s">
        <v>246</v>
      </c>
      <c r="H460" s="12" t="s">
        <v>246</v>
      </c>
      <c r="I460" s="12" t="s">
        <v>430</v>
      </c>
      <c r="J460" s="12" t="s">
        <v>93</v>
      </c>
      <c r="K460" s="12" t="s">
        <v>1022</v>
      </c>
      <c r="L460" s="12" t="s">
        <v>247</v>
      </c>
      <c r="M460" s="12" t="s">
        <v>992</v>
      </c>
      <c r="N460" s="13" t="s">
        <v>1597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spans="2:31" x14ac:dyDescent="0.35">
      <c r="B461" s="24" t="s">
        <v>278</v>
      </c>
      <c r="C461" s="12" t="s">
        <v>2163</v>
      </c>
      <c r="D461" s="11" t="s">
        <v>1598</v>
      </c>
      <c r="E461" s="11" t="s">
        <v>93</v>
      </c>
      <c r="F461" s="12" t="s">
        <v>278</v>
      </c>
      <c r="G461" s="12" t="s">
        <v>246</v>
      </c>
      <c r="H461" s="12" t="s">
        <v>246</v>
      </c>
      <c r="I461" s="12" t="s">
        <v>430</v>
      </c>
      <c r="J461" s="12" t="s">
        <v>93</v>
      </c>
      <c r="K461" s="12" t="s">
        <v>1022</v>
      </c>
      <c r="L461" s="12" t="s">
        <v>247</v>
      </c>
      <c r="M461" s="12" t="s">
        <v>992</v>
      </c>
      <c r="N461" s="13" t="s">
        <v>1599</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spans="2:31" x14ac:dyDescent="0.35">
      <c r="B462" s="24" t="s">
        <v>278</v>
      </c>
      <c r="C462" s="12" t="s">
        <v>2164</v>
      </c>
      <c r="D462" s="11" t="s">
        <v>1600</v>
      </c>
      <c r="E462" s="11" t="s">
        <v>1601</v>
      </c>
      <c r="F462" s="12" t="s">
        <v>278</v>
      </c>
      <c r="G462" s="12" t="s">
        <v>246</v>
      </c>
      <c r="H462" s="12" t="s">
        <v>246</v>
      </c>
      <c r="I462" s="12" t="s">
        <v>430</v>
      </c>
      <c r="J462" s="12" t="s">
        <v>71</v>
      </c>
      <c r="K462" s="12" t="s">
        <v>1018</v>
      </c>
      <c r="L462" s="12" t="s">
        <v>247</v>
      </c>
      <c r="M462" s="12" t="s">
        <v>992</v>
      </c>
      <c r="N462" s="13" t="s">
        <v>1602</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spans="2:31" x14ac:dyDescent="0.35">
      <c r="B463" s="24" t="s">
        <v>278</v>
      </c>
      <c r="C463" s="12" t="s">
        <v>2165</v>
      </c>
      <c r="D463" s="11" t="s">
        <v>1603</v>
      </c>
      <c r="E463" s="11" t="s">
        <v>1601</v>
      </c>
      <c r="F463" s="12" t="s">
        <v>278</v>
      </c>
      <c r="G463" s="12" t="s">
        <v>246</v>
      </c>
      <c r="H463" s="12" t="s">
        <v>246</v>
      </c>
      <c r="I463" s="12" t="s">
        <v>430</v>
      </c>
      <c r="J463" s="12" t="s">
        <v>71</v>
      </c>
      <c r="K463" s="12" t="s">
        <v>1018</v>
      </c>
      <c r="L463" s="12" t="s">
        <v>247</v>
      </c>
      <c r="M463" s="12" t="s">
        <v>992</v>
      </c>
      <c r="N463" s="13" t="s">
        <v>1604</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spans="2:31" x14ac:dyDescent="0.35">
      <c r="B464" s="24" t="s">
        <v>278</v>
      </c>
      <c r="C464" s="12" t="s">
        <v>2166</v>
      </c>
      <c r="D464" s="11" t="s">
        <v>1605</v>
      </c>
      <c r="E464" s="11" t="s">
        <v>1571</v>
      </c>
      <c r="F464" s="12" t="s">
        <v>278</v>
      </c>
      <c r="G464" s="12" t="s">
        <v>246</v>
      </c>
      <c r="H464" s="12" t="s">
        <v>246</v>
      </c>
      <c r="I464" s="12" t="s">
        <v>60</v>
      </c>
      <c r="J464" s="12" t="s">
        <v>1030</v>
      </c>
      <c r="K464" s="12" t="s">
        <v>118</v>
      </c>
      <c r="L464" s="12" t="s">
        <v>247</v>
      </c>
      <c r="M464" s="12" t="s">
        <v>992</v>
      </c>
      <c r="N464" s="13" t="s">
        <v>1606</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spans="2:31" x14ac:dyDescent="0.35">
      <c r="B465" s="24" t="s">
        <v>308</v>
      </c>
      <c r="C465" s="12" t="s">
        <v>2167</v>
      </c>
      <c r="D465" s="11" t="s">
        <v>1607</v>
      </c>
      <c r="E465" s="11" t="s">
        <v>1442</v>
      </c>
      <c r="F465" s="12" t="s">
        <v>308</v>
      </c>
      <c r="G465" s="12" t="s">
        <v>246</v>
      </c>
      <c r="H465" s="12" t="s">
        <v>246</v>
      </c>
      <c r="I465" s="12" t="s">
        <v>60</v>
      </c>
      <c r="J465" s="12" t="s">
        <v>1030</v>
      </c>
      <c r="K465" s="12" t="s">
        <v>118</v>
      </c>
      <c r="L465" s="12" t="s">
        <v>247</v>
      </c>
      <c r="M465" s="12" t="s">
        <v>992</v>
      </c>
      <c r="N465" s="13" t="s">
        <v>1608</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spans="2:31" x14ac:dyDescent="0.35">
      <c r="B466" s="24" t="s">
        <v>308</v>
      </c>
      <c r="C466" s="12" t="s">
        <v>2168</v>
      </c>
      <c r="D466" s="11" t="s">
        <v>1609</v>
      </c>
      <c r="E466" s="11" t="s">
        <v>1442</v>
      </c>
      <c r="F466" s="12" t="s">
        <v>308</v>
      </c>
      <c r="G466" s="12" t="s">
        <v>246</v>
      </c>
      <c r="H466" s="12" t="s">
        <v>246</v>
      </c>
      <c r="I466" s="12" t="s">
        <v>60</v>
      </c>
      <c r="J466" s="12" t="s">
        <v>1030</v>
      </c>
      <c r="K466" s="12" t="s">
        <v>118</v>
      </c>
      <c r="L466" s="12" t="s">
        <v>247</v>
      </c>
      <c r="M466" s="12" t="s">
        <v>992</v>
      </c>
      <c r="N466" s="13" t="s">
        <v>1610</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spans="2:31" x14ac:dyDescent="0.35">
      <c r="B467" s="24" t="s">
        <v>308</v>
      </c>
      <c r="C467" s="12" t="s">
        <v>2169</v>
      </c>
      <c r="D467" s="11" t="s">
        <v>1611</v>
      </c>
      <c r="E467" s="11" t="s">
        <v>1442</v>
      </c>
      <c r="F467" s="12" t="s">
        <v>308</v>
      </c>
      <c r="G467" s="12" t="s">
        <v>246</v>
      </c>
      <c r="H467" s="12" t="s">
        <v>246</v>
      </c>
      <c r="I467" s="12" t="s">
        <v>60</v>
      </c>
      <c r="J467" s="12" t="s">
        <v>1030</v>
      </c>
      <c r="K467" s="12" t="s">
        <v>118</v>
      </c>
      <c r="L467" s="12" t="s">
        <v>247</v>
      </c>
      <c r="M467" s="12" t="s">
        <v>992</v>
      </c>
      <c r="N467" s="13" t="s">
        <v>1612</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spans="2:31" x14ac:dyDescent="0.35">
      <c r="B468" s="24" t="s">
        <v>308</v>
      </c>
      <c r="C468" s="12" t="s">
        <v>2170</v>
      </c>
      <c r="D468" s="11" t="s">
        <v>1613</v>
      </c>
      <c r="E468" s="11" t="s">
        <v>661</v>
      </c>
      <c r="F468" s="12" t="s">
        <v>308</v>
      </c>
      <c r="G468" s="12" t="s">
        <v>246</v>
      </c>
      <c r="H468" s="12" t="s">
        <v>246</v>
      </c>
      <c r="I468" s="12" t="s">
        <v>430</v>
      </c>
      <c r="J468" s="12" t="s">
        <v>71</v>
      </c>
      <c r="K468" s="12" t="s">
        <v>1569</v>
      </c>
      <c r="L468" s="12" t="s">
        <v>247</v>
      </c>
      <c r="M468" s="12" t="s">
        <v>992</v>
      </c>
      <c r="N468" s="13" t="s">
        <v>1614</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spans="2:31" x14ac:dyDescent="0.35">
      <c r="B469" s="24" t="s">
        <v>283</v>
      </c>
      <c r="C469" s="12" t="s">
        <v>2171</v>
      </c>
      <c r="D469" s="11" t="s">
        <v>1615</v>
      </c>
      <c r="E469" s="11" t="s">
        <v>1501</v>
      </c>
      <c r="F469" s="12" t="s">
        <v>283</v>
      </c>
      <c r="G469" s="12" t="s">
        <v>246</v>
      </c>
      <c r="H469" s="12" t="s">
        <v>246</v>
      </c>
      <c r="I469" s="12" t="s">
        <v>60</v>
      </c>
      <c r="J469" s="12" t="s">
        <v>1030</v>
      </c>
      <c r="K469" s="12" t="s">
        <v>118</v>
      </c>
      <c r="L469" s="12" t="s">
        <v>247</v>
      </c>
      <c r="M469" s="12" t="s">
        <v>992</v>
      </c>
      <c r="N469" s="13" t="s">
        <v>1616</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spans="2:31" x14ac:dyDescent="0.35">
      <c r="B470" s="24" t="s">
        <v>283</v>
      </c>
      <c r="C470" s="12" t="s">
        <v>2172</v>
      </c>
      <c r="D470" s="11" t="s">
        <v>1617</v>
      </c>
      <c r="E470" s="11" t="s">
        <v>1501</v>
      </c>
      <c r="F470" s="12" t="s">
        <v>283</v>
      </c>
      <c r="G470" s="12" t="s">
        <v>246</v>
      </c>
      <c r="H470" s="12" t="s">
        <v>246</v>
      </c>
      <c r="I470" s="12" t="s">
        <v>60</v>
      </c>
      <c r="J470" s="12" t="s">
        <v>1030</v>
      </c>
      <c r="K470" s="12" t="s">
        <v>118</v>
      </c>
      <c r="L470" s="12" t="s">
        <v>247</v>
      </c>
      <c r="M470" s="12" t="s">
        <v>992</v>
      </c>
      <c r="N470" s="13" t="s">
        <v>1618</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spans="2:31" x14ac:dyDescent="0.35">
      <c r="B471" s="24" t="s">
        <v>283</v>
      </c>
      <c r="C471" s="12" t="s">
        <v>2173</v>
      </c>
      <c r="D471" s="11" t="s">
        <v>1619</v>
      </c>
      <c r="E471" s="11" t="s">
        <v>1501</v>
      </c>
      <c r="F471" s="12" t="s">
        <v>283</v>
      </c>
      <c r="G471" s="12" t="s">
        <v>246</v>
      </c>
      <c r="H471" s="12" t="s">
        <v>246</v>
      </c>
      <c r="I471" s="12" t="s">
        <v>60</v>
      </c>
      <c r="J471" s="12" t="s">
        <v>1030</v>
      </c>
      <c r="K471" s="12" t="s">
        <v>118</v>
      </c>
      <c r="L471" s="12" t="s">
        <v>247</v>
      </c>
      <c r="M471" s="12" t="s">
        <v>992</v>
      </c>
      <c r="N471" s="13" t="s">
        <v>1620</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spans="2:31" x14ac:dyDescent="0.35">
      <c r="B472" s="24" t="s">
        <v>283</v>
      </c>
      <c r="C472" s="12" t="s">
        <v>2174</v>
      </c>
      <c r="D472" s="11" t="s">
        <v>1621</v>
      </c>
      <c r="E472" s="11" t="s">
        <v>1501</v>
      </c>
      <c r="F472" s="12" t="s">
        <v>283</v>
      </c>
      <c r="G472" s="12" t="s">
        <v>246</v>
      </c>
      <c r="H472" s="12" t="s">
        <v>246</v>
      </c>
      <c r="I472" s="12" t="s">
        <v>60</v>
      </c>
      <c r="J472" s="12" t="s">
        <v>1030</v>
      </c>
      <c r="K472" s="12" t="s">
        <v>118</v>
      </c>
      <c r="L472" s="12" t="s">
        <v>247</v>
      </c>
      <c r="M472" s="12" t="s">
        <v>992</v>
      </c>
      <c r="N472" s="13" t="s">
        <v>1622</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spans="2:31" x14ac:dyDescent="0.35">
      <c r="B473" s="24" t="s">
        <v>283</v>
      </c>
      <c r="C473" s="12" t="s">
        <v>2175</v>
      </c>
      <c r="D473" s="11" t="s">
        <v>1623</v>
      </c>
      <c r="E473" s="11" t="s">
        <v>77</v>
      </c>
      <c r="F473" s="12" t="s">
        <v>283</v>
      </c>
      <c r="G473" s="12" t="s">
        <v>246</v>
      </c>
      <c r="H473" s="12" t="s">
        <v>246</v>
      </c>
      <c r="I473" s="12" t="s">
        <v>430</v>
      </c>
      <c r="J473" s="12" t="s">
        <v>71</v>
      </c>
      <c r="K473" s="12" t="s">
        <v>77</v>
      </c>
      <c r="L473" s="12" t="s">
        <v>247</v>
      </c>
      <c r="M473" s="12" t="s">
        <v>992</v>
      </c>
      <c r="N473" s="13" t="s">
        <v>1624</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spans="2:31" x14ac:dyDescent="0.35">
      <c r="B474" s="24" t="s">
        <v>283</v>
      </c>
      <c r="C474" s="12" t="s">
        <v>2176</v>
      </c>
      <c r="D474" s="11" t="s">
        <v>1625</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spans="2:31" x14ac:dyDescent="0.35">
      <c r="B475" s="24" t="s">
        <v>283</v>
      </c>
      <c r="C475" s="12" t="s">
        <v>2177</v>
      </c>
      <c r="D475" s="11" t="s">
        <v>1626</v>
      </c>
      <c r="E475" s="11" t="s">
        <v>80</v>
      </c>
      <c r="F475" s="12" t="s">
        <v>283</v>
      </c>
      <c r="G475" s="12" t="s">
        <v>246</v>
      </c>
      <c r="H475" s="12" t="s">
        <v>246</v>
      </c>
      <c r="I475" s="12" t="s">
        <v>430</v>
      </c>
      <c r="J475" s="12" t="s">
        <v>90</v>
      </c>
      <c r="K475" s="12" t="s">
        <v>1022</v>
      </c>
      <c r="L475" s="12" t="s">
        <v>247</v>
      </c>
      <c r="M475" s="12" t="s">
        <v>992</v>
      </c>
      <c r="N475" s="13" t="s">
        <v>1627</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spans="2:31" x14ac:dyDescent="0.35">
      <c r="B476" s="24" t="s">
        <v>283</v>
      </c>
      <c r="C476" s="12" t="s">
        <v>2178</v>
      </c>
      <c r="D476" s="11" t="s">
        <v>1628</v>
      </c>
      <c r="E476" s="11" t="s">
        <v>1501</v>
      </c>
      <c r="F476" s="12" t="s">
        <v>283</v>
      </c>
      <c r="G476" s="12" t="s">
        <v>246</v>
      </c>
      <c r="H476" s="12" t="s">
        <v>246</v>
      </c>
      <c r="I476" s="12" t="s">
        <v>60</v>
      </c>
      <c r="J476" s="12" t="s">
        <v>1030</v>
      </c>
      <c r="K476" s="12" t="s">
        <v>118</v>
      </c>
      <c r="L476" s="12" t="s">
        <v>247</v>
      </c>
      <c r="M476" s="12" t="s">
        <v>992</v>
      </c>
      <c r="N476" s="13" t="s">
        <v>1629</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spans="2:31" x14ac:dyDescent="0.35">
      <c r="B477" s="24" t="s">
        <v>311</v>
      </c>
      <c r="C477" s="12" t="s">
        <v>2179</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spans="2:31" x14ac:dyDescent="0.35">
      <c r="B478" s="24" t="s">
        <v>311</v>
      </c>
      <c r="C478" s="12" t="s">
        <v>2180</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spans="2:31" x14ac:dyDescent="0.35">
      <c r="B479" s="24" t="s">
        <v>49</v>
      </c>
      <c r="C479" s="12" t="s">
        <v>2181</v>
      </c>
      <c r="D479" s="11" t="s">
        <v>1630</v>
      </c>
      <c r="E479" s="11" t="s">
        <v>307</v>
      </c>
      <c r="F479" s="12" t="s">
        <v>286</v>
      </c>
      <c r="G479" s="12" t="s">
        <v>246</v>
      </c>
      <c r="H479" s="12" t="s">
        <v>246</v>
      </c>
      <c r="I479" s="12" t="s">
        <v>430</v>
      </c>
      <c r="J479" s="12" t="s">
        <v>71</v>
      </c>
      <c r="K479" s="12" t="s">
        <v>191</v>
      </c>
      <c r="L479" s="12" t="s">
        <v>247</v>
      </c>
      <c r="M479" s="12" t="s">
        <v>992</v>
      </c>
      <c r="N479" s="13" t="s">
        <v>1631</v>
      </c>
      <c r="O479" s="11" t="s">
        <v>992</v>
      </c>
      <c r="P479" s="11" t="s">
        <v>992</v>
      </c>
      <c r="Q479" s="11" t="s">
        <v>992</v>
      </c>
      <c r="R479" s="11" t="s">
        <v>992</v>
      </c>
      <c r="S479" s="11" t="s">
        <v>992</v>
      </c>
      <c r="T479" s="11" t="s">
        <v>992</v>
      </c>
      <c r="U479" s="11" t="s">
        <v>131</v>
      </c>
      <c r="V479" s="11" t="s">
        <v>992</v>
      </c>
      <c r="W479" s="11" t="s">
        <v>992</v>
      </c>
      <c r="X479" s="11" t="s">
        <v>992</v>
      </c>
      <c r="Y479" s="11" t="s">
        <v>992</v>
      </c>
      <c r="Z479" s="11" t="s">
        <v>2386</v>
      </c>
      <c r="AA479" s="11" t="s">
        <v>2386</v>
      </c>
      <c r="AB479" s="11" t="s">
        <v>30</v>
      </c>
      <c r="AC479" s="11" t="s">
        <v>992</v>
      </c>
      <c r="AD479" s="11" t="s">
        <v>992</v>
      </c>
      <c r="AE479" s="11" t="s">
        <v>993</v>
      </c>
    </row>
    <row r="480" spans="2:31" x14ac:dyDescent="0.35">
      <c r="B480" s="24" t="s">
        <v>283</v>
      </c>
      <c r="C480" s="12" t="s">
        <v>2182</v>
      </c>
      <c r="D480" s="11" t="s">
        <v>1632</v>
      </c>
      <c r="E480" s="11" t="s">
        <v>1633</v>
      </c>
      <c r="F480" s="12" t="s">
        <v>283</v>
      </c>
      <c r="G480" s="12" t="s">
        <v>246</v>
      </c>
      <c r="H480" s="12" t="s">
        <v>246</v>
      </c>
      <c r="I480" s="12" t="s">
        <v>430</v>
      </c>
      <c r="J480" s="12" t="s">
        <v>71</v>
      </c>
      <c r="K480" s="12" t="s">
        <v>1569</v>
      </c>
      <c r="L480" s="12" t="s">
        <v>247</v>
      </c>
      <c r="M480" s="12" t="s">
        <v>992</v>
      </c>
      <c r="N480" s="13" t="s">
        <v>1678</v>
      </c>
      <c r="O480" s="11" t="s">
        <v>992</v>
      </c>
      <c r="P480" s="11" t="s">
        <v>992</v>
      </c>
      <c r="Q480" s="11" t="s">
        <v>992</v>
      </c>
      <c r="R480" s="11" t="s">
        <v>992</v>
      </c>
      <c r="S480" s="11" t="s">
        <v>992</v>
      </c>
      <c r="T480" s="11" t="s">
        <v>125</v>
      </c>
      <c r="U480" s="11" t="s">
        <v>1014</v>
      </c>
      <c r="V480" s="11" t="s">
        <v>992</v>
      </c>
      <c r="W480" s="11" t="s">
        <v>992</v>
      </c>
      <c r="X480" s="11" t="s">
        <v>992</v>
      </c>
      <c r="Y480" s="11" t="s">
        <v>992</v>
      </c>
      <c r="Z480" s="11" t="s">
        <v>2388</v>
      </c>
      <c r="AA480" s="11" t="s">
        <v>2388</v>
      </c>
      <c r="AB480" s="11" t="s">
        <v>30</v>
      </c>
      <c r="AC480" s="11" t="s">
        <v>1342</v>
      </c>
      <c r="AD480" s="11" t="s">
        <v>992</v>
      </c>
      <c r="AE480" s="11" t="s">
        <v>993</v>
      </c>
    </row>
    <row r="481" spans="2:31" x14ac:dyDescent="0.35">
      <c r="B481" s="24" t="s">
        <v>311</v>
      </c>
      <c r="C481" s="12" t="s">
        <v>2183</v>
      </c>
      <c r="D481" s="11" t="s">
        <v>1634</v>
      </c>
      <c r="E481" s="11" t="s">
        <v>1633</v>
      </c>
      <c r="F481" s="12" t="s">
        <v>311</v>
      </c>
      <c r="G481" s="12" t="s">
        <v>246</v>
      </c>
      <c r="H481" s="12" t="s">
        <v>246</v>
      </c>
      <c r="I481" s="12" t="s">
        <v>430</v>
      </c>
      <c r="J481" s="12" t="s">
        <v>71</v>
      </c>
      <c r="K481" s="12" t="s">
        <v>1569</v>
      </c>
      <c r="L481" s="12" t="s">
        <v>247</v>
      </c>
      <c r="M481" s="12" t="s">
        <v>992</v>
      </c>
      <c r="N481" s="13" t="s">
        <v>1635</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1768</v>
      </c>
    </row>
    <row r="482" spans="2:31" x14ac:dyDescent="0.35">
      <c r="B482" s="24" t="s">
        <v>278</v>
      </c>
      <c r="C482" s="12" t="s">
        <v>2184</v>
      </c>
      <c r="D482" s="11" t="s">
        <v>1636</v>
      </c>
      <c r="E482" s="11" t="s">
        <v>354</v>
      </c>
      <c r="F482" s="12" t="s">
        <v>278</v>
      </c>
      <c r="G482" s="12" t="s">
        <v>246</v>
      </c>
      <c r="H482" s="12" t="s">
        <v>246</v>
      </c>
      <c r="I482" s="12" t="s">
        <v>430</v>
      </c>
      <c r="J482" s="12" t="s">
        <v>71</v>
      </c>
      <c r="K482" s="12" t="s">
        <v>1020</v>
      </c>
      <c r="L482" s="12" t="s">
        <v>247</v>
      </c>
      <c r="M482" s="12" t="s">
        <v>992</v>
      </c>
      <c r="N482" s="13" t="s">
        <v>1637</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spans="2:31" x14ac:dyDescent="0.35">
      <c r="B483" s="24" t="s">
        <v>308</v>
      </c>
      <c r="C483" s="12" t="s">
        <v>2185</v>
      </c>
      <c r="D483" s="11" t="s">
        <v>1638</v>
      </c>
      <c r="E483" s="11" t="s">
        <v>354</v>
      </c>
      <c r="F483" s="12" t="s">
        <v>308</v>
      </c>
      <c r="G483" s="12" t="s">
        <v>246</v>
      </c>
      <c r="H483" s="12" t="s">
        <v>246</v>
      </c>
      <c r="I483" s="12" t="s">
        <v>430</v>
      </c>
      <c r="J483" s="12" t="s">
        <v>71</v>
      </c>
      <c r="K483" s="12" t="s">
        <v>1020</v>
      </c>
      <c r="L483" s="12" t="s">
        <v>247</v>
      </c>
      <c r="M483" s="12" t="s">
        <v>992</v>
      </c>
      <c r="N483" s="13" t="s">
        <v>1639</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spans="2:31" x14ac:dyDescent="0.35">
      <c r="B484" s="24" t="s">
        <v>308</v>
      </c>
      <c r="C484" s="12" t="s">
        <v>2186</v>
      </c>
      <c r="D484" s="11" t="s">
        <v>1640</v>
      </c>
      <c r="E484" s="11" t="s">
        <v>354</v>
      </c>
      <c r="F484" s="12" t="s">
        <v>308</v>
      </c>
      <c r="G484" s="12" t="s">
        <v>246</v>
      </c>
      <c r="H484" s="12" t="s">
        <v>246</v>
      </c>
      <c r="I484" s="12" t="s">
        <v>430</v>
      </c>
      <c r="J484" s="12" t="s">
        <v>71</v>
      </c>
      <c r="K484" s="12" t="s">
        <v>1020</v>
      </c>
      <c r="L484" s="12" t="s">
        <v>247</v>
      </c>
      <c r="M484" s="12" t="s">
        <v>992</v>
      </c>
      <c r="N484" s="13" t="s">
        <v>1641</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spans="2:31" x14ac:dyDescent="0.35">
      <c r="B485" s="24" t="s">
        <v>308</v>
      </c>
      <c r="C485" s="12" t="s">
        <v>2187</v>
      </c>
      <c r="D485" s="11" t="s">
        <v>1642</v>
      </c>
      <c r="E485" s="11" t="s">
        <v>354</v>
      </c>
      <c r="F485" s="12" t="s">
        <v>308</v>
      </c>
      <c r="G485" s="12" t="s">
        <v>246</v>
      </c>
      <c r="H485" s="12" t="s">
        <v>246</v>
      </c>
      <c r="I485" s="12" t="s">
        <v>430</v>
      </c>
      <c r="J485" s="12" t="s">
        <v>71</v>
      </c>
      <c r="K485" s="12" t="s">
        <v>1020</v>
      </c>
      <c r="L485" s="12" t="s">
        <v>247</v>
      </c>
      <c r="M485" s="12" t="s">
        <v>992</v>
      </c>
      <c r="N485" s="13" t="s">
        <v>1643</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spans="2:31" x14ac:dyDescent="0.35">
      <c r="B486" s="24" t="s">
        <v>308</v>
      </c>
      <c r="C486" s="12" t="s">
        <v>2188</v>
      </c>
      <c r="D486" s="11" t="s">
        <v>1644</v>
      </c>
      <c r="E486" s="11" t="s">
        <v>354</v>
      </c>
      <c r="F486" s="12" t="s">
        <v>308</v>
      </c>
      <c r="G486" s="12" t="s">
        <v>246</v>
      </c>
      <c r="H486" s="12" t="s">
        <v>246</v>
      </c>
      <c r="I486" s="12" t="s">
        <v>430</v>
      </c>
      <c r="J486" s="12" t="s">
        <v>71</v>
      </c>
      <c r="K486" s="12" t="s">
        <v>1020</v>
      </c>
      <c r="L486" s="12" t="s">
        <v>247</v>
      </c>
      <c r="M486" s="12" t="s">
        <v>992</v>
      </c>
      <c r="N486" s="13" t="s">
        <v>1645</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spans="2:31" x14ac:dyDescent="0.35">
      <c r="B487" s="24" t="s">
        <v>308</v>
      </c>
      <c r="C487" s="12" t="s">
        <v>2189</v>
      </c>
      <c r="D487" s="11" t="s">
        <v>1646</v>
      </c>
      <c r="E487" s="11" t="s">
        <v>354</v>
      </c>
      <c r="F487" s="12" t="s">
        <v>308</v>
      </c>
      <c r="G487" s="12" t="s">
        <v>246</v>
      </c>
      <c r="H487" s="12" t="s">
        <v>246</v>
      </c>
      <c r="I487" s="12" t="s">
        <v>430</v>
      </c>
      <c r="J487" s="12" t="s">
        <v>71</v>
      </c>
      <c r="K487" s="12" t="s">
        <v>1020</v>
      </c>
      <c r="L487" s="12" t="s">
        <v>247</v>
      </c>
      <c r="M487" s="12" t="s">
        <v>992</v>
      </c>
      <c r="N487" s="13" t="s">
        <v>1647</v>
      </c>
      <c r="O487" s="11" t="s">
        <v>992</v>
      </c>
      <c r="P487" s="11" t="s">
        <v>992</v>
      </c>
      <c r="Q487" s="11" t="s">
        <v>992</v>
      </c>
      <c r="R487" s="11" t="s">
        <v>992</v>
      </c>
      <c r="S487" s="11" t="s">
        <v>992</v>
      </c>
      <c r="T487" s="11" t="s">
        <v>992</v>
      </c>
      <c r="U487" s="11" t="s">
        <v>1014</v>
      </c>
      <c r="V487" s="11" t="s">
        <v>992</v>
      </c>
      <c r="W487" s="11" t="s">
        <v>992</v>
      </c>
      <c r="X487" s="11" t="s">
        <v>992</v>
      </c>
      <c r="Y487" s="11" t="s">
        <v>992</v>
      </c>
      <c r="Z487" s="11" t="s">
        <v>992</v>
      </c>
      <c r="AA487" s="11" t="s">
        <v>992</v>
      </c>
      <c r="AB487" s="11" t="s">
        <v>30</v>
      </c>
      <c r="AC487" s="11" t="s">
        <v>992</v>
      </c>
      <c r="AD487" s="11" t="s">
        <v>992</v>
      </c>
      <c r="AE487" s="11" t="s">
        <v>993</v>
      </c>
    </row>
    <row r="488" spans="2:31" x14ac:dyDescent="0.35">
      <c r="B488" s="24" t="s">
        <v>308</v>
      </c>
      <c r="C488" s="12" t="s">
        <v>2190</v>
      </c>
      <c r="D488" s="11" t="s">
        <v>1648</v>
      </c>
      <c r="E488" s="11" t="s">
        <v>354</v>
      </c>
      <c r="F488" s="12" t="s">
        <v>308</v>
      </c>
      <c r="G488" s="12" t="s">
        <v>246</v>
      </c>
      <c r="H488" s="12" t="s">
        <v>246</v>
      </c>
      <c r="I488" s="12" t="s">
        <v>430</v>
      </c>
      <c r="J488" s="12" t="s">
        <v>71</v>
      </c>
      <c r="K488" s="12" t="s">
        <v>1020</v>
      </c>
      <c r="L488" s="12" t="s">
        <v>247</v>
      </c>
      <c r="M488" s="12" t="s">
        <v>992</v>
      </c>
      <c r="N488" s="13" t="s">
        <v>1649</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1768</v>
      </c>
    </row>
    <row r="489" spans="2:31" x14ac:dyDescent="0.35">
      <c r="B489" s="24" t="s">
        <v>308</v>
      </c>
      <c r="C489" s="12" t="s">
        <v>2191</v>
      </c>
      <c r="D489" s="11" t="s">
        <v>1650</v>
      </c>
      <c r="E489" s="11" t="s">
        <v>354</v>
      </c>
      <c r="F489" s="12" t="s">
        <v>308</v>
      </c>
      <c r="G489" s="12" t="s">
        <v>246</v>
      </c>
      <c r="H489" s="12" t="s">
        <v>246</v>
      </c>
      <c r="I489" s="12" t="s">
        <v>430</v>
      </c>
      <c r="J489" s="12" t="s">
        <v>71</v>
      </c>
      <c r="K489" s="12" t="s">
        <v>1020</v>
      </c>
      <c r="L489" s="12" t="s">
        <v>247</v>
      </c>
      <c r="M489" s="12" t="s">
        <v>992</v>
      </c>
      <c r="N489" s="13" t="s">
        <v>1651</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spans="2:31" x14ac:dyDescent="0.35">
      <c r="B490" s="24" t="s">
        <v>308</v>
      </c>
      <c r="C490" s="12" t="s">
        <v>2192</v>
      </c>
      <c r="D490" s="11" t="s">
        <v>1652</v>
      </c>
      <c r="E490" s="11" t="s">
        <v>354</v>
      </c>
      <c r="F490" s="12" t="s">
        <v>308</v>
      </c>
      <c r="G490" s="12" t="s">
        <v>246</v>
      </c>
      <c r="H490" s="12" t="s">
        <v>246</v>
      </c>
      <c r="I490" s="12" t="s">
        <v>430</v>
      </c>
      <c r="J490" s="12" t="s">
        <v>71</v>
      </c>
      <c r="K490" s="12" t="s">
        <v>1020</v>
      </c>
      <c r="L490" s="12" t="s">
        <v>247</v>
      </c>
      <c r="M490" s="12" t="s">
        <v>992</v>
      </c>
      <c r="N490" s="13" t="s">
        <v>1653</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spans="2:31" x14ac:dyDescent="0.35">
      <c r="B491" s="24" t="s">
        <v>308</v>
      </c>
      <c r="C491" s="12" t="s">
        <v>2193</v>
      </c>
      <c r="D491" s="11" t="s">
        <v>1654</v>
      </c>
      <c r="E491" s="11" t="s">
        <v>354</v>
      </c>
      <c r="F491" s="12" t="s">
        <v>308</v>
      </c>
      <c r="G491" s="12" t="s">
        <v>246</v>
      </c>
      <c r="H491" s="12" t="s">
        <v>246</v>
      </c>
      <c r="I491" s="12" t="s">
        <v>430</v>
      </c>
      <c r="J491" s="12" t="s">
        <v>71</v>
      </c>
      <c r="K491" s="12" t="s">
        <v>1020</v>
      </c>
      <c r="L491" s="12" t="s">
        <v>247</v>
      </c>
      <c r="M491" s="12" t="s">
        <v>992</v>
      </c>
      <c r="N491" s="13" t="s">
        <v>1655</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spans="2:31" x14ac:dyDescent="0.35">
      <c r="B492" s="24" t="s">
        <v>308</v>
      </c>
      <c r="C492" s="12" t="s">
        <v>2194</v>
      </c>
      <c r="D492" s="11" t="s">
        <v>1656</v>
      </c>
      <c r="E492" s="11" t="s">
        <v>354</v>
      </c>
      <c r="F492" s="12" t="s">
        <v>308</v>
      </c>
      <c r="G492" s="12" t="s">
        <v>246</v>
      </c>
      <c r="H492" s="12" t="s">
        <v>246</v>
      </c>
      <c r="I492" s="12" t="s">
        <v>430</v>
      </c>
      <c r="J492" s="12" t="s">
        <v>71</v>
      </c>
      <c r="K492" s="12" t="s">
        <v>1020</v>
      </c>
      <c r="L492" s="12" t="s">
        <v>247</v>
      </c>
      <c r="M492" s="12" t="s">
        <v>992</v>
      </c>
      <c r="N492" s="13" t="s">
        <v>1657</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spans="2:31" x14ac:dyDescent="0.35">
      <c r="B493" s="24" t="s">
        <v>308</v>
      </c>
      <c r="C493" s="12" t="s">
        <v>2195</v>
      </c>
      <c r="D493" s="11" t="s">
        <v>1658</v>
      </c>
      <c r="E493" s="11" t="s">
        <v>354</v>
      </c>
      <c r="F493" s="12" t="s">
        <v>308</v>
      </c>
      <c r="G493" s="12" t="s">
        <v>246</v>
      </c>
      <c r="H493" s="12" t="s">
        <v>246</v>
      </c>
      <c r="I493" s="12" t="s">
        <v>430</v>
      </c>
      <c r="J493" s="12" t="s">
        <v>71</v>
      </c>
      <c r="K493" s="12" t="s">
        <v>1020</v>
      </c>
      <c r="L493" s="12" t="s">
        <v>247</v>
      </c>
      <c r="M493" s="12" t="s">
        <v>992</v>
      </c>
      <c r="N493" s="13" t="s">
        <v>1659</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spans="2:31" x14ac:dyDescent="0.35">
      <c r="B494" s="24" t="s">
        <v>308</v>
      </c>
      <c r="C494" s="12" t="s">
        <v>2196</v>
      </c>
      <c r="D494" s="11" t="s">
        <v>1660</v>
      </c>
      <c r="E494" s="11" t="s">
        <v>354</v>
      </c>
      <c r="F494" s="12" t="s">
        <v>308</v>
      </c>
      <c r="G494" s="12" t="s">
        <v>246</v>
      </c>
      <c r="H494" s="12" t="s">
        <v>246</v>
      </c>
      <c r="I494" s="12" t="s">
        <v>430</v>
      </c>
      <c r="J494" s="12" t="s">
        <v>71</v>
      </c>
      <c r="K494" s="12" t="s">
        <v>1020</v>
      </c>
      <c r="L494" s="12" t="s">
        <v>247</v>
      </c>
      <c r="M494" s="12" t="s">
        <v>992</v>
      </c>
      <c r="N494" s="13" t="s">
        <v>1661</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spans="2:31" x14ac:dyDescent="0.35">
      <c r="B495" s="24" t="s">
        <v>308</v>
      </c>
      <c r="C495" s="12" t="s">
        <v>2197</v>
      </c>
      <c r="D495" s="11" t="s">
        <v>1662</v>
      </c>
      <c r="E495" s="11" t="s">
        <v>354</v>
      </c>
      <c r="F495" s="12" t="s">
        <v>308</v>
      </c>
      <c r="G495" s="12" t="s">
        <v>246</v>
      </c>
      <c r="H495" s="12" t="s">
        <v>246</v>
      </c>
      <c r="I495" s="12" t="s">
        <v>430</v>
      </c>
      <c r="J495" s="12" t="s">
        <v>71</v>
      </c>
      <c r="K495" s="12" t="s">
        <v>1020</v>
      </c>
      <c r="L495" s="12" t="s">
        <v>247</v>
      </c>
      <c r="M495" s="12" t="s">
        <v>992</v>
      </c>
      <c r="N495" s="13" t="s">
        <v>1663</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spans="2:31" x14ac:dyDescent="0.35">
      <c r="B496" s="24" t="s">
        <v>308</v>
      </c>
      <c r="C496" s="12" t="s">
        <v>2198</v>
      </c>
      <c r="D496" s="11" t="s">
        <v>1664</v>
      </c>
      <c r="E496" s="11" t="s">
        <v>354</v>
      </c>
      <c r="F496" s="12" t="s">
        <v>308</v>
      </c>
      <c r="G496" s="12" t="s">
        <v>246</v>
      </c>
      <c r="H496" s="12" t="s">
        <v>246</v>
      </c>
      <c r="I496" s="12" t="s">
        <v>430</v>
      </c>
      <c r="J496" s="12" t="s">
        <v>71</v>
      </c>
      <c r="K496" s="12" t="s">
        <v>1020</v>
      </c>
      <c r="L496" s="12" t="s">
        <v>247</v>
      </c>
      <c r="M496" s="12" t="s">
        <v>992</v>
      </c>
      <c r="N496" s="13" t="s">
        <v>1665</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spans="2:31" x14ac:dyDescent="0.35">
      <c r="B497" s="24" t="s">
        <v>308</v>
      </c>
      <c r="C497" s="12" t="s">
        <v>2199</v>
      </c>
      <c r="D497" s="11" t="s">
        <v>1666</v>
      </c>
      <c r="E497" s="11" t="s">
        <v>354</v>
      </c>
      <c r="F497" s="12" t="s">
        <v>308</v>
      </c>
      <c r="G497" s="12" t="s">
        <v>246</v>
      </c>
      <c r="H497" s="12" t="s">
        <v>246</v>
      </c>
      <c r="I497" s="12" t="s">
        <v>430</v>
      </c>
      <c r="J497" s="12" t="s">
        <v>71</v>
      </c>
      <c r="K497" s="12" t="s">
        <v>1020</v>
      </c>
      <c r="L497" s="12" t="s">
        <v>247</v>
      </c>
      <c r="M497" s="12" t="s">
        <v>992</v>
      </c>
      <c r="N497" s="13" t="s">
        <v>1667</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spans="2:31" x14ac:dyDescent="0.35">
      <c r="B498" s="24" t="s">
        <v>283</v>
      </c>
      <c r="C498" s="12" t="s">
        <v>2200</v>
      </c>
      <c r="D498" s="11" t="s">
        <v>1668</v>
      </c>
      <c r="E498" s="11" t="s">
        <v>1669</v>
      </c>
      <c r="F498" s="12" t="s">
        <v>283</v>
      </c>
      <c r="G498" s="12" t="s">
        <v>246</v>
      </c>
      <c r="H498" s="12" t="s">
        <v>246</v>
      </c>
      <c r="I498" s="12" t="s">
        <v>37</v>
      </c>
      <c r="J498" s="12" t="s">
        <v>1013</v>
      </c>
      <c r="K498" s="12" t="s">
        <v>118</v>
      </c>
      <c r="L498" s="12" t="s">
        <v>247</v>
      </c>
      <c r="M498" s="12" t="s">
        <v>992</v>
      </c>
      <c r="N498" s="13" t="s">
        <v>2298</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spans="2:31" x14ac:dyDescent="0.35">
      <c r="B499" s="24" t="s">
        <v>291</v>
      </c>
      <c r="C499" s="12" t="s">
        <v>2201</v>
      </c>
      <c r="D499" s="11" t="s">
        <v>1672</v>
      </c>
      <c r="E499" s="11" t="s">
        <v>77</v>
      </c>
      <c r="F499" s="12" t="s">
        <v>291</v>
      </c>
      <c r="G499" s="12" t="s">
        <v>246</v>
      </c>
      <c r="H499" s="12" t="s">
        <v>246</v>
      </c>
      <c r="I499" s="12" t="s">
        <v>430</v>
      </c>
      <c r="J499" s="12" t="s">
        <v>71</v>
      </c>
      <c r="K499" s="12" t="s">
        <v>77</v>
      </c>
      <c r="L499" s="12" t="s">
        <v>247</v>
      </c>
      <c r="M499" s="12" t="s">
        <v>992</v>
      </c>
      <c r="N499" s="13" t="s">
        <v>1679</v>
      </c>
      <c r="O499" s="11" t="s">
        <v>992</v>
      </c>
      <c r="P499" s="11" t="s">
        <v>992</v>
      </c>
      <c r="Q499" s="11" t="s">
        <v>992</v>
      </c>
      <c r="R499" s="11" t="s">
        <v>992</v>
      </c>
      <c r="S499" s="11" t="s">
        <v>992</v>
      </c>
      <c r="T499" s="11" t="s">
        <v>125</v>
      </c>
      <c r="U499" s="11" t="s">
        <v>1014</v>
      </c>
      <c r="V499" s="11" t="s">
        <v>992</v>
      </c>
      <c r="W499" s="11" t="s">
        <v>992</v>
      </c>
      <c r="X499" s="11" t="s">
        <v>992</v>
      </c>
      <c r="Y499" s="11" t="s">
        <v>992</v>
      </c>
      <c r="Z499" s="11" t="s">
        <v>2387</v>
      </c>
      <c r="AA499" s="11" t="s">
        <v>2387</v>
      </c>
      <c r="AB499" s="11" t="s">
        <v>30</v>
      </c>
      <c r="AC499" s="11" t="s">
        <v>1339</v>
      </c>
      <c r="AD499" s="11" t="s">
        <v>992</v>
      </c>
      <c r="AE499" s="11" t="s">
        <v>993</v>
      </c>
    </row>
    <row r="500" spans="2:31" x14ac:dyDescent="0.35">
      <c r="B500" s="24" t="s">
        <v>295</v>
      </c>
      <c r="C500" s="12" t="s">
        <v>2202</v>
      </c>
      <c r="D500" s="11" t="s">
        <v>1673</v>
      </c>
      <c r="E500" s="11" t="s">
        <v>1675</v>
      </c>
      <c r="F500" s="12" t="s">
        <v>295</v>
      </c>
      <c r="G500" s="12" t="s">
        <v>246</v>
      </c>
      <c r="H500" s="12" t="s">
        <v>246</v>
      </c>
      <c r="I500" s="12" t="s">
        <v>430</v>
      </c>
      <c r="J500" s="12" t="s">
        <v>71</v>
      </c>
      <c r="K500" s="12" t="s">
        <v>191</v>
      </c>
      <c r="L500" s="12" t="s">
        <v>247</v>
      </c>
      <c r="M500" s="12" t="s">
        <v>992</v>
      </c>
      <c r="N500" s="13" t="s">
        <v>1680</v>
      </c>
      <c r="O500" s="11" t="s">
        <v>992</v>
      </c>
      <c r="P500" s="11" t="s">
        <v>992</v>
      </c>
      <c r="Q500" s="11" t="s">
        <v>992</v>
      </c>
      <c r="R500" s="11" t="s">
        <v>992</v>
      </c>
      <c r="S500" s="11" t="s">
        <v>992</v>
      </c>
      <c r="T500" s="11" t="s">
        <v>125</v>
      </c>
      <c r="U500" s="11" t="s">
        <v>1014</v>
      </c>
      <c r="V500" s="11" t="s">
        <v>992</v>
      </c>
      <c r="W500" s="11" t="s">
        <v>992</v>
      </c>
      <c r="X500" s="11" t="s">
        <v>992</v>
      </c>
      <c r="Y500" s="11" t="s">
        <v>992</v>
      </c>
      <c r="Z500" s="11" t="s">
        <v>2390</v>
      </c>
      <c r="AA500" s="11" t="s">
        <v>2390</v>
      </c>
      <c r="AB500" s="11" t="s">
        <v>30</v>
      </c>
      <c r="AC500" s="11" t="s">
        <v>1337</v>
      </c>
      <c r="AD500" s="11" t="s">
        <v>992</v>
      </c>
      <c r="AE500" s="11" t="s">
        <v>993</v>
      </c>
    </row>
    <row r="501" spans="2:31" x14ac:dyDescent="0.35">
      <c r="B501" s="24" t="s">
        <v>314</v>
      </c>
      <c r="C501" s="12" t="s">
        <v>2203</v>
      </c>
      <c r="D501" s="11" t="s">
        <v>1674</v>
      </c>
      <c r="E501" s="11" t="s">
        <v>1676</v>
      </c>
      <c r="F501" s="12" t="s">
        <v>314</v>
      </c>
      <c r="G501" s="12" t="s">
        <v>246</v>
      </c>
      <c r="H501" s="12" t="s">
        <v>246</v>
      </c>
      <c r="I501" s="12" t="s">
        <v>60</v>
      </c>
      <c r="J501" s="12" t="s">
        <v>1025</v>
      </c>
      <c r="K501" s="12" t="s">
        <v>118</v>
      </c>
      <c r="L501" s="12" t="s">
        <v>247</v>
      </c>
      <c r="M501" s="12" t="s">
        <v>992</v>
      </c>
      <c r="N501" s="13" t="s">
        <v>1681</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1339</v>
      </c>
      <c r="AD501" s="11" t="s">
        <v>992</v>
      </c>
      <c r="AE501" s="11" t="s">
        <v>993</v>
      </c>
    </row>
    <row r="502" spans="2:31" x14ac:dyDescent="0.35">
      <c r="B502" s="24" t="s">
        <v>308</v>
      </c>
      <c r="C502" s="12" t="s">
        <v>2204</v>
      </c>
      <c r="D502" s="11" t="s">
        <v>1682</v>
      </c>
      <c r="E502" s="11" t="s">
        <v>992</v>
      </c>
      <c r="F502" s="12" t="s">
        <v>308</v>
      </c>
      <c r="G502" s="12" t="s">
        <v>246</v>
      </c>
      <c r="H502" s="12" t="s">
        <v>246</v>
      </c>
      <c r="I502" s="12" t="s">
        <v>111</v>
      </c>
      <c r="J502" s="12" t="s">
        <v>992</v>
      </c>
      <c r="K502" s="12" t="s">
        <v>118</v>
      </c>
      <c r="L502" s="12" t="s">
        <v>247</v>
      </c>
      <c r="M502" s="12" t="s">
        <v>992</v>
      </c>
      <c r="N502" s="13" t="s">
        <v>1705</v>
      </c>
      <c r="O502" s="11" t="s">
        <v>992</v>
      </c>
      <c r="P502" s="11" t="s">
        <v>992</v>
      </c>
      <c r="Q502" s="11" t="s">
        <v>126</v>
      </c>
      <c r="R502" s="11" t="s">
        <v>143</v>
      </c>
      <c r="S502" s="11" t="s">
        <v>992</v>
      </c>
      <c r="T502" s="11" t="s">
        <v>125</v>
      </c>
      <c r="U502" s="11" t="s">
        <v>992</v>
      </c>
      <c r="V502" s="11" t="s">
        <v>2325</v>
      </c>
      <c r="W502" s="11" t="s">
        <v>992</v>
      </c>
      <c r="X502" s="11" t="s">
        <v>992</v>
      </c>
      <c r="Y502" s="11" t="s">
        <v>992</v>
      </c>
      <c r="Z502" s="11" t="s">
        <v>992</v>
      </c>
      <c r="AA502" s="11" t="s">
        <v>992</v>
      </c>
      <c r="AB502" s="11" t="s">
        <v>992</v>
      </c>
      <c r="AC502" s="11" t="s">
        <v>992</v>
      </c>
      <c r="AD502" s="11" t="s">
        <v>992</v>
      </c>
      <c r="AE502" s="11" t="s">
        <v>1768</v>
      </c>
    </row>
    <row r="503" spans="2:31" x14ac:dyDescent="0.35">
      <c r="B503" s="24" t="s">
        <v>291</v>
      </c>
      <c r="C503" s="12" t="s">
        <v>2205</v>
      </c>
      <c r="D503" s="11" t="s">
        <v>1683</v>
      </c>
      <c r="E503" s="11" t="s">
        <v>992</v>
      </c>
      <c r="F503" s="12" t="s">
        <v>291</v>
      </c>
      <c r="G503" s="12" t="s">
        <v>246</v>
      </c>
      <c r="H503" s="12" t="s">
        <v>246</v>
      </c>
      <c r="I503" s="12" t="s">
        <v>111</v>
      </c>
      <c r="J503" s="12" t="s">
        <v>1032</v>
      </c>
      <c r="K503" s="12" t="s">
        <v>118</v>
      </c>
      <c r="L503" s="12" t="s">
        <v>247</v>
      </c>
      <c r="M503" s="12" t="s">
        <v>992</v>
      </c>
      <c r="N503" s="13" t="s">
        <v>1706</v>
      </c>
      <c r="O503" s="11" t="s">
        <v>992</v>
      </c>
      <c r="P503" s="11" t="s">
        <v>992</v>
      </c>
      <c r="Q503" s="11" t="s">
        <v>126</v>
      </c>
      <c r="R503" s="11" t="s">
        <v>143</v>
      </c>
      <c r="S503" s="11" t="s">
        <v>992</v>
      </c>
      <c r="T503" s="11" t="s">
        <v>125</v>
      </c>
      <c r="U503" s="11" t="s">
        <v>1014</v>
      </c>
      <c r="V503" s="11" t="s">
        <v>2325</v>
      </c>
      <c r="W503" s="11" t="s">
        <v>992</v>
      </c>
      <c r="X503" s="11" t="s">
        <v>992</v>
      </c>
      <c r="Y503" s="11" t="s">
        <v>2350</v>
      </c>
      <c r="Z503" s="11" t="s">
        <v>2350</v>
      </c>
      <c r="AA503" s="11" t="s">
        <v>2350</v>
      </c>
      <c r="AB503" s="11" t="s">
        <v>30</v>
      </c>
      <c r="AC503" s="11" t="s">
        <v>1357</v>
      </c>
      <c r="AD503" s="11" t="s">
        <v>992</v>
      </c>
      <c r="AE503" s="11" t="s">
        <v>993</v>
      </c>
    </row>
    <row r="504" spans="2:31" x14ac:dyDescent="0.35">
      <c r="B504" s="24" t="s">
        <v>291</v>
      </c>
      <c r="C504" s="12" t="s">
        <v>2206</v>
      </c>
      <c r="D504" s="11" t="s">
        <v>1684</v>
      </c>
      <c r="E504" s="11" t="s">
        <v>992</v>
      </c>
      <c r="F504" s="12" t="s">
        <v>291</v>
      </c>
      <c r="G504" s="12" t="s">
        <v>246</v>
      </c>
      <c r="H504" s="12" t="s">
        <v>246</v>
      </c>
      <c r="I504" s="12" t="s">
        <v>111</v>
      </c>
      <c r="J504" s="12" t="s">
        <v>992</v>
      </c>
      <c r="K504" s="12" t="s">
        <v>118</v>
      </c>
      <c r="L504" s="12" t="s">
        <v>247</v>
      </c>
      <c r="M504" s="12" t="s">
        <v>992</v>
      </c>
      <c r="N504" s="13" t="s">
        <v>1707</v>
      </c>
      <c r="O504" s="11" t="s">
        <v>992</v>
      </c>
      <c r="P504" s="11" t="s">
        <v>992</v>
      </c>
      <c r="Q504" s="11" t="s">
        <v>126</v>
      </c>
      <c r="R504" s="11" t="s">
        <v>143</v>
      </c>
      <c r="S504" s="11" t="s">
        <v>992</v>
      </c>
      <c r="T504" s="11" t="s">
        <v>125</v>
      </c>
      <c r="U504" s="11" t="s">
        <v>992</v>
      </c>
      <c r="V504" s="11" t="s">
        <v>2325</v>
      </c>
      <c r="W504" s="11" t="s">
        <v>992</v>
      </c>
      <c r="X504" s="11" t="s">
        <v>992</v>
      </c>
      <c r="Y504" s="11" t="s">
        <v>992</v>
      </c>
      <c r="Z504" s="11" t="s">
        <v>992</v>
      </c>
      <c r="AA504" s="11" t="s">
        <v>992</v>
      </c>
      <c r="AB504" s="11" t="s">
        <v>992</v>
      </c>
      <c r="AC504" s="11" t="s">
        <v>992</v>
      </c>
      <c r="AD504" s="11" t="s">
        <v>992</v>
      </c>
      <c r="AE504" s="11" t="s">
        <v>1768</v>
      </c>
    </row>
    <row r="505" spans="2:31" x14ac:dyDescent="0.35">
      <c r="B505" s="24" t="s">
        <v>283</v>
      </c>
      <c r="C505" s="12" t="s">
        <v>2207</v>
      </c>
      <c r="D505" s="11" t="s">
        <v>1685</v>
      </c>
      <c r="E505" s="11" t="s">
        <v>1746</v>
      </c>
      <c r="F505" s="12" t="s">
        <v>283</v>
      </c>
      <c r="G505" s="12" t="s">
        <v>246</v>
      </c>
      <c r="H505" s="12" t="s">
        <v>246</v>
      </c>
      <c r="I505" s="12" t="s">
        <v>111</v>
      </c>
      <c r="J505" s="12" t="s">
        <v>1031</v>
      </c>
      <c r="K505" s="12" t="s">
        <v>118</v>
      </c>
      <c r="L505" s="12" t="s">
        <v>247</v>
      </c>
      <c r="M505" s="12" t="s">
        <v>992</v>
      </c>
      <c r="N505" s="13" t="s">
        <v>1708</v>
      </c>
      <c r="O505" s="11" t="s">
        <v>992</v>
      </c>
      <c r="P505" s="11" t="s">
        <v>992</v>
      </c>
      <c r="Q505" s="11" t="s">
        <v>126</v>
      </c>
      <c r="R505" s="11" t="s">
        <v>143</v>
      </c>
      <c r="S505" s="11" t="s">
        <v>992</v>
      </c>
      <c r="T505" s="11" t="s">
        <v>125</v>
      </c>
      <c r="U505" s="11" t="s">
        <v>1014</v>
      </c>
      <c r="V505" s="11" t="s">
        <v>2325</v>
      </c>
      <c r="W505" s="11" t="s">
        <v>992</v>
      </c>
      <c r="X505" s="11" t="s">
        <v>992</v>
      </c>
      <c r="Y505" s="11" t="s">
        <v>2351</v>
      </c>
      <c r="Z505" s="11" t="s">
        <v>2351</v>
      </c>
      <c r="AA505" s="11" t="s">
        <v>2351</v>
      </c>
      <c r="AB505" s="11" t="s">
        <v>30</v>
      </c>
      <c r="AC505" s="11" t="s">
        <v>1340</v>
      </c>
      <c r="AD505" s="11" t="s">
        <v>992</v>
      </c>
      <c r="AE505" s="11" t="s">
        <v>993</v>
      </c>
    </row>
    <row r="506" spans="2:31" x14ac:dyDescent="0.35">
      <c r="B506" s="24" t="s">
        <v>283</v>
      </c>
      <c r="C506" s="12" t="s">
        <v>2208</v>
      </c>
      <c r="D506" s="11" t="s">
        <v>1686</v>
      </c>
      <c r="E506" s="11" t="s">
        <v>1507</v>
      </c>
      <c r="F506" s="12" t="s">
        <v>283</v>
      </c>
      <c r="G506" s="12" t="s">
        <v>246</v>
      </c>
      <c r="H506" s="12" t="s">
        <v>246</v>
      </c>
      <c r="I506" s="12" t="s">
        <v>111</v>
      </c>
      <c r="J506" s="12" t="s">
        <v>1031</v>
      </c>
      <c r="K506" s="12" t="s">
        <v>118</v>
      </c>
      <c r="L506" s="12" t="s">
        <v>247</v>
      </c>
      <c r="M506" s="12" t="s">
        <v>992</v>
      </c>
      <c r="N506" s="13" t="s">
        <v>1709</v>
      </c>
      <c r="O506" s="11" t="s">
        <v>992</v>
      </c>
      <c r="P506" s="11" t="s">
        <v>992</v>
      </c>
      <c r="Q506" s="11" t="s">
        <v>126</v>
      </c>
      <c r="R506" s="11" t="s">
        <v>143</v>
      </c>
      <c r="S506" s="11" t="s">
        <v>992</v>
      </c>
      <c r="T506" s="11" t="s">
        <v>125</v>
      </c>
      <c r="U506" s="11" t="s">
        <v>1014</v>
      </c>
      <c r="V506" s="11" t="s">
        <v>2325</v>
      </c>
      <c r="W506" s="11" t="s">
        <v>992</v>
      </c>
      <c r="X506" s="11" t="s">
        <v>992</v>
      </c>
      <c r="Y506" s="11" t="s">
        <v>2350</v>
      </c>
      <c r="Z506" s="11" t="s">
        <v>2350</v>
      </c>
      <c r="AA506" s="11" t="s">
        <v>2350</v>
      </c>
      <c r="AB506" s="11" t="s">
        <v>30</v>
      </c>
      <c r="AC506" s="11" t="s">
        <v>1334</v>
      </c>
      <c r="AD506" s="11" t="s">
        <v>992</v>
      </c>
      <c r="AE506" s="11" t="s">
        <v>993</v>
      </c>
    </row>
    <row r="507" spans="2:31" x14ac:dyDescent="0.35">
      <c r="B507" s="24" t="s">
        <v>314</v>
      </c>
      <c r="C507" s="12" t="s">
        <v>2209</v>
      </c>
      <c r="D507" s="11" t="s">
        <v>1727</v>
      </c>
      <c r="E507" s="11" t="s">
        <v>992</v>
      </c>
      <c r="F507" s="12" t="s">
        <v>314</v>
      </c>
      <c r="G507" s="12" t="s">
        <v>246</v>
      </c>
      <c r="H507" s="12" t="s">
        <v>246</v>
      </c>
      <c r="I507" s="12" t="s">
        <v>111</v>
      </c>
      <c r="J507" s="12" t="s">
        <v>1031</v>
      </c>
      <c r="K507" s="12" t="s">
        <v>118</v>
      </c>
      <c r="L507" s="12" t="s">
        <v>247</v>
      </c>
      <c r="M507" s="12" t="s">
        <v>992</v>
      </c>
      <c r="N507" s="13" t="s">
        <v>1737</v>
      </c>
      <c r="O507" s="11" t="s">
        <v>992</v>
      </c>
      <c r="P507" s="11" t="s">
        <v>992</v>
      </c>
      <c r="Q507" s="11" t="s">
        <v>126</v>
      </c>
      <c r="R507" s="11" t="s">
        <v>143</v>
      </c>
      <c r="S507" s="11" t="s">
        <v>992</v>
      </c>
      <c r="T507" s="11" t="s">
        <v>125</v>
      </c>
      <c r="U507" s="11" t="s">
        <v>1014</v>
      </c>
      <c r="V507" s="11" t="s">
        <v>2326</v>
      </c>
      <c r="W507" s="11" t="s">
        <v>992</v>
      </c>
      <c r="X507" s="11" t="s">
        <v>992</v>
      </c>
      <c r="Y507" s="11" t="s">
        <v>2352</v>
      </c>
      <c r="Z507" s="11" t="s">
        <v>992</v>
      </c>
      <c r="AA507" s="11" t="s">
        <v>992</v>
      </c>
      <c r="AB507" s="11" t="s">
        <v>30</v>
      </c>
      <c r="AC507" s="11" t="s">
        <v>992</v>
      </c>
      <c r="AD507" s="11" t="s">
        <v>992</v>
      </c>
      <c r="AE507" s="11" t="s">
        <v>993</v>
      </c>
    </row>
    <row r="508" spans="2:31" x14ac:dyDescent="0.35">
      <c r="B508" s="24" t="s">
        <v>291</v>
      </c>
      <c r="C508" s="12" t="s">
        <v>2209</v>
      </c>
      <c r="D508" s="11" t="s">
        <v>1687</v>
      </c>
      <c r="E508" s="11" t="s">
        <v>1704</v>
      </c>
      <c r="F508" s="12" t="s">
        <v>291</v>
      </c>
      <c r="G508" s="12" t="s">
        <v>246</v>
      </c>
      <c r="H508" s="12" t="s">
        <v>246</v>
      </c>
      <c r="I508" s="12" t="s">
        <v>37</v>
      </c>
      <c r="J508" s="12" t="s">
        <v>1013</v>
      </c>
      <c r="K508" s="12" t="s">
        <v>118</v>
      </c>
      <c r="L508" s="12" t="s">
        <v>247</v>
      </c>
      <c r="M508" s="12" t="s">
        <v>992</v>
      </c>
      <c r="N508" s="13" t="s">
        <v>1710</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1768</v>
      </c>
    </row>
    <row r="509" spans="2:31" x14ac:dyDescent="0.35">
      <c r="B509" s="24" t="s">
        <v>291</v>
      </c>
      <c r="C509" s="12" t="s">
        <v>2210</v>
      </c>
      <c r="D509" s="11" t="s">
        <v>1688</v>
      </c>
      <c r="E509" s="11" t="s">
        <v>1704</v>
      </c>
      <c r="F509" s="12" t="s">
        <v>291</v>
      </c>
      <c r="G509" s="12" t="s">
        <v>246</v>
      </c>
      <c r="H509" s="12" t="s">
        <v>246</v>
      </c>
      <c r="I509" s="12" t="s">
        <v>37</v>
      </c>
      <c r="J509" s="12" t="s">
        <v>1013</v>
      </c>
      <c r="K509" s="12" t="s">
        <v>118</v>
      </c>
      <c r="L509" s="12" t="s">
        <v>247</v>
      </c>
      <c r="M509" s="12" t="s">
        <v>992</v>
      </c>
      <c r="N509" s="13" t="s">
        <v>1711</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spans="2:31" x14ac:dyDescent="0.35">
      <c r="B510" s="24" t="s">
        <v>291</v>
      </c>
      <c r="C510" s="12" t="s">
        <v>2211</v>
      </c>
      <c r="D510" s="11" t="s">
        <v>1689</v>
      </c>
      <c r="E510" s="11" t="s">
        <v>1704</v>
      </c>
      <c r="F510" s="12" t="s">
        <v>291</v>
      </c>
      <c r="G510" s="12" t="s">
        <v>246</v>
      </c>
      <c r="H510" s="12" t="s">
        <v>246</v>
      </c>
      <c r="I510" s="12" t="s">
        <v>37</v>
      </c>
      <c r="J510" s="12" t="s">
        <v>1013</v>
      </c>
      <c r="K510" s="12" t="s">
        <v>118</v>
      </c>
      <c r="L510" s="12" t="s">
        <v>247</v>
      </c>
      <c r="M510" s="12" t="s">
        <v>992</v>
      </c>
      <c r="N510" s="13" t="s">
        <v>1712</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spans="2:31" x14ac:dyDescent="0.35">
      <c r="B511" s="24" t="s">
        <v>283</v>
      </c>
      <c r="C511" s="12" t="s">
        <v>2212</v>
      </c>
      <c r="D511" s="11" t="s">
        <v>1690</v>
      </c>
      <c r="E511" s="11" t="s">
        <v>1704</v>
      </c>
      <c r="F511" s="12" t="s">
        <v>283</v>
      </c>
      <c r="G511" s="12" t="s">
        <v>246</v>
      </c>
      <c r="H511" s="12" t="s">
        <v>246</v>
      </c>
      <c r="I511" s="12" t="s">
        <v>37</v>
      </c>
      <c r="J511" s="12" t="s">
        <v>1013</v>
      </c>
      <c r="K511" s="12" t="s">
        <v>118</v>
      </c>
      <c r="L511" s="12" t="s">
        <v>247</v>
      </c>
      <c r="M511" s="12" t="s">
        <v>992</v>
      </c>
      <c r="N511" s="13" t="s">
        <v>1713</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spans="2:31" x14ac:dyDescent="0.35">
      <c r="B512" s="24" t="s">
        <v>283</v>
      </c>
      <c r="C512" s="12" t="s">
        <v>2213</v>
      </c>
      <c r="D512" s="11" t="s">
        <v>1691</v>
      </c>
      <c r="E512" s="11" t="s">
        <v>1704</v>
      </c>
      <c r="F512" s="12" t="s">
        <v>283</v>
      </c>
      <c r="G512" s="12" t="s">
        <v>246</v>
      </c>
      <c r="H512" s="12" t="s">
        <v>246</v>
      </c>
      <c r="I512" s="12" t="s">
        <v>37</v>
      </c>
      <c r="J512" s="12" t="s">
        <v>1013</v>
      </c>
      <c r="K512" s="12" t="s">
        <v>118</v>
      </c>
      <c r="L512" s="12" t="s">
        <v>247</v>
      </c>
      <c r="M512" s="12" t="s">
        <v>992</v>
      </c>
      <c r="N512" s="13" t="s">
        <v>1714</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spans="2:31" x14ac:dyDescent="0.35">
      <c r="B513" s="24" t="s">
        <v>278</v>
      </c>
      <c r="C513" s="12" t="s">
        <v>2214</v>
      </c>
      <c r="D513" s="11" t="s">
        <v>1692</v>
      </c>
      <c r="E513" s="11" t="s">
        <v>1704</v>
      </c>
      <c r="F513" s="12" t="s">
        <v>278</v>
      </c>
      <c r="G513" s="12" t="s">
        <v>246</v>
      </c>
      <c r="H513" s="12" t="s">
        <v>246</v>
      </c>
      <c r="I513" s="12" t="s">
        <v>37</v>
      </c>
      <c r="J513" s="12" t="s">
        <v>1013</v>
      </c>
      <c r="K513" s="12" t="s">
        <v>118</v>
      </c>
      <c r="L513" s="12" t="s">
        <v>247</v>
      </c>
      <c r="M513" s="12" t="s">
        <v>992</v>
      </c>
      <c r="N513" s="13" t="s">
        <v>1715</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spans="2:31" x14ac:dyDescent="0.35">
      <c r="B514" s="24" t="s">
        <v>308</v>
      </c>
      <c r="C514" s="12" t="s">
        <v>2215</v>
      </c>
      <c r="D514" s="11" t="s">
        <v>1693</v>
      </c>
      <c r="E514" s="11" t="s">
        <v>1704</v>
      </c>
      <c r="F514" s="12" t="s">
        <v>308</v>
      </c>
      <c r="G514" s="12" t="s">
        <v>246</v>
      </c>
      <c r="H514" s="12" t="s">
        <v>246</v>
      </c>
      <c r="I514" s="12" t="s">
        <v>37</v>
      </c>
      <c r="J514" s="12" t="s">
        <v>1013</v>
      </c>
      <c r="K514" s="12" t="s">
        <v>118</v>
      </c>
      <c r="L514" s="12" t="s">
        <v>247</v>
      </c>
      <c r="M514" s="12" t="s">
        <v>992</v>
      </c>
      <c r="N514" s="13" t="s">
        <v>1716</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spans="2:31" x14ac:dyDescent="0.35">
      <c r="B515" s="24" t="s">
        <v>308</v>
      </c>
      <c r="C515" s="12" t="s">
        <v>2216</v>
      </c>
      <c r="D515" s="11" t="s">
        <v>1694</v>
      </c>
      <c r="E515" s="11" t="s">
        <v>1704</v>
      </c>
      <c r="F515" s="12" t="s">
        <v>308</v>
      </c>
      <c r="G515" s="12" t="s">
        <v>246</v>
      </c>
      <c r="H515" s="12" t="s">
        <v>246</v>
      </c>
      <c r="I515" s="12" t="s">
        <v>37</v>
      </c>
      <c r="J515" s="12" t="s">
        <v>1013</v>
      </c>
      <c r="K515" s="12" t="s">
        <v>118</v>
      </c>
      <c r="L515" s="12" t="s">
        <v>247</v>
      </c>
      <c r="M515" s="12" t="s">
        <v>992</v>
      </c>
      <c r="N515" s="13" t="s">
        <v>1717</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spans="2:31" x14ac:dyDescent="0.35">
      <c r="B516" s="24" t="s">
        <v>308</v>
      </c>
      <c r="C516" s="12" t="s">
        <v>2217</v>
      </c>
      <c r="D516" s="11" t="s">
        <v>1695</v>
      </c>
      <c r="E516" s="11" t="s">
        <v>1704</v>
      </c>
      <c r="F516" s="12" t="s">
        <v>308</v>
      </c>
      <c r="G516" s="12" t="s">
        <v>246</v>
      </c>
      <c r="H516" s="12" t="s">
        <v>246</v>
      </c>
      <c r="I516" s="12" t="s">
        <v>37</v>
      </c>
      <c r="J516" s="12" t="s">
        <v>1013</v>
      </c>
      <c r="K516" s="12" t="s">
        <v>118</v>
      </c>
      <c r="L516" s="12" t="s">
        <v>247</v>
      </c>
      <c r="M516" s="12" t="s">
        <v>992</v>
      </c>
      <c r="N516" s="13" t="s">
        <v>1718</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spans="2:31" x14ac:dyDescent="0.35">
      <c r="B517" s="24" t="s">
        <v>308</v>
      </c>
      <c r="C517" s="12" t="s">
        <v>2218</v>
      </c>
      <c r="D517" s="11" t="s">
        <v>1696</v>
      </c>
      <c r="E517" s="11" t="s">
        <v>1704</v>
      </c>
      <c r="F517" s="12" t="s">
        <v>308</v>
      </c>
      <c r="G517" s="12" t="s">
        <v>246</v>
      </c>
      <c r="H517" s="12" t="s">
        <v>246</v>
      </c>
      <c r="I517" s="12" t="s">
        <v>37</v>
      </c>
      <c r="J517" s="12" t="s">
        <v>1013</v>
      </c>
      <c r="K517" s="12" t="s">
        <v>118</v>
      </c>
      <c r="L517" s="12" t="s">
        <v>247</v>
      </c>
      <c r="M517" s="12" t="s">
        <v>992</v>
      </c>
      <c r="N517" s="13" t="s">
        <v>1719</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spans="2:31" x14ac:dyDescent="0.35">
      <c r="B518" s="24" t="s">
        <v>308</v>
      </c>
      <c r="C518" s="12" t="s">
        <v>2219</v>
      </c>
      <c r="D518" s="11" t="s">
        <v>1697</v>
      </c>
      <c r="E518" s="11" t="s">
        <v>1704</v>
      </c>
      <c r="F518" s="12" t="s">
        <v>308</v>
      </c>
      <c r="G518" s="12" t="s">
        <v>246</v>
      </c>
      <c r="H518" s="12" t="s">
        <v>246</v>
      </c>
      <c r="I518" s="12" t="s">
        <v>37</v>
      </c>
      <c r="J518" s="12" t="s">
        <v>1013</v>
      </c>
      <c r="K518" s="12" t="s">
        <v>118</v>
      </c>
      <c r="L518" s="12" t="s">
        <v>247</v>
      </c>
      <c r="M518" s="12" t="s">
        <v>992</v>
      </c>
      <c r="N518" s="13" t="s">
        <v>1720</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spans="2:31" x14ac:dyDescent="0.35">
      <c r="B519" s="24" t="s">
        <v>314</v>
      </c>
      <c r="C519" s="12" t="s">
        <v>2220</v>
      </c>
      <c r="D519" s="11" t="s">
        <v>1698</v>
      </c>
      <c r="E519" s="11" t="s">
        <v>1704</v>
      </c>
      <c r="F519" s="12" t="s">
        <v>314</v>
      </c>
      <c r="G519" s="12" t="s">
        <v>246</v>
      </c>
      <c r="H519" s="12" t="s">
        <v>246</v>
      </c>
      <c r="I519" s="12" t="s">
        <v>37</v>
      </c>
      <c r="J519" s="12" t="s">
        <v>1013</v>
      </c>
      <c r="K519" s="12" t="s">
        <v>118</v>
      </c>
      <c r="L519" s="12" t="s">
        <v>247</v>
      </c>
      <c r="M519" s="12" t="s">
        <v>992</v>
      </c>
      <c r="N519" s="13" t="s">
        <v>1721</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spans="2:31" x14ac:dyDescent="0.35">
      <c r="B520" s="24" t="s">
        <v>314</v>
      </c>
      <c r="C520" s="12" t="s">
        <v>2221</v>
      </c>
      <c r="D520" s="11" t="s">
        <v>1699</v>
      </c>
      <c r="E520" s="11" t="s">
        <v>1704</v>
      </c>
      <c r="F520" s="12" t="s">
        <v>314</v>
      </c>
      <c r="G520" s="12" t="s">
        <v>246</v>
      </c>
      <c r="H520" s="12" t="s">
        <v>246</v>
      </c>
      <c r="I520" s="12" t="s">
        <v>37</v>
      </c>
      <c r="J520" s="12" t="s">
        <v>1013</v>
      </c>
      <c r="K520" s="12" t="s">
        <v>118</v>
      </c>
      <c r="L520" s="12" t="s">
        <v>247</v>
      </c>
      <c r="M520" s="12" t="s">
        <v>992</v>
      </c>
      <c r="N520" s="13" t="s">
        <v>1722</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spans="2:31" x14ac:dyDescent="0.35">
      <c r="B521" s="24" t="s">
        <v>314</v>
      </c>
      <c r="C521" s="12" t="s">
        <v>2222</v>
      </c>
      <c r="D521" s="11" t="s">
        <v>1700</v>
      </c>
      <c r="E521" s="11" t="s">
        <v>1704</v>
      </c>
      <c r="F521" s="12" t="s">
        <v>314</v>
      </c>
      <c r="G521" s="12" t="s">
        <v>246</v>
      </c>
      <c r="H521" s="12" t="s">
        <v>246</v>
      </c>
      <c r="I521" s="12" t="s">
        <v>37</v>
      </c>
      <c r="J521" s="12" t="s">
        <v>1013</v>
      </c>
      <c r="K521" s="12" t="s">
        <v>118</v>
      </c>
      <c r="L521" s="12" t="s">
        <v>247</v>
      </c>
      <c r="M521" s="12" t="s">
        <v>992</v>
      </c>
      <c r="N521" s="13" t="s">
        <v>1723</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spans="2:31" x14ac:dyDescent="0.35">
      <c r="B522" s="24" t="s">
        <v>314</v>
      </c>
      <c r="C522" s="12" t="s">
        <v>2223</v>
      </c>
      <c r="D522" s="11" t="s">
        <v>1701</v>
      </c>
      <c r="E522" s="11" t="s">
        <v>1704</v>
      </c>
      <c r="F522" s="12" t="s">
        <v>314</v>
      </c>
      <c r="G522" s="12" t="s">
        <v>246</v>
      </c>
      <c r="H522" s="12" t="s">
        <v>246</v>
      </c>
      <c r="I522" s="12" t="s">
        <v>37</v>
      </c>
      <c r="J522" s="12" t="s">
        <v>1013</v>
      </c>
      <c r="K522" s="12" t="s">
        <v>118</v>
      </c>
      <c r="L522" s="12" t="s">
        <v>247</v>
      </c>
      <c r="M522" s="12" t="s">
        <v>992</v>
      </c>
      <c r="N522" s="13" t="s">
        <v>1724</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spans="2:31" x14ac:dyDescent="0.35">
      <c r="B523" s="24" t="s">
        <v>314</v>
      </c>
      <c r="C523" s="12" t="s">
        <v>2224</v>
      </c>
      <c r="D523" s="11" t="s">
        <v>1702</v>
      </c>
      <c r="E523" s="11" t="s">
        <v>1704</v>
      </c>
      <c r="F523" s="12" t="s">
        <v>314</v>
      </c>
      <c r="G523" s="12" t="s">
        <v>246</v>
      </c>
      <c r="H523" s="12" t="s">
        <v>246</v>
      </c>
      <c r="I523" s="12" t="s">
        <v>37</v>
      </c>
      <c r="J523" s="12" t="s">
        <v>1013</v>
      </c>
      <c r="K523" s="12" t="s">
        <v>118</v>
      </c>
      <c r="L523" s="12" t="s">
        <v>247</v>
      </c>
      <c r="M523" s="12" t="s">
        <v>992</v>
      </c>
      <c r="N523" s="13" t="s">
        <v>1725</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spans="2:31" x14ac:dyDescent="0.35">
      <c r="B524" s="24" t="s">
        <v>314</v>
      </c>
      <c r="C524" s="12" t="s">
        <v>2225</v>
      </c>
      <c r="D524" s="11" t="s">
        <v>1703</v>
      </c>
      <c r="E524" s="11" t="s">
        <v>1704</v>
      </c>
      <c r="F524" s="12" t="s">
        <v>314</v>
      </c>
      <c r="G524" s="12" t="s">
        <v>246</v>
      </c>
      <c r="H524" s="12" t="s">
        <v>246</v>
      </c>
      <c r="I524" s="12" t="s">
        <v>37</v>
      </c>
      <c r="J524" s="12" t="s">
        <v>1013</v>
      </c>
      <c r="K524" s="12" t="s">
        <v>118</v>
      </c>
      <c r="L524" s="12" t="s">
        <v>247</v>
      </c>
      <c r="M524" s="12" t="s">
        <v>992</v>
      </c>
      <c r="N524" s="13" t="s">
        <v>1726</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spans="2:31" x14ac:dyDescent="0.35">
      <c r="B525" s="24" t="s">
        <v>311</v>
      </c>
      <c r="C525" s="12" t="s">
        <v>2226</v>
      </c>
      <c r="D525" s="11" t="s">
        <v>1728</v>
      </c>
      <c r="E525" s="11" t="s">
        <v>1704</v>
      </c>
      <c r="F525" s="12" t="s">
        <v>311</v>
      </c>
      <c r="G525" s="12" t="s">
        <v>246</v>
      </c>
      <c r="H525" s="12" t="s">
        <v>246</v>
      </c>
      <c r="I525" s="12" t="s">
        <v>37</v>
      </c>
      <c r="J525" s="12" t="s">
        <v>1013</v>
      </c>
      <c r="K525" s="12" t="s">
        <v>118</v>
      </c>
      <c r="L525" s="12" t="s">
        <v>247</v>
      </c>
      <c r="M525" s="12" t="s">
        <v>992</v>
      </c>
      <c r="N525" s="13" t="s">
        <v>1738</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spans="2:31" x14ac:dyDescent="0.35">
      <c r="B526" s="24" t="s">
        <v>311</v>
      </c>
      <c r="C526" s="12" t="s">
        <v>2227</v>
      </c>
      <c r="D526" s="11" t="s">
        <v>1729</v>
      </c>
      <c r="E526" s="11" t="s">
        <v>1704</v>
      </c>
      <c r="F526" s="12" t="s">
        <v>311</v>
      </c>
      <c r="G526" s="12" t="s">
        <v>246</v>
      </c>
      <c r="H526" s="12" t="s">
        <v>246</v>
      </c>
      <c r="I526" s="12" t="s">
        <v>37</v>
      </c>
      <c r="J526" s="12" t="s">
        <v>1013</v>
      </c>
      <c r="K526" s="12" t="s">
        <v>118</v>
      </c>
      <c r="L526" s="12" t="s">
        <v>247</v>
      </c>
      <c r="M526" s="12" t="s">
        <v>992</v>
      </c>
      <c r="N526" s="13" t="s">
        <v>1739</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spans="2:31" x14ac:dyDescent="0.35">
      <c r="B527" s="24" t="s">
        <v>311</v>
      </c>
      <c r="C527" s="12" t="s">
        <v>2228</v>
      </c>
      <c r="D527" s="11" t="s">
        <v>1730</v>
      </c>
      <c r="E527" s="11" t="s">
        <v>1704</v>
      </c>
      <c r="F527" s="12" t="s">
        <v>311</v>
      </c>
      <c r="G527" s="12" t="s">
        <v>246</v>
      </c>
      <c r="H527" s="12" t="s">
        <v>246</v>
      </c>
      <c r="I527" s="12" t="s">
        <v>37</v>
      </c>
      <c r="J527" s="12" t="s">
        <v>1013</v>
      </c>
      <c r="K527" s="12" t="s">
        <v>118</v>
      </c>
      <c r="L527" s="12" t="s">
        <v>247</v>
      </c>
      <c r="M527" s="12" t="s">
        <v>992</v>
      </c>
      <c r="N527" s="13" t="s">
        <v>1740</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spans="2:31" x14ac:dyDescent="0.35">
      <c r="B528" s="24" t="s">
        <v>278</v>
      </c>
      <c r="C528" s="12" t="s">
        <v>2229</v>
      </c>
      <c r="D528" s="11" t="s">
        <v>992</v>
      </c>
      <c r="E528" s="11" t="s">
        <v>1732</v>
      </c>
      <c r="F528" s="12" t="s">
        <v>278</v>
      </c>
      <c r="G528" s="12" t="s">
        <v>246</v>
      </c>
      <c r="H528" s="12" t="s">
        <v>246</v>
      </c>
      <c r="I528" s="12" t="s">
        <v>37</v>
      </c>
      <c r="J528" s="12" t="s">
        <v>1013</v>
      </c>
      <c r="K528" s="12" t="s">
        <v>118</v>
      </c>
      <c r="L528" s="12" t="s">
        <v>247</v>
      </c>
      <c r="M528" s="12" t="s">
        <v>992</v>
      </c>
      <c r="N528" s="13" t="s">
        <v>1741</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spans="2:31" x14ac:dyDescent="0.35">
      <c r="B529" s="24" t="s">
        <v>49</v>
      </c>
      <c r="C529" s="12" t="s">
        <v>2230</v>
      </c>
      <c r="D529" s="11" t="s">
        <v>387</v>
      </c>
      <c r="E529" s="11" t="s">
        <v>1733</v>
      </c>
      <c r="F529" s="12" t="s">
        <v>992</v>
      </c>
      <c r="G529" s="12" t="s">
        <v>246</v>
      </c>
      <c r="H529" s="12" t="s">
        <v>246</v>
      </c>
      <c r="I529" s="12" t="s">
        <v>37</v>
      </c>
      <c r="J529" s="12" t="s">
        <v>1013</v>
      </c>
      <c r="K529" s="12" t="s">
        <v>118</v>
      </c>
      <c r="L529" s="12" t="s">
        <v>247</v>
      </c>
      <c r="M529" s="12" t="s">
        <v>992</v>
      </c>
      <c r="N529" s="13" t="s">
        <v>1742</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spans="2:31" x14ac:dyDescent="0.35">
      <c r="B530" s="24" t="s">
        <v>49</v>
      </c>
      <c r="C530" s="12" t="s">
        <v>2231</v>
      </c>
      <c r="D530" s="11" t="s">
        <v>1731</v>
      </c>
      <c r="E530" s="11" t="s">
        <v>1734</v>
      </c>
      <c r="F530" s="12" t="s">
        <v>992</v>
      </c>
      <c r="G530" s="12" t="s">
        <v>246</v>
      </c>
      <c r="H530" s="12" t="s">
        <v>246</v>
      </c>
      <c r="I530" s="12" t="s">
        <v>37</v>
      </c>
      <c r="J530" s="12" t="s">
        <v>1013</v>
      </c>
      <c r="K530" s="12" t="s">
        <v>118</v>
      </c>
      <c r="L530" s="12" t="s">
        <v>247</v>
      </c>
      <c r="M530" s="12" t="s">
        <v>992</v>
      </c>
      <c r="N530" s="13" t="s">
        <v>1743</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spans="2:31" x14ac:dyDescent="0.35">
      <c r="B531" s="24" t="s">
        <v>49</v>
      </c>
      <c r="C531" s="12" t="s">
        <v>2232</v>
      </c>
      <c r="D531" s="11" t="s">
        <v>992</v>
      </c>
      <c r="E531" s="11" t="s">
        <v>1735</v>
      </c>
      <c r="F531" s="12" t="s">
        <v>992</v>
      </c>
      <c r="G531" s="12" t="s">
        <v>246</v>
      </c>
      <c r="H531" s="12" t="s">
        <v>246</v>
      </c>
      <c r="I531" s="12" t="s">
        <v>992</v>
      </c>
      <c r="J531" s="12" t="s">
        <v>992</v>
      </c>
      <c r="K531" s="12" t="s">
        <v>992</v>
      </c>
      <c r="L531" s="12" t="s">
        <v>247</v>
      </c>
      <c r="M531" s="12" t="s">
        <v>992</v>
      </c>
      <c r="N531" s="13" t="s">
        <v>1744</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spans="2:31" x14ac:dyDescent="0.35">
      <c r="B532" s="24" t="s">
        <v>49</v>
      </c>
      <c r="C532" s="12" t="s">
        <v>2233</v>
      </c>
      <c r="D532" s="11" t="s">
        <v>992</v>
      </c>
      <c r="E532" s="11" t="s">
        <v>1736</v>
      </c>
      <c r="F532" s="12" t="s">
        <v>49</v>
      </c>
      <c r="G532" s="12" t="s">
        <v>246</v>
      </c>
      <c r="H532" s="12" t="s">
        <v>246</v>
      </c>
      <c r="I532" s="12" t="s">
        <v>37</v>
      </c>
      <c r="J532" s="12" t="s">
        <v>1015</v>
      </c>
      <c r="K532" s="12" t="s">
        <v>1016</v>
      </c>
      <c r="L532" s="12" t="s">
        <v>247</v>
      </c>
      <c r="M532" s="12" t="s">
        <v>992</v>
      </c>
      <c r="N532" s="13" t="s">
        <v>1745</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spans="2:31" x14ac:dyDescent="0.35">
      <c r="B533" s="24" t="s">
        <v>314</v>
      </c>
      <c r="C533" s="12" t="s">
        <v>2234</v>
      </c>
      <c r="D533" s="11" t="s">
        <v>1747</v>
      </c>
      <c r="E533" s="11" t="s">
        <v>1748</v>
      </c>
      <c r="F533" s="12" t="s">
        <v>314</v>
      </c>
      <c r="G533" s="12" t="s">
        <v>246</v>
      </c>
      <c r="H533" s="12" t="s">
        <v>246</v>
      </c>
      <c r="I533" s="12" t="s">
        <v>37</v>
      </c>
      <c r="J533" s="12" t="s">
        <v>1015</v>
      </c>
      <c r="K533" s="12" t="s">
        <v>1021</v>
      </c>
      <c r="L533" s="12" t="s">
        <v>247</v>
      </c>
      <c r="M533" s="12" t="s">
        <v>992</v>
      </c>
      <c r="N533" s="13" t="s">
        <v>1749</v>
      </c>
      <c r="O533" s="11" t="s">
        <v>992</v>
      </c>
      <c r="P533" s="11" t="s">
        <v>992</v>
      </c>
      <c r="Q533" s="11" t="s">
        <v>992</v>
      </c>
      <c r="R533" s="11" t="s">
        <v>992</v>
      </c>
      <c r="S533" s="11" t="s">
        <v>992</v>
      </c>
      <c r="T533" s="11" t="s">
        <v>125</v>
      </c>
      <c r="U533" s="11" t="s">
        <v>1014</v>
      </c>
      <c r="V533" s="11" t="s">
        <v>992</v>
      </c>
      <c r="W533" s="11" t="s">
        <v>992</v>
      </c>
      <c r="X533" s="11" t="s">
        <v>992</v>
      </c>
      <c r="Y533" s="11" t="s">
        <v>992</v>
      </c>
      <c r="Z533" s="11" t="s">
        <v>2356</v>
      </c>
      <c r="AA533" s="11" t="s">
        <v>2356</v>
      </c>
      <c r="AB533" s="11" t="s">
        <v>30</v>
      </c>
      <c r="AC533" s="11" t="s">
        <v>1346</v>
      </c>
      <c r="AD533" s="11" t="s">
        <v>992</v>
      </c>
      <c r="AE533" s="11" t="s">
        <v>992</v>
      </c>
    </row>
    <row r="534" spans="2:31" x14ac:dyDescent="0.35">
      <c r="B534" s="24" t="s">
        <v>314</v>
      </c>
      <c r="C534" s="12" t="s">
        <v>2235</v>
      </c>
      <c r="D534" s="11" t="s">
        <v>1750</v>
      </c>
      <c r="E534" s="11" t="s">
        <v>77</v>
      </c>
      <c r="F534" s="12" t="s">
        <v>314</v>
      </c>
      <c r="G534" s="12" t="s">
        <v>246</v>
      </c>
      <c r="H534" s="12" t="s">
        <v>246</v>
      </c>
      <c r="I534" s="12" t="s">
        <v>430</v>
      </c>
      <c r="J534" s="12" t="s">
        <v>1024</v>
      </c>
      <c r="K534" s="12" t="s">
        <v>77</v>
      </c>
      <c r="L534" s="12" t="s">
        <v>247</v>
      </c>
      <c r="M534" s="12" t="s">
        <v>992</v>
      </c>
      <c r="N534" s="13" t="s">
        <v>1751</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1335</v>
      </c>
      <c r="AD534" s="11" t="s">
        <v>992</v>
      </c>
      <c r="AE534" s="11" t="s">
        <v>992</v>
      </c>
    </row>
    <row r="535" spans="2:31" x14ac:dyDescent="0.35">
      <c r="B535" s="24" t="s">
        <v>49</v>
      </c>
      <c r="C535" s="12" t="s">
        <v>2236</v>
      </c>
      <c r="D535" s="11" t="s">
        <v>1752</v>
      </c>
      <c r="E535" s="11" t="s">
        <v>661</v>
      </c>
      <c r="F535" s="12" t="s">
        <v>286</v>
      </c>
      <c r="G535" s="12" t="s">
        <v>246</v>
      </c>
      <c r="H535" s="12" t="s">
        <v>246</v>
      </c>
      <c r="I535" s="12" t="s">
        <v>60</v>
      </c>
      <c r="J535" s="12" t="s">
        <v>1025</v>
      </c>
      <c r="K535" s="12" t="s">
        <v>118</v>
      </c>
      <c r="L535" s="12" t="s">
        <v>247</v>
      </c>
      <c r="M535" s="12" t="s">
        <v>992</v>
      </c>
      <c r="N535" s="13" t="s">
        <v>1753</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1334</v>
      </c>
      <c r="AD535" s="11" t="s">
        <v>992</v>
      </c>
      <c r="AE535" s="11" t="s">
        <v>992</v>
      </c>
    </row>
    <row r="536" spans="2:31" x14ac:dyDescent="0.35">
      <c r="B536" s="24" t="s">
        <v>278</v>
      </c>
      <c r="C536" s="12" t="s">
        <v>2237</v>
      </c>
      <c r="D536" s="11" t="s">
        <v>898</v>
      </c>
      <c r="E536" s="11" t="s">
        <v>77</v>
      </c>
      <c r="F536" s="12" t="s">
        <v>278</v>
      </c>
      <c r="G536" s="12" t="s">
        <v>246</v>
      </c>
      <c r="H536" s="12" t="s">
        <v>246</v>
      </c>
      <c r="I536" s="12" t="s">
        <v>430</v>
      </c>
      <c r="J536" s="12" t="s">
        <v>1024</v>
      </c>
      <c r="K536" s="12" t="s">
        <v>77</v>
      </c>
      <c r="L536" s="12" t="s">
        <v>247</v>
      </c>
      <c r="M536" s="12" t="s">
        <v>992</v>
      </c>
      <c r="N536" s="13" t="s">
        <v>2299</v>
      </c>
      <c r="O536" s="11" t="s">
        <v>992</v>
      </c>
      <c r="P536" s="11" t="s">
        <v>992</v>
      </c>
      <c r="Q536" s="11" t="s">
        <v>992</v>
      </c>
      <c r="R536" s="11" t="s">
        <v>992</v>
      </c>
      <c r="S536" s="11" t="s">
        <v>992</v>
      </c>
      <c r="T536" s="11" t="s">
        <v>125</v>
      </c>
      <c r="U536" s="11" t="s">
        <v>1014</v>
      </c>
      <c r="V536" s="11" t="s">
        <v>992</v>
      </c>
      <c r="W536" s="11" t="s">
        <v>992</v>
      </c>
      <c r="X536" s="11" t="s">
        <v>992</v>
      </c>
      <c r="Y536" s="11" t="s">
        <v>992</v>
      </c>
      <c r="Z536" s="11" t="s">
        <v>2351</v>
      </c>
      <c r="AA536" s="11" t="s">
        <v>2351</v>
      </c>
      <c r="AB536" s="11" t="s">
        <v>30</v>
      </c>
      <c r="AC536" s="11" t="s">
        <v>1349</v>
      </c>
      <c r="AD536" s="11" t="s">
        <v>992</v>
      </c>
      <c r="AE536" s="11" t="s">
        <v>992</v>
      </c>
    </row>
    <row r="537" spans="2:31" x14ac:dyDescent="0.35">
      <c r="B537" s="24" t="s">
        <v>308</v>
      </c>
      <c r="C537" s="12" t="s">
        <v>2238</v>
      </c>
      <c r="D537" s="11" t="s">
        <v>1754</v>
      </c>
      <c r="E537" s="11" t="s">
        <v>51</v>
      </c>
      <c r="F537" s="12" t="s">
        <v>308</v>
      </c>
      <c r="G537" s="12" t="s">
        <v>246</v>
      </c>
      <c r="H537" s="12" t="s">
        <v>246</v>
      </c>
      <c r="I537" s="12" t="s">
        <v>37</v>
      </c>
      <c r="J537" s="12" t="s">
        <v>1015</v>
      </c>
      <c r="K537" s="12" t="s">
        <v>1019</v>
      </c>
      <c r="L537" s="12" t="s">
        <v>247</v>
      </c>
      <c r="M537" s="12" t="s">
        <v>992</v>
      </c>
      <c r="N537" s="13" t="s">
        <v>1760</v>
      </c>
      <c r="O537" s="11" t="s">
        <v>992</v>
      </c>
      <c r="P537" s="11" t="s">
        <v>992</v>
      </c>
      <c r="Q537" s="11" t="s">
        <v>992</v>
      </c>
      <c r="R537" s="11" t="s">
        <v>992</v>
      </c>
      <c r="S537" s="11" t="s">
        <v>992</v>
      </c>
      <c r="T537" s="11" t="s">
        <v>992</v>
      </c>
      <c r="U537" s="11" t="s">
        <v>992</v>
      </c>
      <c r="V537" s="11" t="s">
        <v>992</v>
      </c>
      <c r="W537" s="11" t="s">
        <v>992</v>
      </c>
      <c r="X537" s="11" t="s">
        <v>992</v>
      </c>
      <c r="Y537" s="11" t="s">
        <v>992</v>
      </c>
      <c r="Z537" s="11" t="s">
        <v>992</v>
      </c>
      <c r="AA537" s="11" t="s">
        <v>992</v>
      </c>
      <c r="AB537" s="11" t="s">
        <v>992</v>
      </c>
      <c r="AC537" s="11" t="s">
        <v>992</v>
      </c>
      <c r="AD537" s="11" t="s">
        <v>992</v>
      </c>
      <c r="AE537" s="11" t="s">
        <v>992</v>
      </c>
    </row>
    <row r="538" spans="2:31" x14ac:dyDescent="0.35">
      <c r="B538" s="24" t="s">
        <v>311</v>
      </c>
      <c r="C538" s="12" t="s">
        <v>2239</v>
      </c>
      <c r="D538" s="11" t="s">
        <v>1755</v>
      </c>
      <c r="E538" s="11" t="s">
        <v>661</v>
      </c>
      <c r="F538" s="12" t="s">
        <v>311</v>
      </c>
      <c r="G538" s="12" t="s">
        <v>246</v>
      </c>
      <c r="H538" s="12" t="s">
        <v>246</v>
      </c>
      <c r="I538" s="12" t="s">
        <v>430</v>
      </c>
      <c r="J538" s="12" t="s">
        <v>1024</v>
      </c>
      <c r="K538" s="12" t="s">
        <v>1569</v>
      </c>
      <c r="L538" s="12" t="s">
        <v>247</v>
      </c>
      <c r="M538" s="12" t="s">
        <v>992</v>
      </c>
      <c r="N538" s="13" t="s">
        <v>1761</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spans="2:31" x14ac:dyDescent="0.35">
      <c r="B539" s="24" t="s">
        <v>283</v>
      </c>
      <c r="C539" s="12" t="s">
        <v>2240</v>
      </c>
      <c r="D539" s="11" t="s">
        <v>1409</v>
      </c>
      <c r="E539" s="11" t="s">
        <v>93</v>
      </c>
      <c r="F539" s="12" t="s">
        <v>283</v>
      </c>
      <c r="G539" s="12" t="s">
        <v>246</v>
      </c>
      <c r="H539" s="12" t="s">
        <v>246</v>
      </c>
      <c r="I539" s="12" t="s">
        <v>430</v>
      </c>
      <c r="J539" s="12" t="s">
        <v>93</v>
      </c>
      <c r="K539" s="12" t="s">
        <v>118</v>
      </c>
      <c r="L539" s="12" t="s">
        <v>247</v>
      </c>
      <c r="M539" s="12" t="s">
        <v>992</v>
      </c>
      <c r="N539" s="13" t="s">
        <v>1762</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1767</v>
      </c>
      <c r="AE539" s="11" t="s">
        <v>992</v>
      </c>
    </row>
    <row r="540" spans="2:31" x14ac:dyDescent="0.35">
      <c r="B540" s="24" t="s">
        <v>283</v>
      </c>
      <c r="C540" s="12" t="s">
        <v>2241</v>
      </c>
      <c r="D540" s="11" t="s">
        <v>1756</v>
      </c>
      <c r="E540" s="11" t="s">
        <v>429</v>
      </c>
      <c r="F540" s="12" t="s">
        <v>283</v>
      </c>
      <c r="G540" s="12" t="s">
        <v>246</v>
      </c>
      <c r="H540" s="12" t="s">
        <v>246</v>
      </c>
      <c r="I540" s="12" t="s">
        <v>430</v>
      </c>
      <c r="J540" s="12" t="s">
        <v>20</v>
      </c>
      <c r="K540" s="12" t="s">
        <v>118</v>
      </c>
      <c r="L540" s="12" t="s">
        <v>247</v>
      </c>
      <c r="M540" s="12" t="s">
        <v>992</v>
      </c>
      <c r="N540" s="13" t="s">
        <v>1763</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992</v>
      </c>
      <c r="AE540" s="11" t="s">
        <v>992</v>
      </c>
    </row>
    <row r="541" spans="2:31" x14ac:dyDescent="0.35">
      <c r="B541" s="24" t="s">
        <v>283</v>
      </c>
      <c r="C541" s="12" t="s">
        <v>2242</v>
      </c>
      <c r="D541" s="11" t="s">
        <v>1757</v>
      </c>
      <c r="E541" s="11" t="s">
        <v>1759</v>
      </c>
      <c r="F541" s="12" t="s">
        <v>283</v>
      </c>
      <c r="G541" s="12" t="s">
        <v>246</v>
      </c>
      <c r="H541" s="12" t="s">
        <v>246</v>
      </c>
      <c r="I541" s="12" t="s">
        <v>37</v>
      </c>
      <c r="J541" s="12" t="s">
        <v>1013</v>
      </c>
      <c r="K541" s="12" t="s">
        <v>118</v>
      </c>
      <c r="L541" s="12" t="s">
        <v>247</v>
      </c>
      <c r="M541" s="12" t="s">
        <v>992</v>
      </c>
      <c r="N541" s="13" t="s">
        <v>1764</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spans="2:31" x14ac:dyDescent="0.35">
      <c r="B542" s="24" t="s">
        <v>49</v>
      </c>
      <c r="C542" s="12" t="s">
        <v>2243</v>
      </c>
      <c r="D542" s="11" t="s">
        <v>1758</v>
      </c>
      <c r="E542" s="11" t="s">
        <v>90</v>
      </c>
      <c r="F542" s="12" t="s">
        <v>992</v>
      </c>
      <c r="G542" s="12" t="s">
        <v>246</v>
      </c>
      <c r="H542" s="12" t="s">
        <v>246</v>
      </c>
      <c r="I542" s="12" t="s">
        <v>430</v>
      </c>
      <c r="J542" s="12" t="s">
        <v>90</v>
      </c>
      <c r="K542" s="12" t="s">
        <v>118</v>
      </c>
      <c r="L542" s="12" t="s">
        <v>247</v>
      </c>
      <c r="M542" s="12" t="s">
        <v>992</v>
      </c>
      <c r="N542" s="13" t="s">
        <v>1765</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spans="2:31" x14ac:dyDescent="0.35">
      <c r="B543" s="24" t="s">
        <v>311</v>
      </c>
      <c r="C543" s="12" t="s">
        <v>2244</v>
      </c>
      <c r="D543" s="11" t="s">
        <v>1770</v>
      </c>
      <c r="E543" s="11" t="s">
        <v>1771</v>
      </c>
      <c r="F543" s="12" t="s">
        <v>311</v>
      </c>
      <c r="G543" s="12" t="s">
        <v>246</v>
      </c>
      <c r="H543" s="12" t="s">
        <v>246</v>
      </c>
      <c r="I543" s="12" t="s">
        <v>2412</v>
      </c>
      <c r="J543" s="12" t="s">
        <v>1009</v>
      </c>
      <c r="K543" s="12" t="s">
        <v>118</v>
      </c>
      <c r="L543" s="12" t="s">
        <v>247</v>
      </c>
      <c r="M543" s="12" t="s">
        <v>992</v>
      </c>
      <c r="N543" s="13" t="s">
        <v>1772</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spans="2:31" x14ac:dyDescent="0.35">
      <c r="B544" s="24" t="s">
        <v>311</v>
      </c>
      <c r="C544" s="12" t="s">
        <v>2245</v>
      </c>
      <c r="D544" s="11" t="s">
        <v>1774</v>
      </c>
      <c r="E544" s="11" t="s">
        <v>191</v>
      </c>
      <c r="F544" s="12" t="s">
        <v>311</v>
      </c>
      <c r="G544" s="12" t="s">
        <v>246</v>
      </c>
      <c r="H544" s="12" t="s">
        <v>246</v>
      </c>
      <c r="I544" s="12" t="s">
        <v>430</v>
      </c>
      <c r="J544" s="12" t="s">
        <v>71</v>
      </c>
      <c r="K544" s="12" t="s">
        <v>191</v>
      </c>
      <c r="L544" s="12" t="s">
        <v>247</v>
      </c>
      <c r="M544" s="12" t="s">
        <v>992</v>
      </c>
      <c r="N544" s="13" t="s">
        <v>992</v>
      </c>
      <c r="O544" s="11" t="s">
        <v>992</v>
      </c>
      <c r="P544" s="11" t="s">
        <v>992</v>
      </c>
      <c r="Q544" s="11" t="s">
        <v>992</v>
      </c>
      <c r="R544" s="11" t="s">
        <v>992</v>
      </c>
      <c r="S544" s="11" t="s">
        <v>992</v>
      </c>
      <c r="T544" s="11" t="s">
        <v>992</v>
      </c>
      <c r="U544" s="11" t="s">
        <v>1014</v>
      </c>
      <c r="V544" s="11" t="s">
        <v>992</v>
      </c>
      <c r="W544" s="11" t="s">
        <v>992</v>
      </c>
      <c r="X544" s="11" t="s">
        <v>992</v>
      </c>
      <c r="Y544" s="11" t="s">
        <v>992</v>
      </c>
      <c r="Z544" s="11" t="s">
        <v>992</v>
      </c>
      <c r="AA544" s="11" t="s">
        <v>992</v>
      </c>
      <c r="AB544" s="11" t="s">
        <v>30</v>
      </c>
      <c r="AC544" s="11" t="s">
        <v>992</v>
      </c>
      <c r="AD544" s="11" t="s">
        <v>992</v>
      </c>
      <c r="AE544" s="11" t="s">
        <v>992</v>
      </c>
    </row>
    <row r="545" spans="2:31" x14ac:dyDescent="0.35">
      <c r="B545" s="24" t="s">
        <v>278</v>
      </c>
      <c r="C545" s="12" t="s">
        <v>2246</v>
      </c>
      <c r="D545" s="11" t="s">
        <v>1775</v>
      </c>
      <c r="E545" s="11" t="s">
        <v>1633</v>
      </c>
      <c r="F545" s="12" t="s">
        <v>278</v>
      </c>
      <c r="G545" s="12" t="s">
        <v>246</v>
      </c>
      <c r="H545" s="12" t="s">
        <v>246</v>
      </c>
      <c r="I545" s="12" t="s">
        <v>430</v>
      </c>
      <c r="J545" s="12" t="s">
        <v>71</v>
      </c>
      <c r="K545" s="12" t="s">
        <v>1569</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spans="2:31" x14ac:dyDescent="0.35">
      <c r="B546" s="24" t="s">
        <v>49</v>
      </c>
      <c r="C546" s="12" t="s">
        <v>2392</v>
      </c>
      <c r="D546" s="11" t="s">
        <v>2402</v>
      </c>
      <c r="E546" s="11" t="s">
        <v>992</v>
      </c>
      <c r="F546" s="12" t="s">
        <v>992</v>
      </c>
      <c r="G546" s="12" t="s">
        <v>246</v>
      </c>
      <c r="H546" s="12" t="s">
        <v>246</v>
      </c>
      <c r="I546" s="12" t="s">
        <v>2412</v>
      </c>
      <c r="J546" s="12" t="s">
        <v>1009</v>
      </c>
      <c r="K546" s="12" t="s">
        <v>118</v>
      </c>
      <c r="L546" s="12" t="s">
        <v>247</v>
      </c>
      <c r="M546" s="12" t="s">
        <v>992</v>
      </c>
      <c r="N546" s="13" t="s">
        <v>2413</v>
      </c>
      <c r="O546" s="11" t="s">
        <v>992</v>
      </c>
      <c r="P546" s="11" t="s">
        <v>992</v>
      </c>
      <c r="Q546" s="11" t="s">
        <v>992</v>
      </c>
      <c r="R546" s="11" t="s">
        <v>992</v>
      </c>
      <c r="S546" s="11" t="s">
        <v>992</v>
      </c>
      <c r="T546" s="11" t="s">
        <v>992</v>
      </c>
      <c r="U546" s="11" t="s">
        <v>992</v>
      </c>
      <c r="V546" s="11" t="s">
        <v>992</v>
      </c>
      <c r="W546" s="11" t="s">
        <v>992</v>
      </c>
      <c r="X546" s="11" t="s">
        <v>992</v>
      </c>
      <c r="Y546" s="11" t="s">
        <v>992</v>
      </c>
      <c r="Z546" s="11" t="s">
        <v>992</v>
      </c>
      <c r="AA546" s="11" t="s">
        <v>992</v>
      </c>
      <c r="AB546" s="11" t="s">
        <v>992</v>
      </c>
      <c r="AC546" s="11" t="s">
        <v>992</v>
      </c>
      <c r="AD546" s="11" t="s">
        <v>992</v>
      </c>
      <c r="AE546" s="11" t="s">
        <v>992</v>
      </c>
    </row>
    <row r="547" spans="2:31" x14ac:dyDescent="0.35">
      <c r="B547" s="24" t="s">
        <v>49</v>
      </c>
      <c r="C547" s="12" t="s">
        <v>2393</v>
      </c>
      <c r="D547" s="11" t="s">
        <v>2403</v>
      </c>
      <c r="E547" s="11" t="s">
        <v>992</v>
      </c>
      <c r="F547" s="12" t="s">
        <v>992</v>
      </c>
      <c r="G547" s="12" t="s">
        <v>246</v>
      </c>
      <c r="H547" s="12" t="s">
        <v>246</v>
      </c>
      <c r="I547" s="12" t="s">
        <v>2412</v>
      </c>
      <c r="J547" s="12" t="s">
        <v>1009</v>
      </c>
      <c r="K547" s="12" t="s">
        <v>118</v>
      </c>
      <c r="L547" s="12" t="s">
        <v>247</v>
      </c>
      <c r="M547" s="12" t="s">
        <v>992</v>
      </c>
      <c r="N547" s="13" t="s">
        <v>2414</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spans="2:31" x14ac:dyDescent="0.35">
      <c r="B548" s="24" t="s">
        <v>49</v>
      </c>
      <c r="C548" s="12" t="s">
        <v>2394</v>
      </c>
      <c r="D548" s="11" t="s">
        <v>2404</v>
      </c>
      <c r="E548" s="11" t="s">
        <v>992</v>
      </c>
      <c r="F548" s="12" t="s">
        <v>992</v>
      </c>
      <c r="G548" s="12" t="s">
        <v>246</v>
      </c>
      <c r="H548" s="12" t="s">
        <v>246</v>
      </c>
      <c r="I548" s="12" t="s">
        <v>2412</v>
      </c>
      <c r="J548" s="12" t="s">
        <v>1009</v>
      </c>
      <c r="K548" s="12" t="s">
        <v>118</v>
      </c>
      <c r="L548" s="12" t="s">
        <v>247</v>
      </c>
      <c r="M548" s="12" t="s">
        <v>992</v>
      </c>
      <c r="N548" s="13" t="s">
        <v>2415</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spans="2:31" x14ac:dyDescent="0.35">
      <c r="B549" s="24" t="s">
        <v>49</v>
      </c>
      <c r="C549" s="12" t="s">
        <v>2395</v>
      </c>
      <c r="D549" s="11" t="s">
        <v>2405</v>
      </c>
      <c r="E549" s="11" t="s">
        <v>992</v>
      </c>
      <c r="F549" s="12" t="s">
        <v>992</v>
      </c>
      <c r="G549" s="12" t="s">
        <v>246</v>
      </c>
      <c r="H549" s="12" t="s">
        <v>246</v>
      </c>
      <c r="I549" s="12" t="s">
        <v>2412</v>
      </c>
      <c r="J549" s="12" t="s">
        <v>1009</v>
      </c>
      <c r="K549" s="12" t="s">
        <v>118</v>
      </c>
      <c r="L549" s="12" t="s">
        <v>247</v>
      </c>
      <c r="M549" s="12" t="s">
        <v>992</v>
      </c>
      <c r="N549" s="13" t="s">
        <v>2416</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spans="2:31" x14ac:dyDescent="0.35">
      <c r="B550" s="24" t="s">
        <v>49</v>
      </c>
      <c r="C550" s="12" t="s">
        <v>2396</v>
      </c>
      <c r="D550" s="11" t="s">
        <v>2406</v>
      </c>
      <c r="E550" s="11" t="s">
        <v>992</v>
      </c>
      <c r="F550" s="12" t="s">
        <v>992</v>
      </c>
      <c r="G550" s="12" t="s">
        <v>246</v>
      </c>
      <c r="H550" s="12" t="s">
        <v>246</v>
      </c>
      <c r="I550" s="12" t="s">
        <v>2412</v>
      </c>
      <c r="J550" s="12" t="s">
        <v>1009</v>
      </c>
      <c r="K550" s="12" t="s">
        <v>118</v>
      </c>
      <c r="L550" s="12" t="s">
        <v>247</v>
      </c>
      <c r="M550" s="12" t="s">
        <v>992</v>
      </c>
      <c r="N550" s="13" t="s">
        <v>2417</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spans="2:31" x14ac:dyDescent="0.35">
      <c r="B551" s="24" t="s">
        <v>49</v>
      </c>
      <c r="C551" s="12" t="s">
        <v>2397</v>
      </c>
      <c r="D551" s="11" t="s">
        <v>2407</v>
      </c>
      <c r="E551" s="11" t="s">
        <v>992</v>
      </c>
      <c r="F551" s="12" t="s">
        <v>992</v>
      </c>
      <c r="G551" s="12" t="s">
        <v>246</v>
      </c>
      <c r="H551" s="12" t="s">
        <v>246</v>
      </c>
      <c r="I551" s="12" t="s">
        <v>2412</v>
      </c>
      <c r="J551" s="12" t="s">
        <v>1009</v>
      </c>
      <c r="K551" s="12" t="s">
        <v>118</v>
      </c>
      <c r="L551" s="12" t="s">
        <v>247</v>
      </c>
      <c r="M551" s="12" t="s">
        <v>992</v>
      </c>
      <c r="N551" s="13" t="s">
        <v>2418</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spans="2:31" x14ac:dyDescent="0.35">
      <c r="B552" s="24" t="s">
        <v>49</v>
      </c>
      <c r="C552" s="12" t="s">
        <v>2398</v>
      </c>
      <c r="D552" s="11" t="s">
        <v>2408</v>
      </c>
      <c r="E552" s="11" t="s">
        <v>992</v>
      </c>
      <c r="F552" s="12" t="s">
        <v>992</v>
      </c>
      <c r="G552" s="12" t="s">
        <v>246</v>
      </c>
      <c r="H552" s="12" t="s">
        <v>246</v>
      </c>
      <c r="I552" s="12" t="s">
        <v>2412</v>
      </c>
      <c r="J552" s="12" t="s">
        <v>1009</v>
      </c>
      <c r="K552" s="12" t="s">
        <v>118</v>
      </c>
      <c r="L552" s="12" t="s">
        <v>247</v>
      </c>
      <c r="M552" s="12" t="s">
        <v>992</v>
      </c>
      <c r="N552" s="13" t="s">
        <v>2419</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spans="2:31" x14ac:dyDescent="0.35">
      <c r="B553" s="24" t="s">
        <v>49</v>
      </c>
      <c r="C553" s="12" t="s">
        <v>2399</v>
      </c>
      <c r="D553" s="11" t="s">
        <v>2409</v>
      </c>
      <c r="E553" s="11" t="s">
        <v>992</v>
      </c>
      <c r="F553" s="12" t="s">
        <v>992</v>
      </c>
      <c r="G553" s="12" t="s">
        <v>246</v>
      </c>
      <c r="H553" s="12" t="s">
        <v>246</v>
      </c>
      <c r="I553" s="12" t="s">
        <v>2412</v>
      </c>
      <c r="J553" s="12" t="s">
        <v>1009</v>
      </c>
      <c r="K553" s="12" t="s">
        <v>118</v>
      </c>
      <c r="L553" s="12" t="s">
        <v>247</v>
      </c>
      <c r="M553" s="12" t="s">
        <v>992</v>
      </c>
      <c r="N553" s="13" t="s">
        <v>2420</v>
      </c>
      <c r="O553" s="11" t="s">
        <v>992</v>
      </c>
      <c r="P553" s="11" t="s">
        <v>992</v>
      </c>
      <c r="Q553" s="11" t="s">
        <v>992</v>
      </c>
      <c r="R553" s="11" t="s">
        <v>992</v>
      </c>
      <c r="S553" s="11" t="s">
        <v>992</v>
      </c>
      <c r="T553" s="11" t="s">
        <v>992</v>
      </c>
      <c r="U553" s="11" t="s">
        <v>992</v>
      </c>
      <c r="V553" s="11" t="s">
        <v>992</v>
      </c>
      <c r="W553" s="11" t="s">
        <v>992</v>
      </c>
      <c r="X553" s="11" t="s">
        <v>992</v>
      </c>
      <c r="Y553" s="11" t="s">
        <v>992</v>
      </c>
      <c r="Z553" s="11" t="s">
        <v>992</v>
      </c>
      <c r="AA553" s="11" t="s">
        <v>992</v>
      </c>
      <c r="AB553" s="11" t="s">
        <v>992</v>
      </c>
      <c r="AC553" s="11" t="s">
        <v>992</v>
      </c>
      <c r="AD553" s="11" t="s">
        <v>992</v>
      </c>
      <c r="AE553" s="11" t="s">
        <v>992</v>
      </c>
    </row>
    <row r="554" spans="2:31" x14ac:dyDescent="0.35">
      <c r="B554" s="24" t="s">
        <v>49</v>
      </c>
      <c r="C554" s="12" t="s">
        <v>2400</v>
      </c>
      <c r="D554" s="11" t="s">
        <v>2410</v>
      </c>
      <c r="E554" s="11" t="s">
        <v>992</v>
      </c>
      <c r="F554" s="12" t="s">
        <v>992</v>
      </c>
      <c r="G554" s="12" t="s">
        <v>246</v>
      </c>
      <c r="H554" s="12" t="s">
        <v>246</v>
      </c>
      <c r="I554" s="12" t="s">
        <v>2412</v>
      </c>
      <c r="J554" s="12" t="s">
        <v>1009</v>
      </c>
      <c r="K554" s="12" t="s">
        <v>118</v>
      </c>
      <c r="L554" s="12" t="s">
        <v>247</v>
      </c>
      <c r="M554" s="12" t="s">
        <v>992</v>
      </c>
      <c r="N554" s="13" t="s">
        <v>2421</v>
      </c>
      <c r="O554" s="11" t="s">
        <v>992</v>
      </c>
      <c r="P554" s="11" t="s">
        <v>992</v>
      </c>
      <c r="Q554" s="11" t="s">
        <v>992</v>
      </c>
      <c r="R554" s="11" t="s">
        <v>992</v>
      </c>
      <c r="S554" s="11" t="s">
        <v>992</v>
      </c>
      <c r="T554" s="11" t="s">
        <v>992</v>
      </c>
      <c r="U554" s="11" t="s">
        <v>992</v>
      </c>
      <c r="V554" s="11" t="s">
        <v>992</v>
      </c>
      <c r="W554" s="11" t="s">
        <v>992</v>
      </c>
      <c r="X554" s="11" t="s">
        <v>992</v>
      </c>
      <c r="Y554" s="11" t="s">
        <v>992</v>
      </c>
      <c r="Z554" s="11" t="s">
        <v>992</v>
      </c>
      <c r="AA554" s="11" t="s">
        <v>992</v>
      </c>
      <c r="AB554" s="11" t="s">
        <v>992</v>
      </c>
      <c r="AC554" s="11" t="s">
        <v>992</v>
      </c>
      <c r="AD554" s="11" t="s">
        <v>992</v>
      </c>
      <c r="AE554" s="11" t="s">
        <v>992</v>
      </c>
    </row>
    <row r="555" spans="2:31" x14ac:dyDescent="0.35">
      <c r="B555" s="24" t="s">
        <v>49</v>
      </c>
      <c r="C555" s="12" t="s">
        <v>2401</v>
      </c>
      <c r="D555" s="11" t="s">
        <v>2411</v>
      </c>
      <c r="E555" s="11" t="s">
        <v>992</v>
      </c>
      <c r="F555" s="12" t="s">
        <v>992</v>
      </c>
      <c r="G555" s="12" t="s">
        <v>246</v>
      </c>
      <c r="H555" s="12" t="s">
        <v>246</v>
      </c>
      <c r="I555" s="12" t="s">
        <v>2412</v>
      </c>
      <c r="J555" s="12" t="s">
        <v>1009</v>
      </c>
      <c r="K555" s="12" t="s">
        <v>118</v>
      </c>
      <c r="L555" s="12" t="s">
        <v>247</v>
      </c>
      <c r="M555" s="12" t="s">
        <v>992</v>
      </c>
      <c r="N555" s="13" t="s">
        <v>2422</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sheetData>
  <autoFilter ref="B1:AE501" xr:uid="{00000000-0009-0000-0000-000000000000}"/>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1" showErrorMessage="1" sqref="Y370 V534:Y536 V6:AA354" xr:uid="{00000000-0002-0000-0000-000000000000}">
      <formula1>46023</formula1>
      <formula2>46387</formula2>
    </dataValidation>
  </dataValidations>
  <hyperlinks>
    <hyperlink ref="N14" r:id="rId1" xr:uid="{00000000-0004-0000-0000-000000000000}"/>
    <hyperlink ref="N13" r:id="rId2" xr:uid="{00000000-0004-0000-0000-000001000000}"/>
    <hyperlink ref="N45" r:id="rId3" xr:uid="{00000000-0004-0000-0000-000002000000}"/>
    <hyperlink ref="N46" r:id="rId4" xr:uid="{00000000-0004-0000-0000-000003000000}"/>
    <hyperlink ref="N38" r:id="rId5" xr:uid="{00000000-0004-0000-0000-000004000000}"/>
    <hyperlink ref="N65" r:id="rId6" xr:uid="{00000000-0004-0000-0000-000005000000}"/>
    <hyperlink ref="N41" r:id="rId7" xr:uid="{00000000-0004-0000-0000-000006000000}"/>
    <hyperlink ref="N58" r:id="rId8" xr:uid="{00000000-0004-0000-0000-000007000000}"/>
    <hyperlink ref="N59" r:id="rId9" xr:uid="{00000000-0004-0000-0000-000008000000}"/>
    <hyperlink ref="N60" r:id="rId10" xr:uid="{00000000-0004-0000-0000-000009000000}"/>
    <hyperlink ref="N36" r:id="rId11" xr:uid="{00000000-0004-0000-0000-00000A000000}"/>
    <hyperlink ref="N63" r:id="rId12" xr:uid="{00000000-0004-0000-0000-00000B000000}"/>
    <hyperlink ref="N132" r:id="rId13" xr:uid="{00000000-0004-0000-0000-00000C000000}"/>
    <hyperlink ref="N173" r:id="rId14" xr:uid="{00000000-0004-0000-0000-00000D000000}"/>
    <hyperlink ref="N214" r:id="rId15" xr:uid="{00000000-0004-0000-0000-00000E000000}"/>
    <hyperlink ref="N221" r:id="rId16" xr:uid="{00000000-0004-0000-0000-00000F000000}"/>
    <hyperlink ref="N328" r:id="rId17" xr:uid="{00000000-0004-0000-0000-000010000000}"/>
    <hyperlink ref="N327" r:id="rId18" display="https://www.linkedin.com/in/lorena-alvarez-46b9a795/" xr:uid="{00000000-0004-0000-0000-000011000000}"/>
    <hyperlink ref="N325" r:id="rId19" xr:uid="{00000000-0004-0000-0000-000012000000}"/>
    <hyperlink ref="N323" r:id="rId20" display="https://www.linkedin.com/in/claudiacisneros/" xr:uid="{00000000-0004-0000-0000-000013000000}"/>
    <hyperlink ref="N322" r:id="rId21" xr:uid="{00000000-0004-0000-0000-000014000000}"/>
    <hyperlink ref="N321" r:id="rId22" xr:uid="{00000000-0004-0000-0000-000015000000}"/>
    <hyperlink ref="N317" r:id="rId23" xr:uid="{00000000-0004-0000-0000-000016000000}"/>
    <hyperlink ref="N318" r:id="rId24" xr:uid="{00000000-0004-0000-0000-000017000000}"/>
    <hyperlink ref="N316" r:id="rId25" xr:uid="{00000000-0004-0000-0000-000018000000}"/>
    <hyperlink ref="N315" r:id="rId26" display="https://www.instagram.com/adrianaleoncantella/?hl=es" xr:uid="{00000000-0004-0000-0000-000019000000}"/>
    <hyperlink ref="N319" r:id="rId27" xr:uid="{00000000-0004-0000-0000-00001A000000}"/>
    <hyperlink ref="N324" r:id="rId28" xr:uid="{00000000-0004-0000-0000-00001B000000}"/>
    <hyperlink ref="N320" r:id="rId29" xr:uid="{00000000-0004-0000-0000-00001C000000}"/>
    <hyperlink ref="N314" r:id="rId30" xr:uid="{00000000-0004-0000-0000-00001D000000}"/>
    <hyperlink ref="N329" r:id="rId31" xr:uid="{00000000-0004-0000-0000-00001E000000}"/>
    <hyperlink ref="N112" r:id="rId32" display="arebaza@mpfn.gob.pe" xr:uid="{00000000-0004-0000-0000-00001F000000}"/>
    <hyperlink ref="O114" r:id="rId33" xr:uid="{00000000-0004-0000-0000-000020000000}"/>
    <hyperlink ref="O143:O173" r:id="rId34" display="servicedesk@pj.gob.pe." xr:uid="{00000000-0004-0000-0000-000021000000}"/>
    <hyperlink ref="O266" r:id="rId35" xr:uid="{00000000-0004-0000-0000-000022000000}"/>
    <hyperlink ref="N15" r:id="rId36" xr:uid="{00000000-0004-0000-0000-000023000000}"/>
    <hyperlink ref="O22" r:id="rId37" xr:uid="{00000000-0004-0000-0000-000024000000}"/>
    <hyperlink ref="N31" r:id="rId38" xr:uid="{00000000-0004-0000-0000-000025000000}"/>
    <hyperlink ref="O21" r:id="rId39" xr:uid="{00000000-0004-0000-0000-000026000000}"/>
    <hyperlink ref="N40" r:id="rId40" xr:uid="{00000000-0004-0000-0000-000027000000}"/>
    <hyperlink ref="N35" r:id="rId41" xr:uid="{00000000-0004-0000-0000-000028000000}"/>
    <hyperlink ref="AD46" r:id="rId42" xr:uid="{00000000-0004-0000-0000-000029000000}"/>
    <hyperlink ref="N330" r:id="rId43" xr:uid="{00000000-0004-0000-0000-00002A000000}"/>
    <hyperlink ref="N332" r:id="rId44" xr:uid="{00000000-0004-0000-0000-00002B000000}"/>
    <hyperlink ref="N334" r:id="rId45" xr:uid="{00000000-0004-0000-0000-00002C000000}"/>
    <hyperlink ref="O331" r:id="rId46" xr:uid="{00000000-0004-0000-0000-00002D000000}"/>
    <hyperlink ref="O336" r:id="rId47" xr:uid="{00000000-0004-0000-0000-00002E000000}"/>
    <hyperlink ref="N338" r:id="rId48" xr:uid="{00000000-0004-0000-0000-00002F000000}"/>
    <hyperlink ref="O339" r:id="rId49" xr:uid="{00000000-0004-0000-0000-000030000000}"/>
    <hyperlink ref="O340" r:id="rId50" display="mesadepartes.fpedv.maynas@gmail.com" xr:uid="{00000000-0004-0000-0000-000031000000}"/>
    <hyperlink ref="N340" r:id="rId51" xr:uid="{00000000-0004-0000-0000-000032000000}"/>
    <hyperlink ref="N342" r:id="rId52" xr:uid="{00000000-0004-0000-0000-000033000000}"/>
    <hyperlink ref="O341" r:id="rId53" xr:uid="{00000000-0004-0000-0000-000034000000}"/>
    <hyperlink ref="O342" r:id="rId54" xr:uid="{00000000-0004-0000-0000-000035000000}"/>
    <hyperlink ref="O343" r:id="rId55" xr:uid="{00000000-0004-0000-0000-000036000000}"/>
    <hyperlink ref="O344" r:id="rId56" xr:uid="{00000000-0004-0000-0000-000037000000}"/>
    <hyperlink ref="N345" r:id="rId57" xr:uid="{00000000-0004-0000-0000-000038000000}"/>
    <hyperlink ref="O346" r:id="rId58" xr:uid="{00000000-0004-0000-0000-000039000000}"/>
    <hyperlink ref="O347" r:id="rId59" xr:uid="{00000000-0004-0000-0000-00003A000000}"/>
    <hyperlink ref="O348" r:id="rId60" xr:uid="{00000000-0004-0000-0000-00003B000000}"/>
    <hyperlink ref="N349" r:id="rId61" xr:uid="{00000000-0004-0000-0000-00003C000000}"/>
    <hyperlink ref="N350" r:id="rId62" xr:uid="{00000000-0004-0000-0000-00003D000000}"/>
    <hyperlink ref="N351" r:id="rId63" xr:uid="{00000000-0004-0000-0000-00003E000000}"/>
    <hyperlink ref="O352" r:id="rId64" xr:uid="{00000000-0004-0000-0000-00003F000000}"/>
    <hyperlink ref="O353" r:id="rId65" xr:uid="{00000000-0004-0000-0000-000040000000}"/>
    <hyperlink ref="O354" r:id="rId66" xr:uid="{00000000-0004-0000-0000-000041000000}"/>
    <hyperlink ref="O355" r:id="rId67" xr:uid="{00000000-0004-0000-0000-000042000000}"/>
    <hyperlink ref="O356" r:id="rId68" xr:uid="{00000000-0004-0000-0000-000043000000}"/>
    <hyperlink ref="O357" r:id="rId69" xr:uid="{00000000-0004-0000-0000-000044000000}"/>
    <hyperlink ref="O358" r:id="rId70" xr:uid="{00000000-0004-0000-0000-000045000000}"/>
    <hyperlink ref="O359" r:id="rId71" xr:uid="{00000000-0004-0000-0000-000046000000}"/>
    <hyperlink ref="O360" r:id="rId72" xr:uid="{00000000-0004-0000-0000-000047000000}"/>
    <hyperlink ref="O361" r:id="rId73" xr:uid="{00000000-0004-0000-0000-000048000000}"/>
    <hyperlink ref="O362" r:id="rId74" xr:uid="{00000000-0004-0000-0000-000049000000}"/>
    <hyperlink ref="O363" r:id="rId75" xr:uid="{00000000-0004-0000-0000-00004A000000}"/>
    <hyperlink ref="O364" r:id="rId76" xr:uid="{00000000-0004-0000-0000-00004B000000}"/>
    <hyperlink ref="O365" r:id="rId77" xr:uid="{00000000-0004-0000-0000-00004C000000}"/>
    <hyperlink ref="N16" r:id="rId78" xr:uid="{00000000-0004-0000-0000-00004D000000}"/>
    <hyperlink ref="N17" r:id="rId79" xr:uid="{00000000-0004-0000-0000-00004E000000}"/>
    <hyperlink ref="N220" r:id="rId80" xr:uid="{00000000-0004-0000-0000-00004F000000}"/>
    <hyperlink ref="N384" r:id="rId81" xr:uid="{00000000-0004-0000-0000-000050000000}"/>
    <hyperlink ref="N385" r:id="rId82" display="metacalidaddevida@hotmail.com_x000a_(066) 302683" xr:uid="{00000000-0004-0000-0000-000051000000}"/>
    <hyperlink ref="N390" r:id="rId83" xr:uid="{00000000-0004-0000-0000-000052000000}"/>
    <hyperlink ref="N391" r:id="rId84" xr:uid="{00000000-0004-0000-0000-000053000000}"/>
    <hyperlink ref="N394" r:id="rId85" xr:uid="{00000000-0004-0000-0000-000054000000}"/>
    <hyperlink ref="N395" r:id="rId86" xr:uid="{00000000-0004-0000-0000-000055000000}"/>
    <hyperlink ref="N430" r:id="rId87" xr:uid="{00000000-0004-0000-0000-000056000000}"/>
    <hyperlink ref="N431" r:id="rId88" xr:uid="{00000000-0004-0000-0000-000057000000}"/>
    <hyperlink ref="N432" r:id="rId89" xr:uid="{00000000-0004-0000-0000-000058000000}"/>
    <hyperlink ref="N433" r:id="rId90" xr:uid="{00000000-0004-0000-0000-000059000000}"/>
    <hyperlink ref="N434" r:id="rId91" xr:uid="{00000000-0004-0000-0000-00005A000000}"/>
    <hyperlink ref="N435" r:id="rId92" xr:uid="{00000000-0004-0000-0000-00005B000000}"/>
    <hyperlink ref="N437" r:id="rId93" xr:uid="{00000000-0004-0000-0000-00005C000000}"/>
    <hyperlink ref="N449" r:id="rId94" display="930480207pomalopezpatricia@hotmail.com" xr:uid="{00000000-0004-0000-0000-00005D000000}"/>
    <hyperlink ref="N465" r:id="rId95" xr:uid="{00000000-0004-0000-0000-00005E000000}"/>
    <hyperlink ref="N466" r:id="rId96" xr:uid="{00000000-0004-0000-0000-00005F000000}"/>
    <hyperlink ref="N469" r:id="rId97" xr:uid="{00000000-0004-0000-0000-000060000000}"/>
    <hyperlink ref="N470" r:id="rId98" xr:uid="{00000000-0004-0000-0000-000061000000}"/>
    <hyperlink ref="N471" r:id="rId99" xr:uid="{00000000-0004-0000-0000-000062000000}"/>
    <hyperlink ref="N473" r:id="rId100" xr:uid="{00000000-0004-0000-0000-000063000000}"/>
    <hyperlink ref="N474" r:id="rId101" xr:uid="{00000000-0004-0000-0000-000064000000}"/>
    <hyperlink ref="N475" r:id="rId102" xr:uid="{00000000-0004-0000-0000-000065000000}"/>
    <hyperlink ref="N476" r:id="rId103" xr:uid="{00000000-0004-0000-0000-000066000000}"/>
    <hyperlink ref="N483" r:id="rId104" xr:uid="{00000000-0004-0000-0000-000067000000}"/>
    <hyperlink ref="N484" r:id="rId105" xr:uid="{00000000-0004-0000-0000-000068000000}"/>
    <hyperlink ref="N485" r:id="rId106" xr:uid="{00000000-0004-0000-0000-000069000000}"/>
    <hyperlink ref="N486" r:id="rId107" xr:uid="{00000000-0004-0000-0000-00006A000000}"/>
    <hyperlink ref="N487" r:id="rId108" xr:uid="{00000000-0004-0000-0000-00006B000000}"/>
    <hyperlink ref="N488" r:id="rId109" xr:uid="{00000000-0004-0000-0000-00006C000000}"/>
    <hyperlink ref="N489" r:id="rId110" xr:uid="{00000000-0004-0000-0000-00006D000000}"/>
    <hyperlink ref="N490" r:id="rId111" xr:uid="{00000000-0004-0000-0000-00006E000000}"/>
    <hyperlink ref="N491" r:id="rId112" xr:uid="{00000000-0004-0000-0000-00006F000000}"/>
    <hyperlink ref="N492" r:id="rId113" xr:uid="{00000000-0004-0000-0000-000070000000}"/>
    <hyperlink ref="N493" r:id="rId114" xr:uid="{00000000-0004-0000-0000-000071000000}"/>
    <hyperlink ref="N495" r:id="rId115" xr:uid="{00000000-0004-0000-0000-000072000000}"/>
    <hyperlink ref="N496" r:id="rId116" xr:uid="{00000000-0004-0000-0000-000073000000}"/>
    <hyperlink ref="N530" r:id="rId117" xr:uid="{00000000-0004-0000-0000-000074000000}"/>
    <hyperlink ref="N532" r:id="rId118" xr:uid="{00000000-0004-0000-0000-000075000000}"/>
    <hyperlink ref="N533" r:id="rId119" xr:uid="{00000000-0004-0000-0000-000076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1"/>
    <col min="2" max="2" width="13.26953125" style="12" customWidth="1"/>
    <col min="3" max="3" width="27.26953125" style="11" customWidth="1"/>
    <col min="4" max="4" width="35" style="11" customWidth="1"/>
    <col min="5" max="5" width="42.453125" style="12" customWidth="1"/>
    <col min="6" max="7" width="27.1796875" style="12" customWidth="1"/>
    <col min="8" max="10" width="36.453125" style="12" customWidth="1"/>
    <col min="11" max="11" width="21.81640625" style="12" customWidth="1"/>
    <col min="12" max="12" width="45.453125" style="13" customWidth="1"/>
    <col min="13" max="13" width="28" style="11" customWidth="1"/>
    <col min="14" max="14" width="34.54296875" style="11" customWidth="1"/>
    <col min="15" max="15" width="10.26953125" style="11" customWidth="1"/>
    <col min="16" max="16" width="11.453125" style="11" customWidth="1"/>
    <col min="17" max="17" width="8.1796875" style="11" customWidth="1"/>
    <col min="18" max="19" width="18" style="11" customWidth="1"/>
    <col min="20" max="20" width="26.54296875" style="11" bestFit="1" customWidth="1"/>
    <col min="21" max="21" width="27" style="11" customWidth="1"/>
    <col min="22" max="22" width="24.453125" style="11" customWidth="1"/>
    <col min="23" max="23" width="26.1796875" style="11" customWidth="1"/>
    <col min="24" max="24" width="30" style="11" bestFit="1" customWidth="1"/>
    <col min="25" max="25" width="27.1796875" style="11" bestFit="1" customWidth="1"/>
    <col min="26" max="26" width="27.1796875" style="11" customWidth="1"/>
    <col min="27" max="27" width="15.453125" style="11" customWidth="1"/>
    <col min="28" max="28" width="29.54296875" style="11" customWidth="1"/>
    <col min="29" max="29" width="36" style="11" customWidth="1"/>
    <col min="30" max="16384" width="10.81640625" style="11"/>
  </cols>
  <sheetData>
    <row r="1" spans="2:30" x14ac:dyDescent="0.35">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spans="2:30" x14ac:dyDescent="0.35">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spans="2:30" x14ac:dyDescent="0.35">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spans="2:30" x14ac:dyDescent="0.35">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spans="2:30" x14ac:dyDescent="0.3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spans="2:30" x14ac:dyDescent="0.35">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spans="2:30" x14ac:dyDescent="0.35">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spans="2:30" x14ac:dyDescent="0.35">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spans="2:30" x14ac:dyDescent="0.35">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spans="2:30" x14ac:dyDescent="0.35">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spans="2:30" x14ac:dyDescent="0.35">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spans="2:30" x14ac:dyDescent="0.35">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spans="2:30" x14ac:dyDescent="0.35">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spans="2:30" x14ac:dyDescent="0.35">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spans="2:30" x14ac:dyDescent="0.3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spans="2:30" x14ac:dyDescent="0.35">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spans="2:30" x14ac:dyDescent="0.35">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spans="2:30" x14ac:dyDescent="0.35">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spans="2:30" x14ac:dyDescent="0.35">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spans="2:30" x14ac:dyDescent="0.35">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spans="2:30" x14ac:dyDescent="0.35">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spans="2:30" x14ac:dyDescent="0.35">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spans="2:30" x14ac:dyDescent="0.35">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spans="2:30" x14ac:dyDescent="0.35">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spans="2:30" ht="14.5" x14ac:dyDescent="0.3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spans="2:30" x14ac:dyDescent="0.35">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spans="2:30" x14ac:dyDescent="0.35">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spans="2:30" x14ac:dyDescent="0.35">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spans="2:30" x14ac:dyDescent="0.35">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spans="2:30" x14ac:dyDescent="0.35">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spans="2:30" x14ac:dyDescent="0.35">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spans="2:30" x14ac:dyDescent="0.35">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spans="2:30" x14ac:dyDescent="0.35">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spans="2:30" x14ac:dyDescent="0.35">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spans="2:30" x14ac:dyDescent="0.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spans="2:30" x14ac:dyDescent="0.35">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spans="2:30" x14ac:dyDescent="0.35">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spans="2:30" x14ac:dyDescent="0.35">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spans="2:30" x14ac:dyDescent="0.35">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spans="2:30" x14ac:dyDescent="0.35">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spans="2:30" x14ac:dyDescent="0.35">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spans="2:30" x14ac:dyDescent="0.35">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spans="2:30" x14ac:dyDescent="0.35">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spans="2:30" x14ac:dyDescent="0.35">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spans="2:30" x14ac:dyDescent="0.3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spans="2:30" x14ac:dyDescent="0.35">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spans="2:30" x14ac:dyDescent="0.35">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spans="2:30" x14ac:dyDescent="0.35">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spans="2:30" x14ac:dyDescent="0.35">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spans="2:30" x14ac:dyDescent="0.35">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spans="2:30" x14ac:dyDescent="0.35">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spans="2:30" x14ac:dyDescent="0.35">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spans="2:30" x14ac:dyDescent="0.35">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spans="2:30" x14ac:dyDescent="0.35">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spans="2:30" x14ac:dyDescent="0.3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spans="2:30" x14ac:dyDescent="0.35">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spans="2:30" x14ac:dyDescent="0.35">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spans="2:30" x14ac:dyDescent="0.35">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spans="2:30" x14ac:dyDescent="0.35">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spans="2:30" x14ac:dyDescent="0.35">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spans="2:30" x14ac:dyDescent="0.35">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spans="2:30" x14ac:dyDescent="0.35">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spans="2:30" x14ac:dyDescent="0.35">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spans="2:30" x14ac:dyDescent="0.35">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spans="2:30" x14ac:dyDescent="0.3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spans="2:30" x14ac:dyDescent="0.35">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spans="2:30" x14ac:dyDescent="0.35">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spans="2:30" x14ac:dyDescent="0.35">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spans="2:30" x14ac:dyDescent="0.35">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spans="2:30" x14ac:dyDescent="0.35">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spans="2:30" x14ac:dyDescent="0.35">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spans="2:30" x14ac:dyDescent="0.35">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spans="2:30" x14ac:dyDescent="0.35">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spans="2:30" x14ac:dyDescent="0.35">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spans="2:30" x14ac:dyDescent="0.3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spans="2:30" x14ac:dyDescent="0.35">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spans="2:30" x14ac:dyDescent="0.35">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spans="2:30" x14ac:dyDescent="0.35">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spans="2:30" x14ac:dyDescent="0.35">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spans="2:30" x14ac:dyDescent="0.35">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spans="2:30" x14ac:dyDescent="0.35">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spans="2:30" x14ac:dyDescent="0.35">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spans="2:30" x14ac:dyDescent="0.35">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spans="2:30" x14ac:dyDescent="0.35">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spans="2:30" x14ac:dyDescent="0.3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spans="2:30" x14ac:dyDescent="0.35">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spans="2:30" x14ac:dyDescent="0.35">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spans="2:30" x14ac:dyDescent="0.35">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spans="2:30" x14ac:dyDescent="0.35">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spans="2:30" x14ac:dyDescent="0.35">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spans="2:30" x14ac:dyDescent="0.35">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spans="2:30" x14ac:dyDescent="0.35">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spans="2:30" x14ac:dyDescent="0.35">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spans="2:30" x14ac:dyDescent="0.35">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spans="2:30" x14ac:dyDescent="0.3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spans="2:30" x14ac:dyDescent="0.35">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spans="2:30" x14ac:dyDescent="0.35">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spans="2:30" x14ac:dyDescent="0.35">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spans="2:30" x14ac:dyDescent="0.35">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spans="2:30" x14ac:dyDescent="0.35">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spans="2:30" x14ac:dyDescent="0.35">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spans="2:30" x14ac:dyDescent="0.35">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spans="2:30" x14ac:dyDescent="0.35">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spans="2:30" x14ac:dyDescent="0.35">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spans="2:30" x14ac:dyDescent="0.3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spans="2:30" x14ac:dyDescent="0.35">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spans="2:30" x14ac:dyDescent="0.35">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spans="2:30" x14ac:dyDescent="0.35">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spans="2:30" x14ac:dyDescent="0.35">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spans="2:30" x14ac:dyDescent="0.35">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spans="2:30" x14ac:dyDescent="0.35">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spans="2:30" x14ac:dyDescent="0.35">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spans="2:30" x14ac:dyDescent="0.35">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spans="2:30" x14ac:dyDescent="0.35">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spans="2:30" x14ac:dyDescent="0.3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spans="2:30" x14ac:dyDescent="0.35">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spans="2:30" x14ac:dyDescent="0.35">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spans="2:30" x14ac:dyDescent="0.35">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spans="2:30" x14ac:dyDescent="0.35">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spans="2:30" x14ac:dyDescent="0.35">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spans="2:30" x14ac:dyDescent="0.35">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spans="2:30" x14ac:dyDescent="0.35">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spans="2:30" x14ac:dyDescent="0.35">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spans="2:30" x14ac:dyDescent="0.35">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spans="2:30" x14ac:dyDescent="0.3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spans="2:30" x14ac:dyDescent="0.35">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spans="2:30" x14ac:dyDescent="0.35">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spans="2:30" x14ac:dyDescent="0.35">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spans="2:30" x14ac:dyDescent="0.35">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spans="2:30" x14ac:dyDescent="0.35">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spans="2:30" x14ac:dyDescent="0.35">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spans="2:30" x14ac:dyDescent="0.35">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spans="2:30" x14ac:dyDescent="0.35">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spans="2:30" x14ac:dyDescent="0.35">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spans="2:30" x14ac:dyDescent="0.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spans="2:30" x14ac:dyDescent="0.35">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spans="2:30" x14ac:dyDescent="0.35">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spans="2:30" x14ac:dyDescent="0.35">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spans="2:30" x14ac:dyDescent="0.35">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spans="2:30" x14ac:dyDescent="0.35">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spans="2:30" x14ac:dyDescent="0.35">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spans="2:30" x14ac:dyDescent="0.35">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spans="2:30" x14ac:dyDescent="0.35">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spans="2:30" x14ac:dyDescent="0.35">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spans="2:30" x14ac:dyDescent="0.3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spans="2:30" x14ac:dyDescent="0.35">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spans="2:30" x14ac:dyDescent="0.35">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spans="2:30" x14ac:dyDescent="0.35">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spans="2:30" x14ac:dyDescent="0.35">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spans="2:30" x14ac:dyDescent="0.35">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spans="2:30" x14ac:dyDescent="0.35">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spans="2:30" x14ac:dyDescent="0.35">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spans="2:30" x14ac:dyDescent="0.35">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spans="2:30" x14ac:dyDescent="0.35">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spans="2:30" x14ac:dyDescent="0.3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spans="2:30" x14ac:dyDescent="0.35">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spans="2:30" x14ac:dyDescent="0.35">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spans="2:30" x14ac:dyDescent="0.35">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spans="2:30" x14ac:dyDescent="0.35">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spans="2:30" x14ac:dyDescent="0.35">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spans="2:30" x14ac:dyDescent="0.35">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spans="2:30" x14ac:dyDescent="0.35">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spans="2:30" x14ac:dyDescent="0.35">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spans="2:30" x14ac:dyDescent="0.35">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spans="2:30" x14ac:dyDescent="0.3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spans="2:30" x14ac:dyDescent="0.35">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spans="2:30" x14ac:dyDescent="0.35">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spans="2:30" x14ac:dyDescent="0.35">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spans="2:30" x14ac:dyDescent="0.35">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spans="2:30" x14ac:dyDescent="0.35">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spans="2:30" x14ac:dyDescent="0.35">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spans="2:30" x14ac:dyDescent="0.35">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spans="2:30" x14ac:dyDescent="0.35">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spans="2:30" x14ac:dyDescent="0.35">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spans="2:30" x14ac:dyDescent="0.3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spans="2:30" x14ac:dyDescent="0.35">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spans="2:30" x14ac:dyDescent="0.35">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spans="2:30" x14ac:dyDescent="0.35">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spans="2:30" x14ac:dyDescent="0.35">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spans="2:30" x14ac:dyDescent="0.35">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spans="2:30" x14ac:dyDescent="0.35">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spans="2:30" x14ac:dyDescent="0.35">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spans="2:30" x14ac:dyDescent="0.35">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spans="2:30" x14ac:dyDescent="0.35">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spans="2:30" x14ac:dyDescent="0.3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spans="2:30" x14ac:dyDescent="0.35">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spans="2:30" x14ac:dyDescent="0.35">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spans="2:30" x14ac:dyDescent="0.35">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spans="2:30" x14ac:dyDescent="0.35">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spans="2:30" x14ac:dyDescent="0.35">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spans="2:30" x14ac:dyDescent="0.35">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spans="2:30" x14ac:dyDescent="0.35">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spans="2:30" x14ac:dyDescent="0.35">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spans="2:30" x14ac:dyDescent="0.35">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spans="2:30" x14ac:dyDescent="0.3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spans="2:30" x14ac:dyDescent="0.35">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spans="2:30" x14ac:dyDescent="0.35">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spans="2:30" x14ac:dyDescent="0.35">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spans="2:30" x14ac:dyDescent="0.35">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spans="2:30" x14ac:dyDescent="0.35">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spans="2:30" x14ac:dyDescent="0.35">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spans="2:30" x14ac:dyDescent="0.35">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spans="2:30" x14ac:dyDescent="0.35">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spans="2:30" x14ac:dyDescent="0.35">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spans="2:30" x14ac:dyDescent="0.3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spans="2:30" x14ac:dyDescent="0.35">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spans="2:30" x14ac:dyDescent="0.35">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spans="2:30" x14ac:dyDescent="0.35">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spans="2:30" x14ac:dyDescent="0.35">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spans="2:30" x14ac:dyDescent="0.35">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spans="2:30" x14ac:dyDescent="0.35">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spans="2:30" x14ac:dyDescent="0.35">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spans="2:30" x14ac:dyDescent="0.35">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spans="2:30" x14ac:dyDescent="0.35">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spans="2:30" x14ac:dyDescent="0.3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spans="2:30" x14ac:dyDescent="0.35">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spans="2:30" x14ac:dyDescent="0.35">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spans="2:30" x14ac:dyDescent="0.35">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spans="2:30" x14ac:dyDescent="0.35">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spans="2:30" x14ac:dyDescent="0.35">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spans="2:30" x14ac:dyDescent="0.35">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spans="2:30" x14ac:dyDescent="0.35">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spans="2:30" x14ac:dyDescent="0.35">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spans="2:30" x14ac:dyDescent="0.35">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spans="2:30" x14ac:dyDescent="0.3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spans="2:30" x14ac:dyDescent="0.35">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spans="2:30" x14ac:dyDescent="0.35">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spans="2:30" x14ac:dyDescent="0.35">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spans="2:30" x14ac:dyDescent="0.35">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spans="2:30" x14ac:dyDescent="0.35">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spans="2:30" x14ac:dyDescent="0.35">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spans="2:30" x14ac:dyDescent="0.35">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spans="2:30" x14ac:dyDescent="0.35">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spans="2:30" x14ac:dyDescent="0.35">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spans="2:30" x14ac:dyDescent="0.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spans="2:30" x14ac:dyDescent="0.35">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spans="2:30" x14ac:dyDescent="0.35">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spans="2:30" x14ac:dyDescent="0.35">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spans="2:30" x14ac:dyDescent="0.35">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spans="2:30" x14ac:dyDescent="0.35">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spans="2:30" x14ac:dyDescent="0.35">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spans="2:30" x14ac:dyDescent="0.35">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spans="2:30" x14ac:dyDescent="0.35">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spans="2:30" x14ac:dyDescent="0.35">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spans="2:30" x14ac:dyDescent="0.3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spans="2:30" x14ac:dyDescent="0.35">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spans="2:30" x14ac:dyDescent="0.35">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spans="2:30" x14ac:dyDescent="0.35">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spans="2:30" x14ac:dyDescent="0.35">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spans="2:30" x14ac:dyDescent="0.35">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spans="2:30" x14ac:dyDescent="0.35">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spans="2:30" x14ac:dyDescent="0.35">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spans="2:30" x14ac:dyDescent="0.35">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spans="2:30" x14ac:dyDescent="0.35">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spans="2:30" x14ac:dyDescent="0.3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spans="2:30" x14ac:dyDescent="0.35">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spans="2:30" x14ac:dyDescent="0.35">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spans="2:30" x14ac:dyDescent="0.35">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spans="2:30" x14ac:dyDescent="0.35">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spans="2:30" x14ac:dyDescent="0.35">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spans="2:30" x14ac:dyDescent="0.35">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spans="2:30" x14ac:dyDescent="0.35">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spans="2:30" x14ac:dyDescent="0.35">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spans="2:30" x14ac:dyDescent="0.35">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spans="2:30" x14ac:dyDescent="0.3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spans="2:30" x14ac:dyDescent="0.35">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spans="2:30" x14ac:dyDescent="0.35">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spans="2:30" x14ac:dyDescent="0.35">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spans="2:30" x14ac:dyDescent="0.35">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spans="2:30" x14ac:dyDescent="0.35">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spans="2:30" x14ac:dyDescent="0.35">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spans="2:30" x14ac:dyDescent="0.35">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spans="2:30" x14ac:dyDescent="0.35">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spans="2:30" x14ac:dyDescent="0.35">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spans="2:30" x14ac:dyDescent="0.3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spans="2:30" x14ac:dyDescent="0.35">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spans="2:30" x14ac:dyDescent="0.35">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spans="2:30" x14ac:dyDescent="0.35">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spans="2:30" x14ac:dyDescent="0.35">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spans="2:30" x14ac:dyDescent="0.35">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spans="2:30" x14ac:dyDescent="0.35">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spans="2:30" x14ac:dyDescent="0.35">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spans="2:30" x14ac:dyDescent="0.35">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spans="2:30" x14ac:dyDescent="0.35">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spans="2:30" x14ac:dyDescent="0.3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spans="2:30" x14ac:dyDescent="0.35">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spans="2:30" x14ac:dyDescent="0.35">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spans="2:30" x14ac:dyDescent="0.35">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spans="2:30" x14ac:dyDescent="0.35">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spans="2:30" x14ac:dyDescent="0.35">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spans="2:30" x14ac:dyDescent="0.35">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spans="2:30" x14ac:dyDescent="0.35">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spans="2:30" x14ac:dyDescent="0.35">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spans="2:30" x14ac:dyDescent="0.35">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spans="2:30" x14ac:dyDescent="0.3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spans="2:30" x14ac:dyDescent="0.35">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spans="2:30" x14ac:dyDescent="0.35">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spans="2:30" x14ac:dyDescent="0.35">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spans="2:30" x14ac:dyDescent="0.35">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spans="2:30" x14ac:dyDescent="0.35">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spans="2:30" x14ac:dyDescent="0.35">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spans="2:30" x14ac:dyDescent="0.35">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spans="2:30" x14ac:dyDescent="0.35">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spans="2:30" x14ac:dyDescent="0.35">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spans="2:30" x14ac:dyDescent="0.3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spans="2:30" x14ac:dyDescent="0.35">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spans="2:30" x14ac:dyDescent="0.35">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spans="2:30" x14ac:dyDescent="0.35">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spans="2:30" x14ac:dyDescent="0.35">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spans="2:30" x14ac:dyDescent="0.35">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spans="2:30" x14ac:dyDescent="0.35">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spans="2:30" x14ac:dyDescent="0.35">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spans="2:30" x14ac:dyDescent="0.35">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spans="2:30" x14ac:dyDescent="0.35">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spans="2:30" x14ac:dyDescent="0.3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spans="2:30" x14ac:dyDescent="0.35">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spans="2:30" x14ac:dyDescent="0.35">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spans="2:30" x14ac:dyDescent="0.35">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spans="2:30" x14ac:dyDescent="0.35">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spans="2:30" x14ac:dyDescent="0.35">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spans="2:30" x14ac:dyDescent="0.35">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spans="2:30" x14ac:dyDescent="0.35">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spans="2:30" x14ac:dyDescent="0.35">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spans="2:30" x14ac:dyDescent="0.35">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spans="2:30" x14ac:dyDescent="0.3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spans="2:30" x14ac:dyDescent="0.35">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spans="2:30" x14ac:dyDescent="0.35">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spans="2:30" x14ac:dyDescent="0.35">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spans="2:30" x14ac:dyDescent="0.35">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spans="2:30" x14ac:dyDescent="0.35">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spans="2:30" x14ac:dyDescent="0.35">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spans="2:30" x14ac:dyDescent="0.35">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spans="2:30" x14ac:dyDescent="0.35">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spans="2:30" x14ac:dyDescent="0.35">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spans="2:30" x14ac:dyDescent="0.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spans="2:30" x14ac:dyDescent="0.35">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spans="2:30" x14ac:dyDescent="0.35">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spans="2:30" x14ac:dyDescent="0.35">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spans="2:30" x14ac:dyDescent="0.35">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spans="2:30" x14ac:dyDescent="0.35">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spans="2:30" x14ac:dyDescent="0.35">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spans="2:30" x14ac:dyDescent="0.35">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spans="2:30" x14ac:dyDescent="0.35">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spans="2:30" x14ac:dyDescent="0.35">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spans="2:30" x14ac:dyDescent="0.3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spans="2:30" x14ac:dyDescent="0.35">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spans="2:30" x14ac:dyDescent="0.35">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spans="2:30" x14ac:dyDescent="0.35">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spans="2:30" x14ac:dyDescent="0.35">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spans="2:30" x14ac:dyDescent="0.35">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spans="2:30" x14ac:dyDescent="0.35">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spans="2:30" x14ac:dyDescent="0.35">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spans="2:30" x14ac:dyDescent="0.35">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spans="2:30" x14ac:dyDescent="0.35">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spans="2:30" x14ac:dyDescent="0.3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spans="2:30" x14ac:dyDescent="0.35">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spans="2:30" x14ac:dyDescent="0.35">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spans="2:30" x14ac:dyDescent="0.35">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spans="2:30" x14ac:dyDescent="0.35">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spans="2:30" x14ac:dyDescent="0.35">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spans="2:30" x14ac:dyDescent="0.35">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spans="2:30" x14ac:dyDescent="0.35">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spans="2:30" x14ac:dyDescent="0.35">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spans="2:30" x14ac:dyDescent="0.35">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spans="2:30" x14ac:dyDescent="0.3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spans="2:30" x14ac:dyDescent="0.35">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spans="2:30" x14ac:dyDescent="0.35">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spans="2:30" x14ac:dyDescent="0.35">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spans="2:30" x14ac:dyDescent="0.35">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spans="2:30" x14ac:dyDescent="0.35">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xr:uid="{00000000-0009-0000-0000-000001000000}"/>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1" showErrorMessage="1" sqref="X61:X62 U7:Z51" xr:uid="{00000000-0002-0000-0100-000000000000}">
      <formula1>46023</formula1>
      <formula2>46387</formula2>
    </dataValidation>
  </dataValidations>
  <hyperlinks>
    <hyperlink ref="M7" r:id="rId1" xr:uid="{00000000-0004-0000-0100-000000000000}"/>
    <hyperlink ref="M22" r:id="rId2" xr:uid="{00000000-0004-0000-0100-000001000000}"/>
    <hyperlink ref="M23" r:id="rId3" xr:uid="{00000000-0004-0000-0100-000002000000}"/>
    <hyperlink ref="M24" r:id="rId4" display="https://www.linkedin.com/in/rosario-cosar-5b3538119/" xr:uid="{00000000-0004-0000-0100-000003000000}"/>
    <hyperlink ref="M40" r:id="rId5" xr:uid="{00000000-0004-0000-0100-000004000000}"/>
    <hyperlink ref="N33" r:id="rId6" xr:uid="{00000000-0004-0000-0100-000005000000}"/>
    <hyperlink ref="M31" r:id="rId7" display="vpomalaya@mpfn.gob.pe; victoriapomalaya@gmail.com" xr:uid="{00000000-0004-0000-0100-000006000000}"/>
    <hyperlink ref="M18" r:id="rId8" xr:uid="{00000000-0004-0000-0100-000007000000}"/>
    <hyperlink ref="M20" r:id="rId9" xr:uid="{00000000-0004-0000-0100-000008000000}"/>
    <hyperlink ref="M25" r:id="rId10" xr:uid="{00000000-0004-0000-0100-000009000000}"/>
    <hyperlink ref="M26" r:id="rId11" xr:uid="{00000000-0004-0000-0100-00000A000000}"/>
    <hyperlink ref="M27" r:id="rId12" xr:uid="{00000000-0004-0000-0100-00000B000000}"/>
    <hyperlink ref="M28" r:id="rId13" xr:uid="{00000000-0004-0000-0100-00000C000000}"/>
    <hyperlink ref="M29" r:id="rId14" xr:uid="{00000000-0004-0000-0100-00000D000000}"/>
    <hyperlink ref="M30" r:id="rId15" xr:uid="{00000000-0004-0000-0100-00000E000000}"/>
    <hyperlink ref="M39" r:id="rId16" xr:uid="{00000000-0004-0000-0100-00000F000000}"/>
    <hyperlink ref="M47" r:id="rId17" xr:uid="{00000000-0004-0000-0100-000010000000}"/>
    <hyperlink ref="N50" r:id="rId18" xr:uid="{00000000-0004-0000-0100-000011000000}"/>
    <hyperlink ref="N17" r:id="rId19" xr:uid="{00000000-0004-0000-0100-000012000000}"/>
    <hyperlink ref="N57" r:id="rId20" xr:uid="{00000000-0004-0000-0100-000013000000}"/>
    <hyperlink ref="M53" r:id="rId21" xr:uid="{00000000-0004-0000-0100-000014000000}"/>
    <hyperlink ref="M54" r:id="rId22" xr:uid="{00000000-0004-0000-0100-000015000000}"/>
    <hyperlink ref="M55" r:id="rId23" xr:uid="{00000000-0004-0000-0100-000016000000}"/>
    <hyperlink ref="M58" r:id="rId24" xr:uid="{00000000-0004-0000-0100-000017000000}"/>
    <hyperlink ref="M59" r:id="rId25" xr:uid="{00000000-0004-0000-0100-000018000000}"/>
    <hyperlink ref="M21" r:id="rId26" xr:uid="{00000000-0004-0000-0100-000019000000}"/>
    <hyperlink ref="M56" r:id="rId27" xr:uid="{00000000-0004-0000-0100-00001A000000}"/>
    <hyperlink ref="M71" r:id="rId28" xr:uid="{00000000-0004-0000-0100-00001B000000}"/>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2"/>
  <sheetViews>
    <sheetView topLeftCell="M1" zoomScale="101" workbookViewId="0">
      <selection activeCell="K3" sqref="K3"/>
    </sheetView>
  </sheetViews>
  <sheetFormatPr baseColWidth="10" defaultRowHeight="14.5" x14ac:dyDescent="0.35"/>
  <cols>
    <col min="1" max="1" width="3.54296875" customWidth="1"/>
    <col min="2" max="2" width="7.26953125" customWidth="1"/>
    <col min="3" max="3" width="26.54296875" bestFit="1" customWidth="1"/>
    <col min="4" max="4" width="24.26953125" bestFit="1" customWidth="1"/>
    <col min="5" max="5" width="17.81640625" bestFit="1" customWidth="1"/>
    <col min="7" max="7" width="13.81640625" bestFit="1" customWidth="1"/>
    <col min="8" max="8" width="10.7265625" bestFit="1" customWidth="1"/>
    <col min="9" max="9" width="24.54296875" bestFit="1" customWidth="1"/>
    <col min="10" max="10" width="26.81640625" bestFit="1" customWidth="1"/>
    <col min="11" max="11" width="24" bestFit="1" customWidth="1"/>
    <col min="12" max="12" width="16.453125" bestFit="1" customWidth="1"/>
    <col min="13" max="13" width="26.54296875" bestFit="1" customWidth="1"/>
    <col min="14" max="14" width="24" bestFit="1" customWidth="1"/>
    <col min="15" max="15" width="10.1796875" bestFit="1" customWidth="1"/>
    <col min="16" max="16" width="19" bestFit="1" customWidth="1"/>
  </cols>
  <sheetData>
    <row r="1" spans="2:21" x14ac:dyDescent="0.35">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spans="2:21" x14ac:dyDescent="0.35">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spans="2:21" x14ac:dyDescent="0.35">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spans="2:21" x14ac:dyDescent="0.35">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spans="2:21" x14ac:dyDescent="0.3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spans="2:21" x14ac:dyDescent="0.35">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spans="2:21" x14ac:dyDescent="0.35">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spans="2:21" x14ac:dyDescent="0.35">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spans="2:21" x14ac:dyDescent="0.35">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spans="2:21" x14ac:dyDescent="0.35">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spans="2:21" x14ac:dyDescent="0.35">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spans="2:21" x14ac:dyDescent="0.35">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1" outlineLevelCol="1" x14ac:dyDescent="0.25"/>
  <cols>
    <col min="1" max="1" width="11" style="1" bestFit="1" customWidth="1"/>
    <col min="2" max="2" width="37" style="1" customWidth="1"/>
    <col min="3" max="3" width="32.54296875" style="1" customWidth="1"/>
    <col min="4" max="8" width="13.1796875" style="1" bestFit="1" customWidth="1"/>
    <col min="9" max="9" width="13" style="1" bestFit="1" customWidth="1"/>
    <col min="10" max="10" width="13" style="1" customWidth="1"/>
    <col min="11" max="11" width="10.453125" style="1" bestFit="1" customWidth="1"/>
    <col min="12" max="12" width="21.54296875" style="1" bestFit="1" customWidth="1"/>
    <col min="13" max="14" width="23.1796875" style="1" bestFit="1" customWidth="1"/>
    <col min="15" max="15" width="16.81640625" style="1" bestFit="1" customWidth="1"/>
    <col min="16" max="16" width="23.81640625" style="1" bestFit="1" customWidth="1"/>
    <col min="17" max="17" width="21.54296875" style="1" bestFit="1" customWidth="1"/>
    <col min="18" max="18" width="15.54296875" style="1" customWidth="1"/>
    <col min="19" max="20" width="17" style="1" bestFit="1" customWidth="1"/>
    <col min="21" max="22" width="23.81640625" style="1" customWidth="1"/>
    <col min="23" max="24" width="23.81640625" style="1" customWidth="1" outlineLevel="1"/>
    <col min="25" max="25" width="30.81640625" style="1" customWidth="1"/>
    <col min="26" max="26" width="24.1796875" style="1" customWidth="1"/>
    <col min="27" max="16384" width="10.81640625" style="1"/>
  </cols>
  <sheetData>
    <row r="1" spans="1:26" ht="12.75" customHeight="1"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spans="1:26" ht="12.75" customHeight="1"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spans="1:26" ht="12.75" customHeight="1"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spans="1:26" ht="12.75" customHeight="1"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spans="1:26" ht="12.75" customHeight="1"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spans="1:26" ht="12.75" customHeight="1"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spans="1:26" ht="12.75" customHeight="1"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spans="1:26" ht="12.75" customHeight="1"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spans="1:26" ht="12.75" customHeight="1"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spans="1:26" ht="12.75" customHeight="1"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spans="1:26" ht="12.75" customHeight="1"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spans="1:26" ht="12.75" customHeight="1"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spans="1:26" ht="12.75" customHeight="1"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spans="1:26" ht="12.75" customHeight="1"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spans="1:26" ht="12.75" customHeight="1"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spans="1:26" ht="12.75" customHeight="1"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spans="1:22" ht="12.75" customHeight="1"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spans="1:22" ht="12.75" customHeight="1"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spans="1:22" ht="12.75" customHeight="1"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spans="1:22" ht="12.75" customHeight="1"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spans="1:22" ht="12.75" customHeight="1"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spans="1:22" ht="12.75" customHeight="1"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xr:uid="{00000000-0004-0000-03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1" customWidth="1"/>
    <col min="2" max="2" width="20.453125" style="1" customWidth="1"/>
    <col min="3" max="3" width="22.26953125" style="1" customWidth="1"/>
    <col min="4" max="5" width="32.81640625" style="1" customWidth="1"/>
    <col min="6" max="7" width="21" style="1" customWidth="1"/>
    <col min="8" max="8" width="22.81640625" style="1" customWidth="1"/>
    <col min="9" max="9" width="13.54296875" style="1" bestFit="1" customWidth="1"/>
    <col min="10" max="11" width="13.54296875" style="1" customWidth="1"/>
    <col min="12" max="12" width="10" style="1" bestFit="1" customWidth="1"/>
    <col min="13" max="13" width="23" style="1" bestFit="1" customWidth="1"/>
    <col min="14" max="14" width="24.81640625" style="1" bestFit="1" customWidth="1"/>
    <col min="15" max="15" width="22.54296875" style="1" bestFit="1" customWidth="1"/>
    <col min="16" max="16" width="18.1796875" style="1" bestFit="1" customWidth="1"/>
    <col min="17" max="18" width="25.54296875" style="1" bestFit="1" customWidth="1"/>
    <col min="19" max="19" width="17.81640625" style="1" bestFit="1" customWidth="1"/>
    <col min="20" max="20" width="20" style="1" customWidth="1"/>
    <col min="21" max="16384" width="10.81640625" style="1"/>
  </cols>
  <sheetData>
    <row r="1" spans="1:20"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spans="1:20" x14ac:dyDescent="0.25">
      <c r="A2" s="1">
        <v>1</v>
      </c>
      <c r="B2" s="1" t="s">
        <v>129</v>
      </c>
      <c r="C2" s="1" t="s">
        <v>68</v>
      </c>
      <c r="D2" s="1" t="s">
        <v>69</v>
      </c>
      <c r="E2" s="1" t="s">
        <v>70</v>
      </c>
      <c r="H2" s="1" t="s">
        <v>71</v>
      </c>
      <c r="I2" s="1" t="s">
        <v>49</v>
      </c>
      <c r="J2" s="1" t="s">
        <v>150</v>
      </c>
      <c r="L2" s="1" t="s">
        <v>24</v>
      </c>
      <c r="M2" s="2">
        <v>45943</v>
      </c>
      <c r="P2" s="1" t="s">
        <v>132</v>
      </c>
      <c r="Q2" s="2">
        <v>45959</v>
      </c>
    </row>
    <row r="3" spans="1:20"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spans="1:20"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spans="1:20"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spans="1:20"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spans="1:20"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spans="1:20"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spans="1:20"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spans="1:2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spans="1:20"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spans="1:20"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spans="1:20"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spans="1:20"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spans="1:20" x14ac:dyDescent="0.25">
      <c r="A15" s="1">
        <f t="shared" si="0"/>
        <v>14</v>
      </c>
      <c r="B15" s="1" t="s">
        <v>174</v>
      </c>
      <c r="C15" s="1" t="s">
        <v>175</v>
      </c>
      <c r="D15" s="1" t="s">
        <v>176</v>
      </c>
      <c r="E15" s="1" t="s">
        <v>177</v>
      </c>
      <c r="H15" s="1" t="s">
        <v>82</v>
      </c>
      <c r="I15" s="1" t="s">
        <v>49</v>
      </c>
      <c r="J15" s="1" t="s">
        <v>150</v>
      </c>
      <c r="K15" s="1" t="s">
        <v>3</v>
      </c>
      <c r="L15" s="1" t="s">
        <v>24</v>
      </c>
      <c r="P15" s="1" t="s">
        <v>38</v>
      </c>
    </row>
    <row r="16" spans="1:20" x14ac:dyDescent="0.25">
      <c r="A16" s="1">
        <f t="shared" si="0"/>
        <v>15</v>
      </c>
      <c r="B16" s="1" t="s">
        <v>174</v>
      </c>
      <c r="C16" s="1" t="s">
        <v>178</v>
      </c>
      <c r="D16" s="1" t="s">
        <v>179</v>
      </c>
      <c r="E16" s="1" t="s">
        <v>180</v>
      </c>
      <c r="H16" s="1" t="s">
        <v>82</v>
      </c>
      <c r="I16" s="1" t="s">
        <v>49</v>
      </c>
      <c r="J16" s="1" t="s">
        <v>150</v>
      </c>
      <c r="K16" s="1" t="s">
        <v>3</v>
      </c>
      <c r="L16" s="1" t="s">
        <v>24</v>
      </c>
      <c r="P16" s="1" t="s">
        <v>38</v>
      </c>
    </row>
    <row r="17" spans="1:20"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spans="1:20" x14ac:dyDescent="0.25">
      <c r="A18" s="1">
        <f t="shared" si="0"/>
        <v>17</v>
      </c>
      <c r="B18" s="1" t="s">
        <v>174</v>
      </c>
      <c r="C18" s="1" t="s">
        <v>185</v>
      </c>
      <c r="D18" s="1" t="s">
        <v>186</v>
      </c>
      <c r="E18" s="1" t="s">
        <v>187</v>
      </c>
      <c r="H18" s="1" t="s">
        <v>98</v>
      </c>
      <c r="I18" s="1" t="s">
        <v>49</v>
      </c>
      <c r="J18" s="1" t="s">
        <v>150</v>
      </c>
      <c r="K18" s="1" t="s">
        <v>188</v>
      </c>
      <c r="L18" s="1" t="s">
        <v>106</v>
      </c>
      <c r="P18" s="1" t="s">
        <v>38</v>
      </c>
    </row>
    <row r="19" spans="1:20" x14ac:dyDescent="0.25">
      <c r="A19" s="1">
        <f t="shared" si="0"/>
        <v>18</v>
      </c>
      <c r="B19" s="1" t="s">
        <v>174</v>
      </c>
      <c r="C19" s="1" t="s">
        <v>189</v>
      </c>
      <c r="D19" s="1" t="s">
        <v>51</v>
      </c>
      <c r="E19" s="1" t="s">
        <v>52</v>
      </c>
      <c r="H19" s="1" t="s">
        <v>98</v>
      </c>
      <c r="I19" s="1" t="s">
        <v>61</v>
      </c>
      <c r="J19" s="1" t="s">
        <v>150</v>
      </c>
      <c r="K19" s="1" t="s">
        <v>3</v>
      </c>
      <c r="L19" s="1" t="s">
        <v>24</v>
      </c>
      <c r="P19" s="1" t="s">
        <v>38</v>
      </c>
    </row>
    <row r="20" spans="1:20" x14ac:dyDescent="0.25">
      <c r="A20" s="1">
        <f t="shared" si="0"/>
        <v>19</v>
      </c>
      <c r="B20" s="1" t="s">
        <v>174</v>
      </c>
      <c r="C20" s="1" t="s">
        <v>190</v>
      </c>
      <c r="D20" s="1" t="s">
        <v>191</v>
      </c>
      <c r="E20" s="1" t="s">
        <v>192</v>
      </c>
      <c r="H20" s="1" t="s">
        <v>71</v>
      </c>
      <c r="I20" s="1" t="s">
        <v>49</v>
      </c>
      <c r="J20" s="1" t="s">
        <v>150</v>
      </c>
      <c r="K20" s="1" t="s">
        <v>193</v>
      </c>
      <c r="L20" s="1" t="s">
        <v>24</v>
      </c>
      <c r="P20" s="1" t="s">
        <v>38</v>
      </c>
    </row>
    <row r="21" spans="1:20" x14ac:dyDescent="0.25">
      <c r="A21" s="1">
        <f t="shared" si="0"/>
        <v>20</v>
      </c>
      <c r="B21" s="1" t="s">
        <v>174</v>
      </c>
      <c r="C21" s="1" t="s">
        <v>194</v>
      </c>
      <c r="D21" s="1" t="s">
        <v>35</v>
      </c>
      <c r="E21" s="1" t="s">
        <v>195</v>
      </c>
      <c r="H21" s="1" t="s">
        <v>71</v>
      </c>
      <c r="I21" s="1" t="s">
        <v>196</v>
      </c>
      <c r="J21" s="1" t="s">
        <v>150</v>
      </c>
      <c r="K21" s="1" t="s">
        <v>3</v>
      </c>
      <c r="L21" s="1" t="s">
        <v>24</v>
      </c>
      <c r="P21" s="1" t="s">
        <v>38</v>
      </c>
    </row>
    <row r="22" spans="1:20" x14ac:dyDescent="0.25">
      <c r="A22" s="1">
        <f t="shared" si="0"/>
        <v>21</v>
      </c>
      <c r="B22" s="1" t="s">
        <v>174</v>
      </c>
      <c r="C22" s="1" t="s">
        <v>197</v>
      </c>
      <c r="D22" s="1" t="s">
        <v>58</v>
      </c>
      <c r="E22" s="1" t="s">
        <v>198</v>
      </c>
      <c r="H22" s="1" t="s">
        <v>71</v>
      </c>
      <c r="I22" s="1" t="s">
        <v>61</v>
      </c>
      <c r="J22" s="1" t="s">
        <v>150</v>
      </c>
      <c r="K22" s="1" t="s">
        <v>199</v>
      </c>
      <c r="L22" s="1" t="s">
        <v>24</v>
      </c>
      <c r="P22" s="1" t="s">
        <v>38</v>
      </c>
    </row>
    <row r="23" spans="1:20"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spans="1:20" x14ac:dyDescent="0.25">
      <c r="A24" s="1">
        <f t="shared" si="0"/>
        <v>23</v>
      </c>
      <c r="B24" s="1" t="s">
        <v>174</v>
      </c>
      <c r="C24" s="1" t="s">
        <v>204</v>
      </c>
      <c r="D24" s="1" t="s">
        <v>205</v>
      </c>
      <c r="E24" s="1" t="s">
        <v>206</v>
      </c>
      <c r="H24" s="1" t="s">
        <v>71</v>
      </c>
      <c r="I24" s="1" t="s">
        <v>49</v>
      </c>
      <c r="J24" s="1" t="s">
        <v>150</v>
      </c>
      <c r="K24" s="1" t="s">
        <v>3</v>
      </c>
      <c r="L24" s="1" t="s">
        <v>24</v>
      </c>
      <c r="P24" s="1" t="s">
        <v>38</v>
      </c>
    </row>
    <row r="25" spans="1:20"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spans="1:20"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spans="1:20" x14ac:dyDescent="0.25">
      <c r="A27" s="1">
        <f t="shared" si="0"/>
        <v>26</v>
      </c>
      <c r="B27" s="1" t="s">
        <v>174</v>
      </c>
      <c r="C27" s="1" t="s">
        <v>212</v>
      </c>
      <c r="D27" s="1" t="s">
        <v>213</v>
      </c>
      <c r="E27" s="1" t="s">
        <v>214</v>
      </c>
      <c r="H27" s="1" t="s">
        <v>110</v>
      </c>
      <c r="I27" s="1" t="s">
        <v>211</v>
      </c>
      <c r="J27" s="1" t="s">
        <v>150</v>
      </c>
      <c r="K27" s="1" t="s">
        <v>3</v>
      </c>
      <c r="L27" s="1" t="s">
        <v>24</v>
      </c>
      <c r="P27" s="1" t="s">
        <v>38</v>
      </c>
    </row>
    <row r="28" spans="1:20"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spans="1:20" x14ac:dyDescent="0.25">
      <c r="A29" s="1">
        <f t="shared" si="0"/>
        <v>28</v>
      </c>
      <c r="B29" s="1" t="s">
        <v>174</v>
      </c>
      <c r="C29" s="1" t="s">
        <v>218</v>
      </c>
      <c r="D29" s="1" t="s">
        <v>20</v>
      </c>
      <c r="E29" s="1" t="s">
        <v>219</v>
      </c>
      <c r="H29" s="1" t="s">
        <v>71</v>
      </c>
      <c r="I29" s="1" t="s">
        <v>61</v>
      </c>
      <c r="J29" s="1" t="s">
        <v>150</v>
      </c>
      <c r="K29" s="1" t="s">
        <v>3</v>
      </c>
      <c r="L29" s="1" t="s">
        <v>24</v>
      </c>
      <c r="P29" s="1" t="s">
        <v>38</v>
      </c>
    </row>
    <row r="30" spans="1:2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spans="1:20"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xr:uid="{00000000-0004-0000-04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1"/>
    <col min="2" max="2" width="10.81640625" style="1"/>
    <col min="3" max="3" width="18.1796875" style="1" customWidth="1"/>
    <col min="4" max="4" width="15.54296875" style="1" customWidth="1"/>
    <col min="5" max="5" width="24.81640625" style="1" customWidth="1"/>
    <col min="6" max="6" width="21.54296875" style="1" customWidth="1"/>
    <col min="7" max="7" width="20.1796875" style="1" customWidth="1"/>
    <col min="8" max="8" width="17" style="1" customWidth="1"/>
    <col min="9" max="9" width="18.453125" style="1" customWidth="1"/>
    <col min="10" max="16384" width="10.81640625" style="1"/>
  </cols>
  <sheetData>
    <row r="1" spans="1:9" ht="13" x14ac:dyDescent="0.3">
      <c r="A1" s="4" t="s">
        <v>100</v>
      </c>
      <c r="B1" s="4" t="s">
        <v>9</v>
      </c>
      <c r="C1" s="4" t="s">
        <v>101</v>
      </c>
      <c r="D1" s="4" t="s">
        <v>102</v>
      </c>
      <c r="E1" s="4" t="s">
        <v>103</v>
      </c>
      <c r="F1" s="4" t="s">
        <v>104</v>
      </c>
      <c r="G1" s="4" t="s">
        <v>18</v>
      </c>
      <c r="H1" s="4" t="s">
        <v>16</v>
      </c>
      <c r="I1" s="4" t="s">
        <v>124</v>
      </c>
    </row>
    <row r="2" spans="1:9" x14ac:dyDescent="0.25">
      <c r="A2" s="1" t="s">
        <v>131</v>
      </c>
      <c r="B2" s="1" t="s">
        <v>24</v>
      </c>
      <c r="C2" s="1" t="s">
        <v>61</v>
      </c>
      <c r="D2" s="1" t="s">
        <v>105</v>
      </c>
      <c r="E2" s="1" t="s">
        <v>22</v>
      </c>
      <c r="F2" s="1" t="s">
        <v>71</v>
      </c>
      <c r="G2" s="1" t="s">
        <v>25</v>
      </c>
      <c r="H2" s="1" t="s">
        <v>121</v>
      </c>
      <c r="I2" s="1" t="s">
        <v>125</v>
      </c>
    </row>
    <row r="3" spans="1:9" x14ac:dyDescent="0.25">
      <c r="A3" s="1" t="s">
        <v>132</v>
      </c>
      <c r="B3" s="1" t="s">
        <v>106</v>
      </c>
      <c r="C3" s="1" t="s">
        <v>107</v>
      </c>
      <c r="D3" s="1" t="s">
        <v>108</v>
      </c>
      <c r="E3" s="1" t="s">
        <v>37</v>
      </c>
      <c r="F3" s="1" t="s">
        <v>82</v>
      </c>
      <c r="G3" s="1" t="s">
        <v>30</v>
      </c>
      <c r="H3" s="1" t="s">
        <v>122</v>
      </c>
      <c r="I3" s="1" t="s">
        <v>126</v>
      </c>
    </row>
    <row r="4" spans="1:9" x14ac:dyDescent="0.25">
      <c r="A4" s="1" t="s">
        <v>38</v>
      </c>
      <c r="C4" s="1" t="s">
        <v>109</v>
      </c>
      <c r="D4" s="1" t="s">
        <v>130</v>
      </c>
      <c r="E4" s="1" t="s">
        <v>60</v>
      </c>
      <c r="F4" s="1" t="s">
        <v>98</v>
      </c>
      <c r="G4" s="1" t="s">
        <v>33</v>
      </c>
      <c r="H4" s="1" t="s">
        <v>123</v>
      </c>
    </row>
    <row r="5" spans="1:9" x14ac:dyDescent="0.25">
      <c r="A5" s="1" t="s">
        <v>29</v>
      </c>
      <c r="C5" s="1" t="s">
        <v>44</v>
      </c>
      <c r="E5" s="1" t="s">
        <v>82</v>
      </c>
      <c r="F5" s="1" t="s">
        <v>110</v>
      </c>
      <c r="G5" s="1" t="s">
        <v>118</v>
      </c>
    </row>
    <row r="6" spans="1:9" x14ac:dyDescent="0.25">
      <c r="C6" s="1" t="s">
        <v>56</v>
      </c>
      <c r="E6" s="1" t="s">
        <v>111</v>
      </c>
      <c r="F6" s="1" t="s">
        <v>28</v>
      </c>
    </row>
    <row r="7" spans="1:9" ht="14.5" x14ac:dyDescent="0.35">
      <c r="C7" s="1" t="s">
        <v>65</v>
      </c>
      <c r="E7"/>
      <c r="F7"/>
    </row>
    <row r="8" spans="1:9" ht="14.5" x14ac:dyDescent="0.35">
      <c r="C8" s="1" t="s">
        <v>23</v>
      </c>
      <c r="E8"/>
      <c r="F8"/>
    </row>
    <row r="9" spans="1:9" ht="14.5" x14ac:dyDescent="0.35">
      <c r="C9" s="1" t="s">
        <v>41</v>
      </c>
      <c r="E9"/>
      <c r="F9"/>
    </row>
    <row r="10" spans="1:9" ht="14.5" x14ac:dyDescent="0.35">
      <c r="C10" s="1" t="s">
        <v>49</v>
      </c>
      <c r="E10"/>
      <c r="F10"/>
    </row>
    <row r="11" spans="1:9" ht="14.5" x14ac:dyDescent="0.35">
      <c r="E11"/>
      <c r="F11"/>
    </row>
    <row r="12" spans="1:9" ht="14.5" x14ac:dyDescent="0.35">
      <c r="E12"/>
      <c r="F12"/>
    </row>
    <row r="13" spans="1:9" ht="14.5" x14ac:dyDescent="0.35">
      <c r="E13"/>
      <c r="F13"/>
    </row>
    <row r="14" spans="1:9"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8601"/>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1"/>
    <col min="6" max="6" width="20.1796875" customWidth="1"/>
    <col min="12" max="12" width="21.26953125" customWidth="1"/>
  </cols>
  <sheetData>
    <row r="1" spans="1:25"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spans="1:25"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spans="1:25"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spans="1:25"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spans="1:2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spans="1:25"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spans="1:25"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spans="1:25"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spans="1:25"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spans="1:25"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spans="1:25"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spans="1:25"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spans="1:25"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spans="1:25"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spans="1:2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spans="1:25"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spans="1:25"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spans="1:25"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spans="1:25"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spans="1:25"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spans="1:25"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spans="1:25"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1"/>
    <col min="15" max="18" width="14.54296875" customWidth="1"/>
  </cols>
  <sheetData>
    <row r="1" spans="1:18"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spans="1:18" x14ac:dyDescent="0.35">
      <c r="A2" s="1">
        <f>IF('Reunión de validación'!A2="","",'Reunión de validación'!A2)</f>
        <v>1</v>
      </c>
      <c r="B2" s="1" t="str">
        <f>IF('Reunión de validación'!C2="","",'Reunión de validación'!C2)</f>
        <v xml:space="preserve">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spans="1:18" x14ac:dyDescent="0.35">
      <c r="A3" s="1">
        <f>IF('Reunión de validación'!A3="","",'Reunión de validación'!A3)</f>
        <v>2</v>
      </c>
      <c r="B3" s="1" t="str">
        <f>IF('Reunión de validación'!C3="","",'Reunión de validación'!C3)</f>
        <v xml:space="preserve">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spans="1:18"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spans="1:18"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spans="1:18" x14ac:dyDescent="0.35">
      <c r="A6" s="1">
        <f>IF('Reunión de validación'!A6="","",'Reunión de validación'!A6)</f>
        <v>5</v>
      </c>
      <c r="B6" s="1" t="str">
        <f>IF('Reunión de validación'!C6="","",'Reunión de validación'!C6)</f>
        <v xml:space="preserve">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spans="1:18" x14ac:dyDescent="0.35">
      <c r="A7" s="1">
        <f>IF('Reunión de validación'!A7="","",'Reunión de validación'!A7)</f>
        <v>6</v>
      </c>
      <c r="B7" s="1" t="str">
        <f>IF('Reunión de validación'!C7="","",'Reunión de validación'!C7)</f>
        <v xml:space="preserve">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spans="1:1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spans="1:18"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spans="1:18" x14ac:dyDescent="0.35">
      <c r="A10" s="1">
        <f>IF('Reunión de validación'!A10="","",'Reunión de validación'!A10)</f>
        <v>9</v>
      </c>
      <c r="B10" s="1" t="str">
        <f>IF('Reunión de validación'!C10="","",'Reunión de validación'!C10)</f>
        <v xml:space="preserve">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spans="1:18" x14ac:dyDescent="0.35">
      <c r="A11" s="1">
        <f>IF('Reunión de validación'!A11="","",'Reunión de validación'!A11)</f>
        <v>10</v>
      </c>
      <c r="B11" s="1" t="str">
        <f>IF('Reunión de validación'!C11="","",'Reunión de validación'!C11)</f>
        <v xml:space="preserve">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spans="1:18" x14ac:dyDescent="0.35">
      <c r="A12" s="1">
        <f>IF('Reunión de validación'!A12="","",'Reunión de validación'!A12)</f>
        <v>11</v>
      </c>
      <c r="B12" s="1" t="str">
        <f>IF('Reunión de validación'!C12="","",'Reunión de validación'!C12)</f>
        <v xml:space="preserve">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spans="1:18" x14ac:dyDescent="0.35">
      <c r="A13" s="1">
        <f>IF('Reunión de validación'!A13="","",'Reunión de validación'!A13)</f>
        <v>12</v>
      </c>
      <c r="B13" s="1" t="str">
        <f>IF('Reunión de validación'!C13="","",'Reunión de validación'!C13)</f>
        <v xml:space="preserve">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spans="1:18" x14ac:dyDescent="0.35">
      <c r="A14" s="1">
        <f>IF('Reunión de validación'!A14="","",'Reunión de validación'!A14)</f>
        <v>13</v>
      </c>
      <c r="B14" s="1" t="str">
        <f>IF('Reunión de validación'!C14="","",'Reunión de validación'!C14)</f>
        <v xml:space="preserve">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spans="1:18"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spans="1:18"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spans="1:18"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spans="1: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spans="1:18"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spans="1:18"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spans="1:18"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spans="1:18"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spans="1:18"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spans="1:18"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spans="1:18"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spans="1:18"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spans="1:18"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spans="1:1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spans="1:18"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spans="1:18"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spans="1:18"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1"/>
    <col min="2" max="2" width="31.54296875" style="1" customWidth="1"/>
    <col min="3" max="3" width="60.81640625" style="1" customWidth="1"/>
    <col min="4" max="4" width="32" style="1" customWidth="1"/>
    <col min="5" max="5" width="21.7265625" style="1" bestFit="1" customWidth="1"/>
    <col min="6" max="6" width="40" style="1" customWidth="1"/>
    <col min="7" max="7" width="20" style="1" bestFit="1" customWidth="1"/>
    <col min="8" max="8" width="11.453125" style="1"/>
    <col min="9" max="11" width="21" style="2" bestFit="1" customWidth="1"/>
    <col min="12" max="12" width="23.1796875" style="1" customWidth="1"/>
    <col min="13" max="14" width="21" style="2" bestFit="1" customWidth="1"/>
    <col min="15" max="15" width="21" style="1" customWidth="1"/>
    <col min="16" max="17" width="23.1796875" style="1" customWidth="1"/>
    <col min="18" max="18" width="20.453125" style="1" bestFit="1" customWidth="1"/>
    <col min="19" max="19" width="24.453125" style="1" bestFit="1" customWidth="1"/>
    <col min="20" max="20" width="20" style="1" bestFit="1" customWidth="1"/>
    <col min="21" max="21" width="19.7265625" style="1" bestFit="1" customWidth="1"/>
    <col min="22" max="22" width="24.81640625" style="1" bestFit="1" customWidth="1"/>
    <col min="23" max="16384" width="11.453125" style="1"/>
  </cols>
  <sheetData>
    <row r="1" spans="1:22" s="15" customFormat="1"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spans="1:2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 xml:space="preserve">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xml:space="preserve">  4/8/2026</v>
      </c>
      <c r="J2" s="2" t="str" cm="1">
        <f t="array" ref="J2:J995">+IF('Seguimiento entrevistas'!W6:W999&lt;&gt;"",'Seguimiento entrevistas'!W6:W999,"")</f>
        <v xml:space="preserve">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spans="1:22" x14ac:dyDescent="0.25">
      <c r="A3" s="1" t="str">
        <v>2</v>
      </c>
      <c r="B3" s="1" t="str">
        <v>Isabel López Meza</v>
      </c>
      <c r="C3" s="1" t="str">
        <v xml:space="preserve">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spans="1:22"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xml:space="preserve">  5/5/2026</v>
      </c>
      <c r="J4" s="2" t="str">
        <v xml:space="preserve">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spans="1:22"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xml:space="preserve">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spans="1:22"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xml:space="preserve">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spans="1:22"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xml:space="preserve"> 3/19/2026</v>
      </c>
      <c r="J7" s="2" t="str">
        <v xml:space="preserve"> 3/23/2026</v>
      </c>
      <c r="K7" s="2" t="str">
        <v/>
      </c>
      <c r="L7" s="1" t="str">
        <v>Realizada completa</v>
      </c>
      <c r="M7" s="2" t="str">
        <v xml:space="preserve"> 8-May</v>
      </c>
      <c r="N7" s="2" t="str">
        <v xml:space="preserve"> 8-May</v>
      </c>
      <c r="O7" s="1" t="str">
        <v>Realizada completa</v>
      </c>
      <c r="P7" s="1" t="str">
        <v>45</v>
      </c>
      <c r="Q7" s="1" t="str">
        <v>A distancia asistido</v>
      </c>
      <c r="R7" s="1">
        <f t="shared" si="0"/>
        <v>1</v>
      </c>
      <c r="S7" s="1">
        <f t="shared" si="1"/>
        <v>0</v>
      </c>
      <c r="T7" s="1">
        <f t="shared" si="2"/>
        <v>0</v>
      </c>
      <c r="U7" s="1">
        <f t="shared" si="3"/>
        <v>1</v>
      </c>
      <c r="V7" s="1">
        <f t="shared" si="4"/>
        <v>0</v>
      </c>
    </row>
    <row r="8" spans="1:22"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xml:space="preserve">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spans="1:22"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xml:space="preserve">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spans="1:22"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spans="1:22"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spans="1:2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spans="1:22"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xml:space="preserve">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spans="1:22"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spans="1:22"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xml:space="preserve">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spans="1:22"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spans="1:22"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xml:space="preserve"> 3/20/2026</v>
      </c>
      <c r="J17" s="2" t="str">
        <v xml:space="preserve">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spans="1:22" x14ac:dyDescent="0.25">
      <c r="A18" s="1" t="str">
        <v>17</v>
      </c>
      <c r="B18" s="1" t="str">
        <v>Mónica Mendez Cabezas</v>
      </c>
      <c r="C18" s="1" t="str">
        <v xml:space="preserve">Ministerio de la Mujer </v>
      </c>
      <c r="D18" s="1" t="str">
        <v>Entrevista de actores clave</v>
      </c>
      <c r="E18" s="1" t="str">
        <v>Funcionarios del Sistema</v>
      </c>
      <c r="F18" s="1" t="str">
        <v>Distrito Judicial: Loreto</v>
      </c>
      <c r="G18" s="1" t="str">
        <v>IJM</v>
      </c>
      <c r="H18" s="1" t="str">
        <v>Sí</v>
      </c>
      <c r="I18" s="2" t="str">
        <v xml:space="preserve">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spans="1:22" x14ac:dyDescent="0.25">
      <c r="A19" s="1" t="str">
        <v>18</v>
      </c>
      <c r="B19" s="1" t="str">
        <v>Kenny Jorge Perez Diaz</v>
      </c>
      <c r="C19" s="1" t="str">
        <v xml:space="preserve">Ministerio de la Mujer </v>
      </c>
      <c r="D19" s="1" t="str">
        <v>Entrevista de actores clave</v>
      </c>
      <c r="E19" s="1" t="str">
        <v>Funcionarios del Sistema</v>
      </c>
      <c r="F19" s="1" t="str">
        <v>Distrito Judicial: Ayacucho</v>
      </c>
      <c r="G19" s="1" t="str">
        <v>IJM</v>
      </c>
      <c r="H19" s="1" t="str">
        <v>Sí</v>
      </c>
      <c r="I19" s="2" t="str">
        <v xml:space="preserve">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spans="1:22" x14ac:dyDescent="0.25">
      <c r="A20" s="1" t="str">
        <v>19</v>
      </c>
      <c r="B20" s="1" t="str">
        <v>Laura Esther Agama Fernández</v>
      </c>
      <c r="C20" s="1" t="str">
        <v xml:space="preserve">Ministerio de la Mujer </v>
      </c>
      <c r="D20" s="1" t="str">
        <v>Entrevista de actores clave</v>
      </c>
      <c r="E20" s="1" t="str">
        <v>Funcionarios del Sistema</v>
      </c>
      <c r="F20" s="1" t="str">
        <v>Distrito Judicial: Ayacucho</v>
      </c>
      <c r="G20" s="1" t="str">
        <v>IJM</v>
      </c>
      <c r="H20" s="1" t="str">
        <v>Sí</v>
      </c>
      <c r="I20" s="2" t="str">
        <v xml:space="preserve">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spans="1:22"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xml:space="preserve">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spans="1: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xml:space="preserve">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spans="1:22"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xml:space="preserve"> 3/23/2026</v>
      </c>
      <c r="J23" s="2" t="str">
        <v xml:space="preserve">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spans="1:22"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xml:space="preserve"> 3/23/2026</v>
      </c>
      <c r="J24" s="2" t="str">
        <v xml:space="preserve">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spans="1:22"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xml:space="preserve">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spans="1:22"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xml:space="preserve"> 3/23/2026</v>
      </c>
      <c r="J26" s="2" t="str">
        <v xml:space="preserve">  5/5/2026</v>
      </c>
      <c r="K26" s="2" t="str">
        <v xml:space="preserve">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spans="1:22"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xml:space="preserve">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spans="1:22"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xml:space="preserve">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spans="1:22"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xml:space="preserve">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spans="1:22"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xml:space="preserve">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spans="1:22"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xml:space="preserve">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spans="1:2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xml:space="preserve">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spans="1:22"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xml:space="preserve">  5/5/2026</v>
      </c>
      <c r="J33" s="2" t="str">
        <v xml:space="preserve">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spans="1:22"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xml:space="preserve">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spans="1:22"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xml:space="preserve"> 3/23/2026</v>
      </c>
      <c r="J35" s="2" t="str">
        <v xml:space="preserve">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spans="1:22"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xml:space="preserve">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spans="1:22"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xml:space="preserve">  5/5/2026</v>
      </c>
      <c r="J37" s="2" t="str">
        <v xml:space="preserve">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spans="1:22"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xml:space="preserve">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spans="1:22"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xml:space="preserve">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spans="1:22"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xml:space="preserve">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spans="1:22"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spans="1:2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xml:space="preserve">  4/6/2026</v>
      </c>
      <c r="J42" s="2" t="str">
        <v xml:space="preserve">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spans="1:22"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xml:space="preserve"> 3/23/2026</v>
      </c>
      <c r="J43" s="2" t="str">
        <v xml:space="preserve"> 4/17/2026</v>
      </c>
      <c r="K43" s="2" t="str">
        <v xml:space="preserve">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spans="1:22"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xml:space="preserve">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spans="1:22"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xml:space="preserve"> 4/17/2026</v>
      </c>
      <c r="J45" s="2" t="str">
        <v xml:space="preserve">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spans="1:22"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spans="1:22"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xml:space="preserve">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spans="1:22" x14ac:dyDescent="0.25">
      <c r="A48" s="1" t="str">
        <v>47</v>
      </c>
      <c r="B48" s="1" t="str">
        <v>Mendoza Barrantes Mericia</v>
      </c>
      <c r="C48" s="1" t="str">
        <v xml:space="preserve">Estrategias Rurales </v>
      </c>
      <c r="D48" s="1" t="str">
        <v>Entrevista de actores clave</v>
      </c>
      <c r="E48" s="1" t="str">
        <v>Actores locales</v>
      </c>
      <c r="F48" s="1" t="str">
        <v>Nacional</v>
      </c>
      <c r="G48" s="1" t="str">
        <v>IJM</v>
      </c>
      <c r="H48" s="1" t="str">
        <v>Sí</v>
      </c>
      <c r="I48" s="2" t="str">
        <v xml:space="preserve"> 3/24/2026</v>
      </c>
      <c r="J48" s="2" t="str">
        <v xml:space="preserve">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spans="1:22" x14ac:dyDescent="0.25">
      <c r="A49" s="1" t="str">
        <v>48</v>
      </c>
      <c r="B49" s="1" t="str">
        <v>Calizaya Cruz Nicanor Efrain</v>
      </c>
      <c r="C49" s="1" t="str">
        <v xml:space="preserve">Estrategias Rurales </v>
      </c>
      <c r="D49" s="1" t="str">
        <v>Entrevista de actores clave</v>
      </c>
      <c r="E49" s="1" t="str">
        <v>Actores locales</v>
      </c>
      <c r="F49" s="1" t="str">
        <v>Nacional</v>
      </c>
      <c r="G49" s="1" t="str">
        <v>IJM</v>
      </c>
      <c r="H49" s="1" t="str">
        <v>Sí</v>
      </c>
      <c r="I49" s="2" t="str">
        <v xml:space="preserve"> 3/24/2026</v>
      </c>
      <c r="J49" s="2" t="str">
        <v xml:space="preserve">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spans="1:22"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xml:space="preserve">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spans="1:22"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spans="1:2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xml:space="preserve"> 3/24/2026</v>
      </c>
      <c r="J52" s="2" t="str">
        <v xml:space="preserve"> 3/26/2026</v>
      </c>
      <c r="K52" s="2" t="str">
        <v xml:space="preserve">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spans="1:22"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xml:space="preserve"> 3/24/2026</v>
      </c>
      <c r="J53" s="2" t="str">
        <v xml:space="preserve">  4/6/2026</v>
      </c>
      <c r="K53" s="2" t="str">
        <v xml:space="preserve">  4/7/2026</v>
      </c>
      <c r="L53" s="1" t="str">
        <v>Realizada completa</v>
      </c>
      <c r="M53" s="2" t="str">
        <v xml:space="preserve"> 7-Apr</v>
      </c>
      <c r="N53" s="2" t="str">
        <v xml:space="preserve"> 7-Apr</v>
      </c>
      <c r="O53" s="1" t="str">
        <v>Realizada completa</v>
      </c>
      <c r="P53" s="1" t="str">
        <v>58</v>
      </c>
      <c r="Q53" s="1" t="str">
        <v>A distancia asistido</v>
      </c>
      <c r="R53" s="1">
        <f t="shared" si="0"/>
        <v>1</v>
      </c>
      <c r="S53" s="1">
        <f t="shared" si="1"/>
        <v>0</v>
      </c>
      <c r="T53" s="1">
        <f t="shared" si="2"/>
        <v>0</v>
      </c>
      <c r="U53" s="1">
        <f t="shared" si="3"/>
        <v>1</v>
      </c>
      <c r="V53" s="1">
        <f t="shared" si="4"/>
        <v>0</v>
      </c>
    </row>
    <row r="54" spans="1:22"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xml:space="preserve">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spans="1:22"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spans="1:22"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spans="1:22"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xml:space="preserve"> 3/24/2026</v>
      </c>
      <c r="J57" s="2" t="str">
        <v xml:space="preserve"> 3/25/2026</v>
      </c>
      <c r="K57" s="2" t="str">
        <v/>
      </c>
      <c r="L57" s="1" t="str">
        <v>Realizada completa</v>
      </c>
      <c r="M57" s="2" t="str">
        <v xml:space="preserve"> 1-Apr</v>
      </c>
      <c r="N57" s="2" t="str">
        <v xml:space="preserve"> 1-Apr</v>
      </c>
      <c r="O57" s="1" t="str">
        <v>Realizada completa</v>
      </c>
      <c r="P57" s="1" t="str">
        <v>34</v>
      </c>
      <c r="Q57" s="1" t="str">
        <v>A distancia asistido</v>
      </c>
      <c r="R57" s="1">
        <f t="shared" si="0"/>
        <v>1</v>
      </c>
      <c r="S57" s="1">
        <f t="shared" si="1"/>
        <v>0</v>
      </c>
      <c r="T57" s="1">
        <f t="shared" si="2"/>
        <v>0</v>
      </c>
      <c r="U57" s="1">
        <f t="shared" si="3"/>
        <v>1</v>
      </c>
      <c r="V57" s="1">
        <f t="shared" si="4"/>
        <v>0</v>
      </c>
    </row>
    <row r="58" spans="1:22" x14ac:dyDescent="0.25">
      <c r="A58" s="1" t="str">
        <v>57</v>
      </c>
      <c r="B58" s="1" t="str">
        <v>Lorena Ruiz</v>
      </c>
      <c r="C58" s="1" t="str">
        <v>ONG: Kids Alive</v>
      </c>
      <c r="D58" s="1" t="str">
        <v>Entrevista de actores clave</v>
      </c>
      <c r="E58" s="1" t="str">
        <v>Actores locales</v>
      </c>
      <c r="F58" s="1" t="str">
        <v>Nacional</v>
      </c>
      <c r="G58" s="1" t="str">
        <v>IJM</v>
      </c>
      <c r="H58" s="1" t="str">
        <v>Sí</v>
      </c>
      <c r="I58" s="2" t="str">
        <v xml:space="preserve">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spans="1:22"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spans="1:22"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spans="1:22"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spans="1:2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xml:space="preserve"> 3/24/2026</v>
      </c>
      <c r="J62" s="2" t="str">
        <v xml:space="preserve">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spans="1:22"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xml:space="preserve">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spans="1:22"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xml:space="preserve"> 3/24/2026</v>
      </c>
      <c r="J64" s="2" t="str">
        <v xml:space="preserve">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spans="1:22"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xml:space="preserve"> 3/20/2026</v>
      </c>
      <c r="J65" s="2" t="str">
        <v xml:space="preserve">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spans="1:22"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xml:space="preserve">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spans="1:22"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xml:space="preserve">  5/5/2026</v>
      </c>
      <c r="J67" s="2" t="str">
        <v xml:space="preserve">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spans="1:22"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xml:space="preserve">  5/5/2026</v>
      </c>
      <c r="J68" s="2" t="str">
        <v xml:space="preserve">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spans="1:22"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xml:space="preserve">  5/5/2026</v>
      </c>
      <c r="J69" s="2" t="str">
        <v xml:space="preserve">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spans="1:22"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xml:space="preserve">  5/5/2026</v>
      </c>
      <c r="J70" s="2" t="str">
        <v xml:space="preserve">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spans="1:22"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xml:space="preserve">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spans="1:2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xml:space="preserve">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spans="1:22"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xml:space="preserve"> 3/20/2026</v>
      </c>
      <c r="J73" s="2" t="str">
        <v xml:space="preserve">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spans="1:22"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xml:space="preserve">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spans="1:22"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xml:space="preserve">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spans="1:22"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spans="1:22"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xml:space="preserve"> 3/25/2026</v>
      </c>
      <c r="J77" s="2" t="str">
        <v xml:space="preserve">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spans="1:22"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xml:space="preserve">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spans="1:22"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xml:space="preserve">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spans="1:22"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xml:space="preserve">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spans="1:22"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spans="1:2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spans="1:22"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xml:space="preserve"> 3/26/2026</v>
      </c>
      <c r="J83" s="2" t="str">
        <v xml:space="preserve">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spans="1:22"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xml:space="preserve">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spans="1:22"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xml:space="preserve">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spans="1:22" x14ac:dyDescent="0.25">
      <c r="A86" s="1" t="str">
        <v>85</v>
      </c>
      <c r="B86" s="1" t="str">
        <v xml:space="preserve">Lilian Rueda Curimanea </v>
      </c>
      <c r="C86" s="1" t="str">
        <v>Ministerio Público (Fiscalía)</v>
      </c>
      <c r="D86" s="1" t="str">
        <v>Entrevista de actores clave</v>
      </c>
      <c r="E86" s="1" t="str">
        <v>Funcionarios del Sistema</v>
      </c>
      <c r="F86" s="1" t="str">
        <v>Distrito Judicial: Cajamarca</v>
      </c>
      <c r="G86" s="1" t="str">
        <v>IJM</v>
      </c>
      <c r="H86" s="1" t="str">
        <v>Sí</v>
      </c>
      <c r="I86" s="2" t="str">
        <v xml:space="preserve">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spans="1:22"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xml:space="preserve">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spans="1:22"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spans="1:22"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xml:space="preserve"> 3/26/2026</v>
      </c>
      <c r="J89" s="2" t="str">
        <v/>
      </c>
      <c r="K89" s="2" t="str">
        <v/>
      </c>
      <c r="L89" s="1" t="str">
        <v>Realizada completa</v>
      </c>
      <c r="M89" s="2" t="str">
        <v xml:space="preserve"> 1-Apr</v>
      </c>
      <c r="N89" s="2" t="str">
        <v xml:space="preserve"> 1-Apr</v>
      </c>
      <c r="O89" s="1" t="str">
        <v>Realizada completa</v>
      </c>
      <c r="P89" s="1" t="str">
        <v>42</v>
      </c>
      <c r="Q89" s="1" t="str">
        <v>A distancia asistido</v>
      </c>
      <c r="R89" s="1">
        <f t="shared" si="5"/>
        <v>1</v>
      </c>
      <c r="S89" s="1">
        <f t="shared" si="6"/>
        <v>0</v>
      </c>
      <c r="T89" s="1">
        <f t="shared" si="7"/>
        <v>0</v>
      </c>
      <c r="U89" s="1">
        <f t="shared" si="8"/>
        <v>1</v>
      </c>
      <c r="V89" s="1">
        <f t="shared" si="9"/>
        <v>0</v>
      </c>
    </row>
    <row r="90" spans="1:22"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spans="1:22"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spans="1:2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spans="1:22"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xml:space="preserve">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spans="1:22"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xml:space="preserve">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spans="1:22"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spans="1:22"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xml:space="preserve">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spans="1:22"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xml:space="preserve">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spans="1:22"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xml:space="preserve">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spans="1:22"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spans="1:22"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spans="1:22"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xml:space="preserve">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spans="1:2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spans="1:22"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spans="1:22" x14ac:dyDescent="0.25">
      <c r="A104" s="1" t="str">
        <v>103</v>
      </c>
      <c r="B104" s="1" t="str">
        <v xml:space="preserve">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xml:space="preserve">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spans="1:22"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xml:space="preserve"> 3/20/2026</v>
      </c>
      <c r="J105" s="2" t="str">
        <v xml:space="preserve">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spans="1:22"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spans="1:22"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spans="1:22"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spans="1:22"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xml:space="preserve">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spans="1:22"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spans="1:22"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spans="1:2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spans="1:22"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spans="1:22"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spans="1:22"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spans="1:22"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spans="1:22"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spans="1:22"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spans="1:22"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spans="1:22"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spans="1:22"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spans="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spans="1:22"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spans="1:22"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spans="1:22"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spans="1:22"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spans="1:22"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spans="1:22"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spans="1:22"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spans="1:22"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spans="1:22"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spans="1:2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spans="1:22"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spans="1:22"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spans="1:22"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spans="1:22"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spans="1:22"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spans="1:22"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spans="1:22"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spans="1:22"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spans="1:22"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xml:space="preserve"> 3/26/2026</v>
      </c>
      <c r="J141" s="2" t="str">
        <v xml:space="preserve">  5/5/2026</v>
      </c>
      <c r="K141" s="2" t="str">
        <v xml:space="preserve">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spans="1:2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spans="1:22"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spans="1:22"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xml:space="preserve">  3/6/2026</v>
      </c>
      <c r="J144" s="2" t="str">
        <v xml:space="preserve"> 3/26/2026</v>
      </c>
      <c r="K144" s="2" t="str">
        <v xml:space="preserve">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spans="1:22"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xml:space="preserve">  5/5/2026</v>
      </c>
      <c r="J145" s="2" t="str">
        <v xml:space="preserve">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spans="1:22"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xml:space="preserve">  5/5/2026</v>
      </c>
      <c r="J146" s="2" t="str">
        <v xml:space="preserve">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spans="1:22"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xml:space="preserve">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spans="1:22"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xml:space="preserve">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spans="1:22"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xml:space="preserve">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spans="1:22"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xml:space="preserve">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spans="1:22"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xml:space="preserve">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spans="1:2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xml:space="preserve">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spans="1:22" x14ac:dyDescent="0.25">
      <c r="A153" s="1" t="str">
        <v>152</v>
      </c>
      <c r="B153" s="1" t="str">
        <v xml:space="preserve">Región Policial Arequipa de la PNP </v>
      </c>
      <c r="C153" s="1" t="str">
        <v>Policía Nacional del Perú</v>
      </c>
      <c r="D153" s="1" t="str">
        <v>Entrevista de actores clave</v>
      </c>
      <c r="E153" s="1" t="str">
        <v>Funcionarios del Sistema</v>
      </c>
      <c r="F153" s="1" t="str">
        <v>Nacional</v>
      </c>
      <c r="G153" s="1" t="str">
        <v>IJM</v>
      </c>
      <c r="H153" s="1" t="str">
        <v>Sí</v>
      </c>
      <c r="I153" s="2" t="str">
        <v xml:space="preserve">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spans="1:22" x14ac:dyDescent="0.25">
      <c r="A154" s="1" t="str">
        <v>153</v>
      </c>
      <c r="B154" s="1" t="str">
        <v xml:space="preserve">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xml:space="preserve">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spans="1:22" x14ac:dyDescent="0.25">
      <c r="A155" s="1" t="str">
        <v>154</v>
      </c>
      <c r="B155" s="1" t="str">
        <v xml:space="preserve">Región Policial Ucayali de la PNP </v>
      </c>
      <c r="C155" s="1" t="str">
        <v>Policía Nacional del Perú</v>
      </c>
      <c r="D155" s="1" t="str">
        <v>Entrevista de actores clave</v>
      </c>
      <c r="E155" s="1" t="str">
        <v>Funcionarios del Sistema</v>
      </c>
      <c r="F155" s="1" t="str">
        <v>Nacional</v>
      </c>
      <c r="G155" s="1" t="str">
        <v>IJM</v>
      </c>
      <c r="H155" s="1" t="str">
        <v>Sí</v>
      </c>
      <c r="I155" s="2" t="str">
        <v xml:space="preserve">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spans="1:22"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xml:space="preserve">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spans="1:22" x14ac:dyDescent="0.25">
      <c r="A157" s="1" t="str">
        <v>156</v>
      </c>
      <c r="B157" s="1" t="str">
        <v xml:space="preserve">Región Policial Junín de la PNP </v>
      </c>
      <c r="C157" s="1" t="str">
        <v>Policía Nacional del Perú</v>
      </c>
      <c r="D157" s="1" t="str">
        <v>Entrevista de actores clave</v>
      </c>
      <c r="E157" s="1" t="str">
        <v>Funcionarios del Sistema</v>
      </c>
      <c r="F157" s="1" t="str">
        <v>Nacional</v>
      </c>
      <c r="G157" s="1" t="str">
        <v>IJM</v>
      </c>
      <c r="H157" s="1" t="str">
        <v>Sí</v>
      </c>
      <c r="I157" s="2" t="str">
        <v xml:space="preserve">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spans="1:22" x14ac:dyDescent="0.25">
      <c r="A158" s="1" t="str">
        <v>157</v>
      </c>
      <c r="B158" s="1" t="str">
        <v xml:space="preserve">Región Policial Cusco de la PNP </v>
      </c>
      <c r="C158" s="1" t="str">
        <v>Policía Nacional del Perú</v>
      </c>
      <c r="D158" s="1" t="str">
        <v>Entrevista de actores clave</v>
      </c>
      <c r="E158" s="1" t="str">
        <v>Funcionarios del Sistema</v>
      </c>
      <c r="F158" s="1" t="str">
        <v>Nacional</v>
      </c>
      <c r="G158" s="1" t="str">
        <v>IJM</v>
      </c>
      <c r="H158" s="1" t="str">
        <v>Sí</v>
      </c>
      <c r="I158" s="2" t="str">
        <v xml:space="preserve">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spans="1:22"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xml:space="preserve">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spans="1:22" x14ac:dyDescent="0.25">
      <c r="A160" s="1" t="str">
        <v>159</v>
      </c>
      <c r="B160" s="1" t="str">
        <v xml:space="preserve">Región Policial Arequipa de la PNP </v>
      </c>
      <c r="C160" s="1" t="str">
        <v>Policía Nacional del Perú</v>
      </c>
      <c r="D160" s="1" t="str">
        <v>Entrevista de actores clave</v>
      </c>
      <c r="E160" s="1" t="str">
        <v>Funcionarios del Sistema</v>
      </c>
      <c r="F160" s="1" t="str">
        <v>Nacional</v>
      </c>
      <c r="G160" s="1" t="str">
        <v>IJM</v>
      </c>
      <c r="H160" s="1" t="str">
        <v>Sí</v>
      </c>
      <c r="I160" s="2" t="str">
        <v xml:space="preserve">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spans="1:22"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xml:space="preserve">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spans="1:2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xml:space="preserve">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spans="1:22" x14ac:dyDescent="0.25">
      <c r="A163" s="1" t="str">
        <v>162</v>
      </c>
      <c r="B163" s="1" t="str">
        <v xml:space="preserve">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xml:space="preserve">  5/5/2026</v>
      </c>
      <c r="J163" s="2" t="str">
        <v xml:space="preserve">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spans="1:22"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xml:space="preserve">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spans="1:22"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spans="1:22" x14ac:dyDescent="0.25">
      <c r="A166" s="1" t="str">
        <v>165</v>
      </c>
      <c r="B166" s="1" t="str">
        <v xml:space="preserve">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spans="1:22"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spans="1:22"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spans="1:22"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spans="1:22"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spans="1:22"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spans="1:2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spans="1:22"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spans="1:22"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spans="1:22"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spans="1:22"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spans="1:22"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spans="1:22"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spans="1:22"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spans="1:22"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spans="1:22"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spans="1:2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spans="1:22"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spans="1:22"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spans="1:22"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spans="1:22"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xml:space="preserve">  5/5/2026</v>
      </c>
      <c r="J186" s="2" t="str">
        <v xml:space="preserve">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spans="1:22" x14ac:dyDescent="0.25">
      <c r="A187" s="1" t="str">
        <v>186</v>
      </c>
      <c r="B187" s="1" t="str">
        <v xml:space="preserve"> Jose Miguel Chavez Montero</v>
      </c>
      <c r="C187" s="1" t="str">
        <v>Centros de Emergencia Mujer</v>
      </c>
      <c r="D187" s="1" t="str">
        <v>Entrevista de actores clave</v>
      </c>
      <c r="E187" s="1" t="str">
        <v>Funcionarios del Sistema</v>
      </c>
      <c r="F187" s="1" t="str">
        <v>Nacional</v>
      </c>
      <c r="G187" s="1" t="str">
        <v>IJM</v>
      </c>
      <c r="H187" s="1" t="str">
        <v>Sí</v>
      </c>
      <c r="I187" s="2" t="str">
        <v xml:space="preserve">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spans="1:22"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xml:space="preserve">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spans="1:22"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xml:space="preserve">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spans="1:22"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xml:space="preserve">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spans="1:22"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xml:space="preserve">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spans="1:2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xml:space="preserve">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spans="1:22"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xml:space="preserve">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spans="1:22"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spans="1:22"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spans="1:22"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spans="1:22"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spans="1:22"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spans="1:22"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spans="1:22"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spans="1:22"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spans="1:2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spans="1:22"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spans="1:22"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xml:space="preserve">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spans="1:22"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xml:space="preserve">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spans="1:22"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xml:space="preserve">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spans="1:22"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xml:space="preserve">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spans="1:22"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spans="1:22"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spans="1:22"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spans="1:22"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spans="1:2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xml:space="preserve">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spans="1:22"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xml:space="preserve">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spans="1:22"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spans="1:22"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xml:space="preserve">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spans="1:22"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xml:space="preserve"> 7-Jul</v>
      </c>
      <c r="N216" s="2" t="str">
        <v xml:space="preserve">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spans="1:22"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spans="1:22"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spans="1:22" x14ac:dyDescent="0.25">
      <c r="A219" s="1" t="str">
        <v>218</v>
      </c>
      <c r="B219" s="1" t="str">
        <v>Luz Medina Gonzales</v>
      </c>
      <c r="C219" s="1" t="str">
        <v xml:space="preserve">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spans="1:22"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spans="1:22"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spans="1: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spans="1:22"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spans="1:22"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spans="1:22"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spans="1:22"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spans="1:22"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spans="1:22"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spans="1:22"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xml:space="preserve">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spans="1:22"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spans="1:22"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spans="1:2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spans="1:22"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spans="1:22"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spans="1:22"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spans="1:22"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spans="1:22"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spans="1:22"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spans="1:22"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spans="1:22"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spans="1:22"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spans="1:2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spans="1:22"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spans="1:22"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spans="1:22"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spans="1:22"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spans="1:22"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spans="1:22"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spans="1:22"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xml:space="preserve">  4/8/2026</v>
      </c>
      <c r="J249" s="2" t="str">
        <v/>
      </c>
      <c r="K249" s="2" t="str">
        <v/>
      </c>
      <c r="L249" s="1" t="str">
        <v>Realizada completa</v>
      </c>
      <c r="M249" s="2" t="str">
        <v xml:space="preserve"> 9-Apr</v>
      </c>
      <c r="N249" s="2" t="str">
        <v xml:space="preserve">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spans="1:22"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spans="1:22"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spans="1:2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spans="1:22"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xml:space="preserve">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spans="1:22" x14ac:dyDescent="0.25">
      <c r="A254" s="1" t="str">
        <v>253</v>
      </c>
      <c r="B254" s="1" t="str">
        <v xml:space="preserve">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spans="1:22"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spans="1:22"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spans="1:22"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xml:space="preserve">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spans="1:22"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xml:space="preserve">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spans="1:22"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spans="1:22"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spans="1:22"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xml:space="preserve">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spans="1:2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xml:space="preserve">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spans="1:22"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xml:space="preserve">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spans="1:22"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xml:space="preserve">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spans="1:22"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xml:space="preserve">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spans="1:22"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xml:space="preserve">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spans="1:22"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xml:space="preserve">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spans="1:22"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xml:space="preserve">  5/5/2026</v>
      </c>
      <c r="J268" s="2" t="str">
        <v xml:space="preserve">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spans="1:22"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xml:space="preserve">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spans="1:22"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spans="1:22"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spans="1:2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spans="1:22"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spans="1:22"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spans="1:22"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spans="1:22"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xml:space="preserve">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spans="1:22"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xml:space="preserve">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spans="1:22"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xml:space="preserve">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spans="1:22"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xml:space="preserve">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spans="1:22"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spans="1:22"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xml:space="preserve">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spans="1:2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xml:space="preserve">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spans="1:22"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xml:space="preserve">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spans="1:22"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xml:space="preserve">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spans="1:22"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xml:space="preserve">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spans="1:22"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xml:space="preserve">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spans="1:22"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xml:space="preserve">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spans="1:22"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xml:space="preserve">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spans="1:22"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xml:space="preserve">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spans="1:22"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xml:space="preserve">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spans="1:22"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xml:space="preserve">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spans="1:2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xml:space="preserve">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spans="1:22"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xml:space="preserve">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spans="1:22"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xml:space="preserve">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spans="1:22"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spans="1:22"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spans="1:22" x14ac:dyDescent="0.25">
      <c r="A297" s="1" t="str">
        <v>296</v>
      </c>
      <c r="B297" s="1" t="str">
        <v xml:space="preserve">Dayma Gabriela Navia Canal </v>
      </c>
      <c r="C297" s="1" t="str">
        <v>Defensa Pública</v>
      </c>
      <c r="D297" s="1" t="str">
        <v>Entrevista de actores clave</v>
      </c>
      <c r="E297" s="1" t="str">
        <v>Funcionarios del Sistema</v>
      </c>
      <c r="F297" s="1" t="str">
        <v>Nacional</v>
      </c>
      <c r="G297" s="1" t="str">
        <v>IJM</v>
      </c>
      <c r="H297" s="1" t="str">
        <v>Sí</v>
      </c>
      <c r="I297" s="2" t="str">
        <v xml:space="preserve">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spans="1:22"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xml:space="preserve"> 3/26/2026</v>
      </c>
      <c r="J298" s="2" t="str">
        <v xml:space="preserve"> 3/30/2026</v>
      </c>
      <c r="K298" s="2" t="str">
        <v/>
      </c>
      <c r="L298" s="1" t="str">
        <v>Realizada completa</v>
      </c>
      <c r="M298" s="2" t="str">
        <v xml:space="preserve"> 2-Apr</v>
      </c>
      <c r="N298" s="2" t="str">
        <v xml:space="preserve">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spans="1:22"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xml:space="preserve"> 3/26/2026</v>
      </c>
      <c r="J299" s="2" t="str">
        <v xml:space="preserve">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spans="1:22"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spans="1:22"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spans="1:2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spans="1:22"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spans="1:22"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xml:space="preserve">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spans="1:22"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xml:space="preserve">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spans="1:22"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xml:space="preserve">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spans="1:22"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xml:space="preserve">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spans="1:22"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xml:space="preserve">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spans="1:22"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xml:space="preserve">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spans="1:22"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spans="1:22"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spans="1:2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spans="1:22"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spans="1:22"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xml:space="preserve"> 5/12/2026</v>
      </c>
      <c r="J314" s="2" t="str">
        <v/>
      </c>
      <c r="K314" s="2" t="str">
        <v/>
      </c>
      <c r="L314" s="1" t="str">
        <v>Realizada completa</v>
      </c>
      <c r="M314" s="2" t="str">
        <v xml:space="preserve"> 2-Jun</v>
      </c>
      <c r="N314" s="2" t="str">
        <v xml:space="preserve">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spans="1:22" x14ac:dyDescent="0.25">
      <c r="A315" s="1" t="str">
        <v>314</v>
      </c>
      <c r="B315" s="1" t="str">
        <v>Paloma Verano</v>
      </c>
      <c r="C315" s="1" t="str">
        <v>RPP</v>
      </c>
      <c r="D315" s="1" t="str">
        <v>Entrevista de actores clave</v>
      </c>
      <c r="E315" s="1" t="str">
        <v>Prensa</v>
      </c>
      <c r="F315" s="1" t="str">
        <v>Nacional</v>
      </c>
      <c r="G315" s="1" t="str">
        <v>IJM</v>
      </c>
      <c r="H315" s="1" t="str">
        <v>No</v>
      </c>
      <c r="I315" s="2" t="str">
        <v xml:space="preserve">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spans="1:22"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xml:space="preserve">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spans="1:22"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spans="1:22"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spans="1:22" x14ac:dyDescent="0.25">
      <c r="A319" s="1" t="str">
        <v>318</v>
      </c>
      <c r="B319" s="1" t="str">
        <v>Claudia Cisneros</v>
      </c>
      <c r="C319" s="1" t="str">
        <v>Wayka</v>
      </c>
      <c r="D319" s="1" t="str">
        <v>Entrevista de actores clave</v>
      </c>
      <c r="E319" s="1" t="str">
        <v>Prensa</v>
      </c>
      <c r="F319" s="1" t="str">
        <v>Nacional</v>
      </c>
      <c r="G319" s="1" t="str">
        <v>IJM</v>
      </c>
      <c r="H319" s="1" t="str">
        <v>Sí</v>
      </c>
      <c r="I319" s="2" t="str">
        <v xml:space="preserve"> 3/30/2026</v>
      </c>
      <c r="J319" s="2" t="str">
        <v xml:space="preserve">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spans="1:22"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spans="1:22"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spans="1: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spans="1:22"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spans="1:22"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spans="1:22"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xml:space="preserve">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spans="1:22" x14ac:dyDescent="0.25">
      <c r="A326" s="1" t="str">
        <v>325</v>
      </c>
      <c r="B326" s="1" t="str">
        <v>Pilar Yasmint Sotelo Tello</v>
      </c>
      <c r="C326" s="1" t="str">
        <v xml:space="preserve">Ministerio de la Mujer </v>
      </c>
      <c r="D326" s="1" t="str">
        <v>Entrevista de actores clave</v>
      </c>
      <c r="E326" s="1" t="str">
        <v>Funcionarios del Sistema</v>
      </c>
      <c r="F326" s="1" t="str">
        <v>Distrito Judicial: Apurímac</v>
      </c>
      <c r="G326" s="1" t="str">
        <v>IJM</v>
      </c>
      <c r="H326" s="1" t="str">
        <v>No</v>
      </c>
      <c r="I326" s="2" t="str">
        <v xml:space="preserve">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spans="1:22"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spans="1:22"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spans="1:22"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spans="1:22"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spans="1:22" x14ac:dyDescent="0.25">
      <c r="A331" s="1" t="str">
        <v>330</v>
      </c>
      <c r="B331" s="1" t="str">
        <v xml:space="preserve">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spans="1:2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xml:space="preserve">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spans="1:22"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xml:space="preserve"> 5/29/2026</v>
      </c>
      <c r="J333" s="2" t="str">
        <v/>
      </c>
      <c r="K333" s="2" t="str">
        <v/>
      </c>
      <c r="L333" s="1" t="str">
        <v>Realizada completa</v>
      </c>
      <c r="M333" s="2" t="str">
        <v xml:space="preserve"> 8-Jun</v>
      </c>
      <c r="N333" s="2" t="str">
        <v xml:space="preserve">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spans="1:22"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spans="1:22"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xml:space="preserve">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spans="1:22"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xml:space="preserve">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spans="1:22"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xml:space="preserve">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spans="1:22"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xml:space="preserve">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spans="1:22"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xml:space="preserve">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spans="1:22"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spans="1:22"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xml:space="preserve">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spans="1:2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xml:space="preserve">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spans="1:22"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xml:space="preserve">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spans="1:22"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xml:space="preserve">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spans="1:22"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spans="1:22"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spans="1:22"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xml:space="preserve">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spans="1:22"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xml:space="preserve">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spans="1:22"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xml:space="preserve"> 5/29/2026</v>
      </c>
      <c r="J349" s="2" t="str">
        <v xml:space="preserve">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spans="1:22"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spans="1:22"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xml:space="preserve">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spans="1:2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xml:space="preserve">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spans="1:22"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xml:space="preserve"> 5/29/2026</v>
      </c>
      <c r="J353" s="2" t="str">
        <v/>
      </c>
      <c r="K353" s="2" t="str">
        <v/>
      </c>
      <c r="L353" s="1" t="str">
        <v>Realizada completa</v>
      </c>
      <c r="M353" s="2" t="str">
        <v xml:space="preserve"> 9-Jun</v>
      </c>
      <c r="N353" s="2" t="str">
        <v xml:space="preserve">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spans="1:22"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xml:space="preserve">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spans="1:22"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xml:space="preserve">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spans="1:22"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xml:space="preserve">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spans="1:22"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xml:space="preserve">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spans="1:22"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xml:space="preserve">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spans="1:22"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xml:space="preserve">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spans="1:22"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spans="1:22"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xml:space="preserve">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spans="1:2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spans="1:22"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xml:space="preserve"> 4-Jun</v>
      </c>
      <c r="N363" s="2" t="str">
        <v xml:space="preserve">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spans="1:22"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spans="1:22"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xml:space="preserve">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spans="1:22" x14ac:dyDescent="0.25">
      <c r="A366" s="1" t="str">
        <v>365</v>
      </c>
      <c r="B366" s="1" t="str">
        <v>Eysler Nieto</v>
      </c>
      <c r="C366" s="1" t="str">
        <v xml:space="preserve">Paz y esperanza </v>
      </c>
      <c r="D366" s="1" t="str">
        <v>Entrevista de actores clave</v>
      </c>
      <c r="E366" s="1" t="str">
        <v>Expertos en la temática</v>
      </c>
      <c r="F366" s="1" t="str">
        <v>Distrito Judicial: Huánuco</v>
      </c>
      <c r="G366" s="1" t="str">
        <v>IJM</v>
      </c>
      <c r="H366" s="1" t="str">
        <v>Sí</v>
      </c>
      <c r="I366" s="2" t="str">
        <v xml:space="preserve">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spans="1:22"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spans="1:22"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spans="1:22"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spans="1:22"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xml:space="preserve">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spans="1:22"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spans="1:2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spans="1:22"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spans="1:22"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xml:space="preserve"> 1-Jul</v>
      </c>
      <c r="N374" s="2" t="str">
        <v xml:space="preserve">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spans="1:22"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xml:space="preserve"> 3-Jul</v>
      </c>
      <c r="N375" s="2" t="str">
        <v xml:space="preserve">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spans="1:22"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xml:space="preserve"> 2-Jul</v>
      </c>
      <c r="N376" s="2" t="str">
        <v xml:space="preserve">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spans="1:22"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spans="1:22"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spans="1:22"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spans="1:22"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spans="1:22"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spans="1:2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xml:space="preserve">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spans="1:22"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spans="1:22"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xml:space="preserve">  8/3/2026</v>
      </c>
      <c r="J384" s="2" t="str">
        <v/>
      </c>
      <c r="K384" s="2" t="str">
        <v/>
      </c>
      <c r="L384" s="1" t="str">
        <v>Realizada completa</v>
      </c>
      <c r="M384" s="2" t="str">
        <v xml:space="preserve"> 3-Aug</v>
      </c>
      <c r="N384" s="2" t="str">
        <v xml:space="preserve">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spans="1:22"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xml:space="preserve">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spans="1:22"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spans="1:22"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spans="1:22"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xml:space="preserve">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spans="1:22" x14ac:dyDescent="0.25">
      <c r="A389" s="1" t="str">
        <v>388</v>
      </c>
      <c r="B389" s="1" t="str">
        <v xml:space="preserve">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spans="1:22"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spans="1:22"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spans="1:2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xml:space="preserve">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spans="1:22"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xml:space="preserve">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spans="1:22"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xml:space="preserve">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spans="1:22"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xml:space="preserve">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spans="1:22"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xml:space="preserve">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spans="1:22"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xml:space="preserve">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spans="1:22"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xml:space="preserve">  7/8/2026</v>
      </c>
      <c r="J398" s="2" t="str">
        <v/>
      </c>
      <c r="K398" s="2" t="str">
        <v/>
      </c>
      <c r="L398" s="1" t="str">
        <v>Realizada completa</v>
      </c>
      <c r="M398" s="2" t="str">
        <v xml:space="preserve"> 9-Jul</v>
      </c>
      <c r="N398" s="2" t="str">
        <v xml:space="preserve">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spans="1:22"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xml:space="preserve">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spans="1:22"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xml:space="preserve">  7/7/2026</v>
      </c>
      <c r="J400" s="2" t="str">
        <v xml:space="preserve">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spans="1:22"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xml:space="preserve"> 6-Jul</v>
      </c>
      <c r="N401" s="2" t="str">
        <v xml:space="preserve">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spans="1:2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spans="1:22"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spans="1:22"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spans="1:22"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spans="1:22"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spans="1:22"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spans="1:22"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spans="1:22"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spans="1:22"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spans="1:22"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spans="1:2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spans="1:22"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spans="1:22"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spans="1:22"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spans="1:22"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spans="1:22"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spans="1:22"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spans="1:22"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spans="1:22"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spans="1:22"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spans="1: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spans="1:22"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spans="1:22"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spans="1:22"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spans="1:22"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spans="1:22"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spans="1:22"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spans="1:22"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spans="1:22"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spans="1:22"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spans="1:2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spans="1:22"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spans="1:22"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spans="1:22"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spans="1:22"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spans="1:22"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spans="1:22"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spans="1:22"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spans="1:22"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spans="1:22"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spans="1:2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spans="1:22"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spans="1:22"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spans="1:22"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spans="1:22"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spans="1:22"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spans="1:22"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spans="1:22"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spans="1:22"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spans="1:22"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spans="1:2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spans="1:22"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spans="1:22"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spans="1:22"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spans="1:22"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spans="1:22"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spans="1:22"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spans="1:22"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spans="1:22"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spans="1:22"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spans="1:2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spans="1:22"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spans="1:22"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spans="1:22"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spans="1:22"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spans="1:22"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spans="1:22"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spans="1:22"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spans="1:22"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spans="1:22"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spans="1:2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spans="1:22"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spans="1:22" x14ac:dyDescent="0.25">
      <c r="A474" s="1" t="str">
        <v>473</v>
      </c>
      <c r="B474" s="1" t="str">
        <v xml:space="preserve">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spans="1:22" x14ac:dyDescent="0.25">
      <c r="A475" s="1" t="str">
        <v>474</v>
      </c>
      <c r="B475" s="1" t="str">
        <v xml:space="preserve">Percy José Paredes Villarreal </v>
      </c>
      <c r="C475" s="1" t="str">
        <v xml:space="preserve">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xml:space="preserve"> 3-Aug</v>
      </c>
      <c r="N475" s="2" t="str">
        <v xml:space="preserve"> 3-Aug</v>
      </c>
      <c r="O475" s="1" t="str">
        <v>Aceptada</v>
      </c>
      <c r="P475" s="1" t="str">
        <v/>
      </c>
      <c r="Q475" s="1" t="str">
        <v>A distancia asistido</v>
      </c>
      <c r="R475" s="1">
        <f t="shared" si="35"/>
        <v>0</v>
      </c>
      <c r="S475" s="1">
        <f t="shared" si="36"/>
        <v>0</v>
      </c>
      <c r="T475" s="1">
        <f t="shared" si="37"/>
        <v>1</v>
      </c>
      <c r="U475" s="1">
        <f t="shared" si="38"/>
        <v>0</v>
      </c>
      <c r="V475" s="1">
        <f t="shared" si="39"/>
        <v>0</v>
      </c>
    </row>
    <row r="476" spans="1:22"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spans="1:22"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spans="1:22"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spans="1:22"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spans="1:22"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spans="1:22"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spans="1:2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spans="1:22"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spans="1:22"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spans="1:22"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spans="1:22"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spans="1:22"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spans="1:22"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spans="1:22"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spans="1:22"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spans="1:22"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spans="1:2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spans="1:22"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spans="1:22"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spans="1:22"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spans="1:22"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spans="1:22" x14ac:dyDescent="0.25">
      <c r="A497" s="1" t="str">
        <v>496</v>
      </c>
      <c r="B497" s="1" t="str">
        <v xml:space="preserve">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spans="1:22"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xml:space="preserve">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spans="1:22"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xml:space="preserve">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spans="1:22"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xml:space="preserve">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spans="1:22"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xml:space="preserve">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spans="1:2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xml:space="preserve">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spans="1:22"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xml:space="preserve">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spans="1:22"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spans="1:22"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spans="1:22"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spans="1:22"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spans="1:22"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spans="1:22"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spans="1:22"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spans="1:22"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spans="1:2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spans="1:22"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spans="1:22"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spans="1:22"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spans="1:22"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spans="1:22"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spans="1:22"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spans="1:22"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spans="1:22"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spans="1:22"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spans="1: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spans="1:22"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spans="1:22"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spans="1:22"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spans="1:22"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spans="1:22"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spans="1:22" x14ac:dyDescent="0.25">
      <c r="A528" s="1" t="str">
        <v>526</v>
      </c>
      <c r="B528" s="1" t="str">
        <v/>
      </c>
      <c r="C528" s="1" t="str">
        <v xml:space="preserve">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spans="1:22"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spans="1:22"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spans="1:22"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spans="1:2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spans="1:22"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spans="1:22"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spans="1:22"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spans="1:22"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spans="1:22"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spans="1:22"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spans="1:22"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spans="1:22"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spans="1:22"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spans="1:2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spans="1:22"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spans="1:22"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spans="1:22"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spans="1:22"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spans="1:22"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spans="1:22"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spans="1:22"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spans="1:22"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spans="1:22"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spans="1:2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spans="1:22"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spans="1:22"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spans="1:22"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spans="1:22"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spans="1:22"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spans="1:22"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spans="1:22"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spans="1:22"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spans="1:22"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spans="1:2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spans="1:22"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spans="1:22"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spans="1:22"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spans="1:22"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spans="1:22"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spans="1:22"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spans="1:22"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spans="1:22"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spans="1:22"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spans="1:2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spans="1:22"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spans="1:22"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spans="1:22"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spans="1:22"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spans="1:22"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spans="1:22"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spans="1:22"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spans="1:22"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spans="1:22"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spans="1:2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spans="1:22"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spans="1:22"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spans="1:22"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spans="1:22"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spans="1:22"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spans="1:22"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spans="1:22"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spans="1:22"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spans="1:22"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spans="1:2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spans="1:22"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spans="1:22"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spans="1:22"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spans="1:22"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spans="1:22"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spans="1:22"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spans="1:22"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spans="1:22"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spans="1:22"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spans="1:2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spans="1:22"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spans="1:22"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spans="1:22"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spans="1:22"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spans="1:22"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spans="1:22"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spans="1:22"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spans="1:22"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spans="1:22"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spans="1:2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spans="1:22"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spans="1:22"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spans="1:22"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spans="1:22"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spans="1:22"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spans="1:22"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spans="1:22"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spans="1:22"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spans="1:22"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spans="1: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spans="1:22"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spans="1:22"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spans="1:22"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spans="1:22"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spans="1:22"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spans="1:22"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spans="1:22"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spans="1:22"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spans="1:22"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spans="1:2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spans="1:22"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spans="1:22"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spans="1:22"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spans="1:22"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spans="1:22"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spans="1:22"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spans="1:22"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spans="1:22"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spans="1:22"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spans="1:2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spans="1:22"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spans="1:22"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spans="1:22"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spans="1:22"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spans="1:22"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spans="1:22"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spans="1:22"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spans="1:22"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spans="1:22"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spans="1:2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spans="1:22"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spans="1:22"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spans="1:22"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spans="1:22"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spans="1:22"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spans="1:22"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spans="1:22"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spans="1:22"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spans="1:22"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spans="1:2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spans="1:22"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spans="1:22"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spans="1:22"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spans="1:22"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spans="1:22"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spans="1:22"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spans="1:22"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spans="1:22"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spans="1:22"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spans="1:2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spans="1:22"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spans="1:22"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spans="1:22"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spans="1:22"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spans="1:22"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spans="1:22"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spans="1:22"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spans="1:22"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spans="1:22"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spans="1:2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spans="1:22"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spans="1:22"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spans="1:22"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spans="1:22"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spans="1:22"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spans="1:22"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spans="1:22"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spans="1:22"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spans="1:22"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spans="1:2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spans="1:22"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spans="1:22"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spans="1:22"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spans="1:22"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spans="1:22"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spans="1:22"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spans="1:22"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spans="1:22"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spans="1:22"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spans="1:2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spans="1:22"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spans="1:22"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spans="1:22"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spans="1:22"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spans="1:22"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spans="1:22"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spans="1:22"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spans="1:22"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spans="1:22"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spans="1:2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spans="1:22"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spans="1:22"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spans="1:22"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spans="1:22"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spans="1:22"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spans="1:22"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spans="1:22"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spans="1:22"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spans="1:22"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spans="1: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spans="1:22"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spans="1:22"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spans="1:22"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spans="1:22"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spans="1:22"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spans="1:22"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spans="1:22"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spans="1:22"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spans="1:22"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spans="1:2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spans="1:22"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spans="1:22"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spans="1:22"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spans="1:22"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spans="1:22"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spans="1:22"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spans="1:22"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spans="1:22"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spans="1:22"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spans="1:2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spans="1:22"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spans="1:22"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spans="1:22"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spans="1:22"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spans="1:22"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spans="1:22"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spans="1:22"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spans="1:22"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spans="1:22"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spans="1:2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spans="1:22"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spans="1:22"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spans="1:22"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spans="1:22"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spans="1:22"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spans="1:22"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spans="1:22"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spans="1:22"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spans="1:22"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spans="1:2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spans="1:22"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spans="1:22"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spans="1:22"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spans="1:22"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spans="1:22"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spans="1:22"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spans="1:22"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spans="1:22"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spans="1:22"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spans="1:2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spans="1:22"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spans="1:22"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spans="1:22"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spans="1:22"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spans="1:22"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spans="1:22"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spans="1:22"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spans="1:22"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spans="1:22"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spans="1:2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spans="1:22"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spans="1:22"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spans="1:22"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spans="1:22"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spans="1:22"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spans="1:22"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spans="1:22"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spans="1:22"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spans="1:22"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spans="1:2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spans="1:22"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spans="1:22"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spans="1:22"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spans="1:22"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spans="1:22"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spans="1:22"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spans="1:22"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spans="1:22"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spans="1:22"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spans="1:2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spans="1:22"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spans="1:22"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spans="1:22"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spans="1:22"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spans="1:22"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spans="1:22"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spans="1:22"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spans="1:22"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spans="1:22"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spans="1:2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spans="1:22"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spans="1:22"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spans="1:22"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spans="1:22"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spans="1:22"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spans="1:22"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spans="1:22"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spans="1:22"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spans="1:22"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spans="1: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spans="1:22"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spans="1:22"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spans="1:22"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spans="1:22"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spans="1:22"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spans="1:22"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spans="1:22"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spans="1:22"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spans="1:22"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spans="1:2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spans="1:22"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spans="1:22"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spans="1:22"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spans="1:22"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spans="1:22"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spans="1:22"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spans="1:22"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spans="1:22"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spans="1:22"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spans="1:2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spans="1:22"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spans="1:22"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spans="1:22"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spans="1:22"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spans="1:22"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spans="1:22"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spans="1:22"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spans="1:22"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spans="1:22"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spans="1:2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spans="1:22"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spans="1:22"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spans="1:22"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spans="1:22"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spans="1:22"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spans="1:22"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spans="1:22"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spans="1:22"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spans="1:22"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spans="1:2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spans="1:22"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spans="1:22"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spans="1:22"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spans="1:22"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spans="1:22"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spans="1:22"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spans="1:22"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spans="1:22"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spans="1:22"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spans="1:2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spans="1:22"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spans="1:22"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spans="1:22"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spans="1:22"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spans="1:22"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spans="1:22"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spans="1:22"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spans="1:22"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spans="1:22"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spans="1:2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spans="1:22"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spans="1:22"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spans="1:22"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spans="1:22"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spans="1:22"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spans="1:22"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spans="1:22"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spans="1:22"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spans="1:22"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spans="1:2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spans="1:22"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spans="1:22"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spans="1:22"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spans="1:22"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spans="1:22"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spans="1:22"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spans="1:22"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spans="1:22"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spans="1:22"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spans="1:2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spans="1:22"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spans="1:22"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spans="1:22"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spans="1:22"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spans="1:22"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spans="1:22"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spans="1:22"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spans="1:22"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spans="1:22"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spans="1:2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spans="1:22"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spans="1:22"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spans="1:22"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spans="1:22"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spans="1:22"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spans="1:22"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spans="1:22"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spans="1:22"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spans="1:22"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spans="1: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spans="1:22"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spans="1:22"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spans="1:22"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spans="1:22"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spans="1:22"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spans="1:22"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spans="1:22"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spans="1:22"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spans="1:22"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spans="1:2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spans="1:22"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spans="1:22"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spans="1:22"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spans="1:22"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spans="1:22"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spans="1:22"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spans="1:22"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spans="1:22"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spans="1:22"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spans="1:2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spans="1:22"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spans="1:22"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spans="1:22"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spans="1:22"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spans="1:22"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spans="1:22"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spans="1:22"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spans="1:22"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spans="1:22"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spans="1:2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spans="1:22"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spans="1:22"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spans="1:22"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spans="1:22"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spans="1:22"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spans="1:22"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spans="1:22"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spans="1:22"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spans="1:22"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spans="1:2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spans="1:22"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spans="1:22"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spans="1:22"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spans="1:22"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spans="1:22"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spans="1:22"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spans="1:22"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spans="1:22"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spans="1:22"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spans="1:2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spans="1:22"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spans="1:22"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spans="1:22"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spans="1:22"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spans="1:22"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spans="1:22"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spans="1:22"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spans="1:22"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spans="1:22"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spans="1:2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spans="1:22"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spans="1:22"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spans="1:22"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spans="1:22"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spans="1:22"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spans="1:22"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spans="1:22"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spans="1:22"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spans="1:22"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spans="1:2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spans="1:22"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spans="1:22"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spans="1:22"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1"/>
    <col min="2" max="2" width="24.7265625" bestFit="1" customWidth="1"/>
    <col min="3" max="3" width="22.453125" bestFit="1" customWidth="1"/>
    <col min="4" max="5" width="22.453125" customWidth="1"/>
    <col min="6" max="9" width="16" customWidth="1"/>
    <col min="10" max="10" width="23" bestFit="1" customWidth="1"/>
    <col min="11" max="11" width="16" customWidth="1"/>
    <col min="12" max="12" width="26.1796875" bestFit="1" customWidth="1"/>
    <col min="13" max="13" width="23.7265625" bestFit="1" customWidth="1"/>
    <col min="14" max="21" width="16" customWidth="1"/>
  </cols>
  <sheetData>
    <row r="1" spans="1:21" s="15" customFormat="1"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spans="1:21"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 xml:space="preserve">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spans="1:21"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spans="1:21"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spans="1:21"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spans="1:21"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spans="1:21"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spans="1:21"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spans="1:21"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spans="1:21"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spans="1:2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spans="1:21"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spans="1:21"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spans="1:21"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spans="1:21"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spans="1:21"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spans="1:21"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spans="1:21"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spans="1:21"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spans="1:21"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spans="1: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spans="1:21"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spans="1:21"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spans="1:21"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spans="1:21"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spans="1:21"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spans="1:21"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spans="1:21"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spans="1:21"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spans="1:21"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spans="1:2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spans="1:21"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spans="1:21"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spans="1:21"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spans="1:21"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spans="1:21"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spans="1:21"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spans="1:21"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spans="1:21"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spans="1:21"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spans="1:2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spans="1:21"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spans="1:21"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spans="1:21"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spans="1:21"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spans="1:21"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spans="1:21"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spans="1:21"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spans="1:21"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spans="1:21"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spans="1:2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spans="1:21"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spans="1:21"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spans="1:21"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spans="1:21"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spans="1:21"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spans="1:21"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spans="1:21"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spans="1:21"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spans="1:21"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spans="1:2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spans="1:21"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spans="1:21"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spans="1:21"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spans="1:21"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spans="1:21"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spans="1:21"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spans="1:21"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spans="1:21"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spans="1:21"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spans="1:2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spans="1:21"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spans="1:21"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spans="1:21"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spans="1:21"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spans="1:21"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spans="1:21"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spans="1:21"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spans="1:21"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spans="1:21"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spans="1:2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spans="1:21"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spans="1:21"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spans="1:21"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spans="1:21"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spans="1:21"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spans="1:21"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spans="1:21"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spans="1:21"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spans="1:21"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spans="1:2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spans="1:21"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spans="1:21"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spans="1:21"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spans="1:21"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spans="1:21"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spans="1:21"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spans="1:21"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spans="1:21"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spans="1:21"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spans="1:2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spans="1:21"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spans="1:21"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spans="1:21"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spans="1:21"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spans="1:21"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spans="1:21"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spans="1:21"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spans="1:21"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spans="1:21"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spans="1:2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spans="1:21"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spans="1:21"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spans="1:21"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spans="1:21"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spans="1:21"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spans="1:21"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spans="1:21"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spans="1:21"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spans="1:21"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spans="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spans="1:21"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spans="1:21"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spans="1:21"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spans="1:21"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spans="1:21"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spans="1:21"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spans="1:21"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spans="1:21"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spans="1:21"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spans="1:2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spans="1:21"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spans="1:21"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spans="1:21"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spans="1:21"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spans="1:21"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spans="1:21"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spans="1:21"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spans="1:21"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spans="1:21"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spans="1:2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spans="1:21"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spans="1:21"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spans="1:21"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spans="1:21"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spans="1:21"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spans="1:21"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spans="1:21"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spans="1:21"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spans="1:21"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spans="1:2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spans="1:21"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spans="1:21"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spans="1:21"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spans="1:21"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spans="1:21"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spans="1:21"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spans="1:21"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spans="1:21"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spans="1:21"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spans="1:2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spans="1:21"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spans="1:21"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spans="1:21"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spans="1:21"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spans="1:21"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spans="1:21"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spans="1:21"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spans="1:21"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spans="1:21"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spans="1:2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spans="1:21"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spans="1:21"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spans="1:21"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spans="1:21"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spans="1:21"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spans="1:21"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spans="1:21"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spans="1:21"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spans="1:21"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spans="1:2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spans="1:21"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spans="1:21"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spans="1:21"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spans="1:21"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spans="1:21"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spans="1:21"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spans="1:21"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spans="1:21"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spans="1:21"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spans="1:2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spans="1:21"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spans="1:21"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spans="1:21"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spans="1:21"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spans="1:21"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spans="1:21"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spans="1:21"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spans="1:21"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spans="1:21"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spans="1:2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spans="1:21"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spans="1:21"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spans="1:21"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spans="1:21"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spans="1:21"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spans="1:21"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spans="1:21"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spans="1:21"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spans="1:21"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spans="1:2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spans="1:21"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spans="1:21"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spans="1:21"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spans="1:21"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spans="1:21"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spans="1:21"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spans="1:21"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spans="1:21"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spans="1:21"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spans="1: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spans="1:21"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spans="1:21"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spans="1:21"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spans="1:21"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spans="1:21"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spans="1:21"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spans="1:21"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spans="1:21"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spans="1:21"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spans="1:2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spans="1:21"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spans="1:21"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spans="1:21"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spans="1:21"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spans="1:21"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spans="1:21"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spans="1:21"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spans="1:21"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spans="1:21"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spans="1:2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spans="1:21"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spans="1:21"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spans="1:21"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spans="1:21"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spans="1:21"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spans="1:21"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spans="1:21"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spans="1:21"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spans="1:21"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spans="1:2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spans="1:21"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spans="1:21"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spans="1:21"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spans="1:21"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spans="1:21"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spans="1:21"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spans="1:21"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spans="1:21"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spans="1:21"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spans="1:2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spans="1:21"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spans="1:21"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spans="1:21"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spans="1:21"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spans="1:21"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spans="1:21"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spans="1:21"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spans="1:21"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spans="1:21"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spans="1:2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spans="1:21"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spans="1:21"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spans="1:21"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spans="1:21"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spans="1:21"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spans="1:21"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spans="1:21"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spans="1:21"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spans="1:21"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spans="1:2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spans="1:21"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spans="1:21"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spans="1:21"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spans="1:21"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spans="1:21"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spans="1:21"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spans="1:21"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spans="1:21"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spans="1:21"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spans="1:2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spans="1:21"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spans="1:21"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spans="1:21"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spans="1:21"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spans="1:21"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spans="1:21"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spans="1:21"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spans="1:21"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spans="1:21"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spans="1:2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spans="1:21"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spans="1:21"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spans="1:21"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spans="1:21"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spans="1:21"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spans="1:21"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spans="1:21"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spans="1:21"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spans="1:21"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spans="1:2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spans="1:21"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spans="1:21"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spans="1:21"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spans="1:21"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spans="1:21"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spans="1:21"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spans="1:21"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spans="1:21"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spans="1:21"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spans="1: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spans="1:21"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spans="1:21"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spans="1:21"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spans="1:21"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spans="1:21"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spans="1:21"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spans="1:21"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spans="1:21"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spans="1:21"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spans="1:2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spans="1:21"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spans="1:21"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spans="1:21"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spans="1:21"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spans="1:21"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spans="1:21"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spans="1:21"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spans="1:21"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spans="1:21"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spans="1:2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spans="1:21"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spans="1:21"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spans="1:21"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spans="1:21"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spans="1:21"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spans="1:21"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spans="1:21"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spans="1:21"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spans="1:21"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spans="1:2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spans="1:21"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spans="1:21"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spans="1:21"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spans="1:21"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spans="1:21"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spans="1:21"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spans="1:21"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spans="1:21"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spans="1:21"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spans="1:2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spans="1:21"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spans="1:21"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spans="1:21"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spans="1:21"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spans="1:21"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spans="1:21"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spans="1:21"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spans="1:21"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spans="1:21"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spans="1:2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spans="1:21"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spans="1:21"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spans="1:21"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spans="1:21"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spans="1:21"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spans="1:21"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spans="1:21"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spans="1:21"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spans="1:21"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spans="1:2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spans="1:21"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spans="1:21"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spans="1:21"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spans="1:21"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spans="1:21"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spans="1:21"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spans="1:21"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spans="1:21"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spans="1:21"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spans="1:2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spans="1:21"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spans="1:21"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spans="1:21"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spans="1:21"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spans="1:21"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spans="1:21"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spans="1:21"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spans="1:21"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spans="1:21"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spans="1:2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spans="1:21"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spans="1:21"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spans="1:21"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spans="1:21"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spans="1:21"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spans="1:21"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spans="1:21"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spans="1:21"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spans="1:21"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spans="1:2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spans="1:21"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spans="1:21"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spans="1:21"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spans="1:21"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spans="1:21"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spans="1:21"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spans="1:21"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spans="1:21"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spans="1:21"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spans="1: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spans="1:21"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spans="1:21"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spans="1:21"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spans="1:21"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spans="1:21"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spans="1:21"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spans="1:21"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spans="1:21"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spans="1:21"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spans="1:2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spans="1:21"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spans="1:21"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spans="1:21"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spans="1:21"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spans="1:21"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spans="1:21"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spans="1:21"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spans="1:21"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spans="1:21"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spans="1:2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spans="1:21"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spans="1:21"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spans="1:21"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spans="1:21"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spans="1:21"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spans="1:21"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spans="1:21"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spans="1:21"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spans="1:21"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spans="1:2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spans="1:21"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spans="1:21"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spans="1:21"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spans="1:21"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spans="1:21"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spans="1:21"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spans="1:21"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spans="1:21"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spans="1:21"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spans="1:2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spans="1:21"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spans="1:21"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spans="1:21"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spans="1:21"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spans="1:21"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spans="1:21"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spans="1:21"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spans="1:21"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spans="1:21"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spans="1:2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spans="1:21"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spans="1:21"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spans="1:21"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spans="1:21"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spans="1:21"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spans="1:21"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spans="1:21"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spans="1:21"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spans="1:21"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spans="1:2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spans="1:21"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spans="1:21"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spans="1:21"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spans="1:21"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spans="1:21"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spans="1:21"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spans="1:21"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spans="1:21"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spans="1:21"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spans="1:2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spans="1:21"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spans="1:21"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spans="1:21"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spans="1:21"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spans="1:21"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spans="1:21"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spans="1:21"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spans="1:21"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spans="1:21"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spans="1:2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spans="1:21"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spans="1:21"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spans="1:21"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spans="1:21"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spans="1:21"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spans="1:21"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spans="1:21"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spans="1:21"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spans="1:21"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spans="1:2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spans="1:21"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spans="1:21"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spans="1:21"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spans="1:21"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spans="1:21"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spans="1:21"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spans="1:21"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spans="1:21"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spans="1:21"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spans="1: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spans="1:21"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spans="1:21"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spans="1:21"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spans="1:21"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spans="1:21"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spans="1:21"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spans="1:21"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spans="1:21"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spans="1:21"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spans="1:2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spans="1:21"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spans="1:21"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spans="1:21"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spans="1:21"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spans="1:21"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spans="1:21"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spans="1:21"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spans="1:21"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spans="1:21"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spans="1:2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spans="1:21"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spans="1:21"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spans="1:21"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spans="1:21"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spans="1:21"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spans="1:21"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spans="1:21"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spans="1:21"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spans="1:21"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spans="1:2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spans="1:21"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spans="1:21"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spans="1:21"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spans="1:21"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spans="1:21"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spans="1:21"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spans="1:21"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spans="1:21"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spans="1:21"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spans="1:2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spans="1:21"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spans="1:21"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spans="1:21"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spans="1:21"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spans="1:21"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spans="1:21"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spans="1:21"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spans="1:21"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spans="1:21"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spans="1:2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spans="1:21"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spans="1:21"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spans="1:21"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spans="1:21"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spans="1:21"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spans="1:21"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spans="1:21"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spans="1:21"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spans="1:21"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spans="1:2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spans="1:21"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spans="1:21"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spans="1:21"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spans="1:21"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spans="1:21"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spans="1:21"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spans="1:21"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spans="1:21"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spans="1:21"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spans="1:2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spans="1:21"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spans="1:21"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spans="1:21"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spans="1:21"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spans="1:21"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spans="1:21"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spans="1:21"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spans="1:21"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spans="1:21"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1" customWidth="1"/>
    <col min="2" max="2" width="38.7265625" style="23" customWidth="1"/>
    <col min="3" max="3" width="26.1796875" bestFit="1" customWidth="1"/>
    <col min="4" max="4" width="55.1796875" bestFit="1" customWidth="1"/>
    <col min="5" max="5" width="35.54296875" customWidth="1"/>
    <col min="6" max="6" width="30.54296875" customWidth="1"/>
    <col min="7" max="7" width="22.453125" bestFit="1" customWidth="1"/>
    <col min="9" max="11" width="21" style="2" bestFit="1" customWidth="1"/>
    <col min="12" max="12" width="21" style="1" bestFit="1" customWidth="1"/>
    <col min="13" max="13" width="21" style="2" bestFit="1" customWidth="1"/>
    <col min="14" max="14" width="21" style="1" customWidth="1"/>
    <col min="15" max="16" width="21" style="1" bestFit="1" customWidth="1"/>
    <col min="17" max="18" width="21" style="1" customWidth="1"/>
  </cols>
  <sheetData>
    <row r="1" spans="1:2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spans="1:21"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xml:space="preserve"> 4/27/2026</v>
      </c>
      <c r="J2" s="2" t="str" cm="1">
        <f t="array" ref="J2:J994">+IF('Seguimiento grupos focales'!V7:V999&lt;&gt;"",'Seguimiento grupos focales'!V7:V999,"")</f>
        <v xml:space="preserve">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spans="1:21" x14ac:dyDescent="0.35">
      <c r="A3" s="15" t="str">
        <v>2</v>
      </c>
      <c r="B3" s="5" t="str">
        <v>Cinthia Navarro</v>
      </c>
      <c r="C3" s="1" t="str">
        <v>Grupo focal de reconocimiento</v>
      </c>
      <c r="D3" s="1" t="str">
        <v>Oxfam</v>
      </c>
      <c r="E3" s="1" t="str">
        <v>Expertos en la temática</v>
      </c>
      <c r="F3" s="1" t="str">
        <v>Nacional</v>
      </c>
      <c r="G3" s="1" t="str">
        <v>IJM</v>
      </c>
      <c r="H3" s="1" t="str">
        <v>Sí</v>
      </c>
      <c r="I3" s="2" t="str">
        <v xml:space="preserve"> 4/27/2026</v>
      </c>
      <c r="J3" s="2" t="str">
        <v xml:space="preserve">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spans="1:21"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xml:space="preserve">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spans="1:21"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xml:space="preserve"> 9-Apr</v>
      </c>
      <c r="J5" s="2" t="str">
        <v xml:space="preserve"> 6-May</v>
      </c>
      <c r="K5" s="2" t="str">
        <v/>
      </c>
      <c r="L5" s="1" t="str">
        <v>Sin respuesta</v>
      </c>
      <c r="M5" s="2" t="str">
        <v/>
      </c>
      <c r="N5" s="1" t="str">
        <v/>
      </c>
      <c r="O5" s="1" t="str">
        <v>Grupo focal 2</v>
      </c>
      <c r="P5" s="1" t="str">
        <v/>
      </c>
      <c r="Q5" s="1">
        <f t="shared" si="0"/>
        <v>1</v>
      </c>
      <c r="R5" s="1">
        <f t="shared" si="1"/>
        <v>0</v>
      </c>
      <c r="S5">
        <v>1</v>
      </c>
      <c r="T5">
        <f t="shared" si="2"/>
        <v>0</v>
      </c>
      <c r="U5">
        <f t="shared" si="3"/>
        <v>0</v>
      </c>
    </row>
    <row r="6" spans="1:21" x14ac:dyDescent="0.35">
      <c r="A6" s="15" t="str">
        <v>5</v>
      </c>
      <c r="B6" s="5" t="str">
        <v>Silvia Romero Borda</v>
      </c>
      <c r="C6" s="1" t="str">
        <v>Grupo focal de reconocimiento</v>
      </c>
      <c r="D6" s="1" t="str">
        <v>GIZ</v>
      </c>
      <c r="E6" s="1" t="str">
        <v>Expertos en la temática</v>
      </c>
      <c r="F6" s="1" t="str">
        <v>Nacional</v>
      </c>
      <c r="G6" s="1" t="str">
        <v>IJM</v>
      </c>
      <c r="H6" s="1" t="str">
        <v>Sí</v>
      </c>
      <c r="I6" s="2" t="str">
        <v xml:space="preserve">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spans="1:21"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spans="1:21"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xml:space="preserve"> 4/27/2026</v>
      </c>
      <c r="J8" s="2" t="str">
        <v xml:space="preserve">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spans="1:21"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xml:space="preserve">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spans="1:21" x14ac:dyDescent="0.35">
      <c r="A10" s="15" t="str">
        <v>9</v>
      </c>
      <c r="B10" s="5" t="str">
        <v>Oscar Andrés Alva Arías</v>
      </c>
      <c r="C10" s="1" t="str">
        <v>Grupo focal de reconocimiento</v>
      </c>
      <c r="D10" s="1" t="str">
        <v xml:space="preserve">Ministerio de la Mujer </v>
      </c>
      <c r="E10" s="1" t="str">
        <v>Actores locales</v>
      </c>
      <c r="F10" s="1" t="str">
        <v>Nacional</v>
      </c>
      <c r="G10" s="1" t="str">
        <v>IJM</v>
      </c>
      <c r="H10" s="1" t="str">
        <v>Sí</v>
      </c>
      <c r="I10" s="2" t="str">
        <v xml:space="preserve">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spans="1:2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xml:space="preserve">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spans="1:21"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xml:space="preserve"> 6-May</v>
      </c>
      <c r="K12" s="2" t="str">
        <v xml:space="preserve"> 8-May</v>
      </c>
      <c r="L12" s="1" t="str">
        <v>Sin respuesta</v>
      </c>
      <c r="M12" s="2" t="str">
        <v/>
      </c>
      <c r="N12" s="1" t="str">
        <v/>
      </c>
      <c r="O12" s="1" t="str">
        <v>Grupo focal 2</v>
      </c>
      <c r="P12" s="1" t="str">
        <v/>
      </c>
      <c r="Q12" s="1">
        <f t="shared" si="0"/>
        <v>1</v>
      </c>
      <c r="R12" s="1">
        <f t="shared" si="1"/>
        <v>0</v>
      </c>
      <c r="S12">
        <v>1</v>
      </c>
      <c r="T12">
        <f t="shared" si="2"/>
        <v>0</v>
      </c>
      <c r="U12">
        <f t="shared" si="3"/>
        <v>0</v>
      </c>
    </row>
    <row r="13" spans="1:21"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xml:space="preserve"> 6-May</v>
      </c>
      <c r="K13" s="2" t="str">
        <v xml:space="preserve"> 8-May</v>
      </c>
      <c r="L13" s="1" t="str">
        <v>Sin respuesta</v>
      </c>
      <c r="M13" s="2" t="str">
        <v/>
      </c>
      <c r="N13" s="1" t="str">
        <v/>
      </c>
      <c r="O13" s="1" t="str">
        <v>Grupo focal 1</v>
      </c>
      <c r="P13" s="1" t="str">
        <v/>
      </c>
      <c r="Q13" s="1">
        <f t="shared" si="0"/>
        <v>1</v>
      </c>
      <c r="R13" s="1">
        <f t="shared" si="1"/>
        <v>0</v>
      </c>
      <c r="S13">
        <v>1</v>
      </c>
      <c r="T13">
        <f t="shared" si="2"/>
        <v>0</v>
      </c>
      <c r="U13">
        <f t="shared" si="3"/>
        <v>0</v>
      </c>
    </row>
    <row r="14" spans="1:21"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xml:space="preserve">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spans="1:21"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xml:space="preserve"> 6-May</v>
      </c>
      <c r="K15" s="2" t="str">
        <v xml:space="preserve"> 8-May</v>
      </c>
      <c r="L15" s="1" t="str">
        <v>Aceptada</v>
      </c>
      <c r="M15" s="2" t="str">
        <v>20-May</v>
      </c>
      <c r="N15" s="1" t="str">
        <v/>
      </c>
      <c r="O15" s="1" t="str">
        <v>Grupo focal 2</v>
      </c>
      <c r="P15" s="1" t="str">
        <v/>
      </c>
      <c r="Q15" s="1">
        <f t="shared" si="0"/>
        <v>1</v>
      </c>
      <c r="R15" s="1">
        <f t="shared" si="1"/>
        <v>0</v>
      </c>
      <c r="S15">
        <v>1</v>
      </c>
      <c r="T15">
        <f t="shared" si="2"/>
        <v>0</v>
      </c>
      <c r="U15">
        <f t="shared" si="3"/>
        <v>1</v>
      </c>
    </row>
    <row r="16" spans="1:21"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spans="1:21"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xml:space="preserve">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spans="1:21"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xml:space="preserve"> 6-May</v>
      </c>
      <c r="K18" s="2" t="str">
        <v xml:space="preserve"> 8-May</v>
      </c>
      <c r="L18" s="1" t="str">
        <v>Sin respuesta</v>
      </c>
      <c r="M18" s="2" t="str">
        <v/>
      </c>
      <c r="N18" s="1" t="str">
        <v/>
      </c>
      <c r="O18" s="1" t="str">
        <v>Grupo focal 1</v>
      </c>
      <c r="P18" s="1" t="str">
        <v/>
      </c>
      <c r="Q18" s="1">
        <f t="shared" si="0"/>
        <v>1</v>
      </c>
      <c r="R18" s="1">
        <f t="shared" si="1"/>
        <v>0</v>
      </c>
      <c r="S18">
        <v>1</v>
      </c>
      <c r="T18">
        <f t="shared" si="2"/>
        <v>0</v>
      </c>
      <c r="U18">
        <f t="shared" si="3"/>
        <v>0</v>
      </c>
    </row>
    <row r="19" spans="1:21"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xml:space="preserve"> 6-May</v>
      </c>
      <c r="K19" s="2" t="str">
        <v xml:space="preserve"> 8-May</v>
      </c>
      <c r="L19" s="1" t="str">
        <v>Sin respuesta</v>
      </c>
      <c r="M19" s="2" t="str">
        <v/>
      </c>
      <c r="N19" s="1" t="str">
        <v/>
      </c>
      <c r="O19" s="1" t="str">
        <v>Grupo focal 2</v>
      </c>
      <c r="P19" s="1" t="str">
        <v/>
      </c>
      <c r="Q19" s="1">
        <f t="shared" si="0"/>
        <v>1</v>
      </c>
      <c r="R19" s="1">
        <f t="shared" si="1"/>
        <v>0</v>
      </c>
      <c r="S19">
        <v>1</v>
      </c>
      <c r="T19">
        <f t="shared" si="2"/>
        <v>0</v>
      </c>
      <c r="U19">
        <f t="shared" si="3"/>
        <v>0</v>
      </c>
    </row>
    <row r="20" spans="1:21"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xml:space="preserve">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spans="1: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xml:space="preserve">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spans="1:21"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xml:space="preserve">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spans="1:21"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xml:space="preserve">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spans="1:21"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xml:space="preserve">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spans="1:21"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spans="1:21" x14ac:dyDescent="0.35">
      <c r="A26" s="15" t="str">
        <v>25</v>
      </c>
      <c r="B26" s="5" t="str">
        <v xml:space="preserve">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xml:space="preserve"> 4/27/2026</v>
      </c>
      <c r="J26" s="2" t="str">
        <v xml:space="preserve">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spans="1:21"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xml:space="preserve">  5/7/2026</v>
      </c>
      <c r="J27" s="2" t="str">
        <v xml:space="preserve">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spans="1:21" x14ac:dyDescent="0.35">
      <c r="A28" s="15" t="str">
        <v>27</v>
      </c>
      <c r="B28" s="5" t="str">
        <v xml:space="preserve">Norma Rojas </v>
      </c>
      <c r="C28" s="1" t="str">
        <v>Grupo focal de reconocimiento</v>
      </c>
      <c r="D28" s="1" t="str">
        <v>Ministerio del Interior</v>
      </c>
      <c r="E28" s="1" t="str">
        <v>Funcionarios del Sistema</v>
      </c>
      <c r="F28" s="1" t="str">
        <v>Distrito Judicial: Apurímac</v>
      </c>
      <c r="G28" s="1" t="str">
        <v>IJM</v>
      </c>
      <c r="H28" s="1" t="str">
        <v>Sí</v>
      </c>
      <c r="I28" s="2" t="str">
        <v xml:space="preserve">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spans="1:21"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xml:space="preserve"> 4/27/2026</v>
      </c>
      <c r="J29" s="2" t="str">
        <v xml:space="preserve">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spans="1:21"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xml:space="preserve"> 6-May</v>
      </c>
      <c r="J30" s="2" t="str">
        <v xml:space="preserve">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spans="1:2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xml:space="preserve"> 6-May</v>
      </c>
      <c r="J31" s="2" t="str">
        <v xml:space="preserve">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spans="1:21"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xml:space="preserve">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spans="1:21"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xml:space="preserve"> 6-May</v>
      </c>
      <c r="J33" s="2" t="str">
        <v xml:space="preserve"> 8-May</v>
      </c>
      <c r="K33" s="2" t="str">
        <v/>
      </c>
      <c r="L33" s="1" t="str">
        <v>En coordinación</v>
      </c>
      <c r="M33" s="2" t="str">
        <v/>
      </c>
      <c r="N33" s="1" t="str">
        <v/>
      </c>
      <c r="O33" s="1" t="str">
        <v/>
      </c>
      <c r="P33" s="1" t="str">
        <v/>
      </c>
      <c r="Q33" s="1">
        <f t="shared" si="0"/>
        <v>1</v>
      </c>
      <c r="R33" s="1">
        <f t="shared" si="1"/>
        <v>1</v>
      </c>
      <c r="S33">
        <v>1</v>
      </c>
      <c r="T33">
        <f t="shared" si="2"/>
        <v>0</v>
      </c>
      <c r="U33">
        <f t="shared" si="3"/>
        <v>0</v>
      </c>
    </row>
    <row r="34" spans="1:21"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xml:space="preserve"> 4/27/2026</v>
      </c>
      <c r="J34" s="2" t="str">
        <v xml:space="preserve">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spans="1:21" x14ac:dyDescent="0.35">
      <c r="A35" s="15" t="str">
        <v>34</v>
      </c>
      <c r="B35" s="23" t="str">
        <v>Zoila Cabanillas</v>
      </c>
      <c r="C35" t="str">
        <v>Grupo focal de reconocimiento</v>
      </c>
      <c r="D35" t="str">
        <v>Wami Ñan</v>
      </c>
      <c r="E35" t="str">
        <v>Acompañantes</v>
      </c>
      <c r="F35" t="str">
        <v>Distrito Judicial: Lima</v>
      </c>
      <c r="G35" t="str">
        <v>IJM</v>
      </c>
      <c r="H35" t="str">
        <v>Sí</v>
      </c>
      <c r="I35" s="2" t="str">
        <v xml:space="preserve"> 4/27/2026</v>
      </c>
      <c r="J35" s="2" t="str">
        <v xml:space="preserve">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spans="1:21"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spans="1:21"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xml:space="preserve"> 6-May</v>
      </c>
      <c r="K37" s="2" t="str">
        <v xml:space="preserve">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spans="1:21"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xml:space="preserve">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spans="1:21"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spans="1:21"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xml:space="preserve"> 6-May</v>
      </c>
      <c r="K40" s="2" t="str">
        <v xml:space="preserve"> 8-May</v>
      </c>
      <c r="L40" s="1" t="str">
        <v>Sin respuesta</v>
      </c>
      <c r="M40" s="2" t="str">
        <v/>
      </c>
      <c r="N40" s="1" t="str">
        <v/>
      </c>
      <c r="O40" s="1" t="str">
        <v>Grupo focal 2</v>
      </c>
      <c r="P40" s="1" t="str">
        <v/>
      </c>
      <c r="Q40" s="1">
        <f t="shared" si="0"/>
        <v>1</v>
      </c>
      <c r="R40" s="1">
        <f t="shared" si="1"/>
        <v>0</v>
      </c>
      <c r="S40">
        <v>1</v>
      </c>
      <c r="T40">
        <f t="shared" si="2"/>
        <v>0</v>
      </c>
      <c r="U40">
        <f t="shared" si="3"/>
        <v>0</v>
      </c>
    </row>
    <row r="41" spans="1:2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xml:space="preserve">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spans="1:21"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xml:space="preserve">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spans="1:21"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xml:space="preserve">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spans="1:21" x14ac:dyDescent="0.35">
      <c r="A44" s="21" t="str">
        <v>43</v>
      </c>
      <c r="B44" s="23" t="str">
        <v>Elga Prado</v>
      </c>
      <c r="C44" t="str">
        <v>Grupo focal de reconocimiento</v>
      </c>
      <c r="D44" t="str">
        <v>Manuela Ramos</v>
      </c>
      <c r="E44" t="str">
        <v>Actores locales</v>
      </c>
      <c r="F44" t="str">
        <v>Nacional</v>
      </c>
      <c r="G44" t="str">
        <v>IJM</v>
      </c>
      <c r="H44" t="str">
        <v>Sí</v>
      </c>
      <c r="I44" s="2" t="str">
        <v xml:space="preserve">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spans="1:21" x14ac:dyDescent="0.35">
      <c r="A45" s="21" t="str">
        <v>44</v>
      </c>
      <c r="B45" s="23" t="str">
        <v xml:space="preserve">Fabiana Rodari </v>
      </c>
      <c r="C45" t="str">
        <v>Grupo focal de reconocimiento</v>
      </c>
      <c r="D45" t="str">
        <v>Apurímac ETS</v>
      </c>
      <c r="E45" t="str">
        <v>Acompañantes</v>
      </c>
      <c r="F45" t="str">
        <v>Distrito Judicial: Apurímac</v>
      </c>
      <c r="G45" t="str">
        <v>IJM</v>
      </c>
      <c r="H45" t="str">
        <v>Sí</v>
      </c>
      <c r="I45" s="2" t="str">
        <v xml:space="preserve">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spans="1:21"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spans="1:21" x14ac:dyDescent="0.35">
      <c r="A47" s="21" t="str">
        <v>46</v>
      </c>
      <c r="B47" s="23" t="str">
        <v>Patricia Nieto</v>
      </c>
      <c r="C47" t="str">
        <v>Grupo focal de reconocimiento</v>
      </c>
      <c r="D47" t="str">
        <v>ONG Buckner</v>
      </c>
      <c r="E47" t="str">
        <v>Actores locales</v>
      </c>
      <c r="F47" t="str">
        <v>Nacional</v>
      </c>
      <c r="G47" t="str">
        <v>IJM</v>
      </c>
      <c r="H47" t="str">
        <v>Sí</v>
      </c>
      <c r="I47" s="2" t="str">
        <v xml:space="preserve">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spans="1:21"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spans="1:21"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spans="1:21" x14ac:dyDescent="0.35">
      <c r="A50" s="21" t="str">
        <v>49</v>
      </c>
      <c r="B50" s="23" t="str">
        <v>Susana Osorio</v>
      </c>
      <c r="C50" t="str">
        <v>Grupo focal de reconocimiento</v>
      </c>
      <c r="D50" t="str">
        <v xml:space="preserve">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spans="1:21" x14ac:dyDescent="0.35">
      <c r="A51" s="21" t="str">
        <v>50</v>
      </c>
      <c r="B51" s="23" t="str">
        <v>Diana Rodriguez / Antonella Rojas</v>
      </c>
      <c r="C51" t="str">
        <v>Grupo focal de reconocimiento</v>
      </c>
      <c r="D51" t="str">
        <v xml:space="preserve">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spans="1:21"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spans="1:21"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spans="1:21"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spans="1:21"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spans="1:21"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spans="1:21"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spans="1:21"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spans="1:21"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spans="1:21"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spans="1:2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spans="1:21"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spans="1:21"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spans="1:21"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spans="1:21"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spans="1:21"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spans="1:21"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spans="1:21"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spans="1:21"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spans="1:21"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spans="1:2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spans="1:21"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spans="1:21"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spans="1:21"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spans="1:21"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spans="1:21"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spans="1:21"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spans="1:21"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spans="1:21"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spans="1:21"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spans="1:2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spans="1:21"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spans="1:21"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spans="1:21"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spans="1:21"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spans="1:21"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spans="1:21"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spans="1:21"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spans="1:21"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spans="1:21"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spans="1:2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spans="1:21"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spans="1:21"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spans="1:21"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spans="1:21"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spans="1:21"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spans="1:21"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spans="1:21"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spans="1:21"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spans="1:21"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spans="1:2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spans="1:21"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spans="1:21"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spans="1:21"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spans="1:21"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spans="1:21"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spans="1:21"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spans="1:21"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spans="1:21"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spans="1:21"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spans="1:2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spans="1:21"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spans="1:21"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spans="1:21"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spans="1:21"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spans="1:21"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spans="1:21"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spans="1:21"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spans="1:21"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spans="1:21"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spans="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spans="1:21"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spans="1:21"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spans="1:21"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spans="1:21"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spans="1:21"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spans="1:21"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spans="1:21"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spans="1:21"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spans="1:21"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spans="1:2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spans="1:21"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spans="1:21"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spans="1:21"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spans="1:21"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spans="1:21"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spans="1:21"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spans="1:21"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spans="1:21"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spans="1:21"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spans="1:2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spans="1:21"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spans="1:21"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spans="1:21"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spans="1:21"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spans="1:21"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spans="1:21"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spans="1:21"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spans="1:21"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spans="1:21"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spans="1:2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spans="1:21"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spans="1:21"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spans="1:21"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spans="1:21"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spans="1:21"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spans="1:21"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spans="1:21"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spans="1:21"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spans="1:21"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spans="1:2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spans="1:21"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spans="1:21"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spans="1:21"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spans="1:21"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spans="1:21"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spans="1:21"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spans="1:21"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spans="1:21"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spans="1:21"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spans="1:2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spans="1:21"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spans="1:21"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spans="1:21"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spans="1:21"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spans="1:21"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spans="1:21"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spans="1:21"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spans="1:21"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spans="1:21"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spans="1:2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spans="1:21"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spans="1:21"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spans="1:21"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spans="1:21"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spans="1:21"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spans="1:21"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spans="1:21"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spans="1:21"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spans="1:21"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spans="1:2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spans="1:21"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spans="1:21"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spans="1:21"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spans="1:21"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spans="1:21"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spans="1:21"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spans="1:21"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spans="1:21"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spans="1:21"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spans="1:2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spans="1:21"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spans="1:21"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spans="1:21"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spans="1:21"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spans="1:21"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spans="1:21"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spans="1:21"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spans="1:21"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spans="1:21"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spans="1:2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spans="1:21"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spans="1:21"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spans="1:21"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spans="1:21"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spans="1:21"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spans="1:21"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spans="1:21"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spans="1:21"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spans="1:21"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spans="1: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spans="1:21"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spans="1:21"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spans="1:21"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spans="1:21"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spans="1:21"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spans="1:21"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spans="1:21"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spans="1:21"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spans="1:21"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spans="1:2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spans="1:21"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spans="1:21"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spans="1:21"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spans="1:21"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spans="1:21"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spans="1:21"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spans="1:21"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spans="1:21"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spans="1:21"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spans="1:2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spans="1:21"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spans="1:21"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spans="1:21"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spans="1:21"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spans="1:21"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spans="1:21"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spans="1:21"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spans="1:21"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spans="1:21"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spans="1:2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spans="1:21"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spans="1:21"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spans="1:21"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spans="1:21"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spans="1:21"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spans="1:21"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spans="1:21"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spans="1:21"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spans="1:21"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spans="1:2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spans="1:21"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spans="1:21"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spans="1:21"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spans="1:21"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spans="1:21"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spans="1:21"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spans="1:21"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spans="1:21"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spans="1:21"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spans="1:2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spans="1:21"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spans="1:21"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spans="1:21"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spans="1:21"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spans="1:21"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spans="1:21"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spans="1:21"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spans="1:21"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spans="1:21"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spans="1:2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spans="1:21"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spans="1:21"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spans="1:21"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spans="1:21"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spans="1:21"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spans="1:21"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spans="1:21"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spans="1:21"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spans="1:21"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spans="1:2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spans="1:21"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spans="1:21"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spans="1:21"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spans="1:21"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spans="1:21"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spans="1:21"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spans="1:21"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spans="1:21"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spans="1:21"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spans="1:2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spans="1:21"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spans="1:21"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spans="1:21"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spans="1:21"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spans="1:21"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spans="1:21"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spans="1:21"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spans="1:21"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spans="1:21"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spans="1:2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spans="1:21"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spans="1:21"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spans="1:21"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spans="1:21"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spans="1:21"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spans="1:21"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spans="1:21"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spans="1:21"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spans="1:21"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spans="1: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spans="1:21"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spans="1:21"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spans="1:21"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spans="1:21"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spans="1:21"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spans="1:21"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spans="1:21"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spans="1:21"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spans="1:21"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spans="1:2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spans="1:21"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spans="1:21"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spans="1:21"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spans="1:21"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spans="1:21"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spans="1:21"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spans="1:21"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spans="1:21"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spans="1:21"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spans="1:2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spans="1:21"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spans="1:21"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spans="1:21"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spans="1:21"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spans="1:21"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spans="1:21"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spans="1:21"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spans="1:21"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spans="1:21"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spans="1:2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spans="1:21"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spans="1:21"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spans="1:21"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spans="1:21"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spans="1:21"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spans="1:21"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spans="1:21"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spans="1:21"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spans="1:21"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spans="1:2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spans="1:21"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spans="1:21"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spans="1:21"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spans="1:21"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spans="1:21"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spans="1:21"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spans="1:21"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spans="1:21"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spans="1:21"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spans="1:2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spans="1:21"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spans="1:21"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spans="1:21"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spans="1:21"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spans="1:21"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spans="1:21"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spans="1:21"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spans="1:21"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spans="1:21"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spans="1:2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spans="1:21"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spans="1:21"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spans="1:21"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spans="1:21"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spans="1:21"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spans="1:21"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spans="1:21"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spans="1:21"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spans="1:21"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spans="1:2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spans="1:21"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spans="1:21"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spans="1:21"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spans="1:21"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spans="1:21"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spans="1:21"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spans="1:21"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spans="1:21"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spans="1:21"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spans="1:2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spans="1:21"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spans="1:21"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spans="1:21"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spans="1:21"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spans="1:21"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spans="1:21"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spans="1:21"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spans="1:21"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spans="1:21"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spans="1:2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spans="1:21"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spans="1:21"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spans="1:21"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spans="1:21"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spans="1:21"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spans="1:21"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spans="1:21"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spans="1:21"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spans="1:21"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spans="1: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spans="1:21"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spans="1:21"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spans="1:21"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spans="1:21"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spans="1:21"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spans="1:21"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spans="1:21"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spans="1:21"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spans="1:21"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spans="1:2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spans="1:21"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spans="1:21"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spans="1:21"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spans="1:21"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spans="1:21"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spans="1:21"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spans="1:21"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spans="1:21"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spans="1:21"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spans="1:2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spans="1:21"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spans="1:21"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spans="1:21"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spans="1:21"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spans="1:21"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spans="1:21"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spans="1:21"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spans="1:21"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spans="1:21"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spans="1:2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spans="1:21"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spans="1:21"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spans="1:21"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spans="1:21"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spans="1:21"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spans="1:21"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spans="1:21"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spans="1:21"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spans="1:21"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spans="1:2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spans="1:21"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spans="1:21"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spans="1:21"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spans="1:21"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spans="1:21"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spans="1:21"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spans="1:21"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spans="1:21"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spans="1:21"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spans="1:2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spans="1:21"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spans="1:21"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spans="1:21"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spans="1:21"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spans="1:21"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spans="1:21"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spans="1:21"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spans="1:21"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spans="1:21"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spans="1:2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spans="1:21"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spans="1:21"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spans="1:21"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spans="1:21"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spans="1:21"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spans="1:21"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spans="1:21"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spans="1:21"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spans="1:21"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spans="1:2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spans="1:21"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spans="1:21"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spans="1:21"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spans="1:21"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spans="1:21"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spans="1:21"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spans="1:21"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spans="1:21"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spans="1:21"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spans="1:2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spans="1:21"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spans="1:21"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spans="1:21"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spans="1:21"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spans="1:21"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spans="1:21"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spans="1:21"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spans="1:21"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spans="1:21"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spans="1:2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spans="1:21"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spans="1:21"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spans="1:21"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spans="1:21"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spans="1:21"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spans="1:21"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spans="1:21"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spans="1:21"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spans="1:21"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spans="1: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spans="1:21"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spans="1:21"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spans="1:21"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spans="1:21"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spans="1:21"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spans="1:21"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spans="1:21"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spans="1:21"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spans="1:21"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spans="1:2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spans="1:21"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spans="1:21"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spans="1:21"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spans="1:21"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spans="1:21"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spans="1:21"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spans="1:21"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spans="1:21"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spans="1:21"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spans="1:2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spans="1:21"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spans="1:21"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spans="1:21"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spans="1:21"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spans="1:21"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spans="1:21"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spans="1:21"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spans="1:21"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spans="1:21"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spans="1:2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spans="1:21"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spans="1:21"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spans="1:21"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spans="1:21"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spans="1:21"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spans="1:21"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spans="1:21"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spans="1:21"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spans="1:21"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spans="1:2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spans="1:21"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spans="1:21"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spans="1:21"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spans="1:21"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spans="1:21"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spans="1:21"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spans="1:21"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spans="1:21"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spans="1:21"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spans="1:2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spans="1:21"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spans="1:21"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spans="1:21"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spans="1:21"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spans="1:21"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spans="1:21"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spans="1:21"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spans="1:21"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spans="1:21"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spans="1:2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spans="1:21"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spans="1:21"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spans="1:21"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spans="1:21"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spans="1:21"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spans="1:21"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spans="1:21"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spans="1:21"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spans="1:21"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spans="1:2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spans="1:21"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spans="1:21"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spans="1:21"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spans="1:21"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spans="1:21"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spans="1:21"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spans="1:21"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spans="1:21"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spans="1:21"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spans="1:2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spans="1:21"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spans="1:21"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spans="1:21"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spans="1:21"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spans="1:21"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spans="1:21"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spans="1:21"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spans="1:21"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spans="1:21"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spans="1:2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spans="1:21"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spans="1:21"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spans="1:21"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spans="1:21"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spans="1:21"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spans="1:21"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spans="1:21"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spans="1:21"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spans="1:21"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spans="1: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spans="1:21"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spans="1:21"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spans="1:21"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spans="1:21"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spans="1:21"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spans="1:21"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spans="1:21"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spans="1:21"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spans="1:21"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spans="1:2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spans="1:21"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spans="1:21"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spans="1:21"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spans="1:21"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spans="1:21"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spans="1:21"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spans="1:21"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spans="1:21"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spans="1:21"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spans="1:2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spans="1:21"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spans="1:21"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spans="1:21"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spans="1:21"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spans="1:21"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spans="1:21"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spans="1:21"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spans="1:21"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spans="1:21"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spans="1:2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spans="1:21"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spans="1:21"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spans="1:21"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spans="1:21"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spans="1:21"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spans="1:21"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spans="1:21"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spans="1:21"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spans="1:21"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spans="1:2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spans="1:21"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spans="1:21"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spans="1:21"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spans="1:21"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spans="1:21"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spans="1:21"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spans="1:21"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spans="1:21"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spans="1:21"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spans="1:2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spans="1:21"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spans="1:21"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spans="1:21"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spans="1:21"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spans="1:21"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spans="1:21"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spans="1:21"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spans="1:21"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spans="1:21"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spans="1:2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spans="1:21"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spans="1:21"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spans="1:21"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spans="1:21"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spans="1:21"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spans="1:21"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spans="1:21"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spans="1:21"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spans="1:21"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spans="1:2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spans="1:21"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spans="1:21"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spans="1:21"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spans="1:21"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spans="1:21"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spans="1:21"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spans="1:21"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spans="1:21"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spans="1:21"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spans="1:2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spans="1:21"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spans="1:21"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spans="1:21"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spans="1:21"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spans="1:21"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spans="1:21"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spans="1:21"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spans="1:21"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spans="1:21"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spans="1:2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spans="1:21"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spans="1:21"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spans="1:21"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spans="1:21"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spans="1:21"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spans="1:21"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spans="1:21"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spans="1:21"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spans="1:21"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spans="1: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spans="1:21"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spans="1:21"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spans="1:21"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spans="1:21"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spans="1:21"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spans="1:21"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spans="1:21"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spans="1:21"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spans="1:21"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spans="1:2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spans="1:21"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spans="1:21"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spans="1:21"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spans="1:21"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spans="1:21"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spans="1:21"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spans="1:21"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spans="1:21"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spans="1:21"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spans="1:2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spans="1:21"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spans="1:21"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spans="1:21"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spans="1:21"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spans="1:21"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spans="1:21"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spans="1:21"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spans="1:21"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spans="1:21"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spans="1:2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spans="1:21"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spans="1:21"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spans="1:21"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spans="1:21"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spans="1:21"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spans="1:21"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spans="1:21"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spans="1:21"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spans="1:21"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spans="1:2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spans="1:21"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spans="1:21"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spans="1:21"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spans="1:21"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spans="1:21"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spans="1:21"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spans="1:21"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spans="1:21"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spans="1:21"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spans="1:2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spans="1:21"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spans="1:21"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spans="1:21"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spans="1:21"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spans="1:21"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spans="1:21"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spans="1:21"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spans="1:21"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spans="1:21"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spans="1:2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spans="1:21"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spans="1:21"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spans="1:21"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spans="1:21"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spans="1:21"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spans="1:21"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spans="1:21"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spans="1:21"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spans="1:21"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spans="1:2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spans="1:21"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spans="1:21"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spans="1:21"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spans="1:21"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spans="1:21"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spans="1:21"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spans="1:21"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spans="1:21"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spans="1:21"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spans="1:2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spans="1:21"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spans="1:21"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spans="1:21"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spans="1:21"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spans="1:21"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spans="1:21"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spans="1:21"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spans="1:21"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spans="1:21"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spans="1:2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spans="1:21"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spans="1:21"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spans="1:21"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spans="1:21"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spans="1:21"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spans="1:21"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spans="1:21"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spans="1:21"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spans="1:21"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spans="1: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spans="1:21"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spans="1:21"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spans="1:21"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spans="1:21"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spans="1:21"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spans="1:21"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spans="1:21"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spans="1:21"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spans="1:21"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spans="1:2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spans="1:21"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spans="1:21"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spans="1:21"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spans="1:21"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spans="1:21"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spans="1:21"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spans="1:21"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spans="1:21"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spans="1:21"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spans="1:2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spans="1:21"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spans="1:21"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spans="1:21"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spans="1:21"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spans="1:21"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spans="1:21"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spans="1:21"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spans="1:21"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spans="1:21"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spans="1:2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spans="1:21"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spans="1:21"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spans="1:21"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spans="1:21"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spans="1:21"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spans="1:21"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spans="1:21"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spans="1:21"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spans="1:21"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spans="1:2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spans="1:21"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spans="1:21"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spans="1:21"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spans="1:21"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spans="1:21"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spans="1:21"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spans="1:21"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spans="1:21"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spans="1:21"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spans="1:2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spans="1:21"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spans="1:21"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spans="1:21"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spans="1:21"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spans="1:21"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spans="1:21"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spans="1:21"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spans="1:21"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spans="1:21"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spans="1:2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spans="1:21"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spans="1:21"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spans="1:21"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spans="1:21"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spans="1:21"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spans="1:21"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spans="1:21"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spans="1:21"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spans="1:21"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spans="1:2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spans="1:21"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spans="1:21"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spans="1:21"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spans="1:21"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spans="1:21"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spans="1:21"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spans="1:21"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spans="1:21"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spans="1:21"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spans="1:2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spans="1:21"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spans="1:21"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spans="1:21"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spans="1:21"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spans="1:21"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spans="1:21"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spans="1:21"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spans="1:21"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spans="1:21"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spans="1:2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spans="1:21"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spans="1:21"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spans="1:21"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spans="1:21"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spans="1:21"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spans="1:21"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spans="1:21"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spans="1:21"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spans="1:21"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spans="1: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spans="1:21"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spans="1:21"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spans="1:21"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spans="1:21"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spans="1:21"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spans="1:21"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spans="1:21"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spans="1:21"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spans="1:21"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spans="1:2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spans="1:21"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spans="1:21"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spans="1:21"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spans="1:21"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spans="1:21"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spans="1:21"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spans="1:21"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spans="1:21"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spans="1:21"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spans="1:2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spans="1:21"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spans="1:21"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spans="1:21"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spans="1:21"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spans="1:21"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spans="1:21"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spans="1:21"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spans="1:21"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spans="1:21"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spans="1:2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spans="1:21"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spans="1:21"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spans="1:21"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spans="1:21"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spans="1:21"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spans="1:21"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spans="1:21"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spans="1:21"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spans="1:21"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spans="1:2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spans="1:21"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spans="1:21"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spans="1:21"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spans="1:21"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spans="1:21"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spans="1:21"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spans="1:21"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spans="1:21"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spans="1:21"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spans="1:2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spans="1:21"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spans="1:21"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spans="1:21"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spans="1:21"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spans="1:21"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spans="1:21"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spans="1:21"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spans="1:21"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spans="1:21"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spans="1:2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spans="1:21"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spans="1:21"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spans="1:21"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spans="1:21"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spans="1:21"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spans="1:21"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spans="1:21"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spans="1:21"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spans="1:21"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spans="1:2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spans="1:21"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spans="1:21"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spans="1:21"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spans="1:21" x14ac:dyDescent="0.35">
      <c r="Q995" s="1">
        <f t="shared" si="60"/>
        <v>0</v>
      </c>
      <c r="R995" s="1">
        <f t="shared" si="61"/>
        <v>0</v>
      </c>
      <c r="T995">
        <f t="shared" si="62"/>
        <v>0</v>
      </c>
      <c r="U995">
        <f t="shared" si="63"/>
        <v>0</v>
      </c>
    </row>
    <row r="996" spans="1:21"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1"/>
  <dimension ref="A1:E30"/>
  <sheetViews>
    <sheetView zoomScale="89" zoomScaleNormal="118" workbookViewId="0">
      <selection activeCell="E2" sqref="E2:E6"/>
    </sheetView>
  </sheetViews>
  <sheetFormatPr baseColWidth="10" defaultRowHeight="14.5" x14ac:dyDescent="0.35"/>
  <cols>
    <col min="2" max="2" width="30.453125" customWidth="1"/>
    <col min="3" max="4" width="23.54296875" style="19" customWidth="1"/>
    <col min="5" max="5" width="10.81640625" style="19"/>
  </cols>
  <sheetData>
    <row r="1" spans="1:5" x14ac:dyDescent="0.35">
      <c r="A1" t="s">
        <v>1034</v>
      </c>
      <c r="B1" t="s">
        <v>6</v>
      </c>
      <c r="C1" s="19" t="s">
        <v>1033</v>
      </c>
      <c r="D1" s="19" t="s">
        <v>7</v>
      </c>
      <c r="E1" s="19" t="s">
        <v>173</v>
      </c>
    </row>
    <row r="2" spans="1:5" x14ac:dyDescent="0.35">
      <c r="A2">
        <v>1</v>
      </c>
      <c r="B2" t="s">
        <v>247</v>
      </c>
      <c r="C2" s="19" t="s">
        <v>49</v>
      </c>
      <c r="D2" s="19" t="s">
        <v>82</v>
      </c>
      <c r="E2" s="19">
        <v>10</v>
      </c>
    </row>
    <row r="3" spans="1:5" x14ac:dyDescent="0.35">
      <c r="A3">
        <f>+A2+1</f>
        <v>2</v>
      </c>
      <c r="B3" t="s">
        <v>247</v>
      </c>
      <c r="C3" s="19" t="s">
        <v>49</v>
      </c>
      <c r="D3" s="19" t="s">
        <v>111</v>
      </c>
      <c r="E3" s="19">
        <v>10</v>
      </c>
    </row>
    <row r="4" spans="1:5" x14ac:dyDescent="0.35">
      <c r="A4">
        <f t="shared" ref="A4:A30" si="0">+A3+1</f>
        <v>3</v>
      </c>
      <c r="B4" t="s">
        <v>247</v>
      </c>
      <c r="C4" s="19" t="s">
        <v>49</v>
      </c>
      <c r="D4" s="19" t="s">
        <v>37</v>
      </c>
      <c r="E4" s="20">
        <v>8</v>
      </c>
    </row>
    <row r="5" spans="1:5" x14ac:dyDescent="0.35">
      <c r="A5">
        <f t="shared" si="0"/>
        <v>4</v>
      </c>
      <c r="B5" t="s">
        <v>247</v>
      </c>
      <c r="C5" s="19" t="s">
        <v>49</v>
      </c>
      <c r="D5" s="19" t="s">
        <v>430</v>
      </c>
      <c r="E5" s="20">
        <v>16</v>
      </c>
    </row>
    <row r="6" spans="1:5" x14ac:dyDescent="0.35">
      <c r="A6">
        <f t="shared" si="0"/>
        <v>5</v>
      </c>
      <c r="B6" t="s">
        <v>247</v>
      </c>
      <c r="C6" s="19" t="s">
        <v>49</v>
      </c>
      <c r="D6" s="19" t="s">
        <v>60</v>
      </c>
      <c r="E6" s="20">
        <v>16</v>
      </c>
    </row>
    <row r="7" spans="1:5" hidden="1" x14ac:dyDescent="0.35">
      <c r="A7">
        <f t="shared" si="0"/>
        <v>6</v>
      </c>
      <c r="B7" t="s">
        <v>247</v>
      </c>
      <c r="C7" s="19" t="s">
        <v>109</v>
      </c>
      <c r="D7" s="19" t="s">
        <v>37</v>
      </c>
      <c r="E7" s="19">
        <v>1</v>
      </c>
    </row>
    <row r="8" spans="1:5" hidden="1" x14ac:dyDescent="0.35">
      <c r="A8">
        <f t="shared" si="0"/>
        <v>7</v>
      </c>
      <c r="B8" t="s">
        <v>247</v>
      </c>
      <c r="C8" s="19" t="s">
        <v>109</v>
      </c>
      <c r="D8" s="19" t="s">
        <v>430</v>
      </c>
      <c r="E8" s="19">
        <v>2</v>
      </c>
    </row>
    <row r="9" spans="1:5" hidden="1" x14ac:dyDescent="0.35">
      <c r="A9">
        <f t="shared" si="0"/>
        <v>8</v>
      </c>
      <c r="B9" t="s">
        <v>247</v>
      </c>
      <c r="C9" s="19" t="s">
        <v>109</v>
      </c>
      <c r="D9" s="19" t="s">
        <v>60</v>
      </c>
      <c r="E9" s="19">
        <v>2</v>
      </c>
    </row>
    <row r="10" spans="1:5" hidden="1" x14ac:dyDescent="0.35">
      <c r="A10">
        <f t="shared" si="0"/>
        <v>9</v>
      </c>
      <c r="B10" t="s">
        <v>247</v>
      </c>
      <c r="C10" s="19" t="s">
        <v>61</v>
      </c>
      <c r="D10" s="19" t="s">
        <v>37</v>
      </c>
      <c r="E10" s="19">
        <v>1</v>
      </c>
    </row>
    <row r="11" spans="1:5" hidden="1" x14ac:dyDescent="0.35">
      <c r="A11">
        <f t="shared" si="0"/>
        <v>10</v>
      </c>
      <c r="B11" t="s">
        <v>247</v>
      </c>
      <c r="C11" s="19" t="s">
        <v>61</v>
      </c>
      <c r="D11" s="19" t="s">
        <v>430</v>
      </c>
      <c r="E11" s="19">
        <v>2</v>
      </c>
    </row>
    <row r="12" spans="1:5" hidden="1" x14ac:dyDescent="0.35">
      <c r="A12">
        <f t="shared" si="0"/>
        <v>11</v>
      </c>
      <c r="B12" t="s">
        <v>247</v>
      </c>
      <c r="C12" s="19" t="s">
        <v>61</v>
      </c>
      <c r="D12" s="19" t="s">
        <v>60</v>
      </c>
      <c r="E12" s="19">
        <v>2</v>
      </c>
    </row>
    <row r="13" spans="1:5" hidden="1" x14ac:dyDescent="0.35">
      <c r="A13">
        <f t="shared" si="0"/>
        <v>12</v>
      </c>
      <c r="B13" t="s">
        <v>247</v>
      </c>
      <c r="C13" s="19" t="s">
        <v>56</v>
      </c>
      <c r="D13" s="19" t="s">
        <v>37</v>
      </c>
      <c r="E13" s="19">
        <v>1</v>
      </c>
    </row>
    <row r="14" spans="1:5" hidden="1" x14ac:dyDescent="0.35">
      <c r="A14">
        <f t="shared" si="0"/>
        <v>13</v>
      </c>
      <c r="B14" t="s">
        <v>247</v>
      </c>
      <c r="C14" s="19" t="s">
        <v>56</v>
      </c>
      <c r="D14" s="19" t="s">
        <v>430</v>
      </c>
      <c r="E14" s="19">
        <v>2</v>
      </c>
    </row>
    <row r="15" spans="1:5" hidden="1" x14ac:dyDescent="0.35">
      <c r="A15">
        <f t="shared" si="0"/>
        <v>14</v>
      </c>
      <c r="B15" t="s">
        <v>247</v>
      </c>
      <c r="C15" s="19" t="s">
        <v>56</v>
      </c>
      <c r="D15" s="19" t="s">
        <v>60</v>
      </c>
      <c r="E15" s="19">
        <v>2</v>
      </c>
    </row>
    <row r="16" spans="1:5" hidden="1" x14ac:dyDescent="0.35">
      <c r="A16">
        <f t="shared" si="0"/>
        <v>15</v>
      </c>
      <c r="B16" t="s">
        <v>247</v>
      </c>
      <c r="C16" s="19" t="s">
        <v>44</v>
      </c>
      <c r="D16" s="19" t="s">
        <v>37</v>
      </c>
      <c r="E16" s="19">
        <v>1</v>
      </c>
    </row>
    <row r="17" spans="1:5" hidden="1" x14ac:dyDescent="0.35">
      <c r="A17">
        <f t="shared" si="0"/>
        <v>16</v>
      </c>
      <c r="B17" t="s">
        <v>247</v>
      </c>
      <c r="C17" s="19" t="s">
        <v>44</v>
      </c>
      <c r="D17" s="19" t="s">
        <v>430</v>
      </c>
      <c r="E17" s="19">
        <v>2</v>
      </c>
    </row>
    <row r="18" spans="1:5" hidden="1" x14ac:dyDescent="0.35">
      <c r="A18">
        <f t="shared" si="0"/>
        <v>17</v>
      </c>
      <c r="B18" t="s">
        <v>247</v>
      </c>
      <c r="C18" s="19" t="s">
        <v>44</v>
      </c>
      <c r="D18" s="19" t="s">
        <v>60</v>
      </c>
      <c r="E18" s="19">
        <v>2</v>
      </c>
    </row>
    <row r="19" spans="1:5" hidden="1" x14ac:dyDescent="0.35">
      <c r="A19">
        <f t="shared" si="0"/>
        <v>18</v>
      </c>
      <c r="B19" t="s">
        <v>247</v>
      </c>
      <c r="C19" s="19" t="s">
        <v>41</v>
      </c>
      <c r="D19" s="19" t="s">
        <v>37</v>
      </c>
      <c r="E19" s="19">
        <v>1</v>
      </c>
    </row>
    <row r="20" spans="1:5" hidden="1" x14ac:dyDescent="0.35">
      <c r="A20">
        <f t="shared" si="0"/>
        <v>19</v>
      </c>
      <c r="B20" t="s">
        <v>247</v>
      </c>
      <c r="C20" s="19" t="s">
        <v>41</v>
      </c>
      <c r="D20" s="19" t="s">
        <v>430</v>
      </c>
      <c r="E20" s="19">
        <v>2</v>
      </c>
    </row>
    <row r="21" spans="1:5" hidden="1" x14ac:dyDescent="0.35">
      <c r="A21">
        <f t="shared" si="0"/>
        <v>20</v>
      </c>
      <c r="B21" t="s">
        <v>247</v>
      </c>
      <c r="C21" s="19" t="s">
        <v>41</v>
      </c>
      <c r="D21" s="19" t="s">
        <v>60</v>
      </c>
      <c r="E21" s="19">
        <v>2</v>
      </c>
    </row>
    <row r="22" spans="1:5" hidden="1" x14ac:dyDescent="0.35">
      <c r="A22">
        <f t="shared" si="0"/>
        <v>21</v>
      </c>
      <c r="B22" t="s">
        <v>247</v>
      </c>
      <c r="C22" s="19" t="s">
        <v>65</v>
      </c>
      <c r="D22" s="19" t="s">
        <v>37</v>
      </c>
      <c r="E22" s="19">
        <v>1</v>
      </c>
    </row>
    <row r="23" spans="1:5" hidden="1" x14ac:dyDescent="0.35">
      <c r="A23">
        <f t="shared" si="0"/>
        <v>22</v>
      </c>
      <c r="B23" t="s">
        <v>247</v>
      </c>
      <c r="C23" s="19" t="s">
        <v>65</v>
      </c>
      <c r="D23" s="19" t="s">
        <v>430</v>
      </c>
      <c r="E23" s="19">
        <v>2</v>
      </c>
    </row>
    <row r="24" spans="1:5" hidden="1" x14ac:dyDescent="0.35">
      <c r="A24">
        <f t="shared" si="0"/>
        <v>23</v>
      </c>
      <c r="B24" t="s">
        <v>247</v>
      </c>
      <c r="C24" s="19" t="s">
        <v>65</v>
      </c>
      <c r="D24" s="19" t="s">
        <v>60</v>
      </c>
      <c r="E24" s="19">
        <v>2</v>
      </c>
    </row>
    <row r="25" spans="1:5" hidden="1" x14ac:dyDescent="0.35">
      <c r="A25">
        <f t="shared" si="0"/>
        <v>24</v>
      </c>
      <c r="B25" t="s">
        <v>247</v>
      </c>
      <c r="C25" s="19" t="s">
        <v>1035</v>
      </c>
      <c r="D25" s="19" t="s">
        <v>37</v>
      </c>
      <c r="E25" s="19">
        <v>1</v>
      </c>
    </row>
    <row r="26" spans="1:5" hidden="1" x14ac:dyDescent="0.35">
      <c r="A26">
        <f t="shared" si="0"/>
        <v>25</v>
      </c>
      <c r="B26" t="s">
        <v>247</v>
      </c>
      <c r="C26" s="19" t="s">
        <v>1035</v>
      </c>
      <c r="D26" s="19" t="s">
        <v>430</v>
      </c>
      <c r="E26" s="19">
        <v>2</v>
      </c>
    </row>
    <row r="27" spans="1:5" hidden="1" x14ac:dyDescent="0.35">
      <c r="A27">
        <f t="shared" si="0"/>
        <v>26</v>
      </c>
      <c r="B27" t="s">
        <v>247</v>
      </c>
      <c r="C27" s="19" t="s">
        <v>1035</v>
      </c>
      <c r="D27" s="19" t="s">
        <v>60</v>
      </c>
      <c r="E27" s="19">
        <v>2</v>
      </c>
    </row>
    <row r="28" spans="1:5" hidden="1" x14ac:dyDescent="0.35">
      <c r="A28">
        <f t="shared" si="0"/>
        <v>27</v>
      </c>
      <c r="B28" t="s">
        <v>247</v>
      </c>
      <c r="C28" s="19" t="s">
        <v>23</v>
      </c>
      <c r="D28" s="19" t="s">
        <v>37</v>
      </c>
      <c r="E28" s="19">
        <v>1</v>
      </c>
    </row>
    <row r="29" spans="1:5" hidden="1" x14ac:dyDescent="0.35">
      <c r="A29">
        <f t="shared" si="0"/>
        <v>28</v>
      </c>
      <c r="B29" t="s">
        <v>247</v>
      </c>
      <c r="C29" s="19" t="s">
        <v>23</v>
      </c>
      <c r="D29" s="19" t="s">
        <v>430</v>
      </c>
      <c r="E29" s="19">
        <v>2</v>
      </c>
    </row>
    <row r="30" spans="1:5" hidden="1" x14ac:dyDescent="0.35">
      <c r="A30">
        <f t="shared" si="0"/>
        <v>29</v>
      </c>
      <c r="B30" t="s">
        <v>247</v>
      </c>
      <c r="C30" s="19" t="s">
        <v>23</v>
      </c>
      <c r="D30" s="19" t="s">
        <v>60</v>
      </c>
      <c r="E30" s="19">
        <v>2</v>
      </c>
    </row>
  </sheetData>
  <autoFilter ref="A1:E30" xr:uid="{E670599C-E3E5-4573-BFCD-817B2135B33F}">
    <filterColumn colId="2">
      <filters>
        <filter val="Nacional"/>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